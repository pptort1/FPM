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ltascumbressa-my.sharepoint.com/personal/ptort_altascumbres_cl/Documents/PTU/05_ClaudeCode/FPM/05_Bancos/03_Santander/"/>
    </mc:Choice>
  </mc:AlternateContent>
  <xr:revisionPtr revIDLastSave="82" documentId="11_EB5535FF415CCC5E0E409F1DD555798093AEAE3D" xr6:coauthVersionLast="47" xr6:coauthVersionMax="47" xr10:uidLastSave="{651441FE-AEF0-480D-BD3E-FABE89AFA532}"/>
  <bookViews>
    <workbookView xWindow="-93" yWindow="-93" windowWidth="25786" windowHeight="15466" xr2:uid="{00000000-000D-0000-FFFF-FFFF00000000}"/>
  </bookViews>
  <sheets>
    <sheet name="EGRESOS 2025" sheetId="1" r:id="rId1"/>
    <sheet name="Resumen" sheetId="2" r:id="rId2"/>
    <sheet name="Pendientes" sheetId="3" r:id="rId3"/>
    <sheet name="Listas" sheetId="4" r:id="rId4"/>
  </sheets>
  <definedNames>
    <definedName name="_xlnm._FilterDatabase" localSheetId="0" hidden="1">'EGRESOS 2025'!$A$1:$L$1181</definedName>
    <definedName name="_xlnm._FilterDatabase" localSheetId="2" hidden="1">Pendientes!$A$1:$H$305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H2" i="3"/>
  <c r="G3" i="3"/>
  <c r="H3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0" i="3"/>
  <c r="H80" i="3"/>
  <c r="G81" i="3"/>
  <c r="H81" i="3"/>
  <c r="G82" i="3"/>
  <c r="H82" i="3"/>
  <c r="G83" i="3"/>
  <c r="H83" i="3"/>
  <c r="G84" i="3"/>
  <c r="H84" i="3"/>
  <c r="G85" i="3"/>
  <c r="H85" i="3"/>
  <c r="G86" i="3"/>
  <c r="H86" i="3"/>
  <c r="G87" i="3"/>
  <c r="H87" i="3"/>
  <c r="G88" i="3"/>
  <c r="H88" i="3"/>
  <c r="G89" i="3"/>
  <c r="H89" i="3"/>
  <c r="G90" i="3"/>
  <c r="H90" i="3"/>
  <c r="G91" i="3"/>
  <c r="H91" i="3"/>
  <c r="G92" i="3"/>
  <c r="H92" i="3"/>
  <c r="G93" i="3"/>
  <c r="H93" i="3"/>
  <c r="G94" i="3"/>
  <c r="H94" i="3"/>
  <c r="G95" i="3"/>
  <c r="H95" i="3"/>
  <c r="G96" i="3"/>
  <c r="H96" i="3"/>
  <c r="G97" i="3"/>
  <c r="H97" i="3"/>
  <c r="G98" i="3"/>
  <c r="H98" i="3"/>
  <c r="G99" i="3"/>
  <c r="H99" i="3"/>
  <c r="G100" i="3"/>
  <c r="H100" i="3"/>
  <c r="G101" i="3"/>
  <c r="H101" i="3"/>
  <c r="G102" i="3"/>
  <c r="H102" i="3"/>
  <c r="G103" i="3"/>
  <c r="H103" i="3"/>
  <c r="G104" i="3"/>
  <c r="H104" i="3"/>
  <c r="G105" i="3"/>
  <c r="H105" i="3"/>
  <c r="G106" i="3"/>
  <c r="H106" i="3"/>
  <c r="G107" i="3"/>
  <c r="H107" i="3"/>
  <c r="G108" i="3"/>
  <c r="H108" i="3"/>
  <c r="G109" i="3"/>
  <c r="H109" i="3"/>
  <c r="G110" i="3"/>
  <c r="H110" i="3"/>
  <c r="G111" i="3"/>
  <c r="H111" i="3"/>
  <c r="G112" i="3"/>
  <c r="H112" i="3"/>
  <c r="G113" i="3"/>
  <c r="H113" i="3"/>
  <c r="G114" i="3"/>
  <c r="H114" i="3"/>
  <c r="G115" i="3"/>
  <c r="H115" i="3"/>
  <c r="G116" i="3"/>
  <c r="H116" i="3"/>
  <c r="G117" i="3"/>
  <c r="H117" i="3"/>
  <c r="G118" i="3"/>
  <c r="H118" i="3"/>
  <c r="G119" i="3"/>
  <c r="H119" i="3"/>
  <c r="G120" i="3"/>
  <c r="H120" i="3"/>
  <c r="G121" i="3"/>
  <c r="H121" i="3"/>
  <c r="G122" i="3"/>
  <c r="H122" i="3"/>
  <c r="G123" i="3"/>
  <c r="H123" i="3"/>
  <c r="G124" i="3"/>
  <c r="H124" i="3"/>
  <c r="G125" i="3"/>
  <c r="H125" i="3"/>
  <c r="G126" i="3"/>
  <c r="H126" i="3"/>
  <c r="G127" i="3"/>
  <c r="H127" i="3"/>
  <c r="G128" i="3"/>
  <c r="H128" i="3"/>
  <c r="G129" i="3"/>
  <c r="H129" i="3"/>
  <c r="G130" i="3"/>
  <c r="H130" i="3"/>
  <c r="G131" i="3"/>
  <c r="H131" i="3"/>
  <c r="G132" i="3"/>
  <c r="H132" i="3"/>
  <c r="G133" i="3"/>
  <c r="H133" i="3"/>
  <c r="G134" i="3"/>
  <c r="H134" i="3"/>
  <c r="G135" i="3"/>
  <c r="H135" i="3"/>
  <c r="G136" i="3"/>
  <c r="H136" i="3"/>
  <c r="G137" i="3"/>
  <c r="H137" i="3"/>
  <c r="G138" i="3"/>
  <c r="H138" i="3"/>
  <c r="G139" i="3"/>
  <c r="H139" i="3"/>
  <c r="G140" i="3"/>
  <c r="H140" i="3"/>
  <c r="G141" i="3"/>
  <c r="H141" i="3"/>
  <c r="G142" i="3"/>
  <c r="H142" i="3"/>
  <c r="G143" i="3"/>
  <c r="H143" i="3"/>
  <c r="G144" i="3"/>
  <c r="H144" i="3"/>
  <c r="G145" i="3"/>
  <c r="H145" i="3"/>
  <c r="G146" i="3"/>
  <c r="H146" i="3"/>
  <c r="G147" i="3"/>
  <c r="H147" i="3"/>
  <c r="G148" i="3"/>
  <c r="H148" i="3"/>
  <c r="G149" i="3"/>
  <c r="H149" i="3"/>
  <c r="G150" i="3"/>
  <c r="H150" i="3"/>
  <c r="G151" i="3"/>
  <c r="H151" i="3"/>
  <c r="G152" i="3"/>
  <c r="H152" i="3"/>
  <c r="G153" i="3"/>
  <c r="H153" i="3"/>
  <c r="G154" i="3"/>
  <c r="H154" i="3"/>
  <c r="G155" i="3"/>
  <c r="H155" i="3"/>
  <c r="G156" i="3"/>
  <c r="H156" i="3"/>
  <c r="G157" i="3"/>
  <c r="H157" i="3"/>
  <c r="G158" i="3"/>
  <c r="H158" i="3"/>
  <c r="G159" i="3"/>
  <c r="H159" i="3"/>
  <c r="G160" i="3"/>
  <c r="H160" i="3"/>
  <c r="G161" i="3"/>
  <c r="H161" i="3"/>
  <c r="G162" i="3"/>
  <c r="H162" i="3"/>
  <c r="G163" i="3"/>
  <c r="H163" i="3"/>
  <c r="G164" i="3"/>
  <c r="H164" i="3"/>
  <c r="G165" i="3"/>
  <c r="H165" i="3"/>
  <c r="G166" i="3"/>
  <c r="H166" i="3"/>
  <c r="G167" i="3"/>
  <c r="H167" i="3"/>
  <c r="G168" i="3"/>
  <c r="H168" i="3"/>
  <c r="G169" i="3"/>
  <c r="H169" i="3"/>
  <c r="G170" i="3"/>
  <c r="H170" i="3"/>
  <c r="G171" i="3"/>
  <c r="H171" i="3"/>
  <c r="G172" i="3"/>
  <c r="H172" i="3"/>
  <c r="G173" i="3"/>
  <c r="H173" i="3"/>
  <c r="G174" i="3"/>
  <c r="H174" i="3"/>
  <c r="G175" i="3"/>
  <c r="H175" i="3"/>
  <c r="G176" i="3"/>
  <c r="H176" i="3"/>
  <c r="G177" i="3"/>
  <c r="H177" i="3"/>
  <c r="G178" i="3"/>
  <c r="H178" i="3"/>
  <c r="G179" i="3"/>
  <c r="H179" i="3"/>
  <c r="G180" i="3"/>
  <c r="H180" i="3"/>
  <c r="G181" i="3"/>
  <c r="H181" i="3"/>
  <c r="G182" i="3"/>
  <c r="H182" i="3"/>
  <c r="G183" i="3"/>
  <c r="H183" i="3"/>
  <c r="G184" i="3"/>
  <c r="H184" i="3"/>
  <c r="G185" i="3"/>
  <c r="H185" i="3"/>
  <c r="G186" i="3"/>
  <c r="H186" i="3"/>
  <c r="G187" i="3"/>
  <c r="H187" i="3"/>
  <c r="G188" i="3"/>
  <c r="H188" i="3"/>
  <c r="G189" i="3"/>
  <c r="H189" i="3"/>
  <c r="G190" i="3"/>
  <c r="H190" i="3"/>
  <c r="G191" i="3"/>
  <c r="H191" i="3"/>
  <c r="G192" i="3"/>
  <c r="H192" i="3"/>
  <c r="G193" i="3"/>
  <c r="H193" i="3"/>
  <c r="G194" i="3"/>
  <c r="H194" i="3"/>
  <c r="G195" i="3"/>
  <c r="H195" i="3"/>
  <c r="G196" i="3"/>
  <c r="H196" i="3"/>
  <c r="G197" i="3"/>
  <c r="H197" i="3"/>
  <c r="G198" i="3"/>
  <c r="H198" i="3"/>
  <c r="G199" i="3"/>
  <c r="H199" i="3"/>
  <c r="G200" i="3"/>
  <c r="H200" i="3"/>
  <c r="G201" i="3"/>
  <c r="H201" i="3"/>
  <c r="G202" i="3"/>
  <c r="H202" i="3"/>
  <c r="G203" i="3"/>
  <c r="H203" i="3"/>
  <c r="G204" i="3"/>
  <c r="H204" i="3"/>
  <c r="G205" i="3"/>
  <c r="H205" i="3"/>
  <c r="G206" i="3"/>
  <c r="H206" i="3"/>
  <c r="G207" i="3"/>
  <c r="H207" i="3"/>
  <c r="G208" i="3"/>
  <c r="H208" i="3"/>
  <c r="G209" i="3"/>
  <c r="H209" i="3"/>
  <c r="G210" i="3"/>
  <c r="H210" i="3"/>
  <c r="G211" i="3"/>
  <c r="H211" i="3"/>
  <c r="G212" i="3"/>
  <c r="H212" i="3"/>
  <c r="G213" i="3"/>
  <c r="H213" i="3"/>
  <c r="G214" i="3"/>
  <c r="H214" i="3"/>
  <c r="G215" i="3"/>
  <c r="H215" i="3"/>
  <c r="G216" i="3"/>
  <c r="H216" i="3"/>
  <c r="G217" i="3"/>
  <c r="H217" i="3"/>
  <c r="G218" i="3"/>
  <c r="H218" i="3"/>
  <c r="G219" i="3"/>
  <c r="H219" i="3"/>
  <c r="G220" i="3"/>
  <c r="H220" i="3"/>
  <c r="G221" i="3"/>
  <c r="H221" i="3"/>
  <c r="G222" i="3"/>
  <c r="H222" i="3"/>
  <c r="G223" i="3"/>
  <c r="H223" i="3"/>
  <c r="G224" i="3"/>
  <c r="H224" i="3"/>
  <c r="G225" i="3"/>
  <c r="H225" i="3"/>
  <c r="G226" i="3"/>
  <c r="H226" i="3"/>
  <c r="G227" i="3"/>
  <c r="H227" i="3"/>
  <c r="G228" i="3"/>
  <c r="H228" i="3"/>
  <c r="G229" i="3"/>
  <c r="H229" i="3"/>
  <c r="G230" i="3"/>
  <c r="H230" i="3"/>
  <c r="G231" i="3"/>
  <c r="H231" i="3"/>
  <c r="G232" i="3"/>
  <c r="H232" i="3"/>
  <c r="G233" i="3"/>
  <c r="H233" i="3"/>
  <c r="G234" i="3"/>
  <c r="H234" i="3"/>
  <c r="G235" i="3"/>
  <c r="H235" i="3"/>
  <c r="G236" i="3"/>
  <c r="H236" i="3"/>
  <c r="G237" i="3"/>
  <c r="H237" i="3"/>
  <c r="G238" i="3"/>
  <c r="H238" i="3"/>
  <c r="G239" i="3"/>
  <c r="H239" i="3"/>
  <c r="G240" i="3"/>
  <c r="H240" i="3"/>
  <c r="G241" i="3"/>
  <c r="H241" i="3"/>
  <c r="G242" i="3"/>
  <c r="H242" i="3"/>
  <c r="G243" i="3"/>
  <c r="H243" i="3"/>
  <c r="G244" i="3"/>
  <c r="H244" i="3"/>
  <c r="G245" i="3"/>
  <c r="H245" i="3"/>
  <c r="G246" i="3"/>
  <c r="H246" i="3"/>
  <c r="G247" i="3"/>
  <c r="H247" i="3"/>
  <c r="G248" i="3"/>
  <c r="H248" i="3"/>
  <c r="G249" i="3"/>
  <c r="H249" i="3"/>
  <c r="G250" i="3"/>
  <c r="H250" i="3"/>
  <c r="G251" i="3"/>
  <c r="H251" i="3"/>
  <c r="G252" i="3"/>
  <c r="H252" i="3"/>
  <c r="G253" i="3"/>
  <c r="H253" i="3"/>
  <c r="G254" i="3"/>
  <c r="H254" i="3"/>
  <c r="G255" i="3"/>
  <c r="H255" i="3"/>
  <c r="G256" i="3"/>
  <c r="H256" i="3"/>
  <c r="G257" i="3"/>
  <c r="H257" i="3"/>
  <c r="G258" i="3"/>
  <c r="H258" i="3"/>
  <c r="G259" i="3"/>
  <c r="H259" i="3"/>
  <c r="G260" i="3"/>
  <c r="H260" i="3"/>
  <c r="G261" i="3"/>
  <c r="H261" i="3"/>
  <c r="G262" i="3"/>
  <c r="H262" i="3"/>
  <c r="G263" i="3"/>
  <c r="H263" i="3"/>
  <c r="G264" i="3"/>
  <c r="H264" i="3"/>
  <c r="G265" i="3"/>
  <c r="H265" i="3"/>
  <c r="G266" i="3"/>
  <c r="H266" i="3"/>
  <c r="G267" i="3"/>
  <c r="H267" i="3"/>
  <c r="G268" i="3"/>
  <c r="H268" i="3"/>
  <c r="G269" i="3"/>
  <c r="H269" i="3"/>
  <c r="G270" i="3"/>
  <c r="H270" i="3"/>
  <c r="G271" i="3"/>
  <c r="H271" i="3"/>
  <c r="G272" i="3"/>
  <c r="H272" i="3"/>
  <c r="G273" i="3"/>
  <c r="H273" i="3"/>
  <c r="G274" i="3"/>
  <c r="H274" i="3"/>
  <c r="G275" i="3"/>
  <c r="H275" i="3"/>
  <c r="G276" i="3"/>
  <c r="H276" i="3"/>
  <c r="G277" i="3"/>
  <c r="H277" i="3"/>
  <c r="G278" i="3"/>
  <c r="H278" i="3"/>
  <c r="G279" i="3"/>
  <c r="H279" i="3"/>
  <c r="G280" i="3"/>
  <c r="H280" i="3"/>
  <c r="G281" i="3"/>
  <c r="H281" i="3"/>
  <c r="G282" i="3"/>
  <c r="H282" i="3"/>
  <c r="G283" i="3"/>
  <c r="H283" i="3"/>
  <c r="G284" i="3"/>
  <c r="H284" i="3"/>
  <c r="G285" i="3"/>
  <c r="H285" i="3"/>
  <c r="G286" i="3"/>
  <c r="H286" i="3"/>
  <c r="G287" i="3"/>
  <c r="H287" i="3"/>
  <c r="G288" i="3"/>
  <c r="H288" i="3"/>
  <c r="G289" i="3"/>
  <c r="H289" i="3"/>
  <c r="G290" i="3"/>
  <c r="H290" i="3"/>
  <c r="G291" i="3"/>
  <c r="H291" i="3"/>
  <c r="G292" i="3"/>
  <c r="H292" i="3"/>
  <c r="G293" i="3"/>
  <c r="H293" i="3"/>
  <c r="G294" i="3"/>
  <c r="H294" i="3"/>
  <c r="G295" i="3"/>
  <c r="H295" i="3"/>
  <c r="G296" i="3"/>
  <c r="H296" i="3"/>
  <c r="G297" i="3"/>
  <c r="H297" i="3"/>
  <c r="G298" i="3"/>
  <c r="H298" i="3"/>
  <c r="G299" i="3"/>
  <c r="H299" i="3"/>
  <c r="G300" i="3"/>
  <c r="H300" i="3"/>
  <c r="G301" i="3"/>
  <c r="H301" i="3"/>
  <c r="G302" i="3"/>
  <c r="H302" i="3"/>
  <c r="G303" i="3"/>
  <c r="H303" i="3"/>
  <c r="G304" i="3"/>
  <c r="H304" i="3"/>
  <c r="G305" i="3"/>
  <c r="H305" i="3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6" i="2"/>
  <c r="J17" i="2"/>
  <c r="I17" i="2"/>
  <c r="H17" i="2"/>
  <c r="G17" i="2"/>
  <c r="F17" i="2"/>
  <c r="E17" i="2"/>
  <c r="D17" i="2"/>
  <c r="C17" i="2"/>
  <c r="B17" i="2"/>
  <c r="K17" i="2" s="1"/>
</calcChain>
</file>

<file path=xl/sharedStrings.xml><?xml version="1.0" encoding="utf-8"?>
<sst xmlns="http://schemas.openxmlformats.org/spreadsheetml/2006/main" count="14391" uniqueCount="680">
  <si>
    <t>Fecha Pago</t>
  </si>
  <si>
    <t>Mes Devengo</t>
  </si>
  <si>
    <t>Descripcion</t>
  </si>
  <si>
    <t>Proveedor</t>
  </si>
  <si>
    <t>Monto Total</t>
  </si>
  <si>
    <t>Tipo Doc</t>
  </si>
  <si>
    <t>Forma Pago</t>
  </si>
  <si>
    <t>Nombre Cuenta</t>
  </si>
  <si>
    <t>IVA</t>
  </si>
  <si>
    <t>Monto Neto</t>
  </si>
  <si>
    <t>Cuenta</t>
  </si>
  <si>
    <t>CC</t>
  </si>
  <si>
    <t>2024-02</t>
  </si>
  <si>
    <t>Pago Recurrente VD Google LLC GSUI</t>
  </si>
  <si>
    <t>F</t>
  </si>
  <si>
    <t>Debito</t>
  </si>
  <si>
    <t>Plataformas Digitales</t>
  </si>
  <si>
    <t>1.5.1</t>
  </si>
  <si>
    <t>CC5</t>
  </si>
  <si>
    <t>PAGO EN LINEA CHILEXPRESS</t>
  </si>
  <si>
    <t>Despachos B2B (Gaspar)</t>
  </si>
  <si>
    <t>1.7.1</t>
  </si>
  <si>
    <t>CC7</t>
  </si>
  <si>
    <t>Compra Nacional HIP LIDER BUENAVEN</t>
  </si>
  <si>
    <t>Ingredientes</t>
  </si>
  <si>
    <t>1.1.1</t>
  </si>
  <si>
    <t>CC1</t>
  </si>
  <si>
    <t>Compra RAPPI PRIME RAPPI</t>
  </si>
  <si>
    <t>Comision Plataformas Delivery</t>
  </si>
  <si>
    <t>1.8.2</t>
  </si>
  <si>
    <t>CC8</t>
  </si>
  <si>
    <t>Compra Nacional CLUB REPOSTERO SPA</t>
  </si>
  <si>
    <t>Compra Internacional FACEBK *5PT5J</t>
  </si>
  <si>
    <t>RRSS</t>
  </si>
  <si>
    <t>1.6.1</t>
  </si>
  <si>
    <t>CC6</t>
  </si>
  <si>
    <t>Compra Nacional MERPAGO*PAPADINSPA</t>
  </si>
  <si>
    <t>Compra Internacional FACEBK *T6DVM</t>
  </si>
  <si>
    <t>Compra Internacional FACEBK *PT72W</t>
  </si>
  <si>
    <t>2024-01</t>
  </si>
  <si>
    <t>PAGO EN LINEA S.I.I.</t>
  </si>
  <si>
    <t>S</t>
  </si>
  <si>
    <t>IVA Neto (F29)</t>
  </si>
  <si>
    <t>1.9.1</t>
  </si>
  <si>
    <t>CC9</t>
  </si>
  <si>
    <t>Compra Nacional FERRETERIA CAVEM S</t>
  </si>
  <si>
    <t>Mantenciones</t>
  </si>
  <si>
    <t>1.3.6</t>
  </si>
  <si>
    <t>CC3</t>
  </si>
  <si>
    <t>Pago Recurrente VD Audible</t>
  </si>
  <si>
    <t>Compra Internacional FACEBK *4KJT4</t>
  </si>
  <si>
    <t>Compra Nacional NP BSALE</t>
  </si>
  <si>
    <t>Compra Internacional Shopify* 2176</t>
  </si>
  <si>
    <t>Compra Internacional FACEBK *2552L</t>
  </si>
  <si>
    <t>Compra Inter. NP FACEBK *FR5LJZF5P</t>
  </si>
  <si>
    <t>Compra Nacional Rappi Rappi Favor</t>
  </si>
  <si>
    <t>Compra Nacional MOVISTAR</t>
  </si>
  <si>
    <t>Telecomunicaciones</t>
  </si>
  <si>
    <t>1.3.5</t>
  </si>
  <si>
    <t>Compra Internacional FACEBK *EJU3Y</t>
  </si>
  <si>
    <t>Compra Inter. NP FACEBK *33T5AZX5P</t>
  </si>
  <si>
    <t>Pago Recurrente VD DIDI DIDI</t>
  </si>
  <si>
    <t>Transporte Personas (Empleados)</t>
  </si>
  <si>
    <t>1.7.3</t>
  </si>
  <si>
    <t>2024-12</t>
  </si>
  <si>
    <t>PAGO EN LINEA PREVIRED</t>
  </si>
  <si>
    <t>Sueldos con Contrato</t>
  </si>
  <si>
    <t>1.2.1</t>
  </si>
  <si>
    <t>CC2</t>
  </si>
  <si>
    <t>2025-01</t>
  </si>
  <si>
    <t>Compra Internacional Google GSUITE</t>
  </si>
  <si>
    <t>Compra Inter. NP FACEBK *BKJNQG46P</t>
  </si>
  <si>
    <t>Compra Nacional CABIFY</t>
  </si>
  <si>
    <t>PAGO EN LINEA T.G.R.</t>
  </si>
  <si>
    <t>Patente Comercial</t>
  </si>
  <si>
    <t>1.9.4</t>
  </si>
  <si>
    <t>Compra DL*RAPPI PRO CHIL</t>
  </si>
  <si>
    <t>Compra Nacional NP TELEFONICA PROV</t>
  </si>
  <si>
    <t>0810941006 Transf a Colun limitada</t>
  </si>
  <si>
    <t>Compra Internacional FACEBK *BMEMV</t>
  </si>
  <si>
    <t>Compra Internacional FACEBK *MZTCZ</t>
  </si>
  <si>
    <t>0193242057 Transf a Catalina Cueva</t>
  </si>
  <si>
    <t>Compra Internacional Shopify* 3191</t>
  </si>
  <si>
    <t>0766695086 Transf a Envíame Latam</t>
  </si>
  <si>
    <t>Compra Nacional NP CANVA</t>
  </si>
  <si>
    <t>Compra Internacional FACEBK *H97YV</t>
  </si>
  <si>
    <t>Compra Internacional FACEBK *4GC4X</t>
  </si>
  <si>
    <t>COM.MANTENCION PLAN</t>
  </si>
  <si>
    <t>Compra Nacional NP MERPAGO*CABIFY2</t>
  </si>
  <si>
    <t>0196066942 Transf a Josefina Lande</t>
  </si>
  <si>
    <t>2025-02</t>
  </si>
  <si>
    <t>0195671117 Transf a Maria jose gre</t>
  </si>
  <si>
    <t>018022436K Transf a Angeles Grez</t>
  </si>
  <si>
    <t>0210936025 Transf a Nataly Morales</t>
  </si>
  <si>
    <t>0209984059 Transf a Vanessa Flores</t>
  </si>
  <si>
    <t>0070519402 Transf a Carolina Campo</t>
  </si>
  <si>
    <t>2025-03</t>
  </si>
  <si>
    <t>Compra Internacional GOOGLE *GSUIT</t>
  </si>
  <si>
    <t>0170835727 Transf a María Ignacia</t>
  </si>
  <si>
    <t>Compra Nacional MERPAGO*ENEROYENER</t>
  </si>
  <si>
    <t>0220427919 Transf a Catalina Busta</t>
  </si>
  <si>
    <t>Pago Recurrente VD DL*RAPPI CHILE</t>
  </si>
  <si>
    <t>0783837307 Transf a Avicola y Come</t>
  </si>
  <si>
    <t>Compra DL*RAPPI CHILE</t>
  </si>
  <si>
    <t>Compra DL RAPPI CL RAPPI</t>
  </si>
  <si>
    <t>Compra CANVA</t>
  </si>
  <si>
    <t>Compra FACEBK *MMJNTMQ5P</t>
  </si>
  <si>
    <t>Compra CABIFY</t>
  </si>
  <si>
    <t>Compra WEBPAY EPARIS MAR</t>
  </si>
  <si>
    <t>Comision Getnet + TUU</t>
  </si>
  <si>
    <t>1.8.1</t>
  </si>
  <si>
    <t>Compra UNIMARC VITACURA</t>
  </si>
  <si>
    <t>Compra MERPAGO*CABIFY251</t>
  </si>
  <si>
    <t>0103253284 Transf a PATRICIA DEL R</t>
  </si>
  <si>
    <t>Compra FLOW *MOLINOS C</t>
  </si>
  <si>
    <t>2025-04</t>
  </si>
  <si>
    <t>Compra GOOGLE *GSUITE_fa</t>
  </si>
  <si>
    <t>Compra BSALE</t>
  </si>
  <si>
    <t>Compra VIRTUAL*REAL STOR</t>
  </si>
  <si>
    <t>Arriendo Local</t>
  </si>
  <si>
    <t>1.3.1</t>
  </si>
  <si>
    <t>Compra MOVISTAR</t>
  </si>
  <si>
    <t>Compra FACEBK *JAZZJP4WJ</t>
  </si>
  <si>
    <t>Compra FACEBK *7FHEKP4WJ</t>
  </si>
  <si>
    <t>Compra OPENAI *CHATGPT S</t>
  </si>
  <si>
    <t>Compra Shopify* 35510617</t>
  </si>
  <si>
    <t>Compra DL RAPPI CHILE RA</t>
  </si>
  <si>
    <t>Compra EASY.CL</t>
  </si>
  <si>
    <t>Compra FACEBK *UVHLAPC5P</t>
  </si>
  <si>
    <t>Compra FACEBK *Q9GRAPC5P</t>
  </si>
  <si>
    <t>Compra HIP LIDER BUENAVE</t>
  </si>
  <si>
    <t>2025-05</t>
  </si>
  <si>
    <t>Compra FACEBK *G7MHWQ4WJ</t>
  </si>
  <si>
    <t>Intereses Línea de Crédito</t>
  </si>
  <si>
    <t>Gastos Bancarios</t>
  </si>
  <si>
    <t>1.9.5</t>
  </si>
  <si>
    <t>Impuesto Sobregiro / Uso LCA</t>
  </si>
  <si>
    <t>Compra FACEBK *SUUZXQQVJ</t>
  </si>
  <si>
    <t>Compra Shopify* 36689456</t>
  </si>
  <si>
    <t>Compra MERCADOPAGO *6PRO</t>
  </si>
  <si>
    <t>Compra FACEBK *YLMHNRL5P</t>
  </si>
  <si>
    <t>0777031414 Transf a ALUMBRACHILE S</t>
  </si>
  <si>
    <t>Inversion Carro</t>
  </si>
  <si>
    <t>1.4.1</t>
  </si>
  <si>
    <t>CC4</t>
  </si>
  <si>
    <t>Compra FACEBK *ZGPDWRQ5P</t>
  </si>
  <si>
    <t>Compra FACEBK *E7WWQQU5P</t>
  </si>
  <si>
    <t>Compra DIDI</t>
  </si>
  <si>
    <t>Compra PAYU *UBER TRIP</t>
  </si>
  <si>
    <t>Compra MERCADOPAGO *3PRO</t>
  </si>
  <si>
    <t>Compra FACEBK *JXCSBSG5P</t>
  </si>
  <si>
    <t>2025-06</t>
  </si>
  <si>
    <t>Compra MERCADOPAGO *16PR</t>
  </si>
  <si>
    <t>Compra FACEBK *UMCWMSQVJ</t>
  </si>
  <si>
    <t>Compra MERCADOPAGO *5PRO</t>
  </si>
  <si>
    <t>Compra FACEBK *MPMK2TCVJ</t>
  </si>
  <si>
    <t>Compra FACEBK *DP9DBWGVJ</t>
  </si>
  <si>
    <t>Compra FACEBK *NLV5ASU5P</t>
  </si>
  <si>
    <t>Compra Shopify* 37941326</t>
  </si>
  <si>
    <t>Compra FACEBK *Z6676U4WJ</t>
  </si>
  <si>
    <t>Compra FACEBK *QKMRGTY5P</t>
  </si>
  <si>
    <t>Compra FACEBK *D57YYTL5P</t>
  </si>
  <si>
    <t>Compra FACEBK *VNSN7UQVJ</t>
  </si>
  <si>
    <t>Compra FACEBK *LCVMQTY5P</t>
  </si>
  <si>
    <t>2025-07</t>
  </si>
  <si>
    <t>Compra MERCADOPAGO *12PR</t>
  </si>
  <si>
    <t>Compra FACEBK *JWZYEULVJ</t>
  </si>
  <si>
    <t>Compra FACEBK *FLD6KYGVJ</t>
  </si>
  <si>
    <t>Compra FACEBK *XYYTTU8VJ</t>
  </si>
  <si>
    <t>Compra MERCADOPAGO *14PR</t>
  </si>
  <si>
    <t>Compra Shopify* 39202681</t>
  </si>
  <si>
    <t>Compra FACEBK *BZCGUVC5P</t>
  </si>
  <si>
    <t>Compra FACEBK *SK78ZUU5P</t>
  </si>
  <si>
    <t>Compra FACEBK *6UP95WCVJ</t>
  </si>
  <si>
    <t>2025-08</t>
  </si>
  <si>
    <t>Compra MERCADOPAGO *19PR</t>
  </si>
  <si>
    <t>Compra DP *TOTTUS</t>
  </si>
  <si>
    <t>Compra FACEBK *5SE9XVLVJ</t>
  </si>
  <si>
    <t>Compra FACEBK *KM6U5W46P</t>
  </si>
  <si>
    <t>Compra MUNICIPALIDAD DE</t>
  </si>
  <si>
    <t>Compra MUNICIPALIDAD LA</t>
  </si>
  <si>
    <t>Compra FACEBK *S3LT3Y4VJ</t>
  </si>
  <si>
    <t>Compra FACEBK *2WTPNXQVJ</t>
  </si>
  <si>
    <t>Compra FACEBK *UGYSCY4VJ</t>
  </si>
  <si>
    <t>Compra FLOW *VIGAHOME</t>
  </si>
  <si>
    <t>Compra Shopify* 40539237</t>
  </si>
  <si>
    <t>PAC Movistar 00000141816185</t>
  </si>
  <si>
    <t>Anulación Rev. Compra WebPay</t>
  </si>
  <si>
    <t>Compra FACEBK *R44PR3HVJ</t>
  </si>
  <si>
    <t>Compra FACEBK *VY8ZBZC6P</t>
  </si>
  <si>
    <t>Compra FERRETERIA J.GARA</t>
  </si>
  <si>
    <t>PAGO EN LINEA I. MUNICIPALIDAD DE</t>
  </si>
  <si>
    <t>2025-09</t>
  </si>
  <si>
    <t>Compra FACEBK *USDL3ZCVJ</t>
  </si>
  <si>
    <t>Compra PADDLE.NET* APPCH</t>
  </si>
  <si>
    <t>Cobro Servicio GETNET</t>
  </si>
  <si>
    <t>Compra FACEBK *2YDWUZCVJ</t>
  </si>
  <si>
    <t>Compra FACEBK *JSDXZZCVJ</t>
  </si>
  <si>
    <t>Compra FACEBK *G8NJC2ZVJ</t>
  </si>
  <si>
    <t>Compra Shopify* 41903454</t>
  </si>
  <si>
    <t>Compra PAYU *UBER EATS</t>
  </si>
  <si>
    <t>Compra FACEBK *VZ3HP2H5P</t>
  </si>
  <si>
    <t>Compra FACEBK *LPXRF496P</t>
  </si>
  <si>
    <t>2025-10</t>
  </si>
  <si>
    <t>Compra MERCADOPAGO *CABI</t>
  </si>
  <si>
    <t>Compra FACEBK *VUREB45VJ</t>
  </si>
  <si>
    <t>Compra DISTRIBUIDORA OTA</t>
  </si>
  <si>
    <t>Compra MERCADOPAGO *SUUP</t>
  </si>
  <si>
    <t>Compra FACEBK *QZLK63V5P</t>
  </si>
  <si>
    <t>Compra FACEBK *7VB3P4RVJ</t>
  </si>
  <si>
    <t>Compra MERCADOPAGO *2PRO</t>
  </si>
  <si>
    <t>Compra MERCADOPAGO *MULT</t>
  </si>
  <si>
    <t>Limpieza y Aseo</t>
  </si>
  <si>
    <t>1.3.8</t>
  </si>
  <si>
    <t>Compra Shopify* 43219029</t>
  </si>
  <si>
    <t>Compra FACEBK *UBDY8796P</t>
  </si>
  <si>
    <t>Compra FACEBK *VUS9F65WJ</t>
  </si>
  <si>
    <t>Compra FACEBK *NNR8U5H5P</t>
  </si>
  <si>
    <t>2025-11</t>
  </si>
  <si>
    <t>Pago Cuota Crédito N° 420051171054</t>
  </si>
  <si>
    <t>Compra MANJAR NATURAL</t>
  </si>
  <si>
    <t>Compra MP *CABIFY2546EHK</t>
  </si>
  <si>
    <t>Compra FACEBK *CR4D48VVJ</t>
  </si>
  <si>
    <t>Compra MP *CABIFY2546JGF</t>
  </si>
  <si>
    <t>Compra MP *CABIFY2546DAC</t>
  </si>
  <si>
    <t>Compra Shopify* 44626339</t>
  </si>
  <si>
    <t>Compra FACEBK *JSYRZ7M5P</t>
  </si>
  <si>
    <t>Compra FLOW *CRISTALER</t>
  </si>
  <si>
    <t>Compra FACEBK *VDGC58D5P</t>
  </si>
  <si>
    <t>Compra TOKU *VERISURE</t>
  </si>
  <si>
    <t>Seguridad</t>
  </si>
  <si>
    <t>1.3.9</t>
  </si>
  <si>
    <t>2025-12</t>
  </si>
  <si>
    <t>Compra FACEBK *XW246CHVJ</t>
  </si>
  <si>
    <t>Compra FACEBK *LHG979Z5P</t>
  </si>
  <si>
    <t>Compra FACEBK *C7PGC99VJ</t>
  </si>
  <si>
    <t>Compra Shopify* 46034412</t>
  </si>
  <si>
    <t>Compra FACEBK *R3AXAAH5P</t>
  </si>
  <si>
    <t>Compra CHILEXPRESS</t>
  </si>
  <si>
    <t>Compra MERCADOPAGO *MERC</t>
  </si>
  <si>
    <t>Compra FACEBK *RSR24A9VJ</t>
  </si>
  <si>
    <t>Compra FACEBK *XAYPU956P</t>
  </si>
  <si>
    <t>Compra FACEBK *7V3YF9V5P</t>
  </si>
  <si>
    <t>PAGO EN LINEA ENEL</t>
  </si>
  <si>
    <t>Luz</t>
  </si>
  <si>
    <t>1.3.3</t>
  </si>
  <si>
    <t>Compra FACEBK *3MUKLAZ5P</t>
  </si>
  <si>
    <t>Transf.Internet a 81.094.100-6</t>
  </si>
  <si>
    <t>COOPERATIVA AGRICOLA Y LECHERA          DE LA UNION LTDA.</t>
  </si>
  <si>
    <t>Transf.Internet a 19.567.111-7</t>
  </si>
  <si>
    <t>Maria Jose Grez (sueldo)</t>
  </si>
  <si>
    <t>Transf.Internet a 21.093.602-5</t>
  </si>
  <si>
    <t>Nataly Morales (sueldo)</t>
  </si>
  <si>
    <t>Transf.Internet a 19.324.205-7</t>
  </si>
  <si>
    <t>Catalina Cuevas (honorarios marketing)</t>
  </si>
  <si>
    <t>Honorarios</t>
  </si>
  <si>
    <t>1.2.2</t>
  </si>
  <si>
    <t>Transf.Internet a 19.606.694-2</t>
  </si>
  <si>
    <t>Josefina Landaeta (sueldo)</t>
  </si>
  <si>
    <t>Transf.Internet a 17.083.572-7</t>
  </si>
  <si>
    <t>Ignacia Grez (retiro duena)</t>
  </si>
  <si>
    <t>Transf.Internet a 78.383.730-7</t>
  </si>
  <si>
    <t>AVICOLA Y COMERCIAL EL TOCO LTDA</t>
  </si>
  <si>
    <t>Transf.Internet a 76.499.503-1</t>
  </si>
  <si>
    <t>PreGel Chile SPA</t>
  </si>
  <si>
    <t>Transf.Internet a 76.934.534-5</t>
  </si>
  <si>
    <t>AT CONTADORES SERVICIOS PROFESIONALES LIMITADA</t>
  </si>
  <si>
    <t>Asesoria Contable</t>
  </si>
  <si>
    <t>1.2.3</t>
  </si>
  <si>
    <t>Transf.Internet a 5.279.758-6</t>
  </si>
  <si>
    <t>Luis Felipe Ibieta (sobreconsumos agua/luz/gas)</t>
  </si>
  <si>
    <t>Transf.Internet a 96.775.020-4</t>
  </si>
  <si>
    <t>GREAT FOODS S.A.</t>
  </si>
  <si>
    <t>Transf.Internet a 77.305.867-9</t>
  </si>
  <si>
    <t>SERVICIOS INTEGRALES DAGA SPA</t>
  </si>
  <si>
    <t>Transf.Internet a 76.669.508-6</t>
  </si>
  <si>
    <t>ENVIAME LATAM SPA</t>
  </si>
  <si>
    <t>Transf.Internet a 76.860.819-9</t>
  </si>
  <si>
    <t>AGENCIA DE PUBLICIDAD RORAIMA DIGITAL LIMITADA</t>
  </si>
  <si>
    <t>Transf.Internet a 84.736.800-4</t>
  </si>
  <si>
    <t>CHAVARRI Y HUGOT LTDA</t>
  </si>
  <si>
    <t>Transf.Internet a 18.022.436-K</t>
  </si>
  <si>
    <t>Angeles Grez (sueldo)</t>
  </si>
  <si>
    <t>Transf.Internet a 76.633.110-6</t>
  </si>
  <si>
    <t>KARAMEL ALIMENTOS SPA</t>
  </si>
  <si>
    <t>Transf.Internet a 96.532.120-9</t>
  </si>
  <si>
    <t>LA OFERTA COMERCIAL LIMITADA</t>
  </si>
  <si>
    <t>Transf.Internet a 77.810.865-8</t>
  </si>
  <si>
    <t>ANDINA CAFE SPA</t>
  </si>
  <si>
    <t>Transf.Internet a 77.857.789-5</t>
  </si>
  <si>
    <t>FLAPP SPA</t>
  </si>
  <si>
    <t>Transf.Internet a 77.049.061-8</t>
  </si>
  <si>
    <t>ALL BAGS CHILE SPA</t>
  </si>
  <si>
    <t>Packaging</t>
  </si>
  <si>
    <t>1.1.2</t>
  </si>
  <si>
    <t>Transf.Internet a 88.566.900-K</t>
  </si>
  <si>
    <t>EDIPAC SPA.</t>
  </si>
  <si>
    <t>Transf.Internet a 76.572.274-8</t>
  </si>
  <si>
    <t>RC  Gráfica Ltda</t>
  </si>
  <si>
    <t>Transf.Internet a 79.815.860-0</t>
  </si>
  <si>
    <t>FUMIGACIONES MANQUEHUE LTDA</t>
  </si>
  <si>
    <t>Fumigaciones</t>
  </si>
  <si>
    <t>1.3.7</t>
  </si>
  <si>
    <t>Transf.Internet a 76.726.210-8</t>
  </si>
  <si>
    <t>BOZENLIGHT LIMITADA</t>
  </si>
  <si>
    <t>Transf.Internet a 10.325.328-4</t>
  </si>
  <si>
    <t>Patricia Guijuelos (sueldo carrito)</t>
  </si>
  <si>
    <t>Sueldos Carro</t>
  </si>
  <si>
    <t>1.4.5</t>
  </si>
  <si>
    <t>Transf.Internet a 78.996.660-5</t>
  </si>
  <si>
    <t>COLORPACK IMPRESORES LIMITADA</t>
  </si>
  <si>
    <t>Transf.Internet a 76.339.600-2</t>
  </si>
  <si>
    <t>INVERSIONES PST LTDA</t>
  </si>
  <si>
    <t>Transf.Internet a 77.190.532-3</t>
  </si>
  <si>
    <t>STICKERS PRINT SPA</t>
  </si>
  <si>
    <t>Transf.Internet a 78.088.306-5</t>
  </si>
  <si>
    <t>BOZEN SPA</t>
  </si>
  <si>
    <t>Transf.Internet a 76.041.249-K</t>
  </si>
  <si>
    <t>MARKETING ADVERTISING AND SALES MANAGEMENT SPA</t>
  </si>
  <si>
    <t>Transf.Internet a 85.110.100-4</t>
  </si>
  <si>
    <t>IMAHE S.A.</t>
  </si>
  <si>
    <t>Equipamiento de Cocina</t>
  </si>
  <si>
    <t>1.1.3</t>
  </si>
  <si>
    <t>Transf.Internet a 78.065.582-8</t>
  </si>
  <si>
    <t>CLAVE TRIBUTARIA CONTADORES LIMITADA</t>
  </si>
  <si>
    <t>Transf.Internet a 76.285.343-4</t>
  </si>
  <si>
    <t>FRAILE CASTRUCCIO YUTE SPA</t>
  </si>
  <si>
    <t>Transf.Internet a 96.719.010-1</t>
  </si>
  <si>
    <t>Inmobiliaria Sierras Bellavista (arriendo)</t>
  </si>
  <si>
    <t>Transf.Internet a 22.520.465-9</t>
  </si>
  <si>
    <t>Carolina Gutierrez (sueldo)</t>
  </si>
  <si>
    <t>Transf.Internet a 76.639.313-6</t>
  </si>
  <si>
    <t>CC NUTS SpA</t>
  </si>
  <si>
    <t>Transf.Internet a 76.903.312-2</t>
  </si>
  <si>
    <t>AGENCIA DE DISEÃ?O PLANK LIMITADA</t>
  </si>
  <si>
    <t>Transf.Internet a 77.371.782-6</t>
  </si>
  <si>
    <t>SUGARKINGDOM SPA</t>
  </si>
  <si>
    <t>Transf.Internet a 76.502.041-7</t>
  </si>
  <si>
    <t>MUNDO ETIQUETAS SPA</t>
  </si>
  <si>
    <t>Transf.Internet a 76.803.503-2</t>
  </si>
  <si>
    <t>STICKERSHOP SPA</t>
  </si>
  <si>
    <t>Transf.Internet a 76.771.632-K</t>
  </si>
  <si>
    <t>CART PAPER LIMITADA</t>
  </si>
  <si>
    <t>Transf.Internet a 76.865.714-9</t>
  </si>
  <si>
    <t>VENTA INSUMOS CLASES REPOSTERIA Y BAZAR SPA</t>
  </si>
  <si>
    <t>Transf.Internet a 77.512.163-7</t>
  </si>
  <si>
    <t>LOGÃSTICA Y TRANSPORTE E-COURIER SPA</t>
  </si>
  <si>
    <t>Despachos B2C</t>
  </si>
  <si>
    <t>1.7.2</t>
  </si>
  <si>
    <t>Transf.Internet a 77.327.228-K</t>
  </si>
  <si>
    <t>EMPACKAGING SPA</t>
  </si>
  <si>
    <t>Transf.Internet a 77.070.326-3</t>
  </si>
  <si>
    <t>Real Storage SpA</t>
  </si>
  <si>
    <t>Transf.Internet a 76.034.515-6</t>
  </si>
  <si>
    <t>CCE Arquitectos Ltda (infraestructura)</t>
  </si>
  <si>
    <t>Equipamiento Local</t>
  </si>
  <si>
    <t>1.3.10</t>
  </si>
  <si>
    <t>Transf.Internet a 17.403.946-1</t>
  </si>
  <si>
    <t>Arriendo Geronimo de Alderete</t>
  </si>
  <si>
    <t>Transf.Internet a 77.423.233-8</t>
  </si>
  <si>
    <t>PAISAJE FLORA Y MIEL SPA</t>
  </si>
  <si>
    <t>Transf.Internet a 76.467.151-1</t>
  </si>
  <si>
    <t>JUGOS RUSTICOS SPA</t>
  </si>
  <si>
    <t>Transf.Internet a 77.050.436-8</t>
  </si>
  <si>
    <t>ENVASES BUENAVENTURA SPA</t>
  </si>
  <si>
    <t>CC1
Costos Producto</t>
  </si>
  <si>
    <t>CC2
Sueldos</t>
  </si>
  <si>
    <t>CC3
Infraestructura</t>
  </si>
  <si>
    <t>CC4
Carrito</t>
  </si>
  <si>
    <t>CC5
Plataformas Digitales</t>
  </si>
  <si>
    <t>CC6
Marketing</t>
  </si>
  <si>
    <t>CC7
Logistica</t>
  </si>
  <si>
    <t>CC8
Comisiones</t>
  </si>
  <si>
    <t>CC9
Impuestos</t>
  </si>
  <si>
    <t>TOTAL</t>
  </si>
  <si>
    <t>TOTAL ANUAL</t>
  </si>
  <si>
    <t>Nombre DTE</t>
  </si>
  <si>
    <t>Transf.Internet a 18.732.574-9</t>
  </si>
  <si>
    <t>Transf.Internet a 6.551.524-5</t>
  </si>
  <si>
    <t>Transf.Internet a 26.715.306-K</t>
  </si>
  <si>
    <t>Transf.Internet a 76.996.332-4</t>
  </si>
  <si>
    <t>Transf.Internet a 14.680.015-7</t>
  </si>
  <si>
    <t>Compra Nacional LAPIZ LOPEZ</t>
  </si>
  <si>
    <t>Compra Nacional NP FLOW</t>
  </si>
  <si>
    <t>Compra Nacional NP ALVI TOBALABA O</t>
  </si>
  <si>
    <t>Transf.Internet a 76.663.974-7</t>
  </si>
  <si>
    <t>Compra Nacional RAN SPA</t>
  </si>
  <si>
    <t>Compra Nacional SUCURSAL APUMANQUE</t>
  </si>
  <si>
    <t>Transf.Internet a 19.076.816-3</t>
  </si>
  <si>
    <t>Transf.Internet a 21.572.942-7</t>
  </si>
  <si>
    <t>Compra Nacional MULTISERVICE</t>
  </si>
  <si>
    <t>Compra Nacional NP GOURMET</t>
  </si>
  <si>
    <t>Compra Nacional NP DP</t>
  </si>
  <si>
    <t>Gastos Notariales CARGO POR GASTOS</t>
  </si>
  <si>
    <t>Transf.Internet a 7.051.940-2</t>
  </si>
  <si>
    <t>Transf.Internet a 20.998.405-9</t>
  </si>
  <si>
    <t>Compra Inter. NP www.aliexpress.co</t>
  </si>
  <si>
    <t>Transf.Internet a 77.931.120-1</t>
  </si>
  <si>
    <t>DTE: Homs</t>
  </si>
  <si>
    <t>Transf.Internet a 90.331.000-6</t>
  </si>
  <si>
    <t>Compra Nacional MERPAGO*3PRODUCTOS</t>
  </si>
  <si>
    <t>Transf.Internet a 96.556.940-5</t>
  </si>
  <si>
    <t>Pago Recurrente VD APP-SORTEOS.COM</t>
  </si>
  <si>
    <t>Compra Nacional MERPAGO*9PRODUCTOS</t>
  </si>
  <si>
    <t>Compra Nacional THE CAKE CLUB</t>
  </si>
  <si>
    <t>Compra Nacional MERPAGO*10PRODUCTO</t>
  </si>
  <si>
    <t>Transf.Internet a 76.209.474-6</t>
  </si>
  <si>
    <t>0769345345 Transf a Arce tirado co</t>
  </si>
  <si>
    <t>0052797586 Transf a Luis Felipe Ib</t>
  </si>
  <si>
    <t>0768035032 Transf a STICKERSHOP SP</t>
  </si>
  <si>
    <t>Compra Nacional MERPAGO*24PRODUCTO</t>
  </si>
  <si>
    <t>0087520889 Transf a Giovanna Marti</t>
  </si>
  <si>
    <t>Compra Nacional NP LIDER.CL GM FUL</t>
  </si>
  <si>
    <t>Transf.Internet a 99.522.260-4</t>
  </si>
  <si>
    <t>0967750204 Transf a Great Foods S.</t>
  </si>
  <si>
    <t>0965321209 Transf a LA OFERTA COME</t>
  </si>
  <si>
    <t>Transf.Internet a 77.929.090-5</t>
  </si>
  <si>
    <t>Compra OFIEXPRESS</t>
  </si>
  <si>
    <t>Transf.Internet a 8.752.088-9</t>
  </si>
  <si>
    <t>Compra TEMU.COM TEMU.COM</t>
  </si>
  <si>
    <t>Transf.Internet a 52.000.435-1</t>
  </si>
  <si>
    <t>Compra THE CAKE CLUB</t>
  </si>
  <si>
    <t>0117418790 Transf a Rodrigo Andrés</t>
  </si>
  <si>
    <t>0764995031 Transf a Pregel</t>
  </si>
  <si>
    <t>Transf.Internet a 22.042.791-9</t>
  </si>
  <si>
    <t>Transf.Internet a 21.031.185-8</t>
  </si>
  <si>
    <t>Transf.Internet a 16.664.652-9</t>
  </si>
  <si>
    <t>Transf.Internet a 21.668.806-6</t>
  </si>
  <si>
    <t>Transf.Internet a 16.538.679-5</t>
  </si>
  <si>
    <t>Compra MERPAGO*8PRODUCTO</t>
  </si>
  <si>
    <t>Compra DP *FALABELLA</t>
  </si>
  <si>
    <t>Transf.Internet a 10.280.475-9</t>
  </si>
  <si>
    <t>Compra SALA VENTAS VITAC</t>
  </si>
  <si>
    <t>Compra HARRY PLOTTER</t>
  </si>
  <si>
    <t>Compra LAPIZ LOPEZ</t>
  </si>
  <si>
    <t>Transf.Internet a 76.439.798-3</t>
  </si>
  <si>
    <t>Compra EXPRESS VITACURA</t>
  </si>
  <si>
    <t>Transf.Internet a 21.593.197-8</t>
  </si>
  <si>
    <t>Transf.Internet a 56.059.620-0</t>
  </si>
  <si>
    <t>Compra CAFE DEL PARQUE S</t>
  </si>
  <si>
    <t>Transf.Internet a 27.347.007-7</t>
  </si>
  <si>
    <t>Compra STEWARD WEB</t>
  </si>
  <si>
    <t>0788095600 Transf a Dimak</t>
  </si>
  <si>
    <t>Transf.Internet a 96.946.650-3</t>
  </si>
  <si>
    <t>Compra SAM SPA</t>
  </si>
  <si>
    <t>Transf.Internet a 18.023.417-9</t>
  </si>
  <si>
    <t>Transf.Internet a 13.904.983-7</t>
  </si>
  <si>
    <t>Transf.Internet a 77.113.520-k</t>
  </si>
  <si>
    <t>Compra TAMARUGO VITACURA</t>
  </si>
  <si>
    <t>Compra MERPAGO*4PRODUCTO</t>
  </si>
  <si>
    <t>Compra MUNDO ETIQUETAS S</t>
  </si>
  <si>
    <t>0167164919 Transf a Raúl Velásquez</t>
  </si>
  <si>
    <t>0762094746 Transf a IMP. Y COM. IN</t>
  </si>
  <si>
    <t>0771905323 Transf a Stickers Print</t>
  </si>
  <si>
    <t>Transf.Internet a 22.809.808-6</t>
  </si>
  <si>
    <t>Transf.Internet a 20.830.554-9</t>
  </si>
  <si>
    <t>Compra GOURMET</t>
  </si>
  <si>
    <t>Compra EASY INTERNET</t>
  </si>
  <si>
    <t>Compra COMERCIAL AGRICOV</t>
  </si>
  <si>
    <t>Compra SUCURSAL APUMANQU</t>
  </si>
  <si>
    <t>Compra MERCADOPAGO *BYWA</t>
  </si>
  <si>
    <t>0065515245 Transf a Luis Felipe Gr</t>
  </si>
  <si>
    <t>0965569405 Transf a Proveedores in</t>
  </si>
  <si>
    <t>0765020417 Transf a MUNDO ETIQUETA</t>
  </si>
  <si>
    <t>0847368004 Transf a CHAVARRY Y HUG</t>
  </si>
  <si>
    <t>Transf.Internet a 20.380.030-4</t>
  </si>
  <si>
    <t>Transf.Internet a 77.258.692-2</t>
  </si>
  <si>
    <t>Transf.Internet a 77.230.502-8</t>
  </si>
  <si>
    <t>DTE: COMERCIAL GUTIERREZ AGUILAR SPA</t>
  </si>
  <si>
    <t>Compra VIGAHOME SPA</t>
  </si>
  <si>
    <t>Compra IHELP VITACURA</t>
  </si>
  <si>
    <t>Transf.Internet a 76.478.111-2</t>
  </si>
  <si>
    <t>Transf.Internet a 76.830.014-3</t>
  </si>
  <si>
    <t>0763396002 Transf a INVERSIONES PS</t>
  </si>
  <si>
    <t>Transf.Internet a 26.070.601-2</t>
  </si>
  <si>
    <t>0779311201 Transf a HOMS PACK SPA</t>
  </si>
  <si>
    <t>0775121637 Transf a Logística y Tr</t>
  </si>
  <si>
    <t>Transf.Internet a 77.934.110-0</t>
  </si>
  <si>
    <t>Transf.Internet a 77.406.473-7</t>
  </si>
  <si>
    <t>Transf.Internet a 6.692.720-2</t>
  </si>
  <si>
    <t>Transf.Internet a 21.920.200-8</t>
  </si>
  <si>
    <t>Transf.Internet a 18.866.000-2</t>
  </si>
  <si>
    <t>0084284696 Transf a María Paulina</t>
  </si>
  <si>
    <t>0066927202 Transf a Pedro Pizarro</t>
  </si>
  <si>
    <t>Transf.Internet a 76.187.287-7</t>
  </si>
  <si>
    <t>0208305549 Transf a Marisol Morale</t>
  </si>
  <si>
    <t>RutDestina Transf a tario084736800</t>
  </si>
  <si>
    <t>022993015K Transf a Ana Marianela</t>
  </si>
  <si>
    <t>RutDestina Transf a tario018023417</t>
  </si>
  <si>
    <t>Compra MERPAGO*MUDANGO</t>
  </si>
  <si>
    <t>RutDestina Transf a tario026070601</t>
  </si>
  <si>
    <t>RutDestina Transf a tario079845670</t>
  </si>
  <si>
    <t>RutDestina Transf a tario096532120</t>
  </si>
  <si>
    <t>Transf.Internet a 6.425.492-8</t>
  </si>
  <si>
    <t>RutDestina Transf a tario077632405</t>
  </si>
  <si>
    <t>Transf.Internet a 27.417.959-7</t>
  </si>
  <si>
    <t>Transf.Internet a 19.385.841-4</t>
  </si>
  <si>
    <t>Transf.Internet a 76.755.481-8</t>
  </si>
  <si>
    <t>Compra NEWTREE</t>
  </si>
  <si>
    <t>Compra 40553-SBX MICROSO</t>
  </si>
  <si>
    <t>Compra COSTURITAS</t>
  </si>
  <si>
    <t>Compra COML WISNIAK Y CI</t>
  </si>
  <si>
    <t>Transf.Internet a 77.939.881-1</t>
  </si>
  <si>
    <t>Transf.Internet a 79.845.670-9</t>
  </si>
  <si>
    <t>Compra MP *MAGENTAGLASSC</t>
  </si>
  <si>
    <t>Compra MP *MICOCACOLA</t>
  </si>
  <si>
    <t>Transf.Internet a 76.740.421-2</t>
  </si>
  <si>
    <t>Compra DPS CHILE</t>
  </si>
  <si>
    <t>Transf.Internet a 77.341.096-8</t>
  </si>
  <si>
    <t>DTE: MULTISERVICIO S  S SPA</t>
  </si>
  <si>
    <t>Transf.Internet a 77.707.763-5</t>
  </si>
  <si>
    <t>DTE: INVERSIONES MAS SPA</t>
  </si>
  <si>
    <t>Compra KS*NIKE</t>
  </si>
  <si>
    <t>Compra AGUAS CORDILLERA</t>
  </si>
  <si>
    <t>Transf.Internet a 25.777.006-0</t>
  </si>
  <si>
    <t>Transf.Internet a 17.628.639-3</t>
  </si>
  <si>
    <t>1.2.4</t>
  </si>
  <si>
    <t>Uniformes Personal</t>
  </si>
  <si>
    <t>1.2.5</t>
  </si>
  <si>
    <t>Prestamos Personal</t>
  </si>
  <si>
    <t>1.3.2</t>
  </si>
  <si>
    <t>1.3.4</t>
  </si>
  <si>
    <t>Inversión Carro</t>
  </si>
  <si>
    <t>1.4.2</t>
  </si>
  <si>
    <t>Mantención Carro</t>
  </si>
  <si>
    <t>1.4.3</t>
  </si>
  <si>
    <t>Materiales Aseo Carro</t>
  </si>
  <si>
    <t>1.4.4</t>
  </si>
  <si>
    <t>Despacho Carro</t>
  </si>
  <si>
    <t>1.5.2</t>
  </si>
  <si>
    <t>1.6.2</t>
  </si>
  <si>
    <t>1.6.3</t>
  </si>
  <si>
    <t>1.8.3</t>
  </si>
  <si>
    <t xml:space="preserve">  Plataformas Digitales (Comision)</t>
  </si>
  <si>
    <t xml:space="preserve">Impuestos </t>
  </si>
  <si>
    <t xml:space="preserve">  IVA Neto (F29)</t>
  </si>
  <si>
    <t>1.9.2</t>
  </si>
  <si>
    <t xml:space="preserve">  Provision Impuesto a la Renta</t>
  </si>
  <si>
    <t>1.9.3</t>
  </si>
  <si>
    <t xml:space="preserve">  Impuesto a la Renta</t>
  </si>
  <si>
    <t xml:space="preserve">  Patente Comercial</t>
  </si>
  <si>
    <t xml:space="preserve">  Gastos Bancarios</t>
  </si>
  <si>
    <t>Codigo</t>
  </si>
  <si>
    <t>Nombre</t>
  </si>
  <si>
    <t>Agua</t>
  </si>
  <si>
    <t>Gas</t>
  </si>
  <si>
    <t>Variables SAAS</t>
  </si>
  <si>
    <t>Produccion Audiovisual</t>
  </si>
  <si>
    <t>Ferias y Eventos</t>
  </si>
  <si>
    <t>Plataformas Digitales (Comision)</t>
  </si>
  <si>
    <t>Provision Impuesto a la Renta</t>
  </si>
  <si>
    <t>Impuesto a la Renta</t>
  </si>
  <si>
    <t>2026-01</t>
  </si>
  <si>
    <t>Compra FACEBK *PY3DFCD6P</t>
  </si>
  <si>
    <t>Compra FACEBK *6FXRSBDVJ</t>
  </si>
  <si>
    <t>Compra Shopify* 47121567</t>
  </si>
  <si>
    <t>Compra Shopify* 47512822</t>
  </si>
  <si>
    <t>Compra FACEBK *DC4EKDD6P</t>
  </si>
  <si>
    <t>Compra FACEBK *62KF5DR5P</t>
  </si>
  <si>
    <t>Compra COLUN TRANS LAMPA</t>
  </si>
  <si>
    <t>2026-02</t>
  </si>
  <si>
    <t>Compra FACEBK *MM5CHERVJ</t>
  </si>
  <si>
    <t>Compra FACEBK *MF5KWEDVJ</t>
  </si>
  <si>
    <t>Compra FACEBK *G7332FR5P</t>
  </si>
  <si>
    <t>Compra Shopify* 49019542</t>
  </si>
  <si>
    <t>PAC Telefonica 00000141814606</t>
  </si>
  <si>
    <t>Compra CLUB REPOSTERO SP</t>
  </si>
  <si>
    <t>Compra FACEBK *UGG3AFZ5P</t>
  </si>
  <si>
    <t>2026-03</t>
  </si>
  <si>
    <t>Compra FACEBK *2CPJAG9VJ</t>
  </si>
  <si>
    <t>Compra FACEBK *RVS6HGD5P</t>
  </si>
  <si>
    <t>Compra FACEBK *V2YT6J5WJ</t>
  </si>
  <si>
    <t>Compra MP *CABIFY2611Q57</t>
  </si>
  <si>
    <t>Compra Shopify* 50297219</t>
  </si>
  <si>
    <t>Compra MP *CABIFY2612EC1</t>
  </si>
  <si>
    <t>Compra FACEBK *9P8RFJR5P</t>
  </si>
  <si>
    <t>Compra FACEBK *NAJMMJ9VJ</t>
  </si>
  <si>
    <t>Transf.Internet a 77.546.260-4</t>
  </si>
  <si>
    <t>AISLANTES Y ENVASES SPA</t>
  </si>
  <si>
    <t>Transf.Internet a 77.884.693-4</t>
  </si>
  <si>
    <t>ESTORGA PUBLICIDAD SPA</t>
  </si>
  <si>
    <t>Transf.Internet a 21.081.516-3</t>
  </si>
  <si>
    <t>Transf.Internet a 20.550.382-k</t>
  </si>
  <si>
    <t>Transf.Internet a 21.832.228-K</t>
  </si>
  <si>
    <t>Compra GOOGLE *Workspace</t>
  </si>
  <si>
    <t>Transf.Internet a 22.477.866-k</t>
  </si>
  <si>
    <t>Transf.Internet a 25.472.065-8</t>
  </si>
  <si>
    <t>Compra MERCADOPAGO *GRRE</t>
  </si>
  <si>
    <t>Compra SABA RICARDO LYON</t>
  </si>
  <si>
    <t>Compra CASA COSTA</t>
  </si>
  <si>
    <t>Compra CASA COSTA C Y V</t>
  </si>
  <si>
    <t>Compra MI FOTO</t>
  </si>
  <si>
    <t>Transf.Internet a 77.376.575-8</t>
  </si>
  <si>
    <t>Transf.Internet a 76.113.783-2</t>
  </si>
  <si>
    <t>Pago Automático T. de Crédito</t>
  </si>
  <si>
    <t>Compra DP *IKEA.COM</t>
  </si>
  <si>
    <t>Transf.Internet a 96.794.400-9</t>
  </si>
  <si>
    <t>DTE: COMERCIALIZADORA Y CONSTRUCTORA MACUL S A</t>
  </si>
  <si>
    <t>Compra PLAZA LAS CONDES</t>
  </si>
  <si>
    <t>Compra M LAS CONDES TESO</t>
  </si>
  <si>
    <t>Cargo Mercado Capitales</t>
  </si>
  <si>
    <t>Compra MULTISERVICE</t>
  </si>
  <si>
    <t>Compra COPYEXPRESS</t>
  </si>
  <si>
    <t>Transf.Internet a 18.831.462-7</t>
  </si>
  <si>
    <t>Transf.Internet a 28.508.344-3</t>
  </si>
  <si>
    <t>Transf.Internet a 17.598.442-9</t>
  </si>
  <si>
    <t>Compra IKEA OPEN KENNEDY</t>
  </si>
  <si>
    <t>Compra VIDA PARQUE</t>
  </si>
  <si>
    <t>Transf.Internet a 21.380.644-0</t>
  </si>
  <si>
    <t>Transf.Internet a 21.780.804-9</t>
  </si>
  <si>
    <t>Transf.Internet a 21.575.375-1</t>
  </si>
  <si>
    <t>Transf.Internet a 76.304.067-4</t>
  </si>
  <si>
    <t>Transf.Internet a 78.107.847-6</t>
  </si>
  <si>
    <t>Compra MERCADOPAGO *ADAB</t>
  </si>
  <si>
    <t>Transf.Internet a 17.315.403-8</t>
  </si>
  <si>
    <t>Compra MERCADOPAGO *VIAG</t>
  </si>
  <si>
    <t>Transf.Internet a 18.304.557-1</t>
  </si>
  <si>
    <t>Transf.Internet a 76.272.477-4</t>
  </si>
  <si>
    <t>Transf.Internet a 96.542.490-3</t>
  </si>
  <si>
    <t>Compra INVERSIONES APOLO</t>
  </si>
  <si>
    <t>Compra PC FACTORY VITACU</t>
  </si>
  <si>
    <t>Compra MERCADOPAGO *SIGN</t>
  </si>
  <si>
    <t>Compra MIRIAM ESTER ABUR</t>
  </si>
  <si>
    <t>Transf.Internet a 77.423.092-0</t>
  </si>
  <si>
    <t>DTE: TECNAO V  A SOLUCIONES Y SERVICIOS SPA</t>
  </si>
  <si>
    <t>Transf.Internet a 77.162.086-8</t>
  </si>
  <si>
    <t>Transf.Internet a 77.093.358-7</t>
  </si>
  <si>
    <t>Compra COMERCIAL DEMOO L</t>
  </si>
  <si>
    <t>Compra MERCADOPAGO *KADO</t>
  </si>
  <si>
    <t>Transf.Internet a 76.512.528-6</t>
  </si>
  <si>
    <t>Transf.Internet a 77.822.083-0</t>
  </si>
  <si>
    <t>Compra EASYCL</t>
  </si>
  <si>
    <t>Transf.Internet a 79.757.830-4</t>
  </si>
  <si>
    <t>Compra BOSQUES DEL ZAR</t>
  </si>
  <si>
    <t>Transf.Internet a 78.911.500-1</t>
  </si>
  <si>
    <t>Compra ANTARIA</t>
  </si>
  <si>
    <t>Transf.Internet a 78.263.219-1</t>
  </si>
  <si>
    <t>Transf.Internet a 17.596.955-1</t>
  </si>
  <si>
    <t>Transf.Internet a 19.566.954-6</t>
  </si>
  <si>
    <t>Transf.Internet a 77.361.009-6</t>
  </si>
  <si>
    <t>Transf.Internet a 77.834.186-7</t>
  </si>
  <si>
    <t>VST SPA</t>
  </si>
  <si>
    <t>PRAHA INVERSIONES SPA</t>
  </si>
  <si>
    <t>PROVEEDORES INTEGRALES PRISA S A</t>
  </si>
  <si>
    <t>IMPORTADORA Y COMERCIALIZADORA INCORPTEX LIMITADA</t>
  </si>
  <si>
    <t>Imega Ventus SpA</t>
  </si>
  <si>
    <t>STREET MACHINE PRODUCCIONES S.A.</t>
  </si>
  <si>
    <t>EQUIPOS CONTRA INCENDIOS IGOR GALAZ RUIZ E I R L</t>
  </si>
  <si>
    <t>CENTRO DE CONVENCIONES SANTIAGO S.A</t>
  </si>
  <si>
    <t>IMPORTADORA IMPRECIN SPA.</t>
  </si>
  <si>
    <t>COMERCIAL LASTOVO SPA</t>
  </si>
  <si>
    <t>ALCA SPA</t>
  </si>
  <si>
    <t>COMERCIAL DEANDES LIMITADA</t>
  </si>
  <si>
    <t>Productora y Comercializadora Irarrazaval SPA</t>
  </si>
  <si>
    <t>Nespresso Chile S.A.</t>
  </si>
  <si>
    <t>SOCIEDAD DE SERVICIOS Y SUMINISTROS DE PERSONAL BEMA LIMITADA</t>
  </si>
  <si>
    <t>TRECK S A</t>
  </si>
  <si>
    <t>BANQUETES LOZACC LIMITADA</t>
  </si>
  <si>
    <t>COMERCIALIZADORA ASHLEY SPA</t>
  </si>
  <si>
    <t>G Y G COMERCIAL E INGENIERIA SPA.</t>
  </si>
  <si>
    <t>SERVICIOS FELLAY Y AMENABAR LTDA</t>
  </si>
  <si>
    <t>QUIMERCO SPA</t>
  </si>
  <si>
    <t>CRISTALERÃAS DE CHILE S.A.</t>
  </si>
  <si>
    <t>CONTRATISTA MANO DE OBRA AGRÃCOLA VÃCTOR MARIPANGUI LUCERO E.I.R.L.</t>
  </si>
  <si>
    <t>DONOSO Y COMPANIA LIMITADA</t>
  </si>
  <si>
    <t>EL PISTACHO SPA</t>
  </si>
  <si>
    <t>FABRICACIÃ?N E IMPORTACIÃ?N DE IMPLEMENTOS DEPORTIVOS GOAT LIMITADA</t>
  </si>
  <si>
    <t>Cafe del Parque SPA (ingredientes)</t>
  </si>
  <si>
    <t>Sueldo</t>
  </si>
  <si>
    <t>Despachos Horeca (6.551.524-5)</t>
  </si>
  <si>
    <t>Fotografo/contenido (26.715.306-K)</t>
  </si>
  <si>
    <t>Homs</t>
  </si>
  <si>
    <t>Sueldo personal (21.668.806-6)</t>
  </si>
  <si>
    <t>GGCC/Arriendo oficina (56.059.620-0)</t>
  </si>
  <si>
    <t>Sueldo personal (22.809.808-6)</t>
  </si>
  <si>
    <t>Sueldo personal (20.830.554-9)</t>
  </si>
  <si>
    <t>Sueldo personal (18.866.000-2)</t>
  </si>
  <si>
    <t>CAPEX local (96.794.400-9)</t>
  </si>
  <si>
    <t>Computador (77.423.092-0)</t>
  </si>
  <si>
    <t>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</si>
</sst>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0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65911"/>
      </patternFill>
    </fill>
    <fill>
      <patternFill patternType="solid">
        <fgColor rgb="FF0E1F36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14" fontId="0" fillId="3" borderId="0" xfId="0" applyNumberFormat="1" applyFill="1"/>
    <xf numFmtId="0" fontId="0" fillId="3" borderId="0" xfId="0" applyFill="1"/>
    <xf numFmtId="3" fontId="0" fillId="3" borderId="0" xfId="0" applyNumberFormat="1" applyFill="1"/>
    <xf numFmtId="14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horizontal="center" wrapText="1"/>
    </xf>
    <xf numFmtId="0" fontId="2" fillId="3" borderId="0" xfId="0" applyFont="1" applyFill="1"/>
    <xf numFmtId="3" fontId="2" fillId="3" borderId="0" xfId="0" applyNumberFormat="1" applyFont="1" applyFill="1"/>
    <xf numFmtId="0" fontId="2" fillId="0" borderId="0" xfId="0" applyFont="1"/>
    <xf numFmtId="0" fontId="2" fillId="4" borderId="0" xfId="0" applyFont="1" applyFill="1"/>
    <xf numFmtId="3" fontId="2" fillId="4" borderId="0" xfId="0" applyNumberFormat="1" applyFont="1" applyFill="1"/>
    <xf numFmtId="0" fontId="1" fillId="5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1"/>
  <sheetViews>
    <sheetView tabSelected="1" workbookViewId="0">
      <pane ySplit="1" topLeftCell="A1762" activePane="bottomLeft" state="frozen"/>
      <selection pane="bottomLeft" activeCell="G1792" sqref="G1792"/>
    </sheetView>
  </sheetViews>
  <sheetFormatPr baseColWidth="10" defaultColWidth="8.9375" defaultRowHeight="14.35" x14ac:dyDescent="0.5"/>
  <cols>
    <col min="1" max="2" width="12" customWidth="1"/>
    <col min="3" max="3" width="45" customWidth="1"/>
    <col min="4" max="4" width="30" customWidth="1"/>
    <col min="5" max="5" width="14" customWidth="1"/>
    <col min="6" max="6" width="9" customWidth="1"/>
    <col min="7" max="7" width="12" customWidth="1"/>
    <col min="8" max="8" width="25" customWidth="1"/>
    <col min="9" max="9" width="12" customWidth="1"/>
    <col min="10" max="10" width="14" customWidth="1"/>
    <col min="11" max="11" width="8" customWidth="1"/>
    <col min="12" max="12" width="6" customWidth="1"/>
  </cols>
  <sheetData>
    <row r="1" spans="1:1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">
      <c r="A2" s="2">
        <v>45323</v>
      </c>
      <c r="B2" s="3" t="s">
        <v>12</v>
      </c>
      <c r="C2" s="3" t="s">
        <v>13</v>
      </c>
      <c r="D2" s="3"/>
      <c r="E2" s="4">
        <v>57291</v>
      </c>
      <c r="F2" s="3" t="s">
        <v>14</v>
      </c>
      <c r="G2" s="3" t="s">
        <v>15</v>
      </c>
      <c r="H2" s="3" t="s">
        <v>16</v>
      </c>
      <c r="I2" s="4">
        <v>9147</v>
      </c>
      <c r="J2" s="4">
        <v>48144</v>
      </c>
      <c r="K2" s="3" t="s">
        <v>17</v>
      </c>
      <c r="L2" s="3" t="s">
        <v>18</v>
      </c>
    </row>
    <row r="3" spans="1:12" x14ac:dyDescent="0.5">
      <c r="A3" s="5">
        <v>45324</v>
      </c>
      <c r="B3" t="s">
        <v>12</v>
      </c>
      <c r="C3" t="s">
        <v>19</v>
      </c>
      <c r="E3" s="6">
        <v>61391</v>
      </c>
      <c r="F3" t="s">
        <v>14</v>
      </c>
      <c r="G3" t="s">
        <v>15</v>
      </c>
      <c r="H3" t="s">
        <v>20</v>
      </c>
      <c r="I3" s="6">
        <v>9802</v>
      </c>
      <c r="J3" s="6">
        <v>51589</v>
      </c>
      <c r="K3" t="s">
        <v>21</v>
      </c>
      <c r="L3" t="s">
        <v>22</v>
      </c>
    </row>
    <row r="4" spans="1:12" x14ac:dyDescent="0.5">
      <c r="A4" s="2">
        <v>45327</v>
      </c>
      <c r="B4" s="3" t="s">
        <v>12</v>
      </c>
      <c r="C4" s="3" t="s">
        <v>23</v>
      </c>
      <c r="D4" s="3"/>
      <c r="E4" s="4">
        <v>9480</v>
      </c>
      <c r="F4" s="3" t="s">
        <v>14</v>
      </c>
      <c r="G4" s="3" t="s">
        <v>679</v>
      </c>
      <c r="H4" s="3" t="s">
        <v>24</v>
      </c>
      <c r="I4" s="4">
        <v>1514</v>
      </c>
      <c r="J4" s="4">
        <v>7966</v>
      </c>
      <c r="K4" s="3" t="s">
        <v>25</v>
      </c>
      <c r="L4" s="3" t="s">
        <v>26</v>
      </c>
    </row>
    <row r="5" spans="1:12" x14ac:dyDescent="0.5">
      <c r="A5" s="5">
        <v>45327</v>
      </c>
      <c r="B5" t="s">
        <v>12</v>
      </c>
      <c r="C5" t="s">
        <v>27</v>
      </c>
      <c r="E5" s="6">
        <v>4990</v>
      </c>
      <c r="F5" t="s">
        <v>14</v>
      </c>
      <c r="G5" t="s">
        <v>679</v>
      </c>
      <c r="H5" t="s">
        <v>28</v>
      </c>
      <c r="I5" s="6">
        <v>797</v>
      </c>
      <c r="J5" s="6">
        <v>4193</v>
      </c>
      <c r="K5" t="s">
        <v>29</v>
      </c>
      <c r="L5" t="s">
        <v>30</v>
      </c>
    </row>
    <row r="6" spans="1:12" x14ac:dyDescent="0.5">
      <c r="A6" s="2">
        <v>45328</v>
      </c>
      <c r="B6" s="3" t="s">
        <v>12</v>
      </c>
      <c r="C6" s="3" t="s">
        <v>31</v>
      </c>
      <c r="D6" s="3"/>
      <c r="E6" s="4">
        <v>2590</v>
      </c>
      <c r="F6" s="3" t="s">
        <v>14</v>
      </c>
      <c r="G6" s="3" t="s">
        <v>679</v>
      </c>
      <c r="H6" s="3" t="s">
        <v>24</v>
      </c>
      <c r="I6" s="4">
        <v>414</v>
      </c>
      <c r="J6" s="4">
        <v>2176</v>
      </c>
      <c r="K6" s="3" t="s">
        <v>25</v>
      </c>
      <c r="L6" s="3" t="s">
        <v>26</v>
      </c>
    </row>
    <row r="7" spans="1:12" x14ac:dyDescent="0.5">
      <c r="A7" s="5">
        <v>45328</v>
      </c>
      <c r="B7" t="s">
        <v>12</v>
      </c>
      <c r="C7" t="s">
        <v>23</v>
      </c>
      <c r="E7" s="6">
        <v>210</v>
      </c>
      <c r="F7" t="s">
        <v>14</v>
      </c>
      <c r="G7" t="s">
        <v>679</v>
      </c>
      <c r="H7" t="s">
        <v>24</v>
      </c>
      <c r="I7" s="6">
        <v>34</v>
      </c>
      <c r="J7" s="6">
        <v>176</v>
      </c>
      <c r="K7" t="s">
        <v>25</v>
      </c>
      <c r="L7" t="s">
        <v>26</v>
      </c>
    </row>
    <row r="8" spans="1:12" x14ac:dyDescent="0.5">
      <c r="A8" s="2">
        <v>45328</v>
      </c>
      <c r="B8" s="3" t="s">
        <v>12</v>
      </c>
      <c r="C8" s="3" t="s">
        <v>383</v>
      </c>
      <c r="D8" s="3"/>
      <c r="E8" s="4">
        <v>99979</v>
      </c>
      <c r="F8" s="3" t="s">
        <v>14</v>
      </c>
      <c r="G8" s="3" t="s">
        <v>679</v>
      </c>
      <c r="H8" s="3" t="s">
        <v>355</v>
      </c>
      <c r="I8" s="4">
        <v>15963</v>
      </c>
      <c r="J8" s="4">
        <v>84016</v>
      </c>
      <c r="K8" s="3" t="s">
        <v>356</v>
      </c>
      <c r="L8" s="3" t="s">
        <v>48</v>
      </c>
    </row>
    <row r="9" spans="1:12" x14ac:dyDescent="0.5">
      <c r="A9" s="5">
        <v>45328</v>
      </c>
      <c r="B9" t="s">
        <v>12</v>
      </c>
      <c r="C9" t="s">
        <v>382</v>
      </c>
      <c r="E9" s="6">
        <v>5960</v>
      </c>
      <c r="F9" t="s">
        <v>14</v>
      </c>
      <c r="G9" t="s">
        <v>679</v>
      </c>
      <c r="H9" t="s">
        <v>355</v>
      </c>
      <c r="I9" s="6">
        <v>952</v>
      </c>
      <c r="J9" s="6">
        <v>5008</v>
      </c>
      <c r="K9" t="s">
        <v>356</v>
      </c>
      <c r="L9" t="s">
        <v>48</v>
      </c>
    </row>
    <row r="10" spans="1:12" x14ac:dyDescent="0.5">
      <c r="A10" s="2">
        <v>45328</v>
      </c>
      <c r="B10" s="3" t="s">
        <v>12</v>
      </c>
      <c r="C10" s="3" t="s">
        <v>32</v>
      </c>
      <c r="D10" s="3"/>
      <c r="E10" s="4">
        <v>31600</v>
      </c>
      <c r="F10" s="3" t="s">
        <v>14</v>
      </c>
      <c r="G10" s="3" t="s">
        <v>679</v>
      </c>
      <c r="H10" s="3" t="s">
        <v>33</v>
      </c>
      <c r="I10" s="4">
        <v>5045</v>
      </c>
      <c r="J10" s="4">
        <v>26555</v>
      </c>
      <c r="K10" s="3" t="s">
        <v>34</v>
      </c>
      <c r="L10" s="3" t="s">
        <v>35</v>
      </c>
    </row>
    <row r="11" spans="1:12" x14ac:dyDescent="0.5">
      <c r="A11" s="5">
        <v>45330</v>
      </c>
      <c r="B11" t="s">
        <v>12</v>
      </c>
      <c r="C11" t="s">
        <v>384</v>
      </c>
      <c r="E11" s="6">
        <v>55104</v>
      </c>
      <c r="F11" t="s">
        <v>14</v>
      </c>
      <c r="G11" t="s">
        <v>679</v>
      </c>
      <c r="H11" t="s">
        <v>24</v>
      </c>
      <c r="I11" s="6">
        <v>8798</v>
      </c>
      <c r="J11" s="6">
        <v>46306</v>
      </c>
      <c r="K11" t="s">
        <v>25</v>
      </c>
      <c r="L11" t="s">
        <v>26</v>
      </c>
    </row>
    <row r="12" spans="1:12" x14ac:dyDescent="0.5">
      <c r="A12" s="2">
        <v>45330</v>
      </c>
      <c r="B12" s="3" t="s">
        <v>12</v>
      </c>
      <c r="C12" s="3" t="s">
        <v>384</v>
      </c>
      <c r="D12" s="3"/>
      <c r="E12" s="4">
        <v>36736</v>
      </c>
      <c r="F12" s="3" t="s">
        <v>14</v>
      </c>
      <c r="G12" s="3" t="s">
        <v>679</v>
      </c>
      <c r="H12" s="3" t="s">
        <v>24</v>
      </c>
      <c r="I12" s="4">
        <v>5865</v>
      </c>
      <c r="J12" s="4">
        <v>30871</v>
      </c>
      <c r="K12" s="3" t="s">
        <v>25</v>
      </c>
      <c r="L12" s="3" t="s">
        <v>26</v>
      </c>
    </row>
    <row r="13" spans="1:12" x14ac:dyDescent="0.5">
      <c r="A13" s="5">
        <v>45330</v>
      </c>
      <c r="B13" t="s">
        <v>12</v>
      </c>
      <c r="C13" t="s">
        <v>36</v>
      </c>
      <c r="E13" s="6">
        <v>20400</v>
      </c>
      <c r="F13" t="s">
        <v>14</v>
      </c>
      <c r="G13" t="s">
        <v>679</v>
      </c>
      <c r="H13" t="s">
        <v>24</v>
      </c>
      <c r="I13" s="6">
        <v>3257</v>
      </c>
      <c r="J13" s="6">
        <v>17143</v>
      </c>
      <c r="K13" t="s">
        <v>25</v>
      </c>
      <c r="L13" t="s">
        <v>26</v>
      </c>
    </row>
    <row r="14" spans="1:12" x14ac:dyDescent="0.5">
      <c r="A14" s="2">
        <v>45334</v>
      </c>
      <c r="B14" s="3" t="s">
        <v>12</v>
      </c>
      <c r="C14" s="3" t="s">
        <v>37</v>
      </c>
      <c r="D14" s="3"/>
      <c r="E14" s="4">
        <v>35000</v>
      </c>
      <c r="F14" s="3" t="s">
        <v>14</v>
      </c>
      <c r="G14" s="3" t="s">
        <v>679</v>
      </c>
      <c r="H14" s="3" t="s">
        <v>33</v>
      </c>
      <c r="I14" s="4">
        <v>5588</v>
      </c>
      <c r="J14" s="4">
        <v>29412</v>
      </c>
      <c r="K14" s="3" t="s">
        <v>34</v>
      </c>
      <c r="L14" s="3" t="s">
        <v>35</v>
      </c>
    </row>
    <row r="15" spans="1:12" x14ac:dyDescent="0.5">
      <c r="A15" s="5">
        <v>45335</v>
      </c>
      <c r="B15" t="s">
        <v>12</v>
      </c>
      <c r="C15" t="s">
        <v>38</v>
      </c>
      <c r="E15" s="6">
        <v>16433</v>
      </c>
      <c r="F15" t="s">
        <v>14</v>
      </c>
      <c r="G15" t="s">
        <v>679</v>
      </c>
      <c r="H15" t="s">
        <v>33</v>
      </c>
      <c r="I15" s="6">
        <v>2624</v>
      </c>
      <c r="J15" s="6">
        <v>13809</v>
      </c>
      <c r="K15" t="s">
        <v>34</v>
      </c>
      <c r="L15" t="s">
        <v>35</v>
      </c>
    </row>
    <row r="16" spans="1:12" x14ac:dyDescent="0.5">
      <c r="A16" s="2">
        <v>45335</v>
      </c>
      <c r="B16" s="3" t="s">
        <v>39</v>
      </c>
      <c r="C16" s="3" t="s">
        <v>40</v>
      </c>
      <c r="D16" s="3"/>
      <c r="E16" s="4">
        <v>623553</v>
      </c>
      <c r="F16" s="3" t="s">
        <v>41</v>
      </c>
      <c r="G16" s="3" t="s">
        <v>15</v>
      </c>
      <c r="H16" s="3" t="s">
        <v>42</v>
      </c>
      <c r="I16" s="4">
        <v>0</v>
      </c>
      <c r="J16" s="4">
        <v>623553</v>
      </c>
      <c r="K16" s="3" t="s">
        <v>43</v>
      </c>
      <c r="L16" s="3" t="s">
        <v>44</v>
      </c>
    </row>
    <row r="17" spans="1:12" x14ac:dyDescent="0.5">
      <c r="A17" s="5">
        <v>45336</v>
      </c>
      <c r="B17" t="s">
        <v>12</v>
      </c>
      <c r="C17" t="s">
        <v>45</v>
      </c>
      <c r="E17" s="6">
        <v>4900</v>
      </c>
      <c r="F17" t="s">
        <v>14</v>
      </c>
      <c r="G17" t="s">
        <v>679</v>
      </c>
      <c r="H17" t="s">
        <v>46</v>
      </c>
      <c r="I17" s="6">
        <v>782</v>
      </c>
      <c r="J17" s="6">
        <v>4118</v>
      </c>
      <c r="K17" t="s">
        <v>47</v>
      </c>
      <c r="L17" t="s">
        <v>48</v>
      </c>
    </row>
    <row r="18" spans="1:12" x14ac:dyDescent="0.5">
      <c r="A18" s="2">
        <v>45336</v>
      </c>
      <c r="B18" s="3" t="s">
        <v>12</v>
      </c>
      <c r="C18" s="3" t="s">
        <v>49</v>
      </c>
      <c r="D18" s="3"/>
      <c r="E18" s="4">
        <v>14846</v>
      </c>
      <c r="F18" s="3" t="s">
        <v>14</v>
      </c>
      <c r="G18" s="3" t="s">
        <v>15</v>
      </c>
      <c r="H18" s="3" t="s">
        <v>16</v>
      </c>
      <c r="I18" s="4">
        <v>2370</v>
      </c>
      <c r="J18" s="4">
        <v>12476</v>
      </c>
      <c r="K18" s="3" t="s">
        <v>17</v>
      </c>
      <c r="L18" s="3" t="s">
        <v>18</v>
      </c>
    </row>
    <row r="19" spans="1:12" x14ac:dyDescent="0.5">
      <c r="A19" s="5">
        <v>45336</v>
      </c>
      <c r="B19" t="s">
        <v>12</v>
      </c>
      <c r="C19" t="s">
        <v>50</v>
      </c>
      <c r="E19" s="6">
        <v>250000</v>
      </c>
      <c r="F19" t="s">
        <v>14</v>
      </c>
      <c r="G19" t="s">
        <v>679</v>
      </c>
      <c r="H19" t="s">
        <v>33</v>
      </c>
      <c r="I19" s="6">
        <v>39916</v>
      </c>
      <c r="J19" s="6">
        <v>210084</v>
      </c>
      <c r="K19" t="s">
        <v>34</v>
      </c>
      <c r="L19" t="s">
        <v>35</v>
      </c>
    </row>
    <row r="20" spans="1:12" x14ac:dyDescent="0.5">
      <c r="A20" s="2">
        <v>45338</v>
      </c>
      <c r="B20" s="3" t="s">
        <v>12</v>
      </c>
      <c r="C20" s="3" t="s">
        <v>51</v>
      </c>
      <c r="D20" s="3"/>
      <c r="E20" s="4">
        <v>83052</v>
      </c>
      <c r="F20" s="3" t="s">
        <v>14</v>
      </c>
      <c r="G20" s="3" t="s">
        <v>679</v>
      </c>
      <c r="H20" s="3" t="s">
        <v>16</v>
      </c>
      <c r="I20" s="4">
        <v>13260</v>
      </c>
      <c r="J20" s="4">
        <v>69792</v>
      </c>
      <c r="K20" s="3" t="s">
        <v>17</v>
      </c>
      <c r="L20" s="3" t="s">
        <v>18</v>
      </c>
    </row>
    <row r="21" spans="1:12" x14ac:dyDescent="0.5">
      <c r="A21" s="5">
        <v>45341</v>
      </c>
      <c r="B21" t="s">
        <v>12</v>
      </c>
      <c r="C21" t="s">
        <v>52</v>
      </c>
      <c r="E21" s="6">
        <v>113089</v>
      </c>
      <c r="F21" t="s">
        <v>14</v>
      </c>
      <c r="G21" t="s">
        <v>679</v>
      </c>
      <c r="H21" t="s">
        <v>16</v>
      </c>
      <c r="I21" s="6">
        <v>18056</v>
      </c>
      <c r="J21" s="6">
        <v>95033</v>
      </c>
      <c r="K21" t="s">
        <v>17</v>
      </c>
      <c r="L21" t="s">
        <v>18</v>
      </c>
    </row>
    <row r="22" spans="1:12" x14ac:dyDescent="0.5">
      <c r="A22" s="2">
        <v>45341</v>
      </c>
      <c r="B22" s="3" t="s">
        <v>12</v>
      </c>
      <c r="C22" s="3" t="s">
        <v>53</v>
      </c>
      <c r="D22" s="3"/>
      <c r="E22" s="4">
        <v>3496</v>
      </c>
      <c r="F22" s="3" t="s">
        <v>14</v>
      </c>
      <c r="G22" s="3" t="s">
        <v>679</v>
      </c>
      <c r="H22" s="3" t="s">
        <v>33</v>
      </c>
      <c r="I22" s="4">
        <v>558</v>
      </c>
      <c r="J22" s="4">
        <v>2938</v>
      </c>
      <c r="K22" s="3" t="s">
        <v>34</v>
      </c>
      <c r="L22" s="3" t="s">
        <v>35</v>
      </c>
    </row>
    <row r="23" spans="1:12" x14ac:dyDescent="0.5">
      <c r="A23" s="5">
        <v>45342</v>
      </c>
      <c r="B23" t="s">
        <v>12</v>
      </c>
      <c r="C23" t="s">
        <v>54</v>
      </c>
      <c r="E23" s="6">
        <v>40066</v>
      </c>
      <c r="F23" t="s">
        <v>14</v>
      </c>
      <c r="G23" t="s">
        <v>679</v>
      </c>
      <c r="H23" t="s">
        <v>33</v>
      </c>
      <c r="I23" s="6">
        <v>6397</v>
      </c>
      <c r="J23" s="6">
        <v>33669</v>
      </c>
      <c r="K23" t="s">
        <v>34</v>
      </c>
      <c r="L23" t="s">
        <v>35</v>
      </c>
    </row>
    <row r="24" spans="1:12" x14ac:dyDescent="0.5">
      <c r="A24" s="2">
        <v>45345</v>
      </c>
      <c r="B24" s="3" t="s">
        <v>12</v>
      </c>
      <c r="C24" s="3" t="s">
        <v>23</v>
      </c>
      <c r="D24" s="3"/>
      <c r="E24" s="4">
        <v>5890</v>
      </c>
      <c r="F24" s="3" t="s">
        <v>14</v>
      </c>
      <c r="G24" s="3" t="s">
        <v>679</v>
      </c>
      <c r="H24" s="3" t="s">
        <v>24</v>
      </c>
      <c r="I24" s="4">
        <v>940</v>
      </c>
      <c r="J24" s="4">
        <v>4950</v>
      </c>
      <c r="K24" s="3" t="s">
        <v>25</v>
      </c>
      <c r="L24" s="3" t="s">
        <v>26</v>
      </c>
    </row>
    <row r="25" spans="1:12" x14ac:dyDescent="0.5">
      <c r="A25" s="5">
        <v>45345</v>
      </c>
      <c r="B25" t="s">
        <v>12</v>
      </c>
      <c r="C25" t="s">
        <v>55</v>
      </c>
      <c r="E25" s="6">
        <v>2633</v>
      </c>
      <c r="F25" t="s">
        <v>14</v>
      </c>
      <c r="G25" t="s">
        <v>679</v>
      </c>
      <c r="H25" t="s">
        <v>28</v>
      </c>
      <c r="I25" s="6">
        <v>420</v>
      </c>
      <c r="J25" s="6">
        <v>2213</v>
      </c>
      <c r="K25" t="s">
        <v>29</v>
      </c>
      <c r="L25" t="s">
        <v>30</v>
      </c>
    </row>
    <row r="26" spans="1:12" x14ac:dyDescent="0.5">
      <c r="A26" s="2">
        <v>45348</v>
      </c>
      <c r="B26" s="3" t="s">
        <v>12</v>
      </c>
      <c r="C26" s="3" t="s">
        <v>23</v>
      </c>
      <c r="D26" s="3"/>
      <c r="E26" s="4">
        <v>5490</v>
      </c>
      <c r="F26" s="3" t="s">
        <v>14</v>
      </c>
      <c r="G26" s="3" t="s">
        <v>679</v>
      </c>
      <c r="H26" s="3" t="s">
        <v>24</v>
      </c>
      <c r="I26" s="4">
        <v>877</v>
      </c>
      <c r="J26" s="4">
        <v>4613</v>
      </c>
      <c r="K26" s="3" t="s">
        <v>25</v>
      </c>
      <c r="L26" s="3" t="s">
        <v>26</v>
      </c>
    </row>
    <row r="27" spans="1:12" x14ac:dyDescent="0.5">
      <c r="A27" s="5">
        <v>45348</v>
      </c>
      <c r="B27" t="s">
        <v>12</v>
      </c>
      <c r="C27" t="s">
        <v>56</v>
      </c>
      <c r="E27" s="6">
        <v>12425</v>
      </c>
      <c r="F27" t="s">
        <v>14</v>
      </c>
      <c r="G27" t="s">
        <v>679</v>
      </c>
      <c r="H27" t="s">
        <v>57</v>
      </c>
      <c r="I27" s="6">
        <v>1984</v>
      </c>
      <c r="J27" s="6">
        <v>10441</v>
      </c>
      <c r="K27" t="s">
        <v>58</v>
      </c>
      <c r="L27" t="s">
        <v>48</v>
      </c>
    </row>
    <row r="28" spans="1:12" x14ac:dyDescent="0.5">
      <c r="A28" s="2">
        <v>45348</v>
      </c>
      <c r="B28" s="3" t="s">
        <v>12</v>
      </c>
      <c r="C28" s="3" t="s">
        <v>390</v>
      </c>
      <c r="D28" s="3"/>
      <c r="E28" s="4">
        <v>5970</v>
      </c>
      <c r="F28" s="3" t="s">
        <v>14</v>
      </c>
      <c r="G28" s="3" t="s">
        <v>679</v>
      </c>
      <c r="H28" s="3" t="s">
        <v>46</v>
      </c>
      <c r="I28" s="4">
        <v>953</v>
      </c>
      <c r="J28" s="4">
        <v>5017</v>
      </c>
      <c r="K28" s="3" t="s">
        <v>47</v>
      </c>
      <c r="L28" s="3" t="s">
        <v>48</v>
      </c>
    </row>
    <row r="29" spans="1:12" x14ac:dyDescent="0.5">
      <c r="A29" s="5">
        <v>45348</v>
      </c>
      <c r="B29" t="s">
        <v>12</v>
      </c>
      <c r="C29" t="s">
        <v>59</v>
      </c>
      <c r="E29" s="6">
        <v>24529</v>
      </c>
      <c r="F29" t="s">
        <v>14</v>
      </c>
      <c r="G29" t="s">
        <v>679</v>
      </c>
      <c r="H29" t="s">
        <v>33</v>
      </c>
      <c r="I29" s="6">
        <v>3916</v>
      </c>
      <c r="J29" s="6">
        <v>20613</v>
      </c>
      <c r="K29" t="s">
        <v>34</v>
      </c>
      <c r="L29" t="s">
        <v>35</v>
      </c>
    </row>
    <row r="30" spans="1:12" x14ac:dyDescent="0.5">
      <c r="A30" s="2">
        <v>45350</v>
      </c>
      <c r="B30" s="3" t="s">
        <v>12</v>
      </c>
      <c r="C30" s="3" t="s">
        <v>391</v>
      </c>
      <c r="D30" s="3"/>
      <c r="E30" s="4">
        <v>18343</v>
      </c>
      <c r="F30" s="3" t="s">
        <v>14</v>
      </c>
      <c r="G30" s="3" t="s">
        <v>679</v>
      </c>
      <c r="H30" s="3" t="s">
        <v>24</v>
      </c>
      <c r="I30" s="4">
        <v>2929</v>
      </c>
      <c r="J30" s="4">
        <v>15414</v>
      </c>
      <c r="K30" s="3" t="s">
        <v>25</v>
      </c>
      <c r="L30" s="3" t="s">
        <v>26</v>
      </c>
    </row>
    <row r="31" spans="1:12" x14ac:dyDescent="0.5">
      <c r="A31" s="5">
        <v>45350</v>
      </c>
      <c r="B31" t="s">
        <v>12</v>
      </c>
      <c r="C31" t="s">
        <v>45</v>
      </c>
      <c r="E31" s="6">
        <v>9950</v>
      </c>
      <c r="F31" t="s">
        <v>14</v>
      </c>
      <c r="G31" t="s">
        <v>679</v>
      </c>
      <c r="H31" t="s">
        <v>46</v>
      </c>
      <c r="I31" s="6">
        <v>1589</v>
      </c>
      <c r="J31" s="6">
        <v>8361</v>
      </c>
      <c r="K31" t="s">
        <v>47</v>
      </c>
      <c r="L31" t="s">
        <v>48</v>
      </c>
    </row>
    <row r="32" spans="1:12" x14ac:dyDescent="0.5">
      <c r="A32" s="2">
        <v>45350</v>
      </c>
      <c r="B32" s="3" t="s">
        <v>12</v>
      </c>
      <c r="C32" s="3" t="s">
        <v>392</v>
      </c>
      <c r="D32" s="3"/>
      <c r="E32" s="4">
        <v>8830</v>
      </c>
      <c r="F32" s="3" t="s">
        <v>14</v>
      </c>
      <c r="G32" s="3" t="s">
        <v>679</v>
      </c>
      <c r="H32" s="3" t="s">
        <v>16</v>
      </c>
      <c r="I32" s="4">
        <v>1410</v>
      </c>
      <c r="J32" s="4">
        <v>7420</v>
      </c>
      <c r="K32" s="3" t="s">
        <v>17</v>
      </c>
      <c r="L32" s="3" t="s">
        <v>18</v>
      </c>
    </row>
    <row r="33" spans="1:12" x14ac:dyDescent="0.5">
      <c r="A33" s="5">
        <v>45350</v>
      </c>
      <c r="B33" t="s">
        <v>12</v>
      </c>
      <c r="C33" t="s">
        <v>60</v>
      </c>
      <c r="E33" s="6">
        <v>24790</v>
      </c>
      <c r="F33" t="s">
        <v>14</v>
      </c>
      <c r="G33" t="s">
        <v>679</v>
      </c>
      <c r="H33" t="s">
        <v>33</v>
      </c>
      <c r="I33" s="6">
        <v>3958</v>
      </c>
      <c r="J33" s="6">
        <v>20832</v>
      </c>
      <c r="K33" t="s">
        <v>34</v>
      </c>
      <c r="L33" t="s">
        <v>35</v>
      </c>
    </row>
    <row r="34" spans="1:12" x14ac:dyDescent="0.5">
      <c r="A34" s="2">
        <v>45351</v>
      </c>
      <c r="B34" s="3" t="s">
        <v>12</v>
      </c>
      <c r="C34" s="3" t="s">
        <v>61</v>
      </c>
      <c r="D34" s="3"/>
      <c r="E34" s="4">
        <v>6950</v>
      </c>
      <c r="F34" s="3" t="s">
        <v>41</v>
      </c>
      <c r="G34" s="3" t="s">
        <v>15</v>
      </c>
      <c r="H34" s="3" t="s">
        <v>62</v>
      </c>
      <c r="I34" s="4">
        <v>0</v>
      </c>
      <c r="J34" s="4">
        <v>6950</v>
      </c>
      <c r="K34" s="3" t="s">
        <v>63</v>
      </c>
      <c r="L34" s="3" t="s">
        <v>22</v>
      </c>
    </row>
    <row r="35" spans="1:12" x14ac:dyDescent="0.5">
      <c r="A35" s="5">
        <v>45351</v>
      </c>
      <c r="B35" t="s">
        <v>12</v>
      </c>
      <c r="C35" t="s">
        <v>393</v>
      </c>
      <c r="E35" s="6">
        <v>1500</v>
      </c>
      <c r="F35" t="s">
        <v>41</v>
      </c>
      <c r="G35" t="s">
        <v>15</v>
      </c>
      <c r="H35" t="s">
        <v>134</v>
      </c>
      <c r="I35" s="6">
        <v>0</v>
      </c>
      <c r="J35" s="6">
        <v>1500</v>
      </c>
      <c r="K35" t="s">
        <v>135</v>
      </c>
      <c r="L35" t="s">
        <v>44</v>
      </c>
    </row>
    <row r="36" spans="1:12" x14ac:dyDescent="0.5">
      <c r="A36" s="2">
        <v>45659</v>
      </c>
      <c r="B36" s="3" t="s">
        <v>64</v>
      </c>
      <c r="C36" s="3" t="s">
        <v>65</v>
      </c>
      <c r="D36" s="3"/>
      <c r="E36" s="4">
        <v>975587</v>
      </c>
      <c r="F36" s="3" t="s">
        <v>41</v>
      </c>
      <c r="G36" s="3" t="s">
        <v>15</v>
      </c>
      <c r="H36" s="3" t="s">
        <v>66</v>
      </c>
      <c r="I36" s="4">
        <v>0</v>
      </c>
      <c r="J36" s="4">
        <v>975587</v>
      </c>
      <c r="K36" s="3" t="s">
        <v>67</v>
      </c>
      <c r="L36" s="3" t="s">
        <v>68</v>
      </c>
    </row>
    <row r="37" spans="1:12" x14ac:dyDescent="0.5">
      <c r="A37" s="5">
        <v>45659</v>
      </c>
      <c r="B37" t="s">
        <v>69</v>
      </c>
      <c r="C37" t="s">
        <v>396</v>
      </c>
      <c r="E37" s="6">
        <v>3776</v>
      </c>
      <c r="F37" t="s">
        <v>14</v>
      </c>
      <c r="G37" t="s">
        <v>679</v>
      </c>
      <c r="H37" t="s">
        <v>355</v>
      </c>
      <c r="I37" s="6">
        <v>603</v>
      </c>
      <c r="J37" s="6">
        <v>3173</v>
      </c>
      <c r="K37" t="s">
        <v>356</v>
      </c>
      <c r="L37" t="s">
        <v>48</v>
      </c>
    </row>
    <row r="38" spans="1:12" x14ac:dyDescent="0.5">
      <c r="A38" s="2">
        <v>45659</v>
      </c>
      <c r="B38" s="3" t="s">
        <v>69</v>
      </c>
      <c r="C38" s="3" t="s">
        <v>70</v>
      </c>
      <c r="D38" s="3"/>
      <c r="E38" s="4">
        <v>73462</v>
      </c>
      <c r="F38" s="3" t="s">
        <v>14</v>
      </c>
      <c r="G38" s="3" t="s">
        <v>679</v>
      </c>
      <c r="H38" s="3" t="s">
        <v>16</v>
      </c>
      <c r="I38" s="4">
        <v>11729</v>
      </c>
      <c r="J38" s="4">
        <v>61733</v>
      </c>
      <c r="K38" s="3" t="s">
        <v>17</v>
      </c>
      <c r="L38" s="3" t="s">
        <v>18</v>
      </c>
    </row>
    <row r="39" spans="1:12" x14ac:dyDescent="0.5">
      <c r="A39" s="5">
        <v>45659</v>
      </c>
      <c r="B39" t="s">
        <v>69</v>
      </c>
      <c r="C39" t="s">
        <v>71</v>
      </c>
      <c r="E39" s="6">
        <v>122118</v>
      </c>
      <c r="F39" t="s">
        <v>14</v>
      </c>
      <c r="G39" t="s">
        <v>679</v>
      </c>
      <c r="H39" t="s">
        <v>33</v>
      </c>
      <c r="I39" s="6">
        <v>19498</v>
      </c>
      <c r="J39" s="6">
        <v>102620</v>
      </c>
      <c r="K39" t="s">
        <v>34</v>
      </c>
      <c r="L39" t="s">
        <v>35</v>
      </c>
    </row>
    <row r="40" spans="1:12" x14ac:dyDescent="0.5">
      <c r="A40" s="2">
        <v>45659</v>
      </c>
      <c r="B40" s="3" t="s">
        <v>69</v>
      </c>
      <c r="C40" s="3" t="s">
        <v>72</v>
      </c>
      <c r="D40" s="3"/>
      <c r="E40" s="4">
        <v>14619</v>
      </c>
      <c r="F40" s="3" t="s">
        <v>41</v>
      </c>
      <c r="G40" s="3" t="s">
        <v>679</v>
      </c>
      <c r="H40" s="3" t="s">
        <v>62</v>
      </c>
      <c r="I40" s="4">
        <v>0</v>
      </c>
      <c r="J40" s="4">
        <v>14619</v>
      </c>
      <c r="K40" s="3" t="s">
        <v>63</v>
      </c>
      <c r="L40" s="3" t="s">
        <v>22</v>
      </c>
    </row>
    <row r="41" spans="1:12" x14ac:dyDescent="0.5">
      <c r="A41" s="5">
        <v>45659</v>
      </c>
      <c r="B41" t="s">
        <v>69</v>
      </c>
      <c r="C41" t="s">
        <v>73</v>
      </c>
      <c r="E41" s="6">
        <v>33442</v>
      </c>
      <c r="F41" t="s">
        <v>41</v>
      </c>
      <c r="G41" t="s">
        <v>15</v>
      </c>
      <c r="H41" t="s">
        <v>74</v>
      </c>
      <c r="I41" s="6">
        <v>0</v>
      </c>
      <c r="J41" s="6">
        <v>33442</v>
      </c>
      <c r="K41" t="s">
        <v>75</v>
      </c>
      <c r="L41" t="s">
        <v>44</v>
      </c>
    </row>
    <row r="42" spans="1:12" x14ac:dyDescent="0.5">
      <c r="A42" s="2">
        <v>45663</v>
      </c>
      <c r="B42" s="3" t="s">
        <v>69</v>
      </c>
      <c r="C42" s="3" t="s">
        <v>400</v>
      </c>
      <c r="D42" s="3"/>
      <c r="E42" s="4">
        <v>28380</v>
      </c>
      <c r="F42" s="3" t="s">
        <v>14</v>
      </c>
      <c r="G42" s="3" t="s">
        <v>679</v>
      </c>
      <c r="H42" s="3" t="s">
        <v>24</v>
      </c>
      <c r="I42" s="4">
        <v>4531</v>
      </c>
      <c r="J42" s="4">
        <v>23849</v>
      </c>
      <c r="K42" s="3" t="s">
        <v>25</v>
      </c>
      <c r="L42" s="3" t="s">
        <v>26</v>
      </c>
    </row>
    <row r="43" spans="1:12" x14ac:dyDescent="0.5">
      <c r="A43" s="5">
        <v>45663</v>
      </c>
      <c r="B43" t="s">
        <v>69</v>
      </c>
      <c r="C43" t="s">
        <v>19</v>
      </c>
      <c r="E43" s="6">
        <v>48596</v>
      </c>
      <c r="F43" t="s">
        <v>14</v>
      </c>
      <c r="G43" t="s">
        <v>15</v>
      </c>
      <c r="H43" t="s">
        <v>20</v>
      </c>
      <c r="I43" s="6">
        <v>7759</v>
      </c>
      <c r="J43" s="6">
        <v>40837</v>
      </c>
      <c r="K43" t="s">
        <v>21</v>
      </c>
      <c r="L43" t="s">
        <v>22</v>
      </c>
    </row>
    <row r="44" spans="1:12" x14ac:dyDescent="0.5">
      <c r="A44" s="2">
        <v>45663</v>
      </c>
      <c r="B44" s="3" t="s">
        <v>69</v>
      </c>
      <c r="C44" s="3" t="s">
        <v>76</v>
      </c>
      <c r="D44" s="3"/>
      <c r="E44" s="4">
        <v>4990</v>
      </c>
      <c r="F44" s="3" t="s">
        <v>14</v>
      </c>
      <c r="G44" s="3" t="s">
        <v>679</v>
      </c>
      <c r="H44" s="3" t="s">
        <v>28</v>
      </c>
      <c r="I44" s="4">
        <v>797</v>
      </c>
      <c r="J44" s="4">
        <v>4193</v>
      </c>
      <c r="K44" s="3" t="s">
        <v>29</v>
      </c>
      <c r="L44" s="3" t="s">
        <v>30</v>
      </c>
    </row>
    <row r="45" spans="1:12" x14ac:dyDescent="0.5">
      <c r="A45" s="5">
        <v>45664</v>
      </c>
      <c r="B45" t="s">
        <v>69</v>
      </c>
      <c r="C45" t="s">
        <v>77</v>
      </c>
      <c r="E45" s="6">
        <v>26115</v>
      </c>
      <c r="F45" t="s">
        <v>14</v>
      </c>
      <c r="G45" t="s">
        <v>679</v>
      </c>
      <c r="H45" t="s">
        <v>57</v>
      </c>
      <c r="I45" s="6">
        <v>4170</v>
      </c>
      <c r="J45" s="6">
        <v>21945</v>
      </c>
      <c r="K45" t="s">
        <v>58</v>
      </c>
      <c r="L45" t="s">
        <v>48</v>
      </c>
    </row>
    <row r="46" spans="1:12" x14ac:dyDescent="0.5">
      <c r="A46" s="2">
        <v>45666</v>
      </c>
      <c r="B46" s="3" t="s">
        <v>69</v>
      </c>
      <c r="C46" s="3" t="s">
        <v>402</v>
      </c>
      <c r="D46" s="3"/>
      <c r="E46" s="4">
        <v>9221</v>
      </c>
      <c r="F46" s="3" t="s">
        <v>14</v>
      </c>
      <c r="G46" s="3" t="s">
        <v>15</v>
      </c>
      <c r="H46" s="3" t="s">
        <v>547</v>
      </c>
      <c r="I46" s="4">
        <v>1472</v>
      </c>
      <c r="J46" s="4">
        <v>7749</v>
      </c>
      <c r="K46" s="3" t="s">
        <v>530</v>
      </c>
      <c r="L46" s="3" t="s">
        <v>35</v>
      </c>
    </row>
    <row r="47" spans="1:12" x14ac:dyDescent="0.5">
      <c r="A47" s="5">
        <v>45670</v>
      </c>
      <c r="B47" t="s">
        <v>69</v>
      </c>
      <c r="C47" t="s">
        <v>78</v>
      </c>
      <c r="E47" s="6">
        <v>158864</v>
      </c>
      <c r="F47" t="s">
        <v>14</v>
      </c>
      <c r="G47" t="s">
        <v>15</v>
      </c>
      <c r="H47" t="s">
        <v>24</v>
      </c>
      <c r="I47" s="6">
        <v>25365</v>
      </c>
      <c r="J47" s="6">
        <v>133499</v>
      </c>
      <c r="K47" t="s">
        <v>25</v>
      </c>
      <c r="L47" t="s">
        <v>26</v>
      </c>
    </row>
    <row r="48" spans="1:12" x14ac:dyDescent="0.5">
      <c r="A48" s="2">
        <v>45670</v>
      </c>
      <c r="B48" s="3" t="s">
        <v>69</v>
      </c>
      <c r="C48" s="3" t="s">
        <v>79</v>
      </c>
      <c r="D48" s="3"/>
      <c r="E48" s="4">
        <v>107259</v>
      </c>
      <c r="F48" s="3" t="s">
        <v>14</v>
      </c>
      <c r="G48" s="3" t="s">
        <v>679</v>
      </c>
      <c r="H48" s="3" t="s">
        <v>33</v>
      </c>
      <c r="I48" s="4">
        <v>17125</v>
      </c>
      <c r="J48" s="4">
        <v>90134</v>
      </c>
      <c r="K48" s="3" t="s">
        <v>34</v>
      </c>
      <c r="L48" s="3" t="s">
        <v>35</v>
      </c>
    </row>
    <row r="49" spans="1:12" x14ac:dyDescent="0.5">
      <c r="A49" s="5">
        <v>45671</v>
      </c>
      <c r="B49" t="s">
        <v>69</v>
      </c>
      <c r="C49" t="s">
        <v>403</v>
      </c>
      <c r="E49" s="6">
        <v>45654</v>
      </c>
      <c r="F49" t="s">
        <v>14</v>
      </c>
      <c r="G49" t="s">
        <v>679</v>
      </c>
      <c r="H49" t="s">
        <v>24</v>
      </c>
      <c r="I49" s="6">
        <v>7289</v>
      </c>
      <c r="J49" s="6">
        <v>38365</v>
      </c>
      <c r="K49" t="s">
        <v>25</v>
      </c>
      <c r="L49" t="s">
        <v>26</v>
      </c>
    </row>
    <row r="50" spans="1:12" x14ac:dyDescent="0.5">
      <c r="A50" s="2">
        <v>45671</v>
      </c>
      <c r="B50" s="3" t="s">
        <v>69</v>
      </c>
      <c r="C50" s="3" t="s">
        <v>383</v>
      </c>
      <c r="D50" s="3"/>
      <c r="E50" s="4">
        <v>107656</v>
      </c>
      <c r="F50" s="3" t="s">
        <v>14</v>
      </c>
      <c r="G50" s="3" t="s">
        <v>679</v>
      </c>
      <c r="H50" s="3" t="s">
        <v>355</v>
      </c>
      <c r="I50" s="4">
        <v>17189</v>
      </c>
      <c r="J50" s="4">
        <v>90467</v>
      </c>
      <c r="K50" s="3" t="s">
        <v>356</v>
      </c>
      <c r="L50" s="3" t="s">
        <v>48</v>
      </c>
    </row>
    <row r="51" spans="1:12" x14ac:dyDescent="0.5">
      <c r="A51" s="5">
        <v>45672</v>
      </c>
      <c r="B51" t="s">
        <v>69</v>
      </c>
      <c r="C51" t="s">
        <v>80</v>
      </c>
      <c r="E51" s="6">
        <v>174724</v>
      </c>
      <c r="F51" t="s">
        <v>14</v>
      </c>
      <c r="G51" t="s">
        <v>679</v>
      </c>
      <c r="H51" t="s">
        <v>33</v>
      </c>
      <c r="I51" s="6">
        <v>27897</v>
      </c>
      <c r="J51" s="6">
        <v>146827</v>
      </c>
      <c r="K51" t="s">
        <v>34</v>
      </c>
      <c r="L51" t="s">
        <v>35</v>
      </c>
    </row>
    <row r="52" spans="1:12" x14ac:dyDescent="0.5">
      <c r="A52" s="2">
        <v>45673</v>
      </c>
      <c r="B52" s="3" t="s">
        <v>64</v>
      </c>
      <c r="C52" s="3" t="s">
        <v>40</v>
      </c>
      <c r="D52" s="3"/>
      <c r="E52" s="4">
        <v>2086794</v>
      </c>
      <c r="F52" s="3" t="s">
        <v>41</v>
      </c>
      <c r="G52" s="3" t="s">
        <v>15</v>
      </c>
      <c r="H52" s="3" t="s">
        <v>42</v>
      </c>
      <c r="I52" s="4">
        <v>0</v>
      </c>
      <c r="J52" s="4">
        <v>2086794</v>
      </c>
      <c r="K52" s="3" t="s">
        <v>43</v>
      </c>
      <c r="L52" s="3" t="s">
        <v>44</v>
      </c>
    </row>
    <row r="53" spans="1:12" x14ac:dyDescent="0.5">
      <c r="A53" s="5">
        <v>45674</v>
      </c>
      <c r="B53" t="s">
        <v>64</v>
      </c>
      <c r="C53" t="s">
        <v>81</v>
      </c>
      <c r="E53" s="6">
        <v>31453</v>
      </c>
      <c r="F53" t="s">
        <v>41</v>
      </c>
      <c r="G53" t="s">
        <v>15</v>
      </c>
      <c r="H53" t="s">
        <v>66</v>
      </c>
      <c r="I53" s="6">
        <v>0</v>
      </c>
      <c r="J53" s="6">
        <v>31453</v>
      </c>
      <c r="K53" t="s">
        <v>67</v>
      </c>
      <c r="L53" t="s">
        <v>68</v>
      </c>
    </row>
    <row r="54" spans="1:12" x14ac:dyDescent="0.5">
      <c r="A54" s="2">
        <v>45674</v>
      </c>
      <c r="B54" s="3" t="s">
        <v>69</v>
      </c>
      <c r="C54" s="3" t="s">
        <v>82</v>
      </c>
      <c r="D54" s="3"/>
      <c r="E54" s="4">
        <v>208836</v>
      </c>
      <c r="F54" s="3" t="s">
        <v>14</v>
      </c>
      <c r="G54" s="3" t="s">
        <v>679</v>
      </c>
      <c r="H54" s="3" t="s">
        <v>16</v>
      </c>
      <c r="I54" s="4">
        <v>33344</v>
      </c>
      <c r="J54" s="4">
        <v>175492</v>
      </c>
      <c r="K54" s="3" t="s">
        <v>17</v>
      </c>
      <c r="L54" s="3" t="s">
        <v>18</v>
      </c>
    </row>
    <row r="55" spans="1:12" x14ac:dyDescent="0.5">
      <c r="A55" s="5">
        <v>45674</v>
      </c>
      <c r="B55" t="s">
        <v>69</v>
      </c>
      <c r="C55" t="s">
        <v>83</v>
      </c>
      <c r="E55" s="6">
        <v>2613</v>
      </c>
      <c r="F55" t="s">
        <v>14</v>
      </c>
      <c r="G55" t="s">
        <v>15</v>
      </c>
      <c r="H55" t="s">
        <v>20</v>
      </c>
      <c r="I55" s="6">
        <v>417</v>
      </c>
      <c r="J55" s="6">
        <v>2196</v>
      </c>
      <c r="K55" t="s">
        <v>21</v>
      </c>
      <c r="L55" t="s">
        <v>22</v>
      </c>
    </row>
    <row r="56" spans="1:12" x14ac:dyDescent="0.5">
      <c r="A56" s="2">
        <v>45679</v>
      </c>
      <c r="B56" s="3" t="s">
        <v>69</v>
      </c>
      <c r="C56" s="3" t="s">
        <v>404</v>
      </c>
      <c r="D56" s="3"/>
      <c r="E56" s="4">
        <v>105160</v>
      </c>
      <c r="F56" s="3" t="s">
        <v>14</v>
      </c>
      <c r="G56" s="3" t="s">
        <v>679</v>
      </c>
      <c r="H56" s="3" t="s">
        <v>24</v>
      </c>
      <c r="I56" s="4">
        <v>16790</v>
      </c>
      <c r="J56" s="4">
        <v>88370</v>
      </c>
      <c r="K56" s="3" t="s">
        <v>25</v>
      </c>
      <c r="L56" s="3" t="s">
        <v>26</v>
      </c>
    </row>
    <row r="57" spans="1:12" x14ac:dyDescent="0.5">
      <c r="A57" s="5">
        <v>45680</v>
      </c>
      <c r="B57" t="s">
        <v>69</v>
      </c>
      <c r="C57" t="s">
        <v>84</v>
      </c>
      <c r="E57" s="6">
        <v>7900</v>
      </c>
      <c r="F57" t="s">
        <v>14</v>
      </c>
      <c r="G57" t="s">
        <v>679</v>
      </c>
      <c r="H57" t="s">
        <v>16</v>
      </c>
      <c r="I57" s="6">
        <v>1261</v>
      </c>
      <c r="J57" s="6">
        <v>6639</v>
      </c>
      <c r="K57" t="s">
        <v>17</v>
      </c>
      <c r="L57" t="s">
        <v>18</v>
      </c>
    </row>
    <row r="58" spans="1:12" x14ac:dyDescent="0.5">
      <c r="A58" s="2">
        <v>45680</v>
      </c>
      <c r="B58" s="3" t="s">
        <v>69</v>
      </c>
      <c r="C58" s="3" t="s">
        <v>85</v>
      </c>
      <c r="D58" s="3"/>
      <c r="E58" s="4">
        <v>192196</v>
      </c>
      <c r="F58" s="3" t="s">
        <v>14</v>
      </c>
      <c r="G58" s="3" t="s">
        <v>679</v>
      </c>
      <c r="H58" s="3" t="s">
        <v>33</v>
      </c>
      <c r="I58" s="4">
        <v>30687</v>
      </c>
      <c r="J58" s="4">
        <v>161509</v>
      </c>
      <c r="K58" s="3" t="s">
        <v>34</v>
      </c>
      <c r="L58" s="3" t="s">
        <v>35</v>
      </c>
    </row>
    <row r="59" spans="1:12" x14ac:dyDescent="0.5">
      <c r="A59" s="5">
        <v>45681</v>
      </c>
      <c r="B59" t="s">
        <v>69</v>
      </c>
      <c r="C59" t="s">
        <v>86</v>
      </c>
      <c r="E59" s="6">
        <v>9973</v>
      </c>
      <c r="F59" t="s">
        <v>14</v>
      </c>
      <c r="G59" t="s">
        <v>679</v>
      </c>
      <c r="H59" t="s">
        <v>33</v>
      </c>
      <c r="I59" s="6">
        <v>1592</v>
      </c>
      <c r="J59" s="6">
        <v>8381</v>
      </c>
      <c r="K59" t="s">
        <v>34</v>
      </c>
      <c r="L59" t="s">
        <v>35</v>
      </c>
    </row>
    <row r="60" spans="1:12" x14ac:dyDescent="0.5">
      <c r="A60" s="2">
        <v>45684</v>
      </c>
      <c r="B60" s="3" t="s">
        <v>69</v>
      </c>
      <c r="C60" s="3" t="s">
        <v>72</v>
      </c>
      <c r="D60" s="3"/>
      <c r="E60" s="4">
        <v>8682</v>
      </c>
      <c r="F60" s="3" t="s">
        <v>41</v>
      </c>
      <c r="G60" s="3" t="s">
        <v>679</v>
      </c>
      <c r="H60" s="3" t="s">
        <v>62</v>
      </c>
      <c r="I60" s="4">
        <v>0</v>
      </c>
      <c r="J60" s="4">
        <v>8682</v>
      </c>
      <c r="K60" s="3" t="s">
        <v>63</v>
      </c>
      <c r="L60" s="3" t="s">
        <v>22</v>
      </c>
    </row>
    <row r="61" spans="1:12" x14ac:dyDescent="0.5">
      <c r="A61" s="5">
        <v>45685</v>
      </c>
      <c r="B61" t="s">
        <v>69</v>
      </c>
      <c r="C61" t="s">
        <v>405</v>
      </c>
      <c r="E61" s="6">
        <v>58850</v>
      </c>
      <c r="F61" t="s">
        <v>14</v>
      </c>
      <c r="G61" t="s">
        <v>679</v>
      </c>
      <c r="H61" t="s">
        <v>24</v>
      </c>
      <c r="I61" s="6">
        <v>9396</v>
      </c>
      <c r="J61" s="6">
        <v>49454</v>
      </c>
      <c r="K61" t="s">
        <v>25</v>
      </c>
      <c r="L61" t="s">
        <v>26</v>
      </c>
    </row>
    <row r="62" spans="1:12" x14ac:dyDescent="0.5">
      <c r="A62" s="2">
        <v>45685</v>
      </c>
      <c r="B62" s="3" t="s">
        <v>69</v>
      </c>
      <c r="C62" s="3" t="s">
        <v>383</v>
      </c>
      <c r="D62" s="3"/>
      <c r="E62" s="4">
        <v>24900</v>
      </c>
      <c r="F62" s="3" t="s">
        <v>14</v>
      </c>
      <c r="G62" s="3" t="s">
        <v>679</v>
      </c>
      <c r="H62" s="3" t="s">
        <v>355</v>
      </c>
      <c r="I62" s="4">
        <v>3976</v>
      </c>
      <c r="J62" s="4">
        <v>20924</v>
      </c>
      <c r="K62" s="3" t="s">
        <v>356</v>
      </c>
      <c r="L62" s="3" t="s">
        <v>48</v>
      </c>
    </row>
    <row r="63" spans="1:12" x14ac:dyDescent="0.5">
      <c r="A63" s="5">
        <v>45686</v>
      </c>
      <c r="B63" t="s">
        <v>69</v>
      </c>
      <c r="C63" t="s">
        <v>88</v>
      </c>
      <c r="E63" s="6">
        <v>10059</v>
      </c>
      <c r="F63" t="s">
        <v>14</v>
      </c>
      <c r="G63" t="s">
        <v>679</v>
      </c>
      <c r="H63" t="s">
        <v>24</v>
      </c>
      <c r="I63" s="6">
        <v>1606</v>
      </c>
      <c r="J63" s="6">
        <v>8453</v>
      </c>
      <c r="K63" t="s">
        <v>25</v>
      </c>
      <c r="L63" t="s">
        <v>26</v>
      </c>
    </row>
    <row r="64" spans="1:12" x14ac:dyDescent="0.5">
      <c r="A64" s="2">
        <v>45686</v>
      </c>
      <c r="B64" s="3" t="s">
        <v>69</v>
      </c>
      <c r="C64" s="3" t="s">
        <v>87</v>
      </c>
      <c r="D64" s="3"/>
      <c r="E64" s="4">
        <v>19015</v>
      </c>
      <c r="F64" s="3" t="s">
        <v>14</v>
      </c>
      <c r="G64" s="3" t="s">
        <v>15</v>
      </c>
      <c r="H64" s="3" t="s">
        <v>46</v>
      </c>
      <c r="I64" s="4">
        <v>3036</v>
      </c>
      <c r="J64" s="4">
        <v>15979</v>
      </c>
      <c r="K64" s="3" t="s">
        <v>47</v>
      </c>
      <c r="L64" s="3" t="s">
        <v>48</v>
      </c>
    </row>
    <row r="65" spans="1:12" x14ac:dyDescent="0.5">
      <c r="A65" s="5">
        <v>45686</v>
      </c>
      <c r="B65" t="s">
        <v>69</v>
      </c>
      <c r="C65" t="s">
        <v>87</v>
      </c>
      <c r="E65" s="6">
        <v>19</v>
      </c>
      <c r="F65" t="s">
        <v>14</v>
      </c>
      <c r="G65" t="s">
        <v>15</v>
      </c>
      <c r="H65" t="s">
        <v>46</v>
      </c>
      <c r="I65" s="6">
        <v>3</v>
      </c>
      <c r="J65" s="6">
        <v>16</v>
      </c>
      <c r="K65" t="s">
        <v>47</v>
      </c>
      <c r="L65" t="s">
        <v>48</v>
      </c>
    </row>
    <row r="66" spans="1:12" x14ac:dyDescent="0.5">
      <c r="A66" s="2">
        <v>45688</v>
      </c>
      <c r="B66" s="3" t="s">
        <v>69</v>
      </c>
      <c r="C66" s="3" t="s">
        <v>78</v>
      </c>
      <c r="D66" s="3"/>
      <c r="E66" s="4">
        <v>422436</v>
      </c>
      <c r="F66" s="3" t="s">
        <v>14</v>
      </c>
      <c r="G66" s="3" t="s">
        <v>15</v>
      </c>
      <c r="H66" s="3" t="s">
        <v>24</v>
      </c>
      <c r="I66" s="4">
        <v>67448</v>
      </c>
      <c r="J66" s="4">
        <v>354988</v>
      </c>
      <c r="K66" s="3" t="s">
        <v>25</v>
      </c>
      <c r="L66" s="3" t="s">
        <v>26</v>
      </c>
    </row>
    <row r="67" spans="1:12" x14ac:dyDescent="0.5">
      <c r="A67" s="5">
        <v>45688</v>
      </c>
      <c r="B67" t="s">
        <v>64</v>
      </c>
      <c r="C67" t="s">
        <v>89</v>
      </c>
      <c r="E67" s="6">
        <v>238395</v>
      </c>
      <c r="F67" t="s">
        <v>41</v>
      </c>
      <c r="G67" t="s">
        <v>15</v>
      </c>
      <c r="H67" t="s">
        <v>66</v>
      </c>
      <c r="I67" s="6">
        <v>0</v>
      </c>
      <c r="J67" s="6">
        <v>238395</v>
      </c>
      <c r="K67" t="s">
        <v>67</v>
      </c>
      <c r="L67" t="s">
        <v>68</v>
      </c>
    </row>
    <row r="68" spans="1:12" x14ac:dyDescent="0.5">
      <c r="A68" s="2">
        <v>45688</v>
      </c>
      <c r="B68" s="3" t="s">
        <v>64</v>
      </c>
      <c r="C68" s="3" t="s">
        <v>89</v>
      </c>
      <c r="D68" s="3"/>
      <c r="E68" s="4">
        <v>13200</v>
      </c>
      <c r="F68" s="3" t="s">
        <v>41</v>
      </c>
      <c r="G68" s="3" t="s">
        <v>15</v>
      </c>
      <c r="H68" s="3" t="s">
        <v>66</v>
      </c>
      <c r="I68" s="4">
        <v>0</v>
      </c>
      <c r="J68" s="4">
        <v>13200</v>
      </c>
      <c r="K68" s="3" t="s">
        <v>67</v>
      </c>
      <c r="L68" s="3" t="s">
        <v>68</v>
      </c>
    </row>
    <row r="69" spans="1:12" x14ac:dyDescent="0.5">
      <c r="A69" s="5">
        <v>45688</v>
      </c>
      <c r="B69" t="s">
        <v>64</v>
      </c>
      <c r="C69" t="s">
        <v>89</v>
      </c>
      <c r="E69" s="6">
        <v>10160</v>
      </c>
      <c r="F69" t="s">
        <v>41</v>
      </c>
      <c r="G69" t="s">
        <v>15</v>
      </c>
      <c r="H69" t="s">
        <v>66</v>
      </c>
      <c r="I69" s="6">
        <v>0</v>
      </c>
      <c r="J69" s="6">
        <v>10160</v>
      </c>
      <c r="K69" t="s">
        <v>67</v>
      </c>
      <c r="L69" t="s">
        <v>68</v>
      </c>
    </row>
    <row r="70" spans="1:12" x14ac:dyDescent="0.5">
      <c r="A70" s="2">
        <v>45719</v>
      </c>
      <c r="B70" s="3" t="s">
        <v>90</v>
      </c>
      <c r="C70" s="3" t="s">
        <v>91</v>
      </c>
      <c r="D70" s="3"/>
      <c r="E70" s="4">
        <v>1000000</v>
      </c>
      <c r="F70" s="3" t="s">
        <v>41</v>
      </c>
      <c r="G70" s="3" t="s">
        <v>15</v>
      </c>
      <c r="H70" s="3" t="s">
        <v>66</v>
      </c>
      <c r="I70" s="4">
        <v>0</v>
      </c>
      <c r="J70" s="4">
        <v>1000000</v>
      </c>
      <c r="K70" s="3" t="s">
        <v>67</v>
      </c>
      <c r="L70" s="3" t="s">
        <v>68</v>
      </c>
    </row>
    <row r="71" spans="1:12" x14ac:dyDescent="0.5">
      <c r="A71" s="5">
        <v>45719</v>
      </c>
      <c r="B71" t="s">
        <v>90</v>
      </c>
      <c r="C71" t="s">
        <v>89</v>
      </c>
      <c r="E71" s="6">
        <v>900000</v>
      </c>
      <c r="F71" t="s">
        <v>41</v>
      </c>
      <c r="G71" t="s">
        <v>15</v>
      </c>
      <c r="H71" t="s">
        <v>66</v>
      </c>
      <c r="I71" s="6">
        <v>0</v>
      </c>
      <c r="J71" s="6">
        <v>900000</v>
      </c>
      <c r="K71" t="s">
        <v>67</v>
      </c>
      <c r="L71" t="s">
        <v>68</v>
      </c>
    </row>
    <row r="72" spans="1:12" x14ac:dyDescent="0.5">
      <c r="A72" s="2">
        <v>45719</v>
      </c>
      <c r="B72" s="3" t="s">
        <v>90</v>
      </c>
      <c r="C72" s="3" t="s">
        <v>81</v>
      </c>
      <c r="D72" s="3"/>
      <c r="E72" s="4">
        <v>700000</v>
      </c>
      <c r="F72" s="3" t="s">
        <v>41</v>
      </c>
      <c r="G72" s="3" t="s">
        <v>15</v>
      </c>
      <c r="H72" s="3" t="s">
        <v>66</v>
      </c>
      <c r="I72" s="4">
        <v>0</v>
      </c>
      <c r="J72" s="4">
        <v>700000</v>
      </c>
      <c r="K72" s="3" t="s">
        <v>67</v>
      </c>
      <c r="L72" s="3" t="s">
        <v>68</v>
      </c>
    </row>
    <row r="73" spans="1:12" x14ac:dyDescent="0.5">
      <c r="A73" s="5">
        <v>45719</v>
      </c>
      <c r="B73" t="s">
        <v>90</v>
      </c>
      <c r="C73" t="s">
        <v>92</v>
      </c>
      <c r="E73" s="6">
        <v>679668</v>
      </c>
      <c r="F73" t="s">
        <v>41</v>
      </c>
      <c r="G73" t="s">
        <v>15</v>
      </c>
      <c r="H73" t="s">
        <v>66</v>
      </c>
      <c r="I73" s="6">
        <v>0</v>
      </c>
      <c r="J73" s="6">
        <v>679668</v>
      </c>
      <c r="K73" t="s">
        <v>67</v>
      </c>
      <c r="L73" t="s">
        <v>68</v>
      </c>
    </row>
    <row r="74" spans="1:12" x14ac:dyDescent="0.5">
      <c r="A74" s="2">
        <v>45719</v>
      </c>
      <c r="B74" s="3" t="s">
        <v>90</v>
      </c>
      <c r="C74" s="3" t="s">
        <v>91</v>
      </c>
      <c r="D74" s="3"/>
      <c r="E74" s="4">
        <v>500000</v>
      </c>
      <c r="F74" s="3" t="s">
        <v>41</v>
      </c>
      <c r="G74" s="3" t="s">
        <v>15</v>
      </c>
      <c r="H74" s="3" t="s">
        <v>66</v>
      </c>
      <c r="I74" s="4">
        <v>0</v>
      </c>
      <c r="J74" s="4">
        <v>500000</v>
      </c>
      <c r="K74" s="3" t="s">
        <v>67</v>
      </c>
      <c r="L74" s="3" t="s">
        <v>68</v>
      </c>
    </row>
    <row r="75" spans="1:12" x14ac:dyDescent="0.5">
      <c r="A75" s="5">
        <v>45719</v>
      </c>
      <c r="B75" t="s">
        <v>90</v>
      </c>
      <c r="C75" t="s">
        <v>81</v>
      </c>
      <c r="E75" s="6">
        <v>359732</v>
      </c>
      <c r="F75" t="s">
        <v>41</v>
      </c>
      <c r="G75" t="s">
        <v>15</v>
      </c>
      <c r="H75" t="s">
        <v>66</v>
      </c>
      <c r="I75" s="6">
        <v>0</v>
      </c>
      <c r="J75" s="6">
        <v>359732</v>
      </c>
      <c r="K75" t="s">
        <v>67</v>
      </c>
      <c r="L75" t="s">
        <v>68</v>
      </c>
    </row>
    <row r="76" spans="1:12" x14ac:dyDescent="0.5">
      <c r="A76" s="2">
        <v>45719</v>
      </c>
      <c r="B76" s="3" t="s">
        <v>90</v>
      </c>
      <c r="C76" s="3" t="s">
        <v>93</v>
      </c>
      <c r="D76" s="3"/>
      <c r="E76" s="4">
        <v>322687</v>
      </c>
      <c r="F76" s="3" t="s">
        <v>41</v>
      </c>
      <c r="G76" s="3" t="s">
        <v>15</v>
      </c>
      <c r="H76" s="3" t="s">
        <v>66</v>
      </c>
      <c r="I76" s="4">
        <v>0</v>
      </c>
      <c r="J76" s="4">
        <v>322687</v>
      </c>
      <c r="K76" s="3" t="s">
        <v>67</v>
      </c>
      <c r="L76" s="3" t="s">
        <v>68</v>
      </c>
    </row>
    <row r="77" spans="1:12" x14ac:dyDescent="0.5">
      <c r="A77" s="5">
        <v>45719</v>
      </c>
      <c r="B77" t="s">
        <v>90</v>
      </c>
      <c r="C77" t="s">
        <v>94</v>
      </c>
      <c r="E77" s="6">
        <v>200000</v>
      </c>
      <c r="F77" t="s">
        <v>41</v>
      </c>
      <c r="G77" t="s">
        <v>15</v>
      </c>
      <c r="H77" t="s">
        <v>66</v>
      </c>
      <c r="I77" s="6">
        <v>0</v>
      </c>
      <c r="J77" s="6">
        <v>200000</v>
      </c>
      <c r="K77" t="s">
        <v>67</v>
      </c>
      <c r="L77" t="s">
        <v>68</v>
      </c>
    </row>
    <row r="78" spans="1:12" x14ac:dyDescent="0.5">
      <c r="A78" s="2">
        <v>45719</v>
      </c>
      <c r="B78" s="3" t="s">
        <v>90</v>
      </c>
      <c r="C78" s="3" t="s">
        <v>95</v>
      </c>
      <c r="D78" s="3"/>
      <c r="E78" s="4">
        <v>150000</v>
      </c>
      <c r="F78" s="3" t="s">
        <v>41</v>
      </c>
      <c r="G78" s="3" t="s">
        <v>15</v>
      </c>
      <c r="H78" s="3" t="s">
        <v>66</v>
      </c>
      <c r="I78" s="4">
        <v>0</v>
      </c>
      <c r="J78" s="4">
        <v>150000</v>
      </c>
      <c r="K78" s="3" t="s">
        <v>67</v>
      </c>
      <c r="L78" s="3" t="s">
        <v>68</v>
      </c>
    </row>
    <row r="79" spans="1:12" x14ac:dyDescent="0.5">
      <c r="A79" s="5">
        <v>45719</v>
      </c>
      <c r="B79" t="s">
        <v>96</v>
      </c>
      <c r="C79" t="s">
        <v>407</v>
      </c>
      <c r="E79" s="6">
        <v>65000</v>
      </c>
      <c r="F79" t="s">
        <v>41</v>
      </c>
      <c r="G79" t="s">
        <v>15</v>
      </c>
      <c r="H79" t="s">
        <v>255</v>
      </c>
      <c r="I79" s="6">
        <v>0</v>
      </c>
      <c r="J79" s="6">
        <v>65000</v>
      </c>
      <c r="K79" t="s">
        <v>256</v>
      </c>
      <c r="L79" t="s">
        <v>68</v>
      </c>
    </row>
    <row r="80" spans="1:12" x14ac:dyDescent="0.5">
      <c r="A80" s="2">
        <v>45719</v>
      </c>
      <c r="B80" s="3" t="s">
        <v>90</v>
      </c>
      <c r="C80" s="3" t="s">
        <v>95</v>
      </c>
      <c r="D80" s="3"/>
      <c r="E80" s="4">
        <v>18000</v>
      </c>
      <c r="F80" s="3" t="s">
        <v>41</v>
      </c>
      <c r="G80" s="3" t="s">
        <v>15</v>
      </c>
      <c r="H80" s="3" t="s">
        <v>66</v>
      </c>
      <c r="I80" s="4">
        <v>0</v>
      </c>
      <c r="J80" s="4">
        <v>18000</v>
      </c>
      <c r="K80" s="3" t="s">
        <v>67</v>
      </c>
      <c r="L80" s="3" t="s">
        <v>68</v>
      </c>
    </row>
    <row r="81" spans="1:12" x14ac:dyDescent="0.5">
      <c r="A81" s="5">
        <v>45719</v>
      </c>
      <c r="B81" t="s">
        <v>96</v>
      </c>
      <c r="C81" t="s">
        <v>408</v>
      </c>
      <c r="E81" s="6">
        <v>916300</v>
      </c>
      <c r="F81" t="s">
        <v>14</v>
      </c>
      <c r="G81" t="s">
        <v>15</v>
      </c>
      <c r="H81" t="s">
        <v>46</v>
      </c>
      <c r="I81" s="6">
        <v>146300</v>
      </c>
      <c r="J81" s="6">
        <v>770000</v>
      </c>
      <c r="K81" t="s">
        <v>47</v>
      </c>
      <c r="L81" t="s">
        <v>48</v>
      </c>
    </row>
    <row r="82" spans="1:12" x14ac:dyDescent="0.5">
      <c r="A82" s="2">
        <v>45719</v>
      </c>
      <c r="B82" s="3" t="s">
        <v>96</v>
      </c>
      <c r="C82" s="3" t="s">
        <v>97</v>
      </c>
      <c r="D82" s="3"/>
      <c r="E82" s="4">
        <v>70812</v>
      </c>
      <c r="F82" s="3" t="s">
        <v>14</v>
      </c>
      <c r="G82" s="3" t="s">
        <v>679</v>
      </c>
      <c r="H82" s="3" t="s">
        <v>16</v>
      </c>
      <c r="I82" s="4">
        <v>11306</v>
      </c>
      <c r="J82" s="4">
        <v>59506</v>
      </c>
      <c r="K82" s="3" t="s">
        <v>17</v>
      </c>
      <c r="L82" s="3" t="s">
        <v>18</v>
      </c>
    </row>
    <row r="83" spans="1:12" x14ac:dyDescent="0.5">
      <c r="A83" s="5">
        <v>45721</v>
      </c>
      <c r="B83" t="s">
        <v>96</v>
      </c>
      <c r="C83" t="s">
        <v>409</v>
      </c>
      <c r="E83" s="6">
        <v>73300</v>
      </c>
      <c r="F83" t="s">
        <v>14</v>
      </c>
      <c r="G83" t="s">
        <v>15</v>
      </c>
      <c r="H83" t="s">
        <v>293</v>
      </c>
      <c r="I83" s="6">
        <v>11703</v>
      </c>
      <c r="J83" s="6">
        <v>61597</v>
      </c>
      <c r="K83" t="s">
        <v>294</v>
      </c>
      <c r="L83" t="s">
        <v>26</v>
      </c>
    </row>
    <row r="84" spans="1:12" x14ac:dyDescent="0.5">
      <c r="A84" s="2">
        <v>45721</v>
      </c>
      <c r="B84" s="3" t="s">
        <v>96</v>
      </c>
      <c r="C84" s="3" t="s">
        <v>76</v>
      </c>
      <c r="D84" s="3"/>
      <c r="E84" s="4">
        <v>4990</v>
      </c>
      <c r="F84" s="3" t="s">
        <v>14</v>
      </c>
      <c r="G84" s="3" t="s">
        <v>679</v>
      </c>
      <c r="H84" s="3" t="s">
        <v>28</v>
      </c>
      <c r="I84" s="4">
        <v>797</v>
      </c>
      <c r="J84" s="4">
        <v>4193</v>
      </c>
      <c r="K84" s="3" t="s">
        <v>29</v>
      </c>
      <c r="L84" s="3" t="s">
        <v>30</v>
      </c>
    </row>
    <row r="85" spans="1:12" x14ac:dyDescent="0.5">
      <c r="A85" s="5">
        <v>45722</v>
      </c>
      <c r="B85" t="s">
        <v>90</v>
      </c>
      <c r="C85" t="s">
        <v>98</v>
      </c>
      <c r="E85" s="6">
        <v>358255</v>
      </c>
      <c r="F85" t="s">
        <v>41</v>
      </c>
      <c r="G85" t="s">
        <v>15</v>
      </c>
      <c r="H85" t="s">
        <v>66</v>
      </c>
      <c r="I85" s="6">
        <v>0</v>
      </c>
      <c r="J85" s="6">
        <v>358255</v>
      </c>
      <c r="K85" t="s">
        <v>67</v>
      </c>
      <c r="L85" t="s">
        <v>68</v>
      </c>
    </row>
    <row r="86" spans="1:12" x14ac:dyDescent="0.5">
      <c r="A86" s="2">
        <v>45723</v>
      </c>
      <c r="B86" s="3" t="s">
        <v>96</v>
      </c>
      <c r="C86" s="3" t="s">
        <v>410</v>
      </c>
      <c r="D86" s="3"/>
      <c r="E86" s="4">
        <v>113371</v>
      </c>
      <c r="F86" s="3" t="s">
        <v>14</v>
      </c>
      <c r="G86" s="3" t="s">
        <v>679</v>
      </c>
      <c r="H86" s="3" t="s">
        <v>24</v>
      </c>
      <c r="I86" s="4">
        <v>18101</v>
      </c>
      <c r="J86" s="4">
        <v>95270</v>
      </c>
      <c r="K86" s="3" t="s">
        <v>25</v>
      </c>
      <c r="L86" s="3" t="s">
        <v>26</v>
      </c>
    </row>
    <row r="87" spans="1:12" x14ac:dyDescent="0.5">
      <c r="A87" s="5">
        <v>45723</v>
      </c>
      <c r="B87" t="s">
        <v>96</v>
      </c>
      <c r="C87" t="s">
        <v>99</v>
      </c>
      <c r="E87" s="6">
        <v>27550</v>
      </c>
      <c r="F87" t="s">
        <v>14</v>
      </c>
      <c r="G87" t="s">
        <v>679</v>
      </c>
      <c r="H87" t="s">
        <v>24</v>
      </c>
      <c r="I87" s="6">
        <v>4399</v>
      </c>
      <c r="J87" s="6">
        <v>23151</v>
      </c>
      <c r="K87" t="s">
        <v>25</v>
      </c>
      <c r="L87" t="s">
        <v>26</v>
      </c>
    </row>
    <row r="88" spans="1:12" x14ac:dyDescent="0.5">
      <c r="A88" s="2">
        <v>45723</v>
      </c>
      <c r="B88" s="3" t="s">
        <v>90</v>
      </c>
      <c r="C88" s="3" t="s">
        <v>65</v>
      </c>
      <c r="D88" s="3"/>
      <c r="E88" s="4">
        <v>977761</v>
      </c>
      <c r="F88" s="3" t="s">
        <v>41</v>
      </c>
      <c r="G88" s="3" t="s">
        <v>15</v>
      </c>
      <c r="H88" s="3" t="s">
        <v>66</v>
      </c>
      <c r="I88" s="4">
        <v>0</v>
      </c>
      <c r="J88" s="4">
        <v>977761</v>
      </c>
      <c r="K88" s="3" t="s">
        <v>67</v>
      </c>
      <c r="L88" s="3" t="s">
        <v>68</v>
      </c>
    </row>
    <row r="89" spans="1:12" x14ac:dyDescent="0.5">
      <c r="A89" s="5">
        <v>45723</v>
      </c>
      <c r="B89" t="s">
        <v>90</v>
      </c>
      <c r="C89" t="s">
        <v>89</v>
      </c>
      <c r="E89" s="6">
        <v>309246</v>
      </c>
      <c r="F89" t="s">
        <v>41</v>
      </c>
      <c r="G89" t="s">
        <v>15</v>
      </c>
      <c r="H89" t="s">
        <v>66</v>
      </c>
      <c r="I89" s="6">
        <v>0</v>
      </c>
      <c r="J89" s="6">
        <v>309246</v>
      </c>
      <c r="K89" t="s">
        <v>67</v>
      </c>
      <c r="L89" t="s">
        <v>68</v>
      </c>
    </row>
    <row r="90" spans="1:12" x14ac:dyDescent="0.5">
      <c r="A90" s="2">
        <v>45723</v>
      </c>
      <c r="B90" s="3" t="s">
        <v>96</v>
      </c>
      <c r="C90" s="3" t="s">
        <v>77</v>
      </c>
      <c r="D90" s="3"/>
      <c r="E90" s="4">
        <v>31875</v>
      </c>
      <c r="F90" s="3" t="s">
        <v>14</v>
      </c>
      <c r="G90" s="3" t="s">
        <v>679</v>
      </c>
      <c r="H90" s="3" t="s">
        <v>57</v>
      </c>
      <c r="I90" s="4">
        <v>5089</v>
      </c>
      <c r="J90" s="4">
        <v>26786</v>
      </c>
      <c r="K90" s="3" t="s">
        <v>58</v>
      </c>
      <c r="L90" s="3" t="s">
        <v>48</v>
      </c>
    </row>
    <row r="91" spans="1:12" x14ac:dyDescent="0.5">
      <c r="A91" s="5">
        <v>45723</v>
      </c>
      <c r="B91" t="s">
        <v>96</v>
      </c>
      <c r="C91" t="s">
        <v>51</v>
      </c>
      <c r="E91" s="6">
        <v>87008</v>
      </c>
      <c r="F91" t="s">
        <v>14</v>
      </c>
      <c r="G91" t="s">
        <v>679</v>
      </c>
      <c r="H91" t="s">
        <v>16</v>
      </c>
      <c r="I91" s="6">
        <v>13892</v>
      </c>
      <c r="J91" s="6">
        <v>73116</v>
      </c>
      <c r="K91" t="s">
        <v>17</v>
      </c>
      <c r="L91" t="s">
        <v>18</v>
      </c>
    </row>
    <row r="92" spans="1:12" x14ac:dyDescent="0.5">
      <c r="A92" s="2">
        <v>45723</v>
      </c>
      <c r="B92" s="3" t="s">
        <v>96</v>
      </c>
      <c r="C92" s="3" t="s">
        <v>19</v>
      </c>
      <c r="D92" s="3"/>
      <c r="E92" s="4">
        <v>52635</v>
      </c>
      <c r="F92" s="3" t="s">
        <v>14</v>
      </c>
      <c r="G92" s="3" t="s">
        <v>15</v>
      </c>
      <c r="H92" s="3" t="s">
        <v>20</v>
      </c>
      <c r="I92" s="4">
        <v>8404</v>
      </c>
      <c r="J92" s="4">
        <v>44231</v>
      </c>
      <c r="K92" s="3" t="s">
        <v>21</v>
      </c>
      <c r="L92" s="3" t="s">
        <v>22</v>
      </c>
    </row>
    <row r="93" spans="1:12" x14ac:dyDescent="0.5">
      <c r="A93" s="5">
        <v>45726</v>
      </c>
      <c r="B93" t="s">
        <v>96</v>
      </c>
      <c r="C93" t="s">
        <v>412</v>
      </c>
      <c r="E93" s="6">
        <v>60000</v>
      </c>
      <c r="F93" t="s">
        <v>14</v>
      </c>
      <c r="G93" t="s">
        <v>679</v>
      </c>
      <c r="H93" t="s">
        <v>24</v>
      </c>
      <c r="I93" s="6">
        <v>9580</v>
      </c>
      <c r="J93" s="6">
        <v>50420</v>
      </c>
      <c r="K93" t="s">
        <v>25</v>
      </c>
      <c r="L93" t="s">
        <v>26</v>
      </c>
    </row>
    <row r="94" spans="1:12" x14ac:dyDescent="0.5">
      <c r="A94" s="2">
        <v>45726</v>
      </c>
      <c r="B94" s="3" t="s">
        <v>90</v>
      </c>
      <c r="C94" s="3" t="s">
        <v>411</v>
      </c>
      <c r="D94" s="3"/>
      <c r="E94" s="4">
        <v>55000</v>
      </c>
      <c r="F94" s="3" t="s">
        <v>41</v>
      </c>
      <c r="G94" s="3" t="s">
        <v>15</v>
      </c>
      <c r="H94" s="3" t="s">
        <v>66</v>
      </c>
      <c r="I94" s="4">
        <v>0</v>
      </c>
      <c r="J94" s="4">
        <v>55000</v>
      </c>
      <c r="K94" s="3" t="s">
        <v>67</v>
      </c>
      <c r="L94" s="3" t="s">
        <v>68</v>
      </c>
    </row>
    <row r="95" spans="1:12" x14ac:dyDescent="0.5">
      <c r="A95" s="5">
        <v>45726</v>
      </c>
      <c r="B95" t="s">
        <v>90</v>
      </c>
      <c r="C95" t="s">
        <v>100</v>
      </c>
      <c r="E95" s="6">
        <v>40000</v>
      </c>
      <c r="F95" t="s">
        <v>41</v>
      </c>
      <c r="G95" t="s">
        <v>15</v>
      </c>
      <c r="H95" t="s">
        <v>66</v>
      </c>
      <c r="I95" s="6">
        <v>0</v>
      </c>
      <c r="J95" s="6">
        <v>40000</v>
      </c>
      <c r="K95" t="s">
        <v>67</v>
      </c>
      <c r="L95" t="s">
        <v>68</v>
      </c>
    </row>
    <row r="96" spans="1:12" x14ac:dyDescent="0.5">
      <c r="A96" s="2">
        <v>45726</v>
      </c>
      <c r="B96" s="3" t="s">
        <v>96</v>
      </c>
      <c r="C96" s="3" t="s">
        <v>392</v>
      </c>
      <c r="D96" s="3"/>
      <c r="E96" s="4">
        <v>179980</v>
      </c>
      <c r="F96" s="3" t="s">
        <v>14</v>
      </c>
      <c r="G96" s="3" t="s">
        <v>679</v>
      </c>
      <c r="H96" s="3" t="s">
        <v>16</v>
      </c>
      <c r="I96" s="4">
        <v>28736</v>
      </c>
      <c r="J96" s="4">
        <v>151244</v>
      </c>
      <c r="K96" s="3" t="s">
        <v>17</v>
      </c>
      <c r="L96" s="3" t="s">
        <v>18</v>
      </c>
    </row>
    <row r="97" spans="1:12" x14ac:dyDescent="0.5">
      <c r="A97" s="5">
        <v>45726</v>
      </c>
      <c r="B97" t="s">
        <v>96</v>
      </c>
      <c r="C97" t="s">
        <v>101</v>
      </c>
      <c r="E97" s="6">
        <v>2260</v>
      </c>
      <c r="F97" t="s">
        <v>14</v>
      </c>
      <c r="G97" t="s">
        <v>15</v>
      </c>
      <c r="H97" t="s">
        <v>28</v>
      </c>
      <c r="I97" s="6">
        <v>361</v>
      </c>
      <c r="J97" s="6">
        <v>1899</v>
      </c>
      <c r="K97" t="s">
        <v>29</v>
      </c>
      <c r="L97" t="s">
        <v>30</v>
      </c>
    </row>
    <row r="98" spans="1:12" x14ac:dyDescent="0.5">
      <c r="A98" s="2">
        <v>45726</v>
      </c>
      <c r="B98" s="3" t="s">
        <v>96</v>
      </c>
      <c r="C98" s="3" t="s">
        <v>101</v>
      </c>
      <c r="D98" s="3"/>
      <c r="E98" s="4">
        <v>2260</v>
      </c>
      <c r="F98" s="3" t="s">
        <v>14</v>
      </c>
      <c r="G98" s="3" t="s">
        <v>15</v>
      </c>
      <c r="H98" s="3" t="s">
        <v>28</v>
      </c>
      <c r="I98" s="4">
        <v>361</v>
      </c>
      <c r="J98" s="4">
        <v>1899</v>
      </c>
      <c r="K98" s="3" t="s">
        <v>29</v>
      </c>
      <c r="L98" s="3" t="s">
        <v>30</v>
      </c>
    </row>
    <row r="99" spans="1:12" x14ac:dyDescent="0.5">
      <c r="A99" s="5">
        <v>45727</v>
      </c>
      <c r="B99" t="s">
        <v>96</v>
      </c>
      <c r="C99" t="s">
        <v>102</v>
      </c>
      <c r="E99" s="6">
        <v>144000</v>
      </c>
      <c r="F99" t="s">
        <v>14</v>
      </c>
      <c r="G99" t="s">
        <v>15</v>
      </c>
      <c r="H99" t="s">
        <v>24</v>
      </c>
      <c r="I99" s="6">
        <v>22992</v>
      </c>
      <c r="J99" s="6">
        <v>121008</v>
      </c>
      <c r="K99" t="s">
        <v>25</v>
      </c>
      <c r="L99" t="s">
        <v>26</v>
      </c>
    </row>
    <row r="100" spans="1:12" x14ac:dyDescent="0.5">
      <c r="A100" s="2">
        <v>45727</v>
      </c>
      <c r="B100" s="3" t="s">
        <v>90</v>
      </c>
      <c r="C100" s="3" t="s">
        <v>89</v>
      </c>
      <c r="D100" s="3"/>
      <c r="E100" s="4">
        <v>161483</v>
      </c>
      <c r="F100" s="3" t="s">
        <v>41</v>
      </c>
      <c r="G100" s="3" t="s">
        <v>15</v>
      </c>
      <c r="H100" s="3" t="s">
        <v>66</v>
      </c>
      <c r="I100" s="4">
        <v>0</v>
      </c>
      <c r="J100" s="4">
        <v>161483</v>
      </c>
      <c r="K100" s="3" t="s">
        <v>67</v>
      </c>
      <c r="L100" s="3" t="s">
        <v>68</v>
      </c>
    </row>
    <row r="101" spans="1:12" x14ac:dyDescent="0.5">
      <c r="A101" s="5">
        <v>45727</v>
      </c>
      <c r="B101" t="s">
        <v>90</v>
      </c>
      <c r="C101" t="s">
        <v>89</v>
      </c>
      <c r="E101" s="6">
        <v>4950</v>
      </c>
      <c r="F101" t="s">
        <v>41</v>
      </c>
      <c r="G101" t="s">
        <v>15</v>
      </c>
      <c r="H101" t="s">
        <v>66</v>
      </c>
      <c r="I101" s="6">
        <v>0</v>
      </c>
      <c r="J101" s="6">
        <v>4950</v>
      </c>
      <c r="K101" t="s">
        <v>67</v>
      </c>
      <c r="L101" t="s">
        <v>68</v>
      </c>
    </row>
    <row r="102" spans="1:12" x14ac:dyDescent="0.5">
      <c r="A102" s="2">
        <v>45729</v>
      </c>
      <c r="B102" s="3" t="s">
        <v>96</v>
      </c>
      <c r="C102" s="3" t="s">
        <v>78</v>
      </c>
      <c r="D102" s="3"/>
      <c r="E102" s="4">
        <v>158864</v>
      </c>
      <c r="F102" s="3" t="s">
        <v>14</v>
      </c>
      <c r="G102" s="3" t="s">
        <v>15</v>
      </c>
      <c r="H102" s="3" t="s">
        <v>24</v>
      </c>
      <c r="I102" s="4">
        <v>25365</v>
      </c>
      <c r="J102" s="4">
        <v>133499</v>
      </c>
      <c r="K102" s="3" t="s">
        <v>25</v>
      </c>
      <c r="L102" s="3" t="s">
        <v>26</v>
      </c>
    </row>
    <row r="103" spans="1:12" x14ac:dyDescent="0.5">
      <c r="A103" s="5">
        <v>45729</v>
      </c>
      <c r="B103" t="s">
        <v>90</v>
      </c>
      <c r="C103" t="s">
        <v>98</v>
      </c>
      <c r="E103" s="6">
        <v>800000</v>
      </c>
      <c r="F103" t="s">
        <v>41</v>
      </c>
      <c r="G103" t="s">
        <v>15</v>
      </c>
      <c r="H103" t="s">
        <v>66</v>
      </c>
      <c r="I103" s="6">
        <v>0</v>
      </c>
      <c r="J103" s="6">
        <v>800000</v>
      </c>
      <c r="K103" t="s">
        <v>67</v>
      </c>
      <c r="L103" t="s">
        <v>68</v>
      </c>
    </row>
    <row r="104" spans="1:12" x14ac:dyDescent="0.5">
      <c r="A104" s="2">
        <v>45729</v>
      </c>
      <c r="B104" s="3" t="s">
        <v>90</v>
      </c>
      <c r="C104" s="3" t="s">
        <v>89</v>
      </c>
      <c r="D104" s="3"/>
      <c r="E104" s="4">
        <v>60000</v>
      </c>
      <c r="F104" s="3" t="s">
        <v>41</v>
      </c>
      <c r="G104" s="3" t="s">
        <v>15</v>
      </c>
      <c r="H104" s="3" t="s">
        <v>66</v>
      </c>
      <c r="I104" s="4">
        <v>0</v>
      </c>
      <c r="J104" s="4">
        <v>60000</v>
      </c>
      <c r="K104" s="3" t="s">
        <v>67</v>
      </c>
      <c r="L104" s="3" t="s">
        <v>68</v>
      </c>
    </row>
    <row r="105" spans="1:12" x14ac:dyDescent="0.5">
      <c r="A105" s="5">
        <v>45730</v>
      </c>
      <c r="B105" t="s">
        <v>96</v>
      </c>
      <c r="C105" t="s">
        <v>414</v>
      </c>
      <c r="E105" s="6">
        <v>261042</v>
      </c>
      <c r="F105" t="s">
        <v>14</v>
      </c>
      <c r="G105" t="s">
        <v>15</v>
      </c>
      <c r="H105" t="s">
        <v>24</v>
      </c>
      <c r="I105" s="6">
        <v>41679</v>
      </c>
      <c r="J105" s="6">
        <v>219363</v>
      </c>
      <c r="K105" t="s">
        <v>25</v>
      </c>
      <c r="L105" t="s">
        <v>26</v>
      </c>
    </row>
    <row r="106" spans="1:12" x14ac:dyDescent="0.5">
      <c r="A106" s="2">
        <v>45730</v>
      </c>
      <c r="B106" s="3" t="s">
        <v>96</v>
      </c>
      <c r="C106" s="3" t="s">
        <v>102</v>
      </c>
      <c r="D106" s="3"/>
      <c r="E106" s="4">
        <v>108000</v>
      </c>
      <c r="F106" s="3" t="s">
        <v>14</v>
      </c>
      <c r="G106" s="3" t="s">
        <v>15</v>
      </c>
      <c r="H106" s="3" t="s">
        <v>24</v>
      </c>
      <c r="I106" s="4">
        <v>17244</v>
      </c>
      <c r="J106" s="4">
        <v>90756</v>
      </c>
      <c r="K106" s="3" t="s">
        <v>25</v>
      </c>
      <c r="L106" s="3" t="s">
        <v>26</v>
      </c>
    </row>
    <row r="107" spans="1:12" x14ac:dyDescent="0.5">
      <c r="A107" s="5">
        <v>45730</v>
      </c>
      <c r="B107" t="s">
        <v>90</v>
      </c>
      <c r="C107" t="s">
        <v>89</v>
      </c>
      <c r="E107" s="6">
        <v>6350</v>
      </c>
      <c r="F107" t="s">
        <v>41</v>
      </c>
      <c r="G107" t="s">
        <v>15</v>
      </c>
      <c r="H107" t="s">
        <v>66</v>
      </c>
      <c r="I107" s="6">
        <v>0</v>
      </c>
      <c r="J107" s="6">
        <v>6350</v>
      </c>
      <c r="K107" t="s">
        <v>67</v>
      </c>
      <c r="L107" t="s">
        <v>68</v>
      </c>
    </row>
    <row r="108" spans="1:12" x14ac:dyDescent="0.5">
      <c r="A108" s="2">
        <v>45733</v>
      </c>
      <c r="B108" s="3" t="s">
        <v>90</v>
      </c>
      <c r="C108" s="3" t="s">
        <v>40</v>
      </c>
      <c r="D108" s="3"/>
      <c r="E108" s="4">
        <v>1055433</v>
      </c>
      <c r="F108" s="3" t="s">
        <v>41</v>
      </c>
      <c r="G108" s="3" t="s">
        <v>15</v>
      </c>
      <c r="H108" s="3" t="s">
        <v>42</v>
      </c>
      <c r="I108" s="4">
        <v>0</v>
      </c>
      <c r="J108" s="4">
        <v>1055433</v>
      </c>
      <c r="K108" s="3" t="s">
        <v>43</v>
      </c>
      <c r="L108" s="3" t="s">
        <v>44</v>
      </c>
    </row>
    <row r="109" spans="1:12" x14ac:dyDescent="0.5">
      <c r="A109" s="5">
        <v>45734</v>
      </c>
      <c r="B109" t="s">
        <v>90</v>
      </c>
      <c r="C109" t="s">
        <v>100</v>
      </c>
      <c r="E109" s="6">
        <v>20000</v>
      </c>
      <c r="F109" t="s">
        <v>41</v>
      </c>
      <c r="G109" t="s">
        <v>15</v>
      </c>
      <c r="H109" t="s">
        <v>66</v>
      </c>
      <c r="I109" s="6">
        <v>0</v>
      </c>
      <c r="J109" s="6">
        <v>20000</v>
      </c>
      <c r="K109" t="s">
        <v>67</v>
      </c>
      <c r="L109" t="s">
        <v>68</v>
      </c>
    </row>
    <row r="110" spans="1:12" x14ac:dyDescent="0.5">
      <c r="A110" s="2">
        <v>45735</v>
      </c>
      <c r="B110" s="3" t="s">
        <v>96</v>
      </c>
      <c r="C110" s="3" t="s">
        <v>78</v>
      </c>
      <c r="D110" s="3"/>
      <c r="E110" s="4">
        <v>358255</v>
      </c>
      <c r="F110" s="3" t="s">
        <v>14</v>
      </c>
      <c r="G110" s="3" t="s">
        <v>15</v>
      </c>
      <c r="H110" s="3" t="s">
        <v>24</v>
      </c>
      <c r="I110" s="4">
        <v>57200</v>
      </c>
      <c r="J110" s="4">
        <v>301055</v>
      </c>
      <c r="K110" s="3" t="s">
        <v>25</v>
      </c>
      <c r="L110" s="3" t="s">
        <v>26</v>
      </c>
    </row>
    <row r="111" spans="1:12" x14ac:dyDescent="0.5">
      <c r="A111" s="5">
        <v>45736</v>
      </c>
      <c r="B111" t="s">
        <v>96</v>
      </c>
      <c r="C111" t="s">
        <v>415</v>
      </c>
      <c r="E111" s="6">
        <v>166478</v>
      </c>
      <c r="F111" t="s">
        <v>14</v>
      </c>
      <c r="G111" t="s">
        <v>15</v>
      </c>
      <c r="H111" t="s">
        <v>24</v>
      </c>
      <c r="I111" s="6">
        <v>26581</v>
      </c>
      <c r="J111" s="6">
        <v>139897</v>
      </c>
      <c r="K111" t="s">
        <v>25</v>
      </c>
      <c r="L111" t="s">
        <v>26</v>
      </c>
    </row>
    <row r="112" spans="1:12" x14ac:dyDescent="0.5">
      <c r="A112" s="2">
        <v>45736</v>
      </c>
      <c r="B112" s="3" t="s">
        <v>90</v>
      </c>
      <c r="C112" s="3" t="s">
        <v>91</v>
      </c>
      <c r="D112" s="3"/>
      <c r="E112" s="4">
        <v>43561</v>
      </c>
      <c r="F112" s="3" t="s">
        <v>41</v>
      </c>
      <c r="G112" s="3" t="s">
        <v>15</v>
      </c>
      <c r="H112" s="3" t="s">
        <v>66</v>
      </c>
      <c r="I112" s="4">
        <v>0</v>
      </c>
      <c r="J112" s="4">
        <v>43561</v>
      </c>
      <c r="K112" s="3" t="s">
        <v>67</v>
      </c>
      <c r="L112" s="3" t="s">
        <v>68</v>
      </c>
    </row>
    <row r="113" spans="1:12" x14ac:dyDescent="0.5">
      <c r="A113" s="5">
        <v>45737</v>
      </c>
      <c r="B113" t="s">
        <v>96</v>
      </c>
      <c r="C113" t="s">
        <v>103</v>
      </c>
      <c r="E113" s="6">
        <v>4280</v>
      </c>
      <c r="F113" t="s">
        <v>14</v>
      </c>
      <c r="G113" t="s">
        <v>679</v>
      </c>
      <c r="H113" t="s">
        <v>28</v>
      </c>
      <c r="I113" s="6">
        <v>683</v>
      </c>
      <c r="J113" s="6">
        <v>3597</v>
      </c>
      <c r="K113" t="s">
        <v>29</v>
      </c>
      <c r="L113" t="s">
        <v>30</v>
      </c>
    </row>
    <row r="114" spans="1:12" x14ac:dyDescent="0.5">
      <c r="A114" s="2">
        <v>45737</v>
      </c>
      <c r="B114" s="3" t="s">
        <v>96</v>
      </c>
      <c r="C114" s="3" t="s">
        <v>104</v>
      </c>
      <c r="D114" s="3"/>
      <c r="E114" s="4">
        <v>400</v>
      </c>
      <c r="F114" s="3" t="s">
        <v>14</v>
      </c>
      <c r="G114" s="3" t="s">
        <v>679</v>
      </c>
      <c r="H114" s="3" t="s">
        <v>28</v>
      </c>
      <c r="I114" s="4">
        <v>64</v>
      </c>
      <c r="J114" s="4">
        <v>336</v>
      </c>
      <c r="K114" s="3" t="s">
        <v>29</v>
      </c>
      <c r="L114" s="3" t="s">
        <v>30</v>
      </c>
    </row>
    <row r="115" spans="1:12" x14ac:dyDescent="0.5">
      <c r="A115" s="5">
        <v>45740</v>
      </c>
      <c r="B115" t="s">
        <v>96</v>
      </c>
      <c r="C115" t="s">
        <v>417</v>
      </c>
      <c r="E115" s="6">
        <v>15939</v>
      </c>
      <c r="F115" t="s">
        <v>14</v>
      </c>
      <c r="G115" t="s">
        <v>679</v>
      </c>
      <c r="H115" t="s">
        <v>355</v>
      </c>
      <c r="I115" s="6">
        <v>2545</v>
      </c>
      <c r="J115" s="6">
        <v>13394</v>
      </c>
      <c r="K115" t="s">
        <v>356</v>
      </c>
      <c r="L115" t="s">
        <v>48</v>
      </c>
    </row>
    <row r="116" spans="1:12" x14ac:dyDescent="0.5">
      <c r="A116" s="2">
        <v>45740</v>
      </c>
      <c r="B116" s="3" t="s">
        <v>96</v>
      </c>
      <c r="C116" s="3" t="s">
        <v>105</v>
      </c>
      <c r="D116" s="3"/>
      <c r="E116" s="4">
        <v>7900</v>
      </c>
      <c r="F116" s="3" t="s">
        <v>14</v>
      </c>
      <c r="G116" s="3" t="s">
        <v>679</v>
      </c>
      <c r="H116" s="3" t="s">
        <v>16</v>
      </c>
      <c r="I116" s="4">
        <v>1261</v>
      </c>
      <c r="J116" s="4">
        <v>6639</v>
      </c>
      <c r="K116" s="3" t="s">
        <v>17</v>
      </c>
      <c r="L116" s="3" t="s">
        <v>18</v>
      </c>
    </row>
    <row r="117" spans="1:12" x14ac:dyDescent="0.5">
      <c r="A117" s="5">
        <v>45740</v>
      </c>
      <c r="B117" t="s">
        <v>96</v>
      </c>
      <c r="C117" t="s">
        <v>106</v>
      </c>
      <c r="E117" s="6">
        <v>11192</v>
      </c>
      <c r="F117" t="s">
        <v>14</v>
      </c>
      <c r="G117" t="s">
        <v>679</v>
      </c>
      <c r="H117" t="s">
        <v>33</v>
      </c>
      <c r="I117" s="6">
        <v>1787</v>
      </c>
      <c r="J117" s="6">
        <v>9405</v>
      </c>
      <c r="K117" t="s">
        <v>34</v>
      </c>
      <c r="L117" t="s">
        <v>35</v>
      </c>
    </row>
    <row r="118" spans="1:12" x14ac:dyDescent="0.5">
      <c r="A118" s="2">
        <v>45740</v>
      </c>
      <c r="B118" s="3" t="s">
        <v>96</v>
      </c>
      <c r="C118" s="3" t="s">
        <v>107</v>
      </c>
      <c r="D118" s="3"/>
      <c r="E118" s="4">
        <v>100</v>
      </c>
      <c r="F118" s="3" t="s">
        <v>41</v>
      </c>
      <c r="G118" s="3" t="s">
        <v>679</v>
      </c>
      <c r="H118" s="3" t="s">
        <v>62</v>
      </c>
      <c r="I118" s="4">
        <v>0</v>
      </c>
      <c r="J118" s="4">
        <v>100</v>
      </c>
      <c r="K118" s="3" t="s">
        <v>63</v>
      </c>
      <c r="L118" s="3" t="s">
        <v>22</v>
      </c>
    </row>
    <row r="119" spans="1:12" x14ac:dyDescent="0.5">
      <c r="A119" s="5">
        <v>45740</v>
      </c>
      <c r="B119" t="s">
        <v>96</v>
      </c>
      <c r="C119" t="s">
        <v>103</v>
      </c>
      <c r="E119" s="6">
        <v>2460</v>
      </c>
      <c r="F119" t="s">
        <v>14</v>
      </c>
      <c r="G119" t="s">
        <v>679</v>
      </c>
      <c r="H119" t="s">
        <v>28</v>
      </c>
      <c r="I119" s="6">
        <v>393</v>
      </c>
      <c r="J119" s="6">
        <v>2067</v>
      </c>
      <c r="K119" t="s">
        <v>29</v>
      </c>
      <c r="L119" t="s">
        <v>30</v>
      </c>
    </row>
    <row r="120" spans="1:12" x14ac:dyDescent="0.5">
      <c r="A120" s="2">
        <v>45741</v>
      </c>
      <c r="B120" s="3" t="s">
        <v>96</v>
      </c>
      <c r="C120" s="3" t="s">
        <v>107</v>
      </c>
      <c r="D120" s="3"/>
      <c r="E120" s="4">
        <v>8980</v>
      </c>
      <c r="F120" s="3" t="s">
        <v>41</v>
      </c>
      <c r="G120" s="3" t="s">
        <v>679</v>
      </c>
      <c r="H120" s="3" t="s">
        <v>62</v>
      </c>
      <c r="I120" s="4">
        <v>0</v>
      </c>
      <c r="J120" s="4">
        <v>8980</v>
      </c>
      <c r="K120" s="3" t="s">
        <v>63</v>
      </c>
      <c r="L120" s="3" t="s">
        <v>22</v>
      </c>
    </row>
    <row r="121" spans="1:12" x14ac:dyDescent="0.5">
      <c r="A121" s="5">
        <v>45741</v>
      </c>
      <c r="B121" t="s">
        <v>96</v>
      </c>
      <c r="C121" t="s">
        <v>108</v>
      </c>
      <c r="E121" s="6">
        <v>39980</v>
      </c>
      <c r="F121" t="s">
        <v>14</v>
      </c>
      <c r="G121" t="s">
        <v>679</v>
      </c>
      <c r="H121" t="s">
        <v>109</v>
      </c>
      <c r="I121" s="6">
        <v>6383</v>
      </c>
      <c r="J121" s="6">
        <v>33597</v>
      </c>
      <c r="K121" t="s">
        <v>110</v>
      </c>
      <c r="L121" t="s">
        <v>30</v>
      </c>
    </row>
    <row r="122" spans="1:12" x14ac:dyDescent="0.5">
      <c r="A122" s="2">
        <v>45742</v>
      </c>
      <c r="B122" s="3" t="s">
        <v>96</v>
      </c>
      <c r="C122" s="3" t="s">
        <v>111</v>
      </c>
      <c r="D122" s="3"/>
      <c r="E122" s="4">
        <v>19175</v>
      </c>
      <c r="F122" s="3" t="s">
        <v>14</v>
      </c>
      <c r="G122" s="3" t="s">
        <v>679</v>
      </c>
      <c r="H122" s="3" t="s">
        <v>24</v>
      </c>
      <c r="I122" s="4">
        <v>3062</v>
      </c>
      <c r="J122" s="4">
        <v>16113</v>
      </c>
      <c r="K122" s="3" t="s">
        <v>25</v>
      </c>
      <c r="L122" s="3" t="s">
        <v>26</v>
      </c>
    </row>
    <row r="123" spans="1:12" x14ac:dyDescent="0.5">
      <c r="A123" s="5">
        <v>45742</v>
      </c>
      <c r="B123" t="s">
        <v>96</v>
      </c>
      <c r="C123" t="s">
        <v>112</v>
      </c>
      <c r="E123" s="6">
        <v>100</v>
      </c>
      <c r="F123" t="s">
        <v>14</v>
      </c>
      <c r="G123" t="s">
        <v>679</v>
      </c>
      <c r="H123" t="s">
        <v>24</v>
      </c>
      <c r="I123" s="6">
        <v>16</v>
      </c>
      <c r="J123" s="6">
        <v>84</v>
      </c>
      <c r="K123" t="s">
        <v>25</v>
      </c>
      <c r="L123" t="s">
        <v>26</v>
      </c>
    </row>
    <row r="124" spans="1:12" x14ac:dyDescent="0.5">
      <c r="A124" s="2">
        <v>45742</v>
      </c>
      <c r="B124" s="3" t="s">
        <v>96</v>
      </c>
      <c r="C124" s="3" t="s">
        <v>419</v>
      </c>
      <c r="D124" s="3"/>
      <c r="E124" s="4">
        <v>24758</v>
      </c>
      <c r="F124" s="3" t="s">
        <v>14</v>
      </c>
      <c r="G124" s="3" t="s">
        <v>679</v>
      </c>
      <c r="H124" s="3" t="s">
        <v>355</v>
      </c>
      <c r="I124" s="4">
        <v>3953</v>
      </c>
      <c r="J124" s="4">
        <v>20805</v>
      </c>
      <c r="K124" s="3" t="s">
        <v>356</v>
      </c>
      <c r="L124" s="3" t="s">
        <v>48</v>
      </c>
    </row>
    <row r="125" spans="1:12" x14ac:dyDescent="0.5">
      <c r="A125" s="5">
        <v>45742</v>
      </c>
      <c r="B125" t="s">
        <v>96</v>
      </c>
      <c r="C125" t="s">
        <v>107</v>
      </c>
      <c r="E125" s="6">
        <v>3632</v>
      </c>
      <c r="F125" t="s">
        <v>41</v>
      </c>
      <c r="G125" t="s">
        <v>679</v>
      </c>
      <c r="H125" t="s">
        <v>62</v>
      </c>
      <c r="I125" s="6">
        <v>0</v>
      </c>
      <c r="J125" s="6">
        <v>3632</v>
      </c>
      <c r="K125" t="s">
        <v>63</v>
      </c>
      <c r="L125" t="s">
        <v>22</v>
      </c>
    </row>
    <row r="126" spans="1:12" x14ac:dyDescent="0.5">
      <c r="A126" s="2">
        <v>45742</v>
      </c>
      <c r="B126" s="3" t="s">
        <v>96</v>
      </c>
      <c r="C126" s="3" t="s">
        <v>107</v>
      </c>
      <c r="D126" s="3"/>
      <c r="E126" s="4">
        <v>2076</v>
      </c>
      <c r="F126" s="3" t="s">
        <v>41</v>
      </c>
      <c r="G126" s="3" t="s">
        <v>679</v>
      </c>
      <c r="H126" s="3" t="s">
        <v>62</v>
      </c>
      <c r="I126" s="4">
        <v>0</v>
      </c>
      <c r="J126" s="4">
        <v>2076</v>
      </c>
      <c r="K126" s="3" t="s">
        <v>63</v>
      </c>
      <c r="L126" s="3" t="s">
        <v>22</v>
      </c>
    </row>
    <row r="127" spans="1:12" x14ac:dyDescent="0.5">
      <c r="A127" s="5">
        <v>45742</v>
      </c>
      <c r="B127" t="s">
        <v>96</v>
      </c>
      <c r="C127" t="s">
        <v>107</v>
      </c>
      <c r="E127" s="6">
        <v>1816</v>
      </c>
      <c r="F127" t="s">
        <v>41</v>
      </c>
      <c r="G127" t="s">
        <v>679</v>
      </c>
      <c r="H127" t="s">
        <v>62</v>
      </c>
      <c r="I127" s="6">
        <v>0</v>
      </c>
      <c r="J127" s="6">
        <v>1816</v>
      </c>
      <c r="K127" t="s">
        <v>63</v>
      </c>
      <c r="L127" t="s">
        <v>22</v>
      </c>
    </row>
    <row r="128" spans="1:12" x14ac:dyDescent="0.5">
      <c r="A128" s="2">
        <v>45743</v>
      </c>
      <c r="B128" s="3" t="s">
        <v>96</v>
      </c>
      <c r="C128" s="3" t="s">
        <v>87</v>
      </c>
      <c r="D128" s="3"/>
      <c r="E128" s="4">
        <v>19131</v>
      </c>
      <c r="F128" s="3" t="s">
        <v>14</v>
      </c>
      <c r="G128" s="3" t="s">
        <v>15</v>
      </c>
      <c r="H128" s="3" t="s">
        <v>46</v>
      </c>
      <c r="I128" s="4">
        <v>3055</v>
      </c>
      <c r="J128" s="4">
        <v>16076</v>
      </c>
      <c r="K128" s="3" t="s">
        <v>47</v>
      </c>
      <c r="L128" s="3" t="s">
        <v>48</v>
      </c>
    </row>
    <row r="129" spans="1:12" x14ac:dyDescent="0.5">
      <c r="A129" s="5">
        <v>45743</v>
      </c>
      <c r="B129" t="s">
        <v>96</v>
      </c>
      <c r="C129" t="s">
        <v>87</v>
      </c>
      <c r="E129" s="6">
        <v>19</v>
      </c>
      <c r="F129" t="s">
        <v>14</v>
      </c>
      <c r="G129" t="s">
        <v>15</v>
      </c>
      <c r="H129" t="s">
        <v>46</v>
      </c>
      <c r="I129" s="6">
        <v>3</v>
      </c>
      <c r="J129" s="6">
        <v>16</v>
      </c>
      <c r="K129" t="s">
        <v>47</v>
      </c>
      <c r="L129" t="s">
        <v>48</v>
      </c>
    </row>
    <row r="130" spans="1:12" x14ac:dyDescent="0.5">
      <c r="A130" s="2">
        <v>45743</v>
      </c>
      <c r="B130" s="3" t="s">
        <v>96</v>
      </c>
      <c r="C130" s="3" t="s">
        <v>103</v>
      </c>
      <c r="D130" s="3"/>
      <c r="E130" s="4">
        <v>3715</v>
      </c>
      <c r="F130" s="3" t="s">
        <v>14</v>
      </c>
      <c r="G130" s="3" t="s">
        <v>679</v>
      </c>
      <c r="H130" s="3" t="s">
        <v>28</v>
      </c>
      <c r="I130" s="4">
        <v>593</v>
      </c>
      <c r="J130" s="4">
        <v>3122</v>
      </c>
      <c r="K130" s="3" t="s">
        <v>29</v>
      </c>
      <c r="L130" s="3" t="s">
        <v>30</v>
      </c>
    </row>
    <row r="131" spans="1:12" x14ac:dyDescent="0.5">
      <c r="A131" s="5">
        <v>45744</v>
      </c>
      <c r="B131" t="s">
        <v>96</v>
      </c>
      <c r="C131" t="s">
        <v>107</v>
      </c>
      <c r="E131" s="6">
        <v>2995</v>
      </c>
      <c r="F131" t="s">
        <v>41</v>
      </c>
      <c r="G131" t="s">
        <v>679</v>
      </c>
      <c r="H131" t="s">
        <v>62</v>
      </c>
      <c r="I131" s="6">
        <v>0</v>
      </c>
      <c r="J131" s="6">
        <v>2995</v>
      </c>
      <c r="K131" t="s">
        <v>63</v>
      </c>
      <c r="L131" t="s">
        <v>22</v>
      </c>
    </row>
    <row r="132" spans="1:12" x14ac:dyDescent="0.5">
      <c r="A132" s="2">
        <v>45744</v>
      </c>
      <c r="B132" s="3" t="s">
        <v>96</v>
      </c>
      <c r="C132" s="3" t="s">
        <v>103</v>
      </c>
      <c r="D132" s="3"/>
      <c r="E132" s="4">
        <v>4415</v>
      </c>
      <c r="F132" s="3" t="s">
        <v>14</v>
      </c>
      <c r="G132" s="3" t="s">
        <v>679</v>
      </c>
      <c r="H132" s="3" t="s">
        <v>28</v>
      </c>
      <c r="I132" s="4">
        <v>705</v>
      </c>
      <c r="J132" s="4">
        <v>3710</v>
      </c>
      <c r="K132" s="3" t="s">
        <v>29</v>
      </c>
      <c r="L132" s="3" t="s">
        <v>30</v>
      </c>
    </row>
    <row r="133" spans="1:12" x14ac:dyDescent="0.5">
      <c r="A133" s="5">
        <v>45747</v>
      </c>
      <c r="B133" t="s">
        <v>96</v>
      </c>
      <c r="C133" t="s">
        <v>421</v>
      </c>
      <c r="E133" s="6">
        <v>26840</v>
      </c>
      <c r="F133" t="s">
        <v>14</v>
      </c>
      <c r="G133" t="s">
        <v>679</v>
      </c>
      <c r="H133" t="s">
        <v>24</v>
      </c>
      <c r="I133" s="6">
        <v>4285</v>
      </c>
      <c r="J133" s="6">
        <v>22555</v>
      </c>
      <c r="K133" t="s">
        <v>25</v>
      </c>
      <c r="L133" t="s">
        <v>26</v>
      </c>
    </row>
    <row r="134" spans="1:12" x14ac:dyDescent="0.5">
      <c r="A134" s="2">
        <v>45747</v>
      </c>
      <c r="B134" s="3" t="s">
        <v>90</v>
      </c>
      <c r="C134" s="3" t="s">
        <v>113</v>
      </c>
      <c r="D134" s="3"/>
      <c r="E134" s="4">
        <v>130000</v>
      </c>
      <c r="F134" s="3" t="s">
        <v>41</v>
      </c>
      <c r="G134" s="3" t="s">
        <v>15</v>
      </c>
      <c r="H134" s="3" t="s">
        <v>66</v>
      </c>
      <c r="I134" s="4">
        <v>0</v>
      </c>
      <c r="J134" s="4">
        <v>130000</v>
      </c>
      <c r="K134" s="3" t="s">
        <v>67</v>
      </c>
      <c r="L134" s="3" t="s">
        <v>68</v>
      </c>
    </row>
    <row r="135" spans="1:12" x14ac:dyDescent="0.5">
      <c r="A135" s="5">
        <v>45747</v>
      </c>
      <c r="B135" t="s">
        <v>90</v>
      </c>
      <c r="C135" t="s">
        <v>422</v>
      </c>
      <c r="E135" s="6">
        <v>44000</v>
      </c>
      <c r="F135" t="s">
        <v>41</v>
      </c>
      <c r="G135" t="s">
        <v>15</v>
      </c>
      <c r="H135" t="s">
        <v>66</v>
      </c>
      <c r="I135" s="6">
        <v>0</v>
      </c>
      <c r="J135" s="6">
        <v>44000</v>
      </c>
      <c r="K135" t="s">
        <v>67</v>
      </c>
      <c r="L135" t="s">
        <v>68</v>
      </c>
    </row>
    <row r="136" spans="1:12" x14ac:dyDescent="0.5">
      <c r="A136" s="2">
        <v>45747</v>
      </c>
      <c r="B136" s="3" t="s">
        <v>96</v>
      </c>
      <c r="C136" s="3" t="s">
        <v>114</v>
      </c>
      <c r="D136" s="3"/>
      <c r="E136" s="4">
        <v>107656</v>
      </c>
      <c r="F136" s="3" t="s">
        <v>14</v>
      </c>
      <c r="G136" s="3" t="s">
        <v>679</v>
      </c>
      <c r="H136" s="3" t="s">
        <v>16</v>
      </c>
      <c r="I136" s="4">
        <v>17189</v>
      </c>
      <c r="J136" s="4">
        <v>90467</v>
      </c>
      <c r="K136" s="3" t="s">
        <v>17</v>
      </c>
      <c r="L136" s="3" t="s">
        <v>18</v>
      </c>
    </row>
    <row r="137" spans="1:12" x14ac:dyDescent="0.5">
      <c r="A137" s="5">
        <v>45747</v>
      </c>
      <c r="B137" t="s">
        <v>96</v>
      </c>
      <c r="C137" t="s">
        <v>107</v>
      </c>
      <c r="E137" s="6">
        <v>9721</v>
      </c>
      <c r="F137" t="s">
        <v>41</v>
      </c>
      <c r="G137" t="s">
        <v>679</v>
      </c>
      <c r="H137" t="s">
        <v>62</v>
      </c>
      <c r="I137" s="6">
        <v>0</v>
      </c>
      <c r="J137" s="6">
        <v>9721</v>
      </c>
      <c r="K137" t="s">
        <v>63</v>
      </c>
      <c r="L137" t="s">
        <v>22</v>
      </c>
    </row>
    <row r="138" spans="1:12" x14ac:dyDescent="0.5">
      <c r="A138" s="2">
        <v>45747</v>
      </c>
      <c r="B138" s="3" t="s">
        <v>96</v>
      </c>
      <c r="C138" s="3" t="s">
        <v>107</v>
      </c>
      <c r="D138" s="3"/>
      <c r="E138" s="4">
        <v>5995</v>
      </c>
      <c r="F138" s="3" t="s">
        <v>41</v>
      </c>
      <c r="G138" s="3" t="s">
        <v>679</v>
      </c>
      <c r="H138" s="3" t="s">
        <v>62</v>
      </c>
      <c r="I138" s="4">
        <v>0</v>
      </c>
      <c r="J138" s="4">
        <v>5995</v>
      </c>
      <c r="K138" s="3" t="s">
        <v>63</v>
      </c>
      <c r="L138" s="3" t="s">
        <v>22</v>
      </c>
    </row>
    <row r="139" spans="1:12" x14ac:dyDescent="0.5">
      <c r="A139" s="5">
        <v>45747</v>
      </c>
      <c r="B139" t="s">
        <v>96</v>
      </c>
      <c r="C139" t="s">
        <v>107</v>
      </c>
      <c r="E139" s="6">
        <v>5995</v>
      </c>
      <c r="F139" t="s">
        <v>41</v>
      </c>
      <c r="G139" t="s">
        <v>679</v>
      </c>
      <c r="H139" t="s">
        <v>62</v>
      </c>
      <c r="I139" s="6">
        <v>0</v>
      </c>
      <c r="J139" s="6">
        <v>5995</v>
      </c>
      <c r="K139" t="s">
        <v>63</v>
      </c>
      <c r="L139" t="s">
        <v>22</v>
      </c>
    </row>
    <row r="140" spans="1:12" x14ac:dyDescent="0.5">
      <c r="A140" s="2">
        <v>45747</v>
      </c>
      <c r="B140" s="3" t="s">
        <v>96</v>
      </c>
      <c r="C140" s="3" t="s">
        <v>107</v>
      </c>
      <c r="D140" s="3"/>
      <c r="E140" s="4">
        <v>2313</v>
      </c>
      <c r="F140" s="3" t="s">
        <v>41</v>
      </c>
      <c r="G140" s="3" t="s">
        <v>679</v>
      </c>
      <c r="H140" s="3" t="s">
        <v>62</v>
      </c>
      <c r="I140" s="4">
        <v>0</v>
      </c>
      <c r="J140" s="4">
        <v>2313</v>
      </c>
      <c r="K140" s="3" t="s">
        <v>63</v>
      </c>
      <c r="L140" s="3" t="s">
        <v>22</v>
      </c>
    </row>
    <row r="141" spans="1:12" x14ac:dyDescent="0.5">
      <c r="A141" s="5">
        <v>45747</v>
      </c>
      <c r="B141" t="s">
        <v>96</v>
      </c>
      <c r="C141" t="s">
        <v>107</v>
      </c>
      <c r="E141" s="6">
        <v>1500</v>
      </c>
      <c r="F141" t="s">
        <v>41</v>
      </c>
      <c r="G141" t="s">
        <v>679</v>
      </c>
      <c r="H141" t="s">
        <v>62</v>
      </c>
      <c r="I141" s="6">
        <v>0</v>
      </c>
      <c r="J141" s="6">
        <v>1500</v>
      </c>
      <c r="K141" t="s">
        <v>63</v>
      </c>
      <c r="L141" t="s">
        <v>22</v>
      </c>
    </row>
    <row r="142" spans="1:12" x14ac:dyDescent="0.5">
      <c r="A142" s="2">
        <v>45748</v>
      </c>
      <c r="B142" s="3" t="s">
        <v>115</v>
      </c>
      <c r="C142" s="3" t="s">
        <v>423</v>
      </c>
      <c r="D142" s="3"/>
      <c r="E142" s="4">
        <v>198047</v>
      </c>
      <c r="F142" s="3" t="s">
        <v>14</v>
      </c>
      <c r="G142" s="3" t="s">
        <v>15</v>
      </c>
      <c r="H142" s="3" t="s">
        <v>24</v>
      </c>
      <c r="I142" s="4">
        <v>31621</v>
      </c>
      <c r="J142" s="4">
        <v>166426</v>
      </c>
      <c r="K142" s="3" t="s">
        <v>25</v>
      </c>
      <c r="L142" s="3" t="s">
        <v>26</v>
      </c>
    </row>
    <row r="143" spans="1:12" x14ac:dyDescent="0.5">
      <c r="A143" s="5">
        <v>45748</v>
      </c>
      <c r="B143" t="s">
        <v>115</v>
      </c>
      <c r="C143" t="s">
        <v>102</v>
      </c>
      <c r="E143" s="6">
        <v>189002</v>
      </c>
      <c r="F143" t="s">
        <v>14</v>
      </c>
      <c r="G143" t="s">
        <v>15</v>
      </c>
      <c r="H143" t="s">
        <v>24</v>
      </c>
      <c r="I143" s="6">
        <v>30177</v>
      </c>
      <c r="J143" s="6">
        <v>158825</v>
      </c>
      <c r="K143" t="s">
        <v>25</v>
      </c>
      <c r="L143" t="s">
        <v>26</v>
      </c>
    </row>
    <row r="144" spans="1:12" x14ac:dyDescent="0.5">
      <c r="A144" s="2">
        <v>45748</v>
      </c>
      <c r="B144" s="3" t="s">
        <v>115</v>
      </c>
      <c r="C144" s="3" t="s">
        <v>102</v>
      </c>
      <c r="D144" s="3"/>
      <c r="E144" s="4">
        <v>75601</v>
      </c>
      <c r="F144" s="3" t="s">
        <v>14</v>
      </c>
      <c r="G144" s="3" t="s">
        <v>15</v>
      </c>
      <c r="H144" s="3" t="s">
        <v>24</v>
      </c>
      <c r="I144" s="4">
        <v>12071</v>
      </c>
      <c r="J144" s="4">
        <v>63530</v>
      </c>
      <c r="K144" s="3" t="s">
        <v>25</v>
      </c>
      <c r="L144" s="3" t="s">
        <v>26</v>
      </c>
    </row>
    <row r="145" spans="1:12" x14ac:dyDescent="0.5">
      <c r="A145" s="5">
        <v>45748</v>
      </c>
      <c r="B145" t="s">
        <v>115</v>
      </c>
      <c r="C145" t="s">
        <v>102</v>
      </c>
      <c r="E145" s="6">
        <v>75601</v>
      </c>
      <c r="F145" t="s">
        <v>14</v>
      </c>
      <c r="G145" t="s">
        <v>15</v>
      </c>
      <c r="H145" t="s">
        <v>24</v>
      </c>
      <c r="I145" s="6">
        <v>12071</v>
      </c>
      <c r="J145" s="6">
        <v>63530</v>
      </c>
      <c r="K145" t="s">
        <v>25</v>
      </c>
      <c r="L145" t="s">
        <v>26</v>
      </c>
    </row>
    <row r="146" spans="1:12" x14ac:dyDescent="0.5">
      <c r="A146" s="2">
        <v>45748</v>
      </c>
      <c r="B146" s="3" t="s">
        <v>96</v>
      </c>
      <c r="C146" s="3" t="s">
        <v>98</v>
      </c>
      <c r="D146" s="3"/>
      <c r="E146" s="4">
        <v>800000</v>
      </c>
      <c r="F146" s="3" t="s">
        <v>41</v>
      </c>
      <c r="G146" s="3" t="s">
        <v>15</v>
      </c>
      <c r="H146" s="3" t="s">
        <v>66</v>
      </c>
      <c r="I146" s="4">
        <v>0</v>
      </c>
      <c r="J146" s="4">
        <v>800000</v>
      </c>
      <c r="K146" s="3" t="s">
        <v>67</v>
      </c>
      <c r="L146" s="3" t="s">
        <v>68</v>
      </c>
    </row>
    <row r="147" spans="1:12" x14ac:dyDescent="0.5">
      <c r="A147" s="5">
        <v>45748</v>
      </c>
      <c r="B147" t="s">
        <v>115</v>
      </c>
      <c r="C147" t="s">
        <v>116</v>
      </c>
      <c r="E147" s="6">
        <v>70164</v>
      </c>
      <c r="F147" t="s">
        <v>14</v>
      </c>
      <c r="G147" t="s">
        <v>679</v>
      </c>
      <c r="H147" t="s">
        <v>16</v>
      </c>
      <c r="I147" s="6">
        <v>11203</v>
      </c>
      <c r="J147" s="6">
        <v>58961</v>
      </c>
      <c r="K147" t="s">
        <v>17</v>
      </c>
      <c r="L147" t="s">
        <v>18</v>
      </c>
    </row>
    <row r="148" spans="1:12" x14ac:dyDescent="0.5">
      <c r="A148" s="2">
        <v>45749</v>
      </c>
      <c r="B148" s="3" t="s">
        <v>115</v>
      </c>
      <c r="C148" s="3" t="s">
        <v>111</v>
      </c>
      <c r="D148" s="3"/>
      <c r="E148" s="4">
        <v>22280</v>
      </c>
      <c r="F148" s="3" t="s">
        <v>14</v>
      </c>
      <c r="G148" s="3" t="s">
        <v>679</v>
      </c>
      <c r="H148" s="3" t="s">
        <v>24</v>
      </c>
      <c r="I148" s="4">
        <v>3557</v>
      </c>
      <c r="J148" s="4">
        <v>18723</v>
      </c>
      <c r="K148" s="3" t="s">
        <v>25</v>
      </c>
      <c r="L148" s="3" t="s">
        <v>26</v>
      </c>
    </row>
    <row r="149" spans="1:12" x14ac:dyDescent="0.5">
      <c r="A149" s="5">
        <v>45749</v>
      </c>
      <c r="B149" t="s">
        <v>115</v>
      </c>
      <c r="C149" t="s">
        <v>117</v>
      </c>
      <c r="E149" s="6">
        <v>87759</v>
      </c>
      <c r="F149" t="s">
        <v>14</v>
      </c>
      <c r="G149" t="s">
        <v>679</v>
      </c>
      <c r="H149" t="s">
        <v>16</v>
      </c>
      <c r="I149" s="6">
        <v>14012</v>
      </c>
      <c r="J149" s="6">
        <v>73747</v>
      </c>
      <c r="K149" t="s">
        <v>17</v>
      </c>
      <c r="L149" t="s">
        <v>18</v>
      </c>
    </row>
    <row r="150" spans="1:12" x14ac:dyDescent="0.5">
      <c r="A150" s="2">
        <v>45749</v>
      </c>
      <c r="B150" s="3" t="s">
        <v>115</v>
      </c>
      <c r="C150" s="3" t="s">
        <v>19</v>
      </c>
      <c r="D150" s="3"/>
      <c r="E150" s="4">
        <v>64412</v>
      </c>
      <c r="F150" s="3" t="s">
        <v>14</v>
      </c>
      <c r="G150" s="3" t="s">
        <v>15</v>
      </c>
      <c r="H150" s="3" t="s">
        <v>20</v>
      </c>
      <c r="I150" s="4">
        <v>10284</v>
      </c>
      <c r="J150" s="4">
        <v>54128</v>
      </c>
      <c r="K150" s="3" t="s">
        <v>21</v>
      </c>
      <c r="L150" s="3" t="s">
        <v>22</v>
      </c>
    </row>
    <row r="151" spans="1:12" x14ac:dyDescent="0.5">
      <c r="A151" s="5">
        <v>45750</v>
      </c>
      <c r="B151" t="s">
        <v>96</v>
      </c>
      <c r="C151" t="s">
        <v>65</v>
      </c>
      <c r="E151" s="6">
        <v>1015016</v>
      </c>
      <c r="F151" t="s">
        <v>41</v>
      </c>
      <c r="G151" t="s">
        <v>15</v>
      </c>
      <c r="H151" t="s">
        <v>66</v>
      </c>
      <c r="I151" s="6">
        <v>0</v>
      </c>
      <c r="J151" s="6">
        <v>1015016</v>
      </c>
      <c r="K151" t="s">
        <v>67</v>
      </c>
      <c r="L151" t="s">
        <v>68</v>
      </c>
    </row>
    <row r="152" spans="1:12" x14ac:dyDescent="0.5">
      <c r="A152" s="2">
        <v>45750</v>
      </c>
      <c r="B152" s="3" t="s">
        <v>115</v>
      </c>
      <c r="C152" s="3" t="s">
        <v>73</v>
      </c>
      <c r="D152" s="3"/>
      <c r="E152" s="4">
        <v>283397</v>
      </c>
      <c r="F152" s="3" t="s">
        <v>41</v>
      </c>
      <c r="G152" s="3" t="s">
        <v>15</v>
      </c>
      <c r="H152" s="3" t="s">
        <v>74</v>
      </c>
      <c r="I152" s="4">
        <v>0</v>
      </c>
      <c r="J152" s="4">
        <v>283397</v>
      </c>
      <c r="K152" s="3" t="s">
        <v>75</v>
      </c>
      <c r="L152" s="3" t="s">
        <v>44</v>
      </c>
    </row>
    <row r="153" spans="1:12" x14ac:dyDescent="0.5">
      <c r="A153" s="5">
        <v>45751</v>
      </c>
      <c r="B153" t="s">
        <v>115</v>
      </c>
      <c r="C153" t="s">
        <v>429</v>
      </c>
      <c r="E153" s="6">
        <v>6444</v>
      </c>
      <c r="F153" t="s">
        <v>14</v>
      </c>
      <c r="G153" t="s">
        <v>679</v>
      </c>
      <c r="H153" t="s">
        <v>24</v>
      </c>
      <c r="I153" s="6">
        <v>1029</v>
      </c>
      <c r="J153" s="6">
        <v>5415</v>
      </c>
      <c r="K153" t="s">
        <v>25</v>
      </c>
      <c r="L153" t="s">
        <v>26</v>
      </c>
    </row>
    <row r="154" spans="1:12" x14ac:dyDescent="0.5">
      <c r="A154" s="2">
        <v>45751</v>
      </c>
      <c r="B154" s="3" t="s">
        <v>115</v>
      </c>
      <c r="C154" s="3" t="s">
        <v>118</v>
      </c>
      <c r="D154" s="3"/>
      <c r="E154" s="4">
        <v>324770</v>
      </c>
      <c r="F154" s="3" t="s">
        <v>14</v>
      </c>
      <c r="G154" s="3" t="s">
        <v>679</v>
      </c>
      <c r="H154" s="3" t="s">
        <v>119</v>
      </c>
      <c r="I154" s="4">
        <v>51854</v>
      </c>
      <c r="J154" s="4">
        <v>272916</v>
      </c>
      <c r="K154" s="3" t="s">
        <v>120</v>
      </c>
      <c r="L154" s="3" t="s">
        <v>48</v>
      </c>
    </row>
    <row r="155" spans="1:12" x14ac:dyDescent="0.5">
      <c r="A155" s="5">
        <v>45751</v>
      </c>
      <c r="B155" t="s">
        <v>115</v>
      </c>
      <c r="C155" t="s">
        <v>73</v>
      </c>
      <c r="E155" s="6">
        <v>6831</v>
      </c>
      <c r="F155" t="s">
        <v>41</v>
      </c>
      <c r="G155" t="s">
        <v>15</v>
      </c>
      <c r="H155" t="s">
        <v>74</v>
      </c>
      <c r="I155" s="6">
        <v>0</v>
      </c>
      <c r="J155" s="6">
        <v>6831</v>
      </c>
      <c r="K155" t="s">
        <v>75</v>
      </c>
      <c r="L155" t="s">
        <v>44</v>
      </c>
    </row>
    <row r="156" spans="1:12" x14ac:dyDescent="0.5">
      <c r="A156" s="2">
        <v>45754</v>
      </c>
      <c r="B156" s="3" t="s">
        <v>115</v>
      </c>
      <c r="C156" s="3" t="s">
        <v>121</v>
      </c>
      <c r="D156" s="3"/>
      <c r="E156" s="4">
        <v>31974</v>
      </c>
      <c r="F156" s="3" t="s">
        <v>14</v>
      </c>
      <c r="G156" s="3" t="s">
        <v>679</v>
      </c>
      <c r="H156" s="3" t="s">
        <v>57</v>
      </c>
      <c r="I156" s="4">
        <v>5105</v>
      </c>
      <c r="J156" s="4">
        <v>26869</v>
      </c>
      <c r="K156" s="3" t="s">
        <v>58</v>
      </c>
      <c r="L156" s="3" t="s">
        <v>48</v>
      </c>
    </row>
    <row r="157" spans="1:12" x14ac:dyDescent="0.5">
      <c r="A157" s="5">
        <v>45754</v>
      </c>
      <c r="B157" t="s">
        <v>115</v>
      </c>
      <c r="C157" t="s">
        <v>107</v>
      </c>
      <c r="E157" s="6">
        <v>6181</v>
      </c>
      <c r="F157" t="s">
        <v>41</v>
      </c>
      <c r="G157" t="s">
        <v>679</v>
      </c>
      <c r="H157" t="s">
        <v>62</v>
      </c>
      <c r="I157" s="6">
        <v>0</v>
      </c>
      <c r="J157" s="6">
        <v>6181</v>
      </c>
      <c r="K157" t="s">
        <v>63</v>
      </c>
      <c r="L157" t="s">
        <v>22</v>
      </c>
    </row>
    <row r="158" spans="1:12" x14ac:dyDescent="0.5">
      <c r="A158" s="2">
        <v>45754</v>
      </c>
      <c r="B158" s="3" t="s">
        <v>115</v>
      </c>
      <c r="C158" s="3" t="s">
        <v>76</v>
      </c>
      <c r="D158" s="3"/>
      <c r="E158" s="4">
        <v>4990</v>
      </c>
      <c r="F158" s="3" t="s">
        <v>14</v>
      </c>
      <c r="G158" s="3" t="s">
        <v>679</v>
      </c>
      <c r="H158" s="3" t="s">
        <v>28</v>
      </c>
      <c r="I158" s="4">
        <v>797</v>
      </c>
      <c r="J158" s="4">
        <v>4193</v>
      </c>
      <c r="K158" s="3" t="s">
        <v>29</v>
      </c>
      <c r="L158" s="3" t="s">
        <v>30</v>
      </c>
    </row>
    <row r="159" spans="1:12" x14ac:dyDescent="0.5">
      <c r="A159" s="5">
        <v>45754</v>
      </c>
      <c r="B159" t="s">
        <v>115</v>
      </c>
      <c r="C159" t="s">
        <v>103</v>
      </c>
      <c r="E159" s="6">
        <v>2758</v>
      </c>
      <c r="F159" t="s">
        <v>14</v>
      </c>
      <c r="G159" t="s">
        <v>679</v>
      </c>
      <c r="H159" t="s">
        <v>28</v>
      </c>
      <c r="I159" s="6">
        <v>440</v>
      </c>
      <c r="J159" s="6">
        <v>2318</v>
      </c>
      <c r="K159" t="s">
        <v>29</v>
      </c>
      <c r="L159" t="s">
        <v>30</v>
      </c>
    </row>
    <row r="160" spans="1:12" x14ac:dyDescent="0.5">
      <c r="A160" s="2">
        <v>45755</v>
      </c>
      <c r="B160" s="3" t="s">
        <v>96</v>
      </c>
      <c r="C160" s="3" t="s">
        <v>91</v>
      </c>
      <c r="D160" s="3"/>
      <c r="E160" s="4">
        <v>5400</v>
      </c>
      <c r="F160" s="3" t="s">
        <v>41</v>
      </c>
      <c r="G160" s="3" t="s">
        <v>15</v>
      </c>
      <c r="H160" s="3" t="s">
        <v>66</v>
      </c>
      <c r="I160" s="4">
        <v>0</v>
      </c>
      <c r="J160" s="4">
        <v>5400</v>
      </c>
      <c r="K160" s="3" t="s">
        <v>67</v>
      </c>
      <c r="L160" s="3" t="s">
        <v>68</v>
      </c>
    </row>
    <row r="161" spans="1:12" x14ac:dyDescent="0.5">
      <c r="A161" s="5">
        <v>45755</v>
      </c>
      <c r="B161" t="s">
        <v>96</v>
      </c>
      <c r="C161" t="s">
        <v>92</v>
      </c>
      <c r="E161" s="6">
        <v>5000</v>
      </c>
      <c r="F161" t="s">
        <v>41</v>
      </c>
      <c r="G161" t="s">
        <v>15</v>
      </c>
      <c r="H161" t="s">
        <v>66</v>
      </c>
      <c r="I161" s="6">
        <v>0</v>
      </c>
      <c r="J161" s="6">
        <v>5000</v>
      </c>
      <c r="K161" t="s">
        <v>67</v>
      </c>
      <c r="L161" t="s">
        <v>68</v>
      </c>
    </row>
    <row r="162" spans="1:12" x14ac:dyDescent="0.5">
      <c r="A162" s="2">
        <v>45755</v>
      </c>
      <c r="B162" s="3" t="s">
        <v>115</v>
      </c>
      <c r="C162" s="3" t="s">
        <v>103</v>
      </c>
      <c r="D162" s="3"/>
      <c r="E162" s="4">
        <v>3540</v>
      </c>
      <c r="F162" s="3" t="s">
        <v>14</v>
      </c>
      <c r="G162" s="3" t="s">
        <v>679</v>
      </c>
      <c r="H162" s="3" t="s">
        <v>28</v>
      </c>
      <c r="I162" s="4">
        <v>565</v>
      </c>
      <c r="J162" s="4">
        <v>2975</v>
      </c>
      <c r="K162" s="3" t="s">
        <v>29</v>
      </c>
      <c r="L162" s="3" t="s">
        <v>30</v>
      </c>
    </row>
    <row r="163" spans="1:12" x14ac:dyDescent="0.5">
      <c r="A163" s="5">
        <v>45756</v>
      </c>
      <c r="B163" t="s">
        <v>115</v>
      </c>
      <c r="C163" t="s">
        <v>430</v>
      </c>
      <c r="E163" s="6">
        <v>20980</v>
      </c>
      <c r="F163" t="s">
        <v>14</v>
      </c>
      <c r="G163" t="s">
        <v>679</v>
      </c>
      <c r="H163" t="s">
        <v>321</v>
      </c>
      <c r="I163" s="6">
        <v>3350</v>
      </c>
      <c r="J163" s="6">
        <v>17630</v>
      </c>
      <c r="K163" t="s">
        <v>322</v>
      </c>
      <c r="L163" t="s">
        <v>26</v>
      </c>
    </row>
    <row r="164" spans="1:12" x14ac:dyDescent="0.5">
      <c r="A164" s="2">
        <v>45756</v>
      </c>
      <c r="B164" s="3" t="s">
        <v>115</v>
      </c>
      <c r="C164" s="3" t="s">
        <v>114</v>
      </c>
      <c r="D164" s="3"/>
      <c r="E164" s="4">
        <v>107656</v>
      </c>
      <c r="F164" s="3" t="s">
        <v>14</v>
      </c>
      <c r="G164" s="3" t="s">
        <v>679</v>
      </c>
      <c r="H164" s="3" t="s">
        <v>16</v>
      </c>
      <c r="I164" s="4">
        <v>17189</v>
      </c>
      <c r="J164" s="4">
        <v>90467</v>
      </c>
      <c r="K164" s="3" t="s">
        <v>17</v>
      </c>
      <c r="L164" s="3" t="s">
        <v>18</v>
      </c>
    </row>
    <row r="165" spans="1:12" x14ac:dyDescent="0.5">
      <c r="A165" s="5">
        <v>45761</v>
      </c>
      <c r="B165" t="s">
        <v>115</v>
      </c>
      <c r="C165" t="s">
        <v>122</v>
      </c>
      <c r="E165" s="6">
        <v>72671</v>
      </c>
      <c r="F165" t="s">
        <v>14</v>
      </c>
      <c r="G165" t="s">
        <v>679</v>
      </c>
      <c r="H165" t="s">
        <v>33</v>
      </c>
      <c r="I165" s="6">
        <v>11603</v>
      </c>
      <c r="J165" s="6">
        <v>61068</v>
      </c>
      <c r="K165" t="s">
        <v>34</v>
      </c>
      <c r="L165" t="s">
        <v>35</v>
      </c>
    </row>
    <row r="166" spans="1:12" x14ac:dyDescent="0.5">
      <c r="A166" s="2">
        <v>45761</v>
      </c>
      <c r="B166" s="3" t="s">
        <v>115</v>
      </c>
      <c r="C166" s="3" t="s">
        <v>123</v>
      </c>
      <c r="D166" s="3"/>
      <c r="E166" s="4">
        <v>4548</v>
      </c>
      <c r="F166" s="3" t="s">
        <v>14</v>
      </c>
      <c r="G166" s="3" t="s">
        <v>679</v>
      </c>
      <c r="H166" s="3" t="s">
        <v>33</v>
      </c>
      <c r="I166" s="4">
        <v>726</v>
      </c>
      <c r="J166" s="4">
        <v>3822</v>
      </c>
      <c r="K166" s="3" t="s">
        <v>34</v>
      </c>
      <c r="L166" s="3" t="s">
        <v>35</v>
      </c>
    </row>
    <row r="167" spans="1:12" x14ac:dyDescent="0.5">
      <c r="A167" s="5">
        <v>45762</v>
      </c>
      <c r="B167" t="s">
        <v>115</v>
      </c>
      <c r="C167" t="s">
        <v>421</v>
      </c>
      <c r="E167" s="6">
        <v>42130</v>
      </c>
      <c r="F167" t="s">
        <v>14</v>
      </c>
      <c r="G167" t="s">
        <v>679</v>
      </c>
      <c r="H167" t="s">
        <v>24</v>
      </c>
      <c r="I167" s="6">
        <v>6727</v>
      </c>
      <c r="J167" s="6">
        <v>35403</v>
      </c>
      <c r="K167" t="s">
        <v>25</v>
      </c>
      <c r="L167" t="s">
        <v>26</v>
      </c>
    </row>
    <row r="168" spans="1:12" x14ac:dyDescent="0.5">
      <c r="A168" s="2">
        <v>45762</v>
      </c>
      <c r="B168" s="3" t="s">
        <v>115</v>
      </c>
      <c r="C168" s="3" t="s">
        <v>107</v>
      </c>
      <c r="D168" s="3"/>
      <c r="E168" s="4">
        <v>3995</v>
      </c>
      <c r="F168" s="3" t="s">
        <v>41</v>
      </c>
      <c r="G168" s="3" t="s">
        <v>679</v>
      </c>
      <c r="H168" s="3" t="s">
        <v>62</v>
      </c>
      <c r="I168" s="4">
        <v>0</v>
      </c>
      <c r="J168" s="4">
        <v>3995</v>
      </c>
      <c r="K168" s="3" t="s">
        <v>63</v>
      </c>
      <c r="L168" s="3" t="s">
        <v>22</v>
      </c>
    </row>
    <row r="169" spans="1:12" x14ac:dyDescent="0.5">
      <c r="A169" s="5">
        <v>45762</v>
      </c>
      <c r="B169" t="s">
        <v>115</v>
      </c>
      <c r="C169" t="s">
        <v>107</v>
      </c>
      <c r="E169" s="6">
        <v>3288</v>
      </c>
      <c r="F169" t="s">
        <v>41</v>
      </c>
      <c r="G169" t="s">
        <v>679</v>
      </c>
      <c r="H169" t="s">
        <v>62</v>
      </c>
      <c r="I169" s="6">
        <v>0</v>
      </c>
      <c r="J169" s="6">
        <v>3288</v>
      </c>
      <c r="K169" t="s">
        <v>63</v>
      </c>
      <c r="L169" t="s">
        <v>22</v>
      </c>
    </row>
    <row r="170" spans="1:12" x14ac:dyDescent="0.5">
      <c r="A170" s="2">
        <v>45762</v>
      </c>
      <c r="B170" s="3" t="s">
        <v>115</v>
      </c>
      <c r="C170" s="3" t="s">
        <v>107</v>
      </c>
      <c r="D170" s="3"/>
      <c r="E170" s="4">
        <v>2995</v>
      </c>
      <c r="F170" s="3" t="s">
        <v>41</v>
      </c>
      <c r="G170" s="3" t="s">
        <v>679</v>
      </c>
      <c r="H170" s="3" t="s">
        <v>62</v>
      </c>
      <c r="I170" s="4">
        <v>0</v>
      </c>
      <c r="J170" s="4">
        <v>2995</v>
      </c>
      <c r="K170" s="3" t="s">
        <v>63</v>
      </c>
      <c r="L170" s="3" t="s">
        <v>22</v>
      </c>
    </row>
    <row r="171" spans="1:12" x14ac:dyDescent="0.5">
      <c r="A171" s="5">
        <v>45762</v>
      </c>
      <c r="B171" t="s">
        <v>96</v>
      </c>
      <c r="C171" t="s">
        <v>40</v>
      </c>
      <c r="E171" s="6">
        <v>1684643</v>
      </c>
      <c r="F171" t="s">
        <v>41</v>
      </c>
      <c r="G171" t="s">
        <v>15</v>
      </c>
      <c r="H171" t="s">
        <v>42</v>
      </c>
      <c r="I171" s="6">
        <v>0</v>
      </c>
      <c r="J171" s="6">
        <v>1684643</v>
      </c>
      <c r="K171" t="s">
        <v>43</v>
      </c>
      <c r="L171" t="s">
        <v>44</v>
      </c>
    </row>
    <row r="172" spans="1:12" x14ac:dyDescent="0.5">
      <c r="A172" s="2">
        <v>45763</v>
      </c>
      <c r="B172" s="3" t="s">
        <v>115</v>
      </c>
      <c r="C172" s="3" t="s">
        <v>117</v>
      </c>
      <c r="D172" s="3"/>
      <c r="E172" s="4">
        <v>88129</v>
      </c>
      <c r="F172" s="3" t="s">
        <v>14</v>
      </c>
      <c r="G172" s="3" t="s">
        <v>679</v>
      </c>
      <c r="H172" s="3" t="s">
        <v>16</v>
      </c>
      <c r="I172" s="4">
        <v>14071</v>
      </c>
      <c r="J172" s="4">
        <v>74058</v>
      </c>
      <c r="K172" s="3" t="s">
        <v>17</v>
      </c>
      <c r="L172" s="3" t="s">
        <v>18</v>
      </c>
    </row>
    <row r="173" spans="1:12" x14ac:dyDescent="0.5">
      <c r="A173" s="5">
        <v>45763</v>
      </c>
      <c r="B173" t="s">
        <v>115</v>
      </c>
      <c r="C173" t="s">
        <v>124</v>
      </c>
      <c r="E173" s="6">
        <v>23642</v>
      </c>
      <c r="F173" t="s">
        <v>14</v>
      </c>
      <c r="G173" t="s">
        <v>679</v>
      </c>
      <c r="H173" t="s">
        <v>16</v>
      </c>
      <c r="I173" s="6">
        <v>3775</v>
      </c>
      <c r="J173" s="6">
        <v>19867</v>
      </c>
      <c r="K173" t="s">
        <v>17</v>
      </c>
      <c r="L173" t="s">
        <v>18</v>
      </c>
    </row>
    <row r="174" spans="1:12" x14ac:dyDescent="0.5">
      <c r="A174" s="2">
        <v>45764</v>
      </c>
      <c r="B174" s="3" t="s">
        <v>115</v>
      </c>
      <c r="C174" s="3" t="s">
        <v>125</v>
      </c>
      <c r="D174" s="3"/>
      <c r="E174" s="4">
        <v>141873</v>
      </c>
      <c r="F174" s="3" t="s">
        <v>14</v>
      </c>
      <c r="G174" s="3" t="s">
        <v>679</v>
      </c>
      <c r="H174" s="3" t="s">
        <v>16</v>
      </c>
      <c r="I174" s="4">
        <v>22652</v>
      </c>
      <c r="J174" s="4">
        <v>119221</v>
      </c>
      <c r="K174" s="3" t="s">
        <v>17</v>
      </c>
      <c r="L174" s="3" t="s">
        <v>18</v>
      </c>
    </row>
    <row r="175" spans="1:12" x14ac:dyDescent="0.5">
      <c r="A175" s="5">
        <v>45768</v>
      </c>
      <c r="B175" t="s">
        <v>96</v>
      </c>
      <c r="C175" t="s">
        <v>98</v>
      </c>
      <c r="E175" s="6">
        <v>200000</v>
      </c>
      <c r="F175" t="s">
        <v>41</v>
      </c>
      <c r="G175" t="s">
        <v>15</v>
      </c>
      <c r="H175" t="s">
        <v>66</v>
      </c>
      <c r="I175" s="6">
        <v>0</v>
      </c>
      <c r="J175" s="6">
        <v>200000</v>
      </c>
      <c r="K175" t="s">
        <v>67</v>
      </c>
      <c r="L175" t="s">
        <v>68</v>
      </c>
    </row>
    <row r="176" spans="1:12" x14ac:dyDescent="0.5">
      <c r="A176" s="2">
        <v>45769</v>
      </c>
      <c r="B176" s="3" t="s">
        <v>96</v>
      </c>
      <c r="C176" s="3" t="s">
        <v>113</v>
      </c>
      <c r="D176" s="3"/>
      <c r="E176" s="4">
        <v>130000</v>
      </c>
      <c r="F176" s="3" t="s">
        <v>41</v>
      </c>
      <c r="G176" s="3" t="s">
        <v>15</v>
      </c>
      <c r="H176" s="3" t="s">
        <v>66</v>
      </c>
      <c r="I176" s="4">
        <v>0</v>
      </c>
      <c r="J176" s="4">
        <v>130000</v>
      </c>
      <c r="K176" s="3" t="s">
        <v>67</v>
      </c>
      <c r="L176" s="3" t="s">
        <v>68</v>
      </c>
    </row>
    <row r="177" spans="1:12" x14ac:dyDescent="0.5">
      <c r="A177" s="5">
        <v>45769</v>
      </c>
      <c r="B177" t="s">
        <v>115</v>
      </c>
      <c r="C177" t="s">
        <v>126</v>
      </c>
      <c r="E177" s="6">
        <v>2260</v>
      </c>
      <c r="F177" t="s">
        <v>14</v>
      </c>
      <c r="G177" t="s">
        <v>679</v>
      </c>
      <c r="H177" t="s">
        <v>28</v>
      </c>
      <c r="I177" s="6">
        <v>361</v>
      </c>
      <c r="J177" s="6">
        <v>1899</v>
      </c>
      <c r="K177" t="s">
        <v>29</v>
      </c>
      <c r="L177" t="s">
        <v>30</v>
      </c>
    </row>
    <row r="178" spans="1:12" x14ac:dyDescent="0.5">
      <c r="A178" s="2">
        <v>45769</v>
      </c>
      <c r="B178" s="3" t="s">
        <v>115</v>
      </c>
      <c r="C178" s="3" t="s">
        <v>126</v>
      </c>
      <c r="D178" s="3"/>
      <c r="E178" s="4">
        <v>2259</v>
      </c>
      <c r="F178" s="3" t="s">
        <v>14</v>
      </c>
      <c r="G178" s="3" t="s">
        <v>679</v>
      </c>
      <c r="H178" s="3" t="s">
        <v>28</v>
      </c>
      <c r="I178" s="4">
        <v>361</v>
      </c>
      <c r="J178" s="4">
        <v>1898</v>
      </c>
      <c r="K178" s="3" t="s">
        <v>29</v>
      </c>
      <c r="L178" s="3" t="s">
        <v>30</v>
      </c>
    </row>
    <row r="179" spans="1:12" x14ac:dyDescent="0.5">
      <c r="A179" s="5">
        <v>45770</v>
      </c>
      <c r="B179" t="s">
        <v>115</v>
      </c>
      <c r="C179" t="s">
        <v>127</v>
      </c>
      <c r="E179" s="6">
        <v>22071</v>
      </c>
      <c r="F179" t="s">
        <v>14</v>
      </c>
      <c r="G179" t="s">
        <v>679</v>
      </c>
      <c r="H179" t="s">
        <v>46</v>
      </c>
      <c r="I179" s="6">
        <v>3524</v>
      </c>
      <c r="J179" s="6">
        <v>18547</v>
      </c>
      <c r="K179" t="s">
        <v>47</v>
      </c>
      <c r="L179" t="s">
        <v>48</v>
      </c>
    </row>
    <row r="180" spans="1:12" x14ac:dyDescent="0.5">
      <c r="A180" s="2">
        <v>45770</v>
      </c>
      <c r="B180" s="3" t="s">
        <v>115</v>
      </c>
      <c r="C180" s="3" t="s">
        <v>114</v>
      </c>
      <c r="D180" s="3"/>
      <c r="E180" s="4">
        <v>107656</v>
      </c>
      <c r="F180" s="3" t="s">
        <v>14</v>
      </c>
      <c r="G180" s="3" t="s">
        <v>679</v>
      </c>
      <c r="H180" s="3" t="s">
        <v>16</v>
      </c>
      <c r="I180" s="4">
        <v>17189</v>
      </c>
      <c r="J180" s="4">
        <v>90467</v>
      </c>
      <c r="K180" s="3" t="s">
        <v>17</v>
      </c>
      <c r="L180" s="3" t="s">
        <v>18</v>
      </c>
    </row>
    <row r="181" spans="1:12" x14ac:dyDescent="0.5">
      <c r="A181" s="5">
        <v>45770</v>
      </c>
      <c r="B181" t="s">
        <v>115</v>
      </c>
      <c r="C181" t="s">
        <v>105</v>
      </c>
      <c r="E181" s="6">
        <v>7900</v>
      </c>
      <c r="F181" t="s">
        <v>14</v>
      </c>
      <c r="G181" t="s">
        <v>679</v>
      </c>
      <c r="H181" t="s">
        <v>16</v>
      </c>
      <c r="I181" s="6">
        <v>1261</v>
      </c>
      <c r="J181" s="6">
        <v>6639</v>
      </c>
      <c r="K181" t="s">
        <v>17</v>
      </c>
      <c r="L181" t="s">
        <v>18</v>
      </c>
    </row>
    <row r="182" spans="1:12" x14ac:dyDescent="0.5">
      <c r="A182" s="2">
        <v>45771</v>
      </c>
      <c r="B182" s="3" t="s">
        <v>115</v>
      </c>
      <c r="C182" s="3" t="s">
        <v>433</v>
      </c>
      <c r="D182" s="3"/>
      <c r="E182" s="4">
        <v>25620</v>
      </c>
      <c r="F182" s="3" t="s">
        <v>14</v>
      </c>
      <c r="G182" s="3" t="s">
        <v>679</v>
      </c>
      <c r="H182" s="3" t="s">
        <v>355</v>
      </c>
      <c r="I182" s="4">
        <v>4091</v>
      </c>
      <c r="J182" s="4">
        <v>21529</v>
      </c>
      <c r="K182" s="3" t="s">
        <v>356</v>
      </c>
      <c r="L182" s="3" t="s">
        <v>48</v>
      </c>
    </row>
    <row r="183" spans="1:12" x14ac:dyDescent="0.5">
      <c r="A183" s="5">
        <v>45771</v>
      </c>
      <c r="B183" t="s">
        <v>115</v>
      </c>
      <c r="C183" t="s">
        <v>128</v>
      </c>
      <c r="E183" s="6">
        <v>202473</v>
      </c>
      <c r="F183" t="s">
        <v>14</v>
      </c>
      <c r="G183" t="s">
        <v>679</v>
      </c>
      <c r="H183" t="s">
        <v>33</v>
      </c>
      <c r="I183" s="6">
        <v>32328</v>
      </c>
      <c r="J183" s="6">
        <v>170145</v>
      </c>
      <c r="K183" t="s">
        <v>34</v>
      </c>
      <c r="L183" t="s">
        <v>35</v>
      </c>
    </row>
    <row r="184" spans="1:12" x14ac:dyDescent="0.5">
      <c r="A184" s="2">
        <v>45771</v>
      </c>
      <c r="B184" s="3" t="s">
        <v>115</v>
      </c>
      <c r="C184" s="3" t="s">
        <v>129</v>
      </c>
      <c r="D184" s="3"/>
      <c r="E184" s="4">
        <v>7194</v>
      </c>
      <c r="F184" s="3" t="s">
        <v>14</v>
      </c>
      <c r="G184" s="3" t="s">
        <v>679</v>
      </c>
      <c r="H184" s="3" t="s">
        <v>33</v>
      </c>
      <c r="I184" s="4">
        <v>1149</v>
      </c>
      <c r="J184" s="4">
        <v>6045</v>
      </c>
      <c r="K184" s="3" t="s">
        <v>34</v>
      </c>
      <c r="L184" s="3" t="s">
        <v>35</v>
      </c>
    </row>
    <row r="185" spans="1:12" x14ac:dyDescent="0.5">
      <c r="A185" s="5">
        <v>45771</v>
      </c>
      <c r="B185" t="s">
        <v>115</v>
      </c>
      <c r="C185" t="s">
        <v>107</v>
      </c>
      <c r="E185" s="6">
        <v>5675</v>
      </c>
      <c r="F185" t="s">
        <v>41</v>
      </c>
      <c r="G185" t="s">
        <v>679</v>
      </c>
      <c r="H185" t="s">
        <v>62</v>
      </c>
      <c r="I185" s="6">
        <v>0</v>
      </c>
      <c r="J185" s="6">
        <v>5675</v>
      </c>
      <c r="K185" t="s">
        <v>63</v>
      </c>
      <c r="L185" t="s">
        <v>22</v>
      </c>
    </row>
    <row r="186" spans="1:12" x14ac:dyDescent="0.5">
      <c r="A186" s="2">
        <v>45772</v>
      </c>
      <c r="B186" s="3" t="s">
        <v>115</v>
      </c>
      <c r="C186" s="3" t="s">
        <v>130</v>
      </c>
      <c r="D186" s="3"/>
      <c r="E186" s="4">
        <v>26560</v>
      </c>
      <c r="F186" s="3" t="s">
        <v>14</v>
      </c>
      <c r="G186" s="3" t="s">
        <v>679</v>
      </c>
      <c r="H186" s="3" t="s">
        <v>24</v>
      </c>
      <c r="I186" s="4">
        <v>4241</v>
      </c>
      <c r="J186" s="4">
        <v>22319</v>
      </c>
      <c r="K186" s="3" t="s">
        <v>25</v>
      </c>
      <c r="L186" s="3" t="s">
        <v>26</v>
      </c>
    </row>
    <row r="187" spans="1:12" x14ac:dyDescent="0.5">
      <c r="A187" s="5">
        <v>45772</v>
      </c>
      <c r="B187" t="s">
        <v>115</v>
      </c>
      <c r="C187" t="s">
        <v>434</v>
      </c>
      <c r="E187" s="6">
        <v>2640</v>
      </c>
      <c r="F187" t="s">
        <v>14</v>
      </c>
      <c r="G187" t="s">
        <v>679</v>
      </c>
      <c r="H187" t="s">
        <v>355</v>
      </c>
      <c r="I187" s="6">
        <v>422</v>
      </c>
      <c r="J187" s="6">
        <v>2218</v>
      </c>
      <c r="K187" t="s">
        <v>356</v>
      </c>
      <c r="L187" t="s">
        <v>48</v>
      </c>
    </row>
    <row r="188" spans="1:12" x14ac:dyDescent="0.5">
      <c r="A188" s="2">
        <v>45772</v>
      </c>
      <c r="B188" s="3" t="s">
        <v>115</v>
      </c>
      <c r="C188" s="3" t="s">
        <v>107</v>
      </c>
      <c r="D188" s="3"/>
      <c r="E188" s="4">
        <v>4630</v>
      </c>
      <c r="F188" s="3" t="s">
        <v>41</v>
      </c>
      <c r="G188" s="3" t="s">
        <v>679</v>
      </c>
      <c r="H188" s="3" t="s">
        <v>62</v>
      </c>
      <c r="I188" s="4">
        <v>0</v>
      </c>
      <c r="J188" s="4">
        <v>4630</v>
      </c>
      <c r="K188" s="3" t="s">
        <v>63</v>
      </c>
      <c r="L188" s="3" t="s">
        <v>22</v>
      </c>
    </row>
    <row r="189" spans="1:12" x14ac:dyDescent="0.5">
      <c r="A189" s="5">
        <v>45775</v>
      </c>
      <c r="B189" t="s">
        <v>115</v>
      </c>
      <c r="C189" t="s">
        <v>87</v>
      </c>
      <c r="E189" s="6">
        <v>19253</v>
      </c>
      <c r="F189" t="s">
        <v>14</v>
      </c>
      <c r="G189" t="s">
        <v>15</v>
      </c>
      <c r="H189" t="s">
        <v>46</v>
      </c>
      <c r="I189" s="6">
        <v>3074</v>
      </c>
      <c r="J189" s="6">
        <v>16179</v>
      </c>
      <c r="K189" t="s">
        <v>47</v>
      </c>
      <c r="L189" t="s">
        <v>48</v>
      </c>
    </row>
    <row r="190" spans="1:12" x14ac:dyDescent="0.5">
      <c r="A190" s="2">
        <v>45775</v>
      </c>
      <c r="B190" s="3" t="s">
        <v>115</v>
      </c>
      <c r="C190" s="3" t="s">
        <v>87</v>
      </c>
      <c r="D190" s="3"/>
      <c r="E190" s="4">
        <v>19</v>
      </c>
      <c r="F190" s="3" t="s">
        <v>14</v>
      </c>
      <c r="G190" s="3" t="s">
        <v>15</v>
      </c>
      <c r="H190" s="3" t="s">
        <v>46</v>
      </c>
      <c r="I190" s="4">
        <v>3</v>
      </c>
      <c r="J190" s="4">
        <v>16</v>
      </c>
      <c r="K190" s="3" t="s">
        <v>47</v>
      </c>
      <c r="L190" s="3" t="s">
        <v>48</v>
      </c>
    </row>
    <row r="191" spans="1:12" x14ac:dyDescent="0.5">
      <c r="A191" s="5">
        <v>45776</v>
      </c>
      <c r="B191" t="s">
        <v>115</v>
      </c>
      <c r="C191" t="s">
        <v>124</v>
      </c>
      <c r="E191" s="6">
        <v>22891</v>
      </c>
      <c r="F191" t="s">
        <v>14</v>
      </c>
      <c r="G191" t="s">
        <v>679</v>
      </c>
      <c r="H191" t="s">
        <v>16</v>
      </c>
      <c r="I191" s="6">
        <v>3655</v>
      </c>
      <c r="J191" s="6">
        <v>19236</v>
      </c>
      <c r="K191" t="s">
        <v>17</v>
      </c>
      <c r="L191" t="s">
        <v>18</v>
      </c>
    </row>
    <row r="192" spans="1:12" x14ac:dyDescent="0.5">
      <c r="A192" s="2">
        <v>45776</v>
      </c>
      <c r="B192" s="3" t="s">
        <v>115</v>
      </c>
      <c r="C192" s="3" t="s">
        <v>126</v>
      </c>
      <c r="D192" s="3"/>
      <c r="E192" s="4">
        <v>2915</v>
      </c>
      <c r="F192" s="3" t="s">
        <v>14</v>
      </c>
      <c r="G192" s="3" t="s">
        <v>679</v>
      </c>
      <c r="H192" s="3" t="s">
        <v>28</v>
      </c>
      <c r="I192" s="4">
        <v>465</v>
      </c>
      <c r="J192" s="4">
        <v>2450</v>
      </c>
      <c r="K192" s="3" t="s">
        <v>29</v>
      </c>
      <c r="L192" s="3" t="s">
        <v>30</v>
      </c>
    </row>
    <row r="193" spans="1:12" x14ac:dyDescent="0.5">
      <c r="A193" s="5">
        <v>45776</v>
      </c>
      <c r="B193" t="s">
        <v>115</v>
      </c>
      <c r="C193" t="s">
        <v>126</v>
      </c>
      <c r="E193" s="6">
        <v>2260</v>
      </c>
      <c r="F193" t="s">
        <v>14</v>
      </c>
      <c r="G193" t="s">
        <v>679</v>
      </c>
      <c r="H193" t="s">
        <v>28</v>
      </c>
      <c r="I193" s="6">
        <v>361</v>
      </c>
      <c r="J193" s="6">
        <v>1899</v>
      </c>
      <c r="K193" t="s">
        <v>29</v>
      </c>
      <c r="L193" t="s">
        <v>30</v>
      </c>
    </row>
    <row r="194" spans="1:12" x14ac:dyDescent="0.5">
      <c r="A194" s="2">
        <v>45776</v>
      </c>
      <c r="B194" s="3" t="s">
        <v>115</v>
      </c>
      <c r="C194" s="3" t="s">
        <v>126</v>
      </c>
      <c r="D194" s="3"/>
      <c r="E194" s="4">
        <v>2260</v>
      </c>
      <c r="F194" s="3" t="s">
        <v>14</v>
      </c>
      <c r="G194" s="3" t="s">
        <v>679</v>
      </c>
      <c r="H194" s="3" t="s">
        <v>28</v>
      </c>
      <c r="I194" s="4">
        <v>361</v>
      </c>
      <c r="J194" s="4">
        <v>1899</v>
      </c>
      <c r="K194" s="3" t="s">
        <v>29</v>
      </c>
      <c r="L194" s="3" t="s">
        <v>30</v>
      </c>
    </row>
    <row r="195" spans="1:12" x14ac:dyDescent="0.5">
      <c r="A195" s="5">
        <v>45779</v>
      </c>
      <c r="B195" t="s">
        <v>131</v>
      </c>
      <c r="C195" t="s">
        <v>116</v>
      </c>
      <c r="E195" s="6">
        <v>69889</v>
      </c>
      <c r="F195" t="s">
        <v>14</v>
      </c>
      <c r="G195" t="s">
        <v>679</v>
      </c>
      <c r="H195" t="s">
        <v>16</v>
      </c>
      <c r="I195" s="6">
        <v>11159</v>
      </c>
      <c r="J195" s="6">
        <v>58730</v>
      </c>
      <c r="K195" t="s">
        <v>17</v>
      </c>
      <c r="L195" t="s">
        <v>18</v>
      </c>
    </row>
    <row r="196" spans="1:12" x14ac:dyDescent="0.5">
      <c r="A196" s="2">
        <v>45779</v>
      </c>
      <c r="B196" s="3" t="s">
        <v>131</v>
      </c>
      <c r="C196" s="3" t="s">
        <v>107</v>
      </c>
      <c r="D196" s="3"/>
      <c r="E196" s="4">
        <v>11109</v>
      </c>
      <c r="F196" s="3" t="s">
        <v>41</v>
      </c>
      <c r="G196" s="3" t="s">
        <v>679</v>
      </c>
      <c r="H196" s="3" t="s">
        <v>62</v>
      </c>
      <c r="I196" s="4">
        <v>0</v>
      </c>
      <c r="J196" s="4">
        <v>11109</v>
      </c>
      <c r="K196" s="3" t="s">
        <v>63</v>
      </c>
      <c r="L196" s="3" t="s">
        <v>22</v>
      </c>
    </row>
    <row r="197" spans="1:12" x14ac:dyDescent="0.5">
      <c r="A197" s="5">
        <v>45782</v>
      </c>
      <c r="B197" t="s">
        <v>115</v>
      </c>
      <c r="C197" t="s">
        <v>65</v>
      </c>
      <c r="E197" s="6">
        <v>799911</v>
      </c>
      <c r="F197" t="s">
        <v>41</v>
      </c>
      <c r="G197" t="s">
        <v>15</v>
      </c>
      <c r="H197" t="s">
        <v>66</v>
      </c>
      <c r="I197" s="6">
        <v>0</v>
      </c>
      <c r="J197" s="6">
        <v>799911</v>
      </c>
      <c r="K197" t="s">
        <v>67</v>
      </c>
      <c r="L197" t="s">
        <v>68</v>
      </c>
    </row>
    <row r="198" spans="1:12" x14ac:dyDescent="0.5">
      <c r="A198" s="2">
        <v>45782</v>
      </c>
      <c r="B198" s="3" t="s">
        <v>131</v>
      </c>
      <c r="C198" s="3" t="s">
        <v>114</v>
      </c>
      <c r="D198" s="3"/>
      <c r="E198" s="4">
        <v>129187</v>
      </c>
      <c r="F198" s="3" t="s">
        <v>14</v>
      </c>
      <c r="G198" s="3" t="s">
        <v>679</v>
      </c>
      <c r="H198" s="3" t="s">
        <v>16</v>
      </c>
      <c r="I198" s="4">
        <v>20626</v>
      </c>
      <c r="J198" s="4">
        <v>108561</v>
      </c>
      <c r="K198" s="3" t="s">
        <v>17</v>
      </c>
      <c r="L198" s="3" t="s">
        <v>18</v>
      </c>
    </row>
    <row r="199" spans="1:12" x14ac:dyDescent="0.5">
      <c r="A199" s="5">
        <v>45782</v>
      </c>
      <c r="B199" t="s">
        <v>131</v>
      </c>
      <c r="C199" t="s">
        <v>132</v>
      </c>
      <c r="E199" s="6">
        <v>135041</v>
      </c>
      <c r="F199" t="s">
        <v>14</v>
      </c>
      <c r="G199" t="s">
        <v>679</v>
      </c>
      <c r="H199" t="s">
        <v>33</v>
      </c>
      <c r="I199" s="6">
        <v>21561</v>
      </c>
      <c r="J199" s="6">
        <v>113480</v>
      </c>
      <c r="K199" t="s">
        <v>34</v>
      </c>
      <c r="L199" t="s">
        <v>35</v>
      </c>
    </row>
    <row r="200" spans="1:12" x14ac:dyDescent="0.5">
      <c r="A200" s="2">
        <v>45782</v>
      </c>
      <c r="B200" s="3" t="s">
        <v>131</v>
      </c>
      <c r="C200" s="3" t="s">
        <v>76</v>
      </c>
      <c r="D200" s="3"/>
      <c r="E200" s="4">
        <v>4990</v>
      </c>
      <c r="F200" s="3" t="s">
        <v>14</v>
      </c>
      <c r="G200" s="3" t="s">
        <v>679</v>
      </c>
      <c r="H200" s="3" t="s">
        <v>28</v>
      </c>
      <c r="I200" s="4">
        <v>797</v>
      </c>
      <c r="J200" s="4">
        <v>4193</v>
      </c>
      <c r="K200" s="3" t="s">
        <v>29</v>
      </c>
      <c r="L200" s="3" t="s">
        <v>30</v>
      </c>
    </row>
    <row r="201" spans="1:12" x14ac:dyDescent="0.5">
      <c r="A201" s="5">
        <v>45782</v>
      </c>
      <c r="B201" t="s">
        <v>131</v>
      </c>
      <c r="C201" t="s">
        <v>133</v>
      </c>
      <c r="E201" s="6">
        <v>4114</v>
      </c>
      <c r="F201" t="s">
        <v>41</v>
      </c>
      <c r="G201" t="s">
        <v>15</v>
      </c>
      <c r="H201" t="s">
        <v>134</v>
      </c>
      <c r="I201" s="6">
        <v>0</v>
      </c>
      <c r="J201" s="6">
        <v>4114</v>
      </c>
      <c r="K201" t="s">
        <v>135</v>
      </c>
      <c r="L201" t="s">
        <v>44</v>
      </c>
    </row>
    <row r="202" spans="1:12" x14ac:dyDescent="0.5">
      <c r="A202" s="2">
        <v>45782</v>
      </c>
      <c r="B202" s="3" t="s">
        <v>131</v>
      </c>
      <c r="C202" s="3" t="s">
        <v>136</v>
      </c>
      <c r="D202" s="3"/>
      <c r="E202" s="4">
        <v>603</v>
      </c>
      <c r="F202" s="3" t="s">
        <v>41</v>
      </c>
      <c r="G202" s="3" t="s">
        <v>15</v>
      </c>
      <c r="H202" s="3" t="s">
        <v>134</v>
      </c>
      <c r="I202" s="4">
        <v>0</v>
      </c>
      <c r="J202" s="4">
        <v>603</v>
      </c>
      <c r="K202" s="3" t="s">
        <v>135</v>
      </c>
      <c r="L202" s="3" t="s">
        <v>44</v>
      </c>
    </row>
    <row r="203" spans="1:12" x14ac:dyDescent="0.5">
      <c r="A203" s="5">
        <v>45783</v>
      </c>
      <c r="B203" t="s">
        <v>131</v>
      </c>
      <c r="C203" t="s">
        <v>118</v>
      </c>
      <c r="E203" s="6">
        <v>273573</v>
      </c>
      <c r="F203" t="s">
        <v>14</v>
      </c>
      <c r="G203" t="s">
        <v>679</v>
      </c>
      <c r="H203" t="s">
        <v>119</v>
      </c>
      <c r="I203" s="6">
        <v>43680</v>
      </c>
      <c r="J203" s="6">
        <v>229893</v>
      </c>
      <c r="K203" t="s">
        <v>120</v>
      </c>
      <c r="L203" t="s">
        <v>48</v>
      </c>
    </row>
    <row r="204" spans="1:12" x14ac:dyDescent="0.5">
      <c r="A204" s="2">
        <v>45783</v>
      </c>
      <c r="B204" s="3" t="s">
        <v>131</v>
      </c>
      <c r="C204" s="3" t="s">
        <v>19</v>
      </c>
      <c r="D204" s="3"/>
      <c r="E204" s="4">
        <v>51979</v>
      </c>
      <c r="F204" s="3" t="s">
        <v>14</v>
      </c>
      <c r="G204" s="3" t="s">
        <v>15</v>
      </c>
      <c r="H204" s="3" t="s">
        <v>20</v>
      </c>
      <c r="I204" s="4">
        <v>8299</v>
      </c>
      <c r="J204" s="4">
        <v>43680</v>
      </c>
      <c r="K204" s="3" t="s">
        <v>21</v>
      </c>
      <c r="L204" s="3" t="s">
        <v>22</v>
      </c>
    </row>
    <row r="205" spans="1:12" x14ac:dyDescent="0.5">
      <c r="A205" s="5">
        <v>45783</v>
      </c>
      <c r="B205" t="s">
        <v>131</v>
      </c>
      <c r="C205" t="s">
        <v>126</v>
      </c>
      <c r="E205" s="6">
        <v>3336</v>
      </c>
      <c r="F205" t="s">
        <v>14</v>
      </c>
      <c r="G205" t="s">
        <v>679</v>
      </c>
      <c r="H205" t="s">
        <v>28</v>
      </c>
      <c r="I205" s="6">
        <v>533</v>
      </c>
      <c r="J205" s="6">
        <v>2803</v>
      </c>
      <c r="K205" t="s">
        <v>29</v>
      </c>
      <c r="L205" t="s">
        <v>30</v>
      </c>
    </row>
    <row r="206" spans="1:12" x14ac:dyDescent="0.5">
      <c r="A206" s="2">
        <v>45783</v>
      </c>
      <c r="B206" s="3" t="s">
        <v>131</v>
      </c>
      <c r="C206" s="3" t="s">
        <v>126</v>
      </c>
      <c r="D206" s="3"/>
      <c r="E206" s="4">
        <v>2260</v>
      </c>
      <c r="F206" s="3" t="s">
        <v>14</v>
      </c>
      <c r="G206" s="3" t="s">
        <v>679</v>
      </c>
      <c r="H206" s="3" t="s">
        <v>28</v>
      </c>
      <c r="I206" s="4">
        <v>361</v>
      </c>
      <c r="J206" s="4">
        <v>1899</v>
      </c>
      <c r="K206" s="3" t="s">
        <v>29</v>
      </c>
      <c r="L206" s="3" t="s">
        <v>30</v>
      </c>
    </row>
    <row r="207" spans="1:12" x14ac:dyDescent="0.5">
      <c r="A207" s="5">
        <v>45783</v>
      </c>
      <c r="B207" t="s">
        <v>131</v>
      </c>
      <c r="C207" t="s">
        <v>126</v>
      </c>
      <c r="E207" s="6">
        <v>2260</v>
      </c>
      <c r="F207" t="s">
        <v>14</v>
      </c>
      <c r="G207" t="s">
        <v>679</v>
      </c>
      <c r="H207" t="s">
        <v>28</v>
      </c>
      <c r="I207" s="6">
        <v>361</v>
      </c>
      <c r="J207" s="6">
        <v>1899</v>
      </c>
      <c r="K207" t="s">
        <v>29</v>
      </c>
      <c r="L207" t="s">
        <v>30</v>
      </c>
    </row>
    <row r="208" spans="1:12" x14ac:dyDescent="0.5">
      <c r="A208" s="2">
        <v>45784</v>
      </c>
      <c r="B208" s="3" t="s">
        <v>131</v>
      </c>
      <c r="C208" s="3" t="s">
        <v>436</v>
      </c>
      <c r="D208" s="3"/>
      <c r="E208" s="4">
        <v>33620</v>
      </c>
      <c r="F208" s="3" t="s">
        <v>14</v>
      </c>
      <c r="G208" s="3" t="s">
        <v>679</v>
      </c>
      <c r="H208" s="3" t="s">
        <v>24</v>
      </c>
      <c r="I208" s="4">
        <v>5368</v>
      </c>
      <c r="J208" s="4">
        <v>28252</v>
      </c>
      <c r="K208" s="3" t="s">
        <v>25</v>
      </c>
      <c r="L208" s="3" t="s">
        <v>26</v>
      </c>
    </row>
    <row r="209" spans="1:12" x14ac:dyDescent="0.5">
      <c r="A209" s="5">
        <v>45784</v>
      </c>
      <c r="B209" t="s">
        <v>131</v>
      </c>
      <c r="C209" t="s">
        <v>126</v>
      </c>
      <c r="E209" s="6">
        <v>2260</v>
      </c>
      <c r="F209" t="s">
        <v>14</v>
      </c>
      <c r="G209" t="s">
        <v>679</v>
      </c>
      <c r="H209" t="s">
        <v>28</v>
      </c>
      <c r="I209" s="6">
        <v>361</v>
      </c>
      <c r="J209" s="6">
        <v>1899</v>
      </c>
      <c r="K209" t="s">
        <v>29</v>
      </c>
      <c r="L209" t="s">
        <v>30</v>
      </c>
    </row>
    <row r="210" spans="1:12" x14ac:dyDescent="0.5">
      <c r="A210" s="2">
        <v>45785</v>
      </c>
      <c r="B210" s="3" t="s">
        <v>131</v>
      </c>
      <c r="C210" s="3" t="s">
        <v>126</v>
      </c>
      <c r="D210" s="3"/>
      <c r="E210" s="4">
        <v>2260</v>
      </c>
      <c r="F210" s="3" t="s">
        <v>14</v>
      </c>
      <c r="G210" s="3" t="s">
        <v>679</v>
      </c>
      <c r="H210" s="3" t="s">
        <v>28</v>
      </c>
      <c r="I210" s="4">
        <v>361</v>
      </c>
      <c r="J210" s="4">
        <v>1899</v>
      </c>
      <c r="K210" s="3" t="s">
        <v>29</v>
      </c>
      <c r="L210" s="3" t="s">
        <v>30</v>
      </c>
    </row>
    <row r="211" spans="1:12" x14ac:dyDescent="0.5">
      <c r="A211" s="5">
        <v>45785</v>
      </c>
      <c r="B211" t="s">
        <v>131</v>
      </c>
      <c r="C211" t="s">
        <v>126</v>
      </c>
      <c r="E211" s="6">
        <v>2260</v>
      </c>
      <c r="F211" t="s">
        <v>14</v>
      </c>
      <c r="G211" t="s">
        <v>679</v>
      </c>
      <c r="H211" t="s">
        <v>28</v>
      </c>
      <c r="I211" s="6">
        <v>361</v>
      </c>
      <c r="J211" s="6">
        <v>1899</v>
      </c>
      <c r="K211" t="s">
        <v>29</v>
      </c>
      <c r="L211" t="s">
        <v>30</v>
      </c>
    </row>
    <row r="212" spans="1:12" x14ac:dyDescent="0.5">
      <c r="A212" s="2">
        <v>45789</v>
      </c>
      <c r="B212" s="3" t="s">
        <v>131</v>
      </c>
      <c r="C212" s="3" t="s">
        <v>430</v>
      </c>
      <c r="D212" s="3"/>
      <c r="E212" s="4">
        <v>21980</v>
      </c>
      <c r="F212" s="3" t="s">
        <v>14</v>
      </c>
      <c r="G212" s="3" t="s">
        <v>679</v>
      </c>
      <c r="H212" s="3" t="s">
        <v>321</v>
      </c>
      <c r="I212" s="4">
        <v>3509</v>
      </c>
      <c r="J212" s="4">
        <v>18471</v>
      </c>
      <c r="K212" s="3" t="s">
        <v>322</v>
      </c>
      <c r="L212" s="3" t="s">
        <v>26</v>
      </c>
    </row>
    <row r="213" spans="1:12" x14ac:dyDescent="0.5">
      <c r="A213" s="5">
        <v>45789</v>
      </c>
      <c r="B213" t="s">
        <v>131</v>
      </c>
      <c r="C213" t="s">
        <v>107</v>
      </c>
      <c r="E213" s="6">
        <v>12959</v>
      </c>
      <c r="F213" t="s">
        <v>41</v>
      </c>
      <c r="G213" t="s">
        <v>679</v>
      </c>
      <c r="H213" t="s">
        <v>62</v>
      </c>
      <c r="I213" s="6">
        <v>0</v>
      </c>
      <c r="J213" s="6">
        <v>12959</v>
      </c>
      <c r="K213" t="s">
        <v>63</v>
      </c>
      <c r="L213" t="s">
        <v>22</v>
      </c>
    </row>
    <row r="214" spans="1:12" x14ac:dyDescent="0.5">
      <c r="A214" s="2">
        <v>45790</v>
      </c>
      <c r="B214" s="3" t="s">
        <v>131</v>
      </c>
      <c r="C214" s="3" t="s">
        <v>137</v>
      </c>
      <c r="D214" s="3"/>
      <c r="E214" s="4">
        <v>103422</v>
      </c>
      <c r="F214" s="3" t="s">
        <v>14</v>
      </c>
      <c r="G214" s="3" t="s">
        <v>679</v>
      </c>
      <c r="H214" s="3" t="s">
        <v>33</v>
      </c>
      <c r="I214" s="4">
        <v>16513</v>
      </c>
      <c r="J214" s="4">
        <v>86909</v>
      </c>
      <c r="K214" s="3" t="s">
        <v>34</v>
      </c>
      <c r="L214" s="3" t="s">
        <v>35</v>
      </c>
    </row>
    <row r="215" spans="1:12" x14ac:dyDescent="0.5">
      <c r="A215" s="5">
        <v>45790</v>
      </c>
      <c r="B215" t="s">
        <v>131</v>
      </c>
      <c r="C215" t="s">
        <v>107</v>
      </c>
      <c r="E215" s="6">
        <v>2016</v>
      </c>
      <c r="F215" t="s">
        <v>41</v>
      </c>
      <c r="G215" t="s">
        <v>679</v>
      </c>
      <c r="H215" t="s">
        <v>62</v>
      </c>
      <c r="I215" s="6">
        <v>0</v>
      </c>
      <c r="J215" s="6">
        <v>2016</v>
      </c>
      <c r="K215" t="s">
        <v>63</v>
      </c>
      <c r="L215" t="s">
        <v>22</v>
      </c>
    </row>
    <row r="216" spans="1:12" x14ac:dyDescent="0.5">
      <c r="A216" s="2">
        <v>45790</v>
      </c>
      <c r="B216" s="3" t="s">
        <v>131</v>
      </c>
      <c r="C216" s="3" t="s">
        <v>107</v>
      </c>
      <c r="D216" s="3"/>
      <c r="E216" s="4">
        <v>2016</v>
      </c>
      <c r="F216" s="3" t="s">
        <v>41</v>
      </c>
      <c r="G216" s="3" t="s">
        <v>679</v>
      </c>
      <c r="H216" s="3" t="s">
        <v>62</v>
      </c>
      <c r="I216" s="4">
        <v>0</v>
      </c>
      <c r="J216" s="4">
        <v>2016</v>
      </c>
      <c r="K216" s="3" t="s">
        <v>63</v>
      </c>
      <c r="L216" s="3" t="s">
        <v>22</v>
      </c>
    </row>
    <row r="217" spans="1:12" x14ac:dyDescent="0.5">
      <c r="A217" s="5">
        <v>45790</v>
      </c>
      <c r="B217" t="s">
        <v>131</v>
      </c>
      <c r="C217" t="s">
        <v>126</v>
      </c>
      <c r="E217" s="6">
        <v>2260</v>
      </c>
      <c r="F217" t="s">
        <v>14</v>
      </c>
      <c r="G217" t="s">
        <v>679</v>
      </c>
      <c r="H217" t="s">
        <v>28</v>
      </c>
      <c r="I217" s="6">
        <v>361</v>
      </c>
      <c r="J217" s="6">
        <v>1899</v>
      </c>
      <c r="K217" t="s">
        <v>29</v>
      </c>
      <c r="L217" t="s">
        <v>30</v>
      </c>
    </row>
    <row r="218" spans="1:12" x14ac:dyDescent="0.5">
      <c r="A218" s="2">
        <v>45790</v>
      </c>
      <c r="B218" s="3" t="s">
        <v>131</v>
      </c>
      <c r="C218" s="3" t="s">
        <v>126</v>
      </c>
      <c r="D218" s="3"/>
      <c r="E218" s="4">
        <v>2260</v>
      </c>
      <c r="F218" s="3" t="s">
        <v>14</v>
      </c>
      <c r="G218" s="3" t="s">
        <v>679</v>
      </c>
      <c r="H218" s="3" t="s">
        <v>28</v>
      </c>
      <c r="I218" s="4">
        <v>361</v>
      </c>
      <c r="J218" s="4">
        <v>1899</v>
      </c>
      <c r="K218" s="3" t="s">
        <v>29</v>
      </c>
      <c r="L218" s="3" t="s">
        <v>30</v>
      </c>
    </row>
    <row r="219" spans="1:12" x14ac:dyDescent="0.5">
      <c r="A219" s="5">
        <v>45790</v>
      </c>
      <c r="B219" t="s">
        <v>131</v>
      </c>
      <c r="C219" t="s">
        <v>126</v>
      </c>
      <c r="E219" s="6">
        <v>2260</v>
      </c>
      <c r="F219" t="s">
        <v>14</v>
      </c>
      <c r="G219" t="s">
        <v>679</v>
      </c>
      <c r="H219" t="s">
        <v>28</v>
      </c>
      <c r="I219" s="6">
        <v>361</v>
      </c>
      <c r="J219" s="6">
        <v>1899</v>
      </c>
      <c r="K219" t="s">
        <v>29</v>
      </c>
      <c r="L219" t="s">
        <v>30</v>
      </c>
    </row>
    <row r="220" spans="1:12" x14ac:dyDescent="0.5">
      <c r="A220" s="2">
        <v>45791</v>
      </c>
      <c r="B220" s="3" t="s">
        <v>131</v>
      </c>
      <c r="C220" s="3" t="s">
        <v>107</v>
      </c>
      <c r="D220" s="3"/>
      <c r="E220" s="4">
        <v>2621</v>
      </c>
      <c r="F220" s="3" t="s">
        <v>41</v>
      </c>
      <c r="G220" s="3" t="s">
        <v>679</v>
      </c>
      <c r="H220" s="3" t="s">
        <v>62</v>
      </c>
      <c r="I220" s="4">
        <v>0</v>
      </c>
      <c r="J220" s="4">
        <v>2621</v>
      </c>
      <c r="K220" s="3" t="s">
        <v>63</v>
      </c>
      <c r="L220" s="3" t="s">
        <v>22</v>
      </c>
    </row>
    <row r="221" spans="1:12" x14ac:dyDescent="0.5">
      <c r="A221" s="5">
        <v>45792</v>
      </c>
      <c r="B221" t="s">
        <v>131</v>
      </c>
      <c r="C221" t="s">
        <v>439</v>
      </c>
      <c r="E221" s="6">
        <v>88495</v>
      </c>
      <c r="F221" t="s">
        <v>14</v>
      </c>
      <c r="G221" t="s">
        <v>679</v>
      </c>
      <c r="H221" t="s">
        <v>24</v>
      </c>
      <c r="I221" s="6">
        <v>14129</v>
      </c>
      <c r="J221" s="6">
        <v>74366</v>
      </c>
      <c r="K221" t="s">
        <v>25</v>
      </c>
      <c r="L221" t="s">
        <v>26</v>
      </c>
    </row>
    <row r="222" spans="1:12" x14ac:dyDescent="0.5">
      <c r="A222" s="2">
        <v>45792</v>
      </c>
      <c r="B222" s="3" t="s">
        <v>131</v>
      </c>
      <c r="C222" s="3" t="s">
        <v>107</v>
      </c>
      <c r="D222" s="3"/>
      <c r="E222" s="4">
        <v>3353</v>
      </c>
      <c r="F222" s="3" t="s">
        <v>41</v>
      </c>
      <c r="G222" s="3" t="s">
        <v>679</v>
      </c>
      <c r="H222" s="3" t="s">
        <v>62</v>
      </c>
      <c r="I222" s="4">
        <v>0</v>
      </c>
      <c r="J222" s="4">
        <v>3353</v>
      </c>
      <c r="K222" s="3" t="s">
        <v>63</v>
      </c>
      <c r="L222" s="3" t="s">
        <v>22</v>
      </c>
    </row>
    <row r="223" spans="1:12" x14ac:dyDescent="0.5">
      <c r="A223" s="5">
        <v>45792</v>
      </c>
      <c r="B223" t="s">
        <v>131</v>
      </c>
      <c r="C223" t="s">
        <v>107</v>
      </c>
      <c r="E223" s="6">
        <v>3316</v>
      </c>
      <c r="F223" t="s">
        <v>41</v>
      </c>
      <c r="G223" t="s">
        <v>679</v>
      </c>
      <c r="H223" t="s">
        <v>62</v>
      </c>
      <c r="I223" s="6">
        <v>0</v>
      </c>
      <c r="J223" s="6">
        <v>3316</v>
      </c>
      <c r="K223" t="s">
        <v>63</v>
      </c>
      <c r="L223" t="s">
        <v>22</v>
      </c>
    </row>
    <row r="224" spans="1:12" x14ac:dyDescent="0.5">
      <c r="A224" s="2">
        <v>45792</v>
      </c>
      <c r="B224" s="3" t="s">
        <v>131</v>
      </c>
      <c r="C224" s="3" t="s">
        <v>103</v>
      </c>
      <c r="D224" s="3"/>
      <c r="E224" s="4">
        <v>2705</v>
      </c>
      <c r="F224" s="3" t="s">
        <v>14</v>
      </c>
      <c r="G224" s="3" t="s">
        <v>679</v>
      </c>
      <c r="H224" s="3" t="s">
        <v>28</v>
      </c>
      <c r="I224" s="4">
        <v>432</v>
      </c>
      <c r="J224" s="4">
        <v>2273</v>
      </c>
      <c r="K224" s="3" t="s">
        <v>29</v>
      </c>
      <c r="L224" s="3" t="s">
        <v>30</v>
      </c>
    </row>
    <row r="225" spans="1:12" x14ac:dyDescent="0.5">
      <c r="A225" s="5">
        <v>45793</v>
      </c>
      <c r="B225" t="s">
        <v>131</v>
      </c>
      <c r="C225" t="s">
        <v>124</v>
      </c>
      <c r="E225" s="6">
        <v>22867</v>
      </c>
      <c r="F225" t="s">
        <v>14</v>
      </c>
      <c r="G225" t="s">
        <v>679</v>
      </c>
      <c r="H225" t="s">
        <v>16</v>
      </c>
      <c r="I225" s="6">
        <v>3651</v>
      </c>
      <c r="J225" s="6">
        <v>19216</v>
      </c>
      <c r="K225" t="s">
        <v>17</v>
      </c>
      <c r="L225" t="s">
        <v>18</v>
      </c>
    </row>
    <row r="226" spans="1:12" x14ac:dyDescent="0.5">
      <c r="A226" s="2">
        <v>45796</v>
      </c>
      <c r="B226" s="3" t="s">
        <v>131</v>
      </c>
      <c r="C226" s="3" t="s">
        <v>138</v>
      </c>
      <c r="D226" s="3"/>
      <c r="E226" s="4">
        <v>134019</v>
      </c>
      <c r="F226" s="3" t="s">
        <v>14</v>
      </c>
      <c r="G226" s="3" t="s">
        <v>679</v>
      </c>
      <c r="H226" s="3" t="s">
        <v>16</v>
      </c>
      <c r="I226" s="4">
        <v>21398</v>
      </c>
      <c r="J226" s="4">
        <v>112621</v>
      </c>
      <c r="K226" s="3" t="s">
        <v>17</v>
      </c>
      <c r="L226" s="3" t="s">
        <v>18</v>
      </c>
    </row>
    <row r="227" spans="1:12" x14ac:dyDescent="0.5">
      <c r="A227" s="5">
        <v>45796</v>
      </c>
      <c r="B227" t="s">
        <v>131</v>
      </c>
      <c r="C227" t="s">
        <v>107</v>
      </c>
      <c r="E227" s="6">
        <v>4533</v>
      </c>
      <c r="F227" t="s">
        <v>41</v>
      </c>
      <c r="G227" t="s">
        <v>679</v>
      </c>
      <c r="H227" t="s">
        <v>62</v>
      </c>
      <c r="I227" s="6">
        <v>0</v>
      </c>
      <c r="J227" s="6">
        <v>4533</v>
      </c>
      <c r="K227" t="s">
        <v>63</v>
      </c>
      <c r="L227" t="s">
        <v>22</v>
      </c>
    </row>
    <row r="228" spans="1:12" x14ac:dyDescent="0.5">
      <c r="A228" s="2">
        <v>45796</v>
      </c>
      <c r="B228" s="3" t="s">
        <v>131</v>
      </c>
      <c r="C228" s="3" t="s">
        <v>107</v>
      </c>
      <c r="D228" s="3"/>
      <c r="E228" s="4">
        <v>3948</v>
      </c>
      <c r="F228" s="3" t="s">
        <v>41</v>
      </c>
      <c r="G228" s="3" t="s">
        <v>679</v>
      </c>
      <c r="H228" s="3" t="s">
        <v>62</v>
      </c>
      <c r="I228" s="4">
        <v>0</v>
      </c>
      <c r="J228" s="4">
        <v>3948</v>
      </c>
      <c r="K228" s="3" t="s">
        <v>63</v>
      </c>
      <c r="L228" s="3" t="s">
        <v>22</v>
      </c>
    </row>
    <row r="229" spans="1:12" x14ac:dyDescent="0.5">
      <c r="A229" s="5">
        <v>45796</v>
      </c>
      <c r="B229" t="s">
        <v>131</v>
      </c>
      <c r="C229" t="s">
        <v>107</v>
      </c>
      <c r="E229" s="6">
        <v>3400</v>
      </c>
      <c r="F229" t="s">
        <v>41</v>
      </c>
      <c r="G229" t="s">
        <v>679</v>
      </c>
      <c r="H229" t="s">
        <v>62</v>
      </c>
      <c r="I229" s="6">
        <v>0</v>
      </c>
      <c r="J229" s="6">
        <v>3400</v>
      </c>
      <c r="K229" t="s">
        <v>63</v>
      </c>
      <c r="L229" t="s">
        <v>22</v>
      </c>
    </row>
    <row r="230" spans="1:12" x14ac:dyDescent="0.5">
      <c r="A230" s="2">
        <v>45797</v>
      </c>
      <c r="B230" s="3" t="s">
        <v>131</v>
      </c>
      <c r="C230" s="3" t="s">
        <v>121</v>
      </c>
      <c r="D230" s="3"/>
      <c r="E230" s="4">
        <v>32290</v>
      </c>
      <c r="F230" s="3" t="s">
        <v>14</v>
      </c>
      <c r="G230" s="3" t="s">
        <v>679</v>
      </c>
      <c r="H230" s="3" t="s">
        <v>57</v>
      </c>
      <c r="I230" s="4">
        <v>5156</v>
      </c>
      <c r="J230" s="4">
        <v>27134</v>
      </c>
      <c r="K230" s="3" t="s">
        <v>58</v>
      </c>
      <c r="L230" s="3" t="s">
        <v>48</v>
      </c>
    </row>
    <row r="231" spans="1:12" x14ac:dyDescent="0.5">
      <c r="A231" s="5">
        <v>45797</v>
      </c>
      <c r="B231" t="s">
        <v>131</v>
      </c>
      <c r="C231" t="s">
        <v>441</v>
      </c>
      <c r="E231" s="6">
        <v>62940</v>
      </c>
      <c r="F231" t="s">
        <v>14</v>
      </c>
      <c r="G231" t="s">
        <v>679</v>
      </c>
      <c r="H231" t="s">
        <v>16</v>
      </c>
      <c r="I231" s="6">
        <v>10049</v>
      </c>
      <c r="J231" s="6">
        <v>52891</v>
      </c>
      <c r="K231" t="s">
        <v>17</v>
      </c>
      <c r="L231" t="s">
        <v>18</v>
      </c>
    </row>
    <row r="232" spans="1:12" x14ac:dyDescent="0.5">
      <c r="A232" s="2">
        <v>45797</v>
      </c>
      <c r="B232" s="3" t="s">
        <v>131</v>
      </c>
      <c r="C232" s="3" t="s">
        <v>126</v>
      </c>
      <c r="D232" s="3"/>
      <c r="E232" s="4">
        <v>2260</v>
      </c>
      <c r="F232" s="3" t="s">
        <v>14</v>
      </c>
      <c r="G232" s="3" t="s">
        <v>679</v>
      </c>
      <c r="H232" s="3" t="s">
        <v>28</v>
      </c>
      <c r="I232" s="4">
        <v>361</v>
      </c>
      <c r="J232" s="4">
        <v>1899</v>
      </c>
      <c r="K232" s="3" t="s">
        <v>29</v>
      </c>
      <c r="L232" s="3" t="s">
        <v>30</v>
      </c>
    </row>
    <row r="233" spans="1:12" x14ac:dyDescent="0.5">
      <c r="A233" s="5">
        <v>45799</v>
      </c>
      <c r="B233" t="s">
        <v>131</v>
      </c>
      <c r="C233" t="s">
        <v>78</v>
      </c>
      <c r="E233" s="6">
        <v>219436</v>
      </c>
      <c r="F233" t="s">
        <v>14</v>
      </c>
      <c r="G233" t="s">
        <v>15</v>
      </c>
      <c r="H233" t="s">
        <v>24</v>
      </c>
      <c r="I233" s="6">
        <v>35036</v>
      </c>
      <c r="J233" s="6">
        <v>184400</v>
      </c>
      <c r="K233" t="s">
        <v>25</v>
      </c>
      <c r="L233" t="s">
        <v>26</v>
      </c>
    </row>
    <row r="234" spans="1:12" x14ac:dyDescent="0.5">
      <c r="A234" s="2">
        <v>45799</v>
      </c>
      <c r="B234" s="3" t="s">
        <v>131</v>
      </c>
      <c r="C234" s="3" t="s">
        <v>139</v>
      </c>
      <c r="D234" s="3"/>
      <c r="E234" s="4">
        <v>43682</v>
      </c>
      <c r="F234" s="3" t="s">
        <v>14</v>
      </c>
      <c r="G234" s="3" t="s">
        <v>679</v>
      </c>
      <c r="H234" s="3" t="s">
        <v>24</v>
      </c>
      <c r="I234" s="4">
        <v>6974</v>
      </c>
      <c r="J234" s="4">
        <v>36708</v>
      </c>
      <c r="K234" s="3" t="s">
        <v>25</v>
      </c>
      <c r="L234" s="3" t="s">
        <v>26</v>
      </c>
    </row>
    <row r="235" spans="1:12" x14ac:dyDescent="0.5">
      <c r="A235" s="5">
        <v>45799</v>
      </c>
      <c r="B235" t="s">
        <v>131</v>
      </c>
      <c r="C235" t="s">
        <v>140</v>
      </c>
      <c r="E235" s="6">
        <v>232558</v>
      </c>
      <c r="F235" t="s">
        <v>14</v>
      </c>
      <c r="G235" t="s">
        <v>679</v>
      </c>
      <c r="H235" t="s">
        <v>33</v>
      </c>
      <c r="I235" s="6">
        <v>37131</v>
      </c>
      <c r="J235" s="6">
        <v>195427</v>
      </c>
      <c r="K235" t="s">
        <v>34</v>
      </c>
      <c r="L235" t="s">
        <v>35</v>
      </c>
    </row>
    <row r="236" spans="1:12" x14ac:dyDescent="0.5">
      <c r="A236" s="2">
        <v>45799</v>
      </c>
      <c r="B236" s="3" t="s">
        <v>115</v>
      </c>
      <c r="C236" s="3" t="s">
        <v>40</v>
      </c>
      <c r="D236" s="3"/>
      <c r="E236" s="4">
        <v>1738613</v>
      </c>
      <c r="F236" s="3" t="s">
        <v>41</v>
      </c>
      <c r="G236" s="3" t="s">
        <v>15</v>
      </c>
      <c r="H236" s="3" t="s">
        <v>42</v>
      </c>
      <c r="I236" s="4">
        <v>0</v>
      </c>
      <c r="J236" s="4">
        <v>1738613</v>
      </c>
      <c r="K236" s="3" t="s">
        <v>43</v>
      </c>
      <c r="L236" s="3" t="s">
        <v>44</v>
      </c>
    </row>
    <row r="237" spans="1:12" x14ac:dyDescent="0.5">
      <c r="A237" s="5">
        <v>45800</v>
      </c>
      <c r="B237" t="s">
        <v>131</v>
      </c>
      <c r="C237" t="s">
        <v>105</v>
      </c>
      <c r="E237" s="6">
        <v>7900</v>
      </c>
      <c r="F237" t="s">
        <v>14</v>
      </c>
      <c r="G237" t="s">
        <v>679</v>
      </c>
      <c r="H237" t="s">
        <v>16</v>
      </c>
      <c r="I237" s="6">
        <v>1261</v>
      </c>
      <c r="J237" s="6">
        <v>6639</v>
      </c>
      <c r="K237" t="s">
        <v>17</v>
      </c>
      <c r="L237" t="s">
        <v>18</v>
      </c>
    </row>
    <row r="238" spans="1:12" x14ac:dyDescent="0.5">
      <c r="A238" s="2">
        <v>45803</v>
      </c>
      <c r="B238" s="3" t="s">
        <v>131</v>
      </c>
      <c r="C238" s="3" t="s">
        <v>141</v>
      </c>
      <c r="D238" s="3"/>
      <c r="E238" s="4">
        <v>1800000</v>
      </c>
      <c r="F238" s="3" t="s">
        <v>14</v>
      </c>
      <c r="G238" s="3" t="s">
        <v>15</v>
      </c>
      <c r="H238" s="3" t="s">
        <v>142</v>
      </c>
      <c r="I238" s="4">
        <v>287395</v>
      </c>
      <c r="J238" s="4">
        <v>1512605</v>
      </c>
      <c r="K238" s="3" t="s">
        <v>143</v>
      </c>
      <c r="L238" s="3" t="s">
        <v>144</v>
      </c>
    </row>
    <row r="239" spans="1:12" x14ac:dyDescent="0.5">
      <c r="A239" s="5">
        <v>45803</v>
      </c>
      <c r="B239" t="s">
        <v>131</v>
      </c>
      <c r="C239" t="s">
        <v>124</v>
      </c>
      <c r="E239" s="6">
        <v>22908</v>
      </c>
      <c r="F239" t="s">
        <v>14</v>
      </c>
      <c r="G239" t="s">
        <v>679</v>
      </c>
      <c r="H239" t="s">
        <v>16</v>
      </c>
      <c r="I239" s="6">
        <v>3658</v>
      </c>
      <c r="J239" s="6">
        <v>19250</v>
      </c>
      <c r="K239" t="s">
        <v>17</v>
      </c>
      <c r="L239" t="s">
        <v>18</v>
      </c>
    </row>
    <row r="240" spans="1:12" x14ac:dyDescent="0.5">
      <c r="A240" s="2">
        <v>45803</v>
      </c>
      <c r="B240" s="3" t="s">
        <v>131</v>
      </c>
      <c r="C240" s="3" t="s">
        <v>145</v>
      </c>
      <c r="D240" s="3"/>
      <c r="E240" s="4">
        <v>7236</v>
      </c>
      <c r="F240" s="3" t="s">
        <v>14</v>
      </c>
      <c r="G240" s="3" t="s">
        <v>679</v>
      </c>
      <c r="H240" s="3" t="s">
        <v>33</v>
      </c>
      <c r="I240" s="4">
        <v>1155</v>
      </c>
      <c r="J240" s="4">
        <v>6081</v>
      </c>
      <c r="K240" s="3" t="s">
        <v>34</v>
      </c>
      <c r="L240" s="3" t="s">
        <v>35</v>
      </c>
    </row>
    <row r="241" spans="1:12" x14ac:dyDescent="0.5">
      <c r="A241" s="5">
        <v>45803</v>
      </c>
      <c r="B241" t="s">
        <v>131</v>
      </c>
      <c r="C241" t="s">
        <v>146</v>
      </c>
      <c r="E241" s="6">
        <v>6733</v>
      </c>
      <c r="F241" t="s">
        <v>14</v>
      </c>
      <c r="G241" t="s">
        <v>679</v>
      </c>
      <c r="H241" t="s">
        <v>33</v>
      </c>
      <c r="I241" s="6">
        <v>1075</v>
      </c>
      <c r="J241" s="6">
        <v>5658</v>
      </c>
      <c r="K241" t="s">
        <v>34</v>
      </c>
      <c r="L241" t="s">
        <v>35</v>
      </c>
    </row>
    <row r="242" spans="1:12" x14ac:dyDescent="0.5">
      <c r="A242" s="2">
        <v>45803</v>
      </c>
      <c r="B242" s="3" t="s">
        <v>131</v>
      </c>
      <c r="C242" s="3" t="s">
        <v>147</v>
      </c>
      <c r="D242" s="3"/>
      <c r="E242" s="4">
        <v>3410</v>
      </c>
      <c r="F242" s="3" t="s">
        <v>41</v>
      </c>
      <c r="G242" s="3" t="s">
        <v>679</v>
      </c>
      <c r="H242" s="3" t="s">
        <v>62</v>
      </c>
      <c r="I242" s="4">
        <v>0</v>
      </c>
      <c r="J242" s="4">
        <v>3410</v>
      </c>
      <c r="K242" s="3" t="s">
        <v>63</v>
      </c>
      <c r="L242" s="3" t="s">
        <v>22</v>
      </c>
    </row>
    <row r="243" spans="1:12" x14ac:dyDescent="0.5">
      <c r="A243" s="5">
        <v>45803</v>
      </c>
      <c r="B243" t="s">
        <v>131</v>
      </c>
      <c r="C243" t="s">
        <v>148</v>
      </c>
      <c r="E243" s="6">
        <v>2985</v>
      </c>
      <c r="F243" t="s">
        <v>41</v>
      </c>
      <c r="G243" t="s">
        <v>679</v>
      </c>
      <c r="H243" t="s">
        <v>62</v>
      </c>
      <c r="I243" s="6">
        <v>0</v>
      </c>
      <c r="J243" s="6">
        <v>2985</v>
      </c>
      <c r="K243" t="s">
        <v>63</v>
      </c>
      <c r="L243" t="s">
        <v>22</v>
      </c>
    </row>
    <row r="244" spans="1:12" x14ac:dyDescent="0.5">
      <c r="A244" s="2">
        <v>45803</v>
      </c>
      <c r="B244" s="3" t="s">
        <v>131</v>
      </c>
      <c r="C244" s="3" t="s">
        <v>107</v>
      </c>
      <c r="D244" s="3"/>
      <c r="E244" s="4">
        <v>2832</v>
      </c>
      <c r="F244" s="3" t="s">
        <v>41</v>
      </c>
      <c r="G244" s="3" t="s">
        <v>679</v>
      </c>
      <c r="H244" s="3" t="s">
        <v>62</v>
      </c>
      <c r="I244" s="4">
        <v>0</v>
      </c>
      <c r="J244" s="4">
        <v>2832</v>
      </c>
      <c r="K244" s="3" t="s">
        <v>63</v>
      </c>
      <c r="L244" s="3" t="s">
        <v>22</v>
      </c>
    </row>
    <row r="245" spans="1:12" x14ac:dyDescent="0.5">
      <c r="A245" s="5">
        <v>45803</v>
      </c>
      <c r="B245" t="s">
        <v>131</v>
      </c>
      <c r="C245" t="s">
        <v>148</v>
      </c>
      <c r="E245" s="6">
        <v>1797</v>
      </c>
      <c r="F245" t="s">
        <v>41</v>
      </c>
      <c r="G245" t="s">
        <v>679</v>
      </c>
      <c r="H245" t="s">
        <v>62</v>
      </c>
      <c r="I245" s="6">
        <v>0</v>
      </c>
      <c r="J245" s="6">
        <v>1797</v>
      </c>
      <c r="K245" t="s">
        <v>63</v>
      </c>
      <c r="L245" t="s">
        <v>22</v>
      </c>
    </row>
    <row r="246" spans="1:12" x14ac:dyDescent="0.5">
      <c r="A246" s="2">
        <v>45804</v>
      </c>
      <c r="B246" s="3" t="s">
        <v>131</v>
      </c>
      <c r="C246" s="3" t="s">
        <v>433</v>
      </c>
      <c r="D246" s="3"/>
      <c r="E246" s="4">
        <v>41070</v>
      </c>
      <c r="F246" s="3" t="s">
        <v>14</v>
      </c>
      <c r="G246" s="3" t="s">
        <v>679</v>
      </c>
      <c r="H246" s="3" t="s">
        <v>355</v>
      </c>
      <c r="I246" s="4">
        <v>6557</v>
      </c>
      <c r="J246" s="4">
        <v>34513</v>
      </c>
      <c r="K246" s="3" t="s">
        <v>356</v>
      </c>
      <c r="L246" s="3" t="s">
        <v>48</v>
      </c>
    </row>
    <row r="247" spans="1:12" x14ac:dyDescent="0.5">
      <c r="A247" s="5">
        <v>45804</v>
      </c>
      <c r="B247" t="s">
        <v>131</v>
      </c>
      <c r="C247" t="s">
        <v>126</v>
      </c>
      <c r="E247" s="6">
        <v>2260</v>
      </c>
      <c r="F247" t="s">
        <v>14</v>
      </c>
      <c r="G247" t="s">
        <v>679</v>
      </c>
      <c r="H247" t="s">
        <v>28</v>
      </c>
      <c r="I247" s="6">
        <v>361</v>
      </c>
      <c r="J247" s="6">
        <v>1899</v>
      </c>
      <c r="K247" t="s">
        <v>29</v>
      </c>
      <c r="L247" t="s">
        <v>30</v>
      </c>
    </row>
    <row r="248" spans="1:12" x14ac:dyDescent="0.5">
      <c r="A248" s="2">
        <v>45804</v>
      </c>
      <c r="B248" s="3" t="s">
        <v>131</v>
      </c>
      <c r="C248" s="3" t="s">
        <v>126</v>
      </c>
      <c r="D248" s="3"/>
      <c r="E248" s="4">
        <v>2260</v>
      </c>
      <c r="F248" s="3" t="s">
        <v>14</v>
      </c>
      <c r="G248" s="3" t="s">
        <v>679</v>
      </c>
      <c r="H248" s="3" t="s">
        <v>28</v>
      </c>
      <c r="I248" s="4">
        <v>361</v>
      </c>
      <c r="J248" s="4">
        <v>1899</v>
      </c>
      <c r="K248" s="3" t="s">
        <v>29</v>
      </c>
      <c r="L248" s="3" t="s">
        <v>30</v>
      </c>
    </row>
    <row r="249" spans="1:12" x14ac:dyDescent="0.5">
      <c r="A249" s="5">
        <v>45805</v>
      </c>
      <c r="B249" t="s">
        <v>131</v>
      </c>
      <c r="C249" t="s">
        <v>87</v>
      </c>
      <c r="E249" s="6">
        <v>19342</v>
      </c>
      <c r="F249" t="s">
        <v>14</v>
      </c>
      <c r="G249" t="s">
        <v>15</v>
      </c>
      <c r="H249" t="s">
        <v>46</v>
      </c>
      <c r="I249" s="6">
        <v>3088</v>
      </c>
      <c r="J249" s="6">
        <v>16254</v>
      </c>
      <c r="K249" t="s">
        <v>47</v>
      </c>
      <c r="L249" t="s">
        <v>48</v>
      </c>
    </row>
    <row r="250" spans="1:12" x14ac:dyDescent="0.5">
      <c r="A250" s="2">
        <v>45805</v>
      </c>
      <c r="B250" s="3" t="s">
        <v>131</v>
      </c>
      <c r="C250" s="3" t="s">
        <v>433</v>
      </c>
      <c r="D250" s="3"/>
      <c r="E250" s="4">
        <v>5000</v>
      </c>
      <c r="F250" s="3" t="s">
        <v>14</v>
      </c>
      <c r="G250" s="3" t="s">
        <v>679</v>
      </c>
      <c r="H250" s="3" t="s">
        <v>355</v>
      </c>
      <c r="I250" s="4">
        <v>798</v>
      </c>
      <c r="J250" s="4">
        <v>4202</v>
      </c>
      <c r="K250" s="3" t="s">
        <v>356</v>
      </c>
      <c r="L250" s="3" t="s">
        <v>48</v>
      </c>
    </row>
    <row r="251" spans="1:12" x14ac:dyDescent="0.5">
      <c r="A251" s="5">
        <v>45805</v>
      </c>
      <c r="B251" t="s">
        <v>131</v>
      </c>
      <c r="C251" t="s">
        <v>87</v>
      </c>
      <c r="E251" s="6">
        <v>19</v>
      </c>
      <c r="F251" t="s">
        <v>14</v>
      </c>
      <c r="G251" t="s">
        <v>15</v>
      </c>
      <c r="H251" t="s">
        <v>46</v>
      </c>
      <c r="I251" s="6">
        <v>3</v>
      </c>
      <c r="J251" s="6">
        <v>16</v>
      </c>
      <c r="K251" t="s">
        <v>47</v>
      </c>
      <c r="L251" t="s">
        <v>48</v>
      </c>
    </row>
    <row r="252" spans="1:12" x14ac:dyDescent="0.5">
      <c r="A252" s="2">
        <v>45806</v>
      </c>
      <c r="B252" s="3" t="s">
        <v>131</v>
      </c>
      <c r="C252" s="3" t="s">
        <v>149</v>
      </c>
      <c r="D252" s="3"/>
      <c r="E252" s="4">
        <v>21836</v>
      </c>
      <c r="F252" s="3" t="s">
        <v>14</v>
      </c>
      <c r="G252" s="3" t="s">
        <v>679</v>
      </c>
      <c r="H252" s="3" t="s">
        <v>24</v>
      </c>
      <c r="I252" s="4">
        <v>3486</v>
      </c>
      <c r="J252" s="4">
        <v>18350</v>
      </c>
      <c r="K252" s="3" t="s">
        <v>25</v>
      </c>
      <c r="L252" s="3" t="s">
        <v>26</v>
      </c>
    </row>
    <row r="253" spans="1:12" x14ac:dyDescent="0.5">
      <c r="A253" s="5">
        <v>45806</v>
      </c>
      <c r="B253" t="s">
        <v>131</v>
      </c>
      <c r="C253" t="s">
        <v>150</v>
      </c>
      <c r="E253" s="6">
        <v>47491</v>
      </c>
      <c r="F253" t="s">
        <v>14</v>
      </c>
      <c r="G253" t="s">
        <v>679</v>
      </c>
      <c r="H253" t="s">
        <v>33</v>
      </c>
      <c r="I253" s="6">
        <v>7583</v>
      </c>
      <c r="J253" s="6">
        <v>39908</v>
      </c>
      <c r="K253" t="s">
        <v>34</v>
      </c>
      <c r="L253" t="s">
        <v>35</v>
      </c>
    </row>
    <row r="254" spans="1:12" x14ac:dyDescent="0.5">
      <c r="A254" s="2">
        <v>45807</v>
      </c>
      <c r="B254" s="3" t="s">
        <v>131</v>
      </c>
      <c r="C254" s="3" t="s">
        <v>442</v>
      </c>
      <c r="D254" s="3"/>
      <c r="E254" s="4">
        <v>119890</v>
      </c>
      <c r="F254" s="3" t="s">
        <v>14</v>
      </c>
      <c r="G254" s="3" t="s">
        <v>15</v>
      </c>
      <c r="H254" s="3" t="s">
        <v>46</v>
      </c>
      <c r="I254" s="4">
        <v>19142</v>
      </c>
      <c r="J254" s="4">
        <v>100748</v>
      </c>
      <c r="K254" s="3" t="s">
        <v>47</v>
      </c>
      <c r="L254" s="3" t="s">
        <v>48</v>
      </c>
    </row>
    <row r="255" spans="1:12" x14ac:dyDescent="0.5">
      <c r="A255" s="5">
        <v>45807</v>
      </c>
      <c r="B255" t="s">
        <v>131</v>
      </c>
      <c r="C255" t="s">
        <v>124</v>
      </c>
      <c r="E255" s="6">
        <v>22846</v>
      </c>
      <c r="F255" t="s">
        <v>14</v>
      </c>
      <c r="G255" t="s">
        <v>679</v>
      </c>
      <c r="H255" t="s">
        <v>16</v>
      </c>
      <c r="I255" s="6">
        <v>3648</v>
      </c>
      <c r="J255" s="6">
        <v>19198</v>
      </c>
      <c r="K255" t="s">
        <v>17</v>
      </c>
      <c r="L255" t="s">
        <v>18</v>
      </c>
    </row>
    <row r="256" spans="1:12" x14ac:dyDescent="0.5">
      <c r="A256" s="2">
        <v>45810</v>
      </c>
      <c r="B256" s="3" t="s">
        <v>131</v>
      </c>
      <c r="C256" s="3" t="s">
        <v>65</v>
      </c>
      <c r="D256" s="3"/>
      <c r="E256" s="4">
        <v>805640</v>
      </c>
      <c r="F256" s="3" t="s">
        <v>41</v>
      </c>
      <c r="G256" s="3" t="s">
        <v>15</v>
      </c>
      <c r="H256" s="3" t="s">
        <v>66</v>
      </c>
      <c r="I256" s="4">
        <v>0</v>
      </c>
      <c r="J256" s="4">
        <v>805640</v>
      </c>
      <c r="K256" s="3" t="s">
        <v>67</v>
      </c>
      <c r="L256" s="3" t="s">
        <v>68</v>
      </c>
    </row>
    <row r="257" spans="1:12" x14ac:dyDescent="0.5">
      <c r="A257" s="5">
        <v>45810</v>
      </c>
      <c r="B257" t="s">
        <v>151</v>
      </c>
      <c r="C257" t="s">
        <v>117</v>
      </c>
      <c r="E257" s="6">
        <v>135103</v>
      </c>
      <c r="F257" t="s">
        <v>14</v>
      </c>
      <c r="G257" t="s">
        <v>679</v>
      </c>
      <c r="H257" t="s">
        <v>16</v>
      </c>
      <c r="I257" s="6">
        <v>21571</v>
      </c>
      <c r="J257" s="6">
        <v>113532</v>
      </c>
      <c r="K257" t="s">
        <v>17</v>
      </c>
      <c r="L257" t="s">
        <v>18</v>
      </c>
    </row>
    <row r="258" spans="1:12" x14ac:dyDescent="0.5">
      <c r="A258" s="2">
        <v>45810</v>
      </c>
      <c r="B258" s="3" t="s">
        <v>151</v>
      </c>
      <c r="C258" s="3" t="s">
        <v>116</v>
      </c>
      <c r="D258" s="3"/>
      <c r="E258" s="4">
        <v>69746</v>
      </c>
      <c r="F258" s="3" t="s">
        <v>14</v>
      </c>
      <c r="G258" s="3" t="s">
        <v>679</v>
      </c>
      <c r="H258" s="3" t="s">
        <v>16</v>
      </c>
      <c r="I258" s="4">
        <v>11136</v>
      </c>
      <c r="J258" s="4">
        <v>58610</v>
      </c>
      <c r="K258" s="3" t="s">
        <v>17</v>
      </c>
      <c r="L258" s="3" t="s">
        <v>18</v>
      </c>
    </row>
    <row r="259" spans="1:12" x14ac:dyDescent="0.5">
      <c r="A259" s="5">
        <v>45811</v>
      </c>
      <c r="B259" t="s">
        <v>151</v>
      </c>
      <c r="C259" t="s">
        <v>19</v>
      </c>
      <c r="E259" s="6">
        <v>86600</v>
      </c>
      <c r="F259" t="s">
        <v>14</v>
      </c>
      <c r="G259" t="s">
        <v>15</v>
      </c>
      <c r="H259" t="s">
        <v>20</v>
      </c>
      <c r="I259" s="6">
        <v>13827</v>
      </c>
      <c r="J259" s="6">
        <v>72773</v>
      </c>
      <c r="K259" t="s">
        <v>21</v>
      </c>
      <c r="L259" t="s">
        <v>22</v>
      </c>
    </row>
    <row r="260" spans="1:12" x14ac:dyDescent="0.5">
      <c r="A260" s="2">
        <v>45811</v>
      </c>
      <c r="B260" s="3" t="s">
        <v>151</v>
      </c>
      <c r="C260" s="3" t="s">
        <v>126</v>
      </c>
      <c r="D260" s="3"/>
      <c r="E260" s="4">
        <v>2260</v>
      </c>
      <c r="F260" s="3" t="s">
        <v>14</v>
      </c>
      <c r="G260" s="3" t="s">
        <v>679</v>
      </c>
      <c r="H260" s="3" t="s">
        <v>28</v>
      </c>
      <c r="I260" s="4">
        <v>361</v>
      </c>
      <c r="J260" s="4">
        <v>1899</v>
      </c>
      <c r="K260" s="3" t="s">
        <v>29</v>
      </c>
      <c r="L260" s="3" t="s">
        <v>30</v>
      </c>
    </row>
    <row r="261" spans="1:12" x14ac:dyDescent="0.5">
      <c r="A261" s="5">
        <v>45812</v>
      </c>
      <c r="B261" t="s">
        <v>151</v>
      </c>
      <c r="C261" t="s">
        <v>152</v>
      </c>
      <c r="E261" s="6">
        <v>98114</v>
      </c>
      <c r="F261" t="s">
        <v>14</v>
      </c>
      <c r="G261" t="s">
        <v>679</v>
      </c>
      <c r="H261" t="s">
        <v>24</v>
      </c>
      <c r="I261" s="6">
        <v>15665</v>
      </c>
      <c r="J261" s="6">
        <v>82449</v>
      </c>
      <c r="K261" t="s">
        <v>25</v>
      </c>
      <c r="L261" t="s">
        <v>26</v>
      </c>
    </row>
    <row r="262" spans="1:12" x14ac:dyDescent="0.5">
      <c r="A262" s="2">
        <v>45814</v>
      </c>
      <c r="B262" s="3" t="s">
        <v>151</v>
      </c>
      <c r="C262" s="3" t="s">
        <v>153</v>
      </c>
      <c r="D262" s="3"/>
      <c r="E262" s="4">
        <v>135041</v>
      </c>
      <c r="F262" s="3" t="s">
        <v>14</v>
      </c>
      <c r="G262" s="3" t="s">
        <v>679</v>
      </c>
      <c r="H262" s="3" t="s">
        <v>33</v>
      </c>
      <c r="I262" s="4">
        <v>21561</v>
      </c>
      <c r="J262" s="4">
        <v>113480</v>
      </c>
      <c r="K262" s="3" t="s">
        <v>34</v>
      </c>
      <c r="L262" s="3" t="s">
        <v>35</v>
      </c>
    </row>
    <row r="263" spans="1:12" x14ac:dyDescent="0.5">
      <c r="A263" s="5">
        <v>45818</v>
      </c>
      <c r="B263" t="s">
        <v>151</v>
      </c>
      <c r="C263" t="s">
        <v>114</v>
      </c>
      <c r="E263" s="6">
        <v>107656</v>
      </c>
      <c r="F263" t="s">
        <v>14</v>
      </c>
      <c r="G263" t="s">
        <v>679</v>
      </c>
      <c r="H263" t="s">
        <v>16</v>
      </c>
      <c r="I263" s="6">
        <v>17189</v>
      </c>
      <c r="J263" s="6">
        <v>90467</v>
      </c>
      <c r="K263" t="s">
        <v>17</v>
      </c>
      <c r="L263" t="s">
        <v>18</v>
      </c>
    </row>
    <row r="264" spans="1:12" x14ac:dyDescent="0.5">
      <c r="A264" s="2">
        <v>45819</v>
      </c>
      <c r="B264" s="3" t="s">
        <v>151</v>
      </c>
      <c r="C264" s="3" t="s">
        <v>118</v>
      </c>
      <c r="D264" s="3"/>
      <c r="E264" s="4">
        <v>274343</v>
      </c>
      <c r="F264" s="3" t="s">
        <v>14</v>
      </c>
      <c r="G264" s="3" t="s">
        <v>679</v>
      </c>
      <c r="H264" s="3" t="s">
        <v>119</v>
      </c>
      <c r="I264" s="4">
        <v>43803</v>
      </c>
      <c r="J264" s="4">
        <v>230540</v>
      </c>
      <c r="K264" s="3" t="s">
        <v>120</v>
      </c>
      <c r="L264" s="3" t="s">
        <v>48</v>
      </c>
    </row>
    <row r="265" spans="1:12" x14ac:dyDescent="0.5">
      <c r="A265" s="5">
        <v>45819</v>
      </c>
      <c r="B265" t="s">
        <v>151</v>
      </c>
      <c r="C265" t="s">
        <v>107</v>
      </c>
      <c r="E265" s="6">
        <v>5099</v>
      </c>
      <c r="F265" t="s">
        <v>41</v>
      </c>
      <c r="G265" t="s">
        <v>679</v>
      </c>
      <c r="H265" t="s">
        <v>62</v>
      </c>
      <c r="I265" s="6">
        <v>0</v>
      </c>
      <c r="J265" s="6">
        <v>5099</v>
      </c>
      <c r="K265" t="s">
        <v>63</v>
      </c>
      <c r="L265" t="s">
        <v>22</v>
      </c>
    </row>
    <row r="266" spans="1:12" x14ac:dyDescent="0.5">
      <c r="A266" s="2">
        <v>45819</v>
      </c>
      <c r="B266" s="3" t="s">
        <v>151</v>
      </c>
      <c r="C266" s="3" t="s">
        <v>126</v>
      </c>
      <c r="D266" s="3"/>
      <c r="E266" s="4">
        <v>11530</v>
      </c>
      <c r="F266" s="3" t="s">
        <v>14</v>
      </c>
      <c r="G266" s="3" t="s">
        <v>679</v>
      </c>
      <c r="H266" s="3" t="s">
        <v>28</v>
      </c>
      <c r="I266" s="4">
        <v>1841</v>
      </c>
      <c r="J266" s="4">
        <v>9689</v>
      </c>
      <c r="K266" s="3" t="s">
        <v>29</v>
      </c>
      <c r="L266" s="3" t="s">
        <v>30</v>
      </c>
    </row>
    <row r="267" spans="1:12" x14ac:dyDescent="0.5">
      <c r="A267" s="5">
        <v>45820</v>
      </c>
      <c r="B267" t="s">
        <v>151</v>
      </c>
      <c r="C267" t="s">
        <v>107</v>
      </c>
      <c r="E267" s="6">
        <v>10739</v>
      </c>
      <c r="F267" t="s">
        <v>41</v>
      </c>
      <c r="G267" t="s">
        <v>679</v>
      </c>
      <c r="H267" t="s">
        <v>62</v>
      </c>
      <c r="I267" s="6">
        <v>0</v>
      </c>
      <c r="J267" s="6">
        <v>10739</v>
      </c>
      <c r="K267" t="s">
        <v>63</v>
      </c>
      <c r="L267" t="s">
        <v>22</v>
      </c>
    </row>
    <row r="268" spans="1:12" x14ac:dyDescent="0.5">
      <c r="A268" s="2">
        <v>45820</v>
      </c>
      <c r="B268" s="3" t="s">
        <v>151</v>
      </c>
      <c r="C268" s="3" t="s">
        <v>107</v>
      </c>
      <c r="D268" s="3"/>
      <c r="E268" s="4">
        <v>7922</v>
      </c>
      <c r="F268" s="3" t="s">
        <v>41</v>
      </c>
      <c r="G268" s="3" t="s">
        <v>679</v>
      </c>
      <c r="H268" s="3" t="s">
        <v>62</v>
      </c>
      <c r="I268" s="4">
        <v>0</v>
      </c>
      <c r="J268" s="4">
        <v>7922</v>
      </c>
      <c r="K268" s="3" t="s">
        <v>63</v>
      </c>
      <c r="L268" s="3" t="s">
        <v>22</v>
      </c>
    </row>
    <row r="269" spans="1:12" x14ac:dyDescent="0.5">
      <c r="A269" s="5">
        <v>45820</v>
      </c>
      <c r="B269" t="s">
        <v>151</v>
      </c>
      <c r="C269" t="s">
        <v>107</v>
      </c>
      <c r="E269" s="6">
        <v>1813</v>
      </c>
      <c r="F269" t="s">
        <v>41</v>
      </c>
      <c r="G269" t="s">
        <v>679</v>
      </c>
      <c r="H269" t="s">
        <v>62</v>
      </c>
      <c r="I269" s="6">
        <v>0</v>
      </c>
      <c r="J269" s="6">
        <v>1813</v>
      </c>
      <c r="K269" t="s">
        <v>63</v>
      </c>
      <c r="L269" t="s">
        <v>22</v>
      </c>
    </row>
    <row r="270" spans="1:12" x14ac:dyDescent="0.5">
      <c r="A270" s="2">
        <v>45820</v>
      </c>
      <c r="B270" s="3" t="s">
        <v>131</v>
      </c>
      <c r="C270" s="3" t="s">
        <v>40</v>
      </c>
      <c r="D270" s="3"/>
      <c r="E270" s="4">
        <v>1776666</v>
      </c>
      <c r="F270" s="3" t="s">
        <v>41</v>
      </c>
      <c r="G270" s="3" t="s">
        <v>15</v>
      </c>
      <c r="H270" s="3" t="s">
        <v>42</v>
      </c>
      <c r="I270" s="4">
        <v>0</v>
      </c>
      <c r="J270" s="4">
        <v>1776666</v>
      </c>
      <c r="K270" s="3" t="s">
        <v>43</v>
      </c>
      <c r="L270" s="3" t="s">
        <v>44</v>
      </c>
    </row>
    <row r="271" spans="1:12" x14ac:dyDescent="0.5">
      <c r="A271" s="5">
        <v>45821</v>
      </c>
      <c r="B271" t="s">
        <v>151</v>
      </c>
      <c r="C271" t="s">
        <v>154</v>
      </c>
      <c r="E271" s="6">
        <v>42304</v>
      </c>
      <c r="F271" t="s">
        <v>14</v>
      </c>
      <c r="G271" t="s">
        <v>679</v>
      </c>
      <c r="H271" t="s">
        <v>24</v>
      </c>
      <c r="I271" s="6">
        <v>6754</v>
      </c>
      <c r="J271" s="6">
        <v>35550</v>
      </c>
      <c r="K271" t="s">
        <v>25</v>
      </c>
      <c r="L271" t="s">
        <v>26</v>
      </c>
    </row>
    <row r="272" spans="1:12" x14ac:dyDescent="0.5">
      <c r="A272" s="2">
        <v>45821</v>
      </c>
      <c r="B272" s="3" t="s">
        <v>151</v>
      </c>
      <c r="C272" s="3" t="s">
        <v>155</v>
      </c>
      <c r="D272" s="3"/>
      <c r="E272" s="4">
        <v>44945</v>
      </c>
      <c r="F272" s="3" t="s">
        <v>14</v>
      </c>
      <c r="G272" s="3" t="s">
        <v>679</v>
      </c>
      <c r="H272" s="3" t="s">
        <v>33</v>
      </c>
      <c r="I272" s="4">
        <v>7176</v>
      </c>
      <c r="J272" s="4">
        <v>37769</v>
      </c>
      <c r="K272" s="3" t="s">
        <v>34</v>
      </c>
      <c r="L272" s="3" t="s">
        <v>35</v>
      </c>
    </row>
    <row r="273" spans="1:12" x14ac:dyDescent="0.5">
      <c r="A273" s="5">
        <v>45821</v>
      </c>
      <c r="B273" t="s">
        <v>151</v>
      </c>
      <c r="C273" t="s">
        <v>156</v>
      </c>
      <c r="E273" s="6">
        <v>22228</v>
      </c>
      <c r="F273" t="s">
        <v>14</v>
      </c>
      <c r="G273" t="s">
        <v>679</v>
      </c>
      <c r="H273" t="s">
        <v>33</v>
      </c>
      <c r="I273" s="6">
        <v>3549</v>
      </c>
      <c r="J273" s="6">
        <v>18679</v>
      </c>
      <c r="K273" t="s">
        <v>34</v>
      </c>
      <c r="L273" t="s">
        <v>35</v>
      </c>
    </row>
    <row r="274" spans="1:12" x14ac:dyDescent="0.5">
      <c r="A274" s="2">
        <v>45821</v>
      </c>
      <c r="B274" s="3" t="s">
        <v>151</v>
      </c>
      <c r="C274" s="3" t="s">
        <v>107</v>
      </c>
      <c r="D274" s="3"/>
      <c r="E274" s="4">
        <v>8704</v>
      </c>
      <c r="F274" s="3" t="s">
        <v>41</v>
      </c>
      <c r="G274" s="3" t="s">
        <v>679</v>
      </c>
      <c r="H274" s="3" t="s">
        <v>62</v>
      </c>
      <c r="I274" s="4">
        <v>0</v>
      </c>
      <c r="J274" s="4">
        <v>8704</v>
      </c>
      <c r="K274" s="3" t="s">
        <v>63</v>
      </c>
      <c r="L274" s="3" t="s">
        <v>22</v>
      </c>
    </row>
    <row r="275" spans="1:12" x14ac:dyDescent="0.5">
      <c r="A275" s="5">
        <v>45824</v>
      </c>
      <c r="B275" t="s">
        <v>151</v>
      </c>
      <c r="C275" t="s">
        <v>124</v>
      </c>
      <c r="E275" s="6">
        <v>22856</v>
      </c>
      <c r="F275" t="s">
        <v>14</v>
      </c>
      <c r="G275" t="s">
        <v>679</v>
      </c>
      <c r="H275" t="s">
        <v>16</v>
      </c>
      <c r="I275" s="6">
        <v>3649</v>
      </c>
      <c r="J275" s="6">
        <v>19207</v>
      </c>
      <c r="K275" t="s">
        <v>17</v>
      </c>
      <c r="L275" t="s">
        <v>18</v>
      </c>
    </row>
    <row r="276" spans="1:12" x14ac:dyDescent="0.5">
      <c r="A276" s="2">
        <v>45824</v>
      </c>
      <c r="B276" s="3" t="s">
        <v>151</v>
      </c>
      <c r="C276" s="3" t="s">
        <v>157</v>
      </c>
      <c r="D276" s="3"/>
      <c r="E276" s="4">
        <v>232558</v>
      </c>
      <c r="F276" s="3" t="s">
        <v>14</v>
      </c>
      <c r="G276" s="3" t="s">
        <v>679</v>
      </c>
      <c r="H276" s="3" t="s">
        <v>33</v>
      </c>
      <c r="I276" s="4">
        <v>37131</v>
      </c>
      <c r="J276" s="4">
        <v>195427</v>
      </c>
      <c r="K276" s="3" t="s">
        <v>34</v>
      </c>
      <c r="L276" s="3" t="s">
        <v>35</v>
      </c>
    </row>
    <row r="277" spans="1:12" x14ac:dyDescent="0.5">
      <c r="A277" s="5">
        <v>45824</v>
      </c>
      <c r="B277" t="s">
        <v>151</v>
      </c>
      <c r="C277" t="s">
        <v>126</v>
      </c>
      <c r="E277" s="6">
        <v>4030</v>
      </c>
      <c r="F277" t="s">
        <v>14</v>
      </c>
      <c r="G277" t="s">
        <v>679</v>
      </c>
      <c r="H277" t="s">
        <v>28</v>
      </c>
      <c r="I277" s="6">
        <v>643</v>
      </c>
      <c r="J277" s="6">
        <v>3387</v>
      </c>
      <c r="K277" t="s">
        <v>29</v>
      </c>
      <c r="L277" t="s">
        <v>30</v>
      </c>
    </row>
    <row r="278" spans="1:12" x14ac:dyDescent="0.5">
      <c r="A278" s="2">
        <v>45825</v>
      </c>
      <c r="B278" s="3" t="s">
        <v>151</v>
      </c>
      <c r="C278" s="3" t="s">
        <v>121</v>
      </c>
      <c r="D278" s="3"/>
      <c r="E278" s="4">
        <v>32316</v>
      </c>
      <c r="F278" s="3" t="s">
        <v>14</v>
      </c>
      <c r="G278" s="3" t="s">
        <v>679</v>
      </c>
      <c r="H278" s="3" t="s">
        <v>57</v>
      </c>
      <c r="I278" s="4">
        <v>5160</v>
      </c>
      <c r="J278" s="4">
        <v>27156</v>
      </c>
      <c r="K278" s="3" t="s">
        <v>58</v>
      </c>
      <c r="L278" s="3" t="s">
        <v>48</v>
      </c>
    </row>
    <row r="279" spans="1:12" x14ac:dyDescent="0.5">
      <c r="A279" s="5">
        <v>45825</v>
      </c>
      <c r="B279" t="s">
        <v>151</v>
      </c>
      <c r="C279" t="s">
        <v>158</v>
      </c>
      <c r="E279" s="6">
        <v>140796</v>
      </c>
      <c r="F279" t="s">
        <v>14</v>
      </c>
      <c r="G279" t="s">
        <v>679</v>
      </c>
      <c r="H279" t="s">
        <v>16</v>
      </c>
      <c r="I279" s="6">
        <v>22480</v>
      </c>
      <c r="J279" s="6">
        <v>118316</v>
      </c>
      <c r="K279" t="s">
        <v>17</v>
      </c>
      <c r="L279" t="s">
        <v>18</v>
      </c>
    </row>
    <row r="280" spans="1:12" x14ac:dyDescent="0.5">
      <c r="A280" s="2">
        <v>45825</v>
      </c>
      <c r="B280" s="3" t="s">
        <v>151</v>
      </c>
      <c r="C280" s="3" t="s">
        <v>159</v>
      </c>
      <c r="D280" s="3"/>
      <c r="E280" s="4">
        <v>53071</v>
      </c>
      <c r="F280" s="3" t="s">
        <v>14</v>
      </c>
      <c r="G280" s="3" t="s">
        <v>679</v>
      </c>
      <c r="H280" s="3" t="s">
        <v>33</v>
      </c>
      <c r="I280" s="4">
        <v>8474</v>
      </c>
      <c r="J280" s="4">
        <v>44597</v>
      </c>
      <c r="K280" s="3" t="s">
        <v>34</v>
      </c>
      <c r="L280" s="3" t="s">
        <v>35</v>
      </c>
    </row>
    <row r="281" spans="1:12" x14ac:dyDescent="0.5">
      <c r="A281" s="5">
        <v>45825</v>
      </c>
      <c r="B281" t="s">
        <v>151</v>
      </c>
      <c r="C281" t="s">
        <v>126</v>
      </c>
      <c r="E281" s="6">
        <v>2631</v>
      </c>
      <c r="F281" t="s">
        <v>14</v>
      </c>
      <c r="G281" t="s">
        <v>679</v>
      </c>
      <c r="H281" t="s">
        <v>28</v>
      </c>
      <c r="I281" s="6">
        <v>420</v>
      </c>
      <c r="J281" s="6">
        <v>2211</v>
      </c>
      <c r="K281" t="s">
        <v>29</v>
      </c>
      <c r="L281" t="s">
        <v>30</v>
      </c>
    </row>
    <row r="282" spans="1:12" x14ac:dyDescent="0.5">
      <c r="A282" s="2">
        <v>45825</v>
      </c>
      <c r="B282" s="3" t="s">
        <v>151</v>
      </c>
      <c r="C282" s="3" t="s">
        <v>126</v>
      </c>
      <c r="D282" s="3"/>
      <c r="E282" s="4">
        <v>2260</v>
      </c>
      <c r="F282" s="3" t="s">
        <v>14</v>
      </c>
      <c r="G282" s="3" t="s">
        <v>679</v>
      </c>
      <c r="H282" s="3" t="s">
        <v>28</v>
      </c>
      <c r="I282" s="4">
        <v>361</v>
      </c>
      <c r="J282" s="4">
        <v>1899</v>
      </c>
      <c r="K282" s="3" t="s">
        <v>29</v>
      </c>
      <c r="L282" s="3" t="s">
        <v>30</v>
      </c>
    </row>
    <row r="283" spans="1:12" x14ac:dyDescent="0.5">
      <c r="A283" s="5">
        <v>45825</v>
      </c>
      <c r="B283" t="s">
        <v>151</v>
      </c>
      <c r="C283" t="s">
        <v>126</v>
      </c>
      <c r="E283" s="6">
        <v>2260</v>
      </c>
      <c r="F283" t="s">
        <v>14</v>
      </c>
      <c r="G283" t="s">
        <v>679</v>
      </c>
      <c r="H283" t="s">
        <v>28</v>
      </c>
      <c r="I283" s="6">
        <v>361</v>
      </c>
      <c r="J283" s="6">
        <v>1899</v>
      </c>
      <c r="K283" t="s">
        <v>29</v>
      </c>
      <c r="L283" t="s">
        <v>30</v>
      </c>
    </row>
    <row r="284" spans="1:12" x14ac:dyDescent="0.5">
      <c r="A284" s="2">
        <v>45826</v>
      </c>
      <c r="B284" s="3" t="s">
        <v>151</v>
      </c>
      <c r="C284" s="3" t="s">
        <v>114</v>
      </c>
      <c r="D284" s="3"/>
      <c r="E284" s="4">
        <v>129187</v>
      </c>
      <c r="F284" s="3" t="s">
        <v>14</v>
      </c>
      <c r="G284" s="3" t="s">
        <v>679</v>
      </c>
      <c r="H284" s="3" t="s">
        <v>16</v>
      </c>
      <c r="I284" s="4">
        <v>20626</v>
      </c>
      <c r="J284" s="4">
        <v>108561</v>
      </c>
      <c r="K284" s="3" t="s">
        <v>17</v>
      </c>
      <c r="L284" s="3" t="s">
        <v>18</v>
      </c>
    </row>
    <row r="285" spans="1:12" x14ac:dyDescent="0.5">
      <c r="A285" s="5">
        <v>45827</v>
      </c>
      <c r="B285" t="s">
        <v>151</v>
      </c>
      <c r="C285" t="s">
        <v>126</v>
      </c>
      <c r="E285" s="6">
        <v>2360</v>
      </c>
      <c r="F285" t="s">
        <v>14</v>
      </c>
      <c r="G285" t="s">
        <v>679</v>
      </c>
      <c r="H285" t="s">
        <v>28</v>
      </c>
      <c r="I285" s="6">
        <v>377</v>
      </c>
      <c r="J285" s="6">
        <v>1983</v>
      </c>
      <c r="K285" t="s">
        <v>29</v>
      </c>
      <c r="L285" t="s">
        <v>30</v>
      </c>
    </row>
    <row r="286" spans="1:12" x14ac:dyDescent="0.5">
      <c r="A286" s="2">
        <v>45831</v>
      </c>
      <c r="B286" s="3" t="s">
        <v>151</v>
      </c>
      <c r="C286" s="3" t="s">
        <v>78</v>
      </c>
      <c r="D286" s="3"/>
      <c r="E286" s="4">
        <v>161412</v>
      </c>
      <c r="F286" s="3" t="s">
        <v>14</v>
      </c>
      <c r="G286" s="3" t="s">
        <v>15</v>
      </c>
      <c r="H286" s="3" t="s">
        <v>24</v>
      </c>
      <c r="I286" s="4">
        <v>25772</v>
      </c>
      <c r="J286" s="4">
        <v>135640</v>
      </c>
      <c r="K286" s="3" t="s">
        <v>25</v>
      </c>
      <c r="L286" s="3" t="s">
        <v>26</v>
      </c>
    </row>
    <row r="287" spans="1:12" x14ac:dyDescent="0.5">
      <c r="A287" s="5">
        <v>45831</v>
      </c>
      <c r="B287" t="s">
        <v>151</v>
      </c>
      <c r="C287" t="s">
        <v>105</v>
      </c>
      <c r="E287" s="6">
        <v>7900</v>
      </c>
      <c r="F287" t="s">
        <v>14</v>
      </c>
      <c r="G287" t="s">
        <v>679</v>
      </c>
      <c r="H287" t="s">
        <v>16</v>
      </c>
      <c r="I287" s="6">
        <v>1261</v>
      </c>
      <c r="J287" s="6">
        <v>6639</v>
      </c>
      <c r="K287" t="s">
        <v>17</v>
      </c>
      <c r="L287" t="s">
        <v>18</v>
      </c>
    </row>
    <row r="288" spans="1:12" x14ac:dyDescent="0.5">
      <c r="A288" s="2">
        <v>45832</v>
      </c>
      <c r="B288" s="3" t="s">
        <v>151</v>
      </c>
      <c r="C288" s="3" t="s">
        <v>160</v>
      </c>
      <c r="D288" s="3"/>
      <c r="E288" s="4">
        <v>61982</v>
      </c>
      <c r="F288" s="3" t="s">
        <v>14</v>
      </c>
      <c r="G288" s="3" t="s">
        <v>679</v>
      </c>
      <c r="H288" s="3" t="s">
        <v>33</v>
      </c>
      <c r="I288" s="4">
        <v>9896</v>
      </c>
      <c r="J288" s="4">
        <v>52086</v>
      </c>
      <c r="K288" s="3" t="s">
        <v>34</v>
      </c>
      <c r="L288" s="3" t="s">
        <v>35</v>
      </c>
    </row>
    <row r="289" spans="1:12" x14ac:dyDescent="0.5">
      <c r="A289" s="5">
        <v>45832</v>
      </c>
      <c r="B289" t="s">
        <v>151</v>
      </c>
      <c r="C289" t="s">
        <v>161</v>
      </c>
      <c r="E289" s="6">
        <v>9148</v>
      </c>
      <c r="F289" t="s">
        <v>14</v>
      </c>
      <c r="G289" t="s">
        <v>679</v>
      </c>
      <c r="H289" t="s">
        <v>33</v>
      </c>
      <c r="I289" s="6">
        <v>1461</v>
      </c>
      <c r="J289" s="6">
        <v>7687</v>
      </c>
      <c r="K289" t="s">
        <v>34</v>
      </c>
      <c r="L289" t="s">
        <v>35</v>
      </c>
    </row>
    <row r="290" spans="1:12" x14ac:dyDescent="0.5">
      <c r="A290" s="2">
        <v>45833</v>
      </c>
      <c r="B290" s="3" t="s">
        <v>151</v>
      </c>
      <c r="C290" s="3" t="s">
        <v>148</v>
      </c>
      <c r="D290" s="3"/>
      <c r="E290" s="4">
        <v>10378</v>
      </c>
      <c r="F290" s="3" t="s">
        <v>41</v>
      </c>
      <c r="G290" s="3" t="s">
        <v>679</v>
      </c>
      <c r="H290" s="3" t="s">
        <v>62</v>
      </c>
      <c r="I290" s="4">
        <v>0</v>
      </c>
      <c r="J290" s="4">
        <v>10378</v>
      </c>
      <c r="K290" s="3" t="s">
        <v>63</v>
      </c>
      <c r="L290" s="3" t="s">
        <v>22</v>
      </c>
    </row>
    <row r="291" spans="1:12" x14ac:dyDescent="0.5">
      <c r="A291" s="5">
        <v>45833</v>
      </c>
      <c r="B291" t="s">
        <v>151</v>
      </c>
      <c r="C291" t="s">
        <v>148</v>
      </c>
      <c r="E291" s="6">
        <v>2293</v>
      </c>
      <c r="F291" t="s">
        <v>41</v>
      </c>
      <c r="G291" t="s">
        <v>679</v>
      </c>
      <c r="H291" t="s">
        <v>62</v>
      </c>
      <c r="I291" s="6">
        <v>0</v>
      </c>
      <c r="J291" s="6">
        <v>2293</v>
      </c>
      <c r="K291" t="s">
        <v>63</v>
      </c>
      <c r="L291" t="s">
        <v>22</v>
      </c>
    </row>
    <row r="292" spans="1:12" x14ac:dyDescent="0.5">
      <c r="A292" s="2">
        <v>45834</v>
      </c>
      <c r="B292" s="3" t="s">
        <v>151</v>
      </c>
      <c r="C292" s="3" t="s">
        <v>87</v>
      </c>
      <c r="D292" s="3"/>
      <c r="E292" s="4">
        <v>19398</v>
      </c>
      <c r="F292" s="3" t="s">
        <v>14</v>
      </c>
      <c r="G292" s="3" t="s">
        <v>15</v>
      </c>
      <c r="H292" s="3" t="s">
        <v>46</v>
      </c>
      <c r="I292" s="4">
        <v>3097</v>
      </c>
      <c r="J292" s="4">
        <v>16301</v>
      </c>
      <c r="K292" s="3" t="s">
        <v>47</v>
      </c>
      <c r="L292" s="3" t="s">
        <v>48</v>
      </c>
    </row>
    <row r="293" spans="1:12" x14ac:dyDescent="0.5">
      <c r="A293" s="5">
        <v>45834</v>
      </c>
      <c r="B293" t="s">
        <v>151</v>
      </c>
      <c r="C293" t="s">
        <v>87</v>
      </c>
      <c r="E293" s="6">
        <v>19</v>
      </c>
      <c r="F293" t="s">
        <v>14</v>
      </c>
      <c r="G293" t="s">
        <v>15</v>
      </c>
      <c r="H293" t="s">
        <v>46</v>
      </c>
      <c r="I293" s="6">
        <v>3</v>
      </c>
      <c r="J293" s="6">
        <v>16</v>
      </c>
      <c r="K293" t="s">
        <v>47</v>
      </c>
      <c r="L293" t="s">
        <v>48</v>
      </c>
    </row>
    <row r="294" spans="1:12" x14ac:dyDescent="0.5">
      <c r="A294" s="2">
        <v>45834</v>
      </c>
      <c r="B294" s="3" t="s">
        <v>151</v>
      </c>
      <c r="C294" s="3" t="s">
        <v>124</v>
      </c>
      <c r="D294" s="3"/>
      <c r="E294" s="4">
        <v>22698</v>
      </c>
      <c r="F294" s="3" t="s">
        <v>14</v>
      </c>
      <c r="G294" s="3" t="s">
        <v>679</v>
      </c>
      <c r="H294" s="3" t="s">
        <v>16</v>
      </c>
      <c r="I294" s="4">
        <v>3624</v>
      </c>
      <c r="J294" s="4">
        <v>19074</v>
      </c>
      <c r="K294" s="3" t="s">
        <v>17</v>
      </c>
      <c r="L294" s="3" t="s">
        <v>18</v>
      </c>
    </row>
    <row r="295" spans="1:12" x14ac:dyDescent="0.5">
      <c r="A295" s="5">
        <v>45835</v>
      </c>
      <c r="B295" t="s">
        <v>151</v>
      </c>
      <c r="C295" t="s">
        <v>449</v>
      </c>
      <c r="E295" s="6">
        <v>28954</v>
      </c>
      <c r="F295" t="s">
        <v>14</v>
      </c>
      <c r="G295" t="s">
        <v>679</v>
      </c>
      <c r="H295" t="s">
        <v>24</v>
      </c>
      <c r="I295" s="6">
        <v>4623</v>
      </c>
      <c r="J295" s="6">
        <v>24331</v>
      </c>
      <c r="K295" t="s">
        <v>25</v>
      </c>
      <c r="L295" t="s">
        <v>26</v>
      </c>
    </row>
    <row r="296" spans="1:12" x14ac:dyDescent="0.5">
      <c r="A296" s="2">
        <v>45835</v>
      </c>
      <c r="B296" s="3" t="s">
        <v>151</v>
      </c>
      <c r="C296" s="3" t="s">
        <v>448</v>
      </c>
      <c r="D296" s="3"/>
      <c r="E296" s="4">
        <v>1890</v>
      </c>
      <c r="F296" s="3" t="s">
        <v>14</v>
      </c>
      <c r="G296" s="3" t="s">
        <v>679</v>
      </c>
      <c r="H296" s="3" t="s">
        <v>355</v>
      </c>
      <c r="I296" s="4">
        <v>302</v>
      </c>
      <c r="J296" s="4">
        <v>1588</v>
      </c>
      <c r="K296" s="3" t="s">
        <v>356</v>
      </c>
      <c r="L296" s="3" t="s">
        <v>48</v>
      </c>
    </row>
    <row r="297" spans="1:12" x14ac:dyDescent="0.5">
      <c r="A297" s="5">
        <v>45835</v>
      </c>
      <c r="B297" t="s">
        <v>151</v>
      </c>
      <c r="C297" t="s">
        <v>162</v>
      </c>
      <c r="E297" s="6">
        <v>116682</v>
      </c>
      <c r="F297" t="s">
        <v>14</v>
      </c>
      <c r="G297" t="s">
        <v>679</v>
      </c>
      <c r="H297" t="s">
        <v>33</v>
      </c>
      <c r="I297" s="6">
        <v>18630</v>
      </c>
      <c r="J297" s="6">
        <v>98052</v>
      </c>
      <c r="K297" t="s">
        <v>34</v>
      </c>
      <c r="L297" t="s">
        <v>35</v>
      </c>
    </row>
    <row r="298" spans="1:12" x14ac:dyDescent="0.5">
      <c r="A298" s="2">
        <v>45835</v>
      </c>
      <c r="B298" s="3" t="s">
        <v>151</v>
      </c>
      <c r="C298" s="3" t="s">
        <v>163</v>
      </c>
      <c r="D298" s="3"/>
      <c r="E298" s="4">
        <v>28550</v>
      </c>
      <c r="F298" s="3" t="s">
        <v>14</v>
      </c>
      <c r="G298" s="3" t="s">
        <v>679</v>
      </c>
      <c r="H298" s="3" t="s">
        <v>33</v>
      </c>
      <c r="I298" s="4">
        <v>4558</v>
      </c>
      <c r="J298" s="4">
        <v>23992</v>
      </c>
      <c r="K298" s="3" t="s">
        <v>34</v>
      </c>
      <c r="L298" s="3" t="s">
        <v>35</v>
      </c>
    </row>
    <row r="299" spans="1:12" x14ac:dyDescent="0.5">
      <c r="A299" s="5">
        <v>45835</v>
      </c>
      <c r="B299" t="s">
        <v>151</v>
      </c>
      <c r="C299" t="s">
        <v>107</v>
      </c>
      <c r="E299" s="6">
        <v>2641</v>
      </c>
      <c r="F299" t="s">
        <v>41</v>
      </c>
      <c r="G299" t="s">
        <v>679</v>
      </c>
      <c r="H299" t="s">
        <v>62</v>
      </c>
      <c r="I299" s="6">
        <v>0</v>
      </c>
      <c r="J299" s="6">
        <v>2641</v>
      </c>
      <c r="K299" t="s">
        <v>63</v>
      </c>
      <c r="L299" t="s">
        <v>22</v>
      </c>
    </row>
    <row r="300" spans="1:12" x14ac:dyDescent="0.5">
      <c r="A300" s="2">
        <v>45838</v>
      </c>
      <c r="B300" s="3" t="s">
        <v>151</v>
      </c>
      <c r="C300" s="3" t="s">
        <v>450</v>
      </c>
      <c r="D300" s="3"/>
      <c r="E300" s="4">
        <v>212968</v>
      </c>
      <c r="F300" s="3" t="s">
        <v>14</v>
      </c>
      <c r="G300" s="3" t="s">
        <v>679</v>
      </c>
      <c r="H300" s="3" t="s">
        <v>293</v>
      </c>
      <c r="I300" s="4">
        <v>34003</v>
      </c>
      <c r="J300" s="4">
        <v>178965</v>
      </c>
      <c r="K300" s="3" t="s">
        <v>294</v>
      </c>
      <c r="L300" s="3" t="s">
        <v>26</v>
      </c>
    </row>
    <row r="301" spans="1:12" x14ac:dyDescent="0.5">
      <c r="A301" s="5">
        <v>45838</v>
      </c>
      <c r="B301" t="s">
        <v>151</v>
      </c>
      <c r="C301" t="s">
        <v>78</v>
      </c>
      <c r="E301" s="6">
        <v>161412</v>
      </c>
      <c r="F301" t="s">
        <v>14</v>
      </c>
      <c r="G301" t="s">
        <v>15</v>
      </c>
      <c r="H301" t="s">
        <v>24</v>
      </c>
      <c r="I301" s="6">
        <v>25772</v>
      </c>
      <c r="J301" s="6">
        <v>135640</v>
      </c>
      <c r="K301" t="s">
        <v>25</v>
      </c>
      <c r="L301" t="s">
        <v>26</v>
      </c>
    </row>
    <row r="302" spans="1:12" x14ac:dyDescent="0.5">
      <c r="A302" s="2">
        <v>45838</v>
      </c>
      <c r="B302" s="3" t="s">
        <v>131</v>
      </c>
      <c r="C302" s="3" t="s">
        <v>93</v>
      </c>
      <c r="D302" s="3"/>
      <c r="E302" s="4">
        <v>400000</v>
      </c>
      <c r="F302" s="3" t="s">
        <v>41</v>
      </c>
      <c r="G302" s="3" t="s">
        <v>15</v>
      </c>
      <c r="H302" s="3" t="s">
        <v>66</v>
      </c>
      <c r="I302" s="4">
        <v>0</v>
      </c>
      <c r="J302" s="4">
        <v>400000</v>
      </c>
      <c r="K302" s="3" t="s">
        <v>67</v>
      </c>
      <c r="L302" s="3" t="s">
        <v>68</v>
      </c>
    </row>
    <row r="303" spans="1:12" x14ac:dyDescent="0.5">
      <c r="A303" s="5">
        <v>45838</v>
      </c>
      <c r="B303" t="s">
        <v>151</v>
      </c>
      <c r="C303" t="s">
        <v>124</v>
      </c>
      <c r="E303" s="6">
        <v>22896</v>
      </c>
      <c r="F303" t="s">
        <v>14</v>
      </c>
      <c r="G303" t="s">
        <v>679</v>
      </c>
      <c r="H303" t="s">
        <v>16</v>
      </c>
      <c r="I303" s="6">
        <v>3656</v>
      </c>
      <c r="J303" s="6">
        <v>19240</v>
      </c>
      <c r="K303" t="s">
        <v>17</v>
      </c>
      <c r="L303" t="s">
        <v>18</v>
      </c>
    </row>
    <row r="304" spans="1:12" x14ac:dyDescent="0.5">
      <c r="A304" s="2">
        <v>45838</v>
      </c>
      <c r="B304" s="3" t="s">
        <v>151</v>
      </c>
      <c r="C304" s="3" t="s">
        <v>107</v>
      </c>
      <c r="D304" s="3"/>
      <c r="E304" s="4">
        <v>5276</v>
      </c>
      <c r="F304" s="3" t="s">
        <v>41</v>
      </c>
      <c r="G304" s="3" t="s">
        <v>679</v>
      </c>
      <c r="H304" s="3" t="s">
        <v>62</v>
      </c>
      <c r="I304" s="4">
        <v>0</v>
      </c>
      <c r="J304" s="4">
        <v>5276</v>
      </c>
      <c r="K304" s="3" t="s">
        <v>63</v>
      </c>
      <c r="L304" s="3" t="s">
        <v>22</v>
      </c>
    </row>
    <row r="305" spans="1:12" x14ac:dyDescent="0.5">
      <c r="A305" s="5">
        <v>45839</v>
      </c>
      <c r="B305" t="s">
        <v>164</v>
      </c>
      <c r="C305" t="s">
        <v>453</v>
      </c>
      <c r="E305" s="6">
        <v>377915</v>
      </c>
      <c r="F305" t="s">
        <v>14</v>
      </c>
      <c r="G305" t="s">
        <v>15</v>
      </c>
      <c r="H305" t="s">
        <v>293</v>
      </c>
      <c r="I305" s="6">
        <v>60339</v>
      </c>
      <c r="J305" s="6">
        <v>317576</v>
      </c>
      <c r="K305" t="s">
        <v>294</v>
      </c>
      <c r="L305" t="s">
        <v>26</v>
      </c>
    </row>
    <row r="306" spans="1:12" x14ac:dyDescent="0.5">
      <c r="A306" s="2">
        <v>45839</v>
      </c>
      <c r="B306" s="3" t="s">
        <v>164</v>
      </c>
      <c r="C306" s="3" t="s">
        <v>415</v>
      </c>
      <c r="D306" s="3"/>
      <c r="E306" s="4">
        <v>164850</v>
      </c>
      <c r="F306" s="3" t="s">
        <v>14</v>
      </c>
      <c r="G306" s="3" t="s">
        <v>15</v>
      </c>
      <c r="H306" s="3" t="s">
        <v>24</v>
      </c>
      <c r="I306" s="4">
        <v>26321</v>
      </c>
      <c r="J306" s="4">
        <v>138529</v>
      </c>
      <c r="K306" s="3" t="s">
        <v>25</v>
      </c>
      <c r="L306" s="3" t="s">
        <v>26</v>
      </c>
    </row>
    <row r="307" spans="1:12" x14ac:dyDescent="0.5">
      <c r="A307" s="5">
        <v>45839</v>
      </c>
      <c r="B307" t="s">
        <v>164</v>
      </c>
      <c r="C307" t="s">
        <v>102</v>
      </c>
      <c r="E307" s="6">
        <v>113394</v>
      </c>
      <c r="F307" t="s">
        <v>14</v>
      </c>
      <c r="G307" t="s">
        <v>15</v>
      </c>
      <c r="H307" t="s">
        <v>24</v>
      </c>
      <c r="I307" s="6">
        <v>18105</v>
      </c>
      <c r="J307" s="6">
        <v>95289</v>
      </c>
      <c r="K307" t="s">
        <v>25</v>
      </c>
      <c r="L307" t="s">
        <v>26</v>
      </c>
    </row>
    <row r="308" spans="1:12" x14ac:dyDescent="0.5">
      <c r="A308" s="2">
        <v>45839</v>
      </c>
      <c r="B308" s="3" t="s">
        <v>164</v>
      </c>
      <c r="C308" s="3" t="s">
        <v>102</v>
      </c>
      <c r="D308" s="3"/>
      <c r="E308" s="4">
        <v>113394</v>
      </c>
      <c r="F308" s="3" t="s">
        <v>14</v>
      </c>
      <c r="G308" s="3" t="s">
        <v>15</v>
      </c>
      <c r="H308" s="3" t="s">
        <v>24</v>
      </c>
      <c r="I308" s="4">
        <v>18105</v>
      </c>
      <c r="J308" s="4">
        <v>95289</v>
      </c>
      <c r="K308" s="3" t="s">
        <v>25</v>
      </c>
      <c r="L308" s="3" t="s">
        <v>26</v>
      </c>
    </row>
    <row r="309" spans="1:12" x14ac:dyDescent="0.5">
      <c r="A309" s="5">
        <v>45839</v>
      </c>
      <c r="B309" t="s">
        <v>164</v>
      </c>
      <c r="C309" t="s">
        <v>102</v>
      </c>
      <c r="E309" s="6">
        <v>75601</v>
      </c>
      <c r="F309" t="s">
        <v>14</v>
      </c>
      <c r="G309" t="s">
        <v>15</v>
      </c>
      <c r="H309" t="s">
        <v>24</v>
      </c>
      <c r="I309" s="6">
        <v>12071</v>
      </c>
      <c r="J309" s="6">
        <v>63530</v>
      </c>
      <c r="K309" t="s">
        <v>25</v>
      </c>
      <c r="L309" t="s">
        <v>26</v>
      </c>
    </row>
    <row r="310" spans="1:12" x14ac:dyDescent="0.5">
      <c r="A310" s="2">
        <v>45839</v>
      </c>
      <c r="B310" s="3" t="s">
        <v>164</v>
      </c>
      <c r="C310" s="3" t="s">
        <v>102</v>
      </c>
      <c r="D310" s="3"/>
      <c r="E310" s="4">
        <v>75601</v>
      </c>
      <c r="F310" s="3" t="s">
        <v>14</v>
      </c>
      <c r="G310" s="3" t="s">
        <v>15</v>
      </c>
      <c r="H310" s="3" t="s">
        <v>24</v>
      </c>
      <c r="I310" s="4">
        <v>12071</v>
      </c>
      <c r="J310" s="4">
        <v>63530</v>
      </c>
      <c r="K310" s="3" t="s">
        <v>25</v>
      </c>
      <c r="L310" s="3" t="s">
        <v>26</v>
      </c>
    </row>
    <row r="311" spans="1:12" x14ac:dyDescent="0.5">
      <c r="A311" s="5">
        <v>45839</v>
      </c>
      <c r="B311" t="s">
        <v>164</v>
      </c>
      <c r="C311" t="s">
        <v>451</v>
      </c>
      <c r="E311" s="6">
        <v>140000</v>
      </c>
      <c r="F311" t="s">
        <v>14</v>
      </c>
      <c r="G311" t="s">
        <v>15</v>
      </c>
      <c r="H311" t="s">
        <v>355</v>
      </c>
      <c r="I311" s="6">
        <v>22353</v>
      </c>
      <c r="J311" s="6">
        <v>117647</v>
      </c>
      <c r="K311" t="s">
        <v>356</v>
      </c>
      <c r="L311" t="s">
        <v>48</v>
      </c>
    </row>
    <row r="312" spans="1:12" x14ac:dyDescent="0.5">
      <c r="A312" s="2">
        <v>45839</v>
      </c>
      <c r="B312" s="3" t="s">
        <v>164</v>
      </c>
      <c r="C312" s="3" t="s">
        <v>117</v>
      </c>
      <c r="D312" s="3"/>
      <c r="E312" s="4">
        <v>135376</v>
      </c>
      <c r="F312" s="3" t="s">
        <v>14</v>
      </c>
      <c r="G312" s="3" t="s">
        <v>679</v>
      </c>
      <c r="H312" s="3" t="s">
        <v>16</v>
      </c>
      <c r="I312" s="4">
        <v>21615</v>
      </c>
      <c r="J312" s="4">
        <v>113761</v>
      </c>
      <c r="K312" s="3" t="s">
        <v>17</v>
      </c>
      <c r="L312" s="3" t="s">
        <v>18</v>
      </c>
    </row>
    <row r="313" spans="1:12" x14ac:dyDescent="0.5">
      <c r="A313" s="5">
        <v>45839</v>
      </c>
      <c r="B313" t="s">
        <v>164</v>
      </c>
      <c r="C313" t="s">
        <v>116</v>
      </c>
      <c r="E313" s="6">
        <v>74183</v>
      </c>
      <c r="F313" t="s">
        <v>14</v>
      </c>
      <c r="G313" t="s">
        <v>679</v>
      </c>
      <c r="H313" t="s">
        <v>16</v>
      </c>
      <c r="I313" s="6">
        <v>11844</v>
      </c>
      <c r="J313" s="6">
        <v>62339</v>
      </c>
      <c r="K313" t="s">
        <v>17</v>
      </c>
      <c r="L313" t="s">
        <v>18</v>
      </c>
    </row>
    <row r="314" spans="1:12" x14ac:dyDescent="0.5">
      <c r="A314" s="2">
        <v>45839</v>
      </c>
      <c r="B314" s="3" t="s">
        <v>164</v>
      </c>
      <c r="C314" s="3" t="s">
        <v>126</v>
      </c>
      <c r="D314" s="3"/>
      <c r="E314" s="4">
        <v>2260</v>
      </c>
      <c r="F314" s="3" t="s">
        <v>14</v>
      </c>
      <c r="G314" s="3" t="s">
        <v>679</v>
      </c>
      <c r="H314" s="3" t="s">
        <v>28</v>
      </c>
      <c r="I314" s="4">
        <v>361</v>
      </c>
      <c r="J314" s="4">
        <v>1899</v>
      </c>
      <c r="K314" s="3" t="s">
        <v>29</v>
      </c>
      <c r="L314" s="3" t="s">
        <v>30</v>
      </c>
    </row>
    <row r="315" spans="1:12" x14ac:dyDescent="0.5">
      <c r="A315" s="5">
        <v>45840</v>
      </c>
      <c r="B315" t="s">
        <v>164</v>
      </c>
      <c r="C315" t="s">
        <v>165</v>
      </c>
      <c r="E315" s="6">
        <v>96915</v>
      </c>
      <c r="F315" t="s">
        <v>14</v>
      </c>
      <c r="G315" t="s">
        <v>679</v>
      </c>
      <c r="H315" t="s">
        <v>24</v>
      </c>
      <c r="I315" s="6">
        <v>15474</v>
      </c>
      <c r="J315" s="6">
        <v>81441</v>
      </c>
      <c r="K315" t="s">
        <v>25</v>
      </c>
      <c r="L315" t="s">
        <v>26</v>
      </c>
    </row>
    <row r="316" spans="1:12" x14ac:dyDescent="0.5">
      <c r="A316" s="2">
        <v>45840</v>
      </c>
      <c r="B316" s="3" t="s">
        <v>151</v>
      </c>
      <c r="C316" s="3" t="s">
        <v>81</v>
      </c>
      <c r="D316" s="3"/>
      <c r="E316" s="4">
        <v>17850</v>
      </c>
      <c r="F316" s="3" t="s">
        <v>41</v>
      </c>
      <c r="G316" s="3" t="s">
        <v>15</v>
      </c>
      <c r="H316" s="3" t="s">
        <v>66</v>
      </c>
      <c r="I316" s="4">
        <v>0</v>
      </c>
      <c r="J316" s="4">
        <v>17850</v>
      </c>
      <c r="K316" s="3" t="s">
        <v>67</v>
      </c>
      <c r="L316" s="3" t="s">
        <v>68</v>
      </c>
    </row>
    <row r="317" spans="1:12" x14ac:dyDescent="0.5">
      <c r="A317" s="5">
        <v>45841</v>
      </c>
      <c r="B317" t="s">
        <v>151</v>
      </c>
      <c r="C317" t="s">
        <v>65</v>
      </c>
      <c r="E317" s="6">
        <v>1157677</v>
      </c>
      <c r="F317" t="s">
        <v>41</v>
      </c>
      <c r="G317" t="s">
        <v>15</v>
      </c>
      <c r="H317" t="s">
        <v>66</v>
      </c>
      <c r="I317" s="6">
        <v>0</v>
      </c>
      <c r="J317" s="6">
        <v>1157677</v>
      </c>
      <c r="K317" t="s">
        <v>67</v>
      </c>
      <c r="L317" t="s">
        <v>68</v>
      </c>
    </row>
    <row r="318" spans="1:12" x14ac:dyDescent="0.5">
      <c r="A318" s="2">
        <v>45841</v>
      </c>
      <c r="B318" s="3" t="s">
        <v>164</v>
      </c>
      <c r="C318" s="3" t="s">
        <v>19</v>
      </c>
      <c r="D318" s="3"/>
      <c r="E318" s="4">
        <v>119331</v>
      </c>
      <c r="F318" s="3" t="s">
        <v>14</v>
      </c>
      <c r="G318" s="3" t="s">
        <v>15</v>
      </c>
      <c r="H318" s="3" t="s">
        <v>20</v>
      </c>
      <c r="I318" s="4">
        <v>19053</v>
      </c>
      <c r="J318" s="4">
        <v>100278</v>
      </c>
      <c r="K318" s="3" t="s">
        <v>21</v>
      </c>
      <c r="L318" s="3" t="s">
        <v>22</v>
      </c>
    </row>
    <row r="319" spans="1:12" x14ac:dyDescent="0.5">
      <c r="A319" s="5">
        <v>45842</v>
      </c>
      <c r="B319" t="s">
        <v>164</v>
      </c>
      <c r="C319" t="s">
        <v>111</v>
      </c>
      <c r="E319" s="6">
        <v>9476</v>
      </c>
      <c r="F319" t="s">
        <v>14</v>
      </c>
      <c r="G319" t="s">
        <v>679</v>
      </c>
      <c r="H319" t="s">
        <v>24</v>
      </c>
      <c r="I319" s="6">
        <v>1513</v>
      </c>
      <c r="J319" s="6">
        <v>7963</v>
      </c>
      <c r="K319" t="s">
        <v>25</v>
      </c>
      <c r="L319" t="s">
        <v>26</v>
      </c>
    </row>
    <row r="320" spans="1:12" x14ac:dyDescent="0.5">
      <c r="A320" s="2">
        <v>45842</v>
      </c>
      <c r="B320" s="3" t="s">
        <v>164</v>
      </c>
      <c r="C320" s="3" t="s">
        <v>121</v>
      </c>
      <c r="D320" s="3"/>
      <c r="E320" s="4">
        <v>32580</v>
      </c>
      <c r="F320" s="3" t="s">
        <v>14</v>
      </c>
      <c r="G320" s="3" t="s">
        <v>679</v>
      </c>
      <c r="H320" s="3" t="s">
        <v>57</v>
      </c>
      <c r="I320" s="4">
        <v>5202</v>
      </c>
      <c r="J320" s="4">
        <v>27378</v>
      </c>
      <c r="K320" s="3" t="s">
        <v>58</v>
      </c>
      <c r="L320" s="3" t="s">
        <v>48</v>
      </c>
    </row>
    <row r="321" spans="1:12" x14ac:dyDescent="0.5">
      <c r="A321" s="5">
        <v>45845</v>
      </c>
      <c r="B321" t="s">
        <v>164</v>
      </c>
      <c r="C321" t="s">
        <v>456</v>
      </c>
      <c r="E321" s="6">
        <v>54672</v>
      </c>
      <c r="F321" t="s">
        <v>14</v>
      </c>
      <c r="G321" t="s">
        <v>679</v>
      </c>
      <c r="H321" t="s">
        <v>24</v>
      </c>
      <c r="I321" s="6">
        <v>8729</v>
      </c>
      <c r="J321" s="6">
        <v>45943</v>
      </c>
      <c r="K321" t="s">
        <v>25</v>
      </c>
      <c r="L321" t="s">
        <v>26</v>
      </c>
    </row>
    <row r="322" spans="1:12" x14ac:dyDescent="0.5">
      <c r="A322" s="2">
        <v>45845</v>
      </c>
      <c r="B322" s="3" t="s">
        <v>164</v>
      </c>
      <c r="C322" s="3" t="s">
        <v>118</v>
      </c>
      <c r="D322" s="3"/>
      <c r="E322" s="4">
        <v>274887</v>
      </c>
      <c r="F322" s="3" t="s">
        <v>14</v>
      </c>
      <c r="G322" s="3" t="s">
        <v>679</v>
      </c>
      <c r="H322" s="3" t="s">
        <v>119</v>
      </c>
      <c r="I322" s="4">
        <v>43890</v>
      </c>
      <c r="J322" s="4">
        <v>230997</v>
      </c>
      <c r="K322" s="3" t="s">
        <v>120</v>
      </c>
      <c r="L322" s="3" t="s">
        <v>48</v>
      </c>
    </row>
    <row r="323" spans="1:12" x14ac:dyDescent="0.5">
      <c r="A323" s="5">
        <v>45845</v>
      </c>
      <c r="B323" t="s">
        <v>164</v>
      </c>
      <c r="C323" t="s">
        <v>107</v>
      </c>
      <c r="E323" s="6">
        <v>2754</v>
      </c>
      <c r="F323" t="s">
        <v>41</v>
      </c>
      <c r="G323" t="s">
        <v>679</v>
      </c>
      <c r="H323" t="s">
        <v>62</v>
      </c>
      <c r="I323" s="6">
        <v>0</v>
      </c>
      <c r="J323" s="6">
        <v>2754</v>
      </c>
      <c r="K323" t="s">
        <v>63</v>
      </c>
      <c r="L323" t="s">
        <v>22</v>
      </c>
    </row>
    <row r="324" spans="1:12" x14ac:dyDescent="0.5">
      <c r="A324" s="2">
        <v>45845</v>
      </c>
      <c r="B324" s="3" t="s">
        <v>164</v>
      </c>
      <c r="C324" s="3" t="s">
        <v>107</v>
      </c>
      <c r="D324" s="3"/>
      <c r="E324" s="4">
        <v>2558</v>
      </c>
      <c r="F324" s="3" t="s">
        <v>41</v>
      </c>
      <c r="G324" s="3" t="s">
        <v>679</v>
      </c>
      <c r="H324" s="3" t="s">
        <v>62</v>
      </c>
      <c r="I324" s="4">
        <v>0</v>
      </c>
      <c r="J324" s="4">
        <v>2558</v>
      </c>
      <c r="K324" s="3" t="s">
        <v>63</v>
      </c>
      <c r="L324" s="3" t="s">
        <v>22</v>
      </c>
    </row>
    <row r="325" spans="1:12" x14ac:dyDescent="0.5">
      <c r="A325" s="5">
        <v>45845</v>
      </c>
      <c r="B325" t="s">
        <v>164</v>
      </c>
      <c r="C325" t="s">
        <v>126</v>
      </c>
      <c r="E325" s="6">
        <v>2660</v>
      </c>
      <c r="F325" t="s">
        <v>14</v>
      </c>
      <c r="G325" t="s">
        <v>679</v>
      </c>
      <c r="H325" t="s">
        <v>28</v>
      </c>
      <c r="I325" s="6">
        <v>425</v>
      </c>
      <c r="J325" s="6">
        <v>2235</v>
      </c>
      <c r="K325" t="s">
        <v>29</v>
      </c>
      <c r="L325" t="s">
        <v>30</v>
      </c>
    </row>
    <row r="326" spans="1:12" x14ac:dyDescent="0.5">
      <c r="A326" s="2">
        <v>45846</v>
      </c>
      <c r="B326" s="3" t="s">
        <v>164</v>
      </c>
      <c r="C326" s="3" t="s">
        <v>114</v>
      </c>
      <c r="D326" s="3"/>
      <c r="E326" s="4">
        <v>129187</v>
      </c>
      <c r="F326" s="3" t="s">
        <v>14</v>
      </c>
      <c r="G326" s="3" t="s">
        <v>679</v>
      </c>
      <c r="H326" s="3" t="s">
        <v>16</v>
      </c>
      <c r="I326" s="4">
        <v>20626</v>
      </c>
      <c r="J326" s="4">
        <v>108561</v>
      </c>
      <c r="K326" s="3" t="s">
        <v>17</v>
      </c>
      <c r="L326" s="3" t="s">
        <v>18</v>
      </c>
    </row>
    <row r="327" spans="1:12" x14ac:dyDescent="0.5">
      <c r="A327" s="5">
        <v>45846</v>
      </c>
      <c r="B327" t="s">
        <v>164</v>
      </c>
      <c r="C327" t="s">
        <v>126</v>
      </c>
      <c r="E327" s="6">
        <v>2260</v>
      </c>
      <c r="F327" t="s">
        <v>14</v>
      </c>
      <c r="G327" t="s">
        <v>679</v>
      </c>
      <c r="H327" t="s">
        <v>28</v>
      </c>
      <c r="I327" s="6">
        <v>361</v>
      </c>
      <c r="J327" s="6">
        <v>1899</v>
      </c>
      <c r="K327" t="s">
        <v>29</v>
      </c>
      <c r="L327" t="s">
        <v>30</v>
      </c>
    </row>
    <row r="328" spans="1:12" x14ac:dyDescent="0.5">
      <c r="A328" s="2">
        <v>45848</v>
      </c>
      <c r="B328" s="3" t="s">
        <v>164</v>
      </c>
      <c r="C328" s="3" t="s">
        <v>457</v>
      </c>
      <c r="D328" s="3"/>
      <c r="E328" s="4">
        <v>15960</v>
      </c>
      <c r="F328" s="3" t="s">
        <v>14</v>
      </c>
      <c r="G328" s="3" t="s">
        <v>679</v>
      </c>
      <c r="H328" s="3" t="s">
        <v>46</v>
      </c>
      <c r="I328" s="4">
        <v>2548</v>
      </c>
      <c r="J328" s="4">
        <v>13412</v>
      </c>
      <c r="K328" s="3" t="s">
        <v>47</v>
      </c>
      <c r="L328" s="3" t="s">
        <v>48</v>
      </c>
    </row>
    <row r="329" spans="1:12" x14ac:dyDescent="0.5">
      <c r="A329" s="5">
        <v>45848</v>
      </c>
      <c r="B329" t="s">
        <v>164</v>
      </c>
      <c r="C329" t="s">
        <v>126</v>
      </c>
      <c r="E329" s="6">
        <v>2460</v>
      </c>
      <c r="F329" t="s">
        <v>14</v>
      </c>
      <c r="G329" t="s">
        <v>679</v>
      </c>
      <c r="H329" t="s">
        <v>28</v>
      </c>
      <c r="I329" s="6">
        <v>393</v>
      </c>
      <c r="J329" s="6">
        <v>2067</v>
      </c>
      <c r="K329" t="s">
        <v>29</v>
      </c>
      <c r="L329" t="s">
        <v>30</v>
      </c>
    </row>
    <row r="330" spans="1:12" x14ac:dyDescent="0.5">
      <c r="A330" s="2">
        <v>45849</v>
      </c>
      <c r="B330" s="3" t="s">
        <v>164</v>
      </c>
      <c r="C330" s="3" t="s">
        <v>127</v>
      </c>
      <c r="D330" s="3"/>
      <c r="E330" s="4">
        <v>29461</v>
      </c>
      <c r="F330" s="3" t="s">
        <v>14</v>
      </c>
      <c r="G330" s="3" t="s">
        <v>679</v>
      </c>
      <c r="H330" s="3" t="s">
        <v>46</v>
      </c>
      <c r="I330" s="4">
        <v>4704</v>
      </c>
      <c r="J330" s="4">
        <v>24757</v>
      </c>
      <c r="K330" s="3" t="s">
        <v>47</v>
      </c>
      <c r="L330" s="3" t="s">
        <v>48</v>
      </c>
    </row>
    <row r="331" spans="1:12" x14ac:dyDescent="0.5">
      <c r="A331" s="5">
        <v>45849</v>
      </c>
      <c r="B331" t="s">
        <v>151</v>
      </c>
      <c r="C331" t="s">
        <v>40</v>
      </c>
      <c r="E331" s="6">
        <v>1585026</v>
      </c>
      <c r="F331" t="s">
        <v>41</v>
      </c>
      <c r="G331" t="s">
        <v>15</v>
      </c>
      <c r="H331" t="s">
        <v>42</v>
      </c>
      <c r="I331" s="6">
        <v>0</v>
      </c>
      <c r="J331" s="6">
        <v>1585026</v>
      </c>
      <c r="K331" t="s">
        <v>43</v>
      </c>
      <c r="L331" t="s">
        <v>44</v>
      </c>
    </row>
    <row r="332" spans="1:12" x14ac:dyDescent="0.5">
      <c r="A332" s="2">
        <v>45852</v>
      </c>
      <c r="B332" s="3" t="s">
        <v>164</v>
      </c>
      <c r="C332" s="3" t="s">
        <v>166</v>
      </c>
      <c r="D332" s="3"/>
      <c r="E332" s="4">
        <v>135041</v>
      </c>
      <c r="F332" s="3" t="s">
        <v>14</v>
      </c>
      <c r="G332" s="3" t="s">
        <v>679</v>
      </c>
      <c r="H332" s="3" t="s">
        <v>33</v>
      </c>
      <c r="I332" s="4">
        <v>21561</v>
      </c>
      <c r="J332" s="4">
        <v>113480</v>
      </c>
      <c r="K332" s="3" t="s">
        <v>34</v>
      </c>
      <c r="L332" s="3" t="s">
        <v>35</v>
      </c>
    </row>
    <row r="333" spans="1:12" x14ac:dyDescent="0.5">
      <c r="A333" s="5">
        <v>45852</v>
      </c>
      <c r="B333" t="s">
        <v>164</v>
      </c>
      <c r="C333" t="s">
        <v>167</v>
      </c>
      <c r="E333" s="6">
        <v>16229</v>
      </c>
      <c r="F333" t="s">
        <v>14</v>
      </c>
      <c r="G333" t="s">
        <v>679</v>
      </c>
      <c r="H333" t="s">
        <v>33</v>
      </c>
      <c r="I333" s="6">
        <v>2591</v>
      </c>
      <c r="J333" s="6">
        <v>13638</v>
      </c>
      <c r="K333" t="s">
        <v>34</v>
      </c>
      <c r="L333" t="s">
        <v>35</v>
      </c>
    </row>
    <row r="334" spans="1:12" x14ac:dyDescent="0.5">
      <c r="A334" s="2">
        <v>45852</v>
      </c>
      <c r="B334" s="3" t="s">
        <v>164</v>
      </c>
      <c r="C334" s="3" t="s">
        <v>168</v>
      </c>
      <c r="D334" s="3"/>
      <c r="E334" s="4">
        <v>2883</v>
      </c>
      <c r="F334" s="3" t="s">
        <v>14</v>
      </c>
      <c r="G334" s="3" t="s">
        <v>679</v>
      </c>
      <c r="H334" s="3" t="s">
        <v>33</v>
      </c>
      <c r="I334" s="4">
        <v>460</v>
      </c>
      <c r="J334" s="4">
        <v>2423</v>
      </c>
      <c r="K334" s="3" t="s">
        <v>34</v>
      </c>
      <c r="L334" s="3" t="s">
        <v>35</v>
      </c>
    </row>
    <row r="335" spans="1:12" x14ac:dyDescent="0.5">
      <c r="A335" s="5">
        <v>45853</v>
      </c>
      <c r="B335" t="s">
        <v>164</v>
      </c>
      <c r="C335" t="s">
        <v>458</v>
      </c>
      <c r="E335" s="6">
        <v>108000</v>
      </c>
      <c r="F335" t="s">
        <v>14</v>
      </c>
      <c r="G335" t="s">
        <v>679</v>
      </c>
      <c r="H335" t="s">
        <v>24</v>
      </c>
      <c r="I335" s="6">
        <v>17244</v>
      </c>
      <c r="J335" s="6">
        <v>90756</v>
      </c>
      <c r="K335" t="s">
        <v>25</v>
      </c>
      <c r="L335" t="s">
        <v>26</v>
      </c>
    </row>
    <row r="336" spans="1:12" x14ac:dyDescent="0.5">
      <c r="A336" s="2">
        <v>45853</v>
      </c>
      <c r="B336" s="3" t="s">
        <v>164</v>
      </c>
      <c r="C336" s="3" t="s">
        <v>169</v>
      </c>
      <c r="D336" s="3"/>
      <c r="E336" s="4">
        <v>28426</v>
      </c>
      <c r="F336" s="3" t="s">
        <v>14</v>
      </c>
      <c r="G336" s="3" t="s">
        <v>679</v>
      </c>
      <c r="H336" s="3" t="s">
        <v>24</v>
      </c>
      <c r="I336" s="4">
        <v>4539</v>
      </c>
      <c r="J336" s="4">
        <v>23887</v>
      </c>
      <c r="K336" s="3" t="s">
        <v>25</v>
      </c>
      <c r="L336" s="3" t="s">
        <v>26</v>
      </c>
    </row>
    <row r="337" spans="1:12" x14ac:dyDescent="0.5">
      <c r="A337" s="5">
        <v>45853</v>
      </c>
      <c r="B337" t="s">
        <v>164</v>
      </c>
      <c r="C337" t="s">
        <v>107</v>
      </c>
      <c r="E337" s="6">
        <v>2961</v>
      </c>
      <c r="F337" t="s">
        <v>41</v>
      </c>
      <c r="G337" t="s">
        <v>679</v>
      </c>
      <c r="H337" t="s">
        <v>62</v>
      </c>
      <c r="I337" s="6">
        <v>0</v>
      </c>
      <c r="J337" s="6">
        <v>2961</v>
      </c>
      <c r="K337" t="s">
        <v>63</v>
      </c>
      <c r="L337" t="s">
        <v>22</v>
      </c>
    </row>
    <row r="338" spans="1:12" x14ac:dyDescent="0.5">
      <c r="A338" s="2">
        <v>45853</v>
      </c>
      <c r="B338" s="3" t="s">
        <v>164</v>
      </c>
      <c r="C338" s="3" t="s">
        <v>126</v>
      </c>
      <c r="D338" s="3"/>
      <c r="E338" s="4">
        <v>2660</v>
      </c>
      <c r="F338" s="3" t="s">
        <v>14</v>
      </c>
      <c r="G338" s="3" t="s">
        <v>679</v>
      </c>
      <c r="H338" s="3" t="s">
        <v>28</v>
      </c>
      <c r="I338" s="4">
        <v>425</v>
      </c>
      <c r="J338" s="4">
        <v>2235</v>
      </c>
      <c r="K338" s="3" t="s">
        <v>29</v>
      </c>
      <c r="L338" s="3" t="s">
        <v>30</v>
      </c>
    </row>
    <row r="339" spans="1:12" x14ac:dyDescent="0.5">
      <c r="A339" s="5">
        <v>45855</v>
      </c>
      <c r="B339" t="s">
        <v>164</v>
      </c>
      <c r="C339" t="s">
        <v>78</v>
      </c>
      <c r="E339" s="6">
        <v>369876</v>
      </c>
      <c r="F339" t="s">
        <v>14</v>
      </c>
      <c r="G339" t="s">
        <v>15</v>
      </c>
      <c r="H339" t="s">
        <v>24</v>
      </c>
      <c r="I339" s="6">
        <v>59056</v>
      </c>
      <c r="J339" s="6">
        <v>310820</v>
      </c>
      <c r="K339" t="s">
        <v>25</v>
      </c>
      <c r="L339" t="s">
        <v>26</v>
      </c>
    </row>
    <row r="340" spans="1:12" x14ac:dyDescent="0.5">
      <c r="A340" s="2">
        <v>45855</v>
      </c>
      <c r="B340" s="3" t="s">
        <v>164</v>
      </c>
      <c r="C340" s="3" t="s">
        <v>102</v>
      </c>
      <c r="D340" s="3"/>
      <c r="E340" s="4">
        <v>302389</v>
      </c>
      <c r="F340" s="3" t="s">
        <v>14</v>
      </c>
      <c r="G340" s="3" t="s">
        <v>15</v>
      </c>
      <c r="H340" s="3" t="s">
        <v>24</v>
      </c>
      <c r="I340" s="4">
        <v>48281</v>
      </c>
      <c r="J340" s="4">
        <v>254108</v>
      </c>
      <c r="K340" s="3" t="s">
        <v>25</v>
      </c>
      <c r="L340" s="3" t="s">
        <v>26</v>
      </c>
    </row>
    <row r="341" spans="1:12" x14ac:dyDescent="0.5">
      <c r="A341" s="5">
        <v>45855</v>
      </c>
      <c r="B341" t="s">
        <v>164</v>
      </c>
      <c r="C341" t="s">
        <v>170</v>
      </c>
      <c r="E341" s="6">
        <v>119188</v>
      </c>
      <c r="F341" t="s">
        <v>14</v>
      </c>
      <c r="G341" t="s">
        <v>679</v>
      </c>
      <c r="H341" t="s">
        <v>16</v>
      </c>
      <c r="I341" s="6">
        <v>19030</v>
      </c>
      <c r="J341" s="6">
        <v>100158</v>
      </c>
      <c r="K341" t="s">
        <v>17</v>
      </c>
      <c r="L341" t="s">
        <v>18</v>
      </c>
    </row>
    <row r="342" spans="1:12" x14ac:dyDescent="0.5">
      <c r="A342" s="2">
        <v>45855</v>
      </c>
      <c r="B342" s="3" t="s">
        <v>164</v>
      </c>
      <c r="C342" s="3" t="s">
        <v>124</v>
      </c>
      <c r="D342" s="3"/>
      <c r="E342" s="4">
        <v>23405</v>
      </c>
      <c r="F342" s="3" t="s">
        <v>14</v>
      </c>
      <c r="G342" s="3" t="s">
        <v>679</v>
      </c>
      <c r="H342" s="3" t="s">
        <v>16</v>
      </c>
      <c r="I342" s="4">
        <v>3737</v>
      </c>
      <c r="J342" s="4">
        <v>19668</v>
      </c>
      <c r="K342" s="3" t="s">
        <v>17</v>
      </c>
      <c r="L342" s="3" t="s">
        <v>18</v>
      </c>
    </row>
    <row r="343" spans="1:12" x14ac:dyDescent="0.5">
      <c r="A343" s="5">
        <v>45855</v>
      </c>
      <c r="B343" t="s">
        <v>164</v>
      </c>
      <c r="C343" t="s">
        <v>107</v>
      </c>
      <c r="E343" s="6">
        <v>2568</v>
      </c>
      <c r="F343" t="s">
        <v>41</v>
      </c>
      <c r="G343" t="s">
        <v>679</v>
      </c>
      <c r="H343" t="s">
        <v>62</v>
      </c>
      <c r="I343" s="6">
        <v>0</v>
      </c>
      <c r="J343" s="6">
        <v>2568</v>
      </c>
      <c r="K343" t="s">
        <v>63</v>
      </c>
      <c r="L343" t="s">
        <v>22</v>
      </c>
    </row>
    <row r="344" spans="1:12" x14ac:dyDescent="0.5">
      <c r="A344" s="2">
        <v>45855</v>
      </c>
      <c r="B344" s="3" t="s">
        <v>164</v>
      </c>
      <c r="C344" s="3" t="s">
        <v>107</v>
      </c>
      <c r="D344" s="3"/>
      <c r="E344" s="4">
        <v>2117</v>
      </c>
      <c r="F344" s="3" t="s">
        <v>41</v>
      </c>
      <c r="G344" s="3" t="s">
        <v>679</v>
      </c>
      <c r="H344" s="3" t="s">
        <v>62</v>
      </c>
      <c r="I344" s="4">
        <v>0</v>
      </c>
      <c r="J344" s="4">
        <v>2117</v>
      </c>
      <c r="K344" s="3" t="s">
        <v>63</v>
      </c>
      <c r="L344" s="3" t="s">
        <v>22</v>
      </c>
    </row>
    <row r="345" spans="1:12" x14ac:dyDescent="0.5">
      <c r="A345" s="5">
        <v>45855</v>
      </c>
      <c r="B345" t="s">
        <v>164</v>
      </c>
      <c r="C345" t="s">
        <v>126</v>
      </c>
      <c r="E345" s="6">
        <v>8930</v>
      </c>
      <c r="F345" t="s">
        <v>14</v>
      </c>
      <c r="G345" t="s">
        <v>679</v>
      </c>
      <c r="H345" t="s">
        <v>28</v>
      </c>
      <c r="I345" s="6">
        <v>1426</v>
      </c>
      <c r="J345" s="6">
        <v>7504</v>
      </c>
      <c r="K345" t="s">
        <v>29</v>
      </c>
      <c r="L345" t="s">
        <v>30</v>
      </c>
    </row>
    <row r="346" spans="1:12" x14ac:dyDescent="0.5">
      <c r="A346" s="2">
        <v>45855</v>
      </c>
      <c r="B346" s="3" t="s">
        <v>164</v>
      </c>
      <c r="C346" s="3" t="s">
        <v>126</v>
      </c>
      <c r="D346" s="3"/>
      <c r="E346" s="4">
        <v>4790</v>
      </c>
      <c r="F346" s="3" t="s">
        <v>14</v>
      </c>
      <c r="G346" s="3" t="s">
        <v>679</v>
      </c>
      <c r="H346" s="3" t="s">
        <v>28</v>
      </c>
      <c r="I346" s="4">
        <v>765</v>
      </c>
      <c r="J346" s="4">
        <v>4025</v>
      </c>
      <c r="K346" s="3" t="s">
        <v>29</v>
      </c>
      <c r="L346" s="3" t="s">
        <v>30</v>
      </c>
    </row>
    <row r="347" spans="1:12" x14ac:dyDescent="0.5">
      <c r="A347" s="5">
        <v>45855</v>
      </c>
      <c r="B347" t="s">
        <v>164</v>
      </c>
      <c r="C347" t="s">
        <v>126</v>
      </c>
      <c r="E347" s="6">
        <v>2660</v>
      </c>
      <c r="F347" t="s">
        <v>14</v>
      </c>
      <c r="G347" t="s">
        <v>679</v>
      </c>
      <c r="H347" t="s">
        <v>28</v>
      </c>
      <c r="I347" s="6">
        <v>425</v>
      </c>
      <c r="J347" s="6">
        <v>2235</v>
      </c>
      <c r="K347" t="s">
        <v>29</v>
      </c>
      <c r="L347" t="s">
        <v>30</v>
      </c>
    </row>
    <row r="348" spans="1:12" x14ac:dyDescent="0.5">
      <c r="A348" s="2">
        <v>45855</v>
      </c>
      <c r="B348" s="3" t="s">
        <v>164</v>
      </c>
      <c r="C348" s="3" t="s">
        <v>126</v>
      </c>
      <c r="D348" s="3"/>
      <c r="E348" s="4">
        <v>2660</v>
      </c>
      <c r="F348" s="3" t="s">
        <v>14</v>
      </c>
      <c r="G348" s="3" t="s">
        <v>679</v>
      </c>
      <c r="H348" s="3" t="s">
        <v>28</v>
      </c>
      <c r="I348" s="4">
        <v>425</v>
      </c>
      <c r="J348" s="4">
        <v>2235</v>
      </c>
      <c r="K348" s="3" t="s">
        <v>29</v>
      </c>
      <c r="L348" s="3" t="s">
        <v>30</v>
      </c>
    </row>
    <row r="349" spans="1:12" x14ac:dyDescent="0.5">
      <c r="A349" s="5">
        <v>45856</v>
      </c>
      <c r="B349" t="s">
        <v>164</v>
      </c>
      <c r="C349" t="s">
        <v>430</v>
      </c>
      <c r="E349" s="6">
        <v>19970</v>
      </c>
      <c r="F349" t="s">
        <v>14</v>
      </c>
      <c r="G349" t="s">
        <v>679</v>
      </c>
      <c r="H349" t="s">
        <v>321</v>
      </c>
      <c r="I349" s="6">
        <v>3188</v>
      </c>
      <c r="J349" s="6">
        <v>16782</v>
      </c>
      <c r="K349" t="s">
        <v>322</v>
      </c>
      <c r="L349" t="s">
        <v>26</v>
      </c>
    </row>
    <row r="350" spans="1:12" x14ac:dyDescent="0.5">
      <c r="A350" s="2">
        <v>45856</v>
      </c>
      <c r="B350" s="3" t="s">
        <v>164</v>
      </c>
      <c r="C350" s="3" t="s">
        <v>107</v>
      </c>
      <c r="D350" s="3"/>
      <c r="E350" s="4">
        <v>2294</v>
      </c>
      <c r="F350" s="3" t="s">
        <v>41</v>
      </c>
      <c r="G350" s="3" t="s">
        <v>679</v>
      </c>
      <c r="H350" s="3" t="s">
        <v>62</v>
      </c>
      <c r="I350" s="4">
        <v>0</v>
      </c>
      <c r="J350" s="4">
        <v>2294</v>
      </c>
      <c r="K350" s="3" t="s">
        <v>63</v>
      </c>
      <c r="L350" s="3" t="s">
        <v>22</v>
      </c>
    </row>
    <row r="351" spans="1:12" x14ac:dyDescent="0.5">
      <c r="A351" s="5">
        <v>45856</v>
      </c>
      <c r="B351" t="s">
        <v>164</v>
      </c>
      <c r="C351" t="s">
        <v>107</v>
      </c>
      <c r="E351" s="6">
        <v>2117</v>
      </c>
      <c r="F351" t="s">
        <v>41</v>
      </c>
      <c r="G351" t="s">
        <v>679</v>
      </c>
      <c r="H351" t="s">
        <v>62</v>
      </c>
      <c r="I351" s="6">
        <v>0</v>
      </c>
      <c r="J351" s="6">
        <v>2117</v>
      </c>
      <c r="K351" t="s">
        <v>63</v>
      </c>
      <c r="L351" t="s">
        <v>22</v>
      </c>
    </row>
    <row r="352" spans="1:12" x14ac:dyDescent="0.5">
      <c r="A352" s="2">
        <v>45859</v>
      </c>
      <c r="B352" s="3" t="s">
        <v>164</v>
      </c>
      <c r="C352" s="3" t="s">
        <v>114</v>
      </c>
      <c r="D352" s="3"/>
      <c r="E352" s="4">
        <v>129187</v>
      </c>
      <c r="F352" s="3" t="s">
        <v>14</v>
      </c>
      <c r="G352" s="3" t="s">
        <v>679</v>
      </c>
      <c r="H352" s="3" t="s">
        <v>16</v>
      </c>
      <c r="I352" s="4">
        <v>20626</v>
      </c>
      <c r="J352" s="4">
        <v>108561</v>
      </c>
      <c r="K352" s="3" t="s">
        <v>17</v>
      </c>
      <c r="L352" s="3" t="s">
        <v>18</v>
      </c>
    </row>
    <row r="353" spans="1:12" x14ac:dyDescent="0.5">
      <c r="A353" s="5">
        <v>45860</v>
      </c>
      <c r="B353" t="s">
        <v>164</v>
      </c>
      <c r="C353" t="s">
        <v>126</v>
      </c>
      <c r="E353" s="6">
        <v>2260</v>
      </c>
      <c r="F353" t="s">
        <v>14</v>
      </c>
      <c r="G353" t="s">
        <v>679</v>
      </c>
      <c r="H353" t="s">
        <v>28</v>
      </c>
      <c r="I353" s="6">
        <v>361</v>
      </c>
      <c r="J353" s="6">
        <v>1899</v>
      </c>
      <c r="K353" t="s">
        <v>29</v>
      </c>
      <c r="L353" t="s">
        <v>30</v>
      </c>
    </row>
    <row r="354" spans="1:12" x14ac:dyDescent="0.5">
      <c r="A354" s="2">
        <v>45861</v>
      </c>
      <c r="B354" s="3" t="s">
        <v>164</v>
      </c>
      <c r="C354" s="3" t="s">
        <v>102</v>
      </c>
      <c r="D354" s="3"/>
      <c r="E354" s="4">
        <v>567005</v>
      </c>
      <c r="F354" s="3" t="s">
        <v>14</v>
      </c>
      <c r="G354" s="3" t="s">
        <v>15</v>
      </c>
      <c r="H354" s="3" t="s">
        <v>24</v>
      </c>
      <c r="I354" s="4">
        <v>90530</v>
      </c>
      <c r="J354" s="4">
        <v>476475</v>
      </c>
      <c r="K354" s="3" t="s">
        <v>25</v>
      </c>
      <c r="L354" s="3" t="s">
        <v>26</v>
      </c>
    </row>
    <row r="355" spans="1:12" x14ac:dyDescent="0.5">
      <c r="A355" s="5">
        <v>45861</v>
      </c>
      <c r="B355" t="s">
        <v>164</v>
      </c>
      <c r="C355" t="s">
        <v>78</v>
      </c>
      <c r="E355" s="6">
        <v>206505</v>
      </c>
      <c r="F355" t="s">
        <v>14</v>
      </c>
      <c r="G355" t="s">
        <v>15</v>
      </c>
      <c r="H355" t="s">
        <v>24</v>
      </c>
      <c r="I355" s="6">
        <v>32971</v>
      </c>
      <c r="J355" s="6">
        <v>173534</v>
      </c>
      <c r="K355" t="s">
        <v>25</v>
      </c>
      <c r="L355" t="s">
        <v>26</v>
      </c>
    </row>
    <row r="356" spans="1:12" x14ac:dyDescent="0.5">
      <c r="A356" s="2">
        <v>45861</v>
      </c>
      <c r="B356" s="3" t="s">
        <v>164</v>
      </c>
      <c r="C356" s="3" t="s">
        <v>105</v>
      </c>
      <c r="D356" s="3"/>
      <c r="E356" s="4">
        <v>7900</v>
      </c>
      <c r="F356" s="3" t="s">
        <v>14</v>
      </c>
      <c r="G356" s="3" t="s">
        <v>679</v>
      </c>
      <c r="H356" s="3" t="s">
        <v>16</v>
      </c>
      <c r="I356" s="4">
        <v>1261</v>
      </c>
      <c r="J356" s="4">
        <v>6639</v>
      </c>
      <c r="K356" s="3" t="s">
        <v>17</v>
      </c>
      <c r="L356" s="3" t="s">
        <v>18</v>
      </c>
    </row>
    <row r="357" spans="1:12" x14ac:dyDescent="0.5">
      <c r="A357" s="5">
        <v>45861</v>
      </c>
      <c r="B357" t="s">
        <v>164</v>
      </c>
      <c r="C357" t="s">
        <v>126</v>
      </c>
      <c r="E357" s="6">
        <v>5490</v>
      </c>
      <c r="F357" t="s">
        <v>14</v>
      </c>
      <c r="G357" t="s">
        <v>679</v>
      </c>
      <c r="H357" t="s">
        <v>28</v>
      </c>
      <c r="I357" s="6">
        <v>877</v>
      </c>
      <c r="J357" s="6">
        <v>4613</v>
      </c>
      <c r="K357" t="s">
        <v>29</v>
      </c>
      <c r="L357" t="s">
        <v>30</v>
      </c>
    </row>
    <row r="358" spans="1:12" x14ac:dyDescent="0.5">
      <c r="A358" s="2">
        <v>45862</v>
      </c>
      <c r="B358" s="3" t="s">
        <v>164</v>
      </c>
      <c r="C358" s="3" t="s">
        <v>130</v>
      </c>
      <c r="D358" s="3"/>
      <c r="E358" s="4">
        <v>28697</v>
      </c>
      <c r="F358" s="3" t="s">
        <v>14</v>
      </c>
      <c r="G358" s="3" t="s">
        <v>679</v>
      </c>
      <c r="H358" s="3" t="s">
        <v>24</v>
      </c>
      <c r="I358" s="4">
        <v>4582</v>
      </c>
      <c r="J358" s="4">
        <v>24115</v>
      </c>
      <c r="K358" s="3" t="s">
        <v>25</v>
      </c>
      <c r="L358" s="3" t="s">
        <v>26</v>
      </c>
    </row>
    <row r="359" spans="1:12" x14ac:dyDescent="0.5">
      <c r="A359" s="5">
        <v>45862</v>
      </c>
      <c r="B359" t="s">
        <v>164</v>
      </c>
      <c r="C359" t="s">
        <v>171</v>
      </c>
      <c r="E359" s="6">
        <v>218528</v>
      </c>
      <c r="F359" t="s">
        <v>14</v>
      </c>
      <c r="G359" t="s">
        <v>679</v>
      </c>
      <c r="H359" t="s">
        <v>33</v>
      </c>
      <c r="I359" s="6">
        <v>34891</v>
      </c>
      <c r="J359" s="6">
        <v>183637</v>
      </c>
      <c r="K359" t="s">
        <v>34</v>
      </c>
      <c r="L359" t="s">
        <v>35</v>
      </c>
    </row>
    <row r="360" spans="1:12" x14ac:dyDescent="0.5">
      <c r="A360" s="2">
        <v>45862</v>
      </c>
      <c r="B360" s="3" t="s">
        <v>164</v>
      </c>
      <c r="C360" s="3" t="s">
        <v>172</v>
      </c>
      <c r="D360" s="3"/>
      <c r="E360" s="4">
        <v>8467</v>
      </c>
      <c r="F360" s="3" t="s">
        <v>14</v>
      </c>
      <c r="G360" s="3" t="s">
        <v>679</v>
      </c>
      <c r="H360" s="3" t="s">
        <v>33</v>
      </c>
      <c r="I360" s="4">
        <v>1352</v>
      </c>
      <c r="J360" s="4">
        <v>7115</v>
      </c>
      <c r="K360" s="3" t="s">
        <v>34</v>
      </c>
      <c r="L360" s="3" t="s">
        <v>35</v>
      </c>
    </row>
    <row r="361" spans="1:12" x14ac:dyDescent="0.5">
      <c r="A361" s="5">
        <v>45863</v>
      </c>
      <c r="B361" t="s">
        <v>164</v>
      </c>
      <c r="C361" t="s">
        <v>430</v>
      </c>
      <c r="E361" s="6">
        <v>32740</v>
      </c>
      <c r="F361" t="s">
        <v>14</v>
      </c>
      <c r="G361" t="s">
        <v>679</v>
      </c>
      <c r="H361" t="s">
        <v>321</v>
      </c>
      <c r="I361" s="6">
        <v>5227</v>
      </c>
      <c r="J361" s="6">
        <v>27513</v>
      </c>
      <c r="K361" t="s">
        <v>322</v>
      </c>
      <c r="L361" t="s">
        <v>26</v>
      </c>
    </row>
    <row r="362" spans="1:12" x14ac:dyDescent="0.5">
      <c r="A362" s="2">
        <v>45863</v>
      </c>
      <c r="B362" s="3" t="s">
        <v>164</v>
      </c>
      <c r="C362" s="3" t="s">
        <v>430</v>
      </c>
      <c r="D362" s="3"/>
      <c r="E362" s="4">
        <v>32740</v>
      </c>
      <c r="F362" s="3" t="s">
        <v>14</v>
      </c>
      <c r="G362" s="3" t="s">
        <v>679</v>
      </c>
      <c r="H362" s="3" t="s">
        <v>321</v>
      </c>
      <c r="I362" s="4">
        <v>5227</v>
      </c>
      <c r="J362" s="4">
        <v>27513</v>
      </c>
      <c r="K362" s="3" t="s">
        <v>322</v>
      </c>
      <c r="L362" s="3" t="s">
        <v>26</v>
      </c>
    </row>
    <row r="363" spans="1:12" x14ac:dyDescent="0.5">
      <c r="A363" s="5">
        <v>45863</v>
      </c>
      <c r="B363" t="s">
        <v>151</v>
      </c>
      <c r="C363" t="s">
        <v>461</v>
      </c>
      <c r="E363" s="6">
        <v>63000</v>
      </c>
      <c r="F363" t="s">
        <v>41</v>
      </c>
      <c r="G363" t="s">
        <v>15</v>
      </c>
      <c r="H363" t="s">
        <v>66</v>
      </c>
      <c r="I363" s="6">
        <v>0</v>
      </c>
      <c r="J363" s="6">
        <v>63000</v>
      </c>
      <c r="K363" t="s">
        <v>67</v>
      </c>
      <c r="L363" t="s">
        <v>68</v>
      </c>
    </row>
    <row r="364" spans="1:12" x14ac:dyDescent="0.5">
      <c r="A364" s="2">
        <v>45866</v>
      </c>
      <c r="B364" s="3" t="s">
        <v>151</v>
      </c>
      <c r="C364" s="3" t="s">
        <v>113</v>
      </c>
      <c r="D364" s="3"/>
      <c r="E364" s="4">
        <v>50000</v>
      </c>
      <c r="F364" s="3" t="s">
        <v>41</v>
      </c>
      <c r="G364" s="3" t="s">
        <v>15</v>
      </c>
      <c r="H364" s="3" t="s">
        <v>66</v>
      </c>
      <c r="I364" s="4">
        <v>0</v>
      </c>
      <c r="J364" s="4">
        <v>50000</v>
      </c>
      <c r="K364" s="3" t="s">
        <v>67</v>
      </c>
      <c r="L364" s="3" t="s">
        <v>68</v>
      </c>
    </row>
    <row r="365" spans="1:12" x14ac:dyDescent="0.5">
      <c r="A365" s="5">
        <v>45866</v>
      </c>
      <c r="B365" t="s">
        <v>164</v>
      </c>
      <c r="C365" t="s">
        <v>124</v>
      </c>
      <c r="E365" s="6">
        <v>23450</v>
      </c>
      <c r="F365" t="s">
        <v>14</v>
      </c>
      <c r="G365" t="s">
        <v>679</v>
      </c>
      <c r="H365" t="s">
        <v>16</v>
      </c>
      <c r="I365" s="6">
        <v>3744</v>
      </c>
      <c r="J365" s="6">
        <v>19706</v>
      </c>
      <c r="K365" t="s">
        <v>17</v>
      </c>
      <c r="L365" t="s">
        <v>18</v>
      </c>
    </row>
    <row r="366" spans="1:12" x14ac:dyDescent="0.5">
      <c r="A366" s="2">
        <v>45866</v>
      </c>
      <c r="B366" s="3" t="s">
        <v>164</v>
      </c>
      <c r="C366" s="3" t="s">
        <v>173</v>
      </c>
      <c r="D366" s="3"/>
      <c r="E366" s="4">
        <v>148545</v>
      </c>
      <c r="F366" s="3" t="s">
        <v>14</v>
      </c>
      <c r="G366" s="3" t="s">
        <v>679</v>
      </c>
      <c r="H366" s="3" t="s">
        <v>33</v>
      </c>
      <c r="I366" s="4">
        <v>23717</v>
      </c>
      <c r="J366" s="4">
        <v>124828</v>
      </c>
      <c r="K366" s="3" t="s">
        <v>34</v>
      </c>
      <c r="L366" s="3" t="s">
        <v>35</v>
      </c>
    </row>
    <row r="367" spans="1:12" x14ac:dyDescent="0.5">
      <c r="A367" s="5">
        <v>45866</v>
      </c>
      <c r="B367" t="s">
        <v>164</v>
      </c>
      <c r="C367" t="s">
        <v>107</v>
      </c>
      <c r="E367" s="6">
        <v>12455</v>
      </c>
      <c r="F367" t="s">
        <v>41</v>
      </c>
      <c r="G367" t="s">
        <v>679</v>
      </c>
      <c r="H367" t="s">
        <v>62</v>
      </c>
      <c r="I367" s="6">
        <v>0</v>
      </c>
      <c r="J367" s="6">
        <v>12455</v>
      </c>
      <c r="K367" t="s">
        <v>63</v>
      </c>
      <c r="L367" t="s">
        <v>22</v>
      </c>
    </row>
    <row r="368" spans="1:12" x14ac:dyDescent="0.5">
      <c r="A368" s="2">
        <v>45866</v>
      </c>
      <c r="B368" s="3" t="s">
        <v>164</v>
      </c>
      <c r="C368" s="3" t="s">
        <v>126</v>
      </c>
      <c r="D368" s="3"/>
      <c r="E368" s="4">
        <v>8028</v>
      </c>
      <c r="F368" s="3" t="s">
        <v>14</v>
      </c>
      <c r="G368" s="3" t="s">
        <v>679</v>
      </c>
      <c r="H368" s="3" t="s">
        <v>28</v>
      </c>
      <c r="I368" s="4">
        <v>1282</v>
      </c>
      <c r="J368" s="4">
        <v>6746</v>
      </c>
      <c r="K368" s="3" t="s">
        <v>29</v>
      </c>
      <c r="L368" s="3" t="s">
        <v>30</v>
      </c>
    </row>
    <row r="369" spans="1:12" x14ac:dyDescent="0.5">
      <c r="A369" s="5">
        <v>45867</v>
      </c>
      <c r="B369" t="s">
        <v>164</v>
      </c>
      <c r="C369" t="s">
        <v>87</v>
      </c>
      <c r="E369" s="6">
        <v>19437</v>
      </c>
      <c r="F369" t="s">
        <v>14</v>
      </c>
      <c r="G369" t="s">
        <v>15</v>
      </c>
      <c r="H369" t="s">
        <v>46</v>
      </c>
      <c r="I369" s="6">
        <v>3103</v>
      </c>
      <c r="J369" s="6">
        <v>16334</v>
      </c>
      <c r="K369" t="s">
        <v>47</v>
      </c>
      <c r="L369" t="s">
        <v>48</v>
      </c>
    </row>
    <row r="370" spans="1:12" x14ac:dyDescent="0.5">
      <c r="A370" s="2">
        <v>45867</v>
      </c>
      <c r="B370" s="3" t="s">
        <v>164</v>
      </c>
      <c r="C370" s="3" t="s">
        <v>148</v>
      </c>
      <c r="D370" s="3"/>
      <c r="E370" s="4">
        <v>1964</v>
      </c>
      <c r="F370" s="3" t="s">
        <v>41</v>
      </c>
      <c r="G370" s="3" t="s">
        <v>679</v>
      </c>
      <c r="H370" s="3" t="s">
        <v>62</v>
      </c>
      <c r="I370" s="4">
        <v>0</v>
      </c>
      <c r="J370" s="4">
        <v>1964</v>
      </c>
      <c r="K370" s="3" t="s">
        <v>63</v>
      </c>
      <c r="L370" s="3" t="s">
        <v>22</v>
      </c>
    </row>
    <row r="371" spans="1:12" x14ac:dyDescent="0.5">
      <c r="A371" s="5">
        <v>45868</v>
      </c>
      <c r="B371" t="s">
        <v>164</v>
      </c>
      <c r="C371" t="s">
        <v>124</v>
      </c>
      <c r="E371" s="6">
        <v>23622</v>
      </c>
      <c r="F371" t="s">
        <v>14</v>
      </c>
      <c r="G371" t="s">
        <v>679</v>
      </c>
      <c r="H371" t="s">
        <v>16</v>
      </c>
      <c r="I371" s="6">
        <v>3772</v>
      </c>
      <c r="J371" s="6">
        <v>19850</v>
      </c>
      <c r="K371" t="s">
        <v>17</v>
      </c>
      <c r="L371" t="s">
        <v>18</v>
      </c>
    </row>
    <row r="372" spans="1:12" x14ac:dyDescent="0.5">
      <c r="A372" s="2">
        <v>45868</v>
      </c>
      <c r="B372" s="3" t="s">
        <v>164</v>
      </c>
      <c r="C372" s="3" t="s">
        <v>148</v>
      </c>
      <c r="D372" s="3"/>
      <c r="E372" s="4">
        <v>2296</v>
      </c>
      <c r="F372" s="3" t="s">
        <v>41</v>
      </c>
      <c r="G372" s="3" t="s">
        <v>679</v>
      </c>
      <c r="H372" s="3" t="s">
        <v>62</v>
      </c>
      <c r="I372" s="4">
        <v>0</v>
      </c>
      <c r="J372" s="4">
        <v>2296</v>
      </c>
      <c r="K372" s="3" t="s">
        <v>63</v>
      </c>
      <c r="L372" s="3" t="s">
        <v>22</v>
      </c>
    </row>
    <row r="373" spans="1:12" x14ac:dyDescent="0.5">
      <c r="A373" s="5">
        <v>45868</v>
      </c>
      <c r="B373" t="s">
        <v>164</v>
      </c>
      <c r="C373" t="s">
        <v>148</v>
      </c>
      <c r="E373" s="6">
        <v>1823</v>
      </c>
      <c r="F373" t="s">
        <v>41</v>
      </c>
      <c r="G373" t="s">
        <v>679</v>
      </c>
      <c r="H373" t="s">
        <v>62</v>
      </c>
      <c r="I373" s="6">
        <v>0</v>
      </c>
      <c r="J373" s="6">
        <v>1823</v>
      </c>
      <c r="K373" t="s">
        <v>63</v>
      </c>
      <c r="L373" t="s">
        <v>22</v>
      </c>
    </row>
    <row r="374" spans="1:12" x14ac:dyDescent="0.5">
      <c r="A374" s="2">
        <v>45868</v>
      </c>
      <c r="B374" s="3" t="s">
        <v>164</v>
      </c>
      <c r="C374" s="3" t="s">
        <v>107</v>
      </c>
      <c r="D374" s="3"/>
      <c r="E374" s="4">
        <v>1796</v>
      </c>
      <c r="F374" s="3" t="s">
        <v>41</v>
      </c>
      <c r="G374" s="3" t="s">
        <v>679</v>
      </c>
      <c r="H374" s="3" t="s">
        <v>62</v>
      </c>
      <c r="I374" s="4">
        <v>0</v>
      </c>
      <c r="J374" s="4">
        <v>1796</v>
      </c>
      <c r="K374" s="3" t="s">
        <v>63</v>
      </c>
      <c r="L374" s="3" t="s">
        <v>22</v>
      </c>
    </row>
    <row r="375" spans="1:12" x14ac:dyDescent="0.5">
      <c r="A375" s="5">
        <v>45868</v>
      </c>
      <c r="B375" t="s">
        <v>164</v>
      </c>
      <c r="C375" t="s">
        <v>107</v>
      </c>
      <c r="E375" s="6">
        <v>1796</v>
      </c>
      <c r="F375" t="s">
        <v>41</v>
      </c>
      <c r="G375" t="s">
        <v>679</v>
      </c>
      <c r="H375" t="s">
        <v>62</v>
      </c>
      <c r="I375" s="6">
        <v>0</v>
      </c>
      <c r="J375" s="6">
        <v>1796</v>
      </c>
      <c r="K375" t="s">
        <v>63</v>
      </c>
      <c r="L375" t="s">
        <v>22</v>
      </c>
    </row>
    <row r="376" spans="1:12" x14ac:dyDescent="0.5">
      <c r="A376" s="2">
        <v>45869</v>
      </c>
      <c r="B376" s="3" t="s">
        <v>164</v>
      </c>
      <c r="C376" s="3" t="s">
        <v>462</v>
      </c>
      <c r="D376" s="3"/>
      <c r="E376" s="4">
        <v>143844</v>
      </c>
      <c r="F376" s="3" t="s">
        <v>14</v>
      </c>
      <c r="G376" s="3" t="s">
        <v>15</v>
      </c>
      <c r="H376" s="3" t="s">
        <v>24</v>
      </c>
      <c r="I376" s="4">
        <v>22967</v>
      </c>
      <c r="J376" s="4">
        <v>120877</v>
      </c>
      <c r="K376" s="3" t="s">
        <v>25</v>
      </c>
      <c r="L376" s="3" t="s">
        <v>26</v>
      </c>
    </row>
    <row r="377" spans="1:12" x14ac:dyDescent="0.5">
      <c r="A377" s="5">
        <v>45869</v>
      </c>
      <c r="B377" t="s">
        <v>164</v>
      </c>
      <c r="C377" t="s">
        <v>464</v>
      </c>
      <c r="E377" s="6">
        <v>85670</v>
      </c>
      <c r="F377" t="s">
        <v>14</v>
      </c>
      <c r="G377" t="s">
        <v>15</v>
      </c>
      <c r="H377" t="s">
        <v>24</v>
      </c>
      <c r="I377" s="6">
        <v>13678</v>
      </c>
      <c r="J377" s="6">
        <v>71992</v>
      </c>
      <c r="K377" t="s">
        <v>25</v>
      </c>
      <c r="L377" t="s">
        <v>26</v>
      </c>
    </row>
    <row r="378" spans="1:12" x14ac:dyDescent="0.5">
      <c r="A378" s="2">
        <v>45869</v>
      </c>
      <c r="B378" s="3" t="s">
        <v>164</v>
      </c>
      <c r="C378" s="3" t="s">
        <v>463</v>
      </c>
      <c r="D378" s="3"/>
      <c r="E378" s="4">
        <v>55942</v>
      </c>
      <c r="F378" s="3" t="s">
        <v>14</v>
      </c>
      <c r="G378" s="3" t="s">
        <v>15</v>
      </c>
      <c r="H378" s="3" t="s">
        <v>293</v>
      </c>
      <c r="I378" s="4">
        <v>8932</v>
      </c>
      <c r="J378" s="4">
        <v>47010</v>
      </c>
      <c r="K378" s="3" t="s">
        <v>294</v>
      </c>
      <c r="L378" s="3" t="s">
        <v>26</v>
      </c>
    </row>
    <row r="379" spans="1:12" x14ac:dyDescent="0.5">
      <c r="A379" s="5">
        <v>45869</v>
      </c>
      <c r="B379" t="s">
        <v>151</v>
      </c>
      <c r="C379" t="s">
        <v>113</v>
      </c>
      <c r="E379" s="6">
        <v>545002</v>
      </c>
      <c r="F379" t="s">
        <v>41</v>
      </c>
      <c r="G379" t="s">
        <v>15</v>
      </c>
      <c r="H379" t="s">
        <v>66</v>
      </c>
      <c r="I379" s="6">
        <v>0</v>
      </c>
      <c r="J379" s="6">
        <v>545002</v>
      </c>
      <c r="K379" t="s">
        <v>67</v>
      </c>
      <c r="L379" t="s">
        <v>68</v>
      </c>
    </row>
    <row r="380" spans="1:12" x14ac:dyDescent="0.5">
      <c r="A380" s="2">
        <v>45869</v>
      </c>
      <c r="B380" s="3" t="s">
        <v>151</v>
      </c>
      <c r="C380" s="3" t="s">
        <v>94</v>
      </c>
      <c r="D380" s="3"/>
      <c r="E380" s="4">
        <v>153099</v>
      </c>
      <c r="F380" s="3" t="s">
        <v>41</v>
      </c>
      <c r="G380" s="3" t="s">
        <v>15</v>
      </c>
      <c r="H380" s="3" t="s">
        <v>66</v>
      </c>
      <c r="I380" s="4">
        <v>0</v>
      </c>
      <c r="J380" s="4">
        <v>153099</v>
      </c>
      <c r="K380" s="3" t="s">
        <v>67</v>
      </c>
      <c r="L380" s="3" t="s">
        <v>68</v>
      </c>
    </row>
    <row r="381" spans="1:12" x14ac:dyDescent="0.5">
      <c r="A381" s="5">
        <v>45869</v>
      </c>
      <c r="B381" t="s">
        <v>164</v>
      </c>
      <c r="C381" t="s">
        <v>117</v>
      </c>
      <c r="E381" s="6">
        <v>135486</v>
      </c>
      <c r="F381" t="s">
        <v>14</v>
      </c>
      <c r="G381" t="s">
        <v>679</v>
      </c>
      <c r="H381" t="s">
        <v>16</v>
      </c>
      <c r="I381" s="6">
        <v>21632</v>
      </c>
      <c r="J381" s="6">
        <v>113854</v>
      </c>
      <c r="K381" t="s">
        <v>17</v>
      </c>
      <c r="L381" t="s">
        <v>18</v>
      </c>
    </row>
    <row r="382" spans="1:12" x14ac:dyDescent="0.5">
      <c r="A382" s="2">
        <v>45869</v>
      </c>
      <c r="B382" s="3" t="s">
        <v>164</v>
      </c>
      <c r="C382" s="3" t="s">
        <v>126</v>
      </c>
      <c r="D382" s="3"/>
      <c r="E382" s="4">
        <v>5730</v>
      </c>
      <c r="F382" s="3" t="s">
        <v>14</v>
      </c>
      <c r="G382" s="3" t="s">
        <v>679</v>
      </c>
      <c r="H382" s="3" t="s">
        <v>28</v>
      </c>
      <c r="I382" s="4">
        <v>915</v>
      </c>
      <c r="J382" s="4">
        <v>4815</v>
      </c>
      <c r="K382" s="3" t="s">
        <v>29</v>
      </c>
      <c r="L382" s="3" t="s">
        <v>30</v>
      </c>
    </row>
    <row r="383" spans="1:12" x14ac:dyDescent="0.5">
      <c r="A383" s="5">
        <v>45870</v>
      </c>
      <c r="B383" t="s">
        <v>174</v>
      </c>
      <c r="C383" t="s">
        <v>175</v>
      </c>
      <c r="E383" s="6">
        <v>126782</v>
      </c>
      <c r="F383" t="s">
        <v>14</v>
      </c>
      <c r="G383" t="s">
        <v>679</v>
      </c>
      <c r="H383" t="s">
        <v>24</v>
      </c>
      <c r="I383" s="6">
        <v>20243</v>
      </c>
      <c r="J383" s="6">
        <v>106539</v>
      </c>
      <c r="K383" t="s">
        <v>25</v>
      </c>
      <c r="L383" t="s">
        <v>26</v>
      </c>
    </row>
    <row r="384" spans="1:12" x14ac:dyDescent="0.5">
      <c r="A384" s="2">
        <v>45870</v>
      </c>
      <c r="B384" s="3" t="s">
        <v>174</v>
      </c>
      <c r="C384" s="3" t="s">
        <v>176</v>
      </c>
      <c r="D384" s="3"/>
      <c r="E384" s="4">
        <v>27580</v>
      </c>
      <c r="F384" s="3" t="s">
        <v>14</v>
      </c>
      <c r="G384" s="3" t="s">
        <v>679</v>
      </c>
      <c r="H384" s="3" t="s">
        <v>24</v>
      </c>
      <c r="I384" s="4">
        <v>4404</v>
      </c>
      <c r="J384" s="4">
        <v>23176</v>
      </c>
      <c r="K384" s="3" t="s">
        <v>25</v>
      </c>
      <c r="L384" s="3" t="s">
        <v>26</v>
      </c>
    </row>
    <row r="385" spans="1:12" x14ac:dyDescent="0.5">
      <c r="A385" s="5">
        <v>45870</v>
      </c>
      <c r="B385" t="s">
        <v>174</v>
      </c>
      <c r="C385" t="s">
        <v>116</v>
      </c>
      <c r="E385" s="6">
        <v>108525</v>
      </c>
      <c r="F385" t="s">
        <v>14</v>
      </c>
      <c r="G385" t="s">
        <v>679</v>
      </c>
      <c r="H385" t="s">
        <v>16</v>
      </c>
      <c r="I385" s="6">
        <v>17328</v>
      </c>
      <c r="J385" s="6">
        <v>91197</v>
      </c>
      <c r="K385" t="s">
        <v>17</v>
      </c>
      <c r="L385" t="s">
        <v>18</v>
      </c>
    </row>
    <row r="386" spans="1:12" x14ac:dyDescent="0.5">
      <c r="A386" s="2">
        <v>45873</v>
      </c>
      <c r="B386" s="3" t="s">
        <v>174</v>
      </c>
      <c r="C386" s="3" t="s">
        <v>430</v>
      </c>
      <c r="D386" s="3"/>
      <c r="E386" s="4">
        <v>57650</v>
      </c>
      <c r="F386" s="3" t="s">
        <v>14</v>
      </c>
      <c r="G386" s="3" t="s">
        <v>679</v>
      </c>
      <c r="H386" s="3" t="s">
        <v>321</v>
      </c>
      <c r="I386" s="4">
        <v>9205</v>
      </c>
      <c r="J386" s="4">
        <v>48445</v>
      </c>
      <c r="K386" s="3" t="s">
        <v>322</v>
      </c>
      <c r="L386" s="3" t="s">
        <v>26</v>
      </c>
    </row>
    <row r="387" spans="1:12" x14ac:dyDescent="0.5">
      <c r="A387" s="5">
        <v>45873</v>
      </c>
      <c r="B387" t="s">
        <v>174</v>
      </c>
      <c r="C387" t="s">
        <v>114</v>
      </c>
      <c r="E387" s="6">
        <v>129187</v>
      </c>
      <c r="F387" t="s">
        <v>14</v>
      </c>
      <c r="G387" t="s">
        <v>679</v>
      </c>
      <c r="H387" t="s">
        <v>16</v>
      </c>
      <c r="I387" s="6">
        <v>20626</v>
      </c>
      <c r="J387" s="6">
        <v>108561</v>
      </c>
      <c r="K387" t="s">
        <v>17</v>
      </c>
      <c r="L387" t="s">
        <v>18</v>
      </c>
    </row>
    <row r="388" spans="1:12" x14ac:dyDescent="0.5">
      <c r="A388" s="2">
        <v>45873</v>
      </c>
      <c r="B388" s="3" t="s">
        <v>174</v>
      </c>
      <c r="C388" s="3" t="s">
        <v>177</v>
      </c>
      <c r="D388" s="3"/>
      <c r="E388" s="4">
        <v>119863</v>
      </c>
      <c r="F388" s="3" t="s">
        <v>14</v>
      </c>
      <c r="G388" s="3" t="s">
        <v>679</v>
      </c>
      <c r="H388" s="3" t="s">
        <v>33</v>
      </c>
      <c r="I388" s="4">
        <v>19138</v>
      </c>
      <c r="J388" s="4">
        <v>100725</v>
      </c>
      <c r="K388" s="3" t="s">
        <v>34</v>
      </c>
      <c r="L388" s="3" t="s">
        <v>35</v>
      </c>
    </row>
    <row r="389" spans="1:12" x14ac:dyDescent="0.5">
      <c r="A389" s="5">
        <v>45873</v>
      </c>
      <c r="B389" t="s">
        <v>174</v>
      </c>
      <c r="C389" t="s">
        <v>178</v>
      </c>
      <c r="E389" s="6">
        <v>48181</v>
      </c>
      <c r="F389" t="s">
        <v>14</v>
      </c>
      <c r="G389" t="s">
        <v>679</v>
      </c>
      <c r="H389" t="s">
        <v>33</v>
      </c>
      <c r="I389" s="6">
        <v>7693</v>
      </c>
      <c r="J389" s="6">
        <v>40488</v>
      </c>
      <c r="K389" t="s">
        <v>34</v>
      </c>
      <c r="L389" t="s">
        <v>35</v>
      </c>
    </row>
    <row r="390" spans="1:12" x14ac:dyDescent="0.5">
      <c r="A390" s="2">
        <v>45873</v>
      </c>
      <c r="B390" s="3" t="s">
        <v>174</v>
      </c>
      <c r="C390" s="3" t="s">
        <v>107</v>
      </c>
      <c r="D390" s="3"/>
      <c r="E390" s="4">
        <v>4101</v>
      </c>
      <c r="F390" s="3" t="s">
        <v>41</v>
      </c>
      <c r="G390" s="3" t="s">
        <v>679</v>
      </c>
      <c r="H390" s="3" t="s">
        <v>62</v>
      </c>
      <c r="I390" s="4">
        <v>0</v>
      </c>
      <c r="J390" s="4">
        <v>4101</v>
      </c>
      <c r="K390" s="3" t="s">
        <v>63</v>
      </c>
      <c r="L390" s="3" t="s">
        <v>22</v>
      </c>
    </row>
    <row r="391" spans="1:12" x14ac:dyDescent="0.5">
      <c r="A391" s="5">
        <v>45873</v>
      </c>
      <c r="B391" t="s">
        <v>174</v>
      </c>
      <c r="C391" t="s">
        <v>126</v>
      </c>
      <c r="E391" s="6">
        <v>2660</v>
      </c>
      <c r="F391" t="s">
        <v>14</v>
      </c>
      <c r="G391" t="s">
        <v>679</v>
      </c>
      <c r="H391" t="s">
        <v>28</v>
      </c>
      <c r="I391" s="6">
        <v>425</v>
      </c>
      <c r="J391" s="6">
        <v>2235</v>
      </c>
      <c r="K391" t="s">
        <v>29</v>
      </c>
      <c r="L391" t="s">
        <v>30</v>
      </c>
    </row>
    <row r="392" spans="1:12" x14ac:dyDescent="0.5">
      <c r="A392" s="2">
        <v>45873</v>
      </c>
      <c r="B392" s="3" t="s">
        <v>174</v>
      </c>
      <c r="C392" s="3" t="s">
        <v>179</v>
      </c>
      <c r="D392" s="3"/>
      <c r="E392" s="4">
        <v>172177</v>
      </c>
      <c r="F392" s="3" t="s">
        <v>41</v>
      </c>
      <c r="G392" s="3" t="s">
        <v>679</v>
      </c>
      <c r="H392" s="3" t="s">
        <v>74</v>
      </c>
      <c r="I392" s="4">
        <v>0</v>
      </c>
      <c r="J392" s="4">
        <v>172177</v>
      </c>
      <c r="K392" s="3" t="s">
        <v>75</v>
      </c>
      <c r="L392" s="3" t="s">
        <v>44</v>
      </c>
    </row>
    <row r="393" spans="1:12" x14ac:dyDescent="0.5">
      <c r="A393" s="5">
        <v>45873</v>
      </c>
      <c r="B393" t="s">
        <v>174</v>
      </c>
      <c r="C393" t="s">
        <v>180</v>
      </c>
      <c r="E393" s="6">
        <v>34330</v>
      </c>
      <c r="F393" t="s">
        <v>41</v>
      </c>
      <c r="G393" t="s">
        <v>679</v>
      </c>
      <c r="H393" t="s">
        <v>74</v>
      </c>
      <c r="I393" s="6">
        <v>0</v>
      </c>
      <c r="J393" s="6">
        <v>34330</v>
      </c>
      <c r="K393" t="s">
        <v>75</v>
      </c>
      <c r="L393" t="s">
        <v>44</v>
      </c>
    </row>
    <row r="394" spans="1:12" x14ac:dyDescent="0.5">
      <c r="A394" s="2">
        <v>45873</v>
      </c>
      <c r="B394" s="3" t="s">
        <v>174</v>
      </c>
      <c r="C394" s="3" t="s">
        <v>133</v>
      </c>
      <c r="D394" s="3"/>
      <c r="E394" s="4">
        <v>15360</v>
      </c>
      <c r="F394" s="3" t="s">
        <v>41</v>
      </c>
      <c r="G394" s="3" t="s">
        <v>15</v>
      </c>
      <c r="H394" s="3" t="s">
        <v>134</v>
      </c>
      <c r="I394" s="4">
        <v>0</v>
      </c>
      <c r="J394" s="4">
        <v>15360</v>
      </c>
      <c r="K394" s="3" t="s">
        <v>135</v>
      </c>
      <c r="L394" s="3" t="s">
        <v>44</v>
      </c>
    </row>
    <row r="395" spans="1:12" x14ac:dyDescent="0.5">
      <c r="A395" s="5">
        <v>45873</v>
      </c>
      <c r="B395" t="s">
        <v>174</v>
      </c>
      <c r="C395" t="s">
        <v>136</v>
      </c>
      <c r="E395" s="6">
        <v>587</v>
      </c>
      <c r="F395" t="s">
        <v>41</v>
      </c>
      <c r="G395" t="s">
        <v>15</v>
      </c>
      <c r="H395" t="s">
        <v>134</v>
      </c>
      <c r="I395" s="6">
        <v>0</v>
      </c>
      <c r="J395" s="6">
        <v>587</v>
      </c>
      <c r="K395" t="s">
        <v>135</v>
      </c>
      <c r="L395" t="s">
        <v>44</v>
      </c>
    </row>
    <row r="396" spans="1:12" x14ac:dyDescent="0.5">
      <c r="A396" s="2">
        <v>45874</v>
      </c>
      <c r="B396" s="3" t="s">
        <v>164</v>
      </c>
      <c r="C396" s="3" t="s">
        <v>65</v>
      </c>
      <c r="D396" s="3"/>
      <c r="E396" s="4">
        <v>1218910</v>
      </c>
      <c r="F396" s="3" t="s">
        <v>41</v>
      </c>
      <c r="G396" s="3" t="s">
        <v>15</v>
      </c>
      <c r="H396" s="3" t="s">
        <v>66</v>
      </c>
      <c r="I396" s="4">
        <v>0</v>
      </c>
      <c r="J396" s="4">
        <v>1218910</v>
      </c>
      <c r="K396" s="3" t="s">
        <v>67</v>
      </c>
      <c r="L396" s="3" t="s">
        <v>68</v>
      </c>
    </row>
    <row r="397" spans="1:12" x14ac:dyDescent="0.5">
      <c r="A397" s="5">
        <v>45874</v>
      </c>
      <c r="B397" t="s">
        <v>174</v>
      </c>
      <c r="C397" t="s">
        <v>19</v>
      </c>
      <c r="E397" s="6">
        <v>40120</v>
      </c>
      <c r="F397" t="s">
        <v>14</v>
      </c>
      <c r="G397" t="s">
        <v>15</v>
      </c>
      <c r="H397" t="s">
        <v>20</v>
      </c>
      <c r="I397" s="6">
        <v>6406</v>
      </c>
      <c r="J397" s="6">
        <v>33714</v>
      </c>
      <c r="K397" t="s">
        <v>21</v>
      </c>
      <c r="L397" t="s">
        <v>22</v>
      </c>
    </row>
    <row r="398" spans="1:12" x14ac:dyDescent="0.5">
      <c r="A398" s="2">
        <v>45877</v>
      </c>
      <c r="B398" s="3" t="s">
        <v>174</v>
      </c>
      <c r="C398" s="3" t="s">
        <v>107</v>
      </c>
      <c r="D398" s="3"/>
      <c r="E398" s="4">
        <v>13170</v>
      </c>
      <c r="F398" s="3" t="s">
        <v>41</v>
      </c>
      <c r="G398" s="3" t="s">
        <v>679</v>
      </c>
      <c r="H398" s="3" t="s">
        <v>62</v>
      </c>
      <c r="I398" s="4">
        <v>0</v>
      </c>
      <c r="J398" s="4">
        <v>13170</v>
      </c>
      <c r="K398" s="3" t="s">
        <v>63</v>
      </c>
      <c r="L398" s="3" t="s">
        <v>22</v>
      </c>
    </row>
    <row r="399" spans="1:12" x14ac:dyDescent="0.5">
      <c r="A399" s="5">
        <v>45880</v>
      </c>
      <c r="B399" t="s">
        <v>174</v>
      </c>
      <c r="C399" t="s">
        <v>118</v>
      </c>
      <c r="E399" s="6">
        <v>274217</v>
      </c>
      <c r="F399" t="s">
        <v>14</v>
      </c>
      <c r="G399" t="s">
        <v>679</v>
      </c>
      <c r="H399" t="s">
        <v>119</v>
      </c>
      <c r="I399" s="6">
        <v>43783</v>
      </c>
      <c r="J399" s="6">
        <v>230434</v>
      </c>
      <c r="K399" t="s">
        <v>120</v>
      </c>
      <c r="L399" t="s">
        <v>48</v>
      </c>
    </row>
    <row r="400" spans="1:12" x14ac:dyDescent="0.5">
      <c r="A400" s="2">
        <v>45880</v>
      </c>
      <c r="B400" s="3" t="s">
        <v>174</v>
      </c>
      <c r="C400" s="3" t="s">
        <v>181</v>
      </c>
      <c r="D400" s="3"/>
      <c r="E400" s="4">
        <v>163400</v>
      </c>
      <c r="F400" s="3" t="s">
        <v>14</v>
      </c>
      <c r="G400" s="3" t="s">
        <v>679</v>
      </c>
      <c r="H400" s="3" t="s">
        <v>33</v>
      </c>
      <c r="I400" s="4">
        <v>26089</v>
      </c>
      <c r="J400" s="4">
        <v>137311</v>
      </c>
      <c r="K400" s="3" t="s">
        <v>34</v>
      </c>
      <c r="L400" s="3" t="s">
        <v>35</v>
      </c>
    </row>
    <row r="401" spans="1:12" x14ac:dyDescent="0.5">
      <c r="A401" s="5">
        <v>45880</v>
      </c>
      <c r="B401" t="s">
        <v>174</v>
      </c>
      <c r="C401" t="s">
        <v>148</v>
      </c>
      <c r="E401" s="6">
        <v>2265</v>
      </c>
      <c r="F401" t="s">
        <v>41</v>
      </c>
      <c r="G401" t="s">
        <v>679</v>
      </c>
      <c r="H401" t="s">
        <v>62</v>
      </c>
      <c r="I401" s="6">
        <v>0</v>
      </c>
      <c r="J401" s="6">
        <v>2265</v>
      </c>
      <c r="K401" t="s">
        <v>63</v>
      </c>
      <c r="L401" t="s">
        <v>22</v>
      </c>
    </row>
    <row r="402" spans="1:12" x14ac:dyDescent="0.5">
      <c r="A402" s="2">
        <v>45881</v>
      </c>
      <c r="B402" s="3" t="s">
        <v>174</v>
      </c>
      <c r="C402" s="3" t="s">
        <v>78</v>
      </c>
      <c r="D402" s="3"/>
      <c r="E402" s="4">
        <v>161412</v>
      </c>
      <c r="F402" s="3" t="s">
        <v>14</v>
      </c>
      <c r="G402" s="3" t="s">
        <v>15</v>
      </c>
      <c r="H402" s="3" t="s">
        <v>24</v>
      </c>
      <c r="I402" s="4">
        <v>25772</v>
      </c>
      <c r="J402" s="4">
        <v>135640</v>
      </c>
      <c r="K402" s="3" t="s">
        <v>25</v>
      </c>
      <c r="L402" s="3" t="s">
        <v>26</v>
      </c>
    </row>
    <row r="403" spans="1:12" x14ac:dyDescent="0.5">
      <c r="A403" s="5">
        <v>45881</v>
      </c>
      <c r="B403" t="s">
        <v>174</v>
      </c>
      <c r="C403" t="s">
        <v>148</v>
      </c>
      <c r="E403" s="6">
        <v>2581</v>
      </c>
      <c r="F403" t="s">
        <v>41</v>
      </c>
      <c r="G403" t="s">
        <v>679</v>
      </c>
      <c r="H403" t="s">
        <v>62</v>
      </c>
      <c r="I403" s="6">
        <v>0</v>
      </c>
      <c r="J403" s="6">
        <v>2581</v>
      </c>
      <c r="K403" t="s">
        <v>63</v>
      </c>
      <c r="L403" t="s">
        <v>22</v>
      </c>
    </row>
    <row r="404" spans="1:12" x14ac:dyDescent="0.5">
      <c r="A404" s="2">
        <v>45882</v>
      </c>
      <c r="B404" s="3" t="s">
        <v>174</v>
      </c>
      <c r="C404" s="3" t="s">
        <v>124</v>
      </c>
      <c r="D404" s="3"/>
      <c r="E404" s="4">
        <v>23222</v>
      </c>
      <c r="F404" s="3" t="s">
        <v>14</v>
      </c>
      <c r="G404" s="3" t="s">
        <v>679</v>
      </c>
      <c r="H404" s="3" t="s">
        <v>16</v>
      </c>
      <c r="I404" s="4">
        <v>3708</v>
      </c>
      <c r="J404" s="4">
        <v>19514</v>
      </c>
      <c r="K404" s="3" t="s">
        <v>17</v>
      </c>
      <c r="L404" s="3" t="s">
        <v>18</v>
      </c>
    </row>
    <row r="405" spans="1:12" x14ac:dyDescent="0.5">
      <c r="A405" s="5">
        <v>45882</v>
      </c>
      <c r="B405" t="s">
        <v>174</v>
      </c>
      <c r="C405" t="s">
        <v>182</v>
      </c>
      <c r="E405" s="6">
        <v>15672</v>
      </c>
      <c r="F405" t="s">
        <v>14</v>
      </c>
      <c r="G405" t="s">
        <v>679</v>
      </c>
      <c r="H405" t="s">
        <v>33</v>
      </c>
      <c r="I405" s="6">
        <v>2502</v>
      </c>
      <c r="J405" s="6">
        <v>13170</v>
      </c>
      <c r="K405" t="s">
        <v>34</v>
      </c>
      <c r="L405" t="s">
        <v>35</v>
      </c>
    </row>
    <row r="406" spans="1:12" x14ac:dyDescent="0.5">
      <c r="A406" s="2">
        <v>45882</v>
      </c>
      <c r="B406" s="3" t="s">
        <v>174</v>
      </c>
      <c r="C406" s="3" t="s">
        <v>183</v>
      </c>
      <c r="D406" s="3"/>
      <c r="E406" s="4">
        <v>12257</v>
      </c>
      <c r="F406" s="3" t="s">
        <v>14</v>
      </c>
      <c r="G406" s="3" t="s">
        <v>679</v>
      </c>
      <c r="H406" s="3" t="s">
        <v>33</v>
      </c>
      <c r="I406" s="4">
        <v>1957</v>
      </c>
      <c r="J406" s="4">
        <v>10300</v>
      </c>
      <c r="K406" s="3" t="s">
        <v>34</v>
      </c>
      <c r="L406" s="3" t="s">
        <v>35</v>
      </c>
    </row>
    <row r="407" spans="1:12" x14ac:dyDescent="0.5">
      <c r="A407" s="5">
        <v>45883</v>
      </c>
      <c r="B407" t="s">
        <v>174</v>
      </c>
      <c r="C407" t="s">
        <v>184</v>
      </c>
      <c r="E407" s="6">
        <v>9990</v>
      </c>
      <c r="F407" t="s">
        <v>14</v>
      </c>
      <c r="G407" t="s">
        <v>679</v>
      </c>
      <c r="H407" t="s">
        <v>16</v>
      </c>
      <c r="I407" s="6">
        <v>1595</v>
      </c>
      <c r="J407" s="6">
        <v>8395</v>
      </c>
      <c r="K407" t="s">
        <v>17</v>
      </c>
      <c r="L407" t="s">
        <v>18</v>
      </c>
    </row>
    <row r="408" spans="1:12" x14ac:dyDescent="0.5">
      <c r="A408" s="2">
        <v>45887</v>
      </c>
      <c r="B408" s="3" t="s">
        <v>174</v>
      </c>
      <c r="C408" s="3" t="s">
        <v>78</v>
      </c>
      <c r="D408" s="3"/>
      <c r="E408" s="4">
        <v>161412</v>
      </c>
      <c r="F408" s="3" t="s">
        <v>14</v>
      </c>
      <c r="G408" s="3" t="s">
        <v>15</v>
      </c>
      <c r="H408" s="3" t="s">
        <v>24</v>
      </c>
      <c r="I408" s="4">
        <v>25772</v>
      </c>
      <c r="J408" s="4">
        <v>135640</v>
      </c>
      <c r="K408" s="3" t="s">
        <v>25</v>
      </c>
      <c r="L408" s="3" t="s">
        <v>26</v>
      </c>
    </row>
    <row r="409" spans="1:12" x14ac:dyDescent="0.5">
      <c r="A409" s="5">
        <v>45887</v>
      </c>
      <c r="B409" t="s">
        <v>174</v>
      </c>
      <c r="C409" t="s">
        <v>114</v>
      </c>
      <c r="E409" s="6">
        <v>129187</v>
      </c>
      <c r="F409" t="s">
        <v>14</v>
      </c>
      <c r="G409" t="s">
        <v>679</v>
      </c>
      <c r="H409" t="s">
        <v>16</v>
      </c>
      <c r="I409" s="6">
        <v>20626</v>
      </c>
      <c r="J409" s="6">
        <v>108561</v>
      </c>
      <c r="K409" t="s">
        <v>17</v>
      </c>
      <c r="L409" t="s">
        <v>18</v>
      </c>
    </row>
    <row r="410" spans="1:12" x14ac:dyDescent="0.5">
      <c r="A410" s="2">
        <v>45887</v>
      </c>
      <c r="B410" s="3" t="s">
        <v>174</v>
      </c>
      <c r="C410" s="3" t="s">
        <v>185</v>
      </c>
      <c r="D410" s="3"/>
      <c r="E410" s="4">
        <v>105510</v>
      </c>
      <c r="F410" s="3" t="s">
        <v>14</v>
      </c>
      <c r="G410" s="3" t="s">
        <v>679</v>
      </c>
      <c r="H410" s="3" t="s">
        <v>16</v>
      </c>
      <c r="I410" s="4">
        <v>16846</v>
      </c>
      <c r="J410" s="4">
        <v>88664</v>
      </c>
      <c r="K410" s="3" t="s">
        <v>17</v>
      </c>
      <c r="L410" s="3" t="s">
        <v>18</v>
      </c>
    </row>
    <row r="411" spans="1:12" x14ac:dyDescent="0.5">
      <c r="A411" s="5">
        <v>45887</v>
      </c>
      <c r="B411" t="s">
        <v>174</v>
      </c>
      <c r="C411" t="s">
        <v>124</v>
      </c>
      <c r="E411" s="6">
        <v>23519</v>
      </c>
      <c r="F411" t="s">
        <v>14</v>
      </c>
      <c r="G411" t="s">
        <v>679</v>
      </c>
      <c r="H411" t="s">
        <v>16</v>
      </c>
      <c r="I411" s="6">
        <v>3755</v>
      </c>
      <c r="J411" s="6">
        <v>19764</v>
      </c>
      <c r="K411" t="s">
        <v>17</v>
      </c>
      <c r="L411" t="s">
        <v>18</v>
      </c>
    </row>
    <row r="412" spans="1:12" x14ac:dyDescent="0.5">
      <c r="A412" s="2">
        <v>45887</v>
      </c>
      <c r="B412" s="3" t="s">
        <v>174</v>
      </c>
      <c r="C412" s="3" t="s">
        <v>148</v>
      </c>
      <c r="D412" s="3"/>
      <c r="E412" s="4">
        <v>13579</v>
      </c>
      <c r="F412" s="3" t="s">
        <v>41</v>
      </c>
      <c r="G412" s="3" t="s">
        <v>679</v>
      </c>
      <c r="H412" s="3" t="s">
        <v>62</v>
      </c>
      <c r="I412" s="4">
        <v>0</v>
      </c>
      <c r="J412" s="4">
        <v>13579</v>
      </c>
      <c r="K412" s="3" t="s">
        <v>63</v>
      </c>
      <c r="L412" s="3" t="s">
        <v>22</v>
      </c>
    </row>
    <row r="413" spans="1:12" x14ac:dyDescent="0.5">
      <c r="A413" s="5">
        <v>45887</v>
      </c>
      <c r="B413" t="s">
        <v>174</v>
      </c>
      <c r="C413" t="s">
        <v>107</v>
      </c>
      <c r="E413" s="6">
        <v>2849</v>
      </c>
      <c r="F413" t="s">
        <v>41</v>
      </c>
      <c r="G413" t="s">
        <v>679</v>
      </c>
      <c r="H413" t="s">
        <v>62</v>
      </c>
      <c r="I413" s="6">
        <v>0</v>
      </c>
      <c r="J413" s="6">
        <v>2849</v>
      </c>
      <c r="K413" t="s">
        <v>63</v>
      </c>
      <c r="L413" t="s">
        <v>22</v>
      </c>
    </row>
    <row r="414" spans="1:12" x14ac:dyDescent="0.5">
      <c r="A414" s="2">
        <v>45887</v>
      </c>
      <c r="B414" s="3" t="s">
        <v>174</v>
      </c>
      <c r="C414" s="3" t="s">
        <v>107</v>
      </c>
      <c r="D414" s="3"/>
      <c r="E414" s="4">
        <v>2667</v>
      </c>
      <c r="F414" s="3" t="s">
        <v>41</v>
      </c>
      <c r="G414" s="3" t="s">
        <v>679</v>
      </c>
      <c r="H414" s="3" t="s">
        <v>62</v>
      </c>
      <c r="I414" s="4">
        <v>0</v>
      </c>
      <c r="J414" s="4">
        <v>2667</v>
      </c>
      <c r="K414" s="3" t="s">
        <v>63</v>
      </c>
      <c r="L414" s="3" t="s">
        <v>22</v>
      </c>
    </row>
    <row r="415" spans="1:12" x14ac:dyDescent="0.5">
      <c r="A415" s="5">
        <v>45887</v>
      </c>
      <c r="B415" t="s">
        <v>174</v>
      </c>
      <c r="C415" t="s">
        <v>107</v>
      </c>
      <c r="E415" s="6">
        <v>2520</v>
      </c>
      <c r="F415" t="s">
        <v>41</v>
      </c>
      <c r="G415" t="s">
        <v>679</v>
      </c>
      <c r="H415" t="s">
        <v>62</v>
      </c>
      <c r="I415" s="6">
        <v>0</v>
      </c>
      <c r="J415" s="6">
        <v>2520</v>
      </c>
      <c r="K415" t="s">
        <v>63</v>
      </c>
      <c r="L415" t="s">
        <v>22</v>
      </c>
    </row>
    <row r="416" spans="1:12" x14ac:dyDescent="0.5">
      <c r="A416" s="2">
        <v>45887</v>
      </c>
      <c r="B416" s="3" t="s">
        <v>164</v>
      </c>
      <c r="C416" s="3" t="s">
        <v>40</v>
      </c>
      <c r="D416" s="3"/>
      <c r="E416" s="4">
        <v>1895184</v>
      </c>
      <c r="F416" s="3" t="s">
        <v>41</v>
      </c>
      <c r="G416" s="3" t="s">
        <v>15</v>
      </c>
      <c r="H416" s="3" t="s">
        <v>42</v>
      </c>
      <c r="I416" s="4">
        <v>0</v>
      </c>
      <c r="J416" s="4">
        <v>1895184</v>
      </c>
      <c r="K416" s="3" t="s">
        <v>43</v>
      </c>
      <c r="L416" s="3" t="s">
        <v>44</v>
      </c>
    </row>
    <row r="417" spans="1:12" x14ac:dyDescent="0.5">
      <c r="A417" s="5">
        <v>45888</v>
      </c>
      <c r="B417" t="s">
        <v>174</v>
      </c>
      <c r="C417" t="s">
        <v>186</v>
      </c>
      <c r="E417" s="6">
        <v>9823</v>
      </c>
      <c r="F417" t="s">
        <v>14</v>
      </c>
      <c r="G417" t="s">
        <v>15</v>
      </c>
      <c r="H417" t="s">
        <v>57</v>
      </c>
      <c r="I417" s="6">
        <v>1568</v>
      </c>
      <c r="J417" s="6">
        <v>8255</v>
      </c>
      <c r="K417" t="s">
        <v>58</v>
      </c>
      <c r="L417" t="s">
        <v>48</v>
      </c>
    </row>
    <row r="418" spans="1:12" x14ac:dyDescent="0.5">
      <c r="A418" s="2">
        <v>45888</v>
      </c>
      <c r="B418" s="3" t="s">
        <v>174</v>
      </c>
      <c r="C418" s="3" t="s">
        <v>148</v>
      </c>
      <c r="D418" s="3"/>
      <c r="E418" s="4">
        <v>2003</v>
      </c>
      <c r="F418" s="3" t="s">
        <v>41</v>
      </c>
      <c r="G418" s="3" t="s">
        <v>679</v>
      </c>
      <c r="H418" s="3" t="s">
        <v>62</v>
      </c>
      <c r="I418" s="4">
        <v>0</v>
      </c>
      <c r="J418" s="4">
        <v>2003</v>
      </c>
      <c r="K418" s="3" t="s">
        <v>63</v>
      </c>
      <c r="L418" s="3" t="s">
        <v>22</v>
      </c>
    </row>
    <row r="419" spans="1:12" x14ac:dyDescent="0.5">
      <c r="A419" s="5">
        <v>45888</v>
      </c>
      <c r="B419" t="s">
        <v>174</v>
      </c>
      <c r="C419" t="s">
        <v>187</v>
      </c>
      <c r="E419" s="6">
        <v>2265</v>
      </c>
      <c r="F419" t="s">
        <v>14</v>
      </c>
      <c r="G419" t="s">
        <v>15</v>
      </c>
      <c r="H419" t="s">
        <v>109</v>
      </c>
      <c r="I419" s="6">
        <v>362</v>
      </c>
      <c r="J419" s="6">
        <v>1903</v>
      </c>
      <c r="K419" t="s">
        <v>110</v>
      </c>
      <c r="L419" t="s">
        <v>30</v>
      </c>
    </row>
    <row r="420" spans="1:12" x14ac:dyDescent="0.5">
      <c r="A420" s="2">
        <v>45889</v>
      </c>
      <c r="B420" s="3" t="s">
        <v>174</v>
      </c>
      <c r="C420" s="3" t="s">
        <v>127</v>
      </c>
      <c r="D420" s="3"/>
      <c r="E420" s="4">
        <v>24161</v>
      </c>
      <c r="F420" s="3" t="s">
        <v>14</v>
      </c>
      <c r="G420" s="3" t="s">
        <v>679</v>
      </c>
      <c r="H420" s="3" t="s">
        <v>46</v>
      </c>
      <c r="I420" s="4">
        <v>3858</v>
      </c>
      <c r="J420" s="4">
        <v>20303</v>
      </c>
      <c r="K420" s="3" t="s">
        <v>47</v>
      </c>
      <c r="L420" s="3" t="s">
        <v>48</v>
      </c>
    </row>
    <row r="421" spans="1:12" x14ac:dyDescent="0.5">
      <c r="A421" s="5">
        <v>45889</v>
      </c>
      <c r="B421" t="s">
        <v>174</v>
      </c>
      <c r="C421" t="s">
        <v>107</v>
      </c>
      <c r="E421" s="6">
        <v>7944</v>
      </c>
      <c r="F421" t="s">
        <v>41</v>
      </c>
      <c r="G421" t="s">
        <v>679</v>
      </c>
      <c r="H421" t="s">
        <v>62</v>
      </c>
      <c r="I421" s="6">
        <v>0</v>
      </c>
      <c r="J421" s="6">
        <v>7944</v>
      </c>
      <c r="K421" t="s">
        <v>63</v>
      </c>
      <c r="L421" t="s">
        <v>22</v>
      </c>
    </row>
    <row r="422" spans="1:12" x14ac:dyDescent="0.5">
      <c r="A422" s="2">
        <v>45889</v>
      </c>
      <c r="B422" s="3" t="s">
        <v>174</v>
      </c>
      <c r="C422" s="3" t="s">
        <v>148</v>
      </c>
      <c r="D422" s="3"/>
      <c r="E422" s="4">
        <v>1249</v>
      </c>
      <c r="F422" s="3" t="s">
        <v>41</v>
      </c>
      <c r="G422" s="3" t="s">
        <v>679</v>
      </c>
      <c r="H422" s="3" t="s">
        <v>62</v>
      </c>
      <c r="I422" s="4">
        <v>0</v>
      </c>
      <c r="J422" s="4">
        <v>1249</v>
      </c>
      <c r="K422" s="3" t="s">
        <v>63</v>
      </c>
      <c r="L422" s="3" t="s">
        <v>22</v>
      </c>
    </row>
    <row r="423" spans="1:12" x14ac:dyDescent="0.5">
      <c r="A423" s="5">
        <v>45890</v>
      </c>
      <c r="B423" t="s">
        <v>174</v>
      </c>
      <c r="C423" t="s">
        <v>117</v>
      </c>
      <c r="E423" s="6">
        <v>27980</v>
      </c>
      <c r="F423" t="s">
        <v>14</v>
      </c>
      <c r="G423" t="s">
        <v>679</v>
      </c>
      <c r="H423" t="s">
        <v>16</v>
      </c>
      <c r="I423" s="6">
        <v>4467</v>
      </c>
      <c r="J423" s="6">
        <v>23513</v>
      </c>
      <c r="K423" t="s">
        <v>17</v>
      </c>
      <c r="L423" t="s">
        <v>18</v>
      </c>
    </row>
    <row r="424" spans="1:12" x14ac:dyDescent="0.5">
      <c r="A424" s="2">
        <v>45890</v>
      </c>
      <c r="B424" s="3" t="s">
        <v>174</v>
      </c>
      <c r="C424" s="3" t="s">
        <v>107</v>
      </c>
      <c r="D424" s="3"/>
      <c r="E424" s="4">
        <v>8647</v>
      </c>
      <c r="F424" s="3" t="s">
        <v>41</v>
      </c>
      <c r="G424" s="3" t="s">
        <v>679</v>
      </c>
      <c r="H424" s="3" t="s">
        <v>62</v>
      </c>
      <c r="I424" s="4">
        <v>0</v>
      </c>
      <c r="J424" s="4">
        <v>8647</v>
      </c>
      <c r="K424" s="3" t="s">
        <v>63</v>
      </c>
      <c r="L424" s="3" t="s">
        <v>22</v>
      </c>
    </row>
    <row r="425" spans="1:12" x14ac:dyDescent="0.5">
      <c r="A425" s="5">
        <v>45890</v>
      </c>
      <c r="B425" t="s">
        <v>174</v>
      </c>
      <c r="C425" t="s">
        <v>148</v>
      </c>
      <c r="E425" s="6">
        <v>2191</v>
      </c>
      <c r="F425" t="s">
        <v>41</v>
      </c>
      <c r="G425" t="s">
        <v>679</v>
      </c>
      <c r="H425" t="s">
        <v>62</v>
      </c>
      <c r="I425" s="6">
        <v>0</v>
      </c>
      <c r="J425" s="6">
        <v>2191</v>
      </c>
      <c r="K425" t="s">
        <v>63</v>
      </c>
      <c r="L425" t="s">
        <v>22</v>
      </c>
    </row>
    <row r="426" spans="1:12" x14ac:dyDescent="0.5">
      <c r="A426" s="2">
        <v>45891</v>
      </c>
      <c r="B426" s="3" t="s">
        <v>174</v>
      </c>
      <c r="C426" s="3" t="s">
        <v>148</v>
      </c>
      <c r="D426" s="3"/>
      <c r="E426" s="4">
        <v>2721</v>
      </c>
      <c r="F426" s="3" t="s">
        <v>41</v>
      </c>
      <c r="G426" s="3" t="s">
        <v>679</v>
      </c>
      <c r="H426" s="3" t="s">
        <v>62</v>
      </c>
      <c r="I426" s="4">
        <v>0</v>
      </c>
      <c r="J426" s="4">
        <v>2721</v>
      </c>
      <c r="K426" s="3" t="s">
        <v>63</v>
      </c>
      <c r="L426" s="3" t="s">
        <v>22</v>
      </c>
    </row>
    <row r="427" spans="1:12" x14ac:dyDescent="0.5">
      <c r="A427" s="5">
        <v>45894</v>
      </c>
      <c r="B427" t="s">
        <v>174</v>
      </c>
      <c r="C427" t="s">
        <v>78</v>
      </c>
      <c r="E427" s="6">
        <v>201299</v>
      </c>
      <c r="F427" t="s">
        <v>14</v>
      </c>
      <c r="G427" t="s">
        <v>15</v>
      </c>
      <c r="H427" t="s">
        <v>24</v>
      </c>
      <c r="I427" s="6">
        <v>32140</v>
      </c>
      <c r="J427" s="6">
        <v>169159</v>
      </c>
      <c r="K427" t="s">
        <v>25</v>
      </c>
      <c r="L427" t="s">
        <v>26</v>
      </c>
    </row>
    <row r="428" spans="1:12" x14ac:dyDescent="0.5">
      <c r="A428" s="2">
        <v>45894</v>
      </c>
      <c r="B428" s="3" t="s">
        <v>174</v>
      </c>
      <c r="C428" s="3" t="s">
        <v>105</v>
      </c>
      <c r="D428" s="3"/>
      <c r="E428" s="4">
        <v>7900</v>
      </c>
      <c r="F428" s="3" t="s">
        <v>14</v>
      </c>
      <c r="G428" s="3" t="s">
        <v>679</v>
      </c>
      <c r="H428" s="3" t="s">
        <v>16</v>
      </c>
      <c r="I428" s="4">
        <v>1261</v>
      </c>
      <c r="J428" s="4">
        <v>6639</v>
      </c>
      <c r="K428" s="3" t="s">
        <v>17</v>
      </c>
      <c r="L428" s="3" t="s">
        <v>18</v>
      </c>
    </row>
    <row r="429" spans="1:12" x14ac:dyDescent="0.5">
      <c r="A429" s="5">
        <v>45894</v>
      </c>
      <c r="B429" t="s">
        <v>174</v>
      </c>
      <c r="C429" t="s">
        <v>188</v>
      </c>
      <c r="E429" s="6">
        <v>179740</v>
      </c>
      <c r="F429" t="s">
        <v>14</v>
      </c>
      <c r="G429" t="s">
        <v>679</v>
      </c>
      <c r="H429" t="s">
        <v>33</v>
      </c>
      <c r="I429" s="6">
        <v>28698</v>
      </c>
      <c r="J429" s="6">
        <v>151042</v>
      </c>
      <c r="K429" t="s">
        <v>34</v>
      </c>
      <c r="L429" t="s">
        <v>35</v>
      </c>
    </row>
    <row r="430" spans="1:12" x14ac:dyDescent="0.5">
      <c r="A430" s="2">
        <v>45894</v>
      </c>
      <c r="B430" s="3" t="s">
        <v>174</v>
      </c>
      <c r="C430" s="3" t="s">
        <v>189</v>
      </c>
      <c r="D430" s="3"/>
      <c r="E430" s="4">
        <v>153074</v>
      </c>
      <c r="F430" s="3" t="s">
        <v>14</v>
      </c>
      <c r="G430" s="3" t="s">
        <v>679</v>
      </c>
      <c r="H430" s="3" t="s">
        <v>33</v>
      </c>
      <c r="I430" s="4">
        <v>24440</v>
      </c>
      <c r="J430" s="4">
        <v>128634</v>
      </c>
      <c r="K430" s="3" t="s">
        <v>34</v>
      </c>
      <c r="L430" s="3" t="s">
        <v>35</v>
      </c>
    </row>
    <row r="431" spans="1:12" x14ac:dyDescent="0.5">
      <c r="A431" s="5">
        <v>45895</v>
      </c>
      <c r="B431" t="s">
        <v>174</v>
      </c>
      <c r="C431" t="s">
        <v>436</v>
      </c>
      <c r="E431" s="6">
        <v>30055</v>
      </c>
      <c r="F431" t="s">
        <v>14</v>
      </c>
      <c r="G431" t="s">
        <v>679</v>
      </c>
      <c r="H431" t="s">
        <v>24</v>
      </c>
      <c r="I431" s="6">
        <v>4799</v>
      </c>
      <c r="J431" s="6">
        <v>25256</v>
      </c>
      <c r="K431" t="s">
        <v>25</v>
      </c>
      <c r="L431" t="s">
        <v>26</v>
      </c>
    </row>
    <row r="432" spans="1:12" x14ac:dyDescent="0.5">
      <c r="A432" s="2">
        <v>45895</v>
      </c>
      <c r="B432" s="3" t="s">
        <v>174</v>
      </c>
      <c r="C432" s="3" t="s">
        <v>190</v>
      </c>
      <c r="D432" s="3"/>
      <c r="E432" s="4">
        <v>9900</v>
      </c>
      <c r="F432" s="3" t="s">
        <v>14</v>
      </c>
      <c r="G432" s="3" t="s">
        <v>679</v>
      </c>
      <c r="H432" s="3" t="s">
        <v>46</v>
      </c>
      <c r="I432" s="4">
        <v>1581</v>
      </c>
      <c r="J432" s="4">
        <v>8319</v>
      </c>
      <c r="K432" s="3" t="s">
        <v>47</v>
      </c>
      <c r="L432" s="3" t="s">
        <v>48</v>
      </c>
    </row>
    <row r="433" spans="1:12" x14ac:dyDescent="0.5">
      <c r="A433" s="5">
        <v>45895</v>
      </c>
      <c r="B433" t="s">
        <v>174</v>
      </c>
      <c r="C433" t="s">
        <v>124</v>
      </c>
      <c r="E433" s="6">
        <v>23443</v>
      </c>
      <c r="F433" t="s">
        <v>14</v>
      </c>
      <c r="G433" t="s">
        <v>679</v>
      </c>
      <c r="H433" t="s">
        <v>16</v>
      </c>
      <c r="I433" s="6">
        <v>3743</v>
      </c>
      <c r="J433" s="6">
        <v>19700</v>
      </c>
      <c r="K433" t="s">
        <v>17</v>
      </c>
      <c r="L433" t="s">
        <v>18</v>
      </c>
    </row>
    <row r="434" spans="1:12" x14ac:dyDescent="0.5">
      <c r="A434" s="2">
        <v>45895</v>
      </c>
      <c r="B434" s="3" t="s">
        <v>174</v>
      </c>
      <c r="C434" s="3" t="s">
        <v>148</v>
      </c>
      <c r="D434" s="3"/>
      <c r="E434" s="4">
        <v>1619</v>
      </c>
      <c r="F434" s="3" t="s">
        <v>41</v>
      </c>
      <c r="G434" s="3" t="s">
        <v>679</v>
      </c>
      <c r="H434" s="3" t="s">
        <v>62</v>
      </c>
      <c r="I434" s="4">
        <v>0</v>
      </c>
      <c r="J434" s="4">
        <v>1619</v>
      </c>
      <c r="K434" s="3" t="s">
        <v>63</v>
      </c>
      <c r="L434" s="3" t="s">
        <v>22</v>
      </c>
    </row>
    <row r="435" spans="1:12" x14ac:dyDescent="0.5">
      <c r="A435" s="5">
        <v>45896</v>
      </c>
      <c r="B435" t="s">
        <v>174</v>
      </c>
      <c r="C435" t="s">
        <v>87</v>
      </c>
      <c r="E435" s="6">
        <v>19394</v>
      </c>
      <c r="F435" t="s">
        <v>14</v>
      </c>
      <c r="G435" t="s">
        <v>15</v>
      </c>
      <c r="H435" t="s">
        <v>46</v>
      </c>
      <c r="I435" s="6">
        <v>3097</v>
      </c>
      <c r="J435" s="6">
        <v>16297</v>
      </c>
      <c r="K435" t="s">
        <v>47</v>
      </c>
      <c r="L435" t="s">
        <v>48</v>
      </c>
    </row>
    <row r="436" spans="1:12" x14ac:dyDescent="0.5">
      <c r="A436" s="2">
        <v>45896</v>
      </c>
      <c r="B436" s="3" t="s">
        <v>174</v>
      </c>
      <c r="C436" s="3" t="s">
        <v>148</v>
      </c>
      <c r="D436" s="3"/>
      <c r="E436" s="4">
        <v>3054</v>
      </c>
      <c r="F436" s="3" t="s">
        <v>41</v>
      </c>
      <c r="G436" s="3" t="s">
        <v>679</v>
      </c>
      <c r="H436" s="3" t="s">
        <v>62</v>
      </c>
      <c r="I436" s="4">
        <v>0</v>
      </c>
      <c r="J436" s="4">
        <v>3054</v>
      </c>
      <c r="K436" s="3" t="s">
        <v>63</v>
      </c>
      <c r="L436" s="3" t="s">
        <v>22</v>
      </c>
    </row>
    <row r="437" spans="1:12" x14ac:dyDescent="0.5">
      <c r="A437" s="5">
        <v>45896</v>
      </c>
      <c r="B437" t="s">
        <v>174</v>
      </c>
      <c r="C437" t="s">
        <v>107</v>
      </c>
      <c r="E437" s="6">
        <v>2441</v>
      </c>
      <c r="F437" t="s">
        <v>41</v>
      </c>
      <c r="G437" t="s">
        <v>679</v>
      </c>
      <c r="H437" t="s">
        <v>62</v>
      </c>
      <c r="I437" s="6">
        <v>0</v>
      </c>
      <c r="J437" s="6">
        <v>2441</v>
      </c>
      <c r="K437" t="s">
        <v>63</v>
      </c>
      <c r="L437" t="s">
        <v>22</v>
      </c>
    </row>
    <row r="438" spans="1:12" x14ac:dyDescent="0.5">
      <c r="A438" s="2">
        <v>45896</v>
      </c>
      <c r="B438" s="3" t="s">
        <v>174</v>
      </c>
      <c r="C438" s="3" t="s">
        <v>107</v>
      </c>
      <c r="D438" s="3"/>
      <c r="E438" s="4">
        <v>2312</v>
      </c>
      <c r="F438" s="3" t="s">
        <v>41</v>
      </c>
      <c r="G438" s="3" t="s">
        <v>679</v>
      </c>
      <c r="H438" s="3" t="s">
        <v>62</v>
      </c>
      <c r="I438" s="4">
        <v>0</v>
      </c>
      <c r="J438" s="4">
        <v>2312</v>
      </c>
      <c r="K438" s="3" t="s">
        <v>63</v>
      </c>
      <c r="L438" s="3" t="s">
        <v>22</v>
      </c>
    </row>
    <row r="439" spans="1:12" x14ac:dyDescent="0.5">
      <c r="A439" s="5">
        <v>45896</v>
      </c>
      <c r="B439" t="s">
        <v>174</v>
      </c>
      <c r="C439" t="s">
        <v>148</v>
      </c>
      <c r="E439" s="6">
        <v>1834</v>
      </c>
      <c r="F439" t="s">
        <v>41</v>
      </c>
      <c r="G439" t="s">
        <v>679</v>
      </c>
      <c r="H439" t="s">
        <v>62</v>
      </c>
      <c r="I439" s="6">
        <v>0</v>
      </c>
      <c r="J439" s="6">
        <v>1834</v>
      </c>
      <c r="K439" t="s">
        <v>63</v>
      </c>
      <c r="L439" t="s">
        <v>22</v>
      </c>
    </row>
    <row r="440" spans="1:12" x14ac:dyDescent="0.5">
      <c r="A440" s="2">
        <v>45897</v>
      </c>
      <c r="B440" s="3" t="s">
        <v>174</v>
      </c>
      <c r="C440" s="3" t="s">
        <v>148</v>
      </c>
      <c r="D440" s="3"/>
      <c r="E440" s="4">
        <v>6493</v>
      </c>
      <c r="F440" s="3" t="s">
        <v>41</v>
      </c>
      <c r="G440" s="3" t="s">
        <v>679</v>
      </c>
      <c r="H440" s="3" t="s">
        <v>62</v>
      </c>
      <c r="I440" s="4">
        <v>0</v>
      </c>
      <c r="J440" s="4">
        <v>6493</v>
      </c>
      <c r="K440" s="3" t="s">
        <v>63</v>
      </c>
      <c r="L440" s="3" t="s">
        <v>22</v>
      </c>
    </row>
    <row r="441" spans="1:12" x14ac:dyDescent="0.5">
      <c r="A441" s="5">
        <v>45897</v>
      </c>
      <c r="B441" t="s">
        <v>174</v>
      </c>
      <c r="C441" t="s">
        <v>107</v>
      </c>
      <c r="E441" s="6">
        <v>4559</v>
      </c>
      <c r="F441" t="s">
        <v>41</v>
      </c>
      <c r="G441" t="s">
        <v>679</v>
      </c>
      <c r="H441" t="s">
        <v>62</v>
      </c>
      <c r="I441" s="6">
        <v>0</v>
      </c>
      <c r="J441" s="6">
        <v>4559</v>
      </c>
      <c r="K441" t="s">
        <v>63</v>
      </c>
      <c r="L441" t="s">
        <v>22</v>
      </c>
    </row>
    <row r="442" spans="1:12" x14ac:dyDescent="0.5">
      <c r="A442" s="2">
        <v>45897</v>
      </c>
      <c r="B442" s="3" t="s">
        <v>174</v>
      </c>
      <c r="C442" s="3" t="s">
        <v>107</v>
      </c>
      <c r="D442" s="3"/>
      <c r="E442" s="4">
        <v>2872</v>
      </c>
      <c r="F442" s="3" t="s">
        <v>41</v>
      </c>
      <c r="G442" s="3" t="s">
        <v>679</v>
      </c>
      <c r="H442" s="3" t="s">
        <v>62</v>
      </c>
      <c r="I442" s="4">
        <v>0</v>
      </c>
      <c r="J442" s="4">
        <v>2872</v>
      </c>
      <c r="K442" s="3" t="s">
        <v>63</v>
      </c>
      <c r="L442" s="3" t="s">
        <v>22</v>
      </c>
    </row>
    <row r="443" spans="1:12" x14ac:dyDescent="0.5">
      <c r="A443" s="5">
        <v>45897</v>
      </c>
      <c r="B443" t="s">
        <v>174</v>
      </c>
      <c r="C443" t="s">
        <v>187</v>
      </c>
      <c r="E443" s="6">
        <v>2191</v>
      </c>
      <c r="F443" t="s">
        <v>14</v>
      </c>
      <c r="G443" t="s">
        <v>15</v>
      </c>
      <c r="H443" t="s">
        <v>109</v>
      </c>
      <c r="I443" s="6">
        <v>350</v>
      </c>
      <c r="J443" s="6">
        <v>1841</v>
      </c>
      <c r="K443" t="s">
        <v>110</v>
      </c>
      <c r="L443" t="s">
        <v>30</v>
      </c>
    </row>
    <row r="444" spans="1:12" x14ac:dyDescent="0.5">
      <c r="A444" s="2">
        <v>45898</v>
      </c>
      <c r="B444" s="3" t="s">
        <v>174</v>
      </c>
      <c r="C444" s="3" t="s">
        <v>191</v>
      </c>
      <c r="D444" s="3"/>
      <c r="E444" s="4">
        <v>379009</v>
      </c>
      <c r="F444" s="3" t="s">
        <v>41</v>
      </c>
      <c r="G444" s="3" t="s">
        <v>15</v>
      </c>
      <c r="H444" s="3" t="s">
        <v>74</v>
      </c>
      <c r="I444" s="4">
        <v>0</v>
      </c>
      <c r="J444" s="4">
        <v>379009</v>
      </c>
      <c r="K444" s="3" t="s">
        <v>75</v>
      </c>
      <c r="L444" s="3" t="s">
        <v>44</v>
      </c>
    </row>
    <row r="445" spans="1:12" x14ac:dyDescent="0.5">
      <c r="A445" s="5">
        <v>45901</v>
      </c>
      <c r="B445" t="s">
        <v>192</v>
      </c>
      <c r="C445" t="s">
        <v>116</v>
      </c>
      <c r="E445" s="6">
        <v>99812</v>
      </c>
      <c r="F445" t="s">
        <v>14</v>
      </c>
      <c r="G445" t="s">
        <v>679</v>
      </c>
      <c r="H445" t="s">
        <v>16</v>
      </c>
      <c r="I445" s="6">
        <v>15936</v>
      </c>
      <c r="J445" s="6">
        <v>83876</v>
      </c>
      <c r="K445" t="s">
        <v>17</v>
      </c>
      <c r="L445" t="s">
        <v>18</v>
      </c>
    </row>
    <row r="446" spans="1:12" x14ac:dyDescent="0.5">
      <c r="A446" s="2">
        <v>45901</v>
      </c>
      <c r="B446" s="3" t="s">
        <v>192</v>
      </c>
      <c r="C446" s="3" t="s">
        <v>193</v>
      </c>
      <c r="D446" s="3"/>
      <c r="E446" s="4">
        <v>197714</v>
      </c>
      <c r="F446" s="3" t="s">
        <v>14</v>
      </c>
      <c r="G446" s="3" t="s">
        <v>679</v>
      </c>
      <c r="H446" s="3" t="s">
        <v>33</v>
      </c>
      <c r="I446" s="4">
        <v>31568</v>
      </c>
      <c r="J446" s="4">
        <v>166146</v>
      </c>
      <c r="K446" s="3" t="s">
        <v>34</v>
      </c>
      <c r="L446" s="3" t="s">
        <v>35</v>
      </c>
    </row>
    <row r="447" spans="1:12" x14ac:dyDescent="0.5">
      <c r="A447" s="5">
        <v>45902</v>
      </c>
      <c r="B447" t="s">
        <v>192</v>
      </c>
      <c r="C447" t="s">
        <v>448</v>
      </c>
      <c r="E447" s="6">
        <v>36806</v>
      </c>
      <c r="F447" t="s">
        <v>14</v>
      </c>
      <c r="G447" t="s">
        <v>679</v>
      </c>
      <c r="H447" t="s">
        <v>355</v>
      </c>
      <c r="I447" s="6">
        <v>5877</v>
      </c>
      <c r="J447" s="6">
        <v>30929</v>
      </c>
      <c r="K447" t="s">
        <v>356</v>
      </c>
      <c r="L447" t="s">
        <v>48</v>
      </c>
    </row>
    <row r="448" spans="1:12" x14ac:dyDescent="0.5">
      <c r="A448" s="2">
        <v>45902</v>
      </c>
      <c r="B448" s="3" t="s">
        <v>192</v>
      </c>
      <c r="C448" s="3" t="s">
        <v>117</v>
      </c>
      <c r="D448" s="3"/>
      <c r="E448" s="4">
        <v>135284</v>
      </c>
      <c r="F448" s="3" t="s">
        <v>14</v>
      </c>
      <c r="G448" s="3" t="s">
        <v>679</v>
      </c>
      <c r="H448" s="3" t="s">
        <v>16</v>
      </c>
      <c r="I448" s="4">
        <v>21600</v>
      </c>
      <c r="J448" s="4">
        <v>113684</v>
      </c>
      <c r="K448" s="3" t="s">
        <v>17</v>
      </c>
      <c r="L448" s="3" t="s">
        <v>18</v>
      </c>
    </row>
    <row r="449" spans="1:12" x14ac:dyDescent="0.5">
      <c r="A449" s="5">
        <v>45902</v>
      </c>
      <c r="B449" t="s">
        <v>192</v>
      </c>
      <c r="C449" t="s">
        <v>124</v>
      </c>
      <c r="E449" s="6">
        <v>19735</v>
      </c>
      <c r="F449" t="s">
        <v>14</v>
      </c>
      <c r="G449" t="s">
        <v>679</v>
      </c>
      <c r="H449" t="s">
        <v>16</v>
      </c>
      <c r="I449" s="6">
        <v>3151</v>
      </c>
      <c r="J449" s="6">
        <v>16584</v>
      </c>
      <c r="K449" t="s">
        <v>17</v>
      </c>
      <c r="L449" t="s">
        <v>18</v>
      </c>
    </row>
    <row r="450" spans="1:12" x14ac:dyDescent="0.5">
      <c r="A450" s="2">
        <v>45902</v>
      </c>
      <c r="B450" s="3" t="s">
        <v>192</v>
      </c>
      <c r="C450" s="3" t="s">
        <v>19</v>
      </c>
      <c r="D450" s="3"/>
      <c r="E450" s="4">
        <v>91331</v>
      </c>
      <c r="F450" s="3" t="s">
        <v>14</v>
      </c>
      <c r="G450" s="3" t="s">
        <v>15</v>
      </c>
      <c r="H450" s="3" t="s">
        <v>20</v>
      </c>
      <c r="I450" s="4">
        <v>14582</v>
      </c>
      <c r="J450" s="4">
        <v>76749</v>
      </c>
      <c r="K450" s="3" t="s">
        <v>21</v>
      </c>
      <c r="L450" s="3" t="s">
        <v>22</v>
      </c>
    </row>
    <row r="451" spans="1:12" x14ac:dyDescent="0.5">
      <c r="A451" s="5">
        <v>45902</v>
      </c>
      <c r="B451" t="s">
        <v>192</v>
      </c>
      <c r="C451" t="s">
        <v>148</v>
      </c>
      <c r="E451" s="6">
        <v>3194</v>
      </c>
      <c r="F451" t="s">
        <v>41</v>
      </c>
      <c r="G451" t="s">
        <v>679</v>
      </c>
      <c r="H451" t="s">
        <v>62</v>
      </c>
      <c r="I451" s="6">
        <v>0</v>
      </c>
      <c r="J451" s="6">
        <v>3194</v>
      </c>
      <c r="K451" t="s">
        <v>63</v>
      </c>
      <c r="L451" t="s">
        <v>22</v>
      </c>
    </row>
    <row r="452" spans="1:12" x14ac:dyDescent="0.5">
      <c r="A452" s="2">
        <v>45902</v>
      </c>
      <c r="B452" s="3" t="s">
        <v>192</v>
      </c>
      <c r="C452" s="3" t="s">
        <v>107</v>
      </c>
      <c r="D452" s="3"/>
      <c r="E452" s="4">
        <v>3141</v>
      </c>
      <c r="F452" s="3" t="s">
        <v>41</v>
      </c>
      <c r="G452" s="3" t="s">
        <v>679</v>
      </c>
      <c r="H452" s="3" t="s">
        <v>62</v>
      </c>
      <c r="I452" s="4">
        <v>0</v>
      </c>
      <c r="J452" s="4">
        <v>3141</v>
      </c>
      <c r="K452" s="3" t="s">
        <v>63</v>
      </c>
      <c r="L452" s="3" t="s">
        <v>22</v>
      </c>
    </row>
    <row r="453" spans="1:12" x14ac:dyDescent="0.5">
      <c r="A453" s="5">
        <v>45902</v>
      </c>
      <c r="B453" t="s">
        <v>192</v>
      </c>
      <c r="C453" t="s">
        <v>107</v>
      </c>
      <c r="E453" s="6">
        <v>2865</v>
      </c>
      <c r="F453" t="s">
        <v>41</v>
      </c>
      <c r="G453" t="s">
        <v>679</v>
      </c>
      <c r="H453" t="s">
        <v>62</v>
      </c>
      <c r="I453" s="6">
        <v>0</v>
      </c>
      <c r="J453" s="6">
        <v>2865</v>
      </c>
      <c r="K453" t="s">
        <v>63</v>
      </c>
      <c r="L453" t="s">
        <v>22</v>
      </c>
    </row>
    <row r="454" spans="1:12" x14ac:dyDescent="0.5">
      <c r="A454" s="2">
        <v>45902</v>
      </c>
      <c r="B454" s="3" t="s">
        <v>192</v>
      </c>
      <c r="C454" s="3" t="s">
        <v>148</v>
      </c>
      <c r="D454" s="3"/>
      <c r="E454" s="4">
        <v>2003</v>
      </c>
      <c r="F454" s="3" t="s">
        <v>41</v>
      </c>
      <c r="G454" s="3" t="s">
        <v>679</v>
      </c>
      <c r="H454" s="3" t="s">
        <v>62</v>
      </c>
      <c r="I454" s="4">
        <v>0</v>
      </c>
      <c r="J454" s="4">
        <v>2003</v>
      </c>
      <c r="K454" s="3" t="s">
        <v>63</v>
      </c>
      <c r="L454" s="3" t="s">
        <v>22</v>
      </c>
    </row>
    <row r="455" spans="1:12" x14ac:dyDescent="0.5">
      <c r="A455" s="5">
        <v>45902</v>
      </c>
      <c r="B455" t="s">
        <v>192</v>
      </c>
      <c r="C455" t="s">
        <v>107</v>
      </c>
      <c r="E455" s="6">
        <v>1562</v>
      </c>
      <c r="F455" t="s">
        <v>41</v>
      </c>
      <c r="G455" t="s">
        <v>679</v>
      </c>
      <c r="H455" t="s">
        <v>62</v>
      </c>
      <c r="I455" s="6">
        <v>0</v>
      </c>
      <c r="J455" s="6">
        <v>1562</v>
      </c>
      <c r="K455" t="s">
        <v>63</v>
      </c>
      <c r="L455" t="s">
        <v>22</v>
      </c>
    </row>
    <row r="456" spans="1:12" x14ac:dyDescent="0.5">
      <c r="A456" s="2">
        <v>45902</v>
      </c>
      <c r="B456" s="3" t="s">
        <v>192</v>
      </c>
      <c r="C456" s="3" t="s">
        <v>187</v>
      </c>
      <c r="D456" s="3"/>
      <c r="E456" s="4">
        <v>1619</v>
      </c>
      <c r="F456" s="3" t="s">
        <v>14</v>
      </c>
      <c r="G456" s="3" t="s">
        <v>15</v>
      </c>
      <c r="H456" s="3" t="s">
        <v>109</v>
      </c>
      <c r="I456" s="4">
        <v>258</v>
      </c>
      <c r="J456" s="4">
        <v>1361</v>
      </c>
      <c r="K456" s="3" t="s">
        <v>110</v>
      </c>
      <c r="L456" s="3" t="s">
        <v>30</v>
      </c>
    </row>
    <row r="457" spans="1:12" x14ac:dyDescent="0.5">
      <c r="A457" s="5">
        <v>45902</v>
      </c>
      <c r="B457" t="s">
        <v>192</v>
      </c>
      <c r="C457" t="s">
        <v>133</v>
      </c>
      <c r="E457" s="6">
        <v>7477</v>
      </c>
      <c r="F457" t="s">
        <v>41</v>
      </c>
      <c r="G457" t="s">
        <v>15</v>
      </c>
      <c r="H457" t="s">
        <v>134</v>
      </c>
      <c r="I457" s="6">
        <v>0</v>
      </c>
      <c r="J457" s="6">
        <v>7477</v>
      </c>
      <c r="K457" t="s">
        <v>135</v>
      </c>
      <c r="L457" t="s">
        <v>44</v>
      </c>
    </row>
    <row r="458" spans="1:12" x14ac:dyDescent="0.5">
      <c r="A458" s="2">
        <v>45902</v>
      </c>
      <c r="B458" s="3" t="s">
        <v>192</v>
      </c>
      <c r="C458" s="3" t="s">
        <v>136</v>
      </c>
      <c r="D458" s="3"/>
      <c r="E458" s="4">
        <v>576</v>
      </c>
      <c r="F458" s="3" t="s">
        <v>41</v>
      </c>
      <c r="G458" s="3" t="s">
        <v>15</v>
      </c>
      <c r="H458" s="3" t="s">
        <v>134</v>
      </c>
      <c r="I458" s="4">
        <v>0</v>
      </c>
      <c r="J458" s="4">
        <v>576</v>
      </c>
      <c r="K458" s="3" t="s">
        <v>135</v>
      </c>
      <c r="L458" s="3" t="s">
        <v>44</v>
      </c>
    </row>
    <row r="459" spans="1:12" x14ac:dyDescent="0.5">
      <c r="A459" s="5">
        <v>45903</v>
      </c>
      <c r="B459" t="s">
        <v>192</v>
      </c>
      <c r="C459" t="s">
        <v>190</v>
      </c>
      <c r="E459" s="6">
        <v>2390</v>
      </c>
      <c r="F459" t="s">
        <v>14</v>
      </c>
      <c r="G459" t="s">
        <v>679</v>
      </c>
      <c r="H459" t="s">
        <v>46</v>
      </c>
      <c r="I459" s="6">
        <v>382</v>
      </c>
      <c r="J459" s="6">
        <v>2008</v>
      </c>
      <c r="K459" t="s">
        <v>47</v>
      </c>
      <c r="L459" t="s">
        <v>48</v>
      </c>
    </row>
    <row r="460" spans="1:12" x14ac:dyDescent="0.5">
      <c r="A460" s="2">
        <v>45903</v>
      </c>
      <c r="B460" s="3" t="s">
        <v>192</v>
      </c>
      <c r="C460" s="3" t="s">
        <v>194</v>
      </c>
      <c r="D460" s="3"/>
      <c r="E460" s="4">
        <v>19830</v>
      </c>
      <c r="F460" s="3" t="s">
        <v>14</v>
      </c>
      <c r="G460" s="3" t="s">
        <v>679</v>
      </c>
      <c r="H460" s="3" t="s">
        <v>16</v>
      </c>
      <c r="I460" s="4">
        <v>3166</v>
      </c>
      <c r="J460" s="4">
        <v>16664</v>
      </c>
      <c r="K460" s="3" t="s">
        <v>17</v>
      </c>
      <c r="L460" s="3" t="s">
        <v>18</v>
      </c>
    </row>
    <row r="461" spans="1:12" x14ac:dyDescent="0.5">
      <c r="A461" s="5">
        <v>45903</v>
      </c>
      <c r="B461" t="s">
        <v>192</v>
      </c>
      <c r="C461" t="s">
        <v>148</v>
      </c>
      <c r="E461" s="6">
        <v>2785</v>
      </c>
      <c r="F461" t="s">
        <v>41</v>
      </c>
      <c r="G461" t="s">
        <v>679</v>
      </c>
      <c r="H461" t="s">
        <v>62</v>
      </c>
      <c r="I461" s="6">
        <v>0</v>
      </c>
      <c r="J461" s="6">
        <v>2785</v>
      </c>
      <c r="K461" t="s">
        <v>63</v>
      </c>
      <c r="L461" t="s">
        <v>22</v>
      </c>
    </row>
    <row r="462" spans="1:12" x14ac:dyDescent="0.5">
      <c r="A462" s="2">
        <v>45904</v>
      </c>
      <c r="B462" s="3" t="s">
        <v>192</v>
      </c>
      <c r="C462" s="3" t="s">
        <v>107</v>
      </c>
      <c r="D462" s="3"/>
      <c r="E462" s="4">
        <v>3193</v>
      </c>
      <c r="F462" s="3" t="s">
        <v>41</v>
      </c>
      <c r="G462" s="3" t="s">
        <v>679</v>
      </c>
      <c r="H462" s="3" t="s">
        <v>62</v>
      </c>
      <c r="I462" s="4">
        <v>0</v>
      </c>
      <c r="J462" s="4">
        <v>3193</v>
      </c>
      <c r="K462" s="3" t="s">
        <v>63</v>
      </c>
      <c r="L462" s="3" t="s">
        <v>22</v>
      </c>
    </row>
    <row r="463" spans="1:12" x14ac:dyDescent="0.5">
      <c r="A463" s="5">
        <v>45904</v>
      </c>
      <c r="B463" t="s">
        <v>192</v>
      </c>
      <c r="C463" t="s">
        <v>107</v>
      </c>
      <c r="E463" s="6">
        <v>2769</v>
      </c>
      <c r="F463" t="s">
        <v>41</v>
      </c>
      <c r="G463" t="s">
        <v>679</v>
      </c>
      <c r="H463" t="s">
        <v>62</v>
      </c>
      <c r="I463" s="6">
        <v>0</v>
      </c>
      <c r="J463" s="6">
        <v>2769</v>
      </c>
      <c r="K463" t="s">
        <v>63</v>
      </c>
      <c r="L463" t="s">
        <v>22</v>
      </c>
    </row>
    <row r="464" spans="1:12" x14ac:dyDescent="0.5">
      <c r="A464" s="2">
        <v>45908</v>
      </c>
      <c r="B464" s="3" t="s">
        <v>192</v>
      </c>
      <c r="C464" s="3" t="s">
        <v>473</v>
      </c>
      <c r="D464" s="3"/>
      <c r="E464" s="4">
        <v>69345</v>
      </c>
      <c r="F464" s="3" t="s">
        <v>14</v>
      </c>
      <c r="G464" s="3" t="s">
        <v>15</v>
      </c>
      <c r="H464" s="3" t="s">
        <v>24</v>
      </c>
      <c r="I464" s="4">
        <v>11072</v>
      </c>
      <c r="J464" s="4">
        <v>58273</v>
      </c>
      <c r="K464" s="3" t="s">
        <v>25</v>
      </c>
      <c r="L464" s="3" t="s">
        <v>26</v>
      </c>
    </row>
    <row r="465" spans="1:12" x14ac:dyDescent="0.5">
      <c r="A465" s="5">
        <v>45908</v>
      </c>
      <c r="B465" t="s">
        <v>192</v>
      </c>
      <c r="C465" t="s">
        <v>107</v>
      </c>
      <c r="E465" s="6">
        <v>2918</v>
      </c>
      <c r="F465" t="s">
        <v>41</v>
      </c>
      <c r="G465" t="s">
        <v>679</v>
      </c>
      <c r="H465" t="s">
        <v>62</v>
      </c>
      <c r="I465" s="6">
        <v>0</v>
      </c>
      <c r="J465" s="6">
        <v>2918</v>
      </c>
      <c r="K465" t="s">
        <v>63</v>
      </c>
      <c r="L465" t="s">
        <v>22</v>
      </c>
    </row>
    <row r="466" spans="1:12" x14ac:dyDescent="0.5">
      <c r="A466" s="2">
        <v>45909</v>
      </c>
      <c r="B466" s="3" t="s">
        <v>192</v>
      </c>
      <c r="C466" s="3" t="s">
        <v>130</v>
      </c>
      <c r="D466" s="3"/>
      <c r="E466" s="4">
        <v>19990</v>
      </c>
      <c r="F466" s="3" t="s">
        <v>14</v>
      </c>
      <c r="G466" s="3" t="s">
        <v>679</v>
      </c>
      <c r="H466" s="3" t="s">
        <v>24</v>
      </c>
      <c r="I466" s="4">
        <v>3192</v>
      </c>
      <c r="J466" s="4">
        <v>16798</v>
      </c>
      <c r="K466" s="3" t="s">
        <v>25</v>
      </c>
      <c r="L466" s="3" t="s">
        <v>26</v>
      </c>
    </row>
    <row r="467" spans="1:12" x14ac:dyDescent="0.5">
      <c r="A467" s="5">
        <v>45909</v>
      </c>
      <c r="B467" t="s">
        <v>192</v>
      </c>
      <c r="C467" t="s">
        <v>148</v>
      </c>
      <c r="E467" s="6">
        <v>2677</v>
      </c>
      <c r="F467" t="s">
        <v>41</v>
      </c>
      <c r="G467" t="s">
        <v>679</v>
      </c>
      <c r="H467" t="s">
        <v>62</v>
      </c>
      <c r="I467" s="6">
        <v>0</v>
      </c>
      <c r="J467" s="6">
        <v>2677</v>
      </c>
      <c r="K467" t="s">
        <v>63</v>
      </c>
      <c r="L467" t="s">
        <v>22</v>
      </c>
    </row>
    <row r="468" spans="1:12" x14ac:dyDescent="0.5">
      <c r="A468" s="2">
        <v>45909</v>
      </c>
      <c r="B468" s="3" t="s">
        <v>192</v>
      </c>
      <c r="C468" s="3" t="s">
        <v>107</v>
      </c>
      <c r="D468" s="3"/>
      <c r="E468" s="4">
        <v>1968</v>
      </c>
      <c r="F468" s="3" t="s">
        <v>41</v>
      </c>
      <c r="G468" s="3" t="s">
        <v>679</v>
      </c>
      <c r="H468" s="3" t="s">
        <v>62</v>
      </c>
      <c r="I468" s="4">
        <v>0</v>
      </c>
      <c r="J468" s="4">
        <v>1968</v>
      </c>
      <c r="K468" s="3" t="s">
        <v>63</v>
      </c>
      <c r="L468" s="3" t="s">
        <v>22</v>
      </c>
    </row>
    <row r="469" spans="1:12" x14ac:dyDescent="0.5">
      <c r="A469" s="5">
        <v>45909</v>
      </c>
      <c r="B469" t="s">
        <v>192</v>
      </c>
      <c r="C469" t="s">
        <v>195</v>
      </c>
      <c r="E469" s="6">
        <v>25813</v>
      </c>
      <c r="F469" t="s">
        <v>14</v>
      </c>
      <c r="G469" t="s">
        <v>15</v>
      </c>
      <c r="H469" t="s">
        <v>109</v>
      </c>
      <c r="I469" s="6">
        <v>4121</v>
      </c>
      <c r="J469" s="6">
        <v>21692</v>
      </c>
      <c r="K469" t="s">
        <v>110</v>
      </c>
      <c r="L469" t="s">
        <v>30</v>
      </c>
    </row>
    <row r="470" spans="1:12" x14ac:dyDescent="0.5">
      <c r="A470" s="2">
        <v>45910</v>
      </c>
      <c r="B470" s="3" t="s">
        <v>192</v>
      </c>
      <c r="C470" s="3" t="s">
        <v>107</v>
      </c>
      <c r="D470" s="3"/>
      <c r="E470" s="4">
        <v>2261</v>
      </c>
      <c r="F470" s="3" t="s">
        <v>41</v>
      </c>
      <c r="G470" s="3" t="s">
        <v>679</v>
      </c>
      <c r="H470" s="3" t="s">
        <v>62</v>
      </c>
      <c r="I470" s="4">
        <v>0</v>
      </c>
      <c r="J470" s="4">
        <v>2261</v>
      </c>
      <c r="K470" s="3" t="s">
        <v>63</v>
      </c>
      <c r="L470" s="3" t="s">
        <v>22</v>
      </c>
    </row>
    <row r="471" spans="1:12" x14ac:dyDescent="0.5">
      <c r="A471" s="5">
        <v>45910</v>
      </c>
      <c r="B471" t="s">
        <v>192</v>
      </c>
      <c r="C471" t="s">
        <v>148</v>
      </c>
      <c r="E471" s="6">
        <v>1738</v>
      </c>
      <c r="F471" t="s">
        <v>41</v>
      </c>
      <c r="G471" t="s">
        <v>679</v>
      </c>
      <c r="H471" t="s">
        <v>62</v>
      </c>
      <c r="I471" s="6">
        <v>0</v>
      </c>
      <c r="J471" s="6">
        <v>1738</v>
      </c>
      <c r="K471" t="s">
        <v>63</v>
      </c>
      <c r="L471" t="s">
        <v>22</v>
      </c>
    </row>
    <row r="472" spans="1:12" x14ac:dyDescent="0.5">
      <c r="A472" s="2">
        <v>45910</v>
      </c>
      <c r="B472" s="3" t="s">
        <v>192</v>
      </c>
      <c r="C472" s="3" t="s">
        <v>148</v>
      </c>
      <c r="D472" s="3"/>
      <c r="E472" s="4">
        <v>1376</v>
      </c>
      <c r="F472" s="3" t="s">
        <v>41</v>
      </c>
      <c r="G472" s="3" t="s">
        <v>679</v>
      </c>
      <c r="H472" s="3" t="s">
        <v>62</v>
      </c>
      <c r="I472" s="4">
        <v>0</v>
      </c>
      <c r="J472" s="4">
        <v>1376</v>
      </c>
      <c r="K472" s="3" t="s">
        <v>63</v>
      </c>
      <c r="L472" s="3" t="s">
        <v>22</v>
      </c>
    </row>
    <row r="473" spans="1:12" x14ac:dyDescent="0.5">
      <c r="A473" s="5">
        <v>45911</v>
      </c>
      <c r="B473" t="s">
        <v>174</v>
      </c>
      <c r="C473" t="s">
        <v>65</v>
      </c>
      <c r="E473" s="6">
        <v>1269777</v>
      </c>
      <c r="F473" t="s">
        <v>41</v>
      </c>
      <c r="G473" t="s">
        <v>15</v>
      </c>
      <c r="H473" t="s">
        <v>66</v>
      </c>
      <c r="I473" s="6">
        <v>0</v>
      </c>
      <c r="J473" s="6">
        <v>1269777</v>
      </c>
      <c r="K473" t="s">
        <v>67</v>
      </c>
      <c r="L473" t="s">
        <v>68</v>
      </c>
    </row>
    <row r="474" spans="1:12" x14ac:dyDescent="0.5">
      <c r="A474" s="2">
        <v>45911</v>
      </c>
      <c r="B474" s="3" t="s">
        <v>192</v>
      </c>
      <c r="C474" s="3" t="s">
        <v>196</v>
      </c>
      <c r="D474" s="3"/>
      <c r="E474" s="4">
        <v>209138</v>
      </c>
      <c r="F474" s="3" t="s">
        <v>14</v>
      </c>
      <c r="G474" s="3" t="s">
        <v>679</v>
      </c>
      <c r="H474" s="3" t="s">
        <v>33</v>
      </c>
      <c r="I474" s="4">
        <v>33392</v>
      </c>
      <c r="J474" s="4">
        <v>175746</v>
      </c>
      <c r="K474" s="3" t="s">
        <v>34</v>
      </c>
      <c r="L474" s="3" t="s">
        <v>35</v>
      </c>
    </row>
    <row r="475" spans="1:12" x14ac:dyDescent="0.5">
      <c r="A475" s="5">
        <v>45915</v>
      </c>
      <c r="B475" t="s">
        <v>192</v>
      </c>
      <c r="C475" t="s">
        <v>78</v>
      </c>
      <c r="E475" s="6">
        <v>376280</v>
      </c>
      <c r="F475" t="s">
        <v>14</v>
      </c>
      <c r="G475" t="s">
        <v>15</v>
      </c>
      <c r="H475" t="s">
        <v>24</v>
      </c>
      <c r="I475" s="6">
        <v>60078</v>
      </c>
      <c r="J475" s="6">
        <v>316202</v>
      </c>
      <c r="K475" t="s">
        <v>25</v>
      </c>
      <c r="L475" t="s">
        <v>26</v>
      </c>
    </row>
    <row r="476" spans="1:12" x14ac:dyDescent="0.5">
      <c r="A476" s="2">
        <v>45915</v>
      </c>
      <c r="B476" s="3" t="s">
        <v>192</v>
      </c>
      <c r="C476" s="3" t="s">
        <v>475</v>
      </c>
      <c r="D476" s="3"/>
      <c r="E476" s="4">
        <v>114383</v>
      </c>
      <c r="F476" s="3" t="s">
        <v>14</v>
      </c>
      <c r="G476" s="3" t="s">
        <v>15</v>
      </c>
      <c r="H476" s="3" t="s">
        <v>293</v>
      </c>
      <c r="I476" s="4">
        <v>18263</v>
      </c>
      <c r="J476" s="4">
        <v>96120</v>
      </c>
      <c r="K476" s="3" t="s">
        <v>294</v>
      </c>
      <c r="L476" s="3" t="s">
        <v>26</v>
      </c>
    </row>
    <row r="477" spans="1:12" x14ac:dyDescent="0.5">
      <c r="A477" s="5">
        <v>45915</v>
      </c>
      <c r="B477" t="s">
        <v>192</v>
      </c>
      <c r="C477" t="s">
        <v>124</v>
      </c>
      <c r="E477" s="6">
        <v>23261</v>
      </c>
      <c r="F477" t="s">
        <v>14</v>
      </c>
      <c r="G477" t="s">
        <v>679</v>
      </c>
      <c r="H477" t="s">
        <v>16</v>
      </c>
      <c r="I477" s="6">
        <v>3714</v>
      </c>
      <c r="J477" s="6">
        <v>19547</v>
      </c>
      <c r="K477" t="s">
        <v>17</v>
      </c>
      <c r="L477" t="s">
        <v>18</v>
      </c>
    </row>
    <row r="478" spans="1:12" x14ac:dyDescent="0.5">
      <c r="A478" s="2">
        <v>45915</v>
      </c>
      <c r="B478" s="3" t="s">
        <v>192</v>
      </c>
      <c r="C478" s="3" t="s">
        <v>197</v>
      </c>
      <c r="D478" s="3"/>
      <c r="E478" s="4">
        <v>25802</v>
      </c>
      <c r="F478" s="3" t="s">
        <v>14</v>
      </c>
      <c r="G478" s="3" t="s">
        <v>679</v>
      </c>
      <c r="H478" s="3" t="s">
        <v>33</v>
      </c>
      <c r="I478" s="4">
        <v>4120</v>
      </c>
      <c r="J478" s="4">
        <v>21682</v>
      </c>
      <c r="K478" s="3" t="s">
        <v>34</v>
      </c>
      <c r="L478" s="3" t="s">
        <v>35</v>
      </c>
    </row>
    <row r="479" spans="1:12" x14ac:dyDescent="0.5">
      <c r="A479" s="5">
        <v>45915</v>
      </c>
      <c r="B479" t="s">
        <v>192</v>
      </c>
      <c r="C479" t="s">
        <v>198</v>
      </c>
      <c r="E479" s="6">
        <v>21490</v>
      </c>
      <c r="F479" t="s">
        <v>14</v>
      </c>
      <c r="G479" t="s">
        <v>679</v>
      </c>
      <c r="H479" t="s">
        <v>33</v>
      </c>
      <c r="I479" s="6">
        <v>3431</v>
      </c>
      <c r="J479" s="6">
        <v>18059</v>
      </c>
      <c r="K479" t="s">
        <v>34</v>
      </c>
      <c r="L479" t="s">
        <v>35</v>
      </c>
    </row>
    <row r="480" spans="1:12" x14ac:dyDescent="0.5">
      <c r="A480" s="2">
        <v>45916</v>
      </c>
      <c r="B480" s="3" t="s">
        <v>174</v>
      </c>
      <c r="C480" s="3" t="s">
        <v>91</v>
      </c>
      <c r="D480" s="3"/>
      <c r="E480" s="4">
        <v>39580</v>
      </c>
      <c r="F480" s="3" t="s">
        <v>41</v>
      </c>
      <c r="G480" s="3" t="s">
        <v>15</v>
      </c>
      <c r="H480" s="3" t="s">
        <v>66</v>
      </c>
      <c r="I480" s="4">
        <v>0</v>
      </c>
      <c r="J480" s="4">
        <v>39580</v>
      </c>
      <c r="K480" s="3" t="s">
        <v>67</v>
      </c>
      <c r="L480" s="3" t="s">
        <v>68</v>
      </c>
    </row>
    <row r="481" spans="1:12" x14ac:dyDescent="0.5">
      <c r="A481" s="5">
        <v>45916</v>
      </c>
      <c r="B481" t="s">
        <v>192</v>
      </c>
      <c r="C481" t="s">
        <v>124</v>
      </c>
      <c r="E481" s="6">
        <v>23189</v>
      </c>
      <c r="F481" t="s">
        <v>14</v>
      </c>
      <c r="G481" t="s">
        <v>679</v>
      </c>
      <c r="H481" t="s">
        <v>16</v>
      </c>
      <c r="I481" s="6">
        <v>3702</v>
      </c>
      <c r="J481" s="6">
        <v>19487</v>
      </c>
      <c r="K481" t="s">
        <v>17</v>
      </c>
      <c r="L481" t="s">
        <v>18</v>
      </c>
    </row>
    <row r="482" spans="1:12" x14ac:dyDescent="0.5">
      <c r="A482" s="2">
        <v>45916</v>
      </c>
      <c r="B482" s="3" t="s">
        <v>192</v>
      </c>
      <c r="C482" s="3" t="s">
        <v>107</v>
      </c>
      <c r="D482" s="3"/>
      <c r="E482" s="4">
        <v>3081</v>
      </c>
      <c r="F482" s="3" t="s">
        <v>41</v>
      </c>
      <c r="G482" s="3" t="s">
        <v>679</v>
      </c>
      <c r="H482" s="3" t="s">
        <v>62</v>
      </c>
      <c r="I482" s="4">
        <v>0</v>
      </c>
      <c r="J482" s="4">
        <v>3081</v>
      </c>
      <c r="K482" s="3" t="s">
        <v>63</v>
      </c>
      <c r="L482" s="3" t="s">
        <v>22</v>
      </c>
    </row>
    <row r="483" spans="1:12" x14ac:dyDescent="0.5">
      <c r="A483" s="5">
        <v>45916</v>
      </c>
      <c r="B483" t="s">
        <v>192</v>
      </c>
      <c r="C483" t="s">
        <v>107</v>
      </c>
      <c r="E483" s="6">
        <v>2486</v>
      </c>
      <c r="F483" t="s">
        <v>41</v>
      </c>
      <c r="G483" t="s">
        <v>679</v>
      </c>
      <c r="H483" t="s">
        <v>62</v>
      </c>
      <c r="I483" s="6">
        <v>0</v>
      </c>
      <c r="J483" s="6">
        <v>2486</v>
      </c>
      <c r="K483" t="s">
        <v>63</v>
      </c>
      <c r="L483" t="s">
        <v>22</v>
      </c>
    </row>
    <row r="484" spans="1:12" x14ac:dyDescent="0.5">
      <c r="A484" s="2">
        <v>45916</v>
      </c>
      <c r="B484" s="3" t="s">
        <v>192</v>
      </c>
      <c r="C484" s="3" t="s">
        <v>107</v>
      </c>
      <c r="D484" s="3"/>
      <c r="E484" s="4">
        <v>2486</v>
      </c>
      <c r="F484" s="3" t="s">
        <v>41</v>
      </c>
      <c r="G484" s="3" t="s">
        <v>679</v>
      </c>
      <c r="H484" s="3" t="s">
        <v>62</v>
      </c>
      <c r="I484" s="4">
        <v>0</v>
      </c>
      <c r="J484" s="4">
        <v>2486</v>
      </c>
      <c r="K484" s="3" t="s">
        <v>63</v>
      </c>
      <c r="L484" s="3" t="s">
        <v>22</v>
      </c>
    </row>
    <row r="485" spans="1:12" x14ac:dyDescent="0.5">
      <c r="A485" s="5">
        <v>45916</v>
      </c>
      <c r="B485" t="s">
        <v>192</v>
      </c>
      <c r="C485" t="s">
        <v>148</v>
      </c>
      <c r="E485" s="6">
        <v>2099</v>
      </c>
      <c r="F485" t="s">
        <v>41</v>
      </c>
      <c r="G485" t="s">
        <v>679</v>
      </c>
      <c r="H485" t="s">
        <v>62</v>
      </c>
      <c r="I485" s="6">
        <v>0</v>
      </c>
      <c r="J485" s="6">
        <v>2099</v>
      </c>
      <c r="K485" t="s">
        <v>63</v>
      </c>
      <c r="L485" t="s">
        <v>22</v>
      </c>
    </row>
    <row r="486" spans="1:12" x14ac:dyDescent="0.5">
      <c r="A486" s="2">
        <v>45917</v>
      </c>
      <c r="B486" s="3" t="s">
        <v>174</v>
      </c>
      <c r="C486" s="3" t="s">
        <v>93</v>
      </c>
      <c r="D486" s="3"/>
      <c r="E486" s="4">
        <v>200000</v>
      </c>
      <c r="F486" s="3" t="s">
        <v>41</v>
      </c>
      <c r="G486" s="3" t="s">
        <v>15</v>
      </c>
      <c r="H486" s="3" t="s">
        <v>66</v>
      </c>
      <c r="I486" s="4">
        <v>0</v>
      </c>
      <c r="J486" s="4">
        <v>200000</v>
      </c>
      <c r="K486" s="3" t="s">
        <v>67</v>
      </c>
      <c r="L486" s="3" t="s">
        <v>68</v>
      </c>
    </row>
    <row r="487" spans="1:12" x14ac:dyDescent="0.5">
      <c r="A487" s="5">
        <v>45917</v>
      </c>
      <c r="B487" t="s">
        <v>192</v>
      </c>
      <c r="C487" t="s">
        <v>186</v>
      </c>
      <c r="E487" s="6">
        <v>17025</v>
      </c>
      <c r="F487" t="s">
        <v>14</v>
      </c>
      <c r="G487" t="s">
        <v>15</v>
      </c>
      <c r="H487" t="s">
        <v>57</v>
      </c>
      <c r="I487" s="6">
        <v>2718</v>
      </c>
      <c r="J487" s="6">
        <v>14307</v>
      </c>
      <c r="K487" t="s">
        <v>58</v>
      </c>
      <c r="L487" t="s">
        <v>48</v>
      </c>
    </row>
    <row r="488" spans="1:12" x14ac:dyDescent="0.5">
      <c r="A488" s="2">
        <v>45917</v>
      </c>
      <c r="B488" s="3" t="s">
        <v>192</v>
      </c>
      <c r="C488" s="3" t="s">
        <v>199</v>
      </c>
      <c r="D488" s="3"/>
      <c r="E488" s="4">
        <v>117540</v>
      </c>
      <c r="F488" s="3" t="s">
        <v>14</v>
      </c>
      <c r="G488" s="3" t="s">
        <v>679</v>
      </c>
      <c r="H488" s="3" t="s">
        <v>16</v>
      </c>
      <c r="I488" s="4">
        <v>18767</v>
      </c>
      <c r="J488" s="4">
        <v>98773</v>
      </c>
      <c r="K488" s="3" t="s">
        <v>17</v>
      </c>
      <c r="L488" s="3" t="s">
        <v>18</v>
      </c>
    </row>
    <row r="489" spans="1:12" x14ac:dyDescent="0.5">
      <c r="A489" s="5">
        <v>45917</v>
      </c>
      <c r="B489" t="s">
        <v>192</v>
      </c>
      <c r="C489" t="s">
        <v>200</v>
      </c>
      <c r="E489" s="6">
        <v>12023</v>
      </c>
      <c r="F489" t="s">
        <v>41</v>
      </c>
      <c r="G489" t="s">
        <v>679</v>
      </c>
      <c r="H489" t="s">
        <v>62</v>
      </c>
      <c r="I489" s="6">
        <v>0</v>
      </c>
      <c r="J489" s="6">
        <v>12023</v>
      </c>
      <c r="K489" t="s">
        <v>63</v>
      </c>
      <c r="L489" t="s">
        <v>22</v>
      </c>
    </row>
    <row r="490" spans="1:12" x14ac:dyDescent="0.5">
      <c r="A490" s="2">
        <v>45917</v>
      </c>
      <c r="B490" s="3" t="s">
        <v>192</v>
      </c>
      <c r="C490" s="3" t="s">
        <v>476</v>
      </c>
      <c r="D490" s="3"/>
      <c r="E490" s="4">
        <v>9996</v>
      </c>
      <c r="F490" s="3" t="s">
        <v>14</v>
      </c>
      <c r="G490" s="3" t="s">
        <v>15</v>
      </c>
      <c r="H490" s="3" t="s">
        <v>20</v>
      </c>
      <c r="I490" s="4">
        <v>1596</v>
      </c>
      <c r="J490" s="4">
        <v>8400</v>
      </c>
      <c r="K490" s="3" t="s">
        <v>21</v>
      </c>
      <c r="L490" s="3" t="s">
        <v>22</v>
      </c>
    </row>
    <row r="491" spans="1:12" x14ac:dyDescent="0.5">
      <c r="A491" s="5">
        <v>45917</v>
      </c>
      <c r="B491" t="s">
        <v>192</v>
      </c>
      <c r="C491" t="s">
        <v>148</v>
      </c>
      <c r="E491" s="6">
        <v>4492</v>
      </c>
      <c r="F491" t="s">
        <v>41</v>
      </c>
      <c r="G491" t="s">
        <v>679</v>
      </c>
      <c r="H491" t="s">
        <v>62</v>
      </c>
      <c r="I491" s="6">
        <v>0</v>
      </c>
      <c r="J491" s="6">
        <v>4492</v>
      </c>
      <c r="K491" t="s">
        <v>63</v>
      </c>
      <c r="L491" t="s">
        <v>22</v>
      </c>
    </row>
    <row r="492" spans="1:12" x14ac:dyDescent="0.5">
      <c r="A492" s="2">
        <v>45917</v>
      </c>
      <c r="B492" s="3" t="s">
        <v>192</v>
      </c>
      <c r="C492" s="3" t="s">
        <v>148</v>
      </c>
      <c r="D492" s="3"/>
      <c r="E492" s="4">
        <v>2244</v>
      </c>
      <c r="F492" s="3" t="s">
        <v>41</v>
      </c>
      <c r="G492" s="3" t="s">
        <v>679</v>
      </c>
      <c r="H492" s="3" t="s">
        <v>62</v>
      </c>
      <c r="I492" s="4">
        <v>0</v>
      </c>
      <c r="J492" s="4">
        <v>2244</v>
      </c>
      <c r="K492" s="3" t="s">
        <v>63</v>
      </c>
      <c r="L492" s="3" t="s">
        <v>22</v>
      </c>
    </row>
    <row r="493" spans="1:12" x14ac:dyDescent="0.5">
      <c r="A493" s="5">
        <v>45922</v>
      </c>
      <c r="B493" t="s">
        <v>174</v>
      </c>
      <c r="C493" t="s">
        <v>98</v>
      </c>
      <c r="E493" s="6">
        <v>800000</v>
      </c>
      <c r="F493" t="s">
        <v>41</v>
      </c>
      <c r="G493" t="s">
        <v>15</v>
      </c>
      <c r="H493" t="s">
        <v>66</v>
      </c>
      <c r="I493" s="6">
        <v>0</v>
      </c>
      <c r="J493" s="6">
        <v>800000</v>
      </c>
      <c r="K493" t="s">
        <v>67</v>
      </c>
      <c r="L493" t="s">
        <v>68</v>
      </c>
    </row>
    <row r="494" spans="1:12" x14ac:dyDescent="0.5">
      <c r="A494" s="2">
        <v>45922</v>
      </c>
      <c r="B494" s="3" t="s">
        <v>174</v>
      </c>
      <c r="C494" s="3" t="s">
        <v>98</v>
      </c>
      <c r="D494" s="3"/>
      <c r="E494" s="4">
        <v>348837</v>
      </c>
      <c r="F494" s="3" t="s">
        <v>41</v>
      </c>
      <c r="G494" s="3" t="s">
        <v>15</v>
      </c>
      <c r="H494" s="3" t="s">
        <v>66</v>
      </c>
      <c r="I494" s="4">
        <v>0</v>
      </c>
      <c r="J494" s="4">
        <v>348837</v>
      </c>
      <c r="K494" s="3" t="s">
        <v>67</v>
      </c>
      <c r="L494" s="3" t="s">
        <v>68</v>
      </c>
    </row>
    <row r="495" spans="1:12" x14ac:dyDescent="0.5">
      <c r="A495" s="5">
        <v>45922</v>
      </c>
      <c r="B495" t="s">
        <v>192</v>
      </c>
      <c r="C495" t="s">
        <v>201</v>
      </c>
      <c r="E495" s="6">
        <v>232558</v>
      </c>
      <c r="F495" t="s">
        <v>14</v>
      </c>
      <c r="G495" t="s">
        <v>679</v>
      </c>
      <c r="H495" t="s">
        <v>33</v>
      </c>
      <c r="I495" s="6">
        <v>37131</v>
      </c>
      <c r="J495" s="6">
        <v>195427</v>
      </c>
      <c r="K495" t="s">
        <v>34</v>
      </c>
      <c r="L495" t="s">
        <v>35</v>
      </c>
    </row>
    <row r="496" spans="1:12" x14ac:dyDescent="0.5">
      <c r="A496" s="2">
        <v>45922</v>
      </c>
      <c r="B496" s="3" t="s">
        <v>192</v>
      </c>
      <c r="C496" s="3" t="s">
        <v>148</v>
      </c>
      <c r="D496" s="3"/>
      <c r="E496" s="4">
        <v>4975</v>
      </c>
      <c r="F496" s="3" t="s">
        <v>41</v>
      </c>
      <c r="G496" s="3" t="s">
        <v>679</v>
      </c>
      <c r="H496" s="3" t="s">
        <v>62</v>
      </c>
      <c r="I496" s="4">
        <v>0</v>
      </c>
      <c r="J496" s="4">
        <v>4975</v>
      </c>
      <c r="K496" s="3" t="s">
        <v>63</v>
      </c>
      <c r="L496" s="3" t="s">
        <v>22</v>
      </c>
    </row>
    <row r="497" spans="1:12" x14ac:dyDescent="0.5">
      <c r="A497" s="5">
        <v>45922</v>
      </c>
      <c r="B497" t="s">
        <v>192</v>
      </c>
      <c r="C497" t="s">
        <v>107</v>
      </c>
      <c r="E497" s="6">
        <v>3420</v>
      </c>
      <c r="F497" t="s">
        <v>41</v>
      </c>
      <c r="G497" t="s">
        <v>679</v>
      </c>
      <c r="H497" t="s">
        <v>62</v>
      </c>
      <c r="I497" s="6">
        <v>0</v>
      </c>
      <c r="J497" s="6">
        <v>3420</v>
      </c>
      <c r="K497" t="s">
        <v>63</v>
      </c>
      <c r="L497" t="s">
        <v>22</v>
      </c>
    </row>
    <row r="498" spans="1:12" x14ac:dyDescent="0.5">
      <c r="A498" s="2">
        <v>45922</v>
      </c>
      <c r="B498" s="3" t="s">
        <v>192</v>
      </c>
      <c r="C498" s="3" t="s">
        <v>107</v>
      </c>
      <c r="D498" s="3"/>
      <c r="E498" s="4">
        <v>2995</v>
      </c>
      <c r="F498" s="3" t="s">
        <v>41</v>
      </c>
      <c r="G498" s="3" t="s">
        <v>679</v>
      </c>
      <c r="H498" s="3" t="s">
        <v>62</v>
      </c>
      <c r="I498" s="4">
        <v>0</v>
      </c>
      <c r="J498" s="4">
        <v>2995</v>
      </c>
      <c r="K498" s="3" t="s">
        <v>63</v>
      </c>
      <c r="L498" s="3" t="s">
        <v>22</v>
      </c>
    </row>
    <row r="499" spans="1:12" x14ac:dyDescent="0.5">
      <c r="A499" s="5">
        <v>45923</v>
      </c>
      <c r="B499" t="s">
        <v>192</v>
      </c>
      <c r="C499" t="s">
        <v>105</v>
      </c>
      <c r="E499" s="6">
        <v>7900</v>
      </c>
      <c r="F499" t="s">
        <v>14</v>
      </c>
      <c r="G499" t="s">
        <v>679</v>
      </c>
      <c r="H499" t="s">
        <v>16</v>
      </c>
      <c r="I499" s="6">
        <v>1261</v>
      </c>
      <c r="J499" s="6">
        <v>6639</v>
      </c>
      <c r="K499" t="s">
        <v>17</v>
      </c>
      <c r="L499" t="s">
        <v>18</v>
      </c>
    </row>
    <row r="500" spans="1:12" x14ac:dyDescent="0.5">
      <c r="A500" s="2">
        <v>45923</v>
      </c>
      <c r="B500" s="3" t="s">
        <v>192</v>
      </c>
      <c r="C500" s="3" t="s">
        <v>107</v>
      </c>
      <c r="D500" s="3"/>
      <c r="E500" s="4">
        <v>2753</v>
      </c>
      <c r="F500" s="3" t="s">
        <v>41</v>
      </c>
      <c r="G500" s="3" t="s">
        <v>679</v>
      </c>
      <c r="H500" s="3" t="s">
        <v>62</v>
      </c>
      <c r="I500" s="4">
        <v>0</v>
      </c>
      <c r="J500" s="4">
        <v>2753</v>
      </c>
      <c r="K500" s="3" t="s">
        <v>63</v>
      </c>
      <c r="L500" s="3" t="s">
        <v>22</v>
      </c>
    </row>
    <row r="501" spans="1:12" x14ac:dyDescent="0.5">
      <c r="A501" s="5">
        <v>45923</v>
      </c>
      <c r="B501" t="s">
        <v>174</v>
      </c>
      <c r="C501" t="s">
        <v>40</v>
      </c>
      <c r="E501" s="6">
        <v>1746277</v>
      </c>
      <c r="F501" t="s">
        <v>41</v>
      </c>
      <c r="G501" t="s">
        <v>15</v>
      </c>
      <c r="H501" t="s">
        <v>42</v>
      </c>
      <c r="I501" s="6">
        <v>0</v>
      </c>
      <c r="J501" s="6">
        <v>1746277</v>
      </c>
      <c r="K501" t="s">
        <v>43</v>
      </c>
      <c r="L501" t="s">
        <v>44</v>
      </c>
    </row>
    <row r="502" spans="1:12" x14ac:dyDescent="0.5">
      <c r="A502" s="2">
        <v>45924</v>
      </c>
      <c r="B502" s="3" t="s">
        <v>192</v>
      </c>
      <c r="C502" s="3" t="s">
        <v>202</v>
      </c>
      <c r="D502" s="3"/>
      <c r="E502" s="4">
        <v>55336</v>
      </c>
      <c r="F502" s="3" t="s">
        <v>14</v>
      </c>
      <c r="G502" s="3" t="s">
        <v>679</v>
      </c>
      <c r="H502" s="3" t="s">
        <v>33</v>
      </c>
      <c r="I502" s="4">
        <v>8835</v>
      </c>
      <c r="J502" s="4">
        <v>46501</v>
      </c>
      <c r="K502" s="3" t="s">
        <v>34</v>
      </c>
      <c r="L502" s="3" t="s">
        <v>35</v>
      </c>
    </row>
    <row r="503" spans="1:12" x14ac:dyDescent="0.5">
      <c r="A503" s="5">
        <v>45924</v>
      </c>
      <c r="B503" t="s">
        <v>192</v>
      </c>
      <c r="C503" t="s">
        <v>107</v>
      </c>
      <c r="E503" s="6">
        <v>2231</v>
      </c>
      <c r="F503" t="s">
        <v>41</v>
      </c>
      <c r="G503" t="s">
        <v>679</v>
      </c>
      <c r="H503" t="s">
        <v>62</v>
      </c>
      <c r="I503" s="6">
        <v>0</v>
      </c>
      <c r="J503" s="6">
        <v>2231</v>
      </c>
      <c r="K503" t="s">
        <v>63</v>
      </c>
      <c r="L503" t="s">
        <v>22</v>
      </c>
    </row>
    <row r="504" spans="1:12" x14ac:dyDescent="0.5">
      <c r="A504" s="2">
        <v>45925</v>
      </c>
      <c r="B504" s="3" t="s">
        <v>174</v>
      </c>
      <c r="C504" s="3" t="s">
        <v>91</v>
      </c>
      <c r="D504" s="3"/>
      <c r="E504" s="4">
        <v>152736</v>
      </c>
      <c r="F504" s="3" t="s">
        <v>41</v>
      </c>
      <c r="G504" s="3" t="s">
        <v>15</v>
      </c>
      <c r="H504" s="3" t="s">
        <v>66</v>
      </c>
      <c r="I504" s="4">
        <v>0</v>
      </c>
      <c r="J504" s="4">
        <v>152736</v>
      </c>
      <c r="K504" s="3" t="s">
        <v>67</v>
      </c>
      <c r="L504" s="3" t="s">
        <v>68</v>
      </c>
    </row>
    <row r="505" spans="1:12" x14ac:dyDescent="0.5">
      <c r="A505" s="5">
        <v>45926</v>
      </c>
      <c r="B505" t="s">
        <v>192</v>
      </c>
      <c r="C505" t="s">
        <v>87</v>
      </c>
      <c r="E505" s="6">
        <v>19483</v>
      </c>
      <c r="F505" t="s">
        <v>14</v>
      </c>
      <c r="G505" t="s">
        <v>15</v>
      </c>
      <c r="H505" t="s">
        <v>46</v>
      </c>
      <c r="I505" s="6">
        <v>3111</v>
      </c>
      <c r="J505" s="6">
        <v>16372</v>
      </c>
      <c r="K505" t="s">
        <v>47</v>
      </c>
      <c r="L505" t="s">
        <v>48</v>
      </c>
    </row>
    <row r="506" spans="1:12" x14ac:dyDescent="0.5">
      <c r="A506" s="2">
        <v>45926</v>
      </c>
      <c r="B506" s="3" t="s">
        <v>192</v>
      </c>
      <c r="C506" s="3" t="s">
        <v>87</v>
      </c>
      <c r="D506" s="3"/>
      <c r="E506" s="4">
        <v>19</v>
      </c>
      <c r="F506" s="3" t="s">
        <v>14</v>
      </c>
      <c r="G506" s="3" t="s">
        <v>15</v>
      </c>
      <c r="H506" s="3" t="s">
        <v>46</v>
      </c>
      <c r="I506" s="4">
        <v>3</v>
      </c>
      <c r="J506" s="4">
        <v>16</v>
      </c>
      <c r="K506" s="3" t="s">
        <v>47</v>
      </c>
      <c r="L506" s="3" t="s">
        <v>48</v>
      </c>
    </row>
    <row r="507" spans="1:12" x14ac:dyDescent="0.5">
      <c r="A507" s="5">
        <v>45926</v>
      </c>
      <c r="B507" t="s">
        <v>192</v>
      </c>
      <c r="C507" t="s">
        <v>107</v>
      </c>
      <c r="E507" s="6">
        <v>5231</v>
      </c>
      <c r="F507" t="s">
        <v>41</v>
      </c>
      <c r="G507" t="s">
        <v>679</v>
      </c>
      <c r="H507" t="s">
        <v>62</v>
      </c>
      <c r="I507" s="6">
        <v>0</v>
      </c>
      <c r="J507" s="6">
        <v>5231</v>
      </c>
      <c r="K507" t="s">
        <v>63</v>
      </c>
      <c r="L507" t="s">
        <v>22</v>
      </c>
    </row>
    <row r="508" spans="1:12" x14ac:dyDescent="0.5">
      <c r="A508" s="2">
        <v>45926</v>
      </c>
      <c r="B508" s="3" t="s">
        <v>192</v>
      </c>
      <c r="C508" s="3" t="s">
        <v>187</v>
      </c>
      <c r="D508" s="3"/>
      <c r="E508" s="4">
        <v>4492</v>
      </c>
      <c r="F508" s="3" t="s">
        <v>14</v>
      </c>
      <c r="G508" s="3" t="s">
        <v>15</v>
      </c>
      <c r="H508" s="3" t="s">
        <v>109</v>
      </c>
      <c r="I508" s="4">
        <v>717</v>
      </c>
      <c r="J508" s="4">
        <v>3775</v>
      </c>
      <c r="K508" s="3" t="s">
        <v>110</v>
      </c>
      <c r="L508" s="3" t="s">
        <v>30</v>
      </c>
    </row>
    <row r="509" spans="1:12" x14ac:dyDescent="0.5">
      <c r="A509" s="5">
        <v>45929</v>
      </c>
      <c r="B509" t="s">
        <v>192</v>
      </c>
      <c r="C509" t="s">
        <v>190</v>
      </c>
      <c r="E509" s="6">
        <v>15900</v>
      </c>
      <c r="F509" t="s">
        <v>14</v>
      </c>
      <c r="G509" t="s">
        <v>679</v>
      </c>
      <c r="H509" t="s">
        <v>46</v>
      </c>
      <c r="I509" s="6">
        <v>2539</v>
      </c>
      <c r="J509" s="6">
        <v>13361</v>
      </c>
      <c r="K509" t="s">
        <v>47</v>
      </c>
      <c r="L509" t="s">
        <v>48</v>
      </c>
    </row>
    <row r="510" spans="1:12" x14ac:dyDescent="0.5">
      <c r="A510" s="2">
        <v>45929</v>
      </c>
      <c r="B510" s="3" t="s">
        <v>192</v>
      </c>
      <c r="C510" s="3" t="s">
        <v>124</v>
      </c>
      <c r="D510" s="3"/>
      <c r="E510" s="4">
        <v>23363</v>
      </c>
      <c r="F510" s="3" t="s">
        <v>14</v>
      </c>
      <c r="G510" s="3" t="s">
        <v>679</v>
      </c>
      <c r="H510" s="3" t="s">
        <v>16</v>
      </c>
      <c r="I510" s="4">
        <v>3730</v>
      </c>
      <c r="J510" s="4">
        <v>19633</v>
      </c>
      <c r="K510" s="3" t="s">
        <v>17</v>
      </c>
      <c r="L510" s="3" t="s">
        <v>18</v>
      </c>
    </row>
    <row r="511" spans="1:12" x14ac:dyDescent="0.5">
      <c r="A511" s="5">
        <v>45930</v>
      </c>
      <c r="B511" t="s">
        <v>192</v>
      </c>
      <c r="C511" t="s">
        <v>190</v>
      </c>
      <c r="E511" s="6">
        <v>10880</v>
      </c>
      <c r="F511" t="s">
        <v>14</v>
      </c>
      <c r="G511" t="s">
        <v>679</v>
      </c>
      <c r="H511" t="s">
        <v>46</v>
      </c>
      <c r="I511" s="6">
        <v>1737</v>
      </c>
      <c r="J511" s="6">
        <v>9143</v>
      </c>
      <c r="K511" t="s">
        <v>47</v>
      </c>
      <c r="L511" t="s">
        <v>48</v>
      </c>
    </row>
    <row r="512" spans="1:12" x14ac:dyDescent="0.5">
      <c r="A512" s="2">
        <v>45930</v>
      </c>
      <c r="B512" s="3" t="s">
        <v>192</v>
      </c>
      <c r="C512" s="3" t="s">
        <v>148</v>
      </c>
      <c r="D512" s="3"/>
      <c r="E512" s="4">
        <v>6133</v>
      </c>
      <c r="F512" s="3" t="s">
        <v>41</v>
      </c>
      <c r="G512" s="3" t="s">
        <v>679</v>
      </c>
      <c r="H512" s="3" t="s">
        <v>62</v>
      </c>
      <c r="I512" s="4">
        <v>0</v>
      </c>
      <c r="J512" s="4">
        <v>6133</v>
      </c>
      <c r="K512" s="3" t="s">
        <v>63</v>
      </c>
      <c r="L512" s="3" t="s">
        <v>22</v>
      </c>
    </row>
    <row r="513" spans="1:12" x14ac:dyDescent="0.5">
      <c r="A513" s="5">
        <v>45931</v>
      </c>
      <c r="B513" t="s">
        <v>203</v>
      </c>
      <c r="C513" t="s">
        <v>78</v>
      </c>
      <c r="E513" s="6">
        <v>410581</v>
      </c>
      <c r="F513" t="s">
        <v>14</v>
      </c>
      <c r="G513" t="s">
        <v>15</v>
      </c>
      <c r="H513" t="s">
        <v>24</v>
      </c>
      <c r="I513" s="6">
        <v>65555</v>
      </c>
      <c r="J513" s="6">
        <v>345026</v>
      </c>
      <c r="K513" t="s">
        <v>25</v>
      </c>
      <c r="L513" t="s">
        <v>26</v>
      </c>
    </row>
    <row r="514" spans="1:12" x14ac:dyDescent="0.5">
      <c r="A514" s="2">
        <v>45931</v>
      </c>
      <c r="B514" s="3" t="s">
        <v>192</v>
      </c>
      <c r="C514" s="3" t="s">
        <v>482</v>
      </c>
      <c r="D514" s="3"/>
      <c r="E514" s="4">
        <v>157510</v>
      </c>
      <c r="F514" s="3" t="s">
        <v>41</v>
      </c>
      <c r="G514" s="3" t="s">
        <v>15</v>
      </c>
      <c r="H514" s="3" t="s">
        <v>66</v>
      </c>
      <c r="I514" s="4">
        <v>0</v>
      </c>
      <c r="J514" s="4">
        <v>157510</v>
      </c>
      <c r="K514" s="3" t="s">
        <v>67</v>
      </c>
      <c r="L514" s="3" t="s">
        <v>68</v>
      </c>
    </row>
    <row r="515" spans="1:12" x14ac:dyDescent="0.5">
      <c r="A515" s="5">
        <v>45931</v>
      </c>
      <c r="B515" t="s">
        <v>203</v>
      </c>
      <c r="C515" t="s">
        <v>117</v>
      </c>
      <c r="E515" s="6">
        <v>136266</v>
      </c>
      <c r="F515" t="s">
        <v>14</v>
      </c>
      <c r="G515" t="s">
        <v>679</v>
      </c>
      <c r="H515" t="s">
        <v>16</v>
      </c>
      <c r="I515" s="6">
        <v>21757</v>
      </c>
      <c r="J515" s="6">
        <v>114509</v>
      </c>
      <c r="K515" t="s">
        <v>17</v>
      </c>
      <c r="L515" t="s">
        <v>18</v>
      </c>
    </row>
    <row r="516" spans="1:12" x14ac:dyDescent="0.5">
      <c r="A516" s="2">
        <v>45931</v>
      </c>
      <c r="B516" s="3" t="s">
        <v>203</v>
      </c>
      <c r="C516" s="3" t="s">
        <v>116</v>
      </c>
      <c r="D516" s="3"/>
      <c r="E516" s="4">
        <v>99283</v>
      </c>
      <c r="F516" s="3" t="s">
        <v>14</v>
      </c>
      <c r="G516" s="3" t="s">
        <v>679</v>
      </c>
      <c r="H516" s="3" t="s">
        <v>16</v>
      </c>
      <c r="I516" s="4">
        <v>15852</v>
      </c>
      <c r="J516" s="4">
        <v>83431</v>
      </c>
      <c r="K516" s="3" t="s">
        <v>17</v>
      </c>
      <c r="L516" s="3" t="s">
        <v>18</v>
      </c>
    </row>
    <row r="517" spans="1:12" x14ac:dyDescent="0.5">
      <c r="A517" s="5">
        <v>45931</v>
      </c>
      <c r="B517" t="s">
        <v>203</v>
      </c>
      <c r="C517" t="s">
        <v>204</v>
      </c>
      <c r="E517" s="6">
        <v>3883</v>
      </c>
      <c r="F517" t="s">
        <v>41</v>
      </c>
      <c r="G517" t="s">
        <v>679</v>
      </c>
      <c r="H517" t="s">
        <v>62</v>
      </c>
      <c r="I517" s="6">
        <v>0</v>
      </c>
      <c r="J517" s="6">
        <v>3883</v>
      </c>
      <c r="K517" t="s">
        <v>63</v>
      </c>
      <c r="L517" t="s">
        <v>22</v>
      </c>
    </row>
    <row r="518" spans="1:12" x14ac:dyDescent="0.5">
      <c r="A518" s="2">
        <v>45931</v>
      </c>
      <c r="B518" s="3" t="s">
        <v>203</v>
      </c>
      <c r="C518" s="3" t="s">
        <v>148</v>
      </c>
      <c r="D518" s="3"/>
      <c r="E518" s="4">
        <v>1997</v>
      </c>
      <c r="F518" s="3" t="s">
        <v>41</v>
      </c>
      <c r="G518" s="3" t="s">
        <v>679</v>
      </c>
      <c r="H518" s="3" t="s">
        <v>62</v>
      </c>
      <c r="I518" s="4">
        <v>0</v>
      </c>
      <c r="J518" s="4">
        <v>1997</v>
      </c>
      <c r="K518" s="3" t="s">
        <v>63</v>
      </c>
      <c r="L518" s="3" t="s">
        <v>22</v>
      </c>
    </row>
    <row r="519" spans="1:12" x14ac:dyDescent="0.5">
      <c r="A519" s="5">
        <v>45931</v>
      </c>
      <c r="B519" t="s">
        <v>203</v>
      </c>
      <c r="C519" t="s">
        <v>148</v>
      </c>
      <c r="E519" s="6">
        <v>1899</v>
      </c>
      <c r="F519" t="s">
        <v>41</v>
      </c>
      <c r="G519" t="s">
        <v>679</v>
      </c>
      <c r="H519" t="s">
        <v>62</v>
      </c>
      <c r="I519" s="6">
        <v>0</v>
      </c>
      <c r="J519" s="6">
        <v>1899</v>
      </c>
      <c r="K519" t="s">
        <v>63</v>
      </c>
      <c r="L519" t="s">
        <v>22</v>
      </c>
    </row>
    <row r="520" spans="1:12" x14ac:dyDescent="0.5">
      <c r="A520" s="2">
        <v>45932</v>
      </c>
      <c r="B520" s="3" t="s">
        <v>203</v>
      </c>
      <c r="C520" s="3" t="s">
        <v>124</v>
      </c>
      <c r="D520" s="3"/>
      <c r="E520" s="4">
        <v>19669</v>
      </c>
      <c r="F520" s="3" t="s">
        <v>14</v>
      </c>
      <c r="G520" s="3" t="s">
        <v>679</v>
      </c>
      <c r="H520" s="3" t="s">
        <v>16</v>
      </c>
      <c r="I520" s="4">
        <v>3140</v>
      </c>
      <c r="J520" s="4">
        <v>16529</v>
      </c>
      <c r="K520" s="3" t="s">
        <v>17</v>
      </c>
      <c r="L520" s="3" t="s">
        <v>18</v>
      </c>
    </row>
    <row r="521" spans="1:12" x14ac:dyDescent="0.5">
      <c r="A521" s="5">
        <v>45932</v>
      </c>
      <c r="B521" t="s">
        <v>203</v>
      </c>
      <c r="C521" t="s">
        <v>205</v>
      </c>
      <c r="E521" s="6">
        <v>221017</v>
      </c>
      <c r="F521" t="s">
        <v>14</v>
      </c>
      <c r="G521" t="s">
        <v>679</v>
      </c>
      <c r="H521" t="s">
        <v>33</v>
      </c>
      <c r="I521" s="6">
        <v>35288</v>
      </c>
      <c r="J521" s="6">
        <v>185729</v>
      </c>
      <c r="K521" t="s">
        <v>34</v>
      </c>
      <c r="L521" t="s">
        <v>35</v>
      </c>
    </row>
    <row r="522" spans="1:12" x14ac:dyDescent="0.5">
      <c r="A522" s="2">
        <v>45932</v>
      </c>
      <c r="B522" s="3" t="s">
        <v>203</v>
      </c>
      <c r="C522" s="3" t="s">
        <v>148</v>
      </c>
      <c r="D522" s="3"/>
      <c r="E522" s="4">
        <v>13595</v>
      </c>
      <c r="F522" s="3" t="s">
        <v>41</v>
      </c>
      <c r="G522" s="3" t="s">
        <v>679</v>
      </c>
      <c r="H522" s="3" t="s">
        <v>62</v>
      </c>
      <c r="I522" s="4">
        <v>0</v>
      </c>
      <c r="J522" s="4">
        <v>13595</v>
      </c>
      <c r="K522" s="3" t="s">
        <v>63</v>
      </c>
      <c r="L522" s="3" t="s">
        <v>22</v>
      </c>
    </row>
    <row r="523" spans="1:12" x14ac:dyDescent="0.5">
      <c r="A523" s="5">
        <v>45932</v>
      </c>
      <c r="B523" t="s">
        <v>203</v>
      </c>
      <c r="C523" t="s">
        <v>148</v>
      </c>
      <c r="E523" s="6">
        <v>2197</v>
      </c>
      <c r="F523" t="s">
        <v>41</v>
      </c>
      <c r="G523" t="s">
        <v>679</v>
      </c>
      <c r="H523" t="s">
        <v>62</v>
      </c>
      <c r="I523" s="6">
        <v>0</v>
      </c>
      <c r="J523" s="6">
        <v>2197</v>
      </c>
      <c r="K523" t="s">
        <v>63</v>
      </c>
      <c r="L523" t="s">
        <v>22</v>
      </c>
    </row>
    <row r="524" spans="1:12" x14ac:dyDescent="0.5">
      <c r="A524" s="2">
        <v>45932</v>
      </c>
      <c r="B524" s="3" t="s">
        <v>203</v>
      </c>
      <c r="C524" s="3" t="s">
        <v>133</v>
      </c>
      <c r="D524" s="3"/>
      <c r="E524" s="4">
        <v>7847</v>
      </c>
      <c r="F524" s="3" t="s">
        <v>41</v>
      </c>
      <c r="G524" s="3" t="s">
        <v>15</v>
      </c>
      <c r="H524" s="3" t="s">
        <v>134</v>
      </c>
      <c r="I524" s="4">
        <v>0</v>
      </c>
      <c r="J524" s="4">
        <v>7847</v>
      </c>
      <c r="K524" s="3" t="s">
        <v>135</v>
      </c>
      <c r="L524" s="3" t="s">
        <v>44</v>
      </c>
    </row>
    <row r="525" spans="1:12" x14ac:dyDescent="0.5">
      <c r="A525" s="5">
        <v>45932</v>
      </c>
      <c r="B525" t="s">
        <v>203</v>
      </c>
      <c r="C525" t="s">
        <v>136</v>
      </c>
      <c r="E525" s="6">
        <v>335</v>
      </c>
      <c r="F525" t="s">
        <v>41</v>
      </c>
      <c r="G525" t="s">
        <v>15</v>
      </c>
      <c r="H525" t="s">
        <v>134</v>
      </c>
      <c r="I525" s="6">
        <v>0</v>
      </c>
      <c r="J525" s="6">
        <v>335</v>
      </c>
      <c r="K525" t="s">
        <v>135</v>
      </c>
      <c r="L525" t="s">
        <v>44</v>
      </c>
    </row>
    <row r="526" spans="1:12" x14ac:dyDescent="0.5">
      <c r="A526" s="2">
        <v>45933</v>
      </c>
      <c r="B526" s="3" t="s">
        <v>203</v>
      </c>
      <c r="C526" s="3" t="s">
        <v>206</v>
      </c>
      <c r="D526" s="3"/>
      <c r="E526" s="4">
        <v>10391</v>
      </c>
      <c r="F526" s="3" t="s">
        <v>14</v>
      </c>
      <c r="G526" s="3" t="s">
        <v>679</v>
      </c>
      <c r="H526" s="3" t="s">
        <v>24</v>
      </c>
      <c r="I526" s="4">
        <v>1659</v>
      </c>
      <c r="J526" s="4">
        <v>8732</v>
      </c>
      <c r="K526" s="3" t="s">
        <v>25</v>
      </c>
      <c r="L526" s="3" t="s">
        <v>26</v>
      </c>
    </row>
    <row r="527" spans="1:12" x14ac:dyDescent="0.5">
      <c r="A527" s="5">
        <v>45933</v>
      </c>
      <c r="B527" t="s">
        <v>203</v>
      </c>
      <c r="C527" t="s">
        <v>194</v>
      </c>
      <c r="E527" s="6">
        <v>19659</v>
      </c>
      <c r="F527" t="s">
        <v>14</v>
      </c>
      <c r="G527" t="s">
        <v>679</v>
      </c>
      <c r="H527" t="s">
        <v>16</v>
      </c>
      <c r="I527" s="6">
        <v>3139</v>
      </c>
      <c r="J527" s="6">
        <v>16520</v>
      </c>
      <c r="K527" t="s">
        <v>17</v>
      </c>
      <c r="L527" t="s">
        <v>18</v>
      </c>
    </row>
    <row r="528" spans="1:12" x14ac:dyDescent="0.5">
      <c r="A528" s="2">
        <v>45933</v>
      </c>
      <c r="B528" s="3" t="s">
        <v>203</v>
      </c>
      <c r="C528" s="3" t="s">
        <v>148</v>
      </c>
      <c r="D528" s="3"/>
      <c r="E528" s="4">
        <v>13730</v>
      </c>
      <c r="F528" s="3" t="s">
        <v>41</v>
      </c>
      <c r="G528" s="3" t="s">
        <v>679</v>
      </c>
      <c r="H528" s="3" t="s">
        <v>62</v>
      </c>
      <c r="I528" s="4">
        <v>0</v>
      </c>
      <c r="J528" s="4">
        <v>13730</v>
      </c>
      <c r="K528" s="3" t="s">
        <v>63</v>
      </c>
      <c r="L528" s="3" t="s">
        <v>22</v>
      </c>
    </row>
    <row r="529" spans="1:12" x14ac:dyDescent="0.5">
      <c r="A529" s="5">
        <v>45933</v>
      </c>
      <c r="B529" t="s">
        <v>203</v>
      </c>
      <c r="C529" t="s">
        <v>107</v>
      </c>
      <c r="E529" s="6">
        <v>12348</v>
      </c>
      <c r="F529" t="s">
        <v>41</v>
      </c>
      <c r="G529" t="s">
        <v>679</v>
      </c>
      <c r="H529" t="s">
        <v>62</v>
      </c>
      <c r="I529" s="6">
        <v>0</v>
      </c>
      <c r="J529" s="6">
        <v>12348</v>
      </c>
      <c r="K529" t="s">
        <v>63</v>
      </c>
      <c r="L529" t="s">
        <v>22</v>
      </c>
    </row>
    <row r="530" spans="1:12" x14ac:dyDescent="0.5">
      <c r="A530" s="2">
        <v>45933</v>
      </c>
      <c r="B530" s="3" t="s">
        <v>203</v>
      </c>
      <c r="C530" s="3" t="s">
        <v>107</v>
      </c>
      <c r="D530" s="3"/>
      <c r="E530" s="4">
        <v>7477</v>
      </c>
      <c r="F530" s="3" t="s">
        <v>41</v>
      </c>
      <c r="G530" s="3" t="s">
        <v>679</v>
      </c>
      <c r="H530" s="3" t="s">
        <v>62</v>
      </c>
      <c r="I530" s="4">
        <v>0</v>
      </c>
      <c r="J530" s="4">
        <v>7477</v>
      </c>
      <c r="K530" s="3" t="s">
        <v>63</v>
      </c>
      <c r="L530" s="3" t="s">
        <v>22</v>
      </c>
    </row>
    <row r="531" spans="1:12" x14ac:dyDescent="0.5">
      <c r="A531" s="5">
        <v>45933</v>
      </c>
      <c r="B531" t="s">
        <v>203</v>
      </c>
      <c r="C531" t="s">
        <v>107</v>
      </c>
      <c r="E531" s="6">
        <v>4766</v>
      </c>
      <c r="F531" t="s">
        <v>41</v>
      </c>
      <c r="G531" t="s">
        <v>679</v>
      </c>
      <c r="H531" t="s">
        <v>62</v>
      </c>
      <c r="I531" s="6">
        <v>0</v>
      </c>
      <c r="J531" s="6">
        <v>4766</v>
      </c>
      <c r="K531" t="s">
        <v>63</v>
      </c>
      <c r="L531" t="s">
        <v>22</v>
      </c>
    </row>
    <row r="532" spans="1:12" x14ac:dyDescent="0.5">
      <c r="A532" s="2">
        <v>45936</v>
      </c>
      <c r="B532" s="3" t="s">
        <v>192</v>
      </c>
      <c r="C532" s="3" t="s">
        <v>483</v>
      </c>
      <c r="D532" s="3"/>
      <c r="E532" s="4">
        <v>95200</v>
      </c>
      <c r="F532" s="3" t="s">
        <v>41</v>
      </c>
      <c r="G532" s="3" t="s">
        <v>15</v>
      </c>
      <c r="H532" s="3" t="s">
        <v>66</v>
      </c>
      <c r="I532" s="4">
        <v>0</v>
      </c>
      <c r="J532" s="4">
        <v>95200</v>
      </c>
      <c r="K532" s="3" t="s">
        <v>67</v>
      </c>
      <c r="L532" s="3" t="s">
        <v>68</v>
      </c>
    </row>
    <row r="533" spans="1:12" x14ac:dyDescent="0.5">
      <c r="A533" s="5">
        <v>45936</v>
      </c>
      <c r="B533" t="s">
        <v>203</v>
      </c>
      <c r="C533" t="s">
        <v>107</v>
      </c>
      <c r="E533" s="6">
        <v>4311</v>
      </c>
      <c r="F533" t="s">
        <v>41</v>
      </c>
      <c r="G533" t="s">
        <v>679</v>
      </c>
      <c r="H533" t="s">
        <v>62</v>
      </c>
      <c r="I533" s="6">
        <v>0</v>
      </c>
      <c r="J533" s="6">
        <v>4311</v>
      </c>
      <c r="K533" t="s">
        <v>63</v>
      </c>
      <c r="L533" t="s">
        <v>22</v>
      </c>
    </row>
    <row r="534" spans="1:12" x14ac:dyDescent="0.5">
      <c r="A534" s="2">
        <v>45938</v>
      </c>
      <c r="B534" s="3" t="s">
        <v>203</v>
      </c>
      <c r="C534" s="3" t="s">
        <v>148</v>
      </c>
      <c r="D534" s="3"/>
      <c r="E534" s="4">
        <v>3036</v>
      </c>
      <c r="F534" s="3" t="s">
        <v>41</v>
      </c>
      <c r="G534" s="3" t="s">
        <v>679</v>
      </c>
      <c r="H534" s="3" t="s">
        <v>62</v>
      </c>
      <c r="I534" s="4">
        <v>0</v>
      </c>
      <c r="J534" s="4">
        <v>3036</v>
      </c>
      <c r="K534" s="3" t="s">
        <v>63</v>
      </c>
      <c r="L534" s="3" t="s">
        <v>22</v>
      </c>
    </row>
    <row r="535" spans="1:12" x14ac:dyDescent="0.5">
      <c r="A535" s="5">
        <v>45938</v>
      </c>
      <c r="B535" t="s">
        <v>203</v>
      </c>
      <c r="C535" t="s">
        <v>107</v>
      </c>
      <c r="E535" s="6">
        <v>2977</v>
      </c>
      <c r="F535" t="s">
        <v>41</v>
      </c>
      <c r="G535" t="s">
        <v>679</v>
      </c>
      <c r="H535" t="s">
        <v>62</v>
      </c>
      <c r="I535" s="6">
        <v>0</v>
      </c>
      <c r="J535" s="6">
        <v>2977</v>
      </c>
      <c r="K535" t="s">
        <v>63</v>
      </c>
      <c r="L535" t="s">
        <v>22</v>
      </c>
    </row>
    <row r="536" spans="1:12" x14ac:dyDescent="0.5">
      <c r="A536" s="2">
        <v>45938</v>
      </c>
      <c r="B536" s="3" t="s">
        <v>203</v>
      </c>
      <c r="C536" s="3" t="s">
        <v>107</v>
      </c>
      <c r="D536" s="3"/>
      <c r="E536" s="4">
        <v>2578</v>
      </c>
      <c r="F536" s="3" t="s">
        <v>41</v>
      </c>
      <c r="G536" s="3" t="s">
        <v>679</v>
      </c>
      <c r="H536" s="3" t="s">
        <v>62</v>
      </c>
      <c r="I536" s="4">
        <v>0</v>
      </c>
      <c r="J536" s="4">
        <v>2578</v>
      </c>
      <c r="K536" s="3" t="s">
        <v>63</v>
      </c>
      <c r="L536" s="3" t="s">
        <v>22</v>
      </c>
    </row>
    <row r="537" spans="1:12" x14ac:dyDescent="0.5">
      <c r="A537" s="5">
        <v>45939</v>
      </c>
      <c r="B537" t="s">
        <v>192</v>
      </c>
      <c r="C537" t="s">
        <v>65</v>
      </c>
      <c r="E537" s="6">
        <v>1390869</v>
      </c>
      <c r="F537" t="s">
        <v>41</v>
      </c>
      <c r="G537" t="s">
        <v>15</v>
      </c>
      <c r="H537" t="s">
        <v>66</v>
      </c>
      <c r="I537" s="6">
        <v>0</v>
      </c>
      <c r="J537" s="6">
        <v>1390869</v>
      </c>
      <c r="K537" t="s">
        <v>67</v>
      </c>
      <c r="L537" t="s">
        <v>68</v>
      </c>
    </row>
    <row r="538" spans="1:12" x14ac:dyDescent="0.5">
      <c r="A538" s="2">
        <v>45939</v>
      </c>
      <c r="B538" s="3" t="s">
        <v>203</v>
      </c>
      <c r="C538" s="3" t="s">
        <v>107</v>
      </c>
      <c r="D538" s="3"/>
      <c r="E538" s="4">
        <v>2578</v>
      </c>
      <c r="F538" s="3" t="s">
        <v>41</v>
      </c>
      <c r="G538" s="3" t="s">
        <v>679</v>
      </c>
      <c r="H538" s="3" t="s">
        <v>62</v>
      </c>
      <c r="I538" s="4">
        <v>0</v>
      </c>
      <c r="J538" s="4">
        <v>2578</v>
      </c>
      <c r="K538" s="3" t="s">
        <v>63</v>
      </c>
      <c r="L538" s="3" t="s">
        <v>22</v>
      </c>
    </row>
    <row r="539" spans="1:12" x14ac:dyDescent="0.5">
      <c r="A539" s="5">
        <v>45939</v>
      </c>
      <c r="B539" t="s">
        <v>203</v>
      </c>
      <c r="C539" t="s">
        <v>207</v>
      </c>
      <c r="E539" s="6">
        <v>10644</v>
      </c>
      <c r="F539" t="s">
        <v>14</v>
      </c>
      <c r="G539" t="s">
        <v>679</v>
      </c>
      <c r="H539" t="s">
        <v>109</v>
      </c>
      <c r="I539" s="6">
        <v>1699</v>
      </c>
      <c r="J539" s="6">
        <v>8945</v>
      </c>
      <c r="K539" t="s">
        <v>110</v>
      </c>
      <c r="L539" t="s">
        <v>30</v>
      </c>
    </row>
    <row r="540" spans="1:12" x14ac:dyDescent="0.5">
      <c r="A540" s="2">
        <v>45940</v>
      </c>
      <c r="B540" s="3" t="s">
        <v>203</v>
      </c>
      <c r="C540" s="3" t="s">
        <v>208</v>
      </c>
      <c r="D540" s="3"/>
      <c r="E540" s="4">
        <v>248104</v>
      </c>
      <c r="F540" s="3" t="s">
        <v>14</v>
      </c>
      <c r="G540" s="3" t="s">
        <v>679</v>
      </c>
      <c r="H540" s="3" t="s">
        <v>33</v>
      </c>
      <c r="I540" s="4">
        <v>39613</v>
      </c>
      <c r="J540" s="4">
        <v>208491</v>
      </c>
      <c r="K540" s="3" t="s">
        <v>34</v>
      </c>
      <c r="L540" s="3" t="s">
        <v>35</v>
      </c>
    </row>
    <row r="541" spans="1:12" x14ac:dyDescent="0.5">
      <c r="A541" s="5">
        <v>45943</v>
      </c>
      <c r="B541" t="s">
        <v>203</v>
      </c>
      <c r="C541" t="s">
        <v>453</v>
      </c>
      <c r="E541" s="6">
        <v>113140</v>
      </c>
      <c r="F541" t="s">
        <v>14</v>
      </c>
      <c r="G541" t="s">
        <v>15</v>
      </c>
      <c r="H541" t="s">
        <v>293</v>
      </c>
      <c r="I541" s="6">
        <v>18064</v>
      </c>
      <c r="J541" s="6">
        <v>95076</v>
      </c>
      <c r="K541" t="s">
        <v>294</v>
      </c>
      <c r="L541" t="s">
        <v>26</v>
      </c>
    </row>
    <row r="542" spans="1:12" x14ac:dyDescent="0.5">
      <c r="A542" s="2">
        <v>45943</v>
      </c>
      <c r="B542" s="3" t="s">
        <v>203</v>
      </c>
      <c r="C542" s="3" t="s">
        <v>114</v>
      </c>
      <c r="D542" s="3"/>
      <c r="E542" s="4">
        <v>129187</v>
      </c>
      <c r="F542" s="3" t="s">
        <v>14</v>
      </c>
      <c r="G542" s="3" t="s">
        <v>679</v>
      </c>
      <c r="H542" s="3" t="s">
        <v>16</v>
      </c>
      <c r="I542" s="4">
        <v>20626</v>
      </c>
      <c r="J542" s="4">
        <v>108561</v>
      </c>
      <c r="K542" s="3" t="s">
        <v>17</v>
      </c>
      <c r="L542" s="3" t="s">
        <v>18</v>
      </c>
    </row>
    <row r="543" spans="1:12" x14ac:dyDescent="0.5">
      <c r="A543" s="5">
        <v>45943</v>
      </c>
      <c r="B543" t="s">
        <v>203</v>
      </c>
      <c r="C543" t="s">
        <v>209</v>
      </c>
      <c r="E543" s="6">
        <v>149960</v>
      </c>
      <c r="F543" t="s">
        <v>14</v>
      </c>
      <c r="G543" t="s">
        <v>679</v>
      </c>
      <c r="H543" t="s">
        <v>33</v>
      </c>
      <c r="I543" s="6">
        <v>23943</v>
      </c>
      <c r="J543" s="6">
        <v>126017</v>
      </c>
      <c r="K543" t="s">
        <v>34</v>
      </c>
      <c r="L543" t="s">
        <v>35</v>
      </c>
    </row>
    <row r="544" spans="1:12" x14ac:dyDescent="0.5">
      <c r="A544" s="2">
        <v>45943</v>
      </c>
      <c r="B544" s="3" t="s">
        <v>203</v>
      </c>
      <c r="C544" s="3" t="s">
        <v>126</v>
      </c>
      <c r="D544" s="3"/>
      <c r="E544" s="4">
        <v>27350</v>
      </c>
      <c r="F544" s="3" t="s">
        <v>14</v>
      </c>
      <c r="G544" s="3" t="s">
        <v>679</v>
      </c>
      <c r="H544" s="3" t="s">
        <v>28</v>
      </c>
      <c r="I544" s="4">
        <v>4367</v>
      </c>
      <c r="J544" s="4">
        <v>22983</v>
      </c>
      <c r="K544" s="3" t="s">
        <v>29</v>
      </c>
      <c r="L544" s="3" t="s">
        <v>30</v>
      </c>
    </row>
    <row r="545" spans="1:12" x14ac:dyDescent="0.5">
      <c r="A545" s="5">
        <v>45944</v>
      </c>
      <c r="B545" t="s">
        <v>203</v>
      </c>
      <c r="C545" t="s">
        <v>127</v>
      </c>
      <c r="E545" s="6">
        <v>48971</v>
      </c>
      <c r="F545" t="s">
        <v>14</v>
      </c>
      <c r="G545" t="s">
        <v>679</v>
      </c>
      <c r="H545" t="s">
        <v>46</v>
      </c>
      <c r="I545" s="6">
        <v>7819</v>
      </c>
      <c r="J545" s="6">
        <v>41152</v>
      </c>
      <c r="K545" t="s">
        <v>47</v>
      </c>
      <c r="L545" t="s">
        <v>48</v>
      </c>
    </row>
    <row r="546" spans="1:12" x14ac:dyDescent="0.5">
      <c r="A546" s="2">
        <v>45944</v>
      </c>
      <c r="B546" s="3" t="s">
        <v>203</v>
      </c>
      <c r="C546" s="3" t="s">
        <v>124</v>
      </c>
      <c r="D546" s="3"/>
      <c r="E546" s="4">
        <v>23320</v>
      </c>
      <c r="F546" s="3" t="s">
        <v>14</v>
      </c>
      <c r="G546" s="3" t="s">
        <v>679</v>
      </c>
      <c r="H546" s="3" t="s">
        <v>16</v>
      </c>
      <c r="I546" s="4">
        <v>3723</v>
      </c>
      <c r="J546" s="4">
        <v>19597</v>
      </c>
      <c r="K546" s="3" t="s">
        <v>17</v>
      </c>
      <c r="L546" s="3" t="s">
        <v>18</v>
      </c>
    </row>
    <row r="547" spans="1:12" x14ac:dyDescent="0.5">
      <c r="A547" s="5">
        <v>45944</v>
      </c>
      <c r="B547" t="s">
        <v>192</v>
      </c>
      <c r="C547" t="s">
        <v>40</v>
      </c>
      <c r="E547" s="6">
        <v>1928207</v>
      </c>
      <c r="F547" t="s">
        <v>41</v>
      </c>
      <c r="G547" t="s">
        <v>15</v>
      </c>
      <c r="H547" t="s">
        <v>42</v>
      </c>
      <c r="I547" s="6">
        <v>0</v>
      </c>
      <c r="J547" s="6">
        <v>1928207</v>
      </c>
      <c r="K547" t="s">
        <v>43</v>
      </c>
      <c r="L547" t="s">
        <v>44</v>
      </c>
    </row>
    <row r="548" spans="1:12" x14ac:dyDescent="0.5">
      <c r="A548" s="2">
        <v>45946</v>
      </c>
      <c r="B548" s="3" t="s">
        <v>203</v>
      </c>
      <c r="C548" s="3" t="s">
        <v>210</v>
      </c>
      <c r="D548" s="3"/>
      <c r="E548" s="4">
        <v>22465</v>
      </c>
      <c r="F548" s="3" t="s">
        <v>14</v>
      </c>
      <c r="G548" s="3" t="s">
        <v>679</v>
      </c>
      <c r="H548" s="3" t="s">
        <v>24</v>
      </c>
      <c r="I548" s="4">
        <v>3587</v>
      </c>
      <c r="J548" s="4">
        <v>18878</v>
      </c>
      <c r="K548" s="3" t="s">
        <v>25</v>
      </c>
      <c r="L548" s="3" t="s">
        <v>26</v>
      </c>
    </row>
    <row r="549" spans="1:12" x14ac:dyDescent="0.5">
      <c r="A549" s="5">
        <v>45946</v>
      </c>
      <c r="B549" t="s">
        <v>192</v>
      </c>
      <c r="C549" t="s">
        <v>485</v>
      </c>
      <c r="E549" s="6">
        <v>100000</v>
      </c>
      <c r="F549" t="s">
        <v>41</v>
      </c>
      <c r="G549" t="s">
        <v>15</v>
      </c>
      <c r="H549" t="s">
        <v>66</v>
      </c>
      <c r="I549" s="6">
        <v>0</v>
      </c>
      <c r="J549" s="6">
        <v>100000</v>
      </c>
      <c r="K549" t="s">
        <v>67</v>
      </c>
      <c r="L549" t="s">
        <v>68</v>
      </c>
    </row>
    <row r="550" spans="1:12" x14ac:dyDescent="0.5">
      <c r="A550" s="2">
        <v>45946</v>
      </c>
      <c r="B550" s="3" t="s">
        <v>203</v>
      </c>
      <c r="C550" s="3" t="s">
        <v>211</v>
      </c>
      <c r="D550" s="3"/>
      <c r="E550" s="4">
        <v>15480</v>
      </c>
      <c r="F550" s="3" t="s">
        <v>14</v>
      </c>
      <c r="G550" s="3" t="s">
        <v>679</v>
      </c>
      <c r="H550" s="3" t="s">
        <v>212</v>
      </c>
      <c r="I550" s="4">
        <v>2472</v>
      </c>
      <c r="J550" s="4">
        <v>13008</v>
      </c>
      <c r="K550" s="3" t="s">
        <v>213</v>
      </c>
      <c r="L550" s="3" t="s">
        <v>48</v>
      </c>
    </row>
    <row r="551" spans="1:12" x14ac:dyDescent="0.5">
      <c r="A551" s="5">
        <v>45946</v>
      </c>
      <c r="B551" t="s">
        <v>203</v>
      </c>
      <c r="C551" t="s">
        <v>117</v>
      </c>
      <c r="E551" s="6">
        <v>136370</v>
      </c>
      <c r="F551" t="s">
        <v>14</v>
      </c>
      <c r="G551" t="s">
        <v>679</v>
      </c>
      <c r="H551" t="s">
        <v>16</v>
      </c>
      <c r="I551" s="6">
        <v>21773</v>
      </c>
      <c r="J551" s="6">
        <v>114597</v>
      </c>
      <c r="K551" t="s">
        <v>17</v>
      </c>
      <c r="L551" t="s">
        <v>18</v>
      </c>
    </row>
    <row r="552" spans="1:12" x14ac:dyDescent="0.5">
      <c r="A552" s="2">
        <v>45946</v>
      </c>
      <c r="B552" s="3" t="s">
        <v>203</v>
      </c>
      <c r="C552" s="3" t="s">
        <v>124</v>
      </c>
      <c r="D552" s="3"/>
      <c r="E552" s="4">
        <v>23419</v>
      </c>
      <c r="F552" s="3" t="s">
        <v>14</v>
      </c>
      <c r="G552" s="3" t="s">
        <v>679</v>
      </c>
      <c r="H552" s="3" t="s">
        <v>16</v>
      </c>
      <c r="I552" s="4">
        <v>3739</v>
      </c>
      <c r="J552" s="4">
        <v>19680</v>
      </c>
      <c r="K552" s="3" t="s">
        <v>17</v>
      </c>
      <c r="L552" s="3" t="s">
        <v>18</v>
      </c>
    </row>
    <row r="553" spans="1:12" x14ac:dyDescent="0.5">
      <c r="A553" s="5">
        <v>45947</v>
      </c>
      <c r="B553" t="s">
        <v>203</v>
      </c>
      <c r="C553" t="s">
        <v>214</v>
      </c>
      <c r="E553" s="6">
        <v>129721</v>
      </c>
      <c r="F553" t="s">
        <v>14</v>
      </c>
      <c r="G553" t="s">
        <v>679</v>
      </c>
      <c r="H553" t="s">
        <v>16</v>
      </c>
      <c r="I553" s="6">
        <v>20712</v>
      </c>
      <c r="J553" s="6">
        <v>109009</v>
      </c>
      <c r="K553" t="s">
        <v>17</v>
      </c>
      <c r="L553" t="s">
        <v>18</v>
      </c>
    </row>
    <row r="554" spans="1:12" x14ac:dyDescent="0.5">
      <c r="A554" s="2">
        <v>45950</v>
      </c>
      <c r="B554" s="3" t="s">
        <v>203</v>
      </c>
      <c r="C554" s="3" t="s">
        <v>78</v>
      </c>
      <c r="D554" s="3"/>
      <c r="E554" s="4">
        <v>410581</v>
      </c>
      <c r="F554" s="3" t="s">
        <v>14</v>
      </c>
      <c r="G554" s="3" t="s">
        <v>15</v>
      </c>
      <c r="H554" s="3" t="s">
        <v>24</v>
      </c>
      <c r="I554" s="4">
        <v>65555</v>
      </c>
      <c r="J554" s="4">
        <v>345026</v>
      </c>
      <c r="K554" s="3" t="s">
        <v>25</v>
      </c>
      <c r="L554" s="3" t="s">
        <v>26</v>
      </c>
    </row>
    <row r="555" spans="1:12" x14ac:dyDescent="0.5">
      <c r="A555" s="5">
        <v>45950</v>
      </c>
      <c r="B555" t="s">
        <v>192</v>
      </c>
      <c r="C555" t="s">
        <v>487</v>
      </c>
      <c r="E555" s="6">
        <v>1100</v>
      </c>
      <c r="F555" t="s">
        <v>41</v>
      </c>
      <c r="G555" t="s">
        <v>15</v>
      </c>
      <c r="H555" t="s">
        <v>66</v>
      </c>
      <c r="I555" s="6">
        <v>0</v>
      </c>
      <c r="J555" s="6">
        <v>1100</v>
      </c>
      <c r="K555" t="s">
        <v>67</v>
      </c>
      <c r="L555" t="s">
        <v>68</v>
      </c>
    </row>
    <row r="556" spans="1:12" x14ac:dyDescent="0.5">
      <c r="A556" s="2">
        <v>45950</v>
      </c>
      <c r="B556" s="3" t="s">
        <v>203</v>
      </c>
      <c r="C556" s="3" t="s">
        <v>186</v>
      </c>
      <c r="D556" s="3"/>
      <c r="E556" s="4">
        <v>17254</v>
      </c>
      <c r="F556" s="3" t="s">
        <v>14</v>
      </c>
      <c r="G556" s="3" t="s">
        <v>15</v>
      </c>
      <c r="H556" s="3" t="s">
        <v>57</v>
      </c>
      <c r="I556" s="4">
        <v>2755</v>
      </c>
      <c r="J556" s="4">
        <v>14499</v>
      </c>
      <c r="K556" s="3" t="s">
        <v>58</v>
      </c>
      <c r="L556" s="3" t="s">
        <v>48</v>
      </c>
    </row>
    <row r="557" spans="1:12" x14ac:dyDescent="0.5">
      <c r="A557" s="5">
        <v>45952</v>
      </c>
      <c r="B557" t="s">
        <v>203</v>
      </c>
      <c r="C557" t="s">
        <v>489</v>
      </c>
      <c r="E557" s="6">
        <v>42828</v>
      </c>
      <c r="F557" t="s">
        <v>14</v>
      </c>
      <c r="G557" t="s">
        <v>679</v>
      </c>
      <c r="H557" t="s">
        <v>24</v>
      </c>
      <c r="I557" s="6">
        <v>6838</v>
      </c>
      <c r="J557" s="6">
        <v>35990</v>
      </c>
      <c r="K557" t="s">
        <v>25</v>
      </c>
      <c r="L557" t="s">
        <v>26</v>
      </c>
    </row>
    <row r="558" spans="1:12" x14ac:dyDescent="0.5">
      <c r="A558" s="2">
        <v>45953</v>
      </c>
      <c r="B558" s="3" t="s">
        <v>203</v>
      </c>
      <c r="C558" s="3" t="s">
        <v>149</v>
      </c>
      <c r="D558" s="3"/>
      <c r="E558" s="4">
        <v>4457</v>
      </c>
      <c r="F558" s="3" t="s">
        <v>14</v>
      </c>
      <c r="G558" s="3" t="s">
        <v>679</v>
      </c>
      <c r="H558" s="3" t="s">
        <v>24</v>
      </c>
      <c r="I558" s="4">
        <v>712</v>
      </c>
      <c r="J558" s="4">
        <v>3745</v>
      </c>
      <c r="K558" s="3" t="s">
        <v>25</v>
      </c>
      <c r="L558" s="3" t="s">
        <v>26</v>
      </c>
    </row>
    <row r="559" spans="1:12" x14ac:dyDescent="0.5">
      <c r="A559" s="5">
        <v>45953</v>
      </c>
      <c r="B559" t="s">
        <v>203</v>
      </c>
      <c r="C559" t="s">
        <v>105</v>
      </c>
      <c r="E559" s="6">
        <v>7900</v>
      </c>
      <c r="F559" t="s">
        <v>14</v>
      </c>
      <c r="G559" t="s">
        <v>679</v>
      </c>
      <c r="H559" t="s">
        <v>16</v>
      </c>
      <c r="I559" s="6">
        <v>1261</v>
      </c>
      <c r="J559" s="6">
        <v>6639</v>
      </c>
      <c r="K559" t="s">
        <v>17</v>
      </c>
      <c r="L559" t="s">
        <v>18</v>
      </c>
    </row>
    <row r="560" spans="1:12" x14ac:dyDescent="0.5">
      <c r="A560" s="2">
        <v>45954</v>
      </c>
      <c r="B560" s="3" t="s">
        <v>203</v>
      </c>
      <c r="C560" s="3" t="s">
        <v>215</v>
      </c>
      <c r="D560" s="3"/>
      <c r="E560" s="4">
        <v>172323</v>
      </c>
      <c r="F560" s="3" t="s">
        <v>14</v>
      </c>
      <c r="G560" s="3" t="s">
        <v>679</v>
      </c>
      <c r="H560" s="3" t="s">
        <v>33</v>
      </c>
      <c r="I560" s="4">
        <v>27514</v>
      </c>
      <c r="J560" s="4">
        <v>144809</v>
      </c>
      <c r="K560" s="3" t="s">
        <v>34</v>
      </c>
      <c r="L560" s="3" t="s">
        <v>35</v>
      </c>
    </row>
    <row r="561" spans="1:12" x14ac:dyDescent="0.5">
      <c r="A561" s="5">
        <v>45954</v>
      </c>
      <c r="B561" t="s">
        <v>203</v>
      </c>
      <c r="C561" t="s">
        <v>216</v>
      </c>
      <c r="E561" s="6">
        <v>108129</v>
      </c>
      <c r="F561" t="s">
        <v>14</v>
      </c>
      <c r="G561" t="s">
        <v>679</v>
      </c>
      <c r="H561" t="s">
        <v>33</v>
      </c>
      <c r="I561" s="6">
        <v>17264</v>
      </c>
      <c r="J561" s="6">
        <v>90865</v>
      </c>
      <c r="K561" t="s">
        <v>34</v>
      </c>
      <c r="L561" t="s">
        <v>35</v>
      </c>
    </row>
    <row r="562" spans="1:12" x14ac:dyDescent="0.5">
      <c r="A562" s="2">
        <v>45954</v>
      </c>
      <c r="B562" s="3" t="s">
        <v>203</v>
      </c>
      <c r="C562" s="3" t="s">
        <v>217</v>
      </c>
      <c r="D562" s="3"/>
      <c r="E562" s="4">
        <v>3636</v>
      </c>
      <c r="F562" s="3" t="s">
        <v>14</v>
      </c>
      <c r="G562" s="3" t="s">
        <v>679</v>
      </c>
      <c r="H562" s="3" t="s">
        <v>33</v>
      </c>
      <c r="I562" s="4">
        <v>581</v>
      </c>
      <c r="J562" s="4">
        <v>3055</v>
      </c>
      <c r="K562" s="3" t="s">
        <v>34</v>
      </c>
      <c r="L562" s="3" t="s">
        <v>35</v>
      </c>
    </row>
    <row r="563" spans="1:12" x14ac:dyDescent="0.5">
      <c r="A563" s="5">
        <v>45957</v>
      </c>
      <c r="B563" t="s">
        <v>203</v>
      </c>
      <c r="C563" t="s">
        <v>114</v>
      </c>
      <c r="E563" s="6">
        <v>129187</v>
      </c>
      <c r="F563" t="s">
        <v>14</v>
      </c>
      <c r="G563" t="s">
        <v>679</v>
      </c>
      <c r="H563" t="s">
        <v>16</v>
      </c>
      <c r="I563" s="6">
        <v>20626</v>
      </c>
      <c r="J563" s="6">
        <v>108561</v>
      </c>
      <c r="K563" t="s">
        <v>17</v>
      </c>
      <c r="L563" t="s">
        <v>18</v>
      </c>
    </row>
    <row r="564" spans="1:12" x14ac:dyDescent="0.5">
      <c r="A564" s="2">
        <v>45957</v>
      </c>
      <c r="B564" s="3" t="s">
        <v>203</v>
      </c>
      <c r="C564" s="3" t="s">
        <v>124</v>
      </c>
      <c r="D564" s="3"/>
      <c r="E564" s="4">
        <v>22948</v>
      </c>
      <c r="F564" s="3" t="s">
        <v>14</v>
      </c>
      <c r="G564" s="3" t="s">
        <v>679</v>
      </c>
      <c r="H564" s="3" t="s">
        <v>16</v>
      </c>
      <c r="I564" s="4">
        <v>3664</v>
      </c>
      <c r="J564" s="4">
        <v>19284</v>
      </c>
      <c r="K564" s="3" t="s">
        <v>17</v>
      </c>
      <c r="L564" s="3" t="s">
        <v>18</v>
      </c>
    </row>
    <row r="565" spans="1:12" x14ac:dyDescent="0.5">
      <c r="A565" s="5">
        <v>45958</v>
      </c>
      <c r="B565" t="s">
        <v>203</v>
      </c>
      <c r="C565" t="s">
        <v>87</v>
      </c>
      <c r="E565" s="6">
        <v>19545</v>
      </c>
      <c r="F565" t="s">
        <v>14</v>
      </c>
      <c r="G565" t="s">
        <v>15</v>
      </c>
      <c r="H565" t="s">
        <v>46</v>
      </c>
      <c r="I565" s="6">
        <v>3121</v>
      </c>
      <c r="J565" s="6">
        <v>16424</v>
      </c>
      <c r="K565" t="s">
        <v>47</v>
      </c>
      <c r="L565" t="s">
        <v>48</v>
      </c>
    </row>
    <row r="566" spans="1:12" x14ac:dyDescent="0.5">
      <c r="A566" s="2">
        <v>45958</v>
      </c>
      <c r="B566" s="3" t="s">
        <v>203</v>
      </c>
      <c r="C566" s="3" t="s">
        <v>87</v>
      </c>
      <c r="D566" s="3"/>
      <c r="E566" s="4">
        <v>19</v>
      </c>
      <c r="F566" s="3" t="s">
        <v>14</v>
      </c>
      <c r="G566" s="3" t="s">
        <v>15</v>
      </c>
      <c r="H566" s="3" t="s">
        <v>46</v>
      </c>
      <c r="I566" s="4">
        <v>3</v>
      </c>
      <c r="J566" s="4">
        <v>16</v>
      </c>
      <c r="K566" s="3" t="s">
        <v>47</v>
      </c>
      <c r="L566" s="3" t="s">
        <v>48</v>
      </c>
    </row>
    <row r="567" spans="1:12" x14ac:dyDescent="0.5">
      <c r="A567" s="5">
        <v>45959</v>
      </c>
      <c r="B567" t="s">
        <v>203</v>
      </c>
      <c r="C567" t="s">
        <v>107</v>
      </c>
      <c r="E567" s="6">
        <v>4304</v>
      </c>
      <c r="F567" t="s">
        <v>41</v>
      </c>
      <c r="G567" t="s">
        <v>679</v>
      </c>
      <c r="H567" t="s">
        <v>62</v>
      </c>
      <c r="I567" s="6">
        <v>0</v>
      </c>
      <c r="J567" s="6">
        <v>4304</v>
      </c>
      <c r="K567" t="s">
        <v>63</v>
      </c>
      <c r="L567" t="s">
        <v>22</v>
      </c>
    </row>
    <row r="568" spans="1:12" x14ac:dyDescent="0.5">
      <c r="A568" s="2">
        <v>45960</v>
      </c>
      <c r="B568" s="3" t="s">
        <v>203</v>
      </c>
      <c r="C568" s="3" t="s">
        <v>107</v>
      </c>
      <c r="D568" s="3"/>
      <c r="E568" s="4">
        <v>3962</v>
      </c>
      <c r="F568" s="3" t="s">
        <v>41</v>
      </c>
      <c r="G568" s="3" t="s">
        <v>679</v>
      </c>
      <c r="H568" s="3" t="s">
        <v>62</v>
      </c>
      <c r="I568" s="4">
        <v>0</v>
      </c>
      <c r="J568" s="4">
        <v>3962</v>
      </c>
      <c r="K568" s="3" t="s">
        <v>63</v>
      </c>
      <c r="L568" s="3" t="s">
        <v>22</v>
      </c>
    </row>
    <row r="569" spans="1:12" x14ac:dyDescent="0.5">
      <c r="A569" s="5">
        <v>45960</v>
      </c>
      <c r="B569" t="s">
        <v>203</v>
      </c>
      <c r="C569" t="s">
        <v>107</v>
      </c>
      <c r="E569" s="6">
        <v>1200</v>
      </c>
      <c r="F569" t="s">
        <v>41</v>
      </c>
      <c r="G569" t="s">
        <v>679</v>
      </c>
      <c r="H569" t="s">
        <v>62</v>
      </c>
      <c r="I569" s="6">
        <v>0</v>
      </c>
      <c r="J569" s="6">
        <v>1200</v>
      </c>
      <c r="K569" t="s">
        <v>63</v>
      </c>
      <c r="L569" t="s">
        <v>22</v>
      </c>
    </row>
    <row r="570" spans="1:12" x14ac:dyDescent="0.5">
      <c r="A570" s="2">
        <v>45964</v>
      </c>
      <c r="B570" s="3" t="s">
        <v>218</v>
      </c>
      <c r="C570" s="3" t="s">
        <v>116</v>
      </c>
      <c r="D570" s="3"/>
      <c r="E570" s="4">
        <v>97312</v>
      </c>
      <c r="F570" s="3" t="s">
        <v>14</v>
      </c>
      <c r="G570" s="3" t="s">
        <v>679</v>
      </c>
      <c r="H570" s="3" t="s">
        <v>16</v>
      </c>
      <c r="I570" s="4">
        <v>15537</v>
      </c>
      <c r="J570" s="4">
        <v>81775</v>
      </c>
      <c r="K570" s="3" t="s">
        <v>17</v>
      </c>
      <c r="L570" s="3" t="s">
        <v>18</v>
      </c>
    </row>
    <row r="571" spans="1:12" x14ac:dyDescent="0.5">
      <c r="A571" s="5">
        <v>45964</v>
      </c>
      <c r="B571" t="s">
        <v>218</v>
      </c>
      <c r="C571" t="s">
        <v>124</v>
      </c>
      <c r="E571" s="6">
        <v>19308</v>
      </c>
      <c r="F571" t="s">
        <v>14</v>
      </c>
      <c r="G571" t="s">
        <v>679</v>
      </c>
      <c r="H571" t="s">
        <v>16</v>
      </c>
      <c r="I571" s="6">
        <v>3083</v>
      </c>
      <c r="J571" s="6">
        <v>16225</v>
      </c>
      <c r="K571" t="s">
        <v>17</v>
      </c>
      <c r="L571" t="s">
        <v>18</v>
      </c>
    </row>
    <row r="572" spans="1:12" x14ac:dyDescent="0.5">
      <c r="A572" s="2">
        <v>45964</v>
      </c>
      <c r="B572" s="3" t="s">
        <v>218</v>
      </c>
      <c r="C572" s="3" t="s">
        <v>194</v>
      </c>
      <c r="D572" s="3"/>
      <c r="E572" s="4">
        <v>19298</v>
      </c>
      <c r="F572" s="3" t="s">
        <v>14</v>
      </c>
      <c r="G572" s="3" t="s">
        <v>679</v>
      </c>
      <c r="H572" s="3" t="s">
        <v>16</v>
      </c>
      <c r="I572" s="4">
        <v>3081</v>
      </c>
      <c r="J572" s="4">
        <v>16217</v>
      </c>
      <c r="K572" s="3" t="s">
        <v>17</v>
      </c>
      <c r="L572" s="3" t="s">
        <v>18</v>
      </c>
    </row>
    <row r="573" spans="1:12" x14ac:dyDescent="0.5">
      <c r="A573" s="5">
        <v>45965</v>
      </c>
      <c r="B573" t="s">
        <v>218</v>
      </c>
      <c r="C573" t="s">
        <v>133</v>
      </c>
      <c r="E573" s="6">
        <v>7150</v>
      </c>
      <c r="F573" t="s">
        <v>41</v>
      </c>
      <c r="G573" t="s">
        <v>15</v>
      </c>
      <c r="H573" t="s">
        <v>134</v>
      </c>
      <c r="I573" s="6">
        <v>0</v>
      </c>
      <c r="J573" s="6">
        <v>7150</v>
      </c>
      <c r="K573" t="s">
        <v>135</v>
      </c>
      <c r="L573" t="s">
        <v>44</v>
      </c>
    </row>
    <row r="574" spans="1:12" x14ac:dyDescent="0.5">
      <c r="A574" s="2">
        <v>45965</v>
      </c>
      <c r="B574" s="3" t="s">
        <v>218</v>
      </c>
      <c r="C574" s="3" t="s">
        <v>136</v>
      </c>
      <c r="D574" s="3"/>
      <c r="E574" s="4">
        <v>551</v>
      </c>
      <c r="F574" s="3" t="s">
        <v>41</v>
      </c>
      <c r="G574" s="3" t="s">
        <v>15</v>
      </c>
      <c r="H574" s="3" t="s">
        <v>134</v>
      </c>
      <c r="I574" s="4">
        <v>0</v>
      </c>
      <c r="J574" s="4">
        <v>551</v>
      </c>
      <c r="K574" s="3" t="s">
        <v>135</v>
      </c>
      <c r="L574" s="3" t="s">
        <v>44</v>
      </c>
    </row>
    <row r="575" spans="1:12" x14ac:dyDescent="0.5">
      <c r="A575" s="5">
        <v>45966</v>
      </c>
      <c r="B575" t="s">
        <v>218</v>
      </c>
      <c r="C575" t="s">
        <v>19</v>
      </c>
      <c r="E575" s="6">
        <v>40548</v>
      </c>
      <c r="F575" t="s">
        <v>14</v>
      </c>
      <c r="G575" t="s">
        <v>15</v>
      </c>
      <c r="H575" t="s">
        <v>20</v>
      </c>
      <c r="I575" s="6">
        <v>6474</v>
      </c>
      <c r="J575" s="6">
        <v>34074</v>
      </c>
      <c r="K575" t="s">
        <v>21</v>
      </c>
      <c r="L575" t="s">
        <v>22</v>
      </c>
    </row>
    <row r="576" spans="1:12" x14ac:dyDescent="0.5">
      <c r="A576" s="2">
        <v>45966</v>
      </c>
      <c r="B576" s="3" t="s">
        <v>218</v>
      </c>
      <c r="C576" s="3" t="s">
        <v>107</v>
      </c>
      <c r="D576" s="3"/>
      <c r="E576" s="4">
        <v>11225</v>
      </c>
      <c r="F576" s="3" t="s">
        <v>41</v>
      </c>
      <c r="G576" s="3" t="s">
        <v>679</v>
      </c>
      <c r="H576" s="3" t="s">
        <v>62</v>
      </c>
      <c r="I576" s="4">
        <v>0</v>
      </c>
      <c r="J576" s="4">
        <v>11225</v>
      </c>
      <c r="K576" s="3" t="s">
        <v>63</v>
      </c>
      <c r="L576" s="3" t="s">
        <v>22</v>
      </c>
    </row>
    <row r="577" spans="1:12" x14ac:dyDescent="0.5">
      <c r="A577" s="5">
        <v>45966</v>
      </c>
      <c r="B577" t="s">
        <v>218</v>
      </c>
      <c r="C577" t="s">
        <v>107</v>
      </c>
      <c r="E577" s="6">
        <v>9683</v>
      </c>
      <c r="F577" t="s">
        <v>41</v>
      </c>
      <c r="G577" t="s">
        <v>679</v>
      </c>
      <c r="H577" t="s">
        <v>62</v>
      </c>
      <c r="I577" s="6">
        <v>0</v>
      </c>
      <c r="J577" s="6">
        <v>9683</v>
      </c>
      <c r="K577" t="s">
        <v>63</v>
      </c>
      <c r="L577" t="s">
        <v>22</v>
      </c>
    </row>
    <row r="578" spans="1:12" x14ac:dyDescent="0.5">
      <c r="A578" s="2">
        <v>45966</v>
      </c>
      <c r="B578" s="3" t="s">
        <v>218</v>
      </c>
      <c r="C578" s="3" t="s">
        <v>207</v>
      </c>
      <c r="D578" s="3"/>
      <c r="E578" s="4">
        <v>65226</v>
      </c>
      <c r="F578" s="3" t="s">
        <v>14</v>
      </c>
      <c r="G578" s="3" t="s">
        <v>679</v>
      </c>
      <c r="H578" s="3" t="s">
        <v>109</v>
      </c>
      <c r="I578" s="4">
        <v>10414</v>
      </c>
      <c r="J578" s="4">
        <v>54812</v>
      </c>
      <c r="K578" s="3" t="s">
        <v>110</v>
      </c>
      <c r="L578" s="3" t="s">
        <v>30</v>
      </c>
    </row>
    <row r="579" spans="1:12" x14ac:dyDescent="0.5">
      <c r="A579" s="5">
        <v>45967</v>
      </c>
      <c r="B579" t="s">
        <v>218</v>
      </c>
      <c r="C579" t="s">
        <v>498</v>
      </c>
      <c r="E579" s="6">
        <v>10060</v>
      </c>
      <c r="F579" t="s">
        <v>14</v>
      </c>
      <c r="G579" t="s">
        <v>679</v>
      </c>
      <c r="H579" t="s">
        <v>355</v>
      </c>
      <c r="I579" s="6">
        <v>1606</v>
      </c>
      <c r="J579" s="6">
        <v>8454</v>
      </c>
      <c r="K579" t="s">
        <v>356</v>
      </c>
      <c r="L579" t="s">
        <v>48</v>
      </c>
    </row>
    <row r="580" spans="1:12" x14ac:dyDescent="0.5">
      <c r="A580" s="2">
        <v>45968</v>
      </c>
      <c r="B580" s="3" t="s">
        <v>218</v>
      </c>
      <c r="C580" s="3" t="s">
        <v>107</v>
      </c>
      <c r="D580" s="3"/>
      <c r="E580" s="4">
        <v>22034</v>
      </c>
      <c r="F580" s="3" t="s">
        <v>41</v>
      </c>
      <c r="G580" s="3" t="s">
        <v>679</v>
      </c>
      <c r="H580" s="3" t="s">
        <v>62</v>
      </c>
      <c r="I580" s="4">
        <v>0</v>
      </c>
      <c r="J580" s="4">
        <v>22034</v>
      </c>
      <c r="K580" s="3" t="s">
        <v>63</v>
      </c>
      <c r="L580" s="3" t="s">
        <v>22</v>
      </c>
    </row>
    <row r="581" spans="1:12" x14ac:dyDescent="0.5">
      <c r="A581" s="5">
        <v>45968</v>
      </c>
      <c r="B581" t="s">
        <v>218</v>
      </c>
      <c r="C581" t="s">
        <v>219</v>
      </c>
      <c r="E581" s="6">
        <v>1913784</v>
      </c>
      <c r="F581" t="s">
        <v>41</v>
      </c>
      <c r="G581" t="s">
        <v>15</v>
      </c>
      <c r="H581" t="s">
        <v>134</v>
      </c>
      <c r="I581" s="6">
        <v>0</v>
      </c>
      <c r="J581" s="6">
        <v>1913784</v>
      </c>
      <c r="K581" t="s">
        <v>135</v>
      </c>
      <c r="L581" t="s">
        <v>44</v>
      </c>
    </row>
    <row r="582" spans="1:12" x14ac:dyDescent="0.5">
      <c r="A582" s="2">
        <v>45971</v>
      </c>
      <c r="B582" s="3" t="s">
        <v>218</v>
      </c>
      <c r="C582" s="3" t="s">
        <v>220</v>
      </c>
      <c r="D582" s="3"/>
      <c r="E582" s="4">
        <v>31500</v>
      </c>
      <c r="F582" s="3" t="s">
        <v>14</v>
      </c>
      <c r="G582" s="3" t="s">
        <v>679</v>
      </c>
      <c r="H582" s="3" t="s">
        <v>24</v>
      </c>
      <c r="I582" s="4">
        <v>5029</v>
      </c>
      <c r="J582" s="4">
        <v>26471</v>
      </c>
      <c r="K582" s="3" t="s">
        <v>25</v>
      </c>
      <c r="L582" s="3" t="s">
        <v>26</v>
      </c>
    </row>
    <row r="583" spans="1:12" x14ac:dyDescent="0.5">
      <c r="A583" s="5">
        <v>45971</v>
      </c>
      <c r="B583" t="s">
        <v>218</v>
      </c>
      <c r="C583" t="s">
        <v>206</v>
      </c>
      <c r="E583" s="6">
        <v>11213</v>
      </c>
      <c r="F583" t="s">
        <v>14</v>
      </c>
      <c r="G583" t="s">
        <v>679</v>
      </c>
      <c r="H583" t="s">
        <v>24</v>
      </c>
      <c r="I583" s="6">
        <v>1790</v>
      </c>
      <c r="J583" s="6">
        <v>9423</v>
      </c>
      <c r="K583" t="s">
        <v>25</v>
      </c>
      <c r="L583" t="s">
        <v>26</v>
      </c>
    </row>
    <row r="584" spans="1:12" x14ac:dyDescent="0.5">
      <c r="A584" s="2">
        <v>45972</v>
      </c>
      <c r="B584" s="3" t="s">
        <v>218</v>
      </c>
      <c r="C584" s="3" t="s">
        <v>114</v>
      </c>
      <c r="D584" s="3"/>
      <c r="E584" s="4">
        <v>129187</v>
      </c>
      <c r="F584" s="3" t="s">
        <v>14</v>
      </c>
      <c r="G584" s="3" t="s">
        <v>679</v>
      </c>
      <c r="H584" s="3" t="s">
        <v>16</v>
      </c>
      <c r="I584" s="4">
        <v>20626</v>
      </c>
      <c r="J584" s="4">
        <v>108561</v>
      </c>
      <c r="K584" s="3" t="s">
        <v>17</v>
      </c>
      <c r="L584" s="3" t="s">
        <v>18</v>
      </c>
    </row>
    <row r="585" spans="1:12" x14ac:dyDescent="0.5">
      <c r="A585" s="5">
        <v>45972</v>
      </c>
      <c r="B585" t="s">
        <v>218</v>
      </c>
      <c r="C585" t="s">
        <v>221</v>
      </c>
      <c r="E585" s="6">
        <v>3136</v>
      </c>
      <c r="F585" t="s">
        <v>41</v>
      </c>
      <c r="G585" t="s">
        <v>679</v>
      </c>
      <c r="H585" t="s">
        <v>62</v>
      </c>
      <c r="I585" s="6">
        <v>0</v>
      </c>
      <c r="J585" s="6">
        <v>3136</v>
      </c>
      <c r="K585" t="s">
        <v>63</v>
      </c>
      <c r="L585" t="s">
        <v>22</v>
      </c>
    </row>
    <row r="586" spans="1:12" x14ac:dyDescent="0.5">
      <c r="A586" s="2">
        <v>45973</v>
      </c>
      <c r="B586" s="3" t="s">
        <v>203</v>
      </c>
      <c r="C586" s="3" t="s">
        <v>65</v>
      </c>
      <c r="D586" s="3"/>
      <c r="E586" s="4">
        <v>1371041</v>
      </c>
      <c r="F586" s="3" t="s">
        <v>41</v>
      </c>
      <c r="G586" s="3" t="s">
        <v>15</v>
      </c>
      <c r="H586" s="3" t="s">
        <v>66</v>
      </c>
      <c r="I586" s="4">
        <v>0</v>
      </c>
      <c r="J586" s="4">
        <v>1371041</v>
      </c>
      <c r="K586" s="3" t="s">
        <v>67</v>
      </c>
      <c r="L586" s="3" t="s">
        <v>68</v>
      </c>
    </row>
    <row r="587" spans="1:12" x14ac:dyDescent="0.5">
      <c r="A587" s="5">
        <v>45974</v>
      </c>
      <c r="B587" t="s">
        <v>218</v>
      </c>
      <c r="C587" t="s">
        <v>222</v>
      </c>
      <c r="E587" s="6">
        <v>155640</v>
      </c>
      <c r="F587" t="s">
        <v>14</v>
      </c>
      <c r="G587" t="s">
        <v>679</v>
      </c>
      <c r="H587" t="s">
        <v>33</v>
      </c>
      <c r="I587" s="6">
        <v>24850</v>
      </c>
      <c r="J587" s="6">
        <v>130790</v>
      </c>
      <c r="K587" t="s">
        <v>34</v>
      </c>
      <c r="L587" t="s">
        <v>35</v>
      </c>
    </row>
    <row r="588" spans="1:12" x14ac:dyDescent="0.5">
      <c r="A588" s="2">
        <v>45974</v>
      </c>
      <c r="B588" s="3" t="s">
        <v>218</v>
      </c>
      <c r="C588" s="3" t="s">
        <v>223</v>
      </c>
      <c r="D588" s="3"/>
      <c r="E588" s="4">
        <v>3364</v>
      </c>
      <c r="F588" s="3" t="s">
        <v>41</v>
      </c>
      <c r="G588" s="3" t="s">
        <v>679</v>
      </c>
      <c r="H588" s="3" t="s">
        <v>62</v>
      </c>
      <c r="I588" s="4">
        <v>0</v>
      </c>
      <c r="J588" s="4">
        <v>3364</v>
      </c>
      <c r="K588" s="3" t="s">
        <v>63</v>
      </c>
      <c r="L588" s="3" t="s">
        <v>22</v>
      </c>
    </row>
    <row r="589" spans="1:12" x14ac:dyDescent="0.5">
      <c r="A589" s="5">
        <v>45974</v>
      </c>
      <c r="B589" t="s">
        <v>218</v>
      </c>
      <c r="C589" t="s">
        <v>224</v>
      </c>
      <c r="E589" s="6">
        <v>2663</v>
      </c>
      <c r="F589" t="s">
        <v>41</v>
      </c>
      <c r="G589" t="s">
        <v>679</v>
      </c>
      <c r="H589" t="s">
        <v>62</v>
      </c>
      <c r="I589" s="6">
        <v>0</v>
      </c>
      <c r="J589" s="6">
        <v>2663</v>
      </c>
      <c r="K589" t="s">
        <v>63</v>
      </c>
      <c r="L589" t="s">
        <v>22</v>
      </c>
    </row>
    <row r="590" spans="1:12" x14ac:dyDescent="0.5">
      <c r="A590" s="2">
        <v>45974</v>
      </c>
      <c r="B590" s="3" t="s">
        <v>218</v>
      </c>
      <c r="C590" s="3" t="s">
        <v>107</v>
      </c>
      <c r="D590" s="3"/>
      <c r="E590" s="4">
        <v>409</v>
      </c>
      <c r="F590" s="3" t="s">
        <v>41</v>
      </c>
      <c r="G590" s="3" t="s">
        <v>679</v>
      </c>
      <c r="H590" s="3" t="s">
        <v>62</v>
      </c>
      <c r="I590" s="4">
        <v>0</v>
      </c>
      <c r="J590" s="4">
        <v>409</v>
      </c>
      <c r="K590" s="3" t="s">
        <v>63</v>
      </c>
      <c r="L590" s="3" t="s">
        <v>22</v>
      </c>
    </row>
    <row r="591" spans="1:12" x14ac:dyDescent="0.5">
      <c r="A591" s="5">
        <v>45975</v>
      </c>
      <c r="B591" t="s">
        <v>218</v>
      </c>
      <c r="C591" t="s">
        <v>124</v>
      </c>
      <c r="E591" s="6">
        <v>22605</v>
      </c>
      <c r="F591" t="s">
        <v>14</v>
      </c>
      <c r="G591" t="s">
        <v>679</v>
      </c>
      <c r="H591" t="s">
        <v>16</v>
      </c>
      <c r="I591" s="6">
        <v>3609</v>
      </c>
      <c r="J591" s="6">
        <v>18996</v>
      </c>
      <c r="K591" t="s">
        <v>17</v>
      </c>
      <c r="L591" t="s">
        <v>18</v>
      </c>
    </row>
    <row r="592" spans="1:12" x14ac:dyDescent="0.5">
      <c r="A592" s="2">
        <v>45975</v>
      </c>
      <c r="B592" s="3" t="s">
        <v>218</v>
      </c>
      <c r="C592" s="3" t="s">
        <v>107</v>
      </c>
      <c r="D592" s="3"/>
      <c r="E592" s="4">
        <v>7995</v>
      </c>
      <c r="F592" s="3" t="s">
        <v>41</v>
      </c>
      <c r="G592" s="3" t="s">
        <v>679</v>
      </c>
      <c r="H592" s="3" t="s">
        <v>62</v>
      </c>
      <c r="I592" s="4">
        <v>0</v>
      </c>
      <c r="J592" s="4">
        <v>7995</v>
      </c>
      <c r="K592" s="3" t="s">
        <v>63</v>
      </c>
      <c r="L592" s="3" t="s">
        <v>22</v>
      </c>
    </row>
    <row r="593" spans="1:12" x14ac:dyDescent="0.5">
      <c r="A593" s="5">
        <v>45978</v>
      </c>
      <c r="B593" t="s">
        <v>218</v>
      </c>
      <c r="C593" t="s">
        <v>498</v>
      </c>
      <c r="E593" s="6">
        <v>25710</v>
      </c>
      <c r="F593" t="s">
        <v>14</v>
      </c>
      <c r="G593" t="s">
        <v>679</v>
      </c>
      <c r="H593" t="s">
        <v>355</v>
      </c>
      <c r="I593" s="6">
        <v>4105</v>
      </c>
      <c r="J593" s="6">
        <v>21605</v>
      </c>
      <c r="K593" t="s">
        <v>356</v>
      </c>
      <c r="L593" t="s">
        <v>48</v>
      </c>
    </row>
    <row r="594" spans="1:12" x14ac:dyDescent="0.5">
      <c r="A594" s="2">
        <v>45978</v>
      </c>
      <c r="B594" s="3" t="s">
        <v>218</v>
      </c>
      <c r="C594" s="3" t="s">
        <v>225</v>
      </c>
      <c r="D594" s="3"/>
      <c r="E594" s="4">
        <v>311616</v>
      </c>
      <c r="F594" s="3" t="s">
        <v>14</v>
      </c>
      <c r="G594" s="3" t="s">
        <v>679</v>
      </c>
      <c r="H594" s="3" t="s">
        <v>16</v>
      </c>
      <c r="I594" s="4">
        <v>49754</v>
      </c>
      <c r="J594" s="4">
        <v>261862</v>
      </c>
      <c r="K594" s="3" t="s">
        <v>17</v>
      </c>
      <c r="L594" s="3" t="s">
        <v>18</v>
      </c>
    </row>
    <row r="595" spans="1:12" x14ac:dyDescent="0.5">
      <c r="A595" s="5">
        <v>45978</v>
      </c>
      <c r="B595" t="s">
        <v>218</v>
      </c>
      <c r="C595" t="s">
        <v>117</v>
      </c>
      <c r="E595" s="6">
        <v>136811</v>
      </c>
      <c r="F595" t="s">
        <v>14</v>
      </c>
      <c r="G595" t="s">
        <v>679</v>
      </c>
      <c r="H595" t="s">
        <v>16</v>
      </c>
      <c r="I595" s="6">
        <v>21844</v>
      </c>
      <c r="J595" s="6">
        <v>114967</v>
      </c>
      <c r="K595" t="s">
        <v>17</v>
      </c>
      <c r="L595" t="s">
        <v>18</v>
      </c>
    </row>
    <row r="596" spans="1:12" x14ac:dyDescent="0.5">
      <c r="A596" s="2">
        <v>45978</v>
      </c>
      <c r="B596" s="3" t="s">
        <v>218</v>
      </c>
      <c r="C596" s="3" t="s">
        <v>124</v>
      </c>
      <c r="D596" s="3"/>
      <c r="E596" s="4">
        <v>22646</v>
      </c>
      <c r="F596" s="3" t="s">
        <v>14</v>
      </c>
      <c r="G596" s="3" t="s">
        <v>679</v>
      </c>
      <c r="H596" s="3" t="s">
        <v>16</v>
      </c>
      <c r="I596" s="4">
        <v>3616</v>
      </c>
      <c r="J596" s="4">
        <v>19030</v>
      </c>
      <c r="K596" s="3" t="s">
        <v>17</v>
      </c>
      <c r="L596" s="3" t="s">
        <v>18</v>
      </c>
    </row>
    <row r="597" spans="1:12" x14ac:dyDescent="0.5">
      <c r="A597" s="5">
        <v>45978</v>
      </c>
      <c r="B597" t="s">
        <v>218</v>
      </c>
      <c r="C597" t="s">
        <v>499</v>
      </c>
      <c r="E597" s="6">
        <v>17710</v>
      </c>
      <c r="F597" t="s">
        <v>14</v>
      </c>
      <c r="G597" t="s">
        <v>679</v>
      </c>
      <c r="H597" t="s">
        <v>16</v>
      </c>
      <c r="I597" s="6">
        <v>2828</v>
      </c>
      <c r="J597" s="6">
        <v>14882</v>
      </c>
      <c r="K597" t="s">
        <v>17</v>
      </c>
      <c r="L597" t="s">
        <v>18</v>
      </c>
    </row>
    <row r="598" spans="1:12" x14ac:dyDescent="0.5">
      <c r="A598" s="2">
        <v>45979</v>
      </c>
      <c r="B598" s="3" t="s">
        <v>218</v>
      </c>
      <c r="C598" s="3" t="s">
        <v>501</v>
      </c>
      <c r="D598" s="3"/>
      <c r="E598" s="4">
        <v>6970</v>
      </c>
      <c r="F598" s="3" t="s">
        <v>14</v>
      </c>
      <c r="G598" s="3" t="s">
        <v>679</v>
      </c>
      <c r="H598" s="3" t="s">
        <v>267</v>
      </c>
      <c r="I598" s="4">
        <v>1113</v>
      </c>
      <c r="J598" s="4">
        <v>5857</v>
      </c>
      <c r="K598" s="3" t="s">
        <v>268</v>
      </c>
      <c r="L598" s="3" t="s">
        <v>68</v>
      </c>
    </row>
    <row r="599" spans="1:12" x14ac:dyDescent="0.5">
      <c r="A599" s="5">
        <v>45979</v>
      </c>
      <c r="B599" t="s">
        <v>218</v>
      </c>
      <c r="C599" t="s">
        <v>500</v>
      </c>
      <c r="E599" s="6">
        <v>6870</v>
      </c>
      <c r="F599" t="s">
        <v>14</v>
      </c>
      <c r="G599" t="s">
        <v>679</v>
      </c>
      <c r="H599" t="s">
        <v>517</v>
      </c>
      <c r="I599" s="6">
        <v>1097</v>
      </c>
      <c r="J599" s="6">
        <v>5773</v>
      </c>
      <c r="K599" t="s">
        <v>516</v>
      </c>
      <c r="L599" t="s">
        <v>68</v>
      </c>
    </row>
    <row r="600" spans="1:12" x14ac:dyDescent="0.5">
      <c r="A600" s="2">
        <v>45979</v>
      </c>
      <c r="B600" s="3" t="s">
        <v>218</v>
      </c>
      <c r="C600" s="3" t="s">
        <v>114</v>
      </c>
      <c r="D600" s="3"/>
      <c r="E600" s="4">
        <v>244172</v>
      </c>
      <c r="F600" s="3" t="s">
        <v>14</v>
      </c>
      <c r="G600" s="3" t="s">
        <v>679</v>
      </c>
      <c r="H600" s="3" t="s">
        <v>16</v>
      </c>
      <c r="I600" s="4">
        <v>38985</v>
      </c>
      <c r="J600" s="4">
        <v>205187</v>
      </c>
      <c r="K600" s="3" t="s">
        <v>17</v>
      </c>
      <c r="L600" s="3" t="s">
        <v>18</v>
      </c>
    </row>
    <row r="601" spans="1:12" x14ac:dyDescent="0.5">
      <c r="A601" s="5">
        <v>45979</v>
      </c>
      <c r="B601" t="s">
        <v>218</v>
      </c>
      <c r="C601" t="s">
        <v>226</v>
      </c>
      <c r="E601" s="6">
        <v>264227</v>
      </c>
      <c r="F601" t="s">
        <v>14</v>
      </c>
      <c r="G601" t="s">
        <v>679</v>
      </c>
      <c r="H601" t="s">
        <v>33</v>
      </c>
      <c r="I601" s="6">
        <v>42188</v>
      </c>
      <c r="J601" s="6">
        <v>222039</v>
      </c>
      <c r="K601" t="s">
        <v>34</v>
      </c>
      <c r="L601" t="s">
        <v>35</v>
      </c>
    </row>
    <row r="602" spans="1:12" x14ac:dyDescent="0.5">
      <c r="A602" s="2">
        <v>45980</v>
      </c>
      <c r="B602" s="3" t="s">
        <v>218</v>
      </c>
      <c r="C602" s="3" t="s">
        <v>186</v>
      </c>
      <c r="D602" s="3"/>
      <c r="E602" s="4">
        <v>17111</v>
      </c>
      <c r="F602" s="3" t="s">
        <v>14</v>
      </c>
      <c r="G602" s="3" t="s">
        <v>15</v>
      </c>
      <c r="H602" s="3" t="s">
        <v>57</v>
      </c>
      <c r="I602" s="4">
        <v>2732</v>
      </c>
      <c r="J602" s="4">
        <v>14379</v>
      </c>
      <c r="K602" s="3" t="s">
        <v>58</v>
      </c>
      <c r="L602" s="3" t="s">
        <v>48</v>
      </c>
    </row>
    <row r="603" spans="1:12" x14ac:dyDescent="0.5">
      <c r="A603" s="5">
        <v>45980</v>
      </c>
      <c r="B603" t="s">
        <v>218</v>
      </c>
      <c r="C603" t="s">
        <v>107</v>
      </c>
      <c r="E603" s="6">
        <v>2909</v>
      </c>
      <c r="F603" t="s">
        <v>41</v>
      </c>
      <c r="G603" t="s">
        <v>679</v>
      </c>
      <c r="H603" t="s">
        <v>62</v>
      </c>
      <c r="I603" s="6">
        <v>0</v>
      </c>
      <c r="J603" s="6">
        <v>2909</v>
      </c>
      <c r="K603" t="s">
        <v>63</v>
      </c>
      <c r="L603" t="s">
        <v>22</v>
      </c>
    </row>
    <row r="604" spans="1:12" x14ac:dyDescent="0.5">
      <c r="A604" s="2">
        <v>45981</v>
      </c>
      <c r="B604" s="3" t="s">
        <v>218</v>
      </c>
      <c r="C604" s="3" t="s">
        <v>227</v>
      </c>
      <c r="D604" s="3"/>
      <c r="E604" s="4">
        <v>55240</v>
      </c>
      <c r="F604" s="3" t="s">
        <v>14</v>
      </c>
      <c r="G604" s="3" t="s">
        <v>679</v>
      </c>
      <c r="H604" s="3" t="s">
        <v>16</v>
      </c>
      <c r="I604" s="4">
        <v>8820</v>
      </c>
      <c r="J604" s="4">
        <v>46420</v>
      </c>
      <c r="K604" s="3" t="s">
        <v>17</v>
      </c>
      <c r="L604" s="3" t="s">
        <v>18</v>
      </c>
    </row>
    <row r="605" spans="1:12" x14ac:dyDescent="0.5">
      <c r="A605" s="5">
        <v>45981</v>
      </c>
      <c r="B605" t="s">
        <v>203</v>
      </c>
      <c r="C605" t="s">
        <v>40</v>
      </c>
      <c r="E605" s="6">
        <v>1387210</v>
      </c>
      <c r="F605" t="s">
        <v>41</v>
      </c>
      <c r="G605" t="s">
        <v>15</v>
      </c>
      <c r="H605" t="s">
        <v>42</v>
      </c>
      <c r="I605" s="6">
        <v>0</v>
      </c>
      <c r="J605" s="6">
        <v>1387210</v>
      </c>
      <c r="K605" t="s">
        <v>43</v>
      </c>
      <c r="L605" t="s">
        <v>44</v>
      </c>
    </row>
    <row r="606" spans="1:12" x14ac:dyDescent="0.5">
      <c r="A606" s="2">
        <v>45985</v>
      </c>
      <c r="B606" s="3" t="s">
        <v>218</v>
      </c>
      <c r="C606" s="3" t="s">
        <v>127</v>
      </c>
      <c r="D606" s="3"/>
      <c r="E606" s="4">
        <v>30161</v>
      </c>
      <c r="F606" s="3" t="s">
        <v>14</v>
      </c>
      <c r="G606" s="3" t="s">
        <v>679</v>
      </c>
      <c r="H606" s="3" t="s">
        <v>46</v>
      </c>
      <c r="I606" s="4">
        <v>4816</v>
      </c>
      <c r="J606" s="4">
        <v>25345</v>
      </c>
      <c r="K606" s="3" t="s">
        <v>47</v>
      </c>
      <c r="L606" s="3" t="s">
        <v>48</v>
      </c>
    </row>
    <row r="607" spans="1:12" x14ac:dyDescent="0.5">
      <c r="A607" s="5">
        <v>45985</v>
      </c>
      <c r="B607" t="s">
        <v>218</v>
      </c>
      <c r="C607" t="s">
        <v>105</v>
      </c>
      <c r="E607" s="6">
        <v>7900</v>
      </c>
      <c r="F607" t="s">
        <v>14</v>
      </c>
      <c r="G607" t="s">
        <v>679</v>
      </c>
      <c r="H607" t="s">
        <v>16</v>
      </c>
      <c r="I607" s="6">
        <v>1261</v>
      </c>
      <c r="J607" s="6">
        <v>6639</v>
      </c>
      <c r="K607" t="s">
        <v>17</v>
      </c>
      <c r="L607" t="s">
        <v>18</v>
      </c>
    </row>
    <row r="608" spans="1:12" x14ac:dyDescent="0.5">
      <c r="A608" s="2">
        <v>45985</v>
      </c>
      <c r="B608" s="3" t="s">
        <v>218</v>
      </c>
      <c r="C608" s="3" t="s">
        <v>228</v>
      </c>
      <c r="D608" s="3"/>
      <c r="E608" s="4">
        <v>113638</v>
      </c>
      <c r="F608" s="3" t="s">
        <v>14</v>
      </c>
      <c r="G608" s="3" t="s">
        <v>679</v>
      </c>
      <c r="H608" s="3" t="s">
        <v>33</v>
      </c>
      <c r="I608" s="4">
        <v>18144</v>
      </c>
      <c r="J608" s="4">
        <v>95494</v>
      </c>
      <c r="K608" s="3" t="s">
        <v>34</v>
      </c>
      <c r="L608" s="3" t="s">
        <v>35</v>
      </c>
    </row>
    <row r="609" spans="1:12" x14ac:dyDescent="0.5">
      <c r="A609" s="5">
        <v>45985</v>
      </c>
      <c r="B609" t="s">
        <v>218</v>
      </c>
      <c r="C609" t="s">
        <v>107</v>
      </c>
      <c r="E609" s="6">
        <v>2184</v>
      </c>
      <c r="F609" t="s">
        <v>41</v>
      </c>
      <c r="G609" t="s">
        <v>679</v>
      </c>
      <c r="H609" t="s">
        <v>62</v>
      </c>
      <c r="I609" s="6">
        <v>0</v>
      </c>
      <c r="J609" s="6">
        <v>2184</v>
      </c>
      <c r="K609" t="s">
        <v>63</v>
      </c>
      <c r="L609" t="s">
        <v>22</v>
      </c>
    </row>
    <row r="610" spans="1:12" x14ac:dyDescent="0.5">
      <c r="A610" s="2">
        <v>45986</v>
      </c>
      <c r="B610" s="3" t="s">
        <v>218</v>
      </c>
      <c r="C610" s="3" t="s">
        <v>206</v>
      </c>
      <c r="D610" s="3"/>
      <c r="E610" s="4">
        <v>17173</v>
      </c>
      <c r="F610" s="3" t="s">
        <v>14</v>
      </c>
      <c r="G610" s="3" t="s">
        <v>679</v>
      </c>
      <c r="H610" s="3" t="s">
        <v>24</v>
      </c>
      <c r="I610" s="4">
        <v>2742</v>
      </c>
      <c r="J610" s="4">
        <v>14431</v>
      </c>
      <c r="K610" s="3" t="s">
        <v>25</v>
      </c>
      <c r="L610" s="3" t="s">
        <v>26</v>
      </c>
    </row>
    <row r="611" spans="1:12" x14ac:dyDescent="0.5">
      <c r="A611" s="5">
        <v>45987</v>
      </c>
      <c r="B611" t="s">
        <v>218</v>
      </c>
      <c r="C611" t="s">
        <v>87</v>
      </c>
      <c r="E611" s="6">
        <v>19598</v>
      </c>
      <c r="F611" t="s">
        <v>14</v>
      </c>
      <c r="G611" t="s">
        <v>15</v>
      </c>
      <c r="H611" t="s">
        <v>46</v>
      </c>
      <c r="I611" s="6">
        <v>3129</v>
      </c>
      <c r="J611" s="6">
        <v>16469</v>
      </c>
      <c r="K611" t="s">
        <v>47</v>
      </c>
      <c r="L611" t="s">
        <v>48</v>
      </c>
    </row>
    <row r="612" spans="1:12" x14ac:dyDescent="0.5">
      <c r="A612" s="2">
        <v>45987</v>
      </c>
      <c r="B612" s="3" t="s">
        <v>218</v>
      </c>
      <c r="C612" s="3" t="s">
        <v>87</v>
      </c>
      <c r="D612" s="3"/>
      <c r="E612" s="4">
        <v>19</v>
      </c>
      <c r="F612" s="3" t="s">
        <v>14</v>
      </c>
      <c r="G612" s="3" t="s">
        <v>15</v>
      </c>
      <c r="H612" s="3" t="s">
        <v>46</v>
      </c>
      <c r="I612" s="4">
        <v>3</v>
      </c>
      <c r="J612" s="4">
        <v>16</v>
      </c>
      <c r="K612" s="3" t="s">
        <v>47</v>
      </c>
      <c r="L612" s="3" t="s">
        <v>48</v>
      </c>
    </row>
    <row r="613" spans="1:12" x14ac:dyDescent="0.5">
      <c r="A613" s="5">
        <v>45987</v>
      </c>
      <c r="B613" t="s">
        <v>218</v>
      </c>
      <c r="C613" t="s">
        <v>148</v>
      </c>
      <c r="E613" s="6">
        <v>2258</v>
      </c>
      <c r="F613" t="s">
        <v>41</v>
      </c>
      <c r="G613" t="s">
        <v>679</v>
      </c>
      <c r="H613" t="s">
        <v>62</v>
      </c>
      <c r="I613" s="6">
        <v>0</v>
      </c>
      <c r="J613" s="6">
        <v>2258</v>
      </c>
      <c r="K613" t="s">
        <v>63</v>
      </c>
      <c r="L613" t="s">
        <v>22</v>
      </c>
    </row>
    <row r="614" spans="1:12" x14ac:dyDescent="0.5">
      <c r="A614" s="2">
        <v>45988</v>
      </c>
      <c r="B614" s="3" t="s">
        <v>218</v>
      </c>
      <c r="C614" s="3" t="s">
        <v>130</v>
      </c>
      <c r="D614" s="3"/>
      <c r="E614" s="4">
        <v>64415</v>
      </c>
      <c r="F614" s="3" t="s">
        <v>14</v>
      </c>
      <c r="G614" s="3" t="s">
        <v>679</v>
      </c>
      <c r="H614" s="3" t="s">
        <v>24</v>
      </c>
      <c r="I614" s="4">
        <v>10285</v>
      </c>
      <c r="J614" s="4">
        <v>54130</v>
      </c>
      <c r="K614" s="3" t="s">
        <v>25</v>
      </c>
      <c r="L614" s="3" t="s">
        <v>26</v>
      </c>
    </row>
    <row r="615" spans="1:12" x14ac:dyDescent="0.5">
      <c r="A615" s="5">
        <v>45988</v>
      </c>
      <c r="B615" t="s">
        <v>218</v>
      </c>
      <c r="C615" t="s">
        <v>505</v>
      </c>
      <c r="E615" s="6">
        <v>60020</v>
      </c>
      <c r="F615" t="s">
        <v>14</v>
      </c>
      <c r="G615" t="s">
        <v>679</v>
      </c>
      <c r="H615" t="s">
        <v>24</v>
      </c>
      <c r="I615" s="6">
        <v>9583</v>
      </c>
      <c r="J615" s="6">
        <v>50437</v>
      </c>
      <c r="K615" t="s">
        <v>25</v>
      </c>
      <c r="L615" t="s">
        <v>26</v>
      </c>
    </row>
    <row r="616" spans="1:12" x14ac:dyDescent="0.5">
      <c r="A616" s="2">
        <v>45988</v>
      </c>
      <c r="B616" s="3" t="s">
        <v>218</v>
      </c>
      <c r="C616" s="3" t="s">
        <v>124</v>
      </c>
      <c r="D616" s="3"/>
      <c r="E616" s="4">
        <v>22900</v>
      </c>
      <c r="F616" s="3" t="s">
        <v>14</v>
      </c>
      <c r="G616" s="3" t="s">
        <v>679</v>
      </c>
      <c r="H616" s="3" t="s">
        <v>16</v>
      </c>
      <c r="I616" s="4">
        <v>3656</v>
      </c>
      <c r="J616" s="4">
        <v>19244</v>
      </c>
      <c r="K616" s="3" t="s">
        <v>17</v>
      </c>
      <c r="L616" s="3" t="s">
        <v>18</v>
      </c>
    </row>
    <row r="617" spans="1:12" x14ac:dyDescent="0.5">
      <c r="A617" s="5">
        <v>45988</v>
      </c>
      <c r="B617" t="s">
        <v>218</v>
      </c>
      <c r="C617" t="s">
        <v>107</v>
      </c>
      <c r="E617" s="6">
        <v>2220</v>
      </c>
      <c r="F617" t="s">
        <v>41</v>
      </c>
      <c r="G617" t="s">
        <v>679</v>
      </c>
      <c r="H617" t="s">
        <v>62</v>
      </c>
      <c r="I617" s="6">
        <v>0</v>
      </c>
      <c r="J617" s="6">
        <v>2220</v>
      </c>
      <c r="K617" t="s">
        <v>63</v>
      </c>
      <c r="L617" t="s">
        <v>22</v>
      </c>
    </row>
    <row r="618" spans="1:12" x14ac:dyDescent="0.5">
      <c r="A618" s="2">
        <v>45988</v>
      </c>
      <c r="B618" s="3" t="s">
        <v>218</v>
      </c>
      <c r="C618" s="3" t="s">
        <v>107</v>
      </c>
      <c r="D618" s="3"/>
      <c r="E618" s="4">
        <v>2016</v>
      </c>
      <c r="F618" s="3" t="s">
        <v>41</v>
      </c>
      <c r="G618" s="3" t="s">
        <v>679</v>
      </c>
      <c r="H618" s="3" t="s">
        <v>62</v>
      </c>
      <c r="I618" s="4">
        <v>0</v>
      </c>
      <c r="J618" s="4">
        <v>2016</v>
      </c>
      <c r="K618" s="3" t="s">
        <v>63</v>
      </c>
      <c r="L618" s="3" t="s">
        <v>22</v>
      </c>
    </row>
    <row r="619" spans="1:12" x14ac:dyDescent="0.5">
      <c r="A619" s="5">
        <v>45988</v>
      </c>
      <c r="B619" t="s">
        <v>218</v>
      </c>
      <c r="C619" t="s">
        <v>107</v>
      </c>
      <c r="E619" s="6">
        <v>1848</v>
      </c>
      <c r="F619" t="s">
        <v>41</v>
      </c>
      <c r="G619" t="s">
        <v>679</v>
      </c>
      <c r="H619" t="s">
        <v>62</v>
      </c>
      <c r="I619" s="6">
        <v>0</v>
      </c>
      <c r="J619" s="6">
        <v>1848</v>
      </c>
      <c r="K619" t="s">
        <v>63</v>
      </c>
      <c r="L619" t="s">
        <v>22</v>
      </c>
    </row>
    <row r="620" spans="1:12" x14ac:dyDescent="0.5">
      <c r="A620" s="2">
        <v>45989</v>
      </c>
      <c r="B620" s="3" t="s">
        <v>218</v>
      </c>
      <c r="C620" s="3" t="s">
        <v>229</v>
      </c>
      <c r="D620" s="3"/>
      <c r="E620" s="4">
        <v>50</v>
      </c>
      <c r="F620" s="3" t="s">
        <v>14</v>
      </c>
      <c r="G620" s="3" t="s">
        <v>679</v>
      </c>
      <c r="H620" s="3" t="s">
        <v>230</v>
      </c>
      <c r="I620" s="4">
        <v>8</v>
      </c>
      <c r="J620" s="4">
        <v>42</v>
      </c>
      <c r="K620" s="3" t="s">
        <v>231</v>
      </c>
      <c r="L620" s="3" t="s">
        <v>48</v>
      </c>
    </row>
    <row r="621" spans="1:12" x14ac:dyDescent="0.5">
      <c r="A621" s="5">
        <v>45989</v>
      </c>
      <c r="B621" t="s">
        <v>218</v>
      </c>
      <c r="C621" t="s">
        <v>107</v>
      </c>
      <c r="E621" s="6">
        <v>2752</v>
      </c>
      <c r="F621" t="s">
        <v>41</v>
      </c>
      <c r="G621" t="s">
        <v>679</v>
      </c>
      <c r="H621" t="s">
        <v>62</v>
      </c>
      <c r="I621" s="6">
        <v>0</v>
      </c>
      <c r="J621" s="6">
        <v>2752</v>
      </c>
      <c r="K621" t="s">
        <v>63</v>
      </c>
      <c r="L621" t="s">
        <v>22</v>
      </c>
    </row>
    <row r="622" spans="1:12" x14ac:dyDescent="0.5">
      <c r="A622" s="2">
        <v>45989</v>
      </c>
      <c r="B622" s="3" t="s">
        <v>218</v>
      </c>
      <c r="C622" s="3" t="s">
        <v>107</v>
      </c>
      <c r="D622" s="3"/>
      <c r="E622" s="4">
        <v>2689</v>
      </c>
      <c r="F622" s="3" t="s">
        <v>41</v>
      </c>
      <c r="G622" s="3" t="s">
        <v>679</v>
      </c>
      <c r="H622" s="3" t="s">
        <v>62</v>
      </c>
      <c r="I622" s="4">
        <v>0</v>
      </c>
      <c r="J622" s="4">
        <v>2689</v>
      </c>
      <c r="K622" s="3" t="s">
        <v>63</v>
      </c>
      <c r="L622" s="3" t="s">
        <v>22</v>
      </c>
    </row>
    <row r="623" spans="1:12" x14ac:dyDescent="0.5">
      <c r="A623" s="5">
        <v>45992</v>
      </c>
      <c r="B623" t="s">
        <v>232</v>
      </c>
      <c r="C623" t="s">
        <v>220</v>
      </c>
      <c r="E623" s="6">
        <v>34000</v>
      </c>
      <c r="F623" t="s">
        <v>14</v>
      </c>
      <c r="G623" t="s">
        <v>679</v>
      </c>
      <c r="H623" t="s">
        <v>24</v>
      </c>
      <c r="I623" s="6">
        <v>5429</v>
      </c>
      <c r="J623" s="6">
        <v>28571</v>
      </c>
      <c r="K623" t="s">
        <v>25</v>
      </c>
      <c r="L623" t="s">
        <v>26</v>
      </c>
    </row>
    <row r="624" spans="1:12" x14ac:dyDescent="0.5">
      <c r="A624" s="2">
        <v>45992</v>
      </c>
      <c r="B624" s="3" t="s">
        <v>232</v>
      </c>
      <c r="C624" s="3" t="s">
        <v>116</v>
      </c>
      <c r="D624" s="3"/>
      <c r="E624" s="4">
        <v>95836</v>
      </c>
      <c r="F624" s="3" t="s">
        <v>14</v>
      </c>
      <c r="G624" s="3" t="s">
        <v>679</v>
      </c>
      <c r="H624" s="3" t="s">
        <v>16</v>
      </c>
      <c r="I624" s="4">
        <v>15302</v>
      </c>
      <c r="J624" s="4">
        <v>80534</v>
      </c>
      <c r="K624" s="3" t="s">
        <v>17</v>
      </c>
      <c r="L624" s="3" t="s">
        <v>18</v>
      </c>
    </row>
    <row r="625" spans="1:12" x14ac:dyDescent="0.5">
      <c r="A625" s="5">
        <v>45992</v>
      </c>
      <c r="B625" t="s">
        <v>232</v>
      </c>
      <c r="C625" t="s">
        <v>233</v>
      </c>
      <c r="E625" s="6">
        <v>233397</v>
      </c>
      <c r="F625" t="s">
        <v>14</v>
      </c>
      <c r="G625" t="s">
        <v>679</v>
      </c>
      <c r="H625" t="s">
        <v>33</v>
      </c>
      <c r="I625" s="6">
        <v>37265</v>
      </c>
      <c r="J625" s="6">
        <v>196132</v>
      </c>
      <c r="K625" t="s">
        <v>34</v>
      </c>
      <c r="L625" t="s">
        <v>35</v>
      </c>
    </row>
    <row r="626" spans="1:12" x14ac:dyDescent="0.5">
      <c r="A626" s="2">
        <v>45992</v>
      </c>
      <c r="B626" s="3" t="s">
        <v>232</v>
      </c>
      <c r="C626" s="3" t="s">
        <v>107</v>
      </c>
      <c r="D626" s="3"/>
      <c r="E626" s="4">
        <v>2679</v>
      </c>
      <c r="F626" s="3" t="s">
        <v>41</v>
      </c>
      <c r="G626" s="3" t="s">
        <v>679</v>
      </c>
      <c r="H626" s="3" t="s">
        <v>62</v>
      </c>
      <c r="I626" s="4">
        <v>0</v>
      </c>
      <c r="J626" s="4">
        <v>2679</v>
      </c>
      <c r="K626" s="3" t="s">
        <v>63</v>
      </c>
      <c r="L626" s="3" t="s">
        <v>22</v>
      </c>
    </row>
    <row r="627" spans="1:12" x14ac:dyDescent="0.5">
      <c r="A627" s="5">
        <v>45992</v>
      </c>
      <c r="B627" t="s">
        <v>232</v>
      </c>
      <c r="C627" t="s">
        <v>107</v>
      </c>
      <c r="E627" s="6">
        <v>2459</v>
      </c>
      <c r="F627" t="s">
        <v>41</v>
      </c>
      <c r="G627" t="s">
        <v>679</v>
      </c>
      <c r="H627" t="s">
        <v>62</v>
      </c>
      <c r="I627" s="6">
        <v>0</v>
      </c>
      <c r="J627" s="6">
        <v>2459</v>
      </c>
      <c r="K627" t="s">
        <v>63</v>
      </c>
      <c r="L627" t="s">
        <v>22</v>
      </c>
    </row>
    <row r="628" spans="1:12" x14ac:dyDescent="0.5">
      <c r="A628" s="2">
        <v>45993</v>
      </c>
      <c r="B628" s="3" t="s">
        <v>232</v>
      </c>
      <c r="C628" s="3" t="s">
        <v>507</v>
      </c>
      <c r="D628" s="3"/>
      <c r="E628" s="4">
        <v>161878</v>
      </c>
      <c r="F628" s="3" t="s">
        <v>14</v>
      </c>
      <c r="G628" s="3" t="s">
        <v>679</v>
      </c>
      <c r="H628" s="3" t="s">
        <v>293</v>
      </c>
      <c r="I628" s="4">
        <v>25846</v>
      </c>
      <c r="J628" s="4">
        <v>136032</v>
      </c>
      <c r="K628" s="3" t="s">
        <v>294</v>
      </c>
      <c r="L628" s="3" t="s">
        <v>26</v>
      </c>
    </row>
    <row r="629" spans="1:12" x14ac:dyDescent="0.5">
      <c r="A629" s="5">
        <v>45993</v>
      </c>
      <c r="B629" t="s">
        <v>232</v>
      </c>
      <c r="C629" t="s">
        <v>127</v>
      </c>
      <c r="E629" s="6">
        <v>16431</v>
      </c>
      <c r="F629" t="s">
        <v>14</v>
      </c>
      <c r="G629" t="s">
        <v>679</v>
      </c>
      <c r="H629" t="s">
        <v>46</v>
      </c>
      <c r="I629" s="6">
        <v>2623</v>
      </c>
      <c r="J629" s="6">
        <v>13808</v>
      </c>
      <c r="K629" t="s">
        <v>47</v>
      </c>
      <c r="L629" t="s">
        <v>48</v>
      </c>
    </row>
    <row r="630" spans="1:12" x14ac:dyDescent="0.5">
      <c r="A630" s="2">
        <v>45993</v>
      </c>
      <c r="B630" s="3" t="s">
        <v>232</v>
      </c>
      <c r="C630" s="3" t="s">
        <v>124</v>
      </c>
      <c r="D630" s="3"/>
      <c r="E630" s="4">
        <v>19015</v>
      </c>
      <c r="F630" s="3" t="s">
        <v>14</v>
      </c>
      <c r="G630" s="3" t="s">
        <v>679</v>
      </c>
      <c r="H630" s="3" t="s">
        <v>16</v>
      </c>
      <c r="I630" s="4">
        <v>3036</v>
      </c>
      <c r="J630" s="4">
        <v>15979</v>
      </c>
      <c r="K630" s="3" t="s">
        <v>17</v>
      </c>
      <c r="L630" s="3" t="s">
        <v>18</v>
      </c>
    </row>
    <row r="631" spans="1:12" x14ac:dyDescent="0.5">
      <c r="A631" s="5">
        <v>45993</v>
      </c>
      <c r="B631" t="s">
        <v>232</v>
      </c>
      <c r="C631" t="s">
        <v>133</v>
      </c>
      <c r="E631" s="6">
        <v>5931</v>
      </c>
      <c r="F631" t="s">
        <v>41</v>
      </c>
      <c r="G631" t="s">
        <v>15</v>
      </c>
      <c r="H631" t="s">
        <v>134</v>
      </c>
      <c r="I631" s="6">
        <v>0</v>
      </c>
      <c r="J631" s="6">
        <v>5931</v>
      </c>
      <c r="K631" t="s">
        <v>135</v>
      </c>
      <c r="L631" t="s">
        <v>44</v>
      </c>
    </row>
    <row r="632" spans="1:12" x14ac:dyDescent="0.5">
      <c r="A632" s="2">
        <v>45993</v>
      </c>
      <c r="B632" s="3" t="s">
        <v>232</v>
      </c>
      <c r="C632" s="3" t="s">
        <v>136</v>
      </c>
      <c r="D632" s="3"/>
      <c r="E632" s="4">
        <v>652</v>
      </c>
      <c r="F632" s="3" t="s">
        <v>41</v>
      </c>
      <c r="G632" s="3" t="s">
        <v>15</v>
      </c>
      <c r="H632" s="3" t="s">
        <v>134</v>
      </c>
      <c r="I632" s="4">
        <v>0</v>
      </c>
      <c r="J632" s="4">
        <v>652</v>
      </c>
      <c r="K632" s="3" t="s">
        <v>135</v>
      </c>
      <c r="L632" s="3" t="s">
        <v>44</v>
      </c>
    </row>
    <row r="633" spans="1:12" x14ac:dyDescent="0.5">
      <c r="A633" s="5">
        <v>45994</v>
      </c>
      <c r="B633" t="s">
        <v>232</v>
      </c>
      <c r="C633" t="s">
        <v>229</v>
      </c>
      <c r="E633" s="6">
        <v>7862</v>
      </c>
      <c r="F633" t="s">
        <v>14</v>
      </c>
      <c r="G633" t="s">
        <v>679</v>
      </c>
      <c r="H633" t="s">
        <v>230</v>
      </c>
      <c r="I633" s="6">
        <v>1255</v>
      </c>
      <c r="J633" s="6">
        <v>6607</v>
      </c>
      <c r="K633" t="s">
        <v>231</v>
      </c>
      <c r="L633" t="s">
        <v>48</v>
      </c>
    </row>
    <row r="634" spans="1:12" x14ac:dyDescent="0.5">
      <c r="A634" s="2">
        <v>45994</v>
      </c>
      <c r="B634" s="3" t="s">
        <v>232</v>
      </c>
      <c r="C634" s="3" t="s">
        <v>114</v>
      </c>
      <c r="D634" s="3"/>
      <c r="E634" s="4">
        <v>125750</v>
      </c>
      <c r="F634" s="3" t="s">
        <v>14</v>
      </c>
      <c r="G634" s="3" t="s">
        <v>679</v>
      </c>
      <c r="H634" s="3" t="s">
        <v>16</v>
      </c>
      <c r="I634" s="4">
        <v>20078</v>
      </c>
      <c r="J634" s="4">
        <v>105672</v>
      </c>
      <c r="K634" s="3" t="s">
        <v>17</v>
      </c>
      <c r="L634" s="3" t="s">
        <v>18</v>
      </c>
    </row>
    <row r="635" spans="1:12" x14ac:dyDescent="0.5">
      <c r="A635" s="5">
        <v>45994</v>
      </c>
      <c r="B635" t="s">
        <v>232</v>
      </c>
      <c r="C635" t="s">
        <v>114</v>
      </c>
      <c r="E635" s="6">
        <v>125750</v>
      </c>
      <c r="F635" t="s">
        <v>14</v>
      </c>
      <c r="G635" t="s">
        <v>679</v>
      </c>
      <c r="H635" t="s">
        <v>16</v>
      </c>
      <c r="I635" s="6">
        <v>20078</v>
      </c>
      <c r="J635" s="6">
        <v>105672</v>
      </c>
      <c r="K635" t="s">
        <v>17</v>
      </c>
      <c r="L635" t="s">
        <v>18</v>
      </c>
    </row>
    <row r="636" spans="1:12" x14ac:dyDescent="0.5">
      <c r="A636" s="2">
        <v>45994</v>
      </c>
      <c r="B636" s="3" t="s">
        <v>232</v>
      </c>
      <c r="C636" s="3" t="s">
        <v>194</v>
      </c>
      <c r="D636" s="3"/>
      <c r="E636" s="4">
        <v>18909</v>
      </c>
      <c r="F636" s="3" t="s">
        <v>14</v>
      </c>
      <c r="G636" s="3" t="s">
        <v>679</v>
      </c>
      <c r="H636" s="3" t="s">
        <v>16</v>
      </c>
      <c r="I636" s="4">
        <v>3019</v>
      </c>
      <c r="J636" s="4">
        <v>15890</v>
      </c>
      <c r="K636" s="3" t="s">
        <v>17</v>
      </c>
      <c r="L636" s="3" t="s">
        <v>18</v>
      </c>
    </row>
    <row r="637" spans="1:12" x14ac:dyDescent="0.5">
      <c r="A637" s="5">
        <v>45994</v>
      </c>
      <c r="B637" t="s">
        <v>232</v>
      </c>
      <c r="C637" t="s">
        <v>19</v>
      </c>
      <c r="E637" s="6">
        <v>40596</v>
      </c>
      <c r="F637" t="s">
        <v>14</v>
      </c>
      <c r="G637" t="s">
        <v>15</v>
      </c>
      <c r="H637" t="s">
        <v>20</v>
      </c>
      <c r="I637" s="6">
        <v>6482</v>
      </c>
      <c r="J637" s="6">
        <v>34114</v>
      </c>
      <c r="K637" t="s">
        <v>21</v>
      </c>
      <c r="L637" t="s">
        <v>22</v>
      </c>
    </row>
    <row r="638" spans="1:12" x14ac:dyDescent="0.5">
      <c r="A638" s="2">
        <v>45994</v>
      </c>
      <c r="B638" s="3" t="s">
        <v>232</v>
      </c>
      <c r="C638" s="3" t="s">
        <v>148</v>
      </c>
      <c r="D638" s="3"/>
      <c r="E638" s="4">
        <v>2034</v>
      </c>
      <c r="F638" s="3" t="s">
        <v>41</v>
      </c>
      <c r="G638" s="3" t="s">
        <v>679</v>
      </c>
      <c r="H638" s="3" t="s">
        <v>62</v>
      </c>
      <c r="I638" s="4">
        <v>0</v>
      </c>
      <c r="J638" s="4">
        <v>2034</v>
      </c>
      <c r="K638" s="3" t="s">
        <v>63</v>
      </c>
      <c r="L638" s="3" t="s">
        <v>22</v>
      </c>
    </row>
    <row r="639" spans="1:12" x14ac:dyDescent="0.5">
      <c r="A639" s="5">
        <v>45995</v>
      </c>
      <c r="B639" t="s">
        <v>232</v>
      </c>
      <c r="C639" t="s">
        <v>433</v>
      </c>
      <c r="E639" s="6">
        <v>22600</v>
      </c>
      <c r="F639" t="s">
        <v>14</v>
      </c>
      <c r="G639" t="s">
        <v>679</v>
      </c>
      <c r="H639" t="s">
        <v>355</v>
      </c>
      <c r="I639" s="6">
        <v>3608</v>
      </c>
      <c r="J639" s="6">
        <v>18992</v>
      </c>
      <c r="K639" t="s">
        <v>356</v>
      </c>
      <c r="L639" t="s">
        <v>48</v>
      </c>
    </row>
    <row r="640" spans="1:12" x14ac:dyDescent="0.5">
      <c r="A640" s="2">
        <v>46000</v>
      </c>
      <c r="B640" s="3" t="s">
        <v>232</v>
      </c>
      <c r="C640" s="3" t="s">
        <v>148</v>
      </c>
      <c r="D640" s="3"/>
      <c r="E640" s="4">
        <v>3202</v>
      </c>
      <c r="F640" s="3" t="s">
        <v>41</v>
      </c>
      <c r="G640" s="3" t="s">
        <v>679</v>
      </c>
      <c r="H640" s="3" t="s">
        <v>62</v>
      </c>
      <c r="I640" s="4">
        <v>0</v>
      </c>
      <c r="J640" s="4">
        <v>3202</v>
      </c>
      <c r="K640" s="3" t="s">
        <v>63</v>
      </c>
      <c r="L640" s="3" t="s">
        <v>22</v>
      </c>
    </row>
    <row r="641" spans="1:12" x14ac:dyDescent="0.5">
      <c r="A641" s="5">
        <v>46000</v>
      </c>
      <c r="B641" t="s">
        <v>232</v>
      </c>
      <c r="C641" t="s">
        <v>107</v>
      </c>
      <c r="E641" s="6">
        <v>3002</v>
      </c>
      <c r="F641" t="s">
        <v>41</v>
      </c>
      <c r="G641" t="s">
        <v>679</v>
      </c>
      <c r="H641" t="s">
        <v>62</v>
      </c>
      <c r="I641" s="6">
        <v>0</v>
      </c>
      <c r="J641" s="6">
        <v>3002</v>
      </c>
      <c r="K641" t="s">
        <v>63</v>
      </c>
      <c r="L641" t="s">
        <v>22</v>
      </c>
    </row>
    <row r="642" spans="1:12" x14ac:dyDescent="0.5">
      <c r="A642" s="2">
        <v>46000</v>
      </c>
      <c r="B642" s="3" t="s">
        <v>232</v>
      </c>
      <c r="C642" s="3" t="s">
        <v>219</v>
      </c>
      <c r="D642" s="3"/>
      <c r="E642" s="4">
        <v>1934182</v>
      </c>
      <c r="F642" s="3" t="s">
        <v>41</v>
      </c>
      <c r="G642" s="3" t="s">
        <v>15</v>
      </c>
      <c r="H642" s="3" t="s">
        <v>134</v>
      </c>
      <c r="I642" s="4">
        <v>0</v>
      </c>
      <c r="J642" s="4">
        <v>1934182</v>
      </c>
      <c r="K642" s="3" t="s">
        <v>135</v>
      </c>
      <c r="L642" s="3" t="s">
        <v>44</v>
      </c>
    </row>
    <row r="643" spans="1:12" x14ac:dyDescent="0.5">
      <c r="A643" s="5">
        <v>46001</v>
      </c>
      <c r="B643" t="s">
        <v>232</v>
      </c>
      <c r="C643" t="s">
        <v>107</v>
      </c>
      <c r="E643" s="6">
        <v>11565</v>
      </c>
      <c r="F643" t="s">
        <v>41</v>
      </c>
      <c r="G643" t="s">
        <v>679</v>
      </c>
      <c r="H643" t="s">
        <v>62</v>
      </c>
      <c r="I643" s="6">
        <v>0</v>
      </c>
      <c r="J643" s="6">
        <v>11565</v>
      </c>
      <c r="K643" t="s">
        <v>63</v>
      </c>
      <c r="L643" t="s">
        <v>22</v>
      </c>
    </row>
    <row r="644" spans="1:12" x14ac:dyDescent="0.5">
      <c r="A644" s="2">
        <v>46002</v>
      </c>
      <c r="B644" s="3" t="s">
        <v>232</v>
      </c>
      <c r="C644" s="3" t="s">
        <v>229</v>
      </c>
      <c r="D644" s="3"/>
      <c r="E644" s="4">
        <v>58970</v>
      </c>
      <c r="F644" s="3" t="s">
        <v>14</v>
      </c>
      <c r="G644" s="3" t="s">
        <v>679</v>
      </c>
      <c r="H644" s="3" t="s">
        <v>230</v>
      </c>
      <c r="I644" s="4">
        <v>9415</v>
      </c>
      <c r="J644" s="4">
        <v>49555</v>
      </c>
      <c r="K644" s="3" t="s">
        <v>231</v>
      </c>
      <c r="L644" s="3" t="s">
        <v>48</v>
      </c>
    </row>
    <row r="645" spans="1:12" x14ac:dyDescent="0.5">
      <c r="A645" s="5">
        <v>46002</v>
      </c>
      <c r="B645" t="s">
        <v>232</v>
      </c>
      <c r="C645" t="s">
        <v>234</v>
      </c>
      <c r="E645" s="6">
        <v>264227</v>
      </c>
      <c r="F645" t="s">
        <v>14</v>
      </c>
      <c r="G645" t="s">
        <v>679</v>
      </c>
      <c r="H645" t="s">
        <v>33</v>
      </c>
      <c r="I645" s="6">
        <v>42188</v>
      </c>
      <c r="J645" s="6">
        <v>222039</v>
      </c>
      <c r="K645" t="s">
        <v>34</v>
      </c>
      <c r="L645" t="s">
        <v>35</v>
      </c>
    </row>
    <row r="646" spans="1:12" x14ac:dyDescent="0.5">
      <c r="A646" s="2">
        <v>46006</v>
      </c>
      <c r="B646" s="3" t="s">
        <v>218</v>
      </c>
      <c r="C646" s="3" t="s">
        <v>65</v>
      </c>
      <c r="D646" s="3"/>
      <c r="E646" s="4">
        <v>1507492</v>
      </c>
      <c r="F646" s="3" t="s">
        <v>41</v>
      </c>
      <c r="G646" s="3" t="s">
        <v>15</v>
      </c>
      <c r="H646" s="3" t="s">
        <v>66</v>
      </c>
      <c r="I646" s="4">
        <v>0</v>
      </c>
      <c r="J646" s="4">
        <v>1507492</v>
      </c>
      <c r="K646" s="3" t="s">
        <v>67</v>
      </c>
      <c r="L646" s="3" t="s">
        <v>68</v>
      </c>
    </row>
    <row r="647" spans="1:12" x14ac:dyDescent="0.5">
      <c r="A647" s="5">
        <v>46006</v>
      </c>
      <c r="B647" t="s">
        <v>232</v>
      </c>
      <c r="C647" t="s">
        <v>124</v>
      </c>
      <c r="E647" s="6">
        <v>22192</v>
      </c>
      <c r="F647" t="s">
        <v>14</v>
      </c>
      <c r="G647" t="s">
        <v>679</v>
      </c>
      <c r="H647" t="s">
        <v>16</v>
      </c>
      <c r="I647" s="6">
        <v>3543</v>
      </c>
      <c r="J647" s="6">
        <v>18649</v>
      </c>
      <c r="K647" t="s">
        <v>17</v>
      </c>
      <c r="L647" t="s">
        <v>18</v>
      </c>
    </row>
    <row r="648" spans="1:12" x14ac:dyDescent="0.5">
      <c r="A648" s="2">
        <v>46006</v>
      </c>
      <c r="B648" s="3" t="s">
        <v>232</v>
      </c>
      <c r="C648" s="3" t="s">
        <v>235</v>
      </c>
      <c r="D648" s="3"/>
      <c r="E648" s="4">
        <v>207930</v>
      </c>
      <c r="F648" s="3" t="s">
        <v>14</v>
      </c>
      <c r="G648" s="3" t="s">
        <v>679</v>
      </c>
      <c r="H648" s="3" t="s">
        <v>33</v>
      </c>
      <c r="I648" s="4">
        <v>33199</v>
      </c>
      <c r="J648" s="4">
        <v>174731</v>
      </c>
      <c r="K648" s="3" t="s">
        <v>34</v>
      </c>
      <c r="L648" s="3" t="s">
        <v>35</v>
      </c>
    </row>
    <row r="649" spans="1:12" x14ac:dyDescent="0.5">
      <c r="A649" s="5">
        <v>46006</v>
      </c>
      <c r="B649" t="s">
        <v>232</v>
      </c>
      <c r="C649" t="s">
        <v>107</v>
      </c>
      <c r="E649" s="6">
        <v>12768</v>
      </c>
      <c r="F649" t="s">
        <v>41</v>
      </c>
      <c r="G649" t="s">
        <v>679</v>
      </c>
      <c r="H649" t="s">
        <v>62</v>
      </c>
      <c r="I649" s="6">
        <v>0</v>
      </c>
      <c r="J649" s="6">
        <v>12768</v>
      </c>
      <c r="K649" t="s">
        <v>63</v>
      </c>
      <c r="L649" t="s">
        <v>22</v>
      </c>
    </row>
    <row r="650" spans="1:12" x14ac:dyDescent="0.5">
      <c r="A650" s="2">
        <v>46006</v>
      </c>
      <c r="B650" s="3" t="s">
        <v>232</v>
      </c>
      <c r="C650" s="3" t="s">
        <v>148</v>
      </c>
      <c r="D650" s="3"/>
      <c r="E650" s="4">
        <v>2966</v>
      </c>
      <c r="F650" s="3" t="s">
        <v>41</v>
      </c>
      <c r="G650" s="3" t="s">
        <v>679</v>
      </c>
      <c r="H650" s="3" t="s">
        <v>62</v>
      </c>
      <c r="I650" s="4">
        <v>0</v>
      </c>
      <c r="J650" s="4">
        <v>2966</v>
      </c>
      <c r="K650" s="3" t="s">
        <v>63</v>
      </c>
      <c r="L650" s="3" t="s">
        <v>22</v>
      </c>
    </row>
    <row r="651" spans="1:12" x14ac:dyDescent="0.5">
      <c r="A651" s="5">
        <v>46007</v>
      </c>
      <c r="B651" t="s">
        <v>232</v>
      </c>
      <c r="C651" t="s">
        <v>124</v>
      </c>
      <c r="E651" s="6">
        <v>22307</v>
      </c>
      <c r="F651" t="s">
        <v>14</v>
      </c>
      <c r="G651" t="s">
        <v>679</v>
      </c>
      <c r="H651" t="s">
        <v>16</v>
      </c>
      <c r="I651" s="6">
        <v>3562</v>
      </c>
      <c r="J651" s="6">
        <v>18745</v>
      </c>
      <c r="K651" t="s">
        <v>17</v>
      </c>
      <c r="L651" t="s">
        <v>18</v>
      </c>
    </row>
    <row r="652" spans="1:12" x14ac:dyDescent="0.5">
      <c r="A652" s="2">
        <v>46007</v>
      </c>
      <c r="B652" s="3" t="s">
        <v>232</v>
      </c>
      <c r="C652" s="3" t="s">
        <v>148</v>
      </c>
      <c r="D652" s="3"/>
      <c r="E652" s="4">
        <v>3867</v>
      </c>
      <c r="F652" s="3" t="s">
        <v>41</v>
      </c>
      <c r="G652" s="3" t="s">
        <v>679</v>
      </c>
      <c r="H652" s="3" t="s">
        <v>62</v>
      </c>
      <c r="I652" s="4">
        <v>0</v>
      </c>
      <c r="J652" s="4">
        <v>3867</v>
      </c>
      <c r="K652" s="3" t="s">
        <v>63</v>
      </c>
      <c r="L652" s="3" t="s">
        <v>22</v>
      </c>
    </row>
    <row r="653" spans="1:12" x14ac:dyDescent="0.5">
      <c r="A653" s="5">
        <v>46008</v>
      </c>
      <c r="B653" t="s">
        <v>232</v>
      </c>
      <c r="C653" t="s">
        <v>206</v>
      </c>
      <c r="E653" s="6">
        <v>17513</v>
      </c>
      <c r="F653" t="s">
        <v>14</v>
      </c>
      <c r="G653" t="s">
        <v>679</v>
      </c>
      <c r="H653" t="s">
        <v>24</v>
      </c>
      <c r="I653" s="6">
        <v>2796</v>
      </c>
      <c r="J653" s="6">
        <v>14717</v>
      </c>
      <c r="K653" t="s">
        <v>25</v>
      </c>
      <c r="L653" t="s">
        <v>26</v>
      </c>
    </row>
    <row r="654" spans="1:12" x14ac:dyDescent="0.5">
      <c r="A654" s="2">
        <v>46008</v>
      </c>
      <c r="B654" s="3" t="s">
        <v>232</v>
      </c>
      <c r="C654" s="3" t="s">
        <v>512</v>
      </c>
      <c r="D654" s="3"/>
      <c r="E654" s="4">
        <v>56440</v>
      </c>
      <c r="F654" s="3" t="s">
        <v>14</v>
      </c>
      <c r="G654" s="3" t="s">
        <v>679</v>
      </c>
      <c r="H654" s="3" t="s">
        <v>517</v>
      </c>
      <c r="I654" s="4">
        <v>9011</v>
      </c>
      <c r="J654" s="4">
        <v>47429</v>
      </c>
      <c r="K654" s="3" t="s">
        <v>516</v>
      </c>
      <c r="L654" s="3" t="s">
        <v>68</v>
      </c>
    </row>
    <row r="655" spans="1:12" x14ac:dyDescent="0.5">
      <c r="A655" s="5">
        <v>46008</v>
      </c>
      <c r="B655" t="s">
        <v>232</v>
      </c>
      <c r="C655" t="s">
        <v>236</v>
      </c>
      <c r="E655" s="6">
        <v>162031</v>
      </c>
      <c r="F655" t="s">
        <v>14</v>
      </c>
      <c r="G655" t="s">
        <v>679</v>
      </c>
      <c r="H655" t="s">
        <v>16</v>
      </c>
      <c r="I655" s="6">
        <v>25870</v>
      </c>
      <c r="J655" s="6">
        <v>136161</v>
      </c>
      <c r="K655" t="s">
        <v>17</v>
      </c>
      <c r="L655" t="s">
        <v>18</v>
      </c>
    </row>
    <row r="656" spans="1:12" x14ac:dyDescent="0.5">
      <c r="A656" s="2">
        <v>46008</v>
      </c>
      <c r="B656" s="3" t="s">
        <v>232</v>
      </c>
      <c r="C656" s="3" t="s">
        <v>227</v>
      </c>
      <c r="D656" s="3"/>
      <c r="E656" s="4">
        <v>104650</v>
      </c>
      <c r="F656" s="3" t="s">
        <v>14</v>
      </c>
      <c r="G656" s="3" t="s">
        <v>679</v>
      </c>
      <c r="H656" s="3" t="s">
        <v>16</v>
      </c>
      <c r="I656" s="4">
        <v>16709</v>
      </c>
      <c r="J656" s="4">
        <v>87941</v>
      </c>
      <c r="K656" s="3" t="s">
        <v>17</v>
      </c>
      <c r="L656" s="3" t="s">
        <v>18</v>
      </c>
    </row>
    <row r="657" spans="1:12" x14ac:dyDescent="0.5">
      <c r="A657" s="5">
        <v>46008</v>
      </c>
      <c r="B657" t="s">
        <v>232</v>
      </c>
      <c r="C657" t="s">
        <v>441</v>
      </c>
      <c r="E657" s="6">
        <v>27962</v>
      </c>
      <c r="F657" t="s">
        <v>14</v>
      </c>
      <c r="G657" t="s">
        <v>679</v>
      </c>
      <c r="H657" t="s">
        <v>16</v>
      </c>
      <c r="I657" s="6">
        <v>4465</v>
      </c>
      <c r="J657" s="6">
        <v>23497</v>
      </c>
      <c r="K657" t="s">
        <v>17</v>
      </c>
      <c r="L657" t="s">
        <v>18</v>
      </c>
    </row>
    <row r="658" spans="1:12" x14ac:dyDescent="0.5">
      <c r="A658" s="2">
        <v>46009</v>
      </c>
      <c r="B658" s="3" t="s">
        <v>232</v>
      </c>
      <c r="C658" s="3" t="s">
        <v>513</v>
      </c>
      <c r="D658" s="3"/>
      <c r="E658" s="4">
        <v>21410</v>
      </c>
      <c r="F658" s="3" t="s">
        <v>14</v>
      </c>
      <c r="G658" s="3" t="s">
        <v>679</v>
      </c>
      <c r="H658" s="3" t="s">
        <v>544</v>
      </c>
      <c r="I658" s="4">
        <v>3418</v>
      </c>
      <c r="J658" s="4">
        <v>17992</v>
      </c>
      <c r="K658" s="3" t="s">
        <v>520</v>
      </c>
      <c r="L658" s="3" t="s">
        <v>48</v>
      </c>
    </row>
    <row r="659" spans="1:12" x14ac:dyDescent="0.5">
      <c r="A659" s="5">
        <v>46009</v>
      </c>
      <c r="B659" t="s">
        <v>232</v>
      </c>
      <c r="C659" t="s">
        <v>186</v>
      </c>
      <c r="E659" s="6">
        <v>17157</v>
      </c>
      <c r="F659" t="s">
        <v>14</v>
      </c>
      <c r="G659" t="s">
        <v>15</v>
      </c>
      <c r="H659" t="s">
        <v>57</v>
      </c>
      <c r="I659" s="6">
        <v>2739</v>
      </c>
      <c r="J659" s="6">
        <v>14418</v>
      </c>
      <c r="K659" t="s">
        <v>58</v>
      </c>
      <c r="L659" t="s">
        <v>48</v>
      </c>
    </row>
    <row r="660" spans="1:12" x14ac:dyDescent="0.5">
      <c r="A660" s="2">
        <v>46009</v>
      </c>
      <c r="B660" s="3" t="s">
        <v>232</v>
      </c>
      <c r="C660" s="3" t="s">
        <v>237</v>
      </c>
      <c r="D660" s="3"/>
      <c r="E660" s="4">
        <v>264227</v>
      </c>
      <c r="F660" s="3" t="s">
        <v>14</v>
      </c>
      <c r="G660" s="3" t="s">
        <v>679</v>
      </c>
      <c r="H660" s="3" t="s">
        <v>33</v>
      </c>
      <c r="I660" s="4">
        <v>42188</v>
      </c>
      <c r="J660" s="4">
        <v>222039</v>
      </c>
      <c r="K660" s="3" t="s">
        <v>34</v>
      </c>
      <c r="L660" s="3" t="s">
        <v>35</v>
      </c>
    </row>
    <row r="661" spans="1:12" x14ac:dyDescent="0.5">
      <c r="A661" s="5">
        <v>46009</v>
      </c>
      <c r="B661" t="s">
        <v>232</v>
      </c>
      <c r="C661" t="s">
        <v>107</v>
      </c>
      <c r="E661" s="6">
        <v>4995</v>
      </c>
      <c r="F661" t="s">
        <v>41</v>
      </c>
      <c r="G661" t="s">
        <v>679</v>
      </c>
      <c r="H661" t="s">
        <v>62</v>
      </c>
      <c r="I661" s="6">
        <v>0</v>
      </c>
      <c r="J661" s="6">
        <v>4995</v>
      </c>
      <c r="K661" t="s">
        <v>63</v>
      </c>
      <c r="L661" t="s">
        <v>22</v>
      </c>
    </row>
    <row r="662" spans="1:12" x14ac:dyDescent="0.5">
      <c r="A662" s="2">
        <v>46009</v>
      </c>
      <c r="B662" s="3" t="s">
        <v>232</v>
      </c>
      <c r="C662" s="3" t="s">
        <v>107</v>
      </c>
      <c r="D662" s="3"/>
      <c r="E662" s="4">
        <v>4868</v>
      </c>
      <c r="F662" s="3" t="s">
        <v>41</v>
      </c>
      <c r="G662" s="3" t="s">
        <v>679</v>
      </c>
      <c r="H662" s="3" t="s">
        <v>62</v>
      </c>
      <c r="I662" s="4">
        <v>0</v>
      </c>
      <c r="J662" s="4">
        <v>4868</v>
      </c>
      <c r="K662" s="3" t="s">
        <v>63</v>
      </c>
      <c r="L662" s="3" t="s">
        <v>22</v>
      </c>
    </row>
    <row r="663" spans="1:12" x14ac:dyDescent="0.5">
      <c r="A663" s="5">
        <v>46009</v>
      </c>
      <c r="B663" t="s">
        <v>232</v>
      </c>
      <c r="C663" t="s">
        <v>238</v>
      </c>
      <c r="E663" s="6">
        <v>3180</v>
      </c>
      <c r="F663" t="s">
        <v>14</v>
      </c>
      <c r="G663" t="s">
        <v>679</v>
      </c>
      <c r="H663" t="s">
        <v>20</v>
      </c>
      <c r="I663" s="6">
        <v>508</v>
      </c>
      <c r="J663" s="6">
        <v>2672</v>
      </c>
      <c r="K663" t="s">
        <v>21</v>
      </c>
      <c r="L663" t="s">
        <v>22</v>
      </c>
    </row>
    <row r="664" spans="1:12" x14ac:dyDescent="0.5">
      <c r="A664" s="2">
        <v>46010</v>
      </c>
      <c r="B664" s="3" t="s">
        <v>232</v>
      </c>
      <c r="C664" s="3" t="s">
        <v>239</v>
      </c>
      <c r="D664" s="3"/>
      <c r="E664" s="4">
        <v>53574</v>
      </c>
      <c r="F664" s="3" t="s">
        <v>14</v>
      </c>
      <c r="G664" s="3" t="s">
        <v>679</v>
      </c>
      <c r="H664" s="3" t="s">
        <v>24</v>
      </c>
      <c r="I664" s="4">
        <v>8554</v>
      </c>
      <c r="J664" s="4">
        <v>45020</v>
      </c>
      <c r="K664" s="3" t="s">
        <v>25</v>
      </c>
      <c r="L664" s="3" t="s">
        <v>26</v>
      </c>
    </row>
    <row r="665" spans="1:12" x14ac:dyDescent="0.5">
      <c r="A665" s="5">
        <v>46013</v>
      </c>
      <c r="B665" t="s">
        <v>232</v>
      </c>
      <c r="C665" t="s">
        <v>240</v>
      </c>
      <c r="E665" s="6">
        <v>246506</v>
      </c>
      <c r="F665" t="s">
        <v>14</v>
      </c>
      <c r="G665" t="s">
        <v>679</v>
      </c>
      <c r="H665" t="s">
        <v>33</v>
      </c>
      <c r="I665" s="6">
        <v>39358</v>
      </c>
      <c r="J665" s="6">
        <v>207148</v>
      </c>
      <c r="K665" t="s">
        <v>34</v>
      </c>
      <c r="L665" t="s">
        <v>35</v>
      </c>
    </row>
    <row r="666" spans="1:12" x14ac:dyDescent="0.5">
      <c r="A666" s="2">
        <v>46013</v>
      </c>
      <c r="B666" s="3" t="s">
        <v>232</v>
      </c>
      <c r="C666" s="3" t="s">
        <v>148</v>
      </c>
      <c r="D666" s="3"/>
      <c r="E666" s="4">
        <v>4699</v>
      </c>
      <c r="F666" s="3" t="s">
        <v>41</v>
      </c>
      <c r="G666" s="3" t="s">
        <v>679</v>
      </c>
      <c r="H666" s="3" t="s">
        <v>62</v>
      </c>
      <c r="I666" s="4">
        <v>0</v>
      </c>
      <c r="J666" s="4">
        <v>4699</v>
      </c>
      <c r="K666" s="3" t="s">
        <v>63</v>
      </c>
      <c r="L666" s="3" t="s">
        <v>22</v>
      </c>
    </row>
    <row r="667" spans="1:12" x14ac:dyDescent="0.5">
      <c r="A667" s="5">
        <v>46013</v>
      </c>
      <c r="B667" t="s">
        <v>232</v>
      </c>
      <c r="C667" t="s">
        <v>148</v>
      </c>
      <c r="E667" s="6">
        <v>2695</v>
      </c>
      <c r="F667" t="s">
        <v>41</v>
      </c>
      <c r="G667" t="s">
        <v>679</v>
      </c>
      <c r="H667" t="s">
        <v>62</v>
      </c>
      <c r="I667" s="6">
        <v>0</v>
      </c>
      <c r="J667" s="6">
        <v>2695</v>
      </c>
      <c r="K667" t="s">
        <v>63</v>
      </c>
      <c r="L667" t="s">
        <v>22</v>
      </c>
    </row>
    <row r="668" spans="1:12" x14ac:dyDescent="0.5">
      <c r="A668" s="2">
        <v>46013</v>
      </c>
      <c r="B668" s="3" t="s">
        <v>232</v>
      </c>
      <c r="C668" s="3" t="s">
        <v>238</v>
      </c>
      <c r="D668" s="3"/>
      <c r="E668" s="4">
        <v>1890</v>
      </c>
      <c r="F668" s="3" t="s">
        <v>14</v>
      </c>
      <c r="G668" s="3" t="s">
        <v>679</v>
      </c>
      <c r="H668" s="3" t="s">
        <v>20</v>
      </c>
      <c r="I668" s="4">
        <v>302</v>
      </c>
      <c r="J668" s="4">
        <v>1588</v>
      </c>
      <c r="K668" s="3" t="s">
        <v>21</v>
      </c>
      <c r="L668" s="3" t="s">
        <v>22</v>
      </c>
    </row>
    <row r="669" spans="1:12" x14ac:dyDescent="0.5">
      <c r="A669" s="5">
        <v>46013</v>
      </c>
      <c r="B669" t="s">
        <v>232</v>
      </c>
      <c r="C669" t="s">
        <v>187</v>
      </c>
      <c r="E669" s="6">
        <v>2966</v>
      </c>
      <c r="F669" t="s">
        <v>14</v>
      </c>
      <c r="G669" t="s">
        <v>15</v>
      </c>
      <c r="H669" t="s">
        <v>109</v>
      </c>
      <c r="I669" s="6">
        <v>474</v>
      </c>
      <c r="J669" s="6">
        <v>2492</v>
      </c>
      <c r="K669" t="s">
        <v>110</v>
      </c>
      <c r="L669" t="s">
        <v>30</v>
      </c>
    </row>
    <row r="670" spans="1:12" x14ac:dyDescent="0.5">
      <c r="A670" s="2">
        <v>46013</v>
      </c>
      <c r="B670" s="3" t="s">
        <v>218</v>
      </c>
      <c r="C670" s="3" t="s">
        <v>40</v>
      </c>
      <c r="D670" s="3"/>
      <c r="E670" s="4">
        <v>113279</v>
      </c>
      <c r="F670" s="3" t="s">
        <v>41</v>
      </c>
      <c r="G670" s="3" t="s">
        <v>15</v>
      </c>
      <c r="H670" s="3" t="s">
        <v>42</v>
      </c>
      <c r="I670" s="4">
        <v>0</v>
      </c>
      <c r="J670" s="4">
        <v>113279</v>
      </c>
      <c r="K670" s="3" t="s">
        <v>43</v>
      </c>
      <c r="L670" s="3" t="s">
        <v>44</v>
      </c>
    </row>
    <row r="671" spans="1:12" x14ac:dyDescent="0.5">
      <c r="A671" s="5">
        <v>46014</v>
      </c>
      <c r="B671" t="s">
        <v>232</v>
      </c>
      <c r="C671" t="s">
        <v>127</v>
      </c>
      <c r="E671" s="6">
        <v>57831</v>
      </c>
      <c r="F671" t="s">
        <v>14</v>
      </c>
      <c r="G671" t="s">
        <v>679</v>
      </c>
      <c r="H671" t="s">
        <v>46</v>
      </c>
      <c r="I671" s="6">
        <v>9234</v>
      </c>
      <c r="J671" s="6">
        <v>48597</v>
      </c>
      <c r="K671" t="s">
        <v>47</v>
      </c>
      <c r="L671" t="s">
        <v>48</v>
      </c>
    </row>
    <row r="672" spans="1:12" x14ac:dyDescent="0.5">
      <c r="A672" s="2">
        <v>46014</v>
      </c>
      <c r="B672" s="3" t="s">
        <v>232</v>
      </c>
      <c r="C672" s="3" t="s">
        <v>105</v>
      </c>
      <c r="D672" s="3"/>
      <c r="E672" s="4">
        <v>7900</v>
      </c>
      <c r="F672" s="3" t="s">
        <v>14</v>
      </c>
      <c r="G672" s="3" t="s">
        <v>679</v>
      </c>
      <c r="H672" s="3" t="s">
        <v>16</v>
      </c>
      <c r="I672" s="4">
        <v>1261</v>
      </c>
      <c r="J672" s="4">
        <v>6639</v>
      </c>
      <c r="K672" s="3" t="s">
        <v>17</v>
      </c>
      <c r="L672" s="3" t="s">
        <v>18</v>
      </c>
    </row>
    <row r="673" spans="1:12" x14ac:dyDescent="0.5">
      <c r="A673" s="5">
        <v>46014</v>
      </c>
      <c r="B673" t="s">
        <v>232</v>
      </c>
      <c r="C673" t="s">
        <v>241</v>
      </c>
      <c r="E673" s="6">
        <v>264227</v>
      </c>
      <c r="F673" t="s">
        <v>14</v>
      </c>
      <c r="G673" t="s">
        <v>679</v>
      </c>
      <c r="H673" t="s">
        <v>33</v>
      </c>
      <c r="I673" s="6">
        <v>42188</v>
      </c>
      <c r="J673" s="6">
        <v>222039</v>
      </c>
      <c r="K673" t="s">
        <v>34</v>
      </c>
      <c r="L673" t="s">
        <v>35</v>
      </c>
    </row>
    <row r="674" spans="1:12" x14ac:dyDescent="0.5">
      <c r="A674" s="2">
        <v>46014</v>
      </c>
      <c r="B674" s="3" t="s">
        <v>232</v>
      </c>
      <c r="C674" s="3" t="s">
        <v>148</v>
      </c>
      <c r="D674" s="3"/>
      <c r="E674" s="4">
        <v>1551</v>
      </c>
      <c r="F674" s="3" t="s">
        <v>41</v>
      </c>
      <c r="G674" s="3" t="s">
        <v>679</v>
      </c>
      <c r="H674" s="3" t="s">
        <v>62</v>
      </c>
      <c r="I674" s="4">
        <v>0</v>
      </c>
      <c r="J674" s="4">
        <v>1551</v>
      </c>
      <c r="K674" s="3" t="s">
        <v>63</v>
      </c>
      <c r="L674" s="3" t="s">
        <v>22</v>
      </c>
    </row>
    <row r="675" spans="1:12" x14ac:dyDescent="0.5">
      <c r="A675" s="5">
        <v>46015</v>
      </c>
      <c r="B675" t="s">
        <v>232</v>
      </c>
      <c r="C675" t="s">
        <v>242</v>
      </c>
      <c r="E675" s="6">
        <v>56968</v>
      </c>
      <c r="F675" t="s">
        <v>14</v>
      </c>
      <c r="G675" t="s">
        <v>679</v>
      </c>
      <c r="H675" t="s">
        <v>33</v>
      </c>
      <c r="I675" s="6">
        <v>9096</v>
      </c>
      <c r="J675" s="6">
        <v>47872</v>
      </c>
      <c r="K675" t="s">
        <v>34</v>
      </c>
      <c r="L675" t="s">
        <v>35</v>
      </c>
    </row>
    <row r="676" spans="1:12" x14ac:dyDescent="0.5">
      <c r="A676" s="2">
        <v>46015</v>
      </c>
      <c r="B676" s="3" t="s">
        <v>232</v>
      </c>
      <c r="C676" s="3" t="s">
        <v>148</v>
      </c>
      <c r="D676" s="3"/>
      <c r="E676" s="4">
        <v>3457</v>
      </c>
      <c r="F676" s="3" t="s">
        <v>41</v>
      </c>
      <c r="G676" s="3" t="s">
        <v>679</v>
      </c>
      <c r="H676" s="3" t="s">
        <v>62</v>
      </c>
      <c r="I676" s="4">
        <v>0</v>
      </c>
      <c r="J676" s="4">
        <v>3457</v>
      </c>
      <c r="K676" s="3" t="s">
        <v>63</v>
      </c>
      <c r="L676" s="3" t="s">
        <v>22</v>
      </c>
    </row>
    <row r="677" spans="1:12" x14ac:dyDescent="0.5">
      <c r="A677" s="5">
        <v>46017</v>
      </c>
      <c r="B677" t="s">
        <v>232</v>
      </c>
      <c r="C677" t="s">
        <v>87</v>
      </c>
      <c r="E677" s="6">
        <v>19624</v>
      </c>
      <c r="F677" t="s">
        <v>14</v>
      </c>
      <c r="G677" t="s">
        <v>15</v>
      </c>
      <c r="H677" t="s">
        <v>46</v>
      </c>
      <c r="I677" s="6">
        <v>3133</v>
      </c>
      <c r="J677" s="6">
        <v>16491</v>
      </c>
      <c r="K677" t="s">
        <v>47</v>
      </c>
      <c r="L677" t="s">
        <v>48</v>
      </c>
    </row>
    <row r="678" spans="1:12" x14ac:dyDescent="0.5">
      <c r="A678" s="2">
        <v>46017</v>
      </c>
      <c r="B678" s="3" t="s">
        <v>232</v>
      </c>
      <c r="C678" s="3" t="s">
        <v>87</v>
      </c>
      <c r="D678" s="3"/>
      <c r="E678" s="4">
        <v>19</v>
      </c>
      <c r="F678" s="3" t="s">
        <v>14</v>
      </c>
      <c r="G678" s="3" t="s">
        <v>15</v>
      </c>
      <c r="H678" s="3" t="s">
        <v>46</v>
      </c>
      <c r="I678" s="4">
        <v>3</v>
      </c>
      <c r="J678" s="4">
        <v>16</v>
      </c>
      <c r="K678" s="3" t="s">
        <v>47</v>
      </c>
      <c r="L678" s="3" t="s">
        <v>48</v>
      </c>
    </row>
    <row r="679" spans="1:12" x14ac:dyDescent="0.5">
      <c r="A679" s="5">
        <v>46020</v>
      </c>
      <c r="B679" t="s">
        <v>232</v>
      </c>
      <c r="C679" t="s">
        <v>239</v>
      </c>
      <c r="E679" s="6">
        <v>56990</v>
      </c>
      <c r="F679" t="s">
        <v>14</v>
      </c>
      <c r="G679" t="s">
        <v>679</v>
      </c>
      <c r="H679" t="s">
        <v>24</v>
      </c>
      <c r="I679" s="6">
        <v>9099</v>
      </c>
      <c r="J679" s="6">
        <v>47891</v>
      </c>
      <c r="K679" t="s">
        <v>25</v>
      </c>
      <c r="L679" t="s">
        <v>26</v>
      </c>
    </row>
    <row r="680" spans="1:12" x14ac:dyDescent="0.5">
      <c r="A680" s="2">
        <v>46020</v>
      </c>
      <c r="B680" s="3" t="s">
        <v>232</v>
      </c>
      <c r="C680" s="3" t="s">
        <v>243</v>
      </c>
      <c r="D680" s="3"/>
      <c r="E680" s="4">
        <v>36470</v>
      </c>
      <c r="F680" s="3" t="s">
        <v>14</v>
      </c>
      <c r="G680" s="3" t="s">
        <v>15</v>
      </c>
      <c r="H680" s="3" t="s">
        <v>244</v>
      </c>
      <c r="I680" s="4">
        <v>5823</v>
      </c>
      <c r="J680" s="4">
        <v>30647</v>
      </c>
      <c r="K680" s="3" t="s">
        <v>245</v>
      </c>
      <c r="L680" s="3" t="s">
        <v>48</v>
      </c>
    </row>
    <row r="681" spans="1:12" x14ac:dyDescent="0.5">
      <c r="A681" s="5">
        <v>46020</v>
      </c>
      <c r="B681" t="s">
        <v>232</v>
      </c>
      <c r="C681" t="s">
        <v>124</v>
      </c>
      <c r="E681" s="6">
        <v>22080</v>
      </c>
      <c r="F681" t="s">
        <v>14</v>
      </c>
      <c r="G681" t="s">
        <v>679</v>
      </c>
      <c r="H681" t="s">
        <v>16</v>
      </c>
      <c r="I681" s="6">
        <v>3525</v>
      </c>
      <c r="J681" s="6">
        <v>18555</v>
      </c>
      <c r="K681" t="s">
        <v>17</v>
      </c>
      <c r="L681" t="s">
        <v>18</v>
      </c>
    </row>
    <row r="682" spans="1:12" x14ac:dyDescent="0.5">
      <c r="A682" s="2">
        <v>46021</v>
      </c>
      <c r="B682" s="3" t="s">
        <v>232</v>
      </c>
      <c r="C682" s="3" t="s">
        <v>507</v>
      </c>
      <c r="D682" s="3"/>
      <c r="E682" s="4">
        <v>73114</v>
      </c>
      <c r="F682" s="3" t="s">
        <v>14</v>
      </c>
      <c r="G682" s="3" t="s">
        <v>679</v>
      </c>
      <c r="H682" s="3" t="s">
        <v>293</v>
      </c>
      <c r="I682" s="4">
        <v>11674</v>
      </c>
      <c r="J682" s="4">
        <v>61440</v>
      </c>
      <c r="K682" s="3" t="s">
        <v>294</v>
      </c>
      <c r="L682" s="3" t="s">
        <v>26</v>
      </c>
    </row>
    <row r="683" spans="1:12" x14ac:dyDescent="0.5">
      <c r="A683" s="5">
        <v>46021</v>
      </c>
      <c r="B683" t="s">
        <v>232</v>
      </c>
      <c r="C683" t="s">
        <v>220</v>
      </c>
      <c r="E683" s="6">
        <v>34000</v>
      </c>
      <c r="F683" t="s">
        <v>14</v>
      </c>
      <c r="G683" t="s">
        <v>679</v>
      </c>
      <c r="H683" t="s">
        <v>24</v>
      </c>
      <c r="I683" s="6">
        <v>5429</v>
      </c>
      <c r="J683" s="6">
        <v>28571</v>
      </c>
      <c r="K683" t="s">
        <v>25</v>
      </c>
      <c r="L683" t="s">
        <v>26</v>
      </c>
    </row>
    <row r="684" spans="1:12" x14ac:dyDescent="0.5">
      <c r="A684" s="2">
        <v>46021</v>
      </c>
      <c r="B684" s="3" t="s">
        <v>232</v>
      </c>
      <c r="C684" s="3" t="s">
        <v>246</v>
      </c>
      <c r="D684" s="3"/>
      <c r="E684" s="4">
        <v>264227</v>
      </c>
      <c r="F684" s="3" t="s">
        <v>14</v>
      </c>
      <c r="G684" s="3" t="s">
        <v>679</v>
      </c>
      <c r="H684" s="3" t="s">
        <v>33</v>
      </c>
      <c r="I684" s="4">
        <v>42188</v>
      </c>
      <c r="J684" s="4">
        <v>222039</v>
      </c>
      <c r="K684" s="3" t="s">
        <v>34</v>
      </c>
      <c r="L684" s="3" t="s">
        <v>35</v>
      </c>
    </row>
    <row r="685" spans="1:12" x14ac:dyDescent="0.5">
      <c r="A685" s="5">
        <v>46021</v>
      </c>
      <c r="B685" t="s">
        <v>232</v>
      </c>
      <c r="C685" t="s">
        <v>107</v>
      </c>
      <c r="E685" s="6">
        <v>5641</v>
      </c>
      <c r="F685" t="s">
        <v>41</v>
      </c>
      <c r="G685" t="s">
        <v>679</v>
      </c>
      <c r="H685" t="s">
        <v>62</v>
      </c>
      <c r="I685" s="6">
        <v>0</v>
      </c>
      <c r="J685" s="6">
        <v>5641</v>
      </c>
      <c r="K685" t="s">
        <v>63</v>
      </c>
      <c r="L685" t="s">
        <v>22</v>
      </c>
    </row>
    <row r="686" spans="1:12" x14ac:dyDescent="0.5">
      <c r="A686" s="2">
        <v>46021</v>
      </c>
      <c r="B686" s="3" t="s">
        <v>232</v>
      </c>
      <c r="C686" s="3" t="s">
        <v>107</v>
      </c>
      <c r="D686" s="3"/>
      <c r="E686" s="4">
        <v>4814</v>
      </c>
      <c r="F686" s="3" t="s">
        <v>41</v>
      </c>
      <c r="G686" s="3" t="s">
        <v>679</v>
      </c>
      <c r="H686" s="3" t="s">
        <v>62</v>
      </c>
      <c r="I686" s="4">
        <v>0</v>
      </c>
      <c r="J686" s="4">
        <v>4814</v>
      </c>
      <c r="K686" s="3" t="s">
        <v>63</v>
      </c>
      <c r="L686" s="3" t="s">
        <v>22</v>
      </c>
    </row>
    <row r="687" spans="1:12" x14ac:dyDescent="0.5">
      <c r="A687" s="5">
        <v>46021</v>
      </c>
      <c r="B687" t="s">
        <v>232</v>
      </c>
      <c r="C687" t="s">
        <v>107</v>
      </c>
      <c r="E687" s="6">
        <v>4510</v>
      </c>
      <c r="F687" t="s">
        <v>41</v>
      </c>
      <c r="G687" t="s">
        <v>679</v>
      </c>
      <c r="H687" t="s">
        <v>62</v>
      </c>
      <c r="I687" s="6">
        <v>0</v>
      </c>
      <c r="J687" s="6">
        <v>4510</v>
      </c>
      <c r="K687" t="s">
        <v>63</v>
      </c>
      <c r="L687" t="s">
        <v>22</v>
      </c>
    </row>
    <row r="688" spans="1:12" x14ac:dyDescent="0.5">
      <c r="A688" s="2">
        <v>46024</v>
      </c>
      <c r="B688" s="3" t="s">
        <v>552</v>
      </c>
      <c r="C688" s="3" t="s">
        <v>430</v>
      </c>
      <c r="D688" s="3"/>
      <c r="E688" s="4">
        <v>416940</v>
      </c>
      <c r="F688" s="3" t="s">
        <v>14</v>
      </c>
      <c r="G688" s="3" t="s">
        <v>679</v>
      </c>
      <c r="H688" s="3" t="s">
        <v>321</v>
      </c>
      <c r="I688" s="4">
        <v>66570</v>
      </c>
      <c r="J688" s="4">
        <v>350370</v>
      </c>
      <c r="K688" s="3" t="s">
        <v>322</v>
      </c>
      <c r="L688" s="3" t="s">
        <v>26</v>
      </c>
    </row>
    <row r="689" spans="1:12" x14ac:dyDescent="0.5">
      <c r="A689" s="5">
        <v>46024</v>
      </c>
      <c r="B689" t="s">
        <v>552</v>
      </c>
      <c r="C689" t="s">
        <v>229</v>
      </c>
      <c r="E689" s="6">
        <v>59101</v>
      </c>
      <c r="F689" t="s">
        <v>14</v>
      </c>
      <c r="G689" t="s">
        <v>679</v>
      </c>
      <c r="H689" t="s">
        <v>230</v>
      </c>
      <c r="I689" s="6">
        <v>9436</v>
      </c>
      <c r="J689" s="6">
        <v>49665</v>
      </c>
      <c r="K689" t="s">
        <v>231</v>
      </c>
      <c r="L689" t="s">
        <v>48</v>
      </c>
    </row>
    <row r="690" spans="1:12" x14ac:dyDescent="0.5">
      <c r="A690" s="2">
        <v>46024</v>
      </c>
      <c r="B690" s="3" t="s">
        <v>552</v>
      </c>
      <c r="C690" s="3" t="s">
        <v>584</v>
      </c>
      <c r="D690" s="3"/>
      <c r="E690" s="4">
        <v>93089</v>
      </c>
      <c r="F690" s="3" t="s">
        <v>14</v>
      </c>
      <c r="G690" s="3" t="s">
        <v>679</v>
      </c>
      <c r="H690" s="3" t="s">
        <v>16</v>
      </c>
      <c r="I690" s="4">
        <v>14863</v>
      </c>
      <c r="J690" s="4">
        <v>78226</v>
      </c>
      <c r="K690" s="3" t="s">
        <v>17</v>
      </c>
      <c r="L690" s="3" t="s">
        <v>18</v>
      </c>
    </row>
    <row r="691" spans="1:12" x14ac:dyDescent="0.5">
      <c r="A691" s="5">
        <v>46024</v>
      </c>
      <c r="B691" t="s">
        <v>552</v>
      </c>
      <c r="C691" t="s">
        <v>124</v>
      </c>
      <c r="E691" s="6">
        <v>18470</v>
      </c>
      <c r="F691" t="s">
        <v>14</v>
      </c>
      <c r="G691" t="s">
        <v>679</v>
      </c>
      <c r="H691" t="s">
        <v>16</v>
      </c>
      <c r="I691" s="6">
        <v>2949</v>
      </c>
      <c r="J691" s="6">
        <v>15521</v>
      </c>
      <c r="K691" t="s">
        <v>17</v>
      </c>
      <c r="L691" t="s">
        <v>18</v>
      </c>
    </row>
    <row r="692" spans="1:12" x14ac:dyDescent="0.5">
      <c r="A692" s="2">
        <v>46027</v>
      </c>
      <c r="B692" s="3" t="s">
        <v>552</v>
      </c>
      <c r="C692" s="3" t="s">
        <v>117</v>
      </c>
      <c r="D692" s="3"/>
      <c r="E692" s="4">
        <v>136890</v>
      </c>
      <c r="F692" s="3" t="s">
        <v>14</v>
      </c>
      <c r="G692" s="3" t="s">
        <v>679</v>
      </c>
      <c r="H692" s="3" t="s">
        <v>16</v>
      </c>
      <c r="I692" s="4">
        <v>21856</v>
      </c>
      <c r="J692" s="4">
        <v>115034</v>
      </c>
      <c r="K692" s="3" t="s">
        <v>17</v>
      </c>
      <c r="L692" s="3" t="s">
        <v>18</v>
      </c>
    </row>
    <row r="693" spans="1:12" x14ac:dyDescent="0.5">
      <c r="A693" s="5">
        <v>46027</v>
      </c>
      <c r="B693" t="s">
        <v>552</v>
      </c>
      <c r="C693" t="s">
        <v>194</v>
      </c>
      <c r="E693" s="6">
        <v>18389</v>
      </c>
      <c r="F693" t="s">
        <v>14</v>
      </c>
      <c r="G693" t="s">
        <v>679</v>
      </c>
      <c r="H693" t="s">
        <v>16</v>
      </c>
      <c r="I693" s="6">
        <v>2936</v>
      </c>
      <c r="J693" s="6">
        <v>15453</v>
      </c>
      <c r="K693" t="s">
        <v>17</v>
      </c>
      <c r="L693" t="s">
        <v>18</v>
      </c>
    </row>
    <row r="694" spans="1:12" x14ac:dyDescent="0.5">
      <c r="A694" s="2">
        <v>46027</v>
      </c>
      <c r="B694" s="3" t="s">
        <v>552</v>
      </c>
      <c r="C694" s="3" t="s">
        <v>133</v>
      </c>
      <c r="D694" s="3"/>
      <c r="E694" s="4">
        <v>14111</v>
      </c>
      <c r="F694" s="3" t="s">
        <v>41</v>
      </c>
      <c r="G694" s="3" t="s">
        <v>15</v>
      </c>
      <c r="H694" s="3" t="s">
        <v>134</v>
      </c>
      <c r="I694" s="4">
        <v>0</v>
      </c>
      <c r="J694" s="4">
        <v>14111</v>
      </c>
      <c r="K694" s="3" t="s">
        <v>135</v>
      </c>
      <c r="L694" s="3" t="s">
        <v>44</v>
      </c>
    </row>
    <row r="695" spans="1:12" x14ac:dyDescent="0.5">
      <c r="A695" s="5">
        <v>46027</v>
      </c>
      <c r="B695" t="s">
        <v>552</v>
      </c>
      <c r="C695" t="s">
        <v>136</v>
      </c>
      <c r="E695" s="6">
        <v>725</v>
      </c>
      <c r="F695" t="s">
        <v>41</v>
      </c>
      <c r="G695" t="s">
        <v>15</v>
      </c>
      <c r="H695" t="s">
        <v>134</v>
      </c>
      <c r="I695" s="6">
        <v>0</v>
      </c>
      <c r="J695" s="6">
        <v>725</v>
      </c>
      <c r="K695" t="s">
        <v>135</v>
      </c>
      <c r="L695" t="s">
        <v>44</v>
      </c>
    </row>
    <row r="696" spans="1:12" x14ac:dyDescent="0.5">
      <c r="A696" s="2">
        <v>46028</v>
      </c>
      <c r="B696" s="3" t="s">
        <v>552</v>
      </c>
      <c r="C696" s="3" t="s">
        <v>587</v>
      </c>
      <c r="D696" s="3"/>
      <c r="E696" s="4">
        <v>425700</v>
      </c>
      <c r="F696" s="3" t="s">
        <v>14</v>
      </c>
      <c r="G696" s="3" t="s">
        <v>679</v>
      </c>
      <c r="H696" s="3" t="s">
        <v>355</v>
      </c>
      <c r="I696" s="4">
        <v>67969</v>
      </c>
      <c r="J696" s="4">
        <v>357731</v>
      </c>
      <c r="K696" s="3" t="s">
        <v>356</v>
      </c>
      <c r="L696" s="3" t="s">
        <v>48</v>
      </c>
    </row>
    <row r="697" spans="1:12" x14ac:dyDescent="0.5">
      <c r="A697" s="5">
        <v>46028</v>
      </c>
      <c r="B697" t="s">
        <v>552</v>
      </c>
      <c r="C697" t="s">
        <v>587</v>
      </c>
      <c r="E697" s="6">
        <v>104280</v>
      </c>
      <c r="F697" t="s">
        <v>14</v>
      </c>
      <c r="G697" t="s">
        <v>679</v>
      </c>
      <c r="H697" t="s">
        <v>355</v>
      </c>
      <c r="I697" s="6">
        <v>16650</v>
      </c>
      <c r="J697" s="6">
        <v>87630</v>
      </c>
      <c r="K697" t="s">
        <v>356</v>
      </c>
      <c r="L697" t="s">
        <v>48</v>
      </c>
    </row>
    <row r="698" spans="1:12" x14ac:dyDescent="0.5">
      <c r="A698" s="2">
        <v>46028</v>
      </c>
      <c r="B698" s="3" t="s">
        <v>552</v>
      </c>
      <c r="C698" s="3" t="s">
        <v>588</v>
      </c>
      <c r="D698" s="3"/>
      <c r="E698" s="4">
        <v>12100</v>
      </c>
      <c r="F698" s="3" t="s">
        <v>41</v>
      </c>
      <c r="G698" s="3" t="s">
        <v>679</v>
      </c>
      <c r="H698" s="3" t="s">
        <v>62</v>
      </c>
      <c r="I698" s="4">
        <v>0</v>
      </c>
      <c r="J698" s="4">
        <v>12100</v>
      </c>
      <c r="K698" s="3" t="s">
        <v>63</v>
      </c>
      <c r="L698" s="3" t="s">
        <v>22</v>
      </c>
    </row>
    <row r="699" spans="1:12" x14ac:dyDescent="0.5">
      <c r="A699" s="5">
        <v>46029</v>
      </c>
      <c r="B699" t="s">
        <v>552</v>
      </c>
      <c r="C699" t="s">
        <v>589</v>
      </c>
      <c r="E699" s="6">
        <v>18150</v>
      </c>
      <c r="F699" t="s">
        <v>14</v>
      </c>
      <c r="G699" t="s">
        <v>679</v>
      </c>
      <c r="H699" t="s">
        <v>321</v>
      </c>
      <c r="I699" s="6">
        <v>2898</v>
      </c>
      <c r="J699" s="6">
        <v>15252</v>
      </c>
      <c r="K699" t="s">
        <v>322</v>
      </c>
      <c r="L699" t="s">
        <v>26</v>
      </c>
    </row>
    <row r="700" spans="1:12" x14ac:dyDescent="0.5">
      <c r="A700" s="2">
        <v>46029</v>
      </c>
      <c r="B700" s="3" t="s">
        <v>552</v>
      </c>
      <c r="C700" s="3" t="s">
        <v>590</v>
      </c>
      <c r="D700" s="3"/>
      <c r="E700" s="4">
        <v>2070</v>
      </c>
      <c r="F700" s="3" t="s">
        <v>14</v>
      </c>
      <c r="G700" s="3" t="s">
        <v>679</v>
      </c>
      <c r="H700" s="3" t="s">
        <v>321</v>
      </c>
      <c r="I700" s="4">
        <v>331</v>
      </c>
      <c r="J700" s="4">
        <v>1739</v>
      </c>
      <c r="K700" s="3" t="s">
        <v>322</v>
      </c>
      <c r="L700" s="3" t="s">
        <v>26</v>
      </c>
    </row>
    <row r="701" spans="1:12" x14ac:dyDescent="0.5">
      <c r="A701" s="5">
        <v>46029</v>
      </c>
      <c r="B701" t="s">
        <v>552</v>
      </c>
      <c r="C701" t="s">
        <v>553</v>
      </c>
      <c r="E701" s="6">
        <v>264227</v>
      </c>
      <c r="F701" t="s">
        <v>14</v>
      </c>
      <c r="G701" t="s">
        <v>679</v>
      </c>
      <c r="H701" t="s">
        <v>33</v>
      </c>
      <c r="I701" s="6">
        <v>42188</v>
      </c>
      <c r="J701" s="6">
        <v>222039</v>
      </c>
      <c r="K701" t="s">
        <v>34</v>
      </c>
      <c r="L701" t="s">
        <v>35</v>
      </c>
    </row>
    <row r="702" spans="1:12" x14ac:dyDescent="0.5">
      <c r="A702" s="2">
        <v>46029</v>
      </c>
      <c r="B702" s="3" t="s">
        <v>552</v>
      </c>
      <c r="C702" s="3" t="s">
        <v>219</v>
      </c>
      <c r="D702" s="3"/>
      <c r="E702" s="4">
        <v>1929027</v>
      </c>
      <c r="F702" s="3" t="s">
        <v>41</v>
      </c>
      <c r="G702" s="3" t="s">
        <v>15</v>
      </c>
      <c r="H702" s="3" t="s">
        <v>134</v>
      </c>
      <c r="I702" s="4">
        <v>0</v>
      </c>
      <c r="J702" s="4">
        <v>1929027</v>
      </c>
      <c r="K702" s="3" t="s">
        <v>135</v>
      </c>
      <c r="L702" s="3" t="s">
        <v>44</v>
      </c>
    </row>
    <row r="703" spans="1:12" x14ac:dyDescent="0.5">
      <c r="A703" s="5">
        <v>46030</v>
      </c>
      <c r="B703" t="s">
        <v>232</v>
      </c>
      <c r="C703" t="s">
        <v>65</v>
      </c>
      <c r="E703" s="6">
        <v>1505848</v>
      </c>
      <c r="F703" t="s">
        <v>41</v>
      </c>
      <c r="G703" t="s">
        <v>15</v>
      </c>
      <c r="H703" t="s">
        <v>66</v>
      </c>
      <c r="I703" s="6">
        <v>0</v>
      </c>
      <c r="J703" s="6">
        <v>1505848</v>
      </c>
      <c r="K703" t="s">
        <v>67</v>
      </c>
      <c r="L703" t="s">
        <v>68</v>
      </c>
    </row>
    <row r="704" spans="1:12" x14ac:dyDescent="0.5">
      <c r="A704" s="2">
        <v>46030</v>
      </c>
      <c r="B704" s="3" t="s">
        <v>552</v>
      </c>
      <c r="C704" s="3" t="s">
        <v>433</v>
      </c>
      <c r="D704" s="3"/>
      <c r="E704" s="4">
        <v>32123</v>
      </c>
      <c r="F704" s="3" t="s">
        <v>14</v>
      </c>
      <c r="G704" s="3" t="s">
        <v>679</v>
      </c>
      <c r="H704" s="3" t="s">
        <v>355</v>
      </c>
      <c r="I704" s="4">
        <v>5129</v>
      </c>
      <c r="J704" s="4">
        <v>26994</v>
      </c>
      <c r="K704" s="3" t="s">
        <v>356</v>
      </c>
      <c r="L704" s="3" t="s">
        <v>48</v>
      </c>
    </row>
    <row r="705" spans="1:12" x14ac:dyDescent="0.5">
      <c r="A705" s="5">
        <v>46030</v>
      </c>
      <c r="B705" t="s">
        <v>552</v>
      </c>
      <c r="C705" t="s">
        <v>554</v>
      </c>
      <c r="E705" s="6">
        <v>260190</v>
      </c>
      <c r="F705" t="s">
        <v>14</v>
      </c>
      <c r="G705" t="s">
        <v>679</v>
      </c>
      <c r="H705" t="s">
        <v>33</v>
      </c>
      <c r="I705" s="6">
        <v>41543</v>
      </c>
      <c r="J705" s="6">
        <v>218647</v>
      </c>
      <c r="K705" t="s">
        <v>34</v>
      </c>
      <c r="L705" t="s">
        <v>35</v>
      </c>
    </row>
    <row r="706" spans="1:12" x14ac:dyDescent="0.5">
      <c r="A706" s="2">
        <v>46030</v>
      </c>
      <c r="B706" s="3" t="s">
        <v>552</v>
      </c>
      <c r="C706" s="3" t="s">
        <v>591</v>
      </c>
      <c r="D706" s="3"/>
      <c r="E706" s="4">
        <v>18390</v>
      </c>
      <c r="F706" s="3" t="s">
        <v>14</v>
      </c>
      <c r="G706" s="3" t="s">
        <v>679</v>
      </c>
      <c r="H706" s="3" t="s">
        <v>547</v>
      </c>
      <c r="I706" s="4">
        <v>2936</v>
      </c>
      <c r="J706" s="4">
        <v>15454</v>
      </c>
      <c r="K706" s="3" t="s">
        <v>530</v>
      </c>
      <c r="L706" s="3" t="s">
        <v>35</v>
      </c>
    </row>
    <row r="707" spans="1:12" x14ac:dyDescent="0.5">
      <c r="A707" s="5">
        <v>46030</v>
      </c>
      <c r="B707" t="s">
        <v>552</v>
      </c>
      <c r="C707" t="s">
        <v>107</v>
      </c>
      <c r="E707" s="6">
        <v>3241</v>
      </c>
      <c r="F707" t="s">
        <v>41</v>
      </c>
      <c r="G707" t="s">
        <v>679</v>
      </c>
      <c r="H707" t="s">
        <v>62</v>
      </c>
      <c r="I707" s="6">
        <v>0</v>
      </c>
      <c r="J707" s="6">
        <v>3241</v>
      </c>
      <c r="K707" t="s">
        <v>63</v>
      </c>
      <c r="L707" t="s">
        <v>22</v>
      </c>
    </row>
    <row r="708" spans="1:12" x14ac:dyDescent="0.5">
      <c r="A708" s="2">
        <v>46030</v>
      </c>
      <c r="B708" s="3" t="s">
        <v>552</v>
      </c>
      <c r="C708" s="3" t="s">
        <v>107</v>
      </c>
      <c r="D708" s="3"/>
      <c r="E708" s="4">
        <v>3236</v>
      </c>
      <c r="F708" s="3" t="s">
        <v>41</v>
      </c>
      <c r="G708" s="3" t="s">
        <v>679</v>
      </c>
      <c r="H708" s="3" t="s">
        <v>62</v>
      </c>
      <c r="I708" s="4">
        <v>0</v>
      </c>
      <c r="J708" s="4">
        <v>3236</v>
      </c>
      <c r="K708" s="3" t="s">
        <v>63</v>
      </c>
      <c r="L708" s="3" t="s">
        <v>22</v>
      </c>
    </row>
    <row r="709" spans="1:12" x14ac:dyDescent="0.5">
      <c r="A709" s="5">
        <v>46034</v>
      </c>
      <c r="B709" t="s">
        <v>552</v>
      </c>
      <c r="C709" t="s">
        <v>555</v>
      </c>
      <c r="E709" s="6">
        <v>183565</v>
      </c>
      <c r="F709" t="s">
        <v>14</v>
      </c>
      <c r="G709" t="s">
        <v>679</v>
      </c>
      <c r="H709" t="s">
        <v>16</v>
      </c>
      <c r="I709" s="6">
        <v>29309</v>
      </c>
      <c r="J709" s="6">
        <v>154256</v>
      </c>
      <c r="K709" t="s">
        <v>17</v>
      </c>
      <c r="L709" t="s">
        <v>18</v>
      </c>
    </row>
    <row r="710" spans="1:12" x14ac:dyDescent="0.5">
      <c r="A710" s="2">
        <v>46036</v>
      </c>
      <c r="B710" s="3" t="s">
        <v>552</v>
      </c>
      <c r="C710" s="3" t="s">
        <v>124</v>
      </c>
      <c r="D710" s="3"/>
      <c r="E710" s="4">
        <v>21601</v>
      </c>
      <c r="F710" s="3" t="s">
        <v>14</v>
      </c>
      <c r="G710" s="3" t="s">
        <v>679</v>
      </c>
      <c r="H710" s="3" t="s">
        <v>16</v>
      </c>
      <c r="I710" s="4">
        <v>3449</v>
      </c>
      <c r="J710" s="4">
        <v>18152</v>
      </c>
      <c r="K710" s="3" t="s">
        <v>17</v>
      </c>
      <c r="L710" s="3" t="s">
        <v>18</v>
      </c>
    </row>
    <row r="711" spans="1:12" x14ac:dyDescent="0.5">
      <c r="A711" s="5">
        <v>46037</v>
      </c>
      <c r="B711" t="s">
        <v>552</v>
      </c>
      <c r="C711" t="s">
        <v>595</v>
      </c>
      <c r="E711" s="6">
        <v>64450</v>
      </c>
      <c r="F711" t="s">
        <v>14</v>
      </c>
      <c r="G711" t="s">
        <v>679</v>
      </c>
      <c r="H711" t="s">
        <v>355</v>
      </c>
      <c r="I711" s="6">
        <v>10290</v>
      </c>
      <c r="J711" s="6">
        <v>54160</v>
      </c>
      <c r="K711" t="s">
        <v>356</v>
      </c>
      <c r="L711" t="s">
        <v>48</v>
      </c>
    </row>
    <row r="712" spans="1:12" x14ac:dyDescent="0.5">
      <c r="A712" s="2">
        <v>46037</v>
      </c>
      <c r="B712" s="3" t="s">
        <v>552</v>
      </c>
      <c r="C712" s="3" t="s">
        <v>117</v>
      </c>
      <c r="D712" s="3"/>
      <c r="E712" s="4">
        <v>137167</v>
      </c>
      <c r="F712" s="3" t="s">
        <v>14</v>
      </c>
      <c r="G712" s="3" t="s">
        <v>679</v>
      </c>
      <c r="H712" s="3" t="s">
        <v>16</v>
      </c>
      <c r="I712" s="4">
        <v>21901</v>
      </c>
      <c r="J712" s="4">
        <v>115266</v>
      </c>
      <c r="K712" s="3" t="s">
        <v>17</v>
      </c>
      <c r="L712" s="3" t="s">
        <v>18</v>
      </c>
    </row>
    <row r="713" spans="1:12" x14ac:dyDescent="0.5">
      <c r="A713" s="5">
        <v>46038</v>
      </c>
      <c r="B713" t="s">
        <v>552</v>
      </c>
      <c r="C713" t="s">
        <v>124</v>
      </c>
      <c r="E713" s="6">
        <v>18085</v>
      </c>
      <c r="F713" t="s">
        <v>14</v>
      </c>
      <c r="G713" t="s">
        <v>679</v>
      </c>
      <c r="H713" t="s">
        <v>16</v>
      </c>
      <c r="I713" s="6">
        <v>2888</v>
      </c>
      <c r="J713" s="6">
        <v>15197</v>
      </c>
      <c r="K713" t="s">
        <v>17</v>
      </c>
      <c r="L713" t="s">
        <v>18</v>
      </c>
    </row>
    <row r="714" spans="1:12" x14ac:dyDescent="0.5">
      <c r="A714" s="2">
        <v>46038</v>
      </c>
      <c r="B714" s="3" t="s">
        <v>552</v>
      </c>
      <c r="C714" s="3" t="s">
        <v>148</v>
      </c>
      <c r="D714" s="3"/>
      <c r="E714" s="4">
        <v>3044</v>
      </c>
      <c r="F714" s="3" t="s">
        <v>41</v>
      </c>
      <c r="G714" s="3" t="s">
        <v>679</v>
      </c>
      <c r="H714" s="3" t="s">
        <v>62</v>
      </c>
      <c r="I714" s="4">
        <v>0</v>
      </c>
      <c r="J714" s="4">
        <v>3044</v>
      </c>
      <c r="K714" s="3" t="s">
        <v>63</v>
      </c>
      <c r="L714" s="3" t="s">
        <v>22</v>
      </c>
    </row>
    <row r="715" spans="1:12" x14ac:dyDescent="0.5">
      <c r="A715" s="5">
        <v>46038</v>
      </c>
      <c r="B715" t="s">
        <v>552</v>
      </c>
      <c r="C715" t="s">
        <v>107</v>
      </c>
      <c r="E715" s="6">
        <v>2995</v>
      </c>
      <c r="F715" t="s">
        <v>41</v>
      </c>
      <c r="G715" t="s">
        <v>679</v>
      </c>
      <c r="H715" t="s">
        <v>62</v>
      </c>
      <c r="I715" s="6">
        <v>0</v>
      </c>
      <c r="J715" s="6">
        <v>2995</v>
      </c>
      <c r="K715" t="s">
        <v>63</v>
      </c>
      <c r="L715" t="s">
        <v>22</v>
      </c>
    </row>
    <row r="716" spans="1:12" x14ac:dyDescent="0.5">
      <c r="A716" s="2">
        <v>46038</v>
      </c>
      <c r="B716" s="3" t="s">
        <v>552</v>
      </c>
      <c r="C716" s="3" t="s">
        <v>179</v>
      </c>
      <c r="D716" s="3"/>
      <c r="E716" s="4">
        <v>209253</v>
      </c>
      <c r="F716" s="3" t="s">
        <v>41</v>
      </c>
      <c r="G716" s="3" t="s">
        <v>679</v>
      </c>
      <c r="H716" s="3" t="s">
        <v>74</v>
      </c>
      <c r="I716" s="4">
        <v>0</v>
      </c>
      <c r="J716" s="4">
        <v>209253</v>
      </c>
      <c r="K716" s="3" t="s">
        <v>75</v>
      </c>
      <c r="L716" s="3" t="s">
        <v>44</v>
      </c>
    </row>
    <row r="717" spans="1:12" x14ac:dyDescent="0.5">
      <c r="A717" s="5">
        <v>46038</v>
      </c>
      <c r="B717" t="s">
        <v>552</v>
      </c>
      <c r="C717" t="s">
        <v>600</v>
      </c>
      <c r="E717" s="6">
        <v>72885</v>
      </c>
      <c r="F717" t="s">
        <v>41</v>
      </c>
      <c r="G717" t="s">
        <v>15</v>
      </c>
      <c r="H717" t="s">
        <v>134</v>
      </c>
      <c r="I717" s="6">
        <v>0</v>
      </c>
      <c r="J717" s="6">
        <v>72885</v>
      </c>
      <c r="K717" t="s">
        <v>135</v>
      </c>
      <c r="L717" t="s">
        <v>44</v>
      </c>
    </row>
    <row r="718" spans="1:12" x14ac:dyDescent="0.5">
      <c r="A718" s="2">
        <v>46038</v>
      </c>
      <c r="B718" s="3" t="s">
        <v>552</v>
      </c>
      <c r="C718" s="3" t="s">
        <v>599</v>
      </c>
      <c r="D718" s="3"/>
      <c r="E718" s="4">
        <v>69751</v>
      </c>
      <c r="F718" s="3" t="s">
        <v>41</v>
      </c>
      <c r="G718" s="3" t="s">
        <v>679</v>
      </c>
      <c r="H718" s="3" t="s">
        <v>74</v>
      </c>
      <c r="I718" s="4">
        <v>0</v>
      </c>
      <c r="J718" s="4">
        <v>69751</v>
      </c>
      <c r="K718" s="3" t="s">
        <v>75</v>
      </c>
      <c r="L718" s="3" t="s">
        <v>44</v>
      </c>
    </row>
    <row r="719" spans="1:12" x14ac:dyDescent="0.5">
      <c r="A719" s="5">
        <v>46041</v>
      </c>
      <c r="B719" t="s">
        <v>552</v>
      </c>
      <c r="C719" t="s">
        <v>601</v>
      </c>
      <c r="E719" s="6">
        <v>37400</v>
      </c>
      <c r="F719" t="s">
        <v>14</v>
      </c>
      <c r="G719" t="s">
        <v>679</v>
      </c>
      <c r="H719" t="s">
        <v>46</v>
      </c>
      <c r="I719" s="6">
        <v>5971</v>
      </c>
      <c r="J719" s="6">
        <v>31429</v>
      </c>
      <c r="K719" t="s">
        <v>47</v>
      </c>
      <c r="L719" t="s">
        <v>48</v>
      </c>
    </row>
    <row r="720" spans="1:12" x14ac:dyDescent="0.5">
      <c r="A720" s="2">
        <v>46041</v>
      </c>
      <c r="B720" s="3" t="s">
        <v>552</v>
      </c>
      <c r="C720" s="3" t="s">
        <v>186</v>
      </c>
      <c r="D720" s="3"/>
      <c r="E720" s="4">
        <v>17246</v>
      </c>
      <c r="F720" s="3" t="s">
        <v>14</v>
      </c>
      <c r="G720" s="3" t="s">
        <v>15</v>
      </c>
      <c r="H720" s="3" t="s">
        <v>57</v>
      </c>
      <c r="I720" s="4">
        <v>2754</v>
      </c>
      <c r="J720" s="4">
        <v>14492</v>
      </c>
      <c r="K720" s="3" t="s">
        <v>58</v>
      </c>
      <c r="L720" s="3" t="s">
        <v>48</v>
      </c>
    </row>
    <row r="721" spans="1:12" x14ac:dyDescent="0.5">
      <c r="A721" s="5">
        <v>46041</v>
      </c>
      <c r="B721" t="s">
        <v>552</v>
      </c>
      <c r="C721" t="s">
        <v>114</v>
      </c>
      <c r="E721" s="6">
        <v>141873</v>
      </c>
      <c r="F721" t="s">
        <v>14</v>
      </c>
      <c r="G721" t="s">
        <v>679</v>
      </c>
      <c r="H721" t="s">
        <v>16</v>
      </c>
      <c r="I721" s="6">
        <v>22652</v>
      </c>
      <c r="J721" s="6">
        <v>119221</v>
      </c>
      <c r="K721" t="s">
        <v>17</v>
      </c>
      <c r="L721" t="s">
        <v>18</v>
      </c>
    </row>
    <row r="722" spans="1:12" x14ac:dyDescent="0.5">
      <c r="A722" s="2">
        <v>46041</v>
      </c>
      <c r="B722" s="3" t="s">
        <v>552</v>
      </c>
      <c r="C722" s="3" t="s">
        <v>556</v>
      </c>
      <c r="D722" s="3"/>
      <c r="E722" s="4">
        <v>45779</v>
      </c>
      <c r="F722" s="3" t="s">
        <v>14</v>
      </c>
      <c r="G722" s="3" t="s">
        <v>679</v>
      </c>
      <c r="H722" s="3" t="s">
        <v>16</v>
      </c>
      <c r="I722" s="4">
        <v>7309</v>
      </c>
      <c r="J722" s="4">
        <v>38470</v>
      </c>
      <c r="K722" s="3" t="s">
        <v>17</v>
      </c>
      <c r="L722" s="3" t="s">
        <v>18</v>
      </c>
    </row>
    <row r="723" spans="1:12" x14ac:dyDescent="0.5">
      <c r="A723" s="5">
        <v>46042</v>
      </c>
      <c r="B723" t="s">
        <v>552</v>
      </c>
      <c r="C723" t="s">
        <v>602</v>
      </c>
      <c r="E723" s="6">
        <v>13599</v>
      </c>
      <c r="F723" t="s">
        <v>14</v>
      </c>
      <c r="G723" t="s">
        <v>679</v>
      </c>
      <c r="H723" t="s">
        <v>547</v>
      </c>
      <c r="I723" s="6">
        <v>2171</v>
      </c>
      <c r="J723" s="6">
        <v>11428</v>
      </c>
      <c r="K723" t="s">
        <v>530</v>
      </c>
      <c r="L723" t="s">
        <v>35</v>
      </c>
    </row>
    <row r="724" spans="1:12" x14ac:dyDescent="0.5">
      <c r="A724" s="2">
        <v>46042</v>
      </c>
      <c r="B724" s="3" t="s">
        <v>552</v>
      </c>
      <c r="C724" s="3" t="s">
        <v>107</v>
      </c>
      <c r="D724" s="3"/>
      <c r="E724" s="4">
        <v>3375</v>
      </c>
      <c r="F724" s="3" t="s">
        <v>41</v>
      </c>
      <c r="G724" s="3" t="s">
        <v>679</v>
      </c>
      <c r="H724" s="3" t="s">
        <v>62</v>
      </c>
      <c r="I724" s="4">
        <v>0</v>
      </c>
      <c r="J724" s="4">
        <v>3375</v>
      </c>
      <c r="K724" s="3" t="s">
        <v>63</v>
      </c>
      <c r="L724" s="3" t="s">
        <v>22</v>
      </c>
    </row>
    <row r="725" spans="1:12" x14ac:dyDescent="0.5">
      <c r="A725" s="5">
        <v>46042</v>
      </c>
      <c r="B725" t="s">
        <v>552</v>
      </c>
      <c r="C725" t="s">
        <v>107</v>
      </c>
      <c r="E725" s="6">
        <v>3312</v>
      </c>
      <c r="F725" t="s">
        <v>41</v>
      </c>
      <c r="G725" t="s">
        <v>679</v>
      </c>
      <c r="H725" t="s">
        <v>62</v>
      </c>
      <c r="I725" s="6">
        <v>0</v>
      </c>
      <c r="J725" s="6">
        <v>3312</v>
      </c>
      <c r="K725" t="s">
        <v>63</v>
      </c>
      <c r="L725" t="s">
        <v>22</v>
      </c>
    </row>
    <row r="726" spans="1:12" x14ac:dyDescent="0.5">
      <c r="A726" s="2">
        <v>46042</v>
      </c>
      <c r="B726" s="3" t="s">
        <v>552</v>
      </c>
      <c r="C726" s="3" t="s">
        <v>107</v>
      </c>
      <c r="D726" s="3"/>
      <c r="E726" s="4">
        <v>2865</v>
      </c>
      <c r="F726" s="3" t="s">
        <v>41</v>
      </c>
      <c r="G726" s="3" t="s">
        <v>679</v>
      </c>
      <c r="H726" s="3" t="s">
        <v>62</v>
      </c>
      <c r="I726" s="4">
        <v>0</v>
      </c>
      <c r="J726" s="4">
        <v>2865</v>
      </c>
      <c r="K726" s="3" t="s">
        <v>63</v>
      </c>
      <c r="L726" s="3" t="s">
        <v>22</v>
      </c>
    </row>
    <row r="727" spans="1:12" x14ac:dyDescent="0.5">
      <c r="A727" s="5">
        <v>46042</v>
      </c>
      <c r="B727" t="s">
        <v>552</v>
      </c>
      <c r="C727" t="s">
        <v>179</v>
      </c>
      <c r="E727" s="6">
        <v>90717</v>
      </c>
      <c r="F727" t="s">
        <v>41</v>
      </c>
      <c r="G727" t="s">
        <v>679</v>
      </c>
      <c r="H727" t="s">
        <v>74</v>
      </c>
      <c r="I727" s="6">
        <v>0</v>
      </c>
      <c r="J727" s="6">
        <v>90717</v>
      </c>
      <c r="K727" t="s">
        <v>75</v>
      </c>
      <c r="L727" t="s">
        <v>44</v>
      </c>
    </row>
    <row r="728" spans="1:12" x14ac:dyDescent="0.5">
      <c r="A728" s="2">
        <v>46042</v>
      </c>
      <c r="B728" s="3" t="s">
        <v>552</v>
      </c>
      <c r="C728" s="3" t="s">
        <v>599</v>
      </c>
      <c r="D728" s="3"/>
      <c r="E728" s="4">
        <v>63217</v>
      </c>
      <c r="F728" s="3" t="s">
        <v>41</v>
      </c>
      <c r="G728" s="3" t="s">
        <v>679</v>
      </c>
      <c r="H728" s="3" t="s">
        <v>74</v>
      </c>
      <c r="I728" s="4">
        <v>0</v>
      </c>
      <c r="J728" s="4">
        <v>63217</v>
      </c>
      <c r="K728" s="3" t="s">
        <v>75</v>
      </c>
      <c r="L728" s="3" t="s">
        <v>44</v>
      </c>
    </row>
    <row r="729" spans="1:12" x14ac:dyDescent="0.5">
      <c r="A729" s="5">
        <v>46043</v>
      </c>
      <c r="B729" t="s">
        <v>552</v>
      </c>
      <c r="C729" t="s">
        <v>557</v>
      </c>
      <c r="E729" s="6">
        <v>314430</v>
      </c>
      <c r="F729" t="s">
        <v>14</v>
      </c>
      <c r="G729" t="s">
        <v>679</v>
      </c>
      <c r="H729" t="s">
        <v>33</v>
      </c>
      <c r="I729" s="6">
        <v>50203</v>
      </c>
      <c r="J729" s="6">
        <v>264227</v>
      </c>
      <c r="K729" t="s">
        <v>34</v>
      </c>
      <c r="L729" t="s">
        <v>35</v>
      </c>
    </row>
    <row r="730" spans="1:12" x14ac:dyDescent="0.5">
      <c r="A730" s="2">
        <v>46043</v>
      </c>
      <c r="B730" s="3" t="s">
        <v>552</v>
      </c>
      <c r="C730" s="3" t="s">
        <v>19</v>
      </c>
      <c r="D730" s="3"/>
      <c r="E730" s="4">
        <v>40681</v>
      </c>
      <c r="F730" s="3" t="s">
        <v>14</v>
      </c>
      <c r="G730" s="3" t="s">
        <v>15</v>
      </c>
      <c r="H730" s="3" t="s">
        <v>20</v>
      </c>
      <c r="I730" s="4">
        <v>6495</v>
      </c>
      <c r="J730" s="4">
        <v>34186</v>
      </c>
      <c r="K730" s="3" t="s">
        <v>21</v>
      </c>
      <c r="L730" s="3" t="s">
        <v>22</v>
      </c>
    </row>
    <row r="731" spans="1:12" x14ac:dyDescent="0.5">
      <c r="A731" s="5">
        <v>46043</v>
      </c>
      <c r="B731" t="s">
        <v>552</v>
      </c>
      <c r="C731" t="s">
        <v>107</v>
      </c>
      <c r="E731" s="6">
        <v>2995</v>
      </c>
      <c r="F731" t="s">
        <v>41</v>
      </c>
      <c r="G731" t="s">
        <v>679</v>
      </c>
      <c r="H731" t="s">
        <v>62</v>
      </c>
      <c r="I731" s="6">
        <v>0</v>
      </c>
      <c r="J731" s="6">
        <v>2995</v>
      </c>
      <c r="K731" t="s">
        <v>63</v>
      </c>
      <c r="L731" t="s">
        <v>22</v>
      </c>
    </row>
    <row r="732" spans="1:12" x14ac:dyDescent="0.5">
      <c r="A732" s="2">
        <v>46043</v>
      </c>
      <c r="B732" s="3" t="s">
        <v>552</v>
      </c>
      <c r="C732" s="3" t="s">
        <v>107</v>
      </c>
      <c r="D732" s="3"/>
      <c r="E732" s="4">
        <v>2509</v>
      </c>
      <c r="F732" s="3" t="s">
        <v>41</v>
      </c>
      <c r="G732" s="3" t="s">
        <v>679</v>
      </c>
      <c r="H732" s="3" t="s">
        <v>62</v>
      </c>
      <c r="I732" s="4">
        <v>0</v>
      </c>
      <c r="J732" s="4">
        <v>2509</v>
      </c>
      <c r="K732" s="3" t="s">
        <v>63</v>
      </c>
      <c r="L732" s="3" t="s">
        <v>22</v>
      </c>
    </row>
    <row r="733" spans="1:12" x14ac:dyDescent="0.5">
      <c r="A733" s="5">
        <v>46043</v>
      </c>
      <c r="B733" t="s">
        <v>232</v>
      </c>
      <c r="C733" t="s">
        <v>40</v>
      </c>
      <c r="E733" s="6">
        <v>337598</v>
      </c>
      <c r="F733" t="s">
        <v>41</v>
      </c>
      <c r="G733" t="s">
        <v>15</v>
      </c>
      <c r="H733" t="s">
        <v>42</v>
      </c>
      <c r="I733" s="6">
        <v>0</v>
      </c>
      <c r="J733" s="6">
        <v>337598</v>
      </c>
      <c r="K733" t="s">
        <v>43</v>
      </c>
      <c r="L733" t="s">
        <v>44</v>
      </c>
    </row>
    <row r="734" spans="1:12" x14ac:dyDescent="0.5">
      <c r="A734" s="2">
        <v>46044</v>
      </c>
      <c r="B734" s="3" t="s">
        <v>552</v>
      </c>
      <c r="C734" s="3" t="s">
        <v>606</v>
      </c>
      <c r="D734" s="3"/>
      <c r="E734" s="4">
        <v>19990</v>
      </c>
      <c r="F734" s="3" t="s">
        <v>14</v>
      </c>
      <c r="G734" s="3" t="s">
        <v>679</v>
      </c>
      <c r="H734" s="3" t="s">
        <v>355</v>
      </c>
      <c r="I734" s="4">
        <v>3192</v>
      </c>
      <c r="J734" s="4">
        <v>16798</v>
      </c>
      <c r="K734" s="3" t="s">
        <v>356</v>
      </c>
      <c r="L734" s="3" t="s">
        <v>48</v>
      </c>
    </row>
    <row r="735" spans="1:12" x14ac:dyDescent="0.5">
      <c r="A735" s="5">
        <v>46045</v>
      </c>
      <c r="B735" t="s">
        <v>552</v>
      </c>
      <c r="C735" t="s">
        <v>105</v>
      </c>
      <c r="E735" s="6">
        <v>7900</v>
      </c>
      <c r="F735" t="s">
        <v>14</v>
      </c>
      <c r="G735" t="s">
        <v>679</v>
      </c>
      <c r="H735" t="s">
        <v>16</v>
      </c>
      <c r="I735" s="6">
        <v>1261</v>
      </c>
      <c r="J735" s="6">
        <v>6639</v>
      </c>
      <c r="K735" t="s">
        <v>17</v>
      </c>
      <c r="L735" t="s">
        <v>18</v>
      </c>
    </row>
    <row r="736" spans="1:12" x14ac:dyDescent="0.5">
      <c r="A736" s="2">
        <v>46048</v>
      </c>
      <c r="B736" s="3" t="s">
        <v>552</v>
      </c>
      <c r="C736" s="3" t="s">
        <v>558</v>
      </c>
      <c r="D736" s="3"/>
      <c r="E736" s="4">
        <v>48064</v>
      </c>
      <c r="F736" s="3" t="s">
        <v>14</v>
      </c>
      <c r="G736" s="3" t="s">
        <v>679</v>
      </c>
      <c r="H736" s="3" t="s">
        <v>33</v>
      </c>
      <c r="I736" s="4">
        <v>7674</v>
      </c>
      <c r="J736" s="4">
        <v>40390</v>
      </c>
      <c r="K736" s="3" t="s">
        <v>34</v>
      </c>
      <c r="L736" s="3" t="s">
        <v>35</v>
      </c>
    </row>
    <row r="737" spans="1:12" x14ac:dyDescent="0.5">
      <c r="A737" s="5">
        <v>46049</v>
      </c>
      <c r="B737" t="s">
        <v>552</v>
      </c>
      <c r="C737" t="s">
        <v>124</v>
      </c>
      <c r="E737" s="6">
        <v>21099</v>
      </c>
      <c r="F737" t="s">
        <v>14</v>
      </c>
      <c r="G737" t="s">
        <v>679</v>
      </c>
      <c r="H737" t="s">
        <v>16</v>
      </c>
      <c r="I737" s="6">
        <v>3369</v>
      </c>
      <c r="J737" s="6">
        <v>17730</v>
      </c>
      <c r="K737" t="s">
        <v>17</v>
      </c>
      <c r="L737" t="s">
        <v>18</v>
      </c>
    </row>
    <row r="738" spans="1:12" x14ac:dyDescent="0.5">
      <c r="A738" s="2">
        <v>46050</v>
      </c>
      <c r="B738" s="3" t="s">
        <v>552</v>
      </c>
      <c r="C738" s="3" t="s">
        <v>87</v>
      </c>
      <c r="D738" s="3"/>
      <c r="E738" s="4">
        <v>19663</v>
      </c>
      <c r="F738" s="3" t="s">
        <v>14</v>
      </c>
      <c r="G738" s="3" t="s">
        <v>15</v>
      </c>
      <c r="H738" s="3" t="s">
        <v>46</v>
      </c>
      <c r="I738" s="4">
        <v>3139</v>
      </c>
      <c r="J738" s="4">
        <v>16524</v>
      </c>
      <c r="K738" s="3" t="s">
        <v>47</v>
      </c>
      <c r="L738" s="3" t="s">
        <v>48</v>
      </c>
    </row>
    <row r="739" spans="1:12" x14ac:dyDescent="0.5">
      <c r="A739" s="5">
        <v>46050</v>
      </c>
      <c r="B739" t="s">
        <v>552</v>
      </c>
      <c r="C739" t="s">
        <v>87</v>
      </c>
      <c r="E739" s="6">
        <v>19</v>
      </c>
      <c r="F739" t="s">
        <v>14</v>
      </c>
      <c r="G739" t="s">
        <v>15</v>
      </c>
      <c r="H739" t="s">
        <v>46</v>
      </c>
      <c r="I739" s="6">
        <v>3</v>
      </c>
      <c r="J739" s="6">
        <v>16</v>
      </c>
      <c r="K739" t="s">
        <v>47</v>
      </c>
      <c r="L739" t="s">
        <v>48</v>
      </c>
    </row>
    <row r="740" spans="1:12" x14ac:dyDescent="0.5">
      <c r="A740" s="2">
        <v>46051</v>
      </c>
      <c r="B740" s="3" t="s">
        <v>552</v>
      </c>
      <c r="C740" s="3" t="s">
        <v>559</v>
      </c>
      <c r="D740" s="3"/>
      <c r="E740" s="4">
        <v>166026</v>
      </c>
      <c r="F740" s="3" t="s">
        <v>14</v>
      </c>
      <c r="G740" s="3" t="s">
        <v>679</v>
      </c>
      <c r="H740" s="3" t="s">
        <v>24</v>
      </c>
      <c r="I740" s="4">
        <v>26508</v>
      </c>
      <c r="J740" s="4">
        <v>139518</v>
      </c>
      <c r="K740" s="3" t="s">
        <v>25</v>
      </c>
      <c r="L740" s="3" t="s">
        <v>26</v>
      </c>
    </row>
    <row r="741" spans="1:12" x14ac:dyDescent="0.5">
      <c r="A741" s="5">
        <v>46051</v>
      </c>
      <c r="B741" t="s">
        <v>552</v>
      </c>
      <c r="C741" t="s">
        <v>148</v>
      </c>
      <c r="E741" s="6">
        <v>13132</v>
      </c>
      <c r="F741" t="s">
        <v>41</v>
      </c>
      <c r="G741" t="s">
        <v>679</v>
      </c>
      <c r="H741" t="s">
        <v>62</v>
      </c>
      <c r="I741" s="6">
        <v>0</v>
      </c>
      <c r="J741" s="6">
        <v>13132</v>
      </c>
      <c r="K741" t="s">
        <v>63</v>
      </c>
      <c r="L741" t="s">
        <v>22</v>
      </c>
    </row>
    <row r="742" spans="1:12" x14ac:dyDescent="0.5">
      <c r="A742" s="2">
        <v>46051</v>
      </c>
      <c r="B742" s="3" t="s">
        <v>552</v>
      </c>
      <c r="C742" s="3" t="s">
        <v>148</v>
      </c>
      <c r="D742" s="3"/>
      <c r="E742" s="4">
        <v>10847</v>
      </c>
      <c r="F742" s="3" t="s">
        <v>41</v>
      </c>
      <c r="G742" s="3" t="s">
        <v>679</v>
      </c>
      <c r="H742" s="3" t="s">
        <v>62</v>
      </c>
      <c r="I742" s="4">
        <v>0</v>
      </c>
      <c r="J742" s="4">
        <v>10847</v>
      </c>
      <c r="K742" s="3" t="s">
        <v>63</v>
      </c>
      <c r="L742" s="3" t="s">
        <v>22</v>
      </c>
    </row>
    <row r="743" spans="1:12" x14ac:dyDescent="0.5">
      <c r="A743" s="5">
        <v>46051</v>
      </c>
      <c r="B743" t="s">
        <v>552</v>
      </c>
      <c r="C743" t="s">
        <v>107</v>
      </c>
      <c r="E743" s="6">
        <v>4948</v>
      </c>
      <c r="F743" t="s">
        <v>41</v>
      </c>
      <c r="G743" t="s">
        <v>679</v>
      </c>
      <c r="H743" t="s">
        <v>62</v>
      </c>
      <c r="I743" s="6">
        <v>0</v>
      </c>
      <c r="J743" s="6">
        <v>4948</v>
      </c>
      <c r="K743" t="s">
        <v>63</v>
      </c>
      <c r="L743" t="s">
        <v>22</v>
      </c>
    </row>
    <row r="744" spans="1:12" x14ac:dyDescent="0.5">
      <c r="A744" s="2">
        <v>46051</v>
      </c>
      <c r="B744" s="3" t="s">
        <v>552</v>
      </c>
      <c r="C744" s="3" t="s">
        <v>107</v>
      </c>
      <c r="D744" s="3"/>
      <c r="E744" s="4">
        <v>4544</v>
      </c>
      <c r="F744" s="3" t="s">
        <v>41</v>
      </c>
      <c r="G744" s="3" t="s">
        <v>679</v>
      </c>
      <c r="H744" s="3" t="s">
        <v>62</v>
      </c>
      <c r="I744" s="4">
        <v>0</v>
      </c>
      <c r="J744" s="4">
        <v>4544</v>
      </c>
      <c r="K744" s="3" t="s">
        <v>63</v>
      </c>
      <c r="L744" s="3" t="s">
        <v>22</v>
      </c>
    </row>
    <row r="745" spans="1:12" x14ac:dyDescent="0.5">
      <c r="A745" s="5">
        <v>46055</v>
      </c>
      <c r="B745" t="s">
        <v>560</v>
      </c>
      <c r="C745" t="s">
        <v>229</v>
      </c>
      <c r="E745" s="6">
        <v>59059</v>
      </c>
      <c r="F745" t="s">
        <v>14</v>
      </c>
      <c r="G745" t="s">
        <v>679</v>
      </c>
      <c r="H745" t="s">
        <v>230</v>
      </c>
      <c r="I745" s="6">
        <v>9430</v>
      </c>
      <c r="J745" s="6">
        <v>49629</v>
      </c>
      <c r="K745" t="s">
        <v>231</v>
      </c>
      <c r="L745" t="s">
        <v>48</v>
      </c>
    </row>
    <row r="746" spans="1:12" x14ac:dyDescent="0.5">
      <c r="A746" s="2">
        <v>46055</v>
      </c>
      <c r="B746" s="3" t="s">
        <v>560</v>
      </c>
      <c r="C746" s="3" t="s">
        <v>584</v>
      </c>
      <c r="D746" s="3"/>
      <c r="E746" s="4">
        <v>90135</v>
      </c>
      <c r="F746" s="3" t="s">
        <v>14</v>
      </c>
      <c r="G746" s="3" t="s">
        <v>679</v>
      </c>
      <c r="H746" s="3" t="s">
        <v>16</v>
      </c>
      <c r="I746" s="4">
        <v>14391</v>
      </c>
      <c r="J746" s="4">
        <v>75744</v>
      </c>
      <c r="K746" s="3" t="s">
        <v>17</v>
      </c>
      <c r="L746" s="3" t="s">
        <v>18</v>
      </c>
    </row>
    <row r="747" spans="1:12" x14ac:dyDescent="0.5">
      <c r="A747" s="5">
        <v>46055</v>
      </c>
      <c r="B747" t="s">
        <v>560</v>
      </c>
      <c r="C747" t="s">
        <v>124</v>
      </c>
      <c r="E747" s="6">
        <v>17884</v>
      </c>
      <c r="F747" t="s">
        <v>14</v>
      </c>
      <c r="G747" t="s">
        <v>679</v>
      </c>
      <c r="H747" t="s">
        <v>16</v>
      </c>
      <c r="I747" s="6">
        <v>2855</v>
      </c>
      <c r="J747" s="6">
        <v>15029</v>
      </c>
      <c r="K747" t="s">
        <v>17</v>
      </c>
      <c r="L747" t="s">
        <v>18</v>
      </c>
    </row>
    <row r="748" spans="1:12" x14ac:dyDescent="0.5">
      <c r="A748" s="2">
        <v>46056</v>
      </c>
      <c r="B748" s="3" t="s">
        <v>560</v>
      </c>
      <c r="C748" s="3" t="s">
        <v>194</v>
      </c>
      <c r="D748" s="3"/>
      <c r="E748" s="4">
        <v>17875</v>
      </c>
      <c r="F748" s="3" t="s">
        <v>14</v>
      </c>
      <c r="G748" s="3" t="s">
        <v>679</v>
      </c>
      <c r="H748" s="3" t="s">
        <v>16</v>
      </c>
      <c r="I748" s="4">
        <v>2854</v>
      </c>
      <c r="J748" s="4">
        <v>15021</v>
      </c>
      <c r="K748" s="3" t="s">
        <v>17</v>
      </c>
      <c r="L748" s="3" t="s">
        <v>18</v>
      </c>
    </row>
    <row r="749" spans="1:12" x14ac:dyDescent="0.5">
      <c r="A749" s="5">
        <v>46058</v>
      </c>
      <c r="B749" t="s">
        <v>560</v>
      </c>
      <c r="C749" t="s">
        <v>559</v>
      </c>
      <c r="E749" s="6">
        <v>155199</v>
      </c>
      <c r="F749" t="s">
        <v>14</v>
      </c>
      <c r="G749" t="s">
        <v>679</v>
      </c>
      <c r="H749" t="s">
        <v>24</v>
      </c>
      <c r="I749" s="6">
        <v>24780</v>
      </c>
      <c r="J749" s="6">
        <v>130419</v>
      </c>
      <c r="K749" t="s">
        <v>25</v>
      </c>
      <c r="L749" t="s">
        <v>26</v>
      </c>
    </row>
    <row r="750" spans="1:12" x14ac:dyDescent="0.5">
      <c r="A750" s="2">
        <v>46062</v>
      </c>
      <c r="B750" s="3" t="s">
        <v>560</v>
      </c>
      <c r="C750" s="3" t="s">
        <v>561</v>
      </c>
      <c r="D750" s="3"/>
      <c r="E750" s="4">
        <v>326413</v>
      </c>
      <c r="F750" s="3" t="s">
        <v>14</v>
      </c>
      <c r="G750" s="3" t="s">
        <v>679</v>
      </c>
      <c r="H750" s="3" t="s">
        <v>33</v>
      </c>
      <c r="I750" s="4">
        <v>52116</v>
      </c>
      <c r="J750" s="4">
        <v>274297</v>
      </c>
      <c r="K750" s="3" t="s">
        <v>34</v>
      </c>
      <c r="L750" s="3" t="s">
        <v>35</v>
      </c>
    </row>
    <row r="751" spans="1:12" x14ac:dyDescent="0.5">
      <c r="A751" s="5">
        <v>46062</v>
      </c>
      <c r="B751" t="s">
        <v>560</v>
      </c>
      <c r="C751" t="s">
        <v>219</v>
      </c>
      <c r="E751" s="6">
        <v>1934099</v>
      </c>
      <c r="F751" t="s">
        <v>41</v>
      </c>
      <c r="G751" t="s">
        <v>15</v>
      </c>
      <c r="H751" t="s">
        <v>134</v>
      </c>
      <c r="I751" s="6">
        <v>0</v>
      </c>
      <c r="J751" s="6">
        <v>1934099</v>
      </c>
      <c r="K751" t="s">
        <v>135</v>
      </c>
      <c r="L751" t="s">
        <v>44</v>
      </c>
    </row>
    <row r="752" spans="1:12" x14ac:dyDescent="0.5">
      <c r="A752" s="2">
        <v>46066</v>
      </c>
      <c r="B752" s="3" t="s">
        <v>560</v>
      </c>
      <c r="C752" s="3" t="s">
        <v>559</v>
      </c>
      <c r="D752" s="3"/>
      <c r="E752" s="4">
        <v>212100</v>
      </c>
      <c r="F752" s="3" t="s">
        <v>14</v>
      </c>
      <c r="G752" s="3" t="s">
        <v>679</v>
      </c>
      <c r="H752" s="3" t="s">
        <v>24</v>
      </c>
      <c r="I752" s="4">
        <v>33865</v>
      </c>
      <c r="J752" s="4">
        <v>178235</v>
      </c>
      <c r="K752" s="3" t="s">
        <v>25</v>
      </c>
      <c r="L752" s="3" t="s">
        <v>26</v>
      </c>
    </row>
    <row r="753" spans="1:12" x14ac:dyDescent="0.5">
      <c r="A753" s="5">
        <v>46066</v>
      </c>
      <c r="B753" t="s">
        <v>560</v>
      </c>
      <c r="C753" t="s">
        <v>562</v>
      </c>
      <c r="E753" s="6">
        <v>87385</v>
      </c>
      <c r="F753" t="s">
        <v>14</v>
      </c>
      <c r="G753" t="s">
        <v>679</v>
      </c>
      <c r="H753" t="s">
        <v>33</v>
      </c>
      <c r="I753" s="6">
        <v>13952</v>
      </c>
      <c r="J753" s="6">
        <v>73433</v>
      </c>
      <c r="K753" t="s">
        <v>34</v>
      </c>
      <c r="L753" t="s">
        <v>35</v>
      </c>
    </row>
    <row r="754" spans="1:12" x14ac:dyDescent="0.5">
      <c r="A754" s="2">
        <v>46069</v>
      </c>
      <c r="B754" s="3" t="s">
        <v>560</v>
      </c>
      <c r="C754" s="3" t="s">
        <v>124</v>
      </c>
      <c r="D754" s="3"/>
      <c r="E754" s="4">
        <v>21094</v>
      </c>
      <c r="F754" s="3" t="s">
        <v>14</v>
      </c>
      <c r="G754" s="3" t="s">
        <v>679</v>
      </c>
      <c r="H754" s="3" t="s">
        <v>16</v>
      </c>
      <c r="I754" s="4">
        <v>3368</v>
      </c>
      <c r="J754" s="4">
        <v>17726</v>
      </c>
      <c r="K754" s="3" t="s">
        <v>17</v>
      </c>
      <c r="L754" s="3" t="s">
        <v>18</v>
      </c>
    </row>
    <row r="755" spans="1:12" x14ac:dyDescent="0.5">
      <c r="A755" s="5">
        <v>46069</v>
      </c>
      <c r="B755" t="s">
        <v>560</v>
      </c>
      <c r="C755" t="s">
        <v>124</v>
      </c>
      <c r="E755" s="6">
        <v>17726</v>
      </c>
      <c r="F755" t="s">
        <v>14</v>
      </c>
      <c r="G755" t="s">
        <v>679</v>
      </c>
      <c r="H755" t="s">
        <v>16</v>
      </c>
      <c r="I755" s="6">
        <v>2830</v>
      </c>
      <c r="J755" s="6">
        <v>14896</v>
      </c>
      <c r="K755" t="s">
        <v>17</v>
      </c>
      <c r="L755" t="s">
        <v>18</v>
      </c>
    </row>
    <row r="756" spans="1:12" x14ac:dyDescent="0.5">
      <c r="A756" s="2">
        <v>46069</v>
      </c>
      <c r="B756" s="3" t="s">
        <v>560</v>
      </c>
      <c r="C756" s="3" t="s">
        <v>563</v>
      </c>
      <c r="D756" s="3"/>
      <c r="E756" s="4">
        <v>314430</v>
      </c>
      <c r="F756" s="3" t="s">
        <v>14</v>
      </c>
      <c r="G756" s="3" t="s">
        <v>679</v>
      </c>
      <c r="H756" s="3" t="s">
        <v>33</v>
      </c>
      <c r="I756" s="4">
        <v>50203</v>
      </c>
      <c r="J756" s="4">
        <v>264227</v>
      </c>
      <c r="K756" s="3" t="s">
        <v>34</v>
      </c>
      <c r="L756" s="3" t="s">
        <v>35</v>
      </c>
    </row>
    <row r="757" spans="1:12" x14ac:dyDescent="0.5">
      <c r="A757" s="5">
        <v>46070</v>
      </c>
      <c r="B757" t="s">
        <v>552</v>
      </c>
      <c r="C757" t="s">
        <v>65</v>
      </c>
      <c r="E757" s="6">
        <v>1856546</v>
      </c>
      <c r="F757" t="s">
        <v>41</v>
      </c>
      <c r="G757" t="s">
        <v>15</v>
      </c>
      <c r="H757" t="s">
        <v>66</v>
      </c>
      <c r="I757" s="6">
        <v>0</v>
      </c>
      <c r="J757" s="6">
        <v>1856546</v>
      </c>
      <c r="K757" t="s">
        <v>67</v>
      </c>
      <c r="L757" t="s">
        <v>68</v>
      </c>
    </row>
    <row r="758" spans="1:12" x14ac:dyDescent="0.5">
      <c r="A758" s="2">
        <v>46070</v>
      </c>
      <c r="B758" s="3" t="s">
        <v>560</v>
      </c>
      <c r="C758" s="3" t="s">
        <v>564</v>
      </c>
      <c r="D758" s="3"/>
      <c r="E758" s="4">
        <v>145832</v>
      </c>
      <c r="F758" s="3" t="s">
        <v>14</v>
      </c>
      <c r="G758" s="3" t="s">
        <v>679</v>
      </c>
      <c r="H758" s="3" t="s">
        <v>16</v>
      </c>
      <c r="I758" s="4">
        <v>23284</v>
      </c>
      <c r="J758" s="4">
        <v>122548</v>
      </c>
      <c r="K758" s="3" t="s">
        <v>17</v>
      </c>
      <c r="L758" s="3" t="s">
        <v>18</v>
      </c>
    </row>
    <row r="759" spans="1:12" x14ac:dyDescent="0.5">
      <c r="A759" s="5">
        <v>46071</v>
      </c>
      <c r="B759" t="s">
        <v>560</v>
      </c>
      <c r="C759" t="s">
        <v>565</v>
      </c>
      <c r="E759" s="6">
        <v>19495</v>
      </c>
      <c r="F759" t="s">
        <v>14</v>
      </c>
      <c r="G759" t="s">
        <v>15</v>
      </c>
      <c r="H759" t="s">
        <v>57</v>
      </c>
      <c r="I759" s="6">
        <v>3113</v>
      </c>
      <c r="J759" s="6">
        <v>16382</v>
      </c>
      <c r="K759" t="s">
        <v>58</v>
      </c>
      <c r="L759" t="s">
        <v>48</v>
      </c>
    </row>
    <row r="760" spans="1:12" x14ac:dyDescent="0.5">
      <c r="A760" s="2">
        <v>46071</v>
      </c>
      <c r="B760" s="3" t="s">
        <v>560</v>
      </c>
      <c r="C760" s="3" t="s">
        <v>186</v>
      </c>
      <c r="D760" s="3"/>
      <c r="E760" s="4">
        <v>17231</v>
      </c>
      <c r="F760" s="3" t="s">
        <v>14</v>
      </c>
      <c r="G760" s="3" t="s">
        <v>15</v>
      </c>
      <c r="H760" s="3" t="s">
        <v>57</v>
      </c>
      <c r="I760" s="4">
        <v>2751</v>
      </c>
      <c r="J760" s="4">
        <v>14480</v>
      </c>
      <c r="K760" s="3" t="s">
        <v>58</v>
      </c>
      <c r="L760" s="3" t="s">
        <v>48</v>
      </c>
    </row>
    <row r="761" spans="1:12" x14ac:dyDescent="0.5">
      <c r="A761" s="5">
        <v>46073</v>
      </c>
      <c r="B761" t="s">
        <v>560</v>
      </c>
      <c r="C761" t="s">
        <v>498</v>
      </c>
      <c r="E761" s="6">
        <v>4170</v>
      </c>
      <c r="F761" t="s">
        <v>14</v>
      </c>
      <c r="G761" t="s">
        <v>679</v>
      </c>
      <c r="H761" t="s">
        <v>355</v>
      </c>
      <c r="I761" s="6">
        <v>666</v>
      </c>
      <c r="J761" s="6">
        <v>3504</v>
      </c>
      <c r="K761" t="s">
        <v>356</v>
      </c>
      <c r="L761" t="s">
        <v>48</v>
      </c>
    </row>
    <row r="762" spans="1:12" x14ac:dyDescent="0.5">
      <c r="A762" s="2">
        <v>46073</v>
      </c>
      <c r="B762" s="3" t="s">
        <v>560</v>
      </c>
      <c r="C762" s="3" t="s">
        <v>107</v>
      </c>
      <c r="D762" s="3"/>
      <c r="E762" s="4">
        <v>3251</v>
      </c>
      <c r="F762" s="3" t="s">
        <v>41</v>
      </c>
      <c r="G762" s="3" t="s">
        <v>679</v>
      </c>
      <c r="H762" s="3" t="s">
        <v>62</v>
      </c>
      <c r="I762" s="4">
        <v>0</v>
      </c>
      <c r="J762" s="4">
        <v>3251</v>
      </c>
      <c r="K762" s="3" t="s">
        <v>63</v>
      </c>
      <c r="L762" s="3" t="s">
        <v>22</v>
      </c>
    </row>
    <row r="763" spans="1:12" x14ac:dyDescent="0.5">
      <c r="A763" s="5">
        <v>46076</v>
      </c>
      <c r="B763" t="s">
        <v>560</v>
      </c>
      <c r="C763" t="s">
        <v>105</v>
      </c>
      <c r="E763" s="6">
        <v>7900</v>
      </c>
      <c r="F763" t="s">
        <v>14</v>
      </c>
      <c r="G763" t="s">
        <v>679</v>
      </c>
      <c r="H763" t="s">
        <v>16</v>
      </c>
      <c r="I763" s="6">
        <v>1261</v>
      </c>
      <c r="J763" s="6">
        <v>6639</v>
      </c>
      <c r="K763" t="s">
        <v>17</v>
      </c>
      <c r="L763" t="s">
        <v>18</v>
      </c>
    </row>
    <row r="764" spans="1:12" x14ac:dyDescent="0.5">
      <c r="A764" s="2">
        <v>46076</v>
      </c>
      <c r="B764" s="3" t="s">
        <v>560</v>
      </c>
      <c r="C764" s="3" t="s">
        <v>107</v>
      </c>
      <c r="D764" s="3"/>
      <c r="E764" s="4">
        <v>2767</v>
      </c>
      <c r="F764" s="3" t="s">
        <v>41</v>
      </c>
      <c r="G764" s="3" t="s">
        <v>679</v>
      </c>
      <c r="H764" s="3" t="s">
        <v>62</v>
      </c>
      <c r="I764" s="4">
        <v>0</v>
      </c>
      <c r="J764" s="4">
        <v>2767</v>
      </c>
      <c r="K764" s="3" t="s">
        <v>63</v>
      </c>
      <c r="L764" s="3" t="s">
        <v>22</v>
      </c>
    </row>
    <row r="765" spans="1:12" x14ac:dyDescent="0.5">
      <c r="A765" s="5">
        <v>46076</v>
      </c>
      <c r="B765" t="s">
        <v>552</v>
      </c>
      <c r="C765" t="s">
        <v>40</v>
      </c>
      <c r="E765" s="6">
        <v>182146</v>
      </c>
      <c r="F765" t="s">
        <v>41</v>
      </c>
      <c r="G765" t="s">
        <v>15</v>
      </c>
      <c r="H765" t="s">
        <v>42</v>
      </c>
      <c r="I765" s="6">
        <v>0</v>
      </c>
      <c r="J765" s="6">
        <v>182146</v>
      </c>
      <c r="K765" t="s">
        <v>43</v>
      </c>
      <c r="L765" t="s">
        <v>44</v>
      </c>
    </row>
    <row r="766" spans="1:12" x14ac:dyDescent="0.5">
      <c r="A766" s="2">
        <v>46077</v>
      </c>
      <c r="B766" s="3" t="s">
        <v>560</v>
      </c>
      <c r="C766" s="3" t="s">
        <v>559</v>
      </c>
      <c r="D766" s="3"/>
      <c r="E766" s="4">
        <v>206729</v>
      </c>
      <c r="F766" s="3" t="s">
        <v>14</v>
      </c>
      <c r="G766" s="3" t="s">
        <v>679</v>
      </c>
      <c r="H766" s="3" t="s">
        <v>24</v>
      </c>
      <c r="I766" s="4">
        <v>33007</v>
      </c>
      <c r="J766" s="4">
        <v>173722</v>
      </c>
      <c r="K766" s="3" t="s">
        <v>25</v>
      </c>
      <c r="L766" s="3" t="s">
        <v>26</v>
      </c>
    </row>
    <row r="767" spans="1:12" x14ac:dyDescent="0.5">
      <c r="A767" s="5">
        <v>46077</v>
      </c>
      <c r="B767" t="s">
        <v>560</v>
      </c>
      <c r="C767" t="s">
        <v>566</v>
      </c>
      <c r="E767" s="6">
        <v>8290</v>
      </c>
      <c r="F767" t="s">
        <v>14</v>
      </c>
      <c r="G767" t="s">
        <v>679</v>
      </c>
      <c r="H767" t="s">
        <v>24</v>
      </c>
      <c r="I767" s="6">
        <v>1324</v>
      </c>
      <c r="J767" s="6">
        <v>6966</v>
      </c>
      <c r="K767" t="s">
        <v>25</v>
      </c>
      <c r="L767" t="s">
        <v>26</v>
      </c>
    </row>
    <row r="768" spans="1:12" x14ac:dyDescent="0.5">
      <c r="A768" s="2">
        <v>46077</v>
      </c>
      <c r="B768" s="3" t="s">
        <v>560</v>
      </c>
      <c r="C768" s="3" t="s">
        <v>567</v>
      </c>
      <c r="D768" s="3"/>
      <c r="E768" s="4">
        <v>127944</v>
      </c>
      <c r="F768" s="3" t="s">
        <v>14</v>
      </c>
      <c r="G768" s="3" t="s">
        <v>679</v>
      </c>
      <c r="H768" s="3" t="s">
        <v>33</v>
      </c>
      <c r="I768" s="4">
        <v>20428</v>
      </c>
      <c r="J768" s="4">
        <v>107516</v>
      </c>
      <c r="K768" s="3" t="s">
        <v>34</v>
      </c>
      <c r="L768" s="3" t="s">
        <v>35</v>
      </c>
    </row>
    <row r="769" spans="1:12" x14ac:dyDescent="0.5">
      <c r="A769" s="5">
        <v>46078</v>
      </c>
      <c r="B769" t="s">
        <v>560</v>
      </c>
      <c r="C769" t="s">
        <v>130</v>
      </c>
      <c r="E769" s="6">
        <v>23451</v>
      </c>
      <c r="F769" t="s">
        <v>14</v>
      </c>
      <c r="G769" t="s">
        <v>679</v>
      </c>
      <c r="H769" t="s">
        <v>24</v>
      </c>
      <c r="I769" s="6">
        <v>3744</v>
      </c>
      <c r="J769" s="6">
        <v>19707</v>
      </c>
      <c r="K769" t="s">
        <v>25</v>
      </c>
      <c r="L769" t="s">
        <v>26</v>
      </c>
    </row>
    <row r="770" spans="1:12" x14ac:dyDescent="0.5">
      <c r="A770" s="2">
        <v>46078</v>
      </c>
      <c r="B770" s="3" t="s">
        <v>560</v>
      </c>
      <c r="C770" s="3" t="s">
        <v>430</v>
      </c>
      <c r="D770" s="3"/>
      <c r="E770" s="4">
        <v>15930</v>
      </c>
      <c r="F770" s="3" t="s">
        <v>14</v>
      </c>
      <c r="G770" s="3" t="s">
        <v>679</v>
      </c>
      <c r="H770" s="3" t="s">
        <v>321</v>
      </c>
      <c r="I770" s="4">
        <v>2543</v>
      </c>
      <c r="J770" s="4">
        <v>13387</v>
      </c>
      <c r="K770" s="3" t="s">
        <v>322</v>
      </c>
      <c r="L770" s="3" t="s">
        <v>26</v>
      </c>
    </row>
    <row r="771" spans="1:12" x14ac:dyDescent="0.5">
      <c r="A771" s="5">
        <v>46078</v>
      </c>
      <c r="B771" t="s">
        <v>560</v>
      </c>
      <c r="C771" t="s">
        <v>87</v>
      </c>
      <c r="E771" s="6">
        <v>19656</v>
      </c>
      <c r="F771" t="s">
        <v>14</v>
      </c>
      <c r="G771" t="s">
        <v>15</v>
      </c>
      <c r="H771" t="s">
        <v>46</v>
      </c>
      <c r="I771" s="6">
        <v>3138</v>
      </c>
      <c r="J771" s="6">
        <v>16518</v>
      </c>
      <c r="K771" t="s">
        <v>47</v>
      </c>
      <c r="L771" t="s">
        <v>48</v>
      </c>
    </row>
    <row r="772" spans="1:12" x14ac:dyDescent="0.5">
      <c r="A772" s="2">
        <v>46078</v>
      </c>
      <c r="B772" s="3" t="s">
        <v>560</v>
      </c>
      <c r="C772" s="3" t="s">
        <v>87</v>
      </c>
      <c r="D772" s="3"/>
      <c r="E772" s="4">
        <v>19</v>
      </c>
      <c r="F772" s="3" t="s">
        <v>14</v>
      </c>
      <c r="G772" s="3" t="s">
        <v>15</v>
      </c>
      <c r="H772" s="3" t="s">
        <v>46</v>
      </c>
      <c r="I772" s="4">
        <v>3</v>
      </c>
      <c r="J772" s="4">
        <v>16</v>
      </c>
      <c r="K772" s="3" t="s">
        <v>47</v>
      </c>
      <c r="L772" s="3" t="s">
        <v>48</v>
      </c>
    </row>
    <row r="773" spans="1:12" x14ac:dyDescent="0.5">
      <c r="A773" s="5">
        <v>46080</v>
      </c>
      <c r="B773" t="s">
        <v>560</v>
      </c>
      <c r="C773" t="s">
        <v>124</v>
      </c>
      <c r="E773" s="6">
        <v>20965</v>
      </c>
      <c r="F773" t="s">
        <v>14</v>
      </c>
      <c r="G773" t="s">
        <v>679</v>
      </c>
      <c r="H773" t="s">
        <v>16</v>
      </c>
      <c r="I773" s="6">
        <v>3347</v>
      </c>
      <c r="J773" s="6">
        <v>17618</v>
      </c>
      <c r="K773" t="s">
        <v>17</v>
      </c>
      <c r="L773" t="s">
        <v>18</v>
      </c>
    </row>
    <row r="774" spans="1:12" x14ac:dyDescent="0.5">
      <c r="A774" s="2">
        <v>46083</v>
      </c>
      <c r="B774" s="3" t="s">
        <v>568</v>
      </c>
      <c r="C774" s="3" t="s">
        <v>229</v>
      </c>
      <c r="D774" s="3"/>
      <c r="E774" s="4">
        <v>59197</v>
      </c>
      <c r="F774" s="3" t="s">
        <v>14</v>
      </c>
      <c r="G774" s="3" t="s">
        <v>679</v>
      </c>
      <c r="H774" s="3" t="s">
        <v>230</v>
      </c>
      <c r="I774" s="4">
        <v>9452</v>
      </c>
      <c r="J774" s="4">
        <v>49745</v>
      </c>
      <c r="K774" s="3" t="s">
        <v>231</v>
      </c>
      <c r="L774" s="3" t="s">
        <v>48</v>
      </c>
    </row>
    <row r="775" spans="1:12" x14ac:dyDescent="0.5">
      <c r="A775" s="5">
        <v>46083</v>
      </c>
      <c r="B775" t="s">
        <v>568</v>
      </c>
      <c r="C775" t="s">
        <v>584</v>
      </c>
      <c r="E775" s="6">
        <v>93223</v>
      </c>
      <c r="F775" t="s">
        <v>14</v>
      </c>
      <c r="G775" t="s">
        <v>679</v>
      </c>
      <c r="H775" t="s">
        <v>16</v>
      </c>
      <c r="I775" s="6">
        <v>14884</v>
      </c>
      <c r="J775" s="6">
        <v>78339</v>
      </c>
      <c r="K775" t="s">
        <v>17</v>
      </c>
      <c r="L775" t="s">
        <v>18</v>
      </c>
    </row>
    <row r="776" spans="1:12" x14ac:dyDescent="0.5">
      <c r="A776" s="2">
        <v>46083</v>
      </c>
      <c r="B776" s="3" t="s">
        <v>568</v>
      </c>
      <c r="C776" s="3" t="s">
        <v>124</v>
      </c>
      <c r="D776" s="3"/>
      <c r="E776" s="4">
        <v>17962</v>
      </c>
      <c r="F776" s="3" t="s">
        <v>14</v>
      </c>
      <c r="G776" s="3" t="s">
        <v>679</v>
      </c>
      <c r="H776" s="3" t="s">
        <v>16</v>
      </c>
      <c r="I776" s="4">
        <v>2868</v>
      </c>
      <c r="J776" s="4">
        <v>15094</v>
      </c>
      <c r="K776" s="3" t="s">
        <v>17</v>
      </c>
      <c r="L776" s="3" t="s">
        <v>18</v>
      </c>
    </row>
    <row r="777" spans="1:12" x14ac:dyDescent="0.5">
      <c r="A777" s="5">
        <v>46084</v>
      </c>
      <c r="B777" t="s">
        <v>568</v>
      </c>
      <c r="C777" t="s">
        <v>194</v>
      </c>
      <c r="E777" s="6">
        <v>18121</v>
      </c>
      <c r="F777" t="s">
        <v>14</v>
      </c>
      <c r="G777" t="s">
        <v>679</v>
      </c>
      <c r="H777" t="s">
        <v>16</v>
      </c>
      <c r="I777" s="6">
        <v>2893</v>
      </c>
      <c r="J777" s="6">
        <v>15228</v>
      </c>
      <c r="K777" t="s">
        <v>17</v>
      </c>
      <c r="L777" t="s">
        <v>18</v>
      </c>
    </row>
    <row r="778" spans="1:12" x14ac:dyDescent="0.5">
      <c r="A778" s="2">
        <v>46085</v>
      </c>
      <c r="B778" s="3" t="s">
        <v>568</v>
      </c>
      <c r="C778" s="3" t="s">
        <v>559</v>
      </c>
      <c r="D778" s="3"/>
      <c r="E778" s="4">
        <v>738294</v>
      </c>
      <c r="F778" s="3" t="s">
        <v>14</v>
      </c>
      <c r="G778" s="3" t="s">
        <v>679</v>
      </c>
      <c r="H778" s="3" t="s">
        <v>24</v>
      </c>
      <c r="I778" s="4">
        <v>117879</v>
      </c>
      <c r="J778" s="4">
        <v>620415</v>
      </c>
      <c r="K778" s="3" t="s">
        <v>25</v>
      </c>
      <c r="L778" s="3" t="s">
        <v>26</v>
      </c>
    </row>
    <row r="779" spans="1:12" x14ac:dyDescent="0.5">
      <c r="A779" s="5">
        <v>46085</v>
      </c>
      <c r="B779" t="s">
        <v>568</v>
      </c>
      <c r="C779" t="s">
        <v>602</v>
      </c>
      <c r="E779" s="6">
        <v>8500</v>
      </c>
      <c r="F779" t="s">
        <v>14</v>
      </c>
      <c r="G779" t="s">
        <v>679</v>
      </c>
      <c r="H779" t="s">
        <v>547</v>
      </c>
      <c r="I779" s="6">
        <v>1357</v>
      </c>
      <c r="J779" s="6">
        <v>7143</v>
      </c>
      <c r="K779" t="s">
        <v>530</v>
      </c>
      <c r="L779" t="s">
        <v>35</v>
      </c>
    </row>
    <row r="780" spans="1:12" x14ac:dyDescent="0.5">
      <c r="A780" s="2">
        <v>46085</v>
      </c>
      <c r="B780" s="3" t="s">
        <v>568</v>
      </c>
      <c r="C780" s="3" t="s">
        <v>19</v>
      </c>
      <c r="D780" s="3"/>
      <c r="E780" s="4">
        <v>40747</v>
      </c>
      <c r="F780" s="3" t="s">
        <v>14</v>
      </c>
      <c r="G780" s="3" t="s">
        <v>15</v>
      </c>
      <c r="H780" s="3" t="s">
        <v>20</v>
      </c>
      <c r="I780" s="4">
        <v>6506</v>
      </c>
      <c r="J780" s="4">
        <v>34241</v>
      </c>
      <c r="K780" s="3" t="s">
        <v>21</v>
      </c>
      <c r="L780" s="3" t="s">
        <v>22</v>
      </c>
    </row>
    <row r="781" spans="1:12" x14ac:dyDescent="0.5">
      <c r="A781" s="5">
        <v>46087</v>
      </c>
      <c r="B781" t="s">
        <v>568</v>
      </c>
      <c r="C781" t="s">
        <v>569</v>
      </c>
      <c r="E781" s="6">
        <v>319198</v>
      </c>
      <c r="F781" t="s">
        <v>14</v>
      </c>
      <c r="G781" t="s">
        <v>679</v>
      </c>
      <c r="H781" t="s">
        <v>33</v>
      </c>
      <c r="I781" s="6">
        <v>50964</v>
      </c>
      <c r="J781" s="6">
        <v>268234</v>
      </c>
      <c r="K781" t="s">
        <v>34</v>
      </c>
      <c r="L781" t="s">
        <v>35</v>
      </c>
    </row>
    <row r="782" spans="1:12" x14ac:dyDescent="0.5">
      <c r="A782" s="2">
        <v>46087</v>
      </c>
      <c r="B782" s="3" t="s">
        <v>568</v>
      </c>
      <c r="C782" s="3" t="s">
        <v>570</v>
      </c>
      <c r="D782" s="3"/>
      <c r="E782" s="4">
        <v>197898</v>
      </c>
      <c r="F782" s="3" t="s">
        <v>14</v>
      </c>
      <c r="G782" s="3" t="s">
        <v>679</v>
      </c>
      <c r="H782" s="3" t="s">
        <v>33</v>
      </c>
      <c r="I782" s="4">
        <v>31597</v>
      </c>
      <c r="J782" s="4">
        <v>166301</v>
      </c>
      <c r="K782" s="3" t="s">
        <v>34</v>
      </c>
      <c r="L782" s="3" t="s">
        <v>35</v>
      </c>
    </row>
    <row r="783" spans="1:12" x14ac:dyDescent="0.5">
      <c r="A783" s="5">
        <v>46090</v>
      </c>
      <c r="B783" t="s">
        <v>568</v>
      </c>
      <c r="C783" t="s">
        <v>219</v>
      </c>
      <c r="E783" s="6">
        <v>1926212</v>
      </c>
      <c r="F783" t="s">
        <v>41</v>
      </c>
      <c r="G783" t="s">
        <v>15</v>
      </c>
      <c r="H783" t="s">
        <v>134</v>
      </c>
      <c r="I783" s="6">
        <v>0</v>
      </c>
      <c r="J783" s="6">
        <v>1926212</v>
      </c>
      <c r="K783" t="s">
        <v>135</v>
      </c>
      <c r="L783" t="s">
        <v>44</v>
      </c>
    </row>
    <row r="784" spans="1:12" x14ac:dyDescent="0.5">
      <c r="A784" s="2">
        <v>46091</v>
      </c>
      <c r="B784" s="3" t="s">
        <v>560</v>
      </c>
      <c r="C784" s="3" t="s">
        <v>65</v>
      </c>
      <c r="D784" s="3"/>
      <c r="E784" s="4">
        <v>1671962</v>
      </c>
      <c r="F784" s="3" t="s">
        <v>41</v>
      </c>
      <c r="G784" s="3" t="s">
        <v>15</v>
      </c>
      <c r="H784" s="3" t="s">
        <v>66</v>
      </c>
      <c r="I784" s="4">
        <v>0</v>
      </c>
      <c r="J784" s="4">
        <v>1671962</v>
      </c>
      <c r="K784" s="3" t="s">
        <v>67</v>
      </c>
      <c r="L784" s="3" t="s">
        <v>68</v>
      </c>
    </row>
    <row r="785" spans="1:12" x14ac:dyDescent="0.5">
      <c r="A785" s="5">
        <v>46091</v>
      </c>
      <c r="B785" t="s">
        <v>568</v>
      </c>
      <c r="C785" t="s">
        <v>498</v>
      </c>
      <c r="E785" s="6">
        <v>2590</v>
      </c>
      <c r="F785" t="s">
        <v>14</v>
      </c>
      <c r="G785" t="s">
        <v>679</v>
      </c>
      <c r="H785" t="s">
        <v>355</v>
      </c>
      <c r="I785" s="6">
        <v>414</v>
      </c>
      <c r="J785" s="6">
        <v>2176</v>
      </c>
      <c r="K785" t="s">
        <v>356</v>
      </c>
      <c r="L785" t="s">
        <v>48</v>
      </c>
    </row>
    <row r="786" spans="1:12" x14ac:dyDescent="0.5">
      <c r="A786" s="2">
        <v>46092</v>
      </c>
      <c r="B786" s="3" t="s">
        <v>568</v>
      </c>
      <c r="C786" s="3" t="s">
        <v>239</v>
      </c>
      <c r="D786" s="3"/>
      <c r="E786" s="4">
        <v>62070</v>
      </c>
      <c r="F786" s="3" t="s">
        <v>14</v>
      </c>
      <c r="G786" s="3" t="s">
        <v>679</v>
      </c>
      <c r="H786" s="3" t="s">
        <v>24</v>
      </c>
      <c r="I786" s="4">
        <v>9910</v>
      </c>
      <c r="J786" s="4">
        <v>52160</v>
      </c>
      <c r="K786" s="3" t="s">
        <v>25</v>
      </c>
      <c r="L786" s="3" t="s">
        <v>26</v>
      </c>
    </row>
    <row r="787" spans="1:12" x14ac:dyDescent="0.5">
      <c r="A787" s="5">
        <v>46092</v>
      </c>
      <c r="B787" t="s">
        <v>568</v>
      </c>
      <c r="C787" t="s">
        <v>239</v>
      </c>
      <c r="E787" s="6">
        <v>25470</v>
      </c>
      <c r="F787" t="s">
        <v>14</v>
      </c>
      <c r="G787" t="s">
        <v>679</v>
      </c>
      <c r="H787" t="s">
        <v>24</v>
      </c>
      <c r="I787" s="6">
        <v>4067</v>
      </c>
      <c r="J787" s="6">
        <v>21403</v>
      </c>
      <c r="K787" t="s">
        <v>25</v>
      </c>
      <c r="L787" t="s">
        <v>26</v>
      </c>
    </row>
    <row r="788" spans="1:12" x14ac:dyDescent="0.5">
      <c r="A788" s="2">
        <v>46092</v>
      </c>
      <c r="B788" s="3" t="s">
        <v>568</v>
      </c>
      <c r="C788" s="3" t="s">
        <v>620</v>
      </c>
      <c r="D788" s="3"/>
      <c r="E788" s="4">
        <v>10990</v>
      </c>
      <c r="F788" s="3" t="s">
        <v>14</v>
      </c>
      <c r="G788" s="3" t="s">
        <v>679</v>
      </c>
      <c r="H788" s="3" t="s">
        <v>355</v>
      </c>
      <c r="I788" s="4">
        <v>1755</v>
      </c>
      <c r="J788" s="4">
        <v>9235</v>
      </c>
      <c r="K788" s="3" t="s">
        <v>356</v>
      </c>
      <c r="L788" s="3" t="s">
        <v>48</v>
      </c>
    </row>
    <row r="789" spans="1:12" x14ac:dyDescent="0.5">
      <c r="A789" s="5">
        <v>46093</v>
      </c>
      <c r="B789" t="s">
        <v>568</v>
      </c>
      <c r="C789" t="s">
        <v>107</v>
      </c>
      <c r="E789" s="6">
        <v>3660</v>
      </c>
      <c r="F789" t="s">
        <v>41</v>
      </c>
      <c r="G789" t="s">
        <v>679</v>
      </c>
      <c r="H789" t="s">
        <v>62</v>
      </c>
      <c r="I789" s="6">
        <v>0</v>
      </c>
      <c r="J789" s="6">
        <v>3660</v>
      </c>
      <c r="K789" t="s">
        <v>63</v>
      </c>
      <c r="L789" t="s">
        <v>22</v>
      </c>
    </row>
    <row r="790" spans="1:12" x14ac:dyDescent="0.5">
      <c r="A790" s="2">
        <v>46094</v>
      </c>
      <c r="B790" s="3" t="s">
        <v>568</v>
      </c>
      <c r="C790" s="3" t="s">
        <v>601</v>
      </c>
      <c r="D790" s="3"/>
      <c r="E790" s="4">
        <v>67910</v>
      </c>
      <c r="F790" s="3" t="s">
        <v>14</v>
      </c>
      <c r="G790" s="3" t="s">
        <v>679</v>
      </c>
      <c r="H790" s="3" t="s">
        <v>46</v>
      </c>
      <c r="I790" s="4">
        <v>10843</v>
      </c>
      <c r="J790" s="4">
        <v>57067</v>
      </c>
      <c r="K790" s="3" t="s">
        <v>47</v>
      </c>
      <c r="L790" s="3" t="s">
        <v>48</v>
      </c>
    </row>
    <row r="791" spans="1:12" x14ac:dyDescent="0.5">
      <c r="A791" s="5">
        <v>46094</v>
      </c>
      <c r="B791" t="s">
        <v>568</v>
      </c>
      <c r="C791" t="s">
        <v>571</v>
      </c>
      <c r="E791" s="6">
        <v>46960</v>
      </c>
      <c r="F791" t="s">
        <v>14</v>
      </c>
      <c r="G791" t="s">
        <v>679</v>
      </c>
      <c r="H791" t="s">
        <v>33</v>
      </c>
      <c r="I791" s="6">
        <v>7498</v>
      </c>
      <c r="J791" s="6">
        <v>39462</v>
      </c>
      <c r="K791" t="s">
        <v>34</v>
      </c>
      <c r="L791" t="s">
        <v>35</v>
      </c>
    </row>
    <row r="792" spans="1:12" x14ac:dyDescent="0.5">
      <c r="A792" s="2">
        <v>46094</v>
      </c>
      <c r="B792" s="3" t="s">
        <v>568</v>
      </c>
      <c r="C792" s="3" t="s">
        <v>572</v>
      </c>
      <c r="D792" s="3"/>
      <c r="E792" s="4">
        <v>1939</v>
      </c>
      <c r="F792" s="3" t="s">
        <v>41</v>
      </c>
      <c r="G792" s="3" t="s">
        <v>679</v>
      </c>
      <c r="H792" s="3" t="s">
        <v>62</v>
      </c>
      <c r="I792" s="4">
        <v>0</v>
      </c>
      <c r="J792" s="4">
        <v>1939</v>
      </c>
      <c r="K792" s="3" t="s">
        <v>63</v>
      </c>
      <c r="L792" s="3" t="s">
        <v>22</v>
      </c>
    </row>
    <row r="793" spans="1:12" x14ac:dyDescent="0.5">
      <c r="A793" s="5">
        <v>46097</v>
      </c>
      <c r="B793" t="s">
        <v>568</v>
      </c>
      <c r="C793" t="s">
        <v>559</v>
      </c>
      <c r="E793" s="6">
        <v>474648</v>
      </c>
      <c r="F793" t="s">
        <v>14</v>
      </c>
      <c r="G793" t="s">
        <v>679</v>
      </c>
      <c r="H793" t="s">
        <v>24</v>
      </c>
      <c r="I793" s="6">
        <v>75784</v>
      </c>
      <c r="J793" s="6">
        <v>398864</v>
      </c>
      <c r="K793" t="s">
        <v>25</v>
      </c>
      <c r="L793" t="s">
        <v>26</v>
      </c>
    </row>
    <row r="794" spans="1:12" x14ac:dyDescent="0.5">
      <c r="A794" s="2">
        <v>46097</v>
      </c>
      <c r="B794" s="3" t="s">
        <v>568</v>
      </c>
      <c r="C794" s="3" t="s">
        <v>124</v>
      </c>
      <c r="D794" s="3"/>
      <c r="E794" s="4">
        <v>22443</v>
      </c>
      <c r="F794" s="3" t="s">
        <v>14</v>
      </c>
      <c r="G794" s="3" t="s">
        <v>679</v>
      </c>
      <c r="H794" s="3" t="s">
        <v>16</v>
      </c>
      <c r="I794" s="4">
        <v>3583</v>
      </c>
      <c r="J794" s="4">
        <v>18860</v>
      </c>
      <c r="K794" s="3" t="s">
        <v>17</v>
      </c>
      <c r="L794" s="3" t="s">
        <v>18</v>
      </c>
    </row>
    <row r="795" spans="1:12" x14ac:dyDescent="0.5">
      <c r="A795" s="5">
        <v>46097</v>
      </c>
      <c r="B795" t="s">
        <v>568</v>
      </c>
      <c r="C795" t="s">
        <v>124</v>
      </c>
      <c r="E795" s="6">
        <v>18820</v>
      </c>
      <c r="F795" t="s">
        <v>14</v>
      </c>
      <c r="G795" t="s">
        <v>679</v>
      </c>
      <c r="H795" t="s">
        <v>16</v>
      </c>
      <c r="I795" s="6">
        <v>3005</v>
      </c>
      <c r="J795" s="6">
        <v>15815</v>
      </c>
      <c r="K795" t="s">
        <v>17</v>
      </c>
      <c r="L795" t="s">
        <v>18</v>
      </c>
    </row>
    <row r="796" spans="1:12" x14ac:dyDescent="0.5">
      <c r="A796" s="2">
        <v>46098</v>
      </c>
      <c r="B796" s="3" t="s">
        <v>568</v>
      </c>
      <c r="C796" s="3" t="s">
        <v>573</v>
      </c>
      <c r="D796" s="3"/>
      <c r="E796" s="4">
        <v>124502</v>
      </c>
      <c r="F796" s="3" t="s">
        <v>14</v>
      </c>
      <c r="G796" s="3" t="s">
        <v>679</v>
      </c>
      <c r="H796" s="3" t="s">
        <v>16</v>
      </c>
      <c r="I796" s="4">
        <v>19878</v>
      </c>
      <c r="J796" s="4">
        <v>104624</v>
      </c>
      <c r="K796" s="3" t="s">
        <v>17</v>
      </c>
      <c r="L796" s="3" t="s">
        <v>18</v>
      </c>
    </row>
    <row r="797" spans="1:12" x14ac:dyDescent="0.5">
      <c r="A797" s="5">
        <v>46099</v>
      </c>
      <c r="B797" t="s">
        <v>568</v>
      </c>
      <c r="C797" t="s">
        <v>565</v>
      </c>
      <c r="E797" s="6">
        <v>19495</v>
      </c>
      <c r="F797" t="s">
        <v>14</v>
      </c>
      <c r="G797" t="s">
        <v>15</v>
      </c>
      <c r="H797" t="s">
        <v>57</v>
      </c>
      <c r="I797" s="6">
        <v>3113</v>
      </c>
      <c r="J797" s="6">
        <v>16382</v>
      </c>
      <c r="K797" t="s">
        <v>58</v>
      </c>
      <c r="L797" t="s">
        <v>48</v>
      </c>
    </row>
    <row r="798" spans="1:12" x14ac:dyDescent="0.5">
      <c r="A798" s="2">
        <v>46099</v>
      </c>
      <c r="B798" s="3" t="s">
        <v>568</v>
      </c>
      <c r="C798" s="3" t="s">
        <v>186</v>
      </c>
      <c r="D798" s="3"/>
      <c r="E798" s="4">
        <v>17231</v>
      </c>
      <c r="F798" s="3" t="s">
        <v>14</v>
      </c>
      <c r="G798" s="3" t="s">
        <v>15</v>
      </c>
      <c r="H798" s="3" t="s">
        <v>57</v>
      </c>
      <c r="I798" s="4">
        <v>2751</v>
      </c>
      <c r="J798" s="4">
        <v>14480</v>
      </c>
      <c r="K798" s="3" t="s">
        <v>58</v>
      </c>
      <c r="L798" s="3" t="s">
        <v>48</v>
      </c>
    </row>
    <row r="799" spans="1:12" x14ac:dyDescent="0.5">
      <c r="A799" s="5">
        <v>46099</v>
      </c>
      <c r="B799" t="s">
        <v>568</v>
      </c>
      <c r="C799" t="s">
        <v>107</v>
      </c>
      <c r="E799" s="6">
        <v>3232</v>
      </c>
      <c r="F799" t="s">
        <v>41</v>
      </c>
      <c r="G799" t="s">
        <v>679</v>
      </c>
      <c r="H799" t="s">
        <v>62</v>
      </c>
      <c r="I799" s="6">
        <v>0</v>
      </c>
      <c r="J799" s="6">
        <v>3232</v>
      </c>
      <c r="K799" t="s">
        <v>63</v>
      </c>
      <c r="L799" t="s">
        <v>22</v>
      </c>
    </row>
    <row r="800" spans="1:12" x14ac:dyDescent="0.5">
      <c r="A800" s="2">
        <v>46099</v>
      </c>
      <c r="B800" s="3" t="s">
        <v>568</v>
      </c>
      <c r="C800" s="3" t="s">
        <v>107</v>
      </c>
      <c r="D800" s="3"/>
      <c r="E800" s="4">
        <v>2766</v>
      </c>
      <c r="F800" s="3" t="s">
        <v>41</v>
      </c>
      <c r="G800" s="3" t="s">
        <v>679</v>
      </c>
      <c r="H800" s="3" t="s">
        <v>62</v>
      </c>
      <c r="I800" s="4">
        <v>0</v>
      </c>
      <c r="J800" s="4">
        <v>2766</v>
      </c>
      <c r="K800" s="3" t="s">
        <v>63</v>
      </c>
      <c r="L800" s="3" t="s">
        <v>22</v>
      </c>
    </row>
    <row r="801" spans="1:12" x14ac:dyDescent="0.5">
      <c r="A801" s="5">
        <v>46100</v>
      </c>
      <c r="B801" t="s">
        <v>568</v>
      </c>
      <c r="C801" t="s">
        <v>631</v>
      </c>
      <c r="E801" s="6">
        <v>51930</v>
      </c>
      <c r="F801" t="s">
        <v>14</v>
      </c>
      <c r="G801" t="s">
        <v>679</v>
      </c>
      <c r="H801" t="s">
        <v>46</v>
      </c>
      <c r="I801" s="6">
        <v>8291</v>
      </c>
      <c r="J801" s="6">
        <v>43639</v>
      </c>
      <c r="K801" t="s">
        <v>47</v>
      </c>
      <c r="L801" t="s">
        <v>48</v>
      </c>
    </row>
    <row r="802" spans="1:12" x14ac:dyDescent="0.5">
      <c r="A802" s="2">
        <v>46101</v>
      </c>
      <c r="B802" s="3" t="s">
        <v>568</v>
      </c>
      <c r="C802" s="3" t="s">
        <v>130</v>
      </c>
      <c r="D802" s="3"/>
      <c r="E802" s="4">
        <v>156697</v>
      </c>
      <c r="F802" s="3" t="s">
        <v>14</v>
      </c>
      <c r="G802" s="3" t="s">
        <v>679</v>
      </c>
      <c r="H802" s="3" t="s">
        <v>24</v>
      </c>
      <c r="I802" s="4">
        <v>25019</v>
      </c>
      <c r="J802" s="4">
        <v>131678</v>
      </c>
      <c r="K802" s="3" t="s">
        <v>25</v>
      </c>
      <c r="L802" s="3" t="s">
        <v>26</v>
      </c>
    </row>
    <row r="803" spans="1:12" x14ac:dyDescent="0.5">
      <c r="A803" s="5">
        <v>46101</v>
      </c>
      <c r="B803" t="s">
        <v>568</v>
      </c>
      <c r="C803" t="s">
        <v>574</v>
      </c>
      <c r="E803" s="6">
        <v>13929</v>
      </c>
      <c r="F803" t="s">
        <v>41</v>
      </c>
      <c r="G803" t="s">
        <v>679</v>
      </c>
      <c r="H803" t="s">
        <v>62</v>
      </c>
      <c r="I803" s="6">
        <v>0</v>
      </c>
      <c r="J803" s="6">
        <v>13929</v>
      </c>
      <c r="K803" t="s">
        <v>63</v>
      </c>
      <c r="L803" t="s">
        <v>22</v>
      </c>
    </row>
    <row r="804" spans="1:12" x14ac:dyDescent="0.5">
      <c r="A804" s="2">
        <v>46101</v>
      </c>
      <c r="B804" s="3" t="s">
        <v>568</v>
      </c>
      <c r="C804" s="3" t="s">
        <v>148</v>
      </c>
      <c r="D804" s="3"/>
      <c r="E804" s="4">
        <v>4961</v>
      </c>
      <c r="F804" s="3" t="s">
        <v>41</v>
      </c>
      <c r="G804" s="3" t="s">
        <v>679</v>
      </c>
      <c r="H804" s="3" t="s">
        <v>62</v>
      </c>
      <c r="I804" s="4">
        <v>0</v>
      </c>
      <c r="J804" s="4">
        <v>4961</v>
      </c>
      <c r="K804" s="3" t="s">
        <v>63</v>
      </c>
      <c r="L804" s="3" t="s">
        <v>22</v>
      </c>
    </row>
    <row r="805" spans="1:12" x14ac:dyDescent="0.5">
      <c r="A805" s="5">
        <v>46101</v>
      </c>
      <c r="B805" t="s">
        <v>560</v>
      </c>
      <c r="C805" t="s">
        <v>40</v>
      </c>
      <c r="E805" s="6">
        <v>213518</v>
      </c>
      <c r="F805" t="s">
        <v>41</v>
      </c>
      <c r="G805" t="s">
        <v>15</v>
      </c>
      <c r="H805" t="s">
        <v>42</v>
      </c>
      <c r="I805" s="6">
        <v>0</v>
      </c>
      <c r="J805" s="6">
        <v>213518</v>
      </c>
      <c r="K805" t="s">
        <v>43</v>
      </c>
      <c r="L805" t="s">
        <v>44</v>
      </c>
    </row>
    <row r="806" spans="1:12" x14ac:dyDescent="0.5">
      <c r="A806" s="2">
        <v>46104</v>
      </c>
      <c r="B806" s="3" t="s">
        <v>568</v>
      </c>
      <c r="C806" s="3" t="s">
        <v>559</v>
      </c>
      <c r="D806" s="3"/>
      <c r="E806" s="4">
        <v>575877</v>
      </c>
      <c r="F806" s="3" t="s">
        <v>14</v>
      </c>
      <c r="G806" s="3" t="s">
        <v>679</v>
      </c>
      <c r="H806" s="3" t="s">
        <v>24</v>
      </c>
      <c r="I806" s="4">
        <v>91947</v>
      </c>
      <c r="J806" s="4">
        <v>483930</v>
      </c>
      <c r="K806" s="3" t="s">
        <v>25</v>
      </c>
      <c r="L806" s="3" t="s">
        <v>26</v>
      </c>
    </row>
    <row r="807" spans="1:12" x14ac:dyDescent="0.5">
      <c r="A807" s="5">
        <v>46104</v>
      </c>
      <c r="B807" t="s">
        <v>568</v>
      </c>
      <c r="C807" t="s">
        <v>105</v>
      </c>
      <c r="E807" s="6">
        <v>7900</v>
      </c>
      <c r="F807" t="s">
        <v>14</v>
      </c>
      <c r="G807" t="s">
        <v>679</v>
      </c>
      <c r="H807" t="s">
        <v>16</v>
      </c>
      <c r="I807" s="6">
        <v>1261</v>
      </c>
      <c r="J807" s="6">
        <v>6639</v>
      </c>
      <c r="K807" t="s">
        <v>17</v>
      </c>
      <c r="L807" t="s">
        <v>18</v>
      </c>
    </row>
    <row r="808" spans="1:12" x14ac:dyDescent="0.5">
      <c r="A808" s="2">
        <v>46105</v>
      </c>
      <c r="B808" s="3" t="s">
        <v>568</v>
      </c>
      <c r="C808" s="3" t="s">
        <v>239</v>
      </c>
      <c r="D808" s="3"/>
      <c r="E808" s="4">
        <v>15585</v>
      </c>
      <c r="F808" s="3" t="s">
        <v>14</v>
      </c>
      <c r="G808" s="3" t="s">
        <v>679</v>
      </c>
      <c r="H808" s="3" t="s">
        <v>24</v>
      </c>
      <c r="I808" s="4">
        <v>2488</v>
      </c>
      <c r="J808" s="4">
        <v>13097</v>
      </c>
      <c r="K808" s="3" t="s">
        <v>25</v>
      </c>
      <c r="L808" s="3" t="s">
        <v>26</v>
      </c>
    </row>
    <row r="809" spans="1:12" x14ac:dyDescent="0.5">
      <c r="A809" s="5">
        <v>46105</v>
      </c>
      <c r="B809" t="s">
        <v>568</v>
      </c>
      <c r="C809" t="s">
        <v>575</v>
      </c>
      <c r="E809" s="6">
        <v>252046</v>
      </c>
      <c r="F809" t="s">
        <v>14</v>
      </c>
      <c r="G809" t="s">
        <v>679</v>
      </c>
      <c r="H809" t="s">
        <v>33</v>
      </c>
      <c r="I809" s="6">
        <v>40243</v>
      </c>
      <c r="J809" s="6">
        <v>211803</v>
      </c>
      <c r="K809" t="s">
        <v>34</v>
      </c>
      <c r="L809" t="s">
        <v>35</v>
      </c>
    </row>
    <row r="810" spans="1:12" x14ac:dyDescent="0.5">
      <c r="A810" s="2">
        <v>46107</v>
      </c>
      <c r="B810" s="3" t="s">
        <v>568</v>
      </c>
      <c r="C810" s="3" t="s">
        <v>220</v>
      </c>
      <c r="D810" s="3"/>
      <c r="E810" s="4">
        <v>34000</v>
      </c>
      <c r="F810" s="3" t="s">
        <v>14</v>
      </c>
      <c r="G810" s="3" t="s">
        <v>679</v>
      </c>
      <c r="H810" s="3" t="s">
        <v>24</v>
      </c>
      <c r="I810" s="4">
        <v>5429</v>
      </c>
      <c r="J810" s="4">
        <v>28571</v>
      </c>
      <c r="K810" s="3" t="s">
        <v>25</v>
      </c>
      <c r="L810" s="3" t="s">
        <v>26</v>
      </c>
    </row>
    <row r="811" spans="1:12" x14ac:dyDescent="0.5">
      <c r="A811" s="5">
        <v>46108</v>
      </c>
      <c r="B811" t="s">
        <v>568</v>
      </c>
      <c r="C811" t="s">
        <v>87</v>
      </c>
      <c r="E811" s="6">
        <v>15719</v>
      </c>
      <c r="F811" t="s">
        <v>14</v>
      </c>
      <c r="G811" t="s">
        <v>15</v>
      </c>
      <c r="H811" t="s">
        <v>46</v>
      </c>
      <c r="I811" s="6">
        <v>2510</v>
      </c>
      <c r="J811" s="6">
        <v>13209</v>
      </c>
      <c r="K811" t="s">
        <v>47</v>
      </c>
      <c r="L811" t="s">
        <v>48</v>
      </c>
    </row>
    <row r="812" spans="1:12" x14ac:dyDescent="0.5">
      <c r="A812" s="2">
        <v>46108</v>
      </c>
      <c r="B812" s="3" t="s">
        <v>568</v>
      </c>
      <c r="C812" s="3" t="s">
        <v>87</v>
      </c>
      <c r="D812" s="3"/>
      <c r="E812" s="4">
        <v>15</v>
      </c>
      <c r="F812" s="3" t="s">
        <v>14</v>
      </c>
      <c r="G812" s="3" t="s">
        <v>15</v>
      </c>
      <c r="H812" s="3" t="s">
        <v>46</v>
      </c>
      <c r="I812" s="4">
        <v>2</v>
      </c>
      <c r="J812" s="4">
        <v>13</v>
      </c>
      <c r="K812" s="3" t="s">
        <v>47</v>
      </c>
      <c r="L812" s="3" t="s">
        <v>48</v>
      </c>
    </row>
    <row r="813" spans="1:12" x14ac:dyDescent="0.5">
      <c r="A813" s="5">
        <v>46108</v>
      </c>
      <c r="B813" t="s">
        <v>568</v>
      </c>
      <c r="C813" t="s">
        <v>114</v>
      </c>
      <c r="E813" s="6">
        <v>257350</v>
      </c>
      <c r="F813" t="s">
        <v>14</v>
      </c>
      <c r="G813" t="s">
        <v>679</v>
      </c>
      <c r="H813" t="s">
        <v>16</v>
      </c>
      <c r="I813" s="6">
        <v>41089</v>
      </c>
      <c r="J813" s="6">
        <v>216261</v>
      </c>
      <c r="K813" t="s">
        <v>17</v>
      </c>
      <c r="L813" t="s">
        <v>18</v>
      </c>
    </row>
    <row r="814" spans="1:12" x14ac:dyDescent="0.5">
      <c r="A814" s="2">
        <v>46108</v>
      </c>
      <c r="B814" s="3" t="s">
        <v>568</v>
      </c>
      <c r="C814" s="3" t="s">
        <v>124</v>
      </c>
      <c r="D814" s="3"/>
      <c r="E814" s="4">
        <v>22586</v>
      </c>
      <c r="F814" s="3" t="s">
        <v>14</v>
      </c>
      <c r="G814" s="3" t="s">
        <v>679</v>
      </c>
      <c r="H814" s="3" t="s">
        <v>16</v>
      </c>
      <c r="I814" s="4">
        <v>3606</v>
      </c>
      <c r="J814" s="4">
        <v>18980</v>
      </c>
      <c r="K814" s="3" t="s">
        <v>17</v>
      </c>
      <c r="L814" s="3" t="s">
        <v>18</v>
      </c>
    </row>
    <row r="815" spans="1:12" x14ac:dyDescent="0.5">
      <c r="A815" s="5">
        <v>46111</v>
      </c>
      <c r="B815" t="s">
        <v>568</v>
      </c>
      <c r="C815" t="s">
        <v>130</v>
      </c>
      <c r="E815" s="6">
        <v>45844</v>
      </c>
      <c r="F815" t="s">
        <v>14</v>
      </c>
      <c r="G815" t="s">
        <v>679</v>
      </c>
      <c r="H815" t="s">
        <v>24</v>
      </c>
      <c r="I815" s="6">
        <v>7320</v>
      </c>
      <c r="J815" s="6">
        <v>38524</v>
      </c>
      <c r="K815" t="s">
        <v>25</v>
      </c>
      <c r="L815" t="s">
        <v>26</v>
      </c>
    </row>
    <row r="816" spans="1:12" x14ac:dyDescent="0.5">
      <c r="A816" s="2">
        <v>46111</v>
      </c>
      <c r="B816" s="3" t="s">
        <v>568</v>
      </c>
      <c r="C816" s="3" t="s">
        <v>107</v>
      </c>
      <c r="D816" s="3"/>
      <c r="E816" s="4">
        <v>1820</v>
      </c>
      <c r="F816" s="3" t="s">
        <v>41</v>
      </c>
      <c r="G816" s="3" t="s">
        <v>679</v>
      </c>
      <c r="H816" s="3" t="s">
        <v>62</v>
      </c>
      <c r="I816" s="4">
        <v>0</v>
      </c>
      <c r="J816" s="4">
        <v>1820</v>
      </c>
      <c r="K816" s="3" t="s">
        <v>63</v>
      </c>
      <c r="L816" s="3" t="s">
        <v>22</v>
      </c>
    </row>
    <row r="817" spans="1:12" x14ac:dyDescent="0.5">
      <c r="A817" s="5">
        <v>46112</v>
      </c>
      <c r="B817" t="s">
        <v>568</v>
      </c>
      <c r="C817" t="s">
        <v>576</v>
      </c>
      <c r="E817" s="6">
        <v>343624</v>
      </c>
      <c r="F817" t="s">
        <v>14</v>
      </c>
      <c r="G817" t="s">
        <v>679</v>
      </c>
      <c r="H817" t="s">
        <v>33</v>
      </c>
      <c r="I817" s="6">
        <v>54864</v>
      </c>
      <c r="J817" s="6">
        <v>288760</v>
      </c>
      <c r="K817" t="s">
        <v>34</v>
      </c>
      <c r="L817" t="s">
        <v>35</v>
      </c>
    </row>
    <row r="818" spans="1:12" x14ac:dyDescent="0.5">
      <c r="A818" s="2">
        <v>45323</v>
      </c>
      <c r="B818" s="3" t="s">
        <v>12</v>
      </c>
      <c r="C818" s="3" t="s">
        <v>247</v>
      </c>
      <c r="D818" s="3" t="s">
        <v>248</v>
      </c>
      <c r="E818" s="4">
        <v>321409</v>
      </c>
      <c r="F818" s="3" t="s">
        <v>14</v>
      </c>
      <c r="G818" s="3" t="s">
        <v>15</v>
      </c>
      <c r="H818" s="3" t="s">
        <v>24</v>
      </c>
      <c r="I818" s="4">
        <v>51317</v>
      </c>
      <c r="J818" s="4">
        <v>270092</v>
      </c>
      <c r="K818" s="3" t="s">
        <v>25</v>
      </c>
      <c r="L818" s="3" t="s">
        <v>26</v>
      </c>
    </row>
    <row r="819" spans="1:12" x14ac:dyDescent="0.5">
      <c r="A819" s="5">
        <v>45323</v>
      </c>
      <c r="B819" t="s">
        <v>39</v>
      </c>
      <c r="C819" t="s">
        <v>249</v>
      </c>
      <c r="D819" t="s">
        <v>250</v>
      </c>
      <c r="E819" s="6">
        <v>2790</v>
      </c>
      <c r="F819" t="s">
        <v>41</v>
      </c>
      <c r="G819" t="s">
        <v>15</v>
      </c>
      <c r="H819" t="s">
        <v>66</v>
      </c>
      <c r="I819" s="6">
        <v>0</v>
      </c>
      <c r="J819" s="6">
        <v>2790</v>
      </c>
      <c r="K819" t="s">
        <v>67</v>
      </c>
      <c r="L819" t="s">
        <v>68</v>
      </c>
    </row>
    <row r="820" spans="1:12" x14ac:dyDescent="0.5">
      <c r="A820" s="2">
        <v>45323</v>
      </c>
      <c r="B820" s="3" t="s">
        <v>39</v>
      </c>
      <c r="C820" s="3" t="s">
        <v>377</v>
      </c>
      <c r="D820" s="3" t="s">
        <v>668</v>
      </c>
      <c r="E820" s="4">
        <v>100000</v>
      </c>
      <c r="F820" s="3" t="s">
        <v>41</v>
      </c>
      <c r="G820" s="3" t="s">
        <v>15</v>
      </c>
      <c r="H820" s="3" t="s">
        <v>66</v>
      </c>
      <c r="I820" s="4">
        <v>0</v>
      </c>
      <c r="J820" s="4">
        <v>100000</v>
      </c>
      <c r="K820" s="3" t="s">
        <v>67</v>
      </c>
      <c r="L820" s="3" t="s">
        <v>68</v>
      </c>
    </row>
    <row r="821" spans="1:12" x14ac:dyDescent="0.5">
      <c r="A821" s="5">
        <v>45323</v>
      </c>
      <c r="B821" t="s">
        <v>39</v>
      </c>
      <c r="C821" t="s">
        <v>251</v>
      </c>
      <c r="D821" t="s">
        <v>252</v>
      </c>
      <c r="E821" s="6">
        <v>325000</v>
      </c>
      <c r="F821" t="s">
        <v>41</v>
      </c>
      <c r="G821" t="s">
        <v>15</v>
      </c>
      <c r="H821" t="s">
        <v>66</v>
      </c>
      <c r="I821" s="6">
        <v>0</v>
      </c>
      <c r="J821" s="6">
        <v>325000</v>
      </c>
      <c r="K821" t="s">
        <v>67</v>
      </c>
      <c r="L821" t="s">
        <v>68</v>
      </c>
    </row>
    <row r="822" spans="1:12" x14ac:dyDescent="0.5">
      <c r="A822" s="2">
        <v>45323</v>
      </c>
      <c r="B822" s="3" t="s">
        <v>12</v>
      </c>
      <c r="C822" s="3" t="s">
        <v>253</v>
      </c>
      <c r="D822" s="3" t="s">
        <v>254</v>
      </c>
      <c r="E822" s="4">
        <v>400000</v>
      </c>
      <c r="F822" s="3" t="s">
        <v>41</v>
      </c>
      <c r="G822" s="3" t="s">
        <v>15</v>
      </c>
      <c r="H822" s="3" t="s">
        <v>255</v>
      </c>
      <c r="I822" s="4">
        <v>0</v>
      </c>
      <c r="J822" s="4">
        <v>400000</v>
      </c>
      <c r="K822" s="3" t="s">
        <v>256</v>
      </c>
      <c r="L822" s="3" t="s">
        <v>68</v>
      </c>
    </row>
    <row r="823" spans="1:12" x14ac:dyDescent="0.5">
      <c r="A823" s="5">
        <v>45323</v>
      </c>
      <c r="B823" t="s">
        <v>39</v>
      </c>
      <c r="C823" t="s">
        <v>249</v>
      </c>
      <c r="D823" t="s">
        <v>250</v>
      </c>
      <c r="E823" s="6">
        <v>400000</v>
      </c>
      <c r="F823" t="s">
        <v>41</v>
      </c>
      <c r="G823" t="s">
        <v>15</v>
      </c>
      <c r="H823" t="s">
        <v>66</v>
      </c>
      <c r="I823" s="6">
        <v>0</v>
      </c>
      <c r="J823" s="6">
        <v>400000</v>
      </c>
      <c r="K823" t="s">
        <v>67</v>
      </c>
      <c r="L823" t="s">
        <v>68</v>
      </c>
    </row>
    <row r="824" spans="1:12" x14ac:dyDescent="0.5">
      <c r="A824" s="2">
        <v>45323</v>
      </c>
      <c r="B824" s="3" t="s">
        <v>39</v>
      </c>
      <c r="C824" s="3" t="s">
        <v>257</v>
      </c>
      <c r="D824" s="3" t="s">
        <v>258</v>
      </c>
      <c r="E824" s="4">
        <v>400000</v>
      </c>
      <c r="F824" s="3" t="s">
        <v>41</v>
      </c>
      <c r="G824" s="3" t="s">
        <v>15</v>
      </c>
      <c r="H824" s="3" t="s">
        <v>66</v>
      </c>
      <c r="I824" s="4">
        <v>0</v>
      </c>
      <c r="J824" s="4">
        <v>400000</v>
      </c>
      <c r="K824" s="3" t="s">
        <v>67</v>
      </c>
      <c r="L824" s="3" t="s">
        <v>68</v>
      </c>
    </row>
    <row r="825" spans="1:12" x14ac:dyDescent="0.5">
      <c r="A825" s="5">
        <v>45323</v>
      </c>
      <c r="B825" t="s">
        <v>39</v>
      </c>
      <c r="C825" t="s">
        <v>257</v>
      </c>
      <c r="D825" t="s">
        <v>258</v>
      </c>
      <c r="E825" s="6">
        <v>400000</v>
      </c>
      <c r="F825" t="s">
        <v>41</v>
      </c>
      <c r="G825" t="s">
        <v>15</v>
      </c>
      <c r="H825" t="s">
        <v>66</v>
      </c>
      <c r="I825" s="6">
        <v>0</v>
      </c>
      <c r="J825" s="6">
        <v>400000</v>
      </c>
      <c r="K825" t="s">
        <v>67</v>
      </c>
      <c r="L825" t="s">
        <v>68</v>
      </c>
    </row>
    <row r="826" spans="1:12" x14ac:dyDescent="0.5">
      <c r="A826" s="2">
        <v>45323</v>
      </c>
      <c r="B826" s="3" t="s">
        <v>39</v>
      </c>
      <c r="C826" s="3" t="s">
        <v>249</v>
      </c>
      <c r="D826" s="3" t="s">
        <v>250</v>
      </c>
      <c r="E826" s="4">
        <v>400000</v>
      </c>
      <c r="F826" s="3" t="s">
        <v>41</v>
      </c>
      <c r="G826" s="3" t="s">
        <v>15</v>
      </c>
      <c r="H826" s="3" t="s">
        <v>66</v>
      </c>
      <c r="I826" s="4">
        <v>0</v>
      </c>
      <c r="J826" s="4">
        <v>400000</v>
      </c>
      <c r="K826" s="3" t="s">
        <v>67</v>
      </c>
      <c r="L826" s="3" t="s">
        <v>68</v>
      </c>
    </row>
    <row r="827" spans="1:12" x14ac:dyDescent="0.5">
      <c r="A827" s="5">
        <v>45323</v>
      </c>
      <c r="B827" t="s">
        <v>39</v>
      </c>
      <c r="C827" t="s">
        <v>259</v>
      </c>
      <c r="D827" t="s">
        <v>260</v>
      </c>
      <c r="E827" s="6">
        <v>400000</v>
      </c>
      <c r="F827" t="s">
        <v>41</v>
      </c>
      <c r="G827" t="s">
        <v>15</v>
      </c>
      <c r="H827" t="s">
        <v>66</v>
      </c>
      <c r="I827" s="6">
        <v>0</v>
      </c>
      <c r="J827" s="6">
        <v>400000</v>
      </c>
      <c r="K827" t="s">
        <v>67</v>
      </c>
      <c r="L827" t="s">
        <v>68</v>
      </c>
    </row>
    <row r="828" spans="1:12" x14ac:dyDescent="0.5">
      <c r="A828" s="2">
        <v>45323</v>
      </c>
      <c r="B828" s="3" t="s">
        <v>12</v>
      </c>
      <c r="C828" s="3" t="s">
        <v>378</v>
      </c>
      <c r="D828" s="3" t="s">
        <v>669</v>
      </c>
      <c r="E828" s="4">
        <v>7880</v>
      </c>
      <c r="F828" s="3" t="s">
        <v>41</v>
      </c>
      <c r="G828" s="3" t="s">
        <v>15</v>
      </c>
      <c r="H828" s="3" t="s">
        <v>20</v>
      </c>
      <c r="I828" s="4">
        <v>0</v>
      </c>
      <c r="J828" s="4">
        <v>7880</v>
      </c>
      <c r="K828" s="3" t="s">
        <v>21</v>
      </c>
      <c r="L828" s="3" t="s">
        <v>22</v>
      </c>
    </row>
    <row r="829" spans="1:12" x14ac:dyDescent="0.5">
      <c r="A829" s="5">
        <v>45324</v>
      </c>
      <c r="B829" t="s">
        <v>12</v>
      </c>
      <c r="C829" t="s">
        <v>261</v>
      </c>
      <c r="D829" t="s">
        <v>262</v>
      </c>
      <c r="E829" s="6">
        <v>59400</v>
      </c>
      <c r="F829" t="s">
        <v>14</v>
      </c>
      <c r="G829" t="s">
        <v>15</v>
      </c>
      <c r="H829" t="s">
        <v>24</v>
      </c>
      <c r="I829" s="6">
        <v>9484</v>
      </c>
      <c r="J829" s="6">
        <v>49916</v>
      </c>
      <c r="K829" t="s">
        <v>25</v>
      </c>
      <c r="L829" t="s">
        <v>26</v>
      </c>
    </row>
    <row r="830" spans="1:12" x14ac:dyDescent="0.5">
      <c r="A830" s="2">
        <v>45324</v>
      </c>
      <c r="B830" s="3" t="s">
        <v>12</v>
      </c>
      <c r="C830" s="3" t="s">
        <v>380</v>
      </c>
      <c r="D830" s="3" t="s">
        <v>641</v>
      </c>
      <c r="E830" s="4">
        <v>66343</v>
      </c>
      <c r="F830" s="3" t="s">
        <v>14</v>
      </c>
      <c r="G830" s="3" t="s">
        <v>15</v>
      </c>
      <c r="H830" s="3" t="s">
        <v>46</v>
      </c>
      <c r="I830" s="4">
        <v>10593</v>
      </c>
      <c r="J830" s="4">
        <v>55750</v>
      </c>
      <c r="K830" s="3" t="s">
        <v>47</v>
      </c>
      <c r="L830" s="3" t="s">
        <v>48</v>
      </c>
    </row>
    <row r="831" spans="1:12" x14ac:dyDescent="0.5">
      <c r="A831" s="5">
        <v>45324</v>
      </c>
      <c r="B831" t="s">
        <v>12</v>
      </c>
      <c r="C831" t="s">
        <v>379</v>
      </c>
      <c r="D831" t="s">
        <v>670</v>
      </c>
      <c r="E831" s="6">
        <v>400000</v>
      </c>
      <c r="F831" t="s">
        <v>41</v>
      </c>
      <c r="G831" t="s">
        <v>15</v>
      </c>
      <c r="H831" t="s">
        <v>547</v>
      </c>
      <c r="I831" s="6">
        <v>0</v>
      </c>
      <c r="J831" s="6">
        <v>400000</v>
      </c>
      <c r="K831" t="s">
        <v>530</v>
      </c>
      <c r="L831" t="s">
        <v>35</v>
      </c>
    </row>
    <row r="832" spans="1:12" x14ac:dyDescent="0.5">
      <c r="A832" s="2">
        <v>45327</v>
      </c>
      <c r="B832" s="3" t="s">
        <v>12</v>
      </c>
      <c r="C832" s="3" t="s">
        <v>263</v>
      </c>
      <c r="D832" s="3" t="s">
        <v>264</v>
      </c>
      <c r="E832" s="4">
        <v>133340</v>
      </c>
      <c r="F832" s="3" t="s">
        <v>14</v>
      </c>
      <c r="G832" s="3" t="s">
        <v>15</v>
      </c>
      <c r="H832" s="3" t="s">
        <v>24</v>
      </c>
      <c r="I832" s="4">
        <v>21290</v>
      </c>
      <c r="J832" s="4">
        <v>112050</v>
      </c>
      <c r="K832" s="3" t="s">
        <v>25</v>
      </c>
      <c r="L832" s="3" t="s">
        <v>26</v>
      </c>
    </row>
    <row r="833" spans="1:12" x14ac:dyDescent="0.5">
      <c r="A833" s="5">
        <v>45328</v>
      </c>
      <c r="B833" t="s">
        <v>12</v>
      </c>
      <c r="C833" t="s">
        <v>261</v>
      </c>
      <c r="D833" t="s">
        <v>262</v>
      </c>
      <c r="E833" s="6">
        <v>59400</v>
      </c>
      <c r="F833" t="s">
        <v>14</v>
      </c>
      <c r="G833" t="s">
        <v>15</v>
      </c>
      <c r="H833" t="s">
        <v>24</v>
      </c>
      <c r="I833" s="6">
        <v>9484</v>
      </c>
      <c r="J833" s="6">
        <v>49916</v>
      </c>
      <c r="K833" t="s">
        <v>25</v>
      </c>
      <c r="L833" t="s">
        <v>26</v>
      </c>
    </row>
    <row r="834" spans="1:12" x14ac:dyDescent="0.5">
      <c r="A834" s="2">
        <v>45328</v>
      </c>
      <c r="B834" s="3" t="s">
        <v>12</v>
      </c>
      <c r="C834" s="3" t="s">
        <v>265</v>
      </c>
      <c r="D834" s="3" t="s">
        <v>266</v>
      </c>
      <c r="E834" s="4">
        <v>45000</v>
      </c>
      <c r="F834" s="3" t="s">
        <v>14</v>
      </c>
      <c r="G834" s="3" t="s">
        <v>15</v>
      </c>
      <c r="H834" s="3" t="s">
        <v>267</v>
      </c>
      <c r="I834" s="4">
        <v>7185</v>
      </c>
      <c r="J834" s="4">
        <v>37815</v>
      </c>
      <c r="K834" s="3" t="s">
        <v>268</v>
      </c>
      <c r="L834" s="3" t="s">
        <v>68</v>
      </c>
    </row>
    <row r="835" spans="1:12" x14ac:dyDescent="0.5">
      <c r="A835" s="5">
        <v>45328</v>
      </c>
      <c r="B835" t="s">
        <v>39</v>
      </c>
      <c r="C835" t="s">
        <v>381</v>
      </c>
      <c r="D835" t="s">
        <v>668</v>
      </c>
      <c r="E835" s="6">
        <v>53550</v>
      </c>
      <c r="F835" t="s">
        <v>41</v>
      </c>
      <c r="G835" t="s">
        <v>15</v>
      </c>
      <c r="H835" t="s">
        <v>66</v>
      </c>
      <c r="I835" s="6">
        <v>0</v>
      </c>
      <c r="J835" s="6">
        <v>53550</v>
      </c>
      <c r="K835" t="s">
        <v>67</v>
      </c>
      <c r="L835" t="s">
        <v>68</v>
      </c>
    </row>
    <row r="836" spans="1:12" x14ac:dyDescent="0.5">
      <c r="A836" s="2">
        <v>45328</v>
      </c>
      <c r="B836" s="3" t="s">
        <v>12</v>
      </c>
      <c r="C836" s="3" t="s">
        <v>269</v>
      </c>
      <c r="D836" s="3" t="s">
        <v>270</v>
      </c>
      <c r="E836" s="4">
        <v>874650</v>
      </c>
      <c r="F836" s="3" t="s">
        <v>41</v>
      </c>
      <c r="G836" s="3" t="s">
        <v>15</v>
      </c>
      <c r="H836" s="3" t="s">
        <v>46</v>
      </c>
      <c r="I836" s="4">
        <v>0</v>
      </c>
      <c r="J836" s="4">
        <v>874650</v>
      </c>
      <c r="K836" s="3" t="s">
        <v>47</v>
      </c>
      <c r="L836" s="3" t="s">
        <v>48</v>
      </c>
    </row>
    <row r="837" spans="1:12" x14ac:dyDescent="0.5">
      <c r="A837" s="5">
        <v>45329</v>
      </c>
      <c r="B837" t="s">
        <v>12</v>
      </c>
      <c r="C837" t="s">
        <v>261</v>
      </c>
      <c r="D837" t="s">
        <v>262</v>
      </c>
      <c r="E837" s="6">
        <v>59400</v>
      </c>
      <c r="F837" t="s">
        <v>14</v>
      </c>
      <c r="G837" t="s">
        <v>15</v>
      </c>
      <c r="H837" t="s">
        <v>24</v>
      </c>
      <c r="I837" s="6">
        <v>9484</v>
      </c>
      <c r="J837" s="6">
        <v>49916</v>
      </c>
      <c r="K837" t="s">
        <v>25</v>
      </c>
      <c r="L837" t="s">
        <v>26</v>
      </c>
    </row>
    <row r="838" spans="1:12" x14ac:dyDescent="0.5">
      <c r="A838" s="2">
        <v>45330</v>
      </c>
      <c r="B838" s="3" t="s">
        <v>12</v>
      </c>
      <c r="C838" s="3" t="s">
        <v>271</v>
      </c>
      <c r="D838" s="3" t="s">
        <v>272</v>
      </c>
      <c r="E838" s="4">
        <v>78540</v>
      </c>
      <c r="F838" s="3" t="s">
        <v>14</v>
      </c>
      <c r="G838" s="3" t="s">
        <v>15</v>
      </c>
      <c r="H838" s="3" t="s">
        <v>24</v>
      </c>
      <c r="I838" s="4">
        <v>12540</v>
      </c>
      <c r="J838" s="4">
        <v>66000</v>
      </c>
      <c r="K838" s="3" t="s">
        <v>25</v>
      </c>
      <c r="L838" s="3" t="s">
        <v>26</v>
      </c>
    </row>
    <row r="839" spans="1:12" x14ac:dyDescent="0.5">
      <c r="A839" s="5">
        <v>45330</v>
      </c>
      <c r="B839" t="s">
        <v>12</v>
      </c>
      <c r="C839" t="s">
        <v>247</v>
      </c>
      <c r="D839" t="s">
        <v>248</v>
      </c>
      <c r="E839" s="6">
        <v>84391</v>
      </c>
      <c r="F839" t="s">
        <v>14</v>
      </c>
      <c r="G839" t="s">
        <v>15</v>
      </c>
      <c r="H839" t="s">
        <v>24</v>
      </c>
      <c r="I839" s="6">
        <v>13474</v>
      </c>
      <c r="J839" s="6">
        <v>70917</v>
      </c>
      <c r="K839" t="s">
        <v>25</v>
      </c>
      <c r="L839" t="s">
        <v>26</v>
      </c>
    </row>
    <row r="840" spans="1:12" x14ac:dyDescent="0.5">
      <c r="A840" s="2">
        <v>45331</v>
      </c>
      <c r="B840" s="3" t="s">
        <v>39</v>
      </c>
      <c r="C840" s="3" t="s">
        <v>257</v>
      </c>
      <c r="D840" s="3" t="s">
        <v>258</v>
      </c>
      <c r="E840" s="4">
        <v>12450</v>
      </c>
      <c r="F840" s="3" t="s">
        <v>41</v>
      </c>
      <c r="G840" s="3" t="s">
        <v>15</v>
      </c>
      <c r="H840" s="3" t="s">
        <v>66</v>
      </c>
      <c r="I840" s="4">
        <v>0</v>
      </c>
      <c r="J840" s="4">
        <v>12450</v>
      </c>
      <c r="K840" s="3" t="s">
        <v>67</v>
      </c>
      <c r="L840" s="3" t="s">
        <v>68</v>
      </c>
    </row>
    <row r="841" spans="1:12" x14ac:dyDescent="0.5">
      <c r="A841" s="5">
        <v>45335</v>
      </c>
      <c r="B841" t="s">
        <v>12</v>
      </c>
      <c r="C841" t="s">
        <v>265</v>
      </c>
      <c r="D841" t="s">
        <v>266</v>
      </c>
      <c r="E841" s="6">
        <v>77423</v>
      </c>
      <c r="F841" t="s">
        <v>14</v>
      </c>
      <c r="G841" t="s">
        <v>15</v>
      </c>
      <c r="H841" t="s">
        <v>267</v>
      </c>
      <c r="I841" s="6">
        <v>12362</v>
      </c>
      <c r="J841" s="6">
        <v>65061</v>
      </c>
      <c r="K841" t="s">
        <v>268</v>
      </c>
      <c r="L841" t="s">
        <v>68</v>
      </c>
    </row>
    <row r="842" spans="1:12" x14ac:dyDescent="0.5">
      <c r="A842" s="2">
        <v>45337</v>
      </c>
      <c r="B842" s="3" t="s">
        <v>12</v>
      </c>
      <c r="C842" s="3" t="s">
        <v>385</v>
      </c>
      <c r="D842" s="3" t="s">
        <v>642</v>
      </c>
      <c r="E842" s="4">
        <v>132947</v>
      </c>
      <c r="F842" s="3" t="s">
        <v>14</v>
      </c>
      <c r="G842" s="3" t="s">
        <v>15</v>
      </c>
      <c r="H842" s="3" t="s">
        <v>293</v>
      </c>
      <c r="I842" s="4">
        <v>21227</v>
      </c>
      <c r="J842" s="4">
        <v>111720</v>
      </c>
      <c r="K842" s="3" t="s">
        <v>294</v>
      </c>
      <c r="L842" s="3" t="s">
        <v>26</v>
      </c>
    </row>
    <row r="843" spans="1:12" x14ac:dyDescent="0.5">
      <c r="A843" s="5">
        <v>45337</v>
      </c>
      <c r="B843" t="s">
        <v>39</v>
      </c>
      <c r="C843" t="s">
        <v>249</v>
      </c>
      <c r="D843" t="s">
        <v>250</v>
      </c>
      <c r="E843" s="6">
        <v>8000</v>
      </c>
      <c r="F843" t="s">
        <v>41</v>
      </c>
      <c r="G843" t="s">
        <v>15</v>
      </c>
      <c r="H843" t="s">
        <v>66</v>
      </c>
      <c r="I843" s="6">
        <v>0</v>
      </c>
      <c r="J843" s="6">
        <v>8000</v>
      </c>
      <c r="K843" t="s">
        <v>67</v>
      </c>
      <c r="L843" t="s">
        <v>68</v>
      </c>
    </row>
    <row r="844" spans="1:12" x14ac:dyDescent="0.5">
      <c r="A844" s="2">
        <v>45337</v>
      </c>
      <c r="B844" s="3" t="s">
        <v>39</v>
      </c>
      <c r="C844" s="3" t="s">
        <v>257</v>
      </c>
      <c r="D844" s="3" t="s">
        <v>258</v>
      </c>
      <c r="E844" s="4">
        <v>17000</v>
      </c>
      <c r="F844" s="3" t="s">
        <v>41</v>
      </c>
      <c r="G844" s="3" t="s">
        <v>15</v>
      </c>
      <c r="H844" s="3" t="s">
        <v>66</v>
      </c>
      <c r="I844" s="4">
        <v>0</v>
      </c>
      <c r="J844" s="4">
        <v>17000</v>
      </c>
      <c r="K844" s="3" t="s">
        <v>67</v>
      </c>
      <c r="L844" s="3" t="s">
        <v>68</v>
      </c>
    </row>
    <row r="845" spans="1:12" x14ac:dyDescent="0.5">
      <c r="A845" s="5">
        <v>45338</v>
      </c>
      <c r="B845" t="s">
        <v>12</v>
      </c>
      <c r="C845" t="s">
        <v>269</v>
      </c>
      <c r="D845" t="s">
        <v>270</v>
      </c>
      <c r="E845" s="6">
        <v>511369</v>
      </c>
      <c r="F845" t="s">
        <v>41</v>
      </c>
      <c r="G845" t="s">
        <v>15</v>
      </c>
      <c r="H845" t="s">
        <v>46</v>
      </c>
      <c r="I845" s="6">
        <v>0</v>
      </c>
      <c r="J845" s="6">
        <v>511369</v>
      </c>
      <c r="K845" t="s">
        <v>47</v>
      </c>
      <c r="L845" t="s">
        <v>48</v>
      </c>
    </row>
    <row r="846" spans="1:12" x14ac:dyDescent="0.5">
      <c r="A846" s="2">
        <v>45338</v>
      </c>
      <c r="B846" s="3" t="s">
        <v>12</v>
      </c>
      <c r="C846" s="3" t="s">
        <v>273</v>
      </c>
      <c r="D846" s="3" t="s">
        <v>274</v>
      </c>
      <c r="E846" s="4">
        <v>143491</v>
      </c>
      <c r="F846" s="3" t="s">
        <v>14</v>
      </c>
      <c r="G846" s="3" t="s">
        <v>15</v>
      </c>
      <c r="H846" s="3" t="s">
        <v>20</v>
      </c>
      <c r="I846" s="4">
        <v>22910</v>
      </c>
      <c r="J846" s="4">
        <v>120581</v>
      </c>
      <c r="K846" s="3" t="s">
        <v>21</v>
      </c>
      <c r="L846" s="3" t="s">
        <v>22</v>
      </c>
    </row>
    <row r="847" spans="1:12" x14ac:dyDescent="0.5">
      <c r="A847" s="5">
        <v>45338</v>
      </c>
      <c r="B847" t="s">
        <v>12</v>
      </c>
      <c r="C847" t="s">
        <v>275</v>
      </c>
      <c r="D847" t="s">
        <v>276</v>
      </c>
      <c r="E847" s="6">
        <v>362422</v>
      </c>
      <c r="F847" t="s">
        <v>14</v>
      </c>
      <c r="G847" t="s">
        <v>15</v>
      </c>
      <c r="H847" t="s">
        <v>20</v>
      </c>
      <c r="I847" s="6">
        <v>57866</v>
      </c>
      <c r="J847" s="6">
        <v>304556</v>
      </c>
      <c r="K847" t="s">
        <v>21</v>
      </c>
      <c r="L847" t="s">
        <v>22</v>
      </c>
    </row>
    <row r="848" spans="1:12" x14ac:dyDescent="0.5">
      <c r="A848" s="2">
        <v>45344</v>
      </c>
      <c r="B848" s="3" t="s">
        <v>12</v>
      </c>
      <c r="C848" s="3" t="s">
        <v>386</v>
      </c>
      <c r="D848" s="3"/>
      <c r="E848" s="4">
        <v>1400</v>
      </c>
      <c r="F848" s="3" t="s">
        <v>41</v>
      </c>
      <c r="G848" s="3" t="s">
        <v>679</v>
      </c>
      <c r="H848" s="3"/>
      <c r="I848" s="4">
        <v>0</v>
      </c>
      <c r="J848" s="4">
        <v>1400</v>
      </c>
      <c r="K848" s="3" t="s">
        <v>47</v>
      </c>
      <c r="L848" s="3" t="s">
        <v>48</v>
      </c>
    </row>
    <row r="849" spans="1:12" x14ac:dyDescent="0.5">
      <c r="A849" s="5">
        <v>45344</v>
      </c>
      <c r="B849" t="s">
        <v>12</v>
      </c>
      <c r="C849" t="s">
        <v>387</v>
      </c>
      <c r="E849" s="6">
        <v>16250</v>
      </c>
      <c r="F849" t="s">
        <v>41</v>
      </c>
      <c r="G849" t="s">
        <v>679</v>
      </c>
      <c r="I849" s="6">
        <v>0</v>
      </c>
      <c r="J849" s="6">
        <v>16250</v>
      </c>
      <c r="K849" t="s">
        <v>47</v>
      </c>
      <c r="L849" t="s">
        <v>48</v>
      </c>
    </row>
    <row r="850" spans="1:12" x14ac:dyDescent="0.5">
      <c r="A850" s="2">
        <v>45345</v>
      </c>
      <c r="B850" s="3" t="s">
        <v>39</v>
      </c>
      <c r="C850" s="3" t="s">
        <v>388</v>
      </c>
      <c r="D850" s="3" t="s">
        <v>668</v>
      </c>
      <c r="E850" s="4">
        <v>250000</v>
      </c>
      <c r="F850" s="3" t="s">
        <v>41</v>
      </c>
      <c r="G850" s="3" t="s">
        <v>15</v>
      </c>
      <c r="H850" s="3" t="s">
        <v>66</v>
      </c>
      <c r="I850" s="4">
        <v>0</v>
      </c>
      <c r="J850" s="4">
        <v>250000</v>
      </c>
      <c r="K850" s="3" t="s">
        <v>67</v>
      </c>
      <c r="L850" s="3" t="s">
        <v>68</v>
      </c>
    </row>
    <row r="851" spans="1:12" x14ac:dyDescent="0.5">
      <c r="A851" s="5">
        <v>45348</v>
      </c>
      <c r="B851" t="s">
        <v>39</v>
      </c>
      <c r="C851" t="s">
        <v>389</v>
      </c>
      <c r="D851" t="s">
        <v>668</v>
      </c>
      <c r="E851" s="6">
        <v>200000</v>
      </c>
      <c r="F851" t="s">
        <v>41</v>
      </c>
      <c r="G851" t="s">
        <v>15</v>
      </c>
      <c r="H851" t="s">
        <v>66</v>
      </c>
      <c r="I851" s="6">
        <v>0</v>
      </c>
      <c r="J851" s="6">
        <v>200000</v>
      </c>
      <c r="K851" t="s">
        <v>67</v>
      </c>
      <c r="L851" t="s">
        <v>68</v>
      </c>
    </row>
    <row r="852" spans="1:12" x14ac:dyDescent="0.5">
      <c r="A852" s="2">
        <v>45349</v>
      </c>
      <c r="B852" s="3" t="s">
        <v>12</v>
      </c>
      <c r="C852" s="3" t="s">
        <v>253</v>
      </c>
      <c r="D852" s="3" t="s">
        <v>254</v>
      </c>
      <c r="E852" s="4">
        <v>11200</v>
      </c>
      <c r="F852" s="3" t="s">
        <v>41</v>
      </c>
      <c r="G852" s="3" t="s">
        <v>15</v>
      </c>
      <c r="H852" s="3" t="s">
        <v>255</v>
      </c>
      <c r="I852" s="4">
        <v>0</v>
      </c>
      <c r="J852" s="4">
        <v>11200</v>
      </c>
      <c r="K852" s="3" t="s">
        <v>256</v>
      </c>
      <c r="L852" s="3" t="s">
        <v>68</v>
      </c>
    </row>
    <row r="853" spans="1:12" x14ac:dyDescent="0.5">
      <c r="A853" s="5">
        <v>45351</v>
      </c>
      <c r="B853" t="s">
        <v>12</v>
      </c>
      <c r="C853" t="s">
        <v>247</v>
      </c>
      <c r="D853" t="s">
        <v>248</v>
      </c>
      <c r="E853" s="6">
        <v>42969</v>
      </c>
      <c r="F853" t="s">
        <v>14</v>
      </c>
      <c r="G853" t="s">
        <v>15</v>
      </c>
      <c r="H853" t="s">
        <v>24</v>
      </c>
      <c r="I853" s="6">
        <v>6861</v>
      </c>
      <c r="J853" s="6">
        <v>36108</v>
      </c>
      <c r="K853" t="s">
        <v>25</v>
      </c>
      <c r="L853" t="s">
        <v>26</v>
      </c>
    </row>
    <row r="854" spans="1:12" x14ac:dyDescent="0.5">
      <c r="A854" s="2">
        <v>45351</v>
      </c>
      <c r="B854" s="3" t="s">
        <v>12</v>
      </c>
      <c r="C854" s="3" t="s">
        <v>265</v>
      </c>
      <c r="D854" s="3" t="s">
        <v>266</v>
      </c>
      <c r="E854" s="4">
        <v>45000</v>
      </c>
      <c r="F854" s="3" t="s">
        <v>14</v>
      </c>
      <c r="G854" s="3" t="s">
        <v>15</v>
      </c>
      <c r="H854" s="3" t="s">
        <v>267</v>
      </c>
      <c r="I854" s="4">
        <v>7185</v>
      </c>
      <c r="J854" s="4">
        <v>37815</v>
      </c>
      <c r="K854" s="3" t="s">
        <v>268</v>
      </c>
      <c r="L854" s="3" t="s">
        <v>68</v>
      </c>
    </row>
    <row r="855" spans="1:12" x14ac:dyDescent="0.5">
      <c r="A855" s="5">
        <v>45351</v>
      </c>
      <c r="B855" t="s">
        <v>39</v>
      </c>
      <c r="C855" t="s">
        <v>251</v>
      </c>
      <c r="D855" t="s">
        <v>252</v>
      </c>
      <c r="E855" s="6">
        <v>325000</v>
      </c>
      <c r="F855" t="s">
        <v>41</v>
      </c>
      <c r="G855" t="s">
        <v>15</v>
      </c>
      <c r="H855" t="s">
        <v>66</v>
      </c>
      <c r="I855" s="6">
        <v>0</v>
      </c>
      <c r="J855" s="6">
        <v>325000</v>
      </c>
      <c r="K855" t="s">
        <v>67</v>
      </c>
      <c r="L855" t="s">
        <v>68</v>
      </c>
    </row>
    <row r="856" spans="1:12" x14ac:dyDescent="0.5">
      <c r="A856" s="2">
        <v>45351</v>
      </c>
      <c r="B856" s="3" t="s">
        <v>12</v>
      </c>
      <c r="C856" s="3" t="s">
        <v>253</v>
      </c>
      <c r="D856" s="3" t="s">
        <v>254</v>
      </c>
      <c r="E856" s="4">
        <v>400000</v>
      </c>
      <c r="F856" s="3" t="s">
        <v>41</v>
      </c>
      <c r="G856" s="3" t="s">
        <v>15</v>
      </c>
      <c r="H856" s="3" t="s">
        <v>255</v>
      </c>
      <c r="I856" s="4">
        <v>0</v>
      </c>
      <c r="J856" s="4">
        <v>400000</v>
      </c>
      <c r="K856" s="3" t="s">
        <v>256</v>
      </c>
      <c r="L856" s="3" t="s">
        <v>68</v>
      </c>
    </row>
    <row r="857" spans="1:12" x14ac:dyDescent="0.5">
      <c r="A857" s="5">
        <v>45351</v>
      </c>
      <c r="B857" t="s">
        <v>39</v>
      </c>
      <c r="C857" t="s">
        <v>259</v>
      </c>
      <c r="D857" t="s">
        <v>260</v>
      </c>
      <c r="E857" s="6">
        <v>400000</v>
      </c>
      <c r="F857" t="s">
        <v>41</v>
      </c>
      <c r="G857" t="s">
        <v>15</v>
      </c>
      <c r="H857" t="s">
        <v>66</v>
      </c>
      <c r="I857" s="6">
        <v>0</v>
      </c>
      <c r="J857" s="6">
        <v>400000</v>
      </c>
      <c r="K857" t="s">
        <v>67</v>
      </c>
      <c r="L857" t="s">
        <v>68</v>
      </c>
    </row>
    <row r="858" spans="1:12" x14ac:dyDescent="0.5">
      <c r="A858" s="2">
        <v>45351</v>
      </c>
      <c r="B858" s="3" t="s">
        <v>39</v>
      </c>
      <c r="C858" s="3" t="s">
        <v>257</v>
      </c>
      <c r="D858" s="3" t="s">
        <v>258</v>
      </c>
      <c r="E858" s="4">
        <v>800000</v>
      </c>
      <c r="F858" s="3" t="s">
        <v>41</v>
      </c>
      <c r="G858" s="3" t="s">
        <v>15</v>
      </c>
      <c r="H858" s="3" t="s">
        <v>66</v>
      </c>
      <c r="I858" s="4">
        <v>0</v>
      </c>
      <c r="J858" s="4">
        <v>800000</v>
      </c>
      <c r="K858" s="3" t="s">
        <v>67</v>
      </c>
      <c r="L858" s="3" t="s">
        <v>68</v>
      </c>
    </row>
    <row r="859" spans="1:12" x14ac:dyDescent="0.5">
      <c r="A859" s="5">
        <v>45351</v>
      </c>
      <c r="B859" t="s">
        <v>39</v>
      </c>
      <c r="C859" t="s">
        <v>249</v>
      </c>
      <c r="D859" t="s">
        <v>250</v>
      </c>
      <c r="E859" s="6">
        <v>800000</v>
      </c>
      <c r="F859" t="s">
        <v>41</v>
      </c>
      <c r="G859" t="s">
        <v>15</v>
      </c>
      <c r="H859" t="s">
        <v>66</v>
      </c>
      <c r="I859" s="6">
        <v>0</v>
      </c>
      <c r="J859" s="6">
        <v>800000</v>
      </c>
      <c r="K859" t="s">
        <v>67</v>
      </c>
      <c r="L859" t="s">
        <v>68</v>
      </c>
    </row>
    <row r="860" spans="1:12" x14ac:dyDescent="0.5">
      <c r="A860" s="2">
        <v>45351</v>
      </c>
      <c r="B860" s="3" t="s">
        <v>12</v>
      </c>
      <c r="C860" s="3" t="s">
        <v>277</v>
      </c>
      <c r="D860" s="3" t="s">
        <v>278</v>
      </c>
      <c r="E860" s="4">
        <v>17850</v>
      </c>
      <c r="F860" s="3" t="s">
        <v>14</v>
      </c>
      <c r="G860" s="3" t="s">
        <v>15</v>
      </c>
      <c r="H860" s="3" t="s">
        <v>33</v>
      </c>
      <c r="I860" s="4">
        <v>2850</v>
      </c>
      <c r="J860" s="4">
        <v>15000</v>
      </c>
      <c r="K860" s="3" t="s">
        <v>34</v>
      </c>
      <c r="L860" s="3" t="s">
        <v>35</v>
      </c>
    </row>
    <row r="861" spans="1:12" x14ac:dyDescent="0.5">
      <c r="A861" s="5">
        <v>45659</v>
      </c>
      <c r="B861" t="s">
        <v>69</v>
      </c>
      <c r="C861" t="s">
        <v>397</v>
      </c>
      <c r="D861" t="s">
        <v>671</v>
      </c>
      <c r="E861" s="6">
        <v>41995</v>
      </c>
      <c r="F861" t="s">
        <v>14</v>
      </c>
      <c r="G861" t="s">
        <v>15</v>
      </c>
      <c r="H861" t="s">
        <v>293</v>
      </c>
      <c r="I861" s="6">
        <v>6705</v>
      </c>
      <c r="J861" s="6">
        <v>35290</v>
      </c>
      <c r="K861" t="s">
        <v>294</v>
      </c>
      <c r="L861" t="s">
        <v>26</v>
      </c>
    </row>
    <row r="862" spans="1:12" x14ac:dyDescent="0.5">
      <c r="A862" s="2">
        <v>45659</v>
      </c>
      <c r="B862" s="3" t="s">
        <v>69</v>
      </c>
      <c r="C862" s="3" t="s">
        <v>279</v>
      </c>
      <c r="D862" s="3" t="s">
        <v>280</v>
      </c>
      <c r="E862" s="4">
        <v>103350</v>
      </c>
      <c r="F862" s="3" t="s">
        <v>14</v>
      </c>
      <c r="G862" s="3" t="s">
        <v>15</v>
      </c>
      <c r="H862" s="3" t="s">
        <v>24</v>
      </c>
      <c r="I862" s="4">
        <v>16501</v>
      </c>
      <c r="J862" s="4">
        <v>86849</v>
      </c>
      <c r="K862" s="3" t="s">
        <v>25</v>
      </c>
      <c r="L862" s="3" t="s">
        <v>26</v>
      </c>
    </row>
    <row r="863" spans="1:12" x14ac:dyDescent="0.5">
      <c r="A863" s="5">
        <v>45659</v>
      </c>
      <c r="B863" t="s">
        <v>69</v>
      </c>
      <c r="C863" t="s">
        <v>247</v>
      </c>
      <c r="D863" t="s">
        <v>248</v>
      </c>
      <c r="E863" s="6">
        <v>158864</v>
      </c>
      <c r="F863" t="s">
        <v>14</v>
      </c>
      <c r="G863" t="s">
        <v>15</v>
      </c>
      <c r="H863" t="s">
        <v>24</v>
      </c>
      <c r="I863" s="6">
        <v>25365</v>
      </c>
      <c r="J863" s="6">
        <v>133499</v>
      </c>
      <c r="K863" t="s">
        <v>25</v>
      </c>
      <c r="L863" t="s">
        <v>26</v>
      </c>
    </row>
    <row r="864" spans="1:12" x14ac:dyDescent="0.5">
      <c r="A864" s="2">
        <v>45659</v>
      </c>
      <c r="B864" s="3" t="s">
        <v>64</v>
      </c>
      <c r="C864" s="3" t="s">
        <v>257</v>
      </c>
      <c r="D864" s="3" t="s">
        <v>258</v>
      </c>
      <c r="E864" s="4">
        <v>13658</v>
      </c>
      <c r="F864" s="3" t="s">
        <v>41</v>
      </c>
      <c r="G864" s="3" t="s">
        <v>15</v>
      </c>
      <c r="H864" s="3" t="s">
        <v>66</v>
      </c>
      <c r="I864" s="4">
        <v>0</v>
      </c>
      <c r="J864" s="4">
        <v>13658</v>
      </c>
      <c r="K864" s="3" t="s">
        <v>67</v>
      </c>
      <c r="L864" s="3" t="s">
        <v>68</v>
      </c>
    </row>
    <row r="865" spans="1:12" x14ac:dyDescent="0.5">
      <c r="A865" s="5">
        <v>45659</v>
      </c>
      <c r="B865" t="s">
        <v>64</v>
      </c>
      <c r="C865" t="s">
        <v>394</v>
      </c>
      <c r="D865" t="s">
        <v>668</v>
      </c>
      <c r="E865" s="6">
        <v>18000</v>
      </c>
      <c r="F865" t="s">
        <v>41</v>
      </c>
      <c r="G865" t="s">
        <v>15</v>
      </c>
      <c r="H865" t="s">
        <v>66</v>
      </c>
      <c r="I865" s="6">
        <v>0</v>
      </c>
      <c r="J865" s="6">
        <v>18000</v>
      </c>
      <c r="K865" t="s">
        <v>67</v>
      </c>
      <c r="L865" t="s">
        <v>68</v>
      </c>
    </row>
    <row r="866" spans="1:12" x14ac:dyDescent="0.5">
      <c r="A866" s="2">
        <v>45659</v>
      </c>
      <c r="B866" s="3" t="s">
        <v>69</v>
      </c>
      <c r="C866" s="3" t="s">
        <v>253</v>
      </c>
      <c r="D866" s="3" t="s">
        <v>254</v>
      </c>
      <c r="E866" s="4">
        <v>38987</v>
      </c>
      <c r="F866" s="3" t="s">
        <v>41</v>
      </c>
      <c r="G866" s="3" t="s">
        <v>15</v>
      </c>
      <c r="H866" s="3" t="s">
        <v>255</v>
      </c>
      <c r="I866" s="4">
        <v>0</v>
      </c>
      <c r="J866" s="4">
        <v>38987</v>
      </c>
      <c r="K866" s="3" t="s">
        <v>256</v>
      </c>
      <c r="L866" s="3" t="s">
        <v>68</v>
      </c>
    </row>
    <row r="867" spans="1:12" x14ac:dyDescent="0.5">
      <c r="A867" s="5">
        <v>45659</v>
      </c>
      <c r="B867" t="s">
        <v>69</v>
      </c>
      <c r="C867" t="s">
        <v>265</v>
      </c>
      <c r="D867" t="s">
        <v>266</v>
      </c>
      <c r="E867" s="6">
        <v>65000</v>
      </c>
      <c r="F867" t="s">
        <v>14</v>
      </c>
      <c r="G867" t="s">
        <v>15</v>
      </c>
      <c r="H867" t="s">
        <v>267</v>
      </c>
      <c r="I867" s="6">
        <v>10378</v>
      </c>
      <c r="J867" s="6">
        <v>54622</v>
      </c>
      <c r="K867" t="s">
        <v>268</v>
      </c>
      <c r="L867" t="s">
        <v>68</v>
      </c>
    </row>
    <row r="868" spans="1:12" x14ac:dyDescent="0.5">
      <c r="A868" s="2">
        <v>45659</v>
      </c>
      <c r="B868" s="3" t="s">
        <v>64</v>
      </c>
      <c r="C868" s="3" t="s">
        <v>394</v>
      </c>
      <c r="D868" s="3" t="s">
        <v>668</v>
      </c>
      <c r="E868" s="4">
        <v>150000</v>
      </c>
      <c r="F868" s="3" t="s">
        <v>41</v>
      </c>
      <c r="G868" s="3" t="s">
        <v>15</v>
      </c>
      <c r="H868" s="3" t="s">
        <v>66</v>
      </c>
      <c r="I868" s="4">
        <v>0</v>
      </c>
      <c r="J868" s="4">
        <v>150000</v>
      </c>
      <c r="K868" s="3" t="s">
        <v>67</v>
      </c>
      <c r="L868" s="3" t="s">
        <v>68</v>
      </c>
    </row>
    <row r="869" spans="1:12" x14ac:dyDescent="0.5">
      <c r="A869" s="5">
        <v>45659</v>
      </c>
      <c r="B869" t="s">
        <v>64</v>
      </c>
      <c r="C869" t="s">
        <v>395</v>
      </c>
      <c r="D869" t="s">
        <v>668</v>
      </c>
      <c r="E869" s="6">
        <v>180000</v>
      </c>
      <c r="F869" t="s">
        <v>41</v>
      </c>
      <c r="G869" t="s">
        <v>15</v>
      </c>
      <c r="H869" t="s">
        <v>66</v>
      </c>
      <c r="I869" s="6">
        <v>0</v>
      </c>
      <c r="J869" s="6">
        <v>180000</v>
      </c>
      <c r="K869" t="s">
        <v>67</v>
      </c>
      <c r="L869" t="s">
        <v>68</v>
      </c>
    </row>
    <row r="870" spans="1:12" x14ac:dyDescent="0.5">
      <c r="A870" s="2">
        <v>45659</v>
      </c>
      <c r="B870" s="3" t="s">
        <v>64</v>
      </c>
      <c r="C870" s="3" t="s">
        <v>389</v>
      </c>
      <c r="D870" s="3" t="s">
        <v>668</v>
      </c>
      <c r="E870" s="4">
        <v>250000</v>
      </c>
      <c r="F870" s="3" t="s">
        <v>41</v>
      </c>
      <c r="G870" s="3" t="s">
        <v>15</v>
      </c>
      <c r="H870" s="3" t="s">
        <v>66</v>
      </c>
      <c r="I870" s="4">
        <v>0</v>
      </c>
      <c r="J870" s="4">
        <v>250000</v>
      </c>
      <c r="K870" s="3" t="s">
        <v>67</v>
      </c>
      <c r="L870" s="3" t="s">
        <v>68</v>
      </c>
    </row>
    <row r="871" spans="1:12" x14ac:dyDescent="0.5">
      <c r="A871" s="5">
        <v>45659</v>
      </c>
      <c r="B871" t="s">
        <v>64</v>
      </c>
      <c r="C871" t="s">
        <v>251</v>
      </c>
      <c r="D871" t="s">
        <v>252</v>
      </c>
      <c r="E871" s="6">
        <v>311938</v>
      </c>
      <c r="F871" t="s">
        <v>41</v>
      </c>
      <c r="G871" t="s">
        <v>15</v>
      </c>
      <c r="H871" t="s">
        <v>66</v>
      </c>
      <c r="I871" s="6">
        <v>0</v>
      </c>
      <c r="J871" s="6">
        <v>311938</v>
      </c>
      <c r="K871" t="s">
        <v>67</v>
      </c>
      <c r="L871" t="s">
        <v>68</v>
      </c>
    </row>
    <row r="872" spans="1:12" x14ac:dyDescent="0.5">
      <c r="A872" s="2">
        <v>45659</v>
      </c>
      <c r="B872" s="3" t="s">
        <v>64</v>
      </c>
      <c r="C872" s="3" t="s">
        <v>281</v>
      </c>
      <c r="D872" s="3" t="s">
        <v>282</v>
      </c>
      <c r="E872" s="4">
        <v>679581</v>
      </c>
      <c r="F872" s="3" t="s">
        <v>41</v>
      </c>
      <c r="G872" s="3" t="s">
        <v>15</v>
      </c>
      <c r="H872" s="3" t="s">
        <v>66</v>
      </c>
      <c r="I872" s="4">
        <v>0</v>
      </c>
      <c r="J872" s="4">
        <v>679581</v>
      </c>
      <c r="K872" s="3" t="s">
        <v>67</v>
      </c>
      <c r="L872" s="3" t="s">
        <v>68</v>
      </c>
    </row>
    <row r="873" spans="1:12" x14ac:dyDescent="0.5">
      <c r="A873" s="5">
        <v>45659</v>
      </c>
      <c r="B873" t="s">
        <v>69</v>
      </c>
      <c r="C873" t="s">
        <v>253</v>
      </c>
      <c r="D873" t="s">
        <v>254</v>
      </c>
      <c r="E873" s="6">
        <v>700000</v>
      </c>
      <c r="F873" t="s">
        <v>41</v>
      </c>
      <c r="G873" t="s">
        <v>15</v>
      </c>
      <c r="H873" t="s">
        <v>255</v>
      </c>
      <c r="I873" s="6">
        <v>0</v>
      </c>
      <c r="J873" s="6">
        <v>700000</v>
      </c>
      <c r="K873" t="s">
        <v>256</v>
      </c>
      <c r="L873" t="s">
        <v>68</v>
      </c>
    </row>
    <row r="874" spans="1:12" x14ac:dyDescent="0.5">
      <c r="A874" s="2">
        <v>45659</v>
      </c>
      <c r="B874" s="3" t="s">
        <v>64</v>
      </c>
      <c r="C874" s="3" t="s">
        <v>257</v>
      </c>
      <c r="D874" s="3" t="s">
        <v>258</v>
      </c>
      <c r="E874" s="4">
        <v>900000</v>
      </c>
      <c r="F874" s="3" t="s">
        <v>41</v>
      </c>
      <c r="G874" s="3" t="s">
        <v>15</v>
      </c>
      <c r="H874" s="3" t="s">
        <v>66</v>
      </c>
      <c r="I874" s="4">
        <v>0</v>
      </c>
      <c r="J874" s="4">
        <v>900000</v>
      </c>
      <c r="K874" s="3" t="s">
        <v>67</v>
      </c>
      <c r="L874" s="3" t="s">
        <v>68</v>
      </c>
    </row>
    <row r="875" spans="1:12" x14ac:dyDescent="0.5">
      <c r="A875" s="5">
        <v>45659</v>
      </c>
      <c r="B875" t="s">
        <v>64</v>
      </c>
      <c r="C875" t="s">
        <v>249</v>
      </c>
      <c r="D875" t="s">
        <v>250</v>
      </c>
      <c r="E875" s="6">
        <v>1000000</v>
      </c>
      <c r="F875" t="s">
        <v>41</v>
      </c>
      <c r="G875" t="s">
        <v>15</v>
      </c>
      <c r="H875" t="s">
        <v>66</v>
      </c>
      <c r="I875" s="6">
        <v>0</v>
      </c>
      <c r="J875" s="6">
        <v>1000000</v>
      </c>
      <c r="K875" t="s">
        <v>67</v>
      </c>
      <c r="L875" t="s">
        <v>68</v>
      </c>
    </row>
    <row r="876" spans="1:12" x14ac:dyDescent="0.5">
      <c r="A876" s="2">
        <v>45659</v>
      </c>
      <c r="B876" s="3" t="s">
        <v>69</v>
      </c>
      <c r="C876" s="3" t="s">
        <v>269</v>
      </c>
      <c r="D876" s="3" t="s">
        <v>270</v>
      </c>
      <c r="E876" s="4">
        <v>874650</v>
      </c>
      <c r="F876" s="3" t="s">
        <v>41</v>
      </c>
      <c r="G876" s="3" t="s">
        <v>15</v>
      </c>
      <c r="H876" s="3" t="s">
        <v>46</v>
      </c>
      <c r="I876" s="4">
        <v>0</v>
      </c>
      <c r="J876" s="4">
        <v>874650</v>
      </c>
      <c r="K876" s="3" t="s">
        <v>47</v>
      </c>
      <c r="L876" s="3" t="s">
        <v>48</v>
      </c>
    </row>
    <row r="877" spans="1:12" x14ac:dyDescent="0.5">
      <c r="A877" s="5">
        <v>45660</v>
      </c>
      <c r="B877" t="s">
        <v>69</v>
      </c>
      <c r="C877" t="s">
        <v>399</v>
      </c>
      <c r="D877" t="s">
        <v>662</v>
      </c>
      <c r="E877" s="6">
        <v>58953</v>
      </c>
      <c r="F877" t="s">
        <v>14</v>
      </c>
      <c r="G877" t="s">
        <v>15</v>
      </c>
      <c r="H877" t="s">
        <v>321</v>
      </c>
      <c r="I877" s="6">
        <v>9413</v>
      </c>
      <c r="J877" s="6">
        <v>49540</v>
      </c>
      <c r="K877" t="s">
        <v>322</v>
      </c>
      <c r="L877" t="s">
        <v>26</v>
      </c>
    </row>
    <row r="878" spans="1:12" x14ac:dyDescent="0.5">
      <c r="A878" s="2">
        <v>45663</v>
      </c>
      <c r="B878" s="3" t="s">
        <v>69</v>
      </c>
      <c r="C878" s="3" t="s">
        <v>263</v>
      </c>
      <c r="D878" s="3" t="s">
        <v>264</v>
      </c>
      <c r="E878" s="4">
        <v>178307</v>
      </c>
      <c r="F878" s="3" t="s">
        <v>14</v>
      </c>
      <c r="G878" s="3" t="s">
        <v>15</v>
      </c>
      <c r="H878" s="3" t="s">
        <v>24</v>
      </c>
      <c r="I878" s="4">
        <v>28469</v>
      </c>
      <c r="J878" s="4">
        <v>149838</v>
      </c>
      <c r="K878" s="3" t="s">
        <v>25</v>
      </c>
      <c r="L878" s="3" t="s">
        <v>26</v>
      </c>
    </row>
    <row r="879" spans="1:12" x14ac:dyDescent="0.5">
      <c r="A879" s="5">
        <v>45663</v>
      </c>
      <c r="B879" t="s">
        <v>69</v>
      </c>
      <c r="C879" t="s">
        <v>269</v>
      </c>
      <c r="D879" t="s">
        <v>270</v>
      </c>
      <c r="E879" s="6">
        <v>41700</v>
      </c>
      <c r="F879" t="s">
        <v>41</v>
      </c>
      <c r="G879" t="s">
        <v>15</v>
      </c>
      <c r="H879" t="s">
        <v>46</v>
      </c>
      <c r="I879" s="6">
        <v>0</v>
      </c>
      <c r="J879" s="6">
        <v>41700</v>
      </c>
      <c r="K879" t="s">
        <v>47</v>
      </c>
      <c r="L879" t="s">
        <v>48</v>
      </c>
    </row>
    <row r="880" spans="1:12" x14ac:dyDescent="0.5">
      <c r="A880" s="2">
        <v>45663</v>
      </c>
      <c r="B880" s="3" t="s">
        <v>69</v>
      </c>
      <c r="C880" s="3" t="s">
        <v>401</v>
      </c>
      <c r="D880" s="3" t="s">
        <v>643</v>
      </c>
      <c r="E880" s="4">
        <v>59003</v>
      </c>
      <c r="F880" s="3" t="s">
        <v>14</v>
      </c>
      <c r="G880" s="3" t="s">
        <v>15</v>
      </c>
      <c r="H880" s="3" t="s">
        <v>212</v>
      </c>
      <c r="I880" s="4">
        <v>9421</v>
      </c>
      <c r="J880" s="4">
        <v>49582</v>
      </c>
      <c r="K880" s="3" t="s">
        <v>213</v>
      </c>
      <c r="L880" s="3" t="s">
        <v>48</v>
      </c>
    </row>
    <row r="881" spans="1:12" x14ac:dyDescent="0.5">
      <c r="A881" s="5">
        <v>45663</v>
      </c>
      <c r="B881" t="s">
        <v>69</v>
      </c>
      <c r="C881" t="s">
        <v>379</v>
      </c>
      <c r="D881" t="s">
        <v>670</v>
      </c>
      <c r="E881" s="6">
        <v>145000</v>
      </c>
      <c r="F881" t="s">
        <v>41</v>
      </c>
      <c r="G881" t="s">
        <v>15</v>
      </c>
      <c r="H881" t="s">
        <v>547</v>
      </c>
      <c r="I881" s="6">
        <v>0</v>
      </c>
      <c r="J881" s="6">
        <v>145000</v>
      </c>
      <c r="K881" t="s">
        <v>530</v>
      </c>
      <c r="L881" t="s">
        <v>35</v>
      </c>
    </row>
    <row r="882" spans="1:12" x14ac:dyDescent="0.5">
      <c r="A882" s="2">
        <v>45663</v>
      </c>
      <c r="B882" s="3" t="s">
        <v>69</v>
      </c>
      <c r="C882" s="3" t="s">
        <v>379</v>
      </c>
      <c r="D882" s="3" t="s">
        <v>670</v>
      </c>
      <c r="E882" s="4">
        <v>540000</v>
      </c>
      <c r="F882" s="3" t="s">
        <v>41</v>
      </c>
      <c r="G882" s="3" t="s">
        <v>15</v>
      </c>
      <c r="H882" s="3" t="s">
        <v>547</v>
      </c>
      <c r="I882" s="4">
        <v>0</v>
      </c>
      <c r="J882" s="4">
        <v>540000</v>
      </c>
      <c r="K882" s="3" t="s">
        <v>530</v>
      </c>
      <c r="L882" s="3" t="s">
        <v>35</v>
      </c>
    </row>
    <row r="883" spans="1:12" x14ac:dyDescent="0.5">
      <c r="A883" s="5">
        <v>45664</v>
      </c>
      <c r="B883" t="s">
        <v>69</v>
      </c>
      <c r="C883" t="s">
        <v>283</v>
      </c>
      <c r="D883" t="s">
        <v>284</v>
      </c>
      <c r="E883" s="6">
        <v>198800</v>
      </c>
      <c r="F883" t="s">
        <v>14</v>
      </c>
      <c r="G883" t="s">
        <v>15</v>
      </c>
      <c r="H883" t="s">
        <v>24</v>
      </c>
      <c r="I883" s="6">
        <v>31741</v>
      </c>
      <c r="J883" s="6">
        <v>167059</v>
      </c>
      <c r="K883" t="s">
        <v>25</v>
      </c>
      <c r="L883" t="s">
        <v>26</v>
      </c>
    </row>
    <row r="884" spans="1:12" x14ac:dyDescent="0.5">
      <c r="A884" s="2">
        <v>45665</v>
      </c>
      <c r="B884" s="3" t="s">
        <v>69</v>
      </c>
      <c r="C884" s="3" t="s">
        <v>285</v>
      </c>
      <c r="D884" s="3" t="s">
        <v>286</v>
      </c>
      <c r="E884" s="4">
        <v>2610</v>
      </c>
      <c r="F884" s="3" t="s">
        <v>14</v>
      </c>
      <c r="G884" s="3" t="s">
        <v>15</v>
      </c>
      <c r="H884" s="3" t="s">
        <v>24</v>
      </c>
      <c r="I884" s="4">
        <v>417</v>
      </c>
      <c r="J884" s="4">
        <v>2193</v>
      </c>
      <c r="K884" s="3" t="s">
        <v>25</v>
      </c>
      <c r="L884" s="3" t="s">
        <v>26</v>
      </c>
    </row>
    <row r="885" spans="1:12" x14ac:dyDescent="0.5">
      <c r="A885" s="5">
        <v>45665</v>
      </c>
      <c r="B885" t="s">
        <v>69</v>
      </c>
      <c r="C885" t="s">
        <v>287</v>
      </c>
      <c r="D885" t="s">
        <v>288</v>
      </c>
      <c r="E885" s="6">
        <v>6597</v>
      </c>
      <c r="F885" t="s">
        <v>14</v>
      </c>
      <c r="G885" t="s">
        <v>15</v>
      </c>
      <c r="H885" t="s">
        <v>24</v>
      </c>
      <c r="I885" s="6">
        <v>1053</v>
      </c>
      <c r="J885" s="6">
        <v>5544</v>
      </c>
      <c r="K885" t="s">
        <v>25</v>
      </c>
      <c r="L885" t="s">
        <v>26</v>
      </c>
    </row>
    <row r="886" spans="1:12" x14ac:dyDescent="0.5">
      <c r="A886" s="2">
        <v>45665</v>
      </c>
      <c r="B886" s="3" t="s">
        <v>69</v>
      </c>
      <c r="C886" s="3" t="s">
        <v>247</v>
      </c>
      <c r="D886" s="3" t="s">
        <v>248</v>
      </c>
      <c r="E886" s="4">
        <v>90511</v>
      </c>
      <c r="F886" s="3" t="s">
        <v>14</v>
      </c>
      <c r="G886" s="3" t="s">
        <v>15</v>
      </c>
      <c r="H886" s="3" t="s">
        <v>24</v>
      </c>
      <c r="I886" s="4">
        <v>14451</v>
      </c>
      <c r="J886" s="4">
        <v>76060</v>
      </c>
      <c r="K886" s="3" t="s">
        <v>25</v>
      </c>
      <c r="L886" s="3" t="s">
        <v>26</v>
      </c>
    </row>
    <row r="887" spans="1:12" x14ac:dyDescent="0.5">
      <c r="A887" s="5">
        <v>45665</v>
      </c>
      <c r="B887" t="s">
        <v>69</v>
      </c>
      <c r="C887" t="s">
        <v>285</v>
      </c>
      <c r="D887" t="s">
        <v>286</v>
      </c>
      <c r="E887" s="6">
        <v>139129</v>
      </c>
      <c r="F887" t="s">
        <v>14</v>
      </c>
      <c r="G887" t="s">
        <v>15</v>
      </c>
      <c r="H887" t="s">
        <v>24</v>
      </c>
      <c r="I887" s="6">
        <v>22214</v>
      </c>
      <c r="J887" s="6">
        <v>116915</v>
      </c>
      <c r="K887" t="s">
        <v>25</v>
      </c>
      <c r="L887" t="s">
        <v>26</v>
      </c>
    </row>
    <row r="888" spans="1:12" x14ac:dyDescent="0.5">
      <c r="A888" s="2">
        <v>45665</v>
      </c>
      <c r="B888" s="3" t="s">
        <v>69</v>
      </c>
      <c r="C888" s="3" t="s">
        <v>289</v>
      </c>
      <c r="D888" s="3" t="s">
        <v>290</v>
      </c>
      <c r="E888" s="4">
        <v>1221706</v>
      </c>
      <c r="F888" s="3" t="s">
        <v>14</v>
      </c>
      <c r="G888" s="3" t="s">
        <v>15</v>
      </c>
      <c r="H888" s="3" t="s">
        <v>16</v>
      </c>
      <c r="I888" s="4">
        <v>195062</v>
      </c>
      <c r="J888" s="4">
        <v>1026644</v>
      </c>
      <c r="K888" s="3" t="s">
        <v>17</v>
      </c>
      <c r="L888" s="3" t="s">
        <v>18</v>
      </c>
    </row>
    <row r="889" spans="1:12" x14ac:dyDescent="0.5">
      <c r="A889" s="5">
        <v>45666</v>
      </c>
      <c r="B889" t="s">
        <v>69</v>
      </c>
      <c r="C889" t="s">
        <v>261</v>
      </c>
      <c r="D889" t="s">
        <v>262</v>
      </c>
      <c r="E889" s="6">
        <v>273595</v>
      </c>
      <c r="F889" t="s">
        <v>14</v>
      </c>
      <c r="G889" t="s">
        <v>15</v>
      </c>
      <c r="H889" t="s">
        <v>24</v>
      </c>
      <c r="I889" s="6">
        <v>43683</v>
      </c>
      <c r="J889" s="6">
        <v>229912</v>
      </c>
      <c r="K889" t="s">
        <v>25</v>
      </c>
      <c r="L889" t="s">
        <v>26</v>
      </c>
    </row>
    <row r="890" spans="1:12" x14ac:dyDescent="0.5">
      <c r="A890" s="2">
        <v>45666</v>
      </c>
      <c r="B890" s="3" t="s">
        <v>69</v>
      </c>
      <c r="C890" s="3" t="s">
        <v>269</v>
      </c>
      <c r="D890" s="3" t="s">
        <v>270</v>
      </c>
      <c r="E890" s="4">
        <v>766294</v>
      </c>
      <c r="F890" s="3" t="s">
        <v>41</v>
      </c>
      <c r="G890" s="3" t="s">
        <v>15</v>
      </c>
      <c r="H890" s="3" t="s">
        <v>46</v>
      </c>
      <c r="I890" s="4">
        <v>0</v>
      </c>
      <c r="J890" s="4">
        <v>766294</v>
      </c>
      <c r="K890" s="3" t="s">
        <v>47</v>
      </c>
      <c r="L890" s="3" t="s">
        <v>48</v>
      </c>
    </row>
    <row r="891" spans="1:12" x14ac:dyDescent="0.5">
      <c r="A891" s="5">
        <v>45667</v>
      </c>
      <c r="B891" t="s">
        <v>69</v>
      </c>
      <c r="C891" t="s">
        <v>291</v>
      </c>
      <c r="D891" t="s">
        <v>292</v>
      </c>
      <c r="E891" s="6">
        <v>18470</v>
      </c>
      <c r="F891" t="s">
        <v>14</v>
      </c>
      <c r="G891" t="s">
        <v>15</v>
      </c>
      <c r="H891" t="s">
        <v>293</v>
      </c>
      <c r="I891" s="6">
        <v>2949</v>
      </c>
      <c r="J891" s="6">
        <v>15521</v>
      </c>
      <c r="K891" t="s">
        <v>294</v>
      </c>
      <c r="L891" t="s">
        <v>26</v>
      </c>
    </row>
    <row r="892" spans="1:12" x14ac:dyDescent="0.5">
      <c r="A892" s="2">
        <v>45667</v>
      </c>
      <c r="B892" s="3" t="s">
        <v>69</v>
      </c>
      <c r="C892" s="3" t="s">
        <v>295</v>
      </c>
      <c r="D892" s="3" t="s">
        <v>296</v>
      </c>
      <c r="E892" s="4">
        <v>30779</v>
      </c>
      <c r="F892" s="3" t="s">
        <v>14</v>
      </c>
      <c r="G892" s="3" t="s">
        <v>15</v>
      </c>
      <c r="H892" s="3" t="s">
        <v>293</v>
      </c>
      <c r="I892" s="4">
        <v>4914</v>
      </c>
      <c r="J892" s="4">
        <v>25865</v>
      </c>
      <c r="K892" s="3" t="s">
        <v>294</v>
      </c>
      <c r="L892" s="3" t="s">
        <v>26</v>
      </c>
    </row>
    <row r="893" spans="1:12" x14ac:dyDescent="0.5">
      <c r="A893" s="5">
        <v>45667</v>
      </c>
      <c r="B893" t="s">
        <v>69</v>
      </c>
      <c r="C893" t="s">
        <v>247</v>
      </c>
      <c r="D893" t="s">
        <v>248</v>
      </c>
      <c r="E893" s="6">
        <v>353148</v>
      </c>
      <c r="F893" t="s">
        <v>14</v>
      </c>
      <c r="G893" t="s">
        <v>15</v>
      </c>
      <c r="H893" t="s">
        <v>24</v>
      </c>
      <c r="I893" s="6">
        <v>56385</v>
      </c>
      <c r="J893" s="6">
        <v>296763</v>
      </c>
      <c r="K893" t="s">
        <v>25</v>
      </c>
      <c r="L893" t="s">
        <v>26</v>
      </c>
    </row>
    <row r="894" spans="1:12" x14ac:dyDescent="0.5">
      <c r="A894" s="2">
        <v>45670</v>
      </c>
      <c r="B894" s="3" t="s">
        <v>69</v>
      </c>
      <c r="C894" s="3" t="s">
        <v>275</v>
      </c>
      <c r="D894" s="3" t="s">
        <v>276</v>
      </c>
      <c r="E894" s="4">
        <v>13750</v>
      </c>
      <c r="F894" s="3" t="s">
        <v>14</v>
      </c>
      <c r="G894" s="3" t="s">
        <v>15</v>
      </c>
      <c r="H894" s="3" t="s">
        <v>20</v>
      </c>
      <c r="I894" s="4">
        <v>2195</v>
      </c>
      <c r="J894" s="4">
        <v>11555</v>
      </c>
      <c r="K894" s="3" t="s">
        <v>21</v>
      </c>
      <c r="L894" s="3" t="s">
        <v>22</v>
      </c>
    </row>
    <row r="895" spans="1:12" x14ac:dyDescent="0.5">
      <c r="A895" s="5">
        <v>45671</v>
      </c>
      <c r="B895" t="s">
        <v>64</v>
      </c>
      <c r="C895" t="s">
        <v>257</v>
      </c>
      <c r="D895" t="s">
        <v>258</v>
      </c>
      <c r="E895" s="6">
        <v>14700</v>
      </c>
      <c r="F895" t="s">
        <v>41</v>
      </c>
      <c r="G895" t="s">
        <v>15</v>
      </c>
      <c r="H895" t="s">
        <v>66</v>
      </c>
      <c r="I895" s="6">
        <v>0</v>
      </c>
      <c r="J895" s="6">
        <v>14700</v>
      </c>
      <c r="K895" t="s">
        <v>67</v>
      </c>
      <c r="L895" t="s">
        <v>68</v>
      </c>
    </row>
    <row r="896" spans="1:12" x14ac:dyDescent="0.5">
      <c r="A896" s="2">
        <v>45671</v>
      </c>
      <c r="B896" s="3" t="s">
        <v>69</v>
      </c>
      <c r="C896" s="3" t="s">
        <v>378</v>
      </c>
      <c r="D896" s="3" t="s">
        <v>669</v>
      </c>
      <c r="E896" s="4">
        <v>10940</v>
      </c>
      <c r="F896" s="3" t="s">
        <v>41</v>
      </c>
      <c r="G896" s="3" t="s">
        <v>15</v>
      </c>
      <c r="H896" s="3" t="s">
        <v>20</v>
      </c>
      <c r="I896" s="4">
        <v>0</v>
      </c>
      <c r="J896" s="4">
        <v>10940</v>
      </c>
      <c r="K896" s="3" t="s">
        <v>21</v>
      </c>
      <c r="L896" s="3" t="s">
        <v>22</v>
      </c>
    </row>
    <row r="897" spans="1:12" x14ac:dyDescent="0.5">
      <c r="A897" s="5">
        <v>45672</v>
      </c>
      <c r="B897" t="s">
        <v>64</v>
      </c>
      <c r="C897" t="s">
        <v>257</v>
      </c>
      <c r="D897" t="s">
        <v>258</v>
      </c>
      <c r="E897" s="6">
        <v>10520</v>
      </c>
      <c r="F897" t="s">
        <v>41</v>
      </c>
      <c r="G897" t="s">
        <v>15</v>
      </c>
      <c r="H897" t="s">
        <v>66</v>
      </c>
      <c r="I897" s="6">
        <v>0</v>
      </c>
      <c r="J897" s="6">
        <v>10520</v>
      </c>
      <c r="K897" t="s">
        <v>67</v>
      </c>
      <c r="L897" t="s">
        <v>68</v>
      </c>
    </row>
    <row r="898" spans="1:12" x14ac:dyDescent="0.5">
      <c r="A898" s="2">
        <v>45673</v>
      </c>
      <c r="B898" s="3" t="s">
        <v>69</v>
      </c>
      <c r="C898" s="3" t="s">
        <v>385</v>
      </c>
      <c r="D898" s="3" t="s">
        <v>642</v>
      </c>
      <c r="E898" s="4">
        <v>47981</v>
      </c>
      <c r="F898" s="3" t="s">
        <v>14</v>
      </c>
      <c r="G898" s="3" t="s">
        <v>15</v>
      </c>
      <c r="H898" s="3" t="s">
        <v>293</v>
      </c>
      <c r="I898" s="4">
        <v>7661</v>
      </c>
      <c r="J898" s="4">
        <v>40320</v>
      </c>
      <c r="K898" s="3" t="s">
        <v>294</v>
      </c>
      <c r="L898" s="3" t="s">
        <v>26</v>
      </c>
    </row>
    <row r="899" spans="1:12" x14ac:dyDescent="0.5">
      <c r="A899" s="5">
        <v>45673</v>
      </c>
      <c r="B899" t="s">
        <v>69</v>
      </c>
      <c r="C899" t="s">
        <v>261</v>
      </c>
      <c r="D899" t="s">
        <v>262</v>
      </c>
      <c r="E899" s="6">
        <v>136798</v>
      </c>
      <c r="F899" t="s">
        <v>14</v>
      </c>
      <c r="G899" t="s">
        <v>15</v>
      </c>
      <c r="H899" t="s">
        <v>24</v>
      </c>
      <c r="I899" s="6">
        <v>21842</v>
      </c>
      <c r="J899" s="6">
        <v>114956</v>
      </c>
      <c r="K899" t="s">
        <v>25</v>
      </c>
      <c r="L899" t="s">
        <v>26</v>
      </c>
    </row>
    <row r="900" spans="1:12" x14ac:dyDescent="0.5">
      <c r="A900" s="2">
        <v>45673</v>
      </c>
      <c r="B900" s="3" t="s">
        <v>64</v>
      </c>
      <c r="C900" s="3" t="s">
        <v>257</v>
      </c>
      <c r="D900" s="3" t="s">
        <v>258</v>
      </c>
      <c r="E900" s="4">
        <v>4008</v>
      </c>
      <c r="F900" s="3" t="s">
        <v>41</v>
      </c>
      <c r="G900" s="3" t="s">
        <v>15</v>
      </c>
      <c r="H900" s="3" t="s">
        <v>66</v>
      </c>
      <c r="I900" s="4">
        <v>0</v>
      </c>
      <c r="J900" s="4">
        <v>4008</v>
      </c>
      <c r="K900" s="3" t="s">
        <v>67</v>
      </c>
      <c r="L900" s="3" t="s">
        <v>68</v>
      </c>
    </row>
    <row r="901" spans="1:12" x14ac:dyDescent="0.5">
      <c r="A901" s="5">
        <v>45677</v>
      </c>
      <c r="B901" t="s">
        <v>69</v>
      </c>
      <c r="C901" t="s">
        <v>279</v>
      </c>
      <c r="D901" t="s">
        <v>280</v>
      </c>
      <c r="E901" s="6">
        <v>103350</v>
      </c>
      <c r="F901" t="s">
        <v>14</v>
      </c>
      <c r="G901" t="s">
        <v>15</v>
      </c>
      <c r="H901" t="s">
        <v>24</v>
      </c>
      <c r="I901" s="6">
        <v>16501</v>
      </c>
      <c r="J901" s="6">
        <v>86849</v>
      </c>
      <c r="K901" t="s">
        <v>25</v>
      </c>
      <c r="L901" t="s">
        <v>26</v>
      </c>
    </row>
    <row r="902" spans="1:12" x14ac:dyDescent="0.5">
      <c r="A902" s="2">
        <v>45677</v>
      </c>
      <c r="B902" s="3" t="s">
        <v>64</v>
      </c>
      <c r="C902" s="3" t="s">
        <v>257</v>
      </c>
      <c r="D902" s="3" t="s">
        <v>258</v>
      </c>
      <c r="E902" s="4">
        <v>17556</v>
      </c>
      <c r="F902" s="3" t="s">
        <v>41</v>
      </c>
      <c r="G902" s="3" t="s">
        <v>15</v>
      </c>
      <c r="H902" s="3" t="s">
        <v>66</v>
      </c>
      <c r="I902" s="4">
        <v>0</v>
      </c>
      <c r="J902" s="4">
        <v>17556</v>
      </c>
      <c r="K902" s="3" t="s">
        <v>67</v>
      </c>
      <c r="L902" s="3" t="s">
        <v>68</v>
      </c>
    </row>
    <row r="903" spans="1:12" x14ac:dyDescent="0.5">
      <c r="A903" s="5">
        <v>45677</v>
      </c>
      <c r="B903" t="s">
        <v>64</v>
      </c>
      <c r="C903" t="s">
        <v>251</v>
      </c>
      <c r="D903" t="s">
        <v>252</v>
      </c>
      <c r="E903" s="6">
        <v>200000</v>
      </c>
      <c r="F903" t="s">
        <v>41</v>
      </c>
      <c r="G903" t="s">
        <v>15</v>
      </c>
      <c r="H903" t="s">
        <v>66</v>
      </c>
      <c r="I903" s="6">
        <v>0</v>
      </c>
      <c r="J903" s="6">
        <v>200000</v>
      </c>
      <c r="K903" t="s">
        <v>67</v>
      </c>
      <c r="L903" t="s">
        <v>68</v>
      </c>
    </row>
    <row r="904" spans="1:12" x14ac:dyDescent="0.5">
      <c r="A904" s="2">
        <v>45679</v>
      </c>
      <c r="B904" s="3" t="s">
        <v>64</v>
      </c>
      <c r="C904" s="3" t="s">
        <v>257</v>
      </c>
      <c r="D904" s="3" t="s">
        <v>258</v>
      </c>
      <c r="E904" s="4">
        <v>7800</v>
      </c>
      <c r="F904" s="3" t="s">
        <v>41</v>
      </c>
      <c r="G904" s="3" t="s">
        <v>15</v>
      </c>
      <c r="H904" s="3" t="s">
        <v>66</v>
      </c>
      <c r="I904" s="4">
        <v>0</v>
      </c>
      <c r="J904" s="4">
        <v>7800</v>
      </c>
      <c r="K904" s="3" t="s">
        <v>67</v>
      </c>
      <c r="L904" s="3" t="s">
        <v>68</v>
      </c>
    </row>
    <row r="905" spans="1:12" x14ac:dyDescent="0.5">
      <c r="A905" s="5">
        <v>45679</v>
      </c>
      <c r="B905" t="s">
        <v>69</v>
      </c>
      <c r="C905" t="s">
        <v>253</v>
      </c>
      <c r="D905" t="s">
        <v>254</v>
      </c>
      <c r="E905" s="6">
        <v>15800</v>
      </c>
      <c r="F905" t="s">
        <v>41</v>
      </c>
      <c r="G905" t="s">
        <v>15</v>
      </c>
      <c r="H905" t="s">
        <v>255</v>
      </c>
      <c r="I905" s="6">
        <v>0</v>
      </c>
      <c r="J905" s="6">
        <v>15800</v>
      </c>
      <c r="K905" t="s">
        <v>256</v>
      </c>
      <c r="L905" t="s">
        <v>68</v>
      </c>
    </row>
    <row r="906" spans="1:12" x14ac:dyDescent="0.5">
      <c r="A906" s="2">
        <v>45679</v>
      </c>
      <c r="B906" s="3" t="s">
        <v>69</v>
      </c>
      <c r="C906" s="3" t="s">
        <v>378</v>
      </c>
      <c r="D906" s="3" t="s">
        <v>669</v>
      </c>
      <c r="E906" s="4">
        <v>19606</v>
      </c>
      <c r="F906" s="3" t="s">
        <v>41</v>
      </c>
      <c r="G906" s="3" t="s">
        <v>15</v>
      </c>
      <c r="H906" s="3" t="s">
        <v>20</v>
      </c>
      <c r="I906" s="4">
        <v>0</v>
      </c>
      <c r="J906" s="4">
        <v>19606</v>
      </c>
      <c r="K906" s="3" t="s">
        <v>21</v>
      </c>
      <c r="L906" s="3" t="s">
        <v>22</v>
      </c>
    </row>
    <row r="907" spans="1:12" x14ac:dyDescent="0.5">
      <c r="A907" s="5">
        <v>45680</v>
      </c>
      <c r="B907" t="s">
        <v>69</v>
      </c>
      <c r="C907" t="s">
        <v>247</v>
      </c>
      <c r="D907" t="s">
        <v>248</v>
      </c>
      <c r="E907" s="6">
        <v>158864</v>
      </c>
      <c r="F907" t="s">
        <v>14</v>
      </c>
      <c r="G907" t="s">
        <v>15</v>
      </c>
      <c r="H907" t="s">
        <v>24</v>
      </c>
      <c r="I907" s="6">
        <v>25365</v>
      </c>
      <c r="J907" s="6">
        <v>133499</v>
      </c>
      <c r="K907" t="s">
        <v>25</v>
      </c>
      <c r="L907" t="s">
        <v>26</v>
      </c>
    </row>
    <row r="908" spans="1:12" x14ac:dyDescent="0.5">
      <c r="A908" s="2">
        <v>45680</v>
      </c>
      <c r="B908" s="3" t="s">
        <v>64</v>
      </c>
      <c r="C908" s="3" t="s">
        <v>257</v>
      </c>
      <c r="D908" s="3" t="s">
        <v>258</v>
      </c>
      <c r="E908" s="4">
        <v>5400</v>
      </c>
      <c r="F908" s="3" t="s">
        <v>41</v>
      </c>
      <c r="G908" s="3" t="s">
        <v>15</v>
      </c>
      <c r="H908" s="3" t="s">
        <v>66</v>
      </c>
      <c r="I908" s="4">
        <v>0</v>
      </c>
      <c r="J908" s="4">
        <v>5400</v>
      </c>
      <c r="K908" s="3" t="s">
        <v>67</v>
      </c>
      <c r="L908" s="3" t="s">
        <v>68</v>
      </c>
    </row>
    <row r="909" spans="1:12" x14ac:dyDescent="0.5">
      <c r="A909" s="5">
        <v>45681</v>
      </c>
      <c r="B909" t="s">
        <v>69</v>
      </c>
      <c r="C909" t="s">
        <v>261</v>
      </c>
      <c r="D909" t="s">
        <v>262</v>
      </c>
      <c r="E909" s="6">
        <v>102598</v>
      </c>
      <c r="F909" t="s">
        <v>14</v>
      </c>
      <c r="G909" t="s">
        <v>15</v>
      </c>
      <c r="H909" t="s">
        <v>24</v>
      </c>
      <c r="I909" s="6">
        <v>16381</v>
      </c>
      <c r="J909" s="6">
        <v>86217</v>
      </c>
      <c r="K909" t="s">
        <v>25</v>
      </c>
      <c r="L909" t="s">
        <v>26</v>
      </c>
    </row>
    <row r="910" spans="1:12" x14ac:dyDescent="0.5">
      <c r="A910" s="2">
        <v>45681</v>
      </c>
      <c r="B910" s="3" t="s">
        <v>64</v>
      </c>
      <c r="C910" s="3" t="s">
        <v>249</v>
      </c>
      <c r="D910" s="3" t="s">
        <v>250</v>
      </c>
      <c r="E910" s="4">
        <v>4800</v>
      </c>
      <c r="F910" s="3" t="s">
        <v>41</v>
      </c>
      <c r="G910" s="3" t="s">
        <v>15</v>
      </c>
      <c r="H910" s="3" t="s">
        <v>66</v>
      </c>
      <c r="I910" s="4">
        <v>0</v>
      </c>
      <c r="J910" s="4">
        <v>4800</v>
      </c>
      <c r="K910" s="3" t="s">
        <v>67</v>
      </c>
      <c r="L910" s="3" t="s">
        <v>68</v>
      </c>
    </row>
    <row r="911" spans="1:12" x14ac:dyDescent="0.5">
      <c r="A911" s="5">
        <v>45684</v>
      </c>
      <c r="B911" t="s">
        <v>69</v>
      </c>
      <c r="C911" t="s">
        <v>261</v>
      </c>
      <c r="D911" t="s">
        <v>262</v>
      </c>
      <c r="E911" s="6">
        <v>69398</v>
      </c>
      <c r="F911" t="s">
        <v>14</v>
      </c>
      <c r="G911" t="s">
        <v>15</v>
      </c>
      <c r="H911" t="s">
        <v>24</v>
      </c>
      <c r="I911" s="6">
        <v>11080</v>
      </c>
      <c r="J911" s="6">
        <v>58318</v>
      </c>
      <c r="K911" t="s">
        <v>25</v>
      </c>
      <c r="L911" t="s">
        <v>26</v>
      </c>
    </row>
    <row r="912" spans="1:12" x14ac:dyDescent="0.5">
      <c r="A912" s="2">
        <v>45684</v>
      </c>
      <c r="B912" s="3" t="s">
        <v>69</v>
      </c>
      <c r="C912" s="3" t="s">
        <v>378</v>
      </c>
      <c r="D912" s="3" t="s">
        <v>669</v>
      </c>
      <c r="E912" s="4">
        <v>23154</v>
      </c>
      <c r="F912" s="3" t="s">
        <v>41</v>
      </c>
      <c r="G912" s="3" t="s">
        <v>15</v>
      </c>
      <c r="H912" s="3" t="s">
        <v>20</v>
      </c>
      <c r="I912" s="4">
        <v>0</v>
      </c>
      <c r="J912" s="4">
        <v>23154</v>
      </c>
      <c r="K912" s="3" t="s">
        <v>21</v>
      </c>
      <c r="L912" s="3" t="s">
        <v>22</v>
      </c>
    </row>
    <row r="913" spans="1:12" x14ac:dyDescent="0.5">
      <c r="A913" s="5">
        <v>45685</v>
      </c>
      <c r="B913" t="s">
        <v>69</v>
      </c>
      <c r="C913" t="s">
        <v>285</v>
      </c>
      <c r="D913" t="s">
        <v>286</v>
      </c>
      <c r="E913" s="6">
        <v>178880</v>
      </c>
      <c r="F913" t="s">
        <v>14</v>
      </c>
      <c r="G913" t="s">
        <v>15</v>
      </c>
      <c r="H913" t="s">
        <v>24</v>
      </c>
      <c r="I913" s="6">
        <v>28561</v>
      </c>
      <c r="J913" s="6">
        <v>150319</v>
      </c>
      <c r="K913" t="s">
        <v>25</v>
      </c>
      <c r="L913" t="s">
        <v>26</v>
      </c>
    </row>
    <row r="914" spans="1:12" x14ac:dyDescent="0.5">
      <c r="A914" s="2">
        <v>45685</v>
      </c>
      <c r="B914" s="3" t="s">
        <v>69</v>
      </c>
      <c r="C914" s="3" t="s">
        <v>297</v>
      </c>
      <c r="D914" s="3" t="s">
        <v>298</v>
      </c>
      <c r="E914" s="4">
        <v>973004</v>
      </c>
      <c r="F914" s="3" t="s">
        <v>14</v>
      </c>
      <c r="G914" s="3" t="s">
        <v>15</v>
      </c>
      <c r="H914" s="3" t="s">
        <v>293</v>
      </c>
      <c r="I914" s="4">
        <v>155354</v>
      </c>
      <c r="J914" s="4">
        <v>817650</v>
      </c>
      <c r="K914" s="3" t="s">
        <v>294</v>
      </c>
      <c r="L914" s="3" t="s">
        <v>26</v>
      </c>
    </row>
    <row r="915" spans="1:12" x14ac:dyDescent="0.5">
      <c r="A915" s="5">
        <v>45685</v>
      </c>
      <c r="B915" t="s">
        <v>69</v>
      </c>
      <c r="C915" t="s">
        <v>253</v>
      </c>
      <c r="D915" t="s">
        <v>254</v>
      </c>
      <c r="E915" s="6">
        <v>9220</v>
      </c>
      <c r="F915" t="s">
        <v>41</v>
      </c>
      <c r="G915" t="s">
        <v>15</v>
      </c>
      <c r="H915" t="s">
        <v>255</v>
      </c>
      <c r="I915" s="6">
        <v>0</v>
      </c>
      <c r="J915" s="6">
        <v>9220</v>
      </c>
      <c r="K915" t="s">
        <v>256</v>
      </c>
      <c r="L915" t="s">
        <v>68</v>
      </c>
    </row>
    <row r="916" spans="1:12" x14ac:dyDescent="0.5">
      <c r="A916" s="2">
        <v>45685</v>
      </c>
      <c r="B916" s="3" t="s">
        <v>69</v>
      </c>
      <c r="C916" s="3" t="s">
        <v>253</v>
      </c>
      <c r="D916" s="3" t="s">
        <v>254</v>
      </c>
      <c r="E916" s="4">
        <v>60950</v>
      </c>
      <c r="F916" s="3" t="s">
        <v>41</v>
      </c>
      <c r="G916" s="3" t="s">
        <v>15</v>
      </c>
      <c r="H916" s="3" t="s">
        <v>255</v>
      </c>
      <c r="I916" s="4">
        <v>0</v>
      </c>
      <c r="J916" s="4">
        <v>60950</v>
      </c>
      <c r="K916" s="3" t="s">
        <v>256</v>
      </c>
      <c r="L916" s="3" t="s">
        <v>68</v>
      </c>
    </row>
    <row r="917" spans="1:12" x14ac:dyDescent="0.5">
      <c r="A917" s="5">
        <v>45685</v>
      </c>
      <c r="B917" t="s">
        <v>64</v>
      </c>
      <c r="C917" t="s">
        <v>259</v>
      </c>
      <c r="D917" t="s">
        <v>260</v>
      </c>
      <c r="E917" s="6">
        <v>800000</v>
      </c>
      <c r="F917" t="s">
        <v>41</v>
      </c>
      <c r="G917" t="s">
        <v>15</v>
      </c>
      <c r="H917" t="s">
        <v>66</v>
      </c>
      <c r="I917" s="6">
        <v>0</v>
      </c>
      <c r="J917" s="6">
        <v>800000</v>
      </c>
      <c r="K917" t="s">
        <v>67</v>
      </c>
      <c r="L917" t="s">
        <v>68</v>
      </c>
    </row>
    <row r="918" spans="1:12" x14ac:dyDescent="0.5">
      <c r="A918" s="2">
        <v>45686</v>
      </c>
      <c r="B918" s="3" t="s">
        <v>69</v>
      </c>
      <c r="C918" s="3" t="s">
        <v>295</v>
      </c>
      <c r="D918" s="3" t="s">
        <v>296</v>
      </c>
      <c r="E918" s="4">
        <v>61559</v>
      </c>
      <c r="F918" s="3" t="s">
        <v>14</v>
      </c>
      <c r="G918" s="3" t="s">
        <v>15</v>
      </c>
      <c r="H918" s="3" t="s">
        <v>293</v>
      </c>
      <c r="I918" s="4">
        <v>9829</v>
      </c>
      <c r="J918" s="4">
        <v>51730</v>
      </c>
      <c r="K918" s="3" t="s">
        <v>294</v>
      </c>
      <c r="L918" s="3" t="s">
        <v>26</v>
      </c>
    </row>
    <row r="919" spans="1:12" x14ac:dyDescent="0.5">
      <c r="A919" s="5">
        <v>45686</v>
      </c>
      <c r="B919" t="s">
        <v>69</v>
      </c>
      <c r="C919" t="s">
        <v>263</v>
      </c>
      <c r="D919" t="s">
        <v>264</v>
      </c>
      <c r="E919" s="6">
        <v>188796</v>
      </c>
      <c r="F919" t="s">
        <v>14</v>
      </c>
      <c r="G919" t="s">
        <v>15</v>
      </c>
      <c r="H919" t="s">
        <v>24</v>
      </c>
      <c r="I919" s="6">
        <v>30144</v>
      </c>
      <c r="J919" s="6">
        <v>158652</v>
      </c>
      <c r="K919" t="s">
        <v>25</v>
      </c>
      <c r="L919" t="s">
        <v>26</v>
      </c>
    </row>
    <row r="920" spans="1:12" x14ac:dyDescent="0.5">
      <c r="A920" s="2">
        <v>45686</v>
      </c>
      <c r="B920" s="3" t="s">
        <v>64</v>
      </c>
      <c r="C920" s="3" t="s">
        <v>257</v>
      </c>
      <c r="D920" s="3" t="s">
        <v>258</v>
      </c>
      <c r="E920" s="4">
        <v>17050</v>
      </c>
      <c r="F920" s="3" t="s">
        <v>41</v>
      </c>
      <c r="G920" s="3" t="s">
        <v>15</v>
      </c>
      <c r="H920" s="3" t="s">
        <v>66</v>
      </c>
      <c r="I920" s="4">
        <v>0</v>
      </c>
      <c r="J920" s="4">
        <v>17050</v>
      </c>
      <c r="K920" s="3" t="s">
        <v>67</v>
      </c>
      <c r="L920" s="3" t="s">
        <v>68</v>
      </c>
    </row>
    <row r="921" spans="1:12" x14ac:dyDescent="0.5">
      <c r="A921" s="5">
        <v>45686</v>
      </c>
      <c r="B921" t="s">
        <v>69</v>
      </c>
      <c r="C921" t="s">
        <v>406</v>
      </c>
      <c r="D921" t="s">
        <v>644</v>
      </c>
      <c r="E921" s="6">
        <v>26156</v>
      </c>
      <c r="F921" t="s">
        <v>14</v>
      </c>
      <c r="G921" t="s">
        <v>15</v>
      </c>
      <c r="H921" t="s">
        <v>517</v>
      </c>
      <c r="I921" s="6">
        <v>4176</v>
      </c>
      <c r="J921" s="6">
        <v>21980</v>
      </c>
      <c r="K921" t="s">
        <v>516</v>
      </c>
      <c r="L921" t="s">
        <v>68</v>
      </c>
    </row>
    <row r="922" spans="1:12" x14ac:dyDescent="0.5">
      <c r="A922" s="2">
        <v>45686</v>
      </c>
      <c r="B922" s="3" t="s">
        <v>64</v>
      </c>
      <c r="C922" s="3" t="s">
        <v>251</v>
      </c>
      <c r="D922" s="3" t="s">
        <v>252</v>
      </c>
      <c r="E922" s="4">
        <v>311937</v>
      </c>
      <c r="F922" s="3" t="s">
        <v>41</v>
      </c>
      <c r="G922" s="3" t="s">
        <v>15</v>
      </c>
      <c r="H922" s="3" t="s">
        <v>66</v>
      </c>
      <c r="I922" s="4">
        <v>0</v>
      </c>
      <c r="J922" s="4">
        <v>311937</v>
      </c>
      <c r="K922" s="3" t="s">
        <v>67</v>
      </c>
      <c r="L922" s="3" t="s">
        <v>68</v>
      </c>
    </row>
    <row r="923" spans="1:12" x14ac:dyDescent="0.5">
      <c r="A923" s="5">
        <v>45686</v>
      </c>
      <c r="B923" t="s">
        <v>64</v>
      </c>
      <c r="C923" t="s">
        <v>281</v>
      </c>
      <c r="D923" t="s">
        <v>282</v>
      </c>
      <c r="E923" s="6">
        <v>679581</v>
      </c>
      <c r="F923" t="s">
        <v>41</v>
      </c>
      <c r="G923" t="s">
        <v>15</v>
      </c>
      <c r="H923" t="s">
        <v>66</v>
      </c>
      <c r="I923" s="6">
        <v>0</v>
      </c>
      <c r="J923" s="6">
        <v>679581</v>
      </c>
      <c r="K923" t="s">
        <v>67</v>
      </c>
      <c r="L923" t="s">
        <v>68</v>
      </c>
    </row>
    <row r="924" spans="1:12" x14ac:dyDescent="0.5">
      <c r="A924" s="2">
        <v>45686</v>
      </c>
      <c r="B924" s="3" t="s">
        <v>69</v>
      </c>
      <c r="C924" s="3" t="s">
        <v>253</v>
      </c>
      <c r="D924" s="3" t="s">
        <v>254</v>
      </c>
      <c r="E924" s="4">
        <v>700000</v>
      </c>
      <c r="F924" s="3" t="s">
        <v>41</v>
      </c>
      <c r="G924" s="3" t="s">
        <v>15</v>
      </c>
      <c r="H924" s="3" t="s">
        <v>255</v>
      </c>
      <c r="I924" s="4">
        <v>0</v>
      </c>
      <c r="J924" s="4">
        <v>700000</v>
      </c>
      <c r="K924" s="3" t="s">
        <v>256</v>
      </c>
      <c r="L924" s="3" t="s">
        <v>68</v>
      </c>
    </row>
    <row r="925" spans="1:12" x14ac:dyDescent="0.5">
      <c r="A925" s="5">
        <v>45686</v>
      </c>
      <c r="B925" t="s">
        <v>64</v>
      </c>
      <c r="C925" t="s">
        <v>257</v>
      </c>
      <c r="D925" t="s">
        <v>258</v>
      </c>
      <c r="E925" s="6">
        <v>900000</v>
      </c>
      <c r="F925" t="s">
        <v>41</v>
      </c>
      <c r="G925" t="s">
        <v>15</v>
      </c>
      <c r="H925" t="s">
        <v>66</v>
      </c>
      <c r="I925" s="6">
        <v>0</v>
      </c>
      <c r="J925" s="6">
        <v>900000</v>
      </c>
      <c r="K925" t="s">
        <v>67</v>
      </c>
      <c r="L925" t="s">
        <v>68</v>
      </c>
    </row>
    <row r="926" spans="1:12" x14ac:dyDescent="0.5">
      <c r="A926" s="2">
        <v>45686</v>
      </c>
      <c r="B926" s="3" t="s">
        <v>64</v>
      </c>
      <c r="C926" s="3" t="s">
        <v>249</v>
      </c>
      <c r="D926" s="3" t="s">
        <v>250</v>
      </c>
      <c r="E926" s="4">
        <v>1000000</v>
      </c>
      <c r="F926" s="3" t="s">
        <v>41</v>
      </c>
      <c r="G926" s="3" t="s">
        <v>15</v>
      </c>
      <c r="H926" s="3" t="s">
        <v>66</v>
      </c>
      <c r="I926" s="4">
        <v>0</v>
      </c>
      <c r="J926" s="4">
        <v>1000000</v>
      </c>
      <c r="K926" s="3" t="s">
        <v>67</v>
      </c>
      <c r="L926" s="3" t="s">
        <v>68</v>
      </c>
    </row>
    <row r="927" spans="1:12" x14ac:dyDescent="0.5">
      <c r="A927" s="5">
        <v>45723</v>
      </c>
      <c r="B927" t="s">
        <v>96</v>
      </c>
      <c r="C927" t="s">
        <v>285</v>
      </c>
      <c r="D927" t="s">
        <v>286</v>
      </c>
      <c r="E927" s="6">
        <v>119252</v>
      </c>
      <c r="F927" t="s">
        <v>14</v>
      </c>
      <c r="G927" t="s">
        <v>15</v>
      </c>
      <c r="H927" t="s">
        <v>24</v>
      </c>
      <c r="I927" s="6">
        <v>19040</v>
      </c>
      <c r="J927" s="6">
        <v>100212</v>
      </c>
      <c r="K927" t="s">
        <v>25</v>
      </c>
      <c r="L927" t="s">
        <v>26</v>
      </c>
    </row>
    <row r="928" spans="1:12" x14ac:dyDescent="0.5">
      <c r="A928" s="2">
        <v>45723</v>
      </c>
      <c r="B928" s="3" t="s">
        <v>96</v>
      </c>
      <c r="C928" s="3" t="s">
        <v>253</v>
      </c>
      <c r="D928" s="3" t="s">
        <v>254</v>
      </c>
      <c r="E928" s="4">
        <v>4212</v>
      </c>
      <c r="F928" s="3" t="s">
        <v>41</v>
      </c>
      <c r="G928" s="3" t="s">
        <v>15</v>
      </c>
      <c r="H928" s="3" t="s">
        <v>255</v>
      </c>
      <c r="I928" s="4">
        <v>0</v>
      </c>
      <c r="J928" s="4">
        <v>4212</v>
      </c>
      <c r="K928" s="3" t="s">
        <v>256</v>
      </c>
      <c r="L928" s="3" t="s">
        <v>68</v>
      </c>
    </row>
    <row r="929" spans="1:12" x14ac:dyDescent="0.5">
      <c r="A929" s="5">
        <v>45723</v>
      </c>
      <c r="B929" t="s">
        <v>90</v>
      </c>
      <c r="C929" t="s">
        <v>257</v>
      </c>
      <c r="D929" t="s">
        <v>258</v>
      </c>
      <c r="E929" s="6">
        <v>19928</v>
      </c>
      <c r="F929" t="s">
        <v>41</v>
      </c>
      <c r="G929" t="s">
        <v>15</v>
      </c>
      <c r="H929" t="s">
        <v>66</v>
      </c>
      <c r="I929" s="6">
        <v>0</v>
      </c>
      <c r="J929" s="6">
        <v>19928</v>
      </c>
      <c r="K929" t="s">
        <v>67</v>
      </c>
      <c r="L929" t="s">
        <v>68</v>
      </c>
    </row>
    <row r="930" spans="1:12" x14ac:dyDescent="0.5">
      <c r="A930" s="2">
        <v>45723</v>
      </c>
      <c r="B930" s="3" t="s">
        <v>96</v>
      </c>
      <c r="C930" s="3" t="s">
        <v>401</v>
      </c>
      <c r="D930" s="3" t="s">
        <v>643</v>
      </c>
      <c r="E930" s="4">
        <v>79368</v>
      </c>
      <c r="F930" s="3" t="s">
        <v>14</v>
      </c>
      <c r="G930" s="3" t="s">
        <v>15</v>
      </c>
      <c r="H930" s="3" t="s">
        <v>212</v>
      </c>
      <c r="I930" s="4">
        <v>12672</v>
      </c>
      <c r="J930" s="4">
        <v>66696</v>
      </c>
      <c r="K930" s="3" t="s">
        <v>213</v>
      </c>
      <c r="L930" s="3" t="s">
        <v>48</v>
      </c>
    </row>
    <row r="931" spans="1:12" x14ac:dyDescent="0.5">
      <c r="A931" s="5">
        <v>45723</v>
      </c>
      <c r="B931" t="s">
        <v>96</v>
      </c>
      <c r="C931" t="s">
        <v>378</v>
      </c>
      <c r="D931" t="s">
        <v>669</v>
      </c>
      <c r="E931" s="6">
        <v>44828</v>
      </c>
      <c r="F931" t="s">
        <v>41</v>
      </c>
      <c r="G931" t="s">
        <v>15</v>
      </c>
      <c r="H931" t="s">
        <v>20</v>
      </c>
      <c r="I931" s="6">
        <v>0</v>
      </c>
      <c r="J931" s="6">
        <v>44828</v>
      </c>
      <c r="K931" t="s">
        <v>21</v>
      </c>
      <c r="L931" t="s">
        <v>22</v>
      </c>
    </row>
    <row r="932" spans="1:12" x14ac:dyDescent="0.5">
      <c r="A932" s="2">
        <v>45726</v>
      </c>
      <c r="B932" s="3" t="s">
        <v>96</v>
      </c>
      <c r="C932" s="3" t="s">
        <v>413</v>
      </c>
      <c r="D932" s="3" t="s">
        <v>645</v>
      </c>
      <c r="E932" s="4">
        <v>62475</v>
      </c>
      <c r="F932" s="3" t="s">
        <v>14</v>
      </c>
      <c r="G932" s="3" t="s">
        <v>15</v>
      </c>
      <c r="H932" s="3" t="s">
        <v>321</v>
      </c>
      <c r="I932" s="4">
        <v>9975</v>
      </c>
      <c r="J932" s="4">
        <v>52500</v>
      </c>
      <c r="K932" s="3" t="s">
        <v>322</v>
      </c>
      <c r="L932" s="3" t="s">
        <v>26</v>
      </c>
    </row>
    <row r="933" spans="1:12" x14ac:dyDescent="0.5">
      <c r="A933" s="5">
        <v>45726</v>
      </c>
      <c r="B933" t="s">
        <v>96</v>
      </c>
      <c r="C933" t="s">
        <v>247</v>
      </c>
      <c r="D933" t="s">
        <v>248</v>
      </c>
      <c r="E933" s="6">
        <v>81584</v>
      </c>
      <c r="F933" t="s">
        <v>14</v>
      </c>
      <c r="G933" t="s">
        <v>15</v>
      </c>
      <c r="H933" t="s">
        <v>24</v>
      </c>
      <c r="I933" s="6">
        <v>13026</v>
      </c>
      <c r="J933" s="6">
        <v>68558</v>
      </c>
      <c r="K933" t="s">
        <v>25</v>
      </c>
      <c r="L933" t="s">
        <v>26</v>
      </c>
    </row>
    <row r="934" spans="1:12" x14ac:dyDescent="0.5">
      <c r="A934" s="2">
        <v>45726</v>
      </c>
      <c r="B934" s="3" t="s">
        <v>96</v>
      </c>
      <c r="C934" s="3" t="s">
        <v>378</v>
      </c>
      <c r="D934" s="3" t="s">
        <v>669</v>
      </c>
      <c r="E934" s="4">
        <v>25182</v>
      </c>
      <c r="F934" s="3" t="s">
        <v>41</v>
      </c>
      <c r="G934" s="3" t="s">
        <v>15</v>
      </c>
      <c r="H934" s="3" t="s">
        <v>20</v>
      </c>
      <c r="I934" s="4">
        <v>0</v>
      </c>
      <c r="J934" s="4">
        <v>25182</v>
      </c>
      <c r="K934" s="3" t="s">
        <v>21</v>
      </c>
      <c r="L934" s="3" t="s">
        <v>22</v>
      </c>
    </row>
    <row r="935" spans="1:12" x14ac:dyDescent="0.5">
      <c r="A935" s="5">
        <v>45727</v>
      </c>
      <c r="B935" t="s">
        <v>96</v>
      </c>
      <c r="C935" t="s">
        <v>275</v>
      </c>
      <c r="D935" t="s">
        <v>276</v>
      </c>
      <c r="E935" s="6">
        <v>6783</v>
      </c>
      <c r="F935" t="s">
        <v>14</v>
      </c>
      <c r="G935" t="s">
        <v>15</v>
      </c>
      <c r="H935" t="s">
        <v>20</v>
      </c>
      <c r="I935" s="6">
        <v>1083</v>
      </c>
      <c r="J935" s="6">
        <v>5700</v>
      </c>
      <c r="K935" t="s">
        <v>21</v>
      </c>
      <c r="L935" t="s">
        <v>22</v>
      </c>
    </row>
    <row r="936" spans="1:12" x14ac:dyDescent="0.5">
      <c r="A936" s="2">
        <v>45728</v>
      </c>
      <c r="B936" s="3" t="s">
        <v>90</v>
      </c>
      <c r="C936" s="3" t="s">
        <v>257</v>
      </c>
      <c r="D936" s="3" t="s">
        <v>258</v>
      </c>
      <c r="E936" s="4">
        <v>39000</v>
      </c>
      <c r="F936" s="3" t="s">
        <v>41</v>
      </c>
      <c r="G936" s="3" t="s">
        <v>15</v>
      </c>
      <c r="H936" s="3" t="s">
        <v>66</v>
      </c>
      <c r="I936" s="4">
        <v>0</v>
      </c>
      <c r="J936" s="4">
        <v>39000</v>
      </c>
      <c r="K936" s="3" t="s">
        <v>67</v>
      </c>
      <c r="L936" s="3" t="s">
        <v>68</v>
      </c>
    </row>
    <row r="937" spans="1:12" x14ac:dyDescent="0.5">
      <c r="A937" s="5">
        <v>45728</v>
      </c>
      <c r="B937" t="s">
        <v>96</v>
      </c>
      <c r="C937" t="s">
        <v>299</v>
      </c>
      <c r="D937" t="s">
        <v>300</v>
      </c>
      <c r="E937" s="6">
        <v>105000</v>
      </c>
      <c r="F937" t="s">
        <v>14</v>
      </c>
      <c r="G937" t="s">
        <v>15</v>
      </c>
      <c r="H937" t="s">
        <v>301</v>
      </c>
      <c r="I937" s="6">
        <v>16765</v>
      </c>
      <c r="J937" s="6">
        <v>88235</v>
      </c>
      <c r="K937" t="s">
        <v>302</v>
      </c>
      <c r="L937" t="s">
        <v>48</v>
      </c>
    </row>
    <row r="938" spans="1:12" x14ac:dyDescent="0.5">
      <c r="A938" s="2">
        <v>45728</v>
      </c>
      <c r="B938" s="3" t="s">
        <v>96</v>
      </c>
      <c r="C938" s="3" t="s">
        <v>289</v>
      </c>
      <c r="D938" s="3" t="s">
        <v>290</v>
      </c>
      <c r="E938" s="4">
        <v>834239</v>
      </c>
      <c r="F938" s="3" t="s">
        <v>14</v>
      </c>
      <c r="G938" s="3" t="s">
        <v>15</v>
      </c>
      <c r="H938" s="3" t="s">
        <v>16</v>
      </c>
      <c r="I938" s="4">
        <v>133198</v>
      </c>
      <c r="J938" s="4">
        <v>701041</v>
      </c>
      <c r="K938" s="3" t="s">
        <v>17</v>
      </c>
      <c r="L938" s="3" t="s">
        <v>18</v>
      </c>
    </row>
    <row r="939" spans="1:12" x14ac:dyDescent="0.5">
      <c r="A939" s="5">
        <v>45733</v>
      </c>
      <c r="B939" t="s">
        <v>96</v>
      </c>
      <c r="C939" t="s">
        <v>303</v>
      </c>
      <c r="D939" t="s">
        <v>304</v>
      </c>
      <c r="E939" s="6">
        <v>29009</v>
      </c>
      <c r="F939" t="s">
        <v>14</v>
      </c>
      <c r="G939" t="s">
        <v>15</v>
      </c>
      <c r="H939" t="s">
        <v>24</v>
      </c>
      <c r="I939" s="6">
        <v>4632</v>
      </c>
      <c r="J939" s="6">
        <v>24377</v>
      </c>
      <c r="K939" t="s">
        <v>25</v>
      </c>
      <c r="L939" t="s">
        <v>26</v>
      </c>
    </row>
    <row r="940" spans="1:12" x14ac:dyDescent="0.5">
      <c r="A940" s="2">
        <v>45733</v>
      </c>
      <c r="B940" s="3" t="s">
        <v>96</v>
      </c>
      <c r="C940" s="3" t="s">
        <v>263</v>
      </c>
      <c r="D940" s="3" t="s">
        <v>264</v>
      </c>
      <c r="E940" s="4">
        <v>198047</v>
      </c>
      <c r="F940" s="3" t="s">
        <v>14</v>
      </c>
      <c r="G940" s="3" t="s">
        <v>15</v>
      </c>
      <c r="H940" s="3" t="s">
        <v>24</v>
      </c>
      <c r="I940" s="4">
        <v>31621</v>
      </c>
      <c r="J940" s="4">
        <v>166426</v>
      </c>
      <c r="K940" s="3" t="s">
        <v>25</v>
      </c>
      <c r="L940" s="3" t="s">
        <v>26</v>
      </c>
    </row>
    <row r="941" spans="1:12" x14ac:dyDescent="0.5">
      <c r="A941" s="5">
        <v>45733</v>
      </c>
      <c r="B941" t="s">
        <v>90</v>
      </c>
      <c r="C941" t="s">
        <v>257</v>
      </c>
      <c r="D941" t="s">
        <v>258</v>
      </c>
      <c r="E941" s="6">
        <v>56950</v>
      </c>
      <c r="F941" t="s">
        <v>41</v>
      </c>
      <c r="G941" t="s">
        <v>15</v>
      </c>
      <c r="H941" t="s">
        <v>66</v>
      </c>
      <c r="I941" s="6">
        <v>0</v>
      </c>
      <c r="J941" s="6">
        <v>56950</v>
      </c>
      <c r="K941" t="s">
        <v>67</v>
      </c>
      <c r="L941" t="s">
        <v>68</v>
      </c>
    </row>
    <row r="942" spans="1:12" x14ac:dyDescent="0.5">
      <c r="A942" s="2">
        <v>45734</v>
      </c>
      <c r="B942" s="3" t="s">
        <v>96</v>
      </c>
      <c r="C942" s="3" t="s">
        <v>385</v>
      </c>
      <c r="D942" s="3" t="s">
        <v>642</v>
      </c>
      <c r="E942" s="4">
        <v>51197</v>
      </c>
      <c r="F942" s="3" t="s">
        <v>14</v>
      </c>
      <c r="G942" s="3" t="s">
        <v>15</v>
      </c>
      <c r="H942" s="3" t="s">
        <v>293</v>
      </c>
      <c r="I942" s="4">
        <v>8174</v>
      </c>
      <c r="J942" s="4">
        <v>43023</v>
      </c>
      <c r="K942" s="3" t="s">
        <v>294</v>
      </c>
      <c r="L942" s="3" t="s">
        <v>26</v>
      </c>
    </row>
    <row r="943" spans="1:12" x14ac:dyDescent="0.5">
      <c r="A943" s="5">
        <v>45734</v>
      </c>
      <c r="B943" t="s">
        <v>96</v>
      </c>
      <c r="C943" t="s">
        <v>295</v>
      </c>
      <c r="D943" t="s">
        <v>296</v>
      </c>
      <c r="E943" s="6">
        <v>71818</v>
      </c>
      <c r="F943" t="s">
        <v>14</v>
      </c>
      <c r="G943" t="s">
        <v>15</v>
      </c>
      <c r="H943" t="s">
        <v>293</v>
      </c>
      <c r="I943" s="6">
        <v>11467</v>
      </c>
      <c r="J943" s="6">
        <v>60351</v>
      </c>
      <c r="K943" t="s">
        <v>294</v>
      </c>
      <c r="L943" t="s">
        <v>26</v>
      </c>
    </row>
    <row r="944" spans="1:12" x14ac:dyDescent="0.5">
      <c r="A944" s="2">
        <v>45734</v>
      </c>
      <c r="B944" s="3" t="s">
        <v>96</v>
      </c>
      <c r="C944" s="3" t="s">
        <v>261</v>
      </c>
      <c r="D944" s="3" t="s">
        <v>262</v>
      </c>
      <c r="E944" s="4">
        <v>72000</v>
      </c>
      <c r="F944" s="3" t="s">
        <v>14</v>
      </c>
      <c r="G944" s="3" t="s">
        <v>15</v>
      </c>
      <c r="H944" s="3" t="s">
        <v>24</v>
      </c>
      <c r="I944" s="4">
        <v>11496</v>
      </c>
      <c r="J944" s="4">
        <v>60504</v>
      </c>
      <c r="K944" s="3" t="s">
        <v>25</v>
      </c>
      <c r="L944" s="3" t="s">
        <v>26</v>
      </c>
    </row>
    <row r="945" spans="1:12" x14ac:dyDescent="0.5">
      <c r="A945" s="5">
        <v>45734</v>
      </c>
      <c r="B945" t="s">
        <v>96</v>
      </c>
      <c r="C945" t="s">
        <v>399</v>
      </c>
      <c r="D945" t="s">
        <v>662</v>
      </c>
      <c r="E945" s="6">
        <v>72709</v>
      </c>
      <c r="F945" t="s">
        <v>14</v>
      </c>
      <c r="G945" t="s">
        <v>15</v>
      </c>
      <c r="H945" t="s">
        <v>321</v>
      </c>
      <c r="I945" s="6">
        <v>11609</v>
      </c>
      <c r="J945" s="6">
        <v>61100</v>
      </c>
      <c r="K945" t="s">
        <v>322</v>
      </c>
      <c r="L945" t="s">
        <v>26</v>
      </c>
    </row>
    <row r="946" spans="1:12" x14ac:dyDescent="0.5">
      <c r="A946" s="2">
        <v>45734</v>
      </c>
      <c r="B946" s="3" t="s">
        <v>96</v>
      </c>
      <c r="C946" s="3" t="s">
        <v>261</v>
      </c>
      <c r="D946" s="3" t="s">
        <v>262</v>
      </c>
      <c r="E946" s="4">
        <v>108000</v>
      </c>
      <c r="F946" s="3" t="s">
        <v>14</v>
      </c>
      <c r="G946" s="3" t="s">
        <v>15</v>
      </c>
      <c r="H946" s="3" t="s">
        <v>24</v>
      </c>
      <c r="I946" s="4">
        <v>17244</v>
      </c>
      <c r="J946" s="4">
        <v>90756</v>
      </c>
      <c r="K946" s="3" t="s">
        <v>25</v>
      </c>
      <c r="L946" s="3" t="s">
        <v>26</v>
      </c>
    </row>
    <row r="947" spans="1:12" x14ac:dyDescent="0.5">
      <c r="A947" s="5">
        <v>45734</v>
      </c>
      <c r="B947" t="s">
        <v>90</v>
      </c>
      <c r="C947" t="s">
        <v>257</v>
      </c>
      <c r="D947" t="s">
        <v>258</v>
      </c>
      <c r="E947" s="6">
        <v>2260</v>
      </c>
      <c r="F947" t="s">
        <v>41</v>
      </c>
      <c r="G947" t="s">
        <v>15</v>
      </c>
      <c r="H947" t="s">
        <v>66</v>
      </c>
      <c r="I947" s="6">
        <v>0</v>
      </c>
      <c r="J947" s="6">
        <v>2260</v>
      </c>
      <c r="K947" t="s">
        <v>67</v>
      </c>
      <c r="L947" t="s">
        <v>68</v>
      </c>
    </row>
    <row r="948" spans="1:12" x14ac:dyDescent="0.5">
      <c r="A948" s="2">
        <v>45734</v>
      </c>
      <c r="B948" s="3" t="s">
        <v>90</v>
      </c>
      <c r="C948" s="3" t="s">
        <v>257</v>
      </c>
      <c r="D948" s="3" t="s">
        <v>258</v>
      </c>
      <c r="E948" s="4">
        <v>12010</v>
      </c>
      <c r="F948" s="3" t="s">
        <v>41</v>
      </c>
      <c r="G948" s="3" t="s">
        <v>15</v>
      </c>
      <c r="H948" s="3" t="s">
        <v>66</v>
      </c>
      <c r="I948" s="4">
        <v>0</v>
      </c>
      <c r="J948" s="4">
        <v>12010</v>
      </c>
      <c r="K948" s="3" t="s">
        <v>67</v>
      </c>
      <c r="L948" s="3" t="s">
        <v>68</v>
      </c>
    </row>
    <row r="949" spans="1:12" x14ac:dyDescent="0.5">
      <c r="A949" s="5">
        <v>45734</v>
      </c>
      <c r="B949" t="s">
        <v>90</v>
      </c>
      <c r="C949" t="s">
        <v>257</v>
      </c>
      <c r="D949" t="s">
        <v>258</v>
      </c>
      <c r="E949" s="6">
        <v>45000</v>
      </c>
      <c r="F949" t="s">
        <v>41</v>
      </c>
      <c r="G949" t="s">
        <v>15</v>
      </c>
      <c r="H949" t="s">
        <v>66</v>
      </c>
      <c r="I949" s="6">
        <v>0</v>
      </c>
      <c r="J949" s="6">
        <v>45000</v>
      </c>
      <c r="K949" t="s">
        <v>67</v>
      </c>
      <c r="L949" t="s">
        <v>68</v>
      </c>
    </row>
    <row r="950" spans="1:12" x14ac:dyDescent="0.5">
      <c r="A950" s="2">
        <v>45734</v>
      </c>
      <c r="B950" s="3" t="s">
        <v>90</v>
      </c>
      <c r="C950" s="3" t="s">
        <v>251</v>
      </c>
      <c r="D950" s="3" t="s">
        <v>252</v>
      </c>
      <c r="E950" s="4">
        <v>200000</v>
      </c>
      <c r="F950" s="3" t="s">
        <v>41</v>
      </c>
      <c r="G950" s="3" t="s">
        <v>15</v>
      </c>
      <c r="H950" s="3" t="s">
        <v>66</v>
      </c>
      <c r="I950" s="4">
        <v>0</v>
      </c>
      <c r="J950" s="4">
        <v>200000</v>
      </c>
      <c r="K950" s="3" t="s">
        <v>67</v>
      </c>
      <c r="L950" s="3" t="s">
        <v>68</v>
      </c>
    </row>
    <row r="951" spans="1:12" x14ac:dyDescent="0.5">
      <c r="A951" s="5">
        <v>45736</v>
      </c>
      <c r="B951" t="s">
        <v>96</v>
      </c>
      <c r="C951" t="s">
        <v>399</v>
      </c>
      <c r="D951" t="s">
        <v>662</v>
      </c>
      <c r="E951" s="6">
        <v>12853</v>
      </c>
      <c r="F951" t="s">
        <v>14</v>
      </c>
      <c r="G951" t="s">
        <v>15</v>
      </c>
      <c r="H951" t="s">
        <v>321</v>
      </c>
      <c r="I951" s="6">
        <v>2052</v>
      </c>
      <c r="J951" s="6">
        <v>10801</v>
      </c>
      <c r="K951" t="s">
        <v>322</v>
      </c>
      <c r="L951" t="s">
        <v>26</v>
      </c>
    </row>
    <row r="952" spans="1:12" x14ac:dyDescent="0.5">
      <c r="A952" s="2">
        <v>45736</v>
      </c>
      <c r="B952" s="3" t="s">
        <v>96</v>
      </c>
      <c r="C952" s="3" t="s">
        <v>416</v>
      </c>
      <c r="D952" s="3" t="s">
        <v>646</v>
      </c>
      <c r="E952" s="4">
        <v>714000</v>
      </c>
      <c r="F952" s="3" t="s">
        <v>14</v>
      </c>
      <c r="G952" s="3" t="s">
        <v>15</v>
      </c>
      <c r="H952" s="3" t="s">
        <v>547</v>
      </c>
      <c r="I952" s="4">
        <v>114000</v>
      </c>
      <c r="J952" s="4">
        <v>600000</v>
      </c>
      <c r="K952" s="3" t="s">
        <v>530</v>
      </c>
      <c r="L952" s="3" t="s">
        <v>35</v>
      </c>
    </row>
    <row r="953" spans="1:12" x14ac:dyDescent="0.5">
      <c r="A953" s="5">
        <v>45737</v>
      </c>
      <c r="B953" t="s">
        <v>96</v>
      </c>
      <c r="C953" t="s">
        <v>261</v>
      </c>
      <c r="D953" t="s">
        <v>262</v>
      </c>
      <c r="E953" s="6">
        <v>37800</v>
      </c>
      <c r="F953" t="s">
        <v>14</v>
      </c>
      <c r="G953" t="s">
        <v>15</v>
      </c>
      <c r="H953" t="s">
        <v>24</v>
      </c>
      <c r="I953" s="6">
        <v>6035</v>
      </c>
      <c r="J953" s="6">
        <v>31765</v>
      </c>
      <c r="K953" t="s">
        <v>25</v>
      </c>
      <c r="L953" t="s">
        <v>26</v>
      </c>
    </row>
    <row r="954" spans="1:12" x14ac:dyDescent="0.5">
      <c r="A954" s="2">
        <v>45737</v>
      </c>
      <c r="B954" s="3" t="s">
        <v>96</v>
      </c>
      <c r="C954" s="3" t="s">
        <v>261</v>
      </c>
      <c r="D954" s="3" t="s">
        <v>262</v>
      </c>
      <c r="E954" s="4">
        <v>37800</v>
      </c>
      <c r="F954" s="3" t="s">
        <v>14</v>
      </c>
      <c r="G954" s="3" t="s">
        <v>15</v>
      </c>
      <c r="H954" s="3" t="s">
        <v>24</v>
      </c>
      <c r="I954" s="4">
        <v>6035</v>
      </c>
      <c r="J954" s="4">
        <v>31765</v>
      </c>
      <c r="K954" s="3" t="s">
        <v>25</v>
      </c>
      <c r="L954" s="3" t="s">
        <v>26</v>
      </c>
    </row>
    <row r="955" spans="1:12" x14ac:dyDescent="0.5">
      <c r="A955" s="5">
        <v>45737</v>
      </c>
      <c r="B955" t="s">
        <v>96</v>
      </c>
      <c r="C955" t="s">
        <v>261</v>
      </c>
      <c r="D955" t="s">
        <v>262</v>
      </c>
      <c r="E955" s="6">
        <v>37800</v>
      </c>
      <c r="F955" t="s">
        <v>14</v>
      </c>
      <c r="G955" t="s">
        <v>15</v>
      </c>
      <c r="H955" t="s">
        <v>24</v>
      </c>
      <c r="I955" s="6">
        <v>6035</v>
      </c>
      <c r="J955" s="6">
        <v>31765</v>
      </c>
      <c r="K955" t="s">
        <v>25</v>
      </c>
      <c r="L955" t="s">
        <v>26</v>
      </c>
    </row>
    <row r="956" spans="1:12" x14ac:dyDescent="0.5">
      <c r="A956" s="2">
        <v>45737</v>
      </c>
      <c r="B956" s="3" t="s">
        <v>96</v>
      </c>
      <c r="C956" s="3" t="s">
        <v>279</v>
      </c>
      <c r="D956" s="3" t="s">
        <v>280</v>
      </c>
      <c r="E956" s="4">
        <v>103350</v>
      </c>
      <c r="F956" s="3" t="s">
        <v>14</v>
      </c>
      <c r="G956" s="3" t="s">
        <v>15</v>
      </c>
      <c r="H956" s="3" t="s">
        <v>24</v>
      </c>
      <c r="I956" s="4">
        <v>16501</v>
      </c>
      <c r="J956" s="4">
        <v>86849</v>
      </c>
      <c r="K956" s="3" t="s">
        <v>25</v>
      </c>
      <c r="L956" s="3" t="s">
        <v>26</v>
      </c>
    </row>
    <row r="957" spans="1:12" x14ac:dyDescent="0.5">
      <c r="A957" s="5">
        <v>45737</v>
      </c>
      <c r="B957" t="s">
        <v>90</v>
      </c>
      <c r="C957" t="s">
        <v>249</v>
      </c>
      <c r="D957" t="s">
        <v>250</v>
      </c>
      <c r="E957" s="6">
        <v>34580</v>
      </c>
      <c r="F957" t="s">
        <v>41</v>
      </c>
      <c r="G957" t="s">
        <v>15</v>
      </c>
      <c r="H957" t="s">
        <v>66</v>
      </c>
      <c r="I957" s="6">
        <v>0</v>
      </c>
      <c r="J957" s="6">
        <v>34580</v>
      </c>
      <c r="K957" t="s">
        <v>67</v>
      </c>
      <c r="L957" t="s">
        <v>68</v>
      </c>
    </row>
    <row r="958" spans="1:12" x14ac:dyDescent="0.5">
      <c r="A958" s="2">
        <v>45737</v>
      </c>
      <c r="B958" s="3" t="s">
        <v>96</v>
      </c>
      <c r="C958" s="3" t="s">
        <v>378</v>
      </c>
      <c r="D958" s="3" t="s">
        <v>669</v>
      </c>
      <c r="E958" s="4">
        <v>77298</v>
      </c>
      <c r="F958" s="3" t="s">
        <v>41</v>
      </c>
      <c r="G958" s="3" t="s">
        <v>15</v>
      </c>
      <c r="H958" s="3" t="s">
        <v>20</v>
      </c>
      <c r="I958" s="4">
        <v>0</v>
      </c>
      <c r="J958" s="4">
        <v>77298</v>
      </c>
      <c r="K958" s="3" t="s">
        <v>21</v>
      </c>
      <c r="L958" s="3" t="s">
        <v>22</v>
      </c>
    </row>
    <row r="959" spans="1:12" x14ac:dyDescent="0.5">
      <c r="A959" s="5">
        <v>45740</v>
      </c>
      <c r="B959" t="s">
        <v>96</v>
      </c>
      <c r="C959" t="s">
        <v>406</v>
      </c>
      <c r="D959" t="s">
        <v>644</v>
      </c>
      <c r="E959" s="6">
        <v>83966</v>
      </c>
      <c r="F959" t="s">
        <v>14</v>
      </c>
      <c r="G959" t="s">
        <v>15</v>
      </c>
      <c r="H959" t="s">
        <v>517</v>
      </c>
      <c r="I959" s="6">
        <v>13406</v>
      </c>
      <c r="J959" s="6">
        <v>70560</v>
      </c>
      <c r="K959" t="s">
        <v>516</v>
      </c>
      <c r="L959" t="s">
        <v>68</v>
      </c>
    </row>
    <row r="960" spans="1:12" x14ac:dyDescent="0.5">
      <c r="A960" s="2">
        <v>45740</v>
      </c>
      <c r="B960" s="3" t="s">
        <v>96</v>
      </c>
      <c r="C960" s="3" t="s">
        <v>269</v>
      </c>
      <c r="D960" s="3" t="s">
        <v>270</v>
      </c>
      <c r="E960" s="4">
        <v>743896</v>
      </c>
      <c r="F960" s="3" t="s">
        <v>41</v>
      </c>
      <c r="G960" s="3" t="s">
        <v>15</v>
      </c>
      <c r="H960" s="3" t="s">
        <v>46</v>
      </c>
      <c r="I960" s="4">
        <v>0</v>
      </c>
      <c r="J960" s="4">
        <v>743896</v>
      </c>
      <c r="K960" s="3" t="s">
        <v>47</v>
      </c>
      <c r="L960" s="3" t="s">
        <v>48</v>
      </c>
    </row>
    <row r="961" spans="1:12" x14ac:dyDescent="0.5">
      <c r="A961" s="5">
        <v>45741</v>
      </c>
      <c r="B961" t="s">
        <v>90</v>
      </c>
      <c r="C961" t="s">
        <v>418</v>
      </c>
      <c r="D961" t="s">
        <v>668</v>
      </c>
      <c r="E961" s="6">
        <v>61500</v>
      </c>
      <c r="F961" t="s">
        <v>41</v>
      </c>
      <c r="G961" t="s">
        <v>15</v>
      </c>
      <c r="H961" t="s">
        <v>66</v>
      </c>
      <c r="I961" s="6">
        <v>0</v>
      </c>
      <c r="J961" s="6">
        <v>61500</v>
      </c>
      <c r="K961" t="s">
        <v>67</v>
      </c>
      <c r="L961" t="s">
        <v>68</v>
      </c>
    </row>
    <row r="962" spans="1:12" x14ac:dyDescent="0.5">
      <c r="A962" s="2">
        <v>45742</v>
      </c>
      <c r="B962" s="3" t="s">
        <v>96</v>
      </c>
      <c r="C962" s="3" t="s">
        <v>261</v>
      </c>
      <c r="D962" s="3" t="s">
        <v>262</v>
      </c>
      <c r="E962" s="4">
        <v>37801</v>
      </c>
      <c r="F962" s="3" t="s">
        <v>14</v>
      </c>
      <c r="G962" s="3" t="s">
        <v>15</v>
      </c>
      <c r="H962" s="3" t="s">
        <v>24</v>
      </c>
      <c r="I962" s="4">
        <v>6035</v>
      </c>
      <c r="J962" s="4">
        <v>31766</v>
      </c>
      <c r="K962" s="3" t="s">
        <v>25</v>
      </c>
      <c r="L962" s="3" t="s">
        <v>26</v>
      </c>
    </row>
    <row r="963" spans="1:12" x14ac:dyDescent="0.5">
      <c r="A963" s="5">
        <v>45742</v>
      </c>
      <c r="B963" t="s">
        <v>96</v>
      </c>
      <c r="C963" t="s">
        <v>261</v>
      </c>
      <c r="D963" t="s">
        <v>262</v>
      </c>
      <c r="E963" s="6">
        <v>37801</v>
      </c>
      <c r="F963" t="s">
        <v>14</v>
      </c>
      <c r="G963" t="s">
        <v>15</v>
      </c>
      <c r="H963" t="s">
        <v>24</v>
      </c>
      <c r="I963" s="6">
        <v>6035</v>
      </c>
      <c r="J963" s="6">
        <v>31766</v>
      </c>
      <c r="K963" t="s">
        <v>25</v>
      </c>
      <c r="L963" t="s">
        <v>26</v>
      </c>
    </row>
    <row r="964" spans="1:12" x14ac:dyDescent="0.5">
      <c r="A964" s="2">
        <v>45742</v>
      </c>
      <c r="B964" s="3" t="s">
        <v>96</v>
      </c>
      <c r="C964" s="3" t="s">
        <v>261</v>
      </c>
      <c r="D964" s="3" t="s">
        <v>262</v>
      </c>
      <c r="E964" s="4">
        <v>113401</v>
      </c>
      <c r="F964" s="3" t="s">
        <v>14</v>
      </c>
      <c r="G964" s="3" t="s">
        <v>15</v>
      </c>
      <c r="H964" s="3" t="s">
        <v>24</v>
      </c>
      <c r="I964" s="4">
        <v>18106</v>
      </c>
      <c r="J964" s="4">
        <v>95295</v>
      </c>
      <c r="K964" s="3" t="s">
        <v>25</v>
      </c>
      <c r="L964" s="3" t="s">
        <v>26</v>
      </c>
    </row>
    <row r="965" spans="1:12" x14ac:dyDescent="0.5">
      <c r="A965" s="5">
        <v>45742</v>
      </c>
      <c r="B965" t="s">
        <v>96</v>
      </c>
      <c r="C965" t="s">
        <v>247</v>
      </c>
      <c r="D965" t="s">
        <v>248</v>
      </c>
      <c r="E965" s="6">
        <v>401314</v>
      </c>
      <c r="F965" t="s">
        <v>14</v>
      </c>
      <c r="G965" t="s">
        <v>15</v>
      </c>
      <c r="H965" t="s">
        <v>24</v>
      </c>
      <c r="I965" s="6">
        <v>64075</v>
      </c>
      <c r="J965" s="6">
        <v>337239</v>
      </c>
      <c r="K965" t="s">
        <v>25</v>
      </c>
      <c r="L965" t="s">
        <v>26</v>
      </c>
    </row>
    <row r="966" spans="1:12" x14ac:dyDescent="0.5">
      <c r="A966" s="2">
        <v>45742</v>
      </c>
      <c r="B966" s="3" t="s">
        <v>96</v>
      </c>
      <c r="C966" s="3" t="s">
        <v>420</v>
      </c>
      <c r="D966" s="3" t="s">
        <v>647</v>
      </c>
      <c r="E966" s="4">
        <v>29750</v>
      </c>
      <c r="F966" s="3" t="s">
        <v>14</v>
      </c>
      <c r="G966" s="3" t="s">
        <v>15</v>
      </c>
      <c r="H966" s="3" t="s">
        <v>230</v>
      </c>
      <c r="I966" s="4">
        <v>4750</v>
      </c>
      <c r="J966" s="4">
        <v>25000</v>
      </c>
      <c r="K966" s="3" t="s">
        <v>231</v>
      </c>
      <c r="L966" s="3" t="s">
        <v>48</v>
      </c>
    </row>
    <row r="967" spans="1:12" x14ac:dyDescent="0.5">
      <c r="A967" s="5">
        <v>45744</v>
      </c>
      <c r="B967" t="s">
        <v>96</v>
      </c>
      <c r="C967" t="s">
        <v>380</v>
      </c>
      <c r="D967" t="s">
        <v>641</v>
      </c>
      <c r="E967" s="6">
        <v>95200</v>
      </c>
      <c r="F967" t="s">
        <v>14</v>
      </c>
      <c r="G967" t="s">
        <v>15</v>
      </c>
      <c r="H967" t="s">
        <v>46</v>
      </c>
      <c r="I967" s="6">
        <v>15200</v>
      </c>
      <c r="J967" s="6">
        <v>80000</v>
      </c>
      <c r="K967" t="s">
        <v>47</v>
      </c>
      <c r="L967" t="s">
        <v>48</v>
      </c>
    </row>
    <row r="968" spans="1:12" x14ac:dyDescent="0.5">
      <c r="A968" s="2">
        <v>45748</v>
      </c>
      <c r="B968" s="3" t="s">
        <v>115</v>
      </c>
      <c r="C968" s="3" t="s">
        <v>385</v>
      </c>
      <c r="D968" s="3" t="s">
        <v>642</v>
      </c>
      <c r="E968" s="4">
        <v>102393</v>
      </c>
      <c r="F968" s="3" t="s">
        <v>14</v>
      </c>
      <c r="G968" s="3" t="s">
        <v>15</v>
      </c>
      <c r="H968" s="3" t="s">
        <v>293</v>
      </c>
      <c r="I968" s="4">
        <v>16348</v>
      </c>
      <c r="J968" s="4">
        <v>86045</v>
      </c>
      <c r="K968" s="3" t="s">
        <v>294</v>
      </c>
      <c r="L968" s="3" t="s">
        <v>26</v>
      </c>
    </row>
    <row r="969" spans="1:12" x14ac:dyDescent="0.5">
      <c r="A969" s="5">
        <v>45748</v>
      </c>
      <c r="B969" t="s">
        <v>115</v>
      </c>
      <c r="C969" t="s">
        <v>279</v>
      </c>
      <c r="D969" t="s">
        <v>280</v>
      </c>
      <c r="E969" s="6">
        <v>103350</v>
      </c>
      <c r="F969" t="s">
        <v>14</v>
      </c>
      <c r="G969" t="s">
        <v>15</v>
      </c>
      <c r="H969" t="s">
        <v>24</v>
      </c>
      <c r="I969" s="6">
        <v>16501</v>
      </c>
      <c r="J969" s="6">
        <v>86849</v>
      </c>
      <c r="K969" t="s">
        <v>25</v>
      </c>
      <c r="L969" t="s">
        <v>26</v>
      </c>
    </row>
    <row r="970" spans="1:12" x14ac:dyDescent="0.5">
      <c r="A970" s="2">
        <v>45748</v>
      </c>
      <c r="B970" s="3" t="s">
        <v>96</v>
      </c>
      <c r="C970" s="3" t="s">
        <v>281</v>
      </c>
      <c r="D970" s="3" t="s">
        <v>282</v>
      </c>
      <c r="E970" s="4">
        <v>9179</v>
      </c>
      <c r="F970" s="3" t="s">
        <v>41</v>
      </c>
      <c r="G970" s="3" t="s">
        <v>15</v>
      </c>
      <c r="H970" s="3" t="s">
        <v>66</v>
      </c>
      <c r="I970" s="4">
        <v>0</v>
      </c>
      <c r="J970" s="4">
        <v>9179</v>
      </c>
      <c r="K970" s="3" t="s">
        <v>67</v>
      </c>
      <c r="L970" s="3" t="s">
        <v>68</v>
      </c>
    </row>
    <row r="971" spans="1:12" x14ac:dyDescent="0.5">
      <c r="A971" s="5">
        <v>45748</v>
      </c>
      <c r="B971" t="s">
        <v>96</v>
      </c>
      <c r="C971" t="s">
        <v>389</v>
      </c>
      <c r="D971" t="s">
        <v>668</v>
      </c>
      <c r="E971" s="6">
        <v>15460</v>
      </c>
      <c r="F971" t="s">
        <v>41</v>
      </c>
      <c r="G971" t="s">
        <v>15</v>
      </c>
      <c r="H971" t="s">
        <v>66</v>
      </c>
      <c r="I971" s="6">
        <v>0</v>
      </c>
      <c r="J971" s="6">
        <v>15460</v>
      </c>
      <c r="K971" t="s">
        <v>67</v>
      </c>
      <c r="L971" t="s">
        <v>68</v>
      </c>
    </row>
    <row r="972" spans="1:12" x14ac:dyDescent="0.5">
      <c r="A972" s="2">
        <v>45748</v>
      </c>
      <c r="B972" s="3" t="s">
        <v>96</v>
      </c>
      <c r="C972" s="3" t="s">
        <v>395</v>
      </c>
      <c r="D972" s="3" t="s">
        <v>668</v>
      </c>
      <c r="E972" s="4">
        <v>30000</v>
      </c>
      <c r="F972" s="3" t="s">
        <v>41</v>
      </c>
      <c r="G972" s="3" t="s">
        <v>15</v>
      </c>
      <c r="H972" s="3" t="s">
        <v>66</v>
      </c>
      <c r="I972" s="4">
        <v>0</v>
      </c>
      <c r="J972" s="4">
        <v>30000</v>
      </c>
      <c r="K972" s="3" t="s">
        <v>67</v>
      </c>
      <c r="L972" s="3" t="s">
        <v>68</v>
      </c>
    </row>
    <row r="973" spans="1:12" x14ac:dyDescent="0.5">
      <c r="A973" s="5">
        <v>45748</v>
      </c>
      <c r="B973" t="s">
        <v>96</v>
      </c>
      <c r="C973" t="s">
        <v>395</v>
      </c>
      <c r="D973" t="s">
        <v>668</v>
      </c>
      <c r="E973" s="6">
        <v>48551</v>
      </c>
      <c r="F973" t="s">
        <v>41</v>
      </c>
      <c r="G973" t="s">
        <v>15</v>
      </c>
      <c r="H973" t="s">
        <v>66</v>
      </c>
      <c r="I973" s="6">
        <v>0</v>
      </c>
      <c r="J973" s="6">
        <v>48551</v>
      </c>
      <c r="K973" t="s">
        <v>67</v>
      </c>
      <c r="L973" t="s">
        <v>68</v>
      </c>
    </row>
    <row r="974" spans="1:12" x14ac:dyDescent="0.5">
      <c r="A974" s="2">
        <v>45748</v>
      </c>
      <c r="B974" s="3" t="s">
        <v>96</v>
      </c>
      <c r="C974" s="3" t="s">
        <v>251</v>
      </c>
      <c r="D974" s="3" t="s">
        <v>252</v>
      </c>
      <c r="E974" s="4">
        <v>60000</v>
      </c>
      <c r="F974" s="3" t="s">
        <v>41</v>
      </c>
      <c r="G974" s="3" t="s">
        <v>15</v>
      </c>
      <c r="H974" s="3" t="s">
        <v>66</v>
      </c>
      <c r="I974" s="4">
        <v>0</v>
      </c>
      <c r="J974" s="4">
        <v>60000</v>
      </c>
      <c r="K974" s="3" t="s">
        <v>67</v>
      </c>
      <c r="L974" s="3" t="s">
        <v>68</v>
      </c>
    </row>
    <row r="975" spans="1:12" x14ac:dyDescent="0.5">
      <c r="A975" s="5">
        <v>45748</v>
      </c>
      <c r="B975" t="s">
        <v>96</v>
      </c>
      <c r="C975" t="s">
        <v>424</v>
      </c>
      <c r="D975" t="s">
        <v>668</v>
      </c>
      <c r="E975" s="6">
        <v>60000</v>
      </c>
      <c r="F975" t="s">
        <v>41</v>
      </c>
      <c r="G975" t="s">
        <v>15</v>
      </c>
      <c r="H975" t="s">
        <v>66</v>
      </c>
      <c r="I975" s="6">
        <v>0</v>
      </c>
      <c r="J975" s="6">
        <v>60000</v>
      </c>
      <c r="K975" t="s">
        <v>67</v>
      </c>
      <c r="L975" t="s">
        <v>68</v>
      </c>
    </row>
    <row r="976" spans="1:12" x14ac:dyDescent="0.5">
      <c r="A976" s="2">
        <v>45748</v>
      </c>
      <c r="B976" s="3" t="s">
        <v>96</v>
      </c>
      <c r="C976" s="3" t="s">
        <v>389</v>
      </c>
      <c r="D976" s="3" t="s">
        <v>668</v>
      </c>
      <c r="E976" s="4">
        <v>150000</v>
      </c>
      <c r="F976" s="3" t="s">
        <v>41</v>
      </c>
      <c r="G976" s="3" t="s">
        <v>15</v>
      </c>
      <c r="H976" s="3" t="s">
        <v>66</v>
      </c>
      <c r="I976" s="4">
        <v>0</v>
      </c>
      <c r="J976" s="4">
        <v>150000</v>
      </c>
      <c r="K976" s="3" t="s">
        <v>67</v>
      </c>
      <c r="L976" s="3" t="s">
        <v>68</v>
      </c>
    </row>
    <row r="977" spans="1:12" x14ac:dyDescent="0.5">
      <c r="A977" s="5">
        <v>45748</v>
      </c>
      <c r="B977" t="s">
        <v>96</v>
      </c>
      <c r="C977" t="s">
        <v>251</v>
      </c>
      <c r="D977" t="s">
        <v>252</v>
      </c>
      <c r="E977" s="6">
        <v>400092</v>
      </c>
      <c r="F977" t="s">
        <v>41</v>
      </c>
      <c r="G977" t="s">
        <v>15</v>
      </c>
      <c r="H977" t="s">
        <v>66</v>
      </c>
      <c r="I977" s="6">
        <v>0</v>
      </c>
      <c r="J977" s="6">
        <v>400092</v>
      </c>
      <c r="K977" t="s">
        <v>67</v>
      </c>
      <c r="L977" t="s">
        <v>68</v>
      </c>
    </row>
    <row r="978" spans="1:12" x14ac:dyDescent="0.5">
      <c r="A978" s="2">
        <v>45748</v>
      </c>
      <c r="B978" s="3" t="s">
        <v>115</v>
      </c>
      <c r="C978" s="3" t="s">
        <v>253</v>
      </c>
      <c r="D978" s="3" t="s">
        <v>254</v>
      </c>
      <c r="E978" s="4">
        <v>700000</v>
      </c>
      <c r="F978" s="3" t="s">
        <v>41</v>
      </c>
      <c r="G978" s="3" t="s">
        <v>15</v>
      </c>
      <c r="H978" s="3" t="s">
        <v>255</v>
      </c>
      <c r="I978" s="4">
        <v>0</v>
      </c>
      <c r="J978" s="4">
        <v>700000</v>
      </c>
      <c r="K978" s="3" t="s">
        <v>256</v>
      </c>
      <c r="L978" s="3" t="s">
        <v>68</v>
      </c>
    </row>
    <row r="979" spans="1:12" x14ac:dyDescent="0.5">
      <c r="A979" s="5">
        <v>45748</v>
      </c>
      <c r="B979" t="s">
        <v>96</v>
      </c>
      <c r="C979" t="s">
        <v>281</v>
      </c>
      <c r="D979" t="s">
        <v>282</v>
      </c>
      <c r="E979" s="6">
        <v>776997</v>
      </c>
      <c r="F979" t="s">
        <v>41</v>
      </c>
      <c r="G979" t="s">
        <v>15</v>
      </c>
      <c r="H979" t="s">
        <v>66</v>
      </c>
      <c r="I979" s="6">
        <v>0</v>
      </c>
      <c r="J979" s="6">
        <v>776997</v>
      </c>
      <c r="K979" t="s">
        <v>67</v>
      </c>
      <c r="L979" t="s">
        <v>68</v>
      </c>
    </row>
    <row r="980" spans="1:12" x14ac:dyDescent="0.5">
      <c r="A980" s="2">
        <v>45748</v>
      </c>
      <c r="B980" s="3" t="s">
        <v>96</v>
      </c>
      <c r="C980" s="3" t="s">
        <v>249</v>
      </c>
      <c r="D980" s="3" t="s">
        <v>250</v>
      </c>
      <c r="E980" s="4">
        <v>1128830</v>
      </c>
      <c r="F980" s="3" t="s">
        <v>41</v>
      </c>
      <c r="G980" s="3" t="s">
        <v>15</v>
      </c>
      <c r="H980" s="3" t="s">
        <v>66</v>
      </c>
      <c r="I980" s="4">
        <v>0</v>
      </c>
      <c r="J980" s="4">
        <v>1128830</v>
      </c>
      <c r="K980" s="3" t="s">
        <v>67</v>
      </c>
      <c r="L980" s="3" t="s">
        <v>68</v>
      </c>
    </row>
    <row r="981" spans="1:12" x14ac:dyDescent="0.5">
      <c r="A981" s="5">
        <v>45749</v>
      </c>
      <c r="B981" t="s">
        <v>115</v>
      </c>
      <c r="C981" t="s">
        <v>285</v>
      </c>
      <c r="D981" t="s">
        <v>286</v>
      </c>
      <c r="E981" s="6">
        <v>122850</v>
      </c>
      <c r="F981" t="s">
        <v>14</v>
      </c>
      <c r="G981" t="s">
        <v>15</v>
      </c>
      <c r="H981" t="s">
        <v>24</v>
      </c>
      <c r="I981" s="6">
        <v>19615</v>
      </c>
      <c r="J981" s="6">
        <v>103235</v>
      </c>
      <c r="K981" t="s">
        <v>25</v>
      </c>
      <c r="L981" t="s">
        <v>26</v>
      </c>
    </row>
    <row r="982" spans="1:12" x14ac:dyDescent="0.5">
      <c r="A982" s="2">
        <v>45749</v>
      </c>
      <c r="B982" s="3" t="s">
        <v>96</v>
      </c>
      <c r="C982" s="3" t="s">
        <v>426</v>
      </c>
      <c r="D982" s="3" t="s">
        <v>668</v>
      </c>
      <c r="E982" s="4">
        <v>19698</v>
      </c>
      <c r="F982" s="3" t="s">
        <v>41</v>
      </c>
      <c r="G982" s="3" t="s">
        <v>15</v>
      </c>
      <c r="H982" s="3" t="s">
        <v>66</v>
      </c>
      <c r="I982" s="4">
        <v>0</v>
      </c>
      <c r="J982" s="4">
        <v>19698</v>
      </c>
      <c r="K982" s="3" t="s">
        <v>67</v>
      </c>
      <c r="L982" s="3" t="s">
        <v>68</v>
      </c>
    </row>
    <row r="983" spans="1:12" x14ac:dyDescent="0.5">
      <c r="A983" s="5">
        <v>45749</v>
      </c>
      <c r="B983" t="s">
        <v>96</v>
      </c>
      <c r="C983" t="s">
        <v>428</v>
      </c>
      <c r="D983" t="s">
        <v>668</v>
      </c>
      <c r="E983" s="6">
        <v>70000</v>
      </c>
      <c r="F983" t="s">
        <v>41</v>
      </c>
      <c r="G983" t="s">
        <v>15</v>
      </c>
      <c r="H983" t="s">
        <v>66</v>
      </c>
      <c r="I983" s="6">
        <v>0</v>
      </c>
      <c r="J983" s="6">
        <v>70000</v>
      </c>
      <c r="K983" t="s">
        <v>67</v>
      </c>
      <c r="L983" t="s">
        <v>68</v>
      </c>
    </row>
    <row r="984" spans="1:12" x14ac:dyDescent="0.5">
      <c r="A984" s="2">
        <v>45749</v>
      </c>
      <c r="B984" s="3" t="s">
        <v>96</v>
      </c>
      <c r="C984" s="3" t="s">
        <v>425</v>
      </c>
      <c r="D984" s="3" t="s">
        <v>668</v>
      </c>
      <c r="E984" s="4">
        <v>100000</v>
      </c>
      <c r="F984" s="3" t="s">
        <v>41</v>
      </c>
      <c r="G984" s="3" t="s">
        <v>15</v>
      </c>
      <c r="H984" s="3" t="s">
        <v>66</v>
      </c>
      <c r="I984" s="4">
        <v>0</v>
      </c>
      <c r="J984" s="4">
        <v>100000</v>
      </c>
      <c r="K984" s="3" t="s">
        <v>67</v>
      </c>
      <c r="L984" s="3" t="s">
        <v>68</v>
      </c>
    </row>
    <row r="985" spans="1:12" x14ac:dyDescent="0.5">
      <c r="A985" s="5">
        <v>45749</v>
      </c>
      <c r="B985" t="s">
        <v>96</v>
      </c>
      <c r="C985" t="s">
        <v>426</v>
      </c>
      <c r="D985" t="s">
        <v>668</v>
      </c>
      <c r="E985" s="6">
        <v>105000</v>
      </c>
      <c r="F985" t="s">
        <v>41</v>
      </c>
      <c r="G985" t="s">
        <v>15</v>
      </c>
      <c r="H985" t="s">
        <v>66</v>
      </c>
      <c r="I985" s="6">
        <v>0</v>
      </c>
      <c r="J985" s="6">
        <v>105000</v>
      </c>
      <c r="K985" t="s">
        <v>67</v>
      </c>
      <c r="L985" t="s">
        <v>68</v>
      </c>
    </row>
    <row r="986" spans="1:12" x14ac:dyDescent="0.5">
      <c r="A986" s="2">
        <v>45749</v>
      </c>
      <c r="B986" s="3" t="s">
        <v>96</v>
      </c>
      <c r="C986" s="3" t="s">
        <v>427</v>
      </c>
      <c r="D986" s="3" t="s">
        <v>672</v>
      </c>
      <c r="E986" s="4">
        <v>384750</v>
      </c>
      <c r="F986" s="3" t="s">
        <v>41</v>
      </c>
      <c r="G986" s="3" t="s">
        <v>15</v>
      </c>
      <c r="H986" s="3" t="s">
        <v>66</v>
      </c>
      <c r="I986" s="4">
        <v>0</v>
      </c>
      <c r="J986" s="4">
        <v>384750</v>
      </c>
      <c r="K986" s="3" t="s">
        <v>67</v>
      </c>
      <c r="L986" s="3" t="s">
        <v>68</v>
      </c>
    </row>
    <row r="987" spans="1:12" x14ac:dyDescent="0.5">
      <c r="A987" s="5">
        <v>45749</v>
      </c>
      <c r="B987" t="s">
        <v>115</v>
      </c>
      <c r="C987" t="s">
        <v>378</v>
      </c>
      <c r="D987" t="s">
        <v>669</v>
      </c>
      <c r="E987" s="6">
        <v>19593</v>
      </c>
      <c r="F987" t="s">
        <v>41</v>
      </c>
      <c r="G987" t="s">
        <v>15</v>
      </c>
      <c r="H987" t="s">
        <v>20</v>
      </c>
      <c r="I987" s="6">
        <v>0</v>
      </c>
      <c r="J987" s="6">
        <v>19593</v>
      </c>
      <c r="K987" t="s">
        <v>21</v>
      </c>
      <c r="L987" t="s">
        <v>22</v>
      </c>
    </row>
    <row r="988" spans="1:12" x14ac:dyDescent="0.5">
      <c r="A988" s="2">
        <v>45750</v>
      </c>
      <c r="B988" s="3" t="s">
        <v>115</v>
      </c>
      <c r="C988" s="3" t="s">
        <v>295</v>
      </c>
      <c r="D988" s="3" t="s">
        <v>296</v>
      </c>
      <c r="E988" s="4">
        <v>61559</v>
      </c>
      <c r="F988" s="3" t="s">
        <v>14</v>
      </c>
      <c r="G988" s="3" t="s">
        <v>15</v>
      </c>
      <c r="H988" s="3" t="s">
        <v>293</v>
      </c>
      <c r="I988" s="4">
        <v>9829</v>
      </c>
      <c r="J988" s="4">
        <v>51730</v>
      </c>
      <c r="K988" s="3" t="s">
        <v>294</v>
      </c>
      <c r="L988" s="3" t="s">
        <v>26</v>
      </c>
    </row>
    <row r="989" spans="1:12" x14ac:dyDescent="0.5">
      <c r="A989" s="5">
        <v>45750</v>
      </c>
      <c r="B989" t="s">
        <v>115</v>
      </c>
      <c r="C989" t="s">
        <v>247</v>
      </c>
      <c r="D989" t="s">
        <v>248</v>
      </c>
      <c r="E989" s="6">
        <v>337089</v>
      </c>
      <c r="F989" t="s">
        <v>14</v>
      </c>
      <c r="G989" t="s">
        <v>15</v>
      </c>
      <c r="H989" t="s">
        <v>24</v>
      </c>
      <c r="I989" s="6">
        <v>53821</v>
      </c>
      <c r="J989" s="6">
        <v>283268</v>
      </c>
      <c r="K989" t="s">
        <v>25</v>
      </c>
      <c r="L989" t="s">
        <v>26</v>
      </c>
    </row>
    <row r="990" spans="1:12" x14ac:dyDescent="0.5">
      <c r="A990" s="2">
        <v>45750</v>
      </c>
      <c r="B990" s="3" t="s">
        <v>96</v>
      </c>
      <c r="C990" s="3" t="s">
        <v>257</v>
      </c>
      <c r="D990" s="3" t="s">
        <v>258</v>
      </c>
      <c r="E990" s="4">
        <v>100000</v>
      </c>
      <c r="F990" s="3" t="s">
        <v>41</v>
      </c>
      <c r="G990" s="3" t="s">
        <v>15</v>
      </c>
      <c r="H990" s="3" t="s">
        <v>66</v>
      </c>
      <c r="I990" s="4">
        <v>0</v>
      </c>
      <c r="J990" s="4">
        <v>100000</v>
      </c>
      <c r="K990" s="3" t="s">
        <v>67</v>
      </c>
      <c r="L990" s="3" t="s">
        <v>68</v>
      </c>
    </row>
    <row r="991" spans="1:12" x14ac:dyDescent="0.5">
      <c r="A991" s="5">
        <v>45750</v>
      </c>
      <c r="B991" t="s">
        <v>96</v>
      </c>
      <c r="C991" t="s">
        <v>257</v>
      </c>
      <c r="D991" t="s">
        <v>258</v>
      </c>
      <c r="E991" s="6">
        <v>449642</v>
      </c>
      <c r="F991" t="s">
        <v>41</v>
      </c>
      <c r="G991" t="s">
        <v>15</v>
      </c>
      <c r="H991" t="s">
        <v>66</v>
      </c>
      <c r="I991" s="6">
        <v>0</v>
      </c>
      <c r="J991" s="6">
        <v>449642</v>
      </c>
      <c r="K991" t="s">
        <v>67</v>
      </c>
      <c r="L991" t="s">
        <v>68</v>
      </c>
    </row>
    <row r="992" spans="1:12" x14ac:dyDescent="0.5">
      <c r="A992" s="2">
        <v>45751</v>
      </c>
      <c r="B992" s="3" t="s">
        <v>96</v>
      </c>
      <c r="C992" s="3" t="s">
        <v>394</v>
      </c>
      <c r="D992" s="3" t="s">
        <v>668</v>
      </c>
      <c r="E992" s="4">
        <v>18000</v>
      </c>
      <c r="F992" s="3" t="s">
        <v>41</v>
      </c>
      <c r="G992" s="3" t="s">
        <v>15</v>
      </c>
      <c r="H992" s="3" t="s">
        <v>66</v>
      </c>
      <c r="I992" s="4">
        <v>0</v>
      </c>
      <c r="J992" s="4">
        <v>18000</v>
      </c>
      <c r="K992" s="3" t="s">
        <v>67</v>
      </c>
      <c r="L992" s="3" t="s">
        <v>68</v>
      </c>
    </row>
    <row r="993" spans="1:12" x14ac:dyDescent="0.5">
      <c r="A993" s="5">
        <v>45751</v>
      </c>
      <c r="B993" t="s">
        <v>115</v>
      </c>
      <c r="C993" t="s">
        <v>265</v>
      </c>
      <c r="D993" t="s">
        <v>266</v>
      </c>
      <c r="E993" s="6">
        <v>65000</v>
      </c>
      <c r="F993" t="s">
        <v>14</v>
      </c>
      <c r="G993" t="s">
        <v>15</v>
      </c>
      <c r="H993" t="s">
        <v>267</v>
      </c>
      <c r="I993" s="6">
        <v>10378</v>
      </c>
      <c r="J993" s="6">
        <v>54622</v>
      </c>
      <c r="K993" t="s">
        <v>268</v>
      </c>
      <c r="L993" t="s">
        <v>68</v>
      </c>
    </row>
    <row r="994" spans="1:12" x14ac:dyDescent="0.5">
      <c r="A994" s="2">
        <v>45751</v>
      </c>
      <c r="B994" s="3" t="s">
        <v>115</v>
      </c>
      <c r="C994" s="3" t="s">
        <v>269</v>
      </c>
      <c r="D994" s="3" t="s">
        <v>270</v>
      </c>
      <c r="E994" s="4">
        <v>916300</v>
      </c>
      <c r="F994" s="3" t="s">
        <v>41</v>
      </c>
      <c r="G994" s="3" t="s">
        <v>15</v>
      </c>
      <c r="H994" s="3" t="s">
        <v>46</v>
      </c>
      <c r="I994" s="4">
        <v>0</v>
      </c>
      <c r="J994" s="4">
        <v>916300</v>
      </c>
      <c r="K994" s="3" t="s">
        <v>47</v>
      </c>
      <c r="L994" s="3" t="s">
        <v>48</v>
      </c>
    </row>
    <row r="995" spans="1:12" x14ac:dyDescent="0.5">
      <c r="A995" s="5">
        <v>45754</v>
      </c>
      <c r="B995" t="s">
        <v>115</v>
      </c>
      <c r="C995" t="s">
        <v>261</v>
      </c>
      <c r="D995" t="s">
        <v>262</v>
      </c>
      <c r="E995" s="6">
        <v>37800</v>
      </c>
      <c r="F995" t="s">
        <v>14</v>
      </c>
      <c r="G995" t="s">
        <v>15</v>
      </c>
      <c r="H995" t="s">
        <v>24</v>
      </c>
      <c r="I995" s="6">
        <v>6035</v>
      </c>
      <c r="J995" s="6">
        <v>31765</v>
      </c>
      <c r="K995" t="s">
        <v>25</v>
      </c>
      <c r="L995" t="s">
        <v>26</v>
      </c>
    </row>
    <row r="996" spans="1:12" x14ac:dyDescent="0.5">
      <c r="A996" s="2">
        <v>45754</v>
      </c>
      <c r="B996" s="3" t="s">
        <v>115</v>
      </c>
      <c r="C996" s="3" t="s">
        <v>261</v>
      </c>
      <c r="D996" s="3" t="s">
        <v>262</v>
      </c>
      <c r="E996" s="4">
        <v>75601</v>
      </c>
      <c r="F996" s="3" t="s">
        <v>14</v>
      </c>
      <c r="G996" s="3" t="s">
        <v>15</v>
      </c>
      <c r="H996" s="3" t="s">
        <v>24</v>
      </c>
      <c r="I996" s="4">
        <v>12071</v>
      </c>
      <c r="J996" s="4">
        <v>63530</v>
      </c>
      <c r="K996" s="3" t="s">
        <v>25</v>
      </c>
      <c r="L996" s="3" t="s">
        <v>26</v>
      </c>
    </row>
    <row r="997" spans="1:12" x14ac:dyDescent="0.5">
      <c r="A997" s="5">
        <v>45754</v>
      </c>
      <c r="B997" t="s">
        <v>96</v>
      </c>
      <c r="C997" t="s">
        <v>305</v>
      </c>
      <c r="D997" t="s">
        <v>306</v>
      </c>
      <c r="E997" s="6">
        <v>130000</v>
      </c>
      <c r="F997" t="s">
        <v>41</v>
      </c>
      <c r="G997" t="s">
        <v>15</v>
      </c>
      <c r="H997" t="s">
        <v>307</v>
      </c>
      <c r="I997" s="6">
        <v>0</v>
      </c>
      <c r="J997" s="6">
        <v>130000</v>
      </c>
      <c r="K997" t="s">
        <v>308</v>
      </c>
      <c r="L997" t="s">
        <v>144</v>
      </c>
    </row>
    <row r="998" spans="1:12" x14ac:dyDescent="0.5">
      <c r="A998" s="2">
        <v>45755</v>
      </c>
      <c r="B998" s="3" t="s">
        <v>115</v>
      </c>
      <c r="C998" s="3" t="s">
        <v>299</v>
      </c>
      <c r="D998" s="3" t="s">
        <v>300</v>
      </c>
      <c r="E998" s="4">
        <v>105000</v>
      </c>
      <c r="F998" s="3" t="s">
        <v>14</v>
      </c>
      <c r="G998" s="3" t="s">
        <v>15</v>
      </c>
      <c r="H998" s="3" t="s">
        <v>301</v>
      </c>
      <c r="I998" s="4">
        <v>16765</v>
      </c>
      <c r="J998" s="4">
        <v>88235</v>
      </c>
      <c r="K998" s="3" t="s">
        <v>302</v>
      </c>
      <c r="L998" s="3" t="s">
        <v>48</v>
      </c>
    </row>
    <row r="999" spans="1:12" x14ac:dyDescent="0.5">
      <c r="A999" s="5">
        <v>45756</v>
      </c>
      <c r="B999" t="s">
        <v>115</v>
      </c>
      <c r="C999" t="s">
        <v>261</v>
      </c>
      <c r="D999" t="s">
        <v>262</v>
      </c>
      <c r="E999" s="6">
        <v>37800</v>
      </c>
      <c r="F999" t="s">
        <v>14</v>
      </c>
      <c r="G999" t="s">
        <v>15</v>
      </c>
      <c r="H999" t="s">
        <v>24</v>
      </c>
      <c r="I999" s="6">
        <v>6035</v>
      </c>
      <c r="J999" s="6">
        <v>31765</v>
      </c>
      <c r="K999" t="s">
        <v>25</v>
      </c>
      <c r="L999" t="s">
        <v>26</v>
      </c>
    </row>
    <row r="1000" spans="1:12" x14ac:dyDescent="0.5">
      <c r="A1000" s="2">
        <v>45756</v>
      </c>
      <c r="B1000" s="3" t="s">
        <v>115</v>
      </c>
      <c r="C1000" s="3" t="s">
        <v>261</v>
      </c>
      <c r="D1000" s="3" t="s">
        <v>262</v>
      </c>
      <c r="E1000" s="4">
        <v>37800</v>
      </c>
      <c r="F1000" s="3" t="s">
        <v>14</v>
      </c>
      <c r="G1000" s="3" t="s">
        <v>15</v>
      </c>
      <c r="H1000" s="3" t="s">
        <v>24</v>
      </c>
      <c r="I1000" s="4">
        <v>6035</v>
      </c>
      <c r="J1000" s="4">
        <v>31765</v>
      </c>
      <c r="K1000" s="3" t="s">
        <v>25</v>
      </c>
      <c r="L1000" s="3" t="s">
        <v>26</v>
      </c>
    </row>
    <row r="1001" spans="1:12" x14ac:dyDescent="0.5">
      <c r="A1001" s="5">
        <v>45756</v>
      </c>
      <c r="B1001" t="s">
        <v>115</v>
      </c>
      <c r="C1001" t="s">
        <v>261</v>
      </c>
      <c r="D1001" t="s">
        <v>262</v>
      </c>
      <c r="E1001" s="6">
        <v>75601</v>
      </c>
      <c r="F1001" t="s">
        <v>14</v>
      </c>
      <c r="G1001" t="s">
        <v>15</v>
      </c>
      <c r="H1001" t="s">
        <v>24</v>
      </c>
      <c r="I1001" s="6">
        <v>12071</v>
      </c>
      <c r="J1001" s="6">
        <v>63530</v>
      </c>
      <c r="K1001" t="s">
        <v>25</v>
      </c>
      <c r="L1001" t="s">
        <v>26</v>
      </c>
    </row>
    <row r="1002" spans="1:12" x14ac:dyDescent="0.5">
      <c r="A1002" s="2">
        <v>45756</v>
      </c>
      <c r="B1002" s="3" t="s">
        <v>115</v>
      </c>
      <c r="C1002" s="3" t="s">
        <v>261</v>
      </c>
      <c r="D1002" s="3" t="s">
        <v>262</v>
      </c>
      <c r="E1002" s="4">
        <v>75601</v>
      </c>
      <c r="F1002" s="3" t="s">
        <v>14</v>
      </c>
      <c r="G1002" s="3" t="s">
        <v>15</v>
      </c>
      <c r="H1002" s="3" t="s">
        <v>24</v>
      </c>
      <c r="I1002" s="4">
        <v>12071</v>
      </c>
      <c r="J1002" s="4">
        <v>63530</v>
      </c>
      <c r="K1002" s="3" t="s">
        <v>25</v>
      </c>
      <c r="L1002" s="3" t="s">
        <v>26</v>
      </c>
    </row>
    <row r="1003" spans="1:12" x14ac:dyDescent="0.5">
      <c r="A1003" s="5">
        <v>45756</v>
      </c>
      <c r="B1003" t="s">
        <v>115</v>
      </c>
      <c r="C1003" t="s">
        <v>285</v>
      </c>
      <c r="D1003" t="s">
        <v>286</v>
      </c>
      <c r="E1003" s="6">
        <v>122850</v>
      </c>
      <c r="F1003" t="s">
        <v>14</v>
      </c>
      <c r="G1003" t="s">
        <v>15</v>
      </c>
      <c r="H1003" t="s">
        <v>24</v>
      </c>
      <c r="I1003" s="6">
        <v>19615</v>
      </c>
      <c r="J1003" s="6">
        <v>103235</v>
      </c>
      <c r="K1003" t="s">
        <v>25</v>
      </c>
      <c r="L1003" t="s">
        <v>26</v>
      </c>
    </row>
    <row r="1004" spans="1:12" x14ac:dyDescent="0.5">
      <c r="A1004" s="2">
        <v>45756</v>
      </c>
      <c r="B1004" s="3" t="s">
        <v>115</v>
      </c>
      <c r="C1004" s="3" t="s">
        <v>247</v>
      </c>
      <c r="D1004" s="3" t="s">
        <v>248</v>
      </c>
      <c r="E1004" s="4">
        <v>369876</v>
      </c>
      <c r="F1004" s="3" t="s">
        <v>14</v>
      </c>
      <c r="G1004" s="3" t="s">
        <v>15</v>
      </c>
      <c r="H1004" s="3" t="s">
        <v>24</v>
      </c>
      <c r="I1004" s="4">
        <v>59056</v>
      </c>
      <c r="J1004" s="4">
        <v>310820</v>
      </c>
      <c r="K1004" s="3" t="s">
        <v>25</v>
      </c>
      <c r="L1004" s="3" t="s">
        <v>26</v>
      </c>
    </row>
    <row r="1005" spans="1:12" x14ac:dyDescent="0.5">
      <c r="A1005" s="5">
        <v>45756</v>
      </c>
      <c r="B1005" t="s">
        <v>115</v>
      </c>
      <c r="C1005" t="s">
        <v>309</v>
      </c>
      <c r="D1005" t="s">
        <v>310</v>
      </c>
      <c r="E1005" s="6">
        <v>1127252</v>
      </c>
      <c r="F1005" t="s">
        <v>14</v>
      </c>
      <c r="G1005" t="s">
        <v>15</v>
      </c>
      <c r="H1005" t="s">
        <v>293</v>
      </c>
      <c r="I1005" s="6">
        <v>179981</v>
      </c>
      <c r="J1005" s="6">
        <v>947271</v>
      </c>
      <c r="K1005" t="s">
        <v>294</v>
      </c>
      <c r="L1005" t="s">
        <v>26</v>
      </c>
    </row>
    <row r="1006" spans="1:12" x14ac:dyDescent="0.5">
      <c r="A1006" s="2">
        <v>45756</v>
      </c>
      <c r="B1006" s="3" t="s">
        <v>115</v>
      </c>
      <c r="C1006" s="3" t="s">
        <v>265</v>
      </c>
      <c r="D1006" s="3" t="s">
        <v>266</v>
      </c>
      <c r="E1006" s="4">
        <v>130000</v>
      </c>
      <c r="F1006" s="3" t="s">
        <v>14</v>
      </c>
      <c r="G1006" s="3" t="s">
        <v>15</v>
      </c>
      <c r="H1006" s="3" t="s">
        <v>267</v>
      </c>
      <c r="I1006" s="4">
        <v>20756</v>
      </c>
      <c r="J1006" s="4">
        <v>109244</v>
      </c>
      <c r="K1006" s="3" t="s">
        <v>268</v>
      </c>
      <c r="L1006" s="3" t="s">
        <v>68</v>
      </c>
    </row>
    <row r="1007" spans="1:12" x14ac:dyDescent="0.5">
      <c r="A1007" s="5">
        <v>45757</v>
      </c>
      <c r="B1007" t="s">
        <v>96</v>
      </c>
      <c r="C1007" t="s">
        <v>257</v>
      </c>
      <c r="D1007" t="s">
        <v>258</v>
      </c>
      <c r="E1007" s="6">
        <v>15334</v>
      </c>
      <c r="F1007" t="s">
        <v>41</v>
      </c>
      <c r="G1007" t="s">
        <v>15</v>
      </c>
      <c r="H1007" t="s">
        <v>66</v>
      </c>
      <c r="I1007" s="6">
        <v>0</v>
      </c>
      <c r="J1007" s="6">
        <v>15334</v>
      </c>
      <c r="K1007" t="s">
        <v>67</v>
      </c>
      <c r="L1007" t="s">
        <v>68</v>
      </c>
    </row>
    <row r="1008" spans="1:12" x14ac:dyDescent="0.5">
      <c r="A1008" s="2">
        <v>45757</v>
      </c>
      <c r="B1008" s="3" t="s">
        <v>96</v>
      </c>
      <c r="C1008" s="3" t="s">
        <v>431</v>
      </c>
      <c r="D1008" s="3" t="s">
        <v>668</v>
      </c>
      <c r="E1008" s="4">
        <v>48720</v>
      </c>
      <c r="F1008" s="3" t="s">
        <v>41</v>
      </c>
      <c r="G1008" s="3" t="s">
        <v>15</v>
      </c>
      <c r="H1008" s="3" t="s">
        <v>66</v>
      </c>
      <c r="I1008" s="4">
        <v>0</v>
      </c>
      <c r="J1008" s="4">
        <v>48720</v>
      </c>
      <c r="K1008" s="3" t="s">
        <v>67</v>
      </c>
      <c r="L1008" s="3" t="s">
        <v>68</v>
      </c>
    </row>
    <row r="1009" spans="1:12" x14ac:dyDescent="0.5">
      <c r="A1009" s="5">
        <v>45758</v>
      </c>
      <c r="B1009" t="s">
        <v>115</v>
      </c>
      <c r="C1009" t="s">
        <v>309</v>
      </c>
      <c r="D1009" t="s">
        <v>310</v>
      </c>
      <c r="E1009" s="6">
        <v>1127525</v>
      </c>
      <c r="F1009" t="s">
        <v>14</v>
      </c>
      <c r="G1009" t="s">
        <v>15</v>
      </c>
      <c r="H1009" t="s">
        <v>293</v>
      </c>
      <c r="I1009" s="6">
        <v>180025</v>
      </c>
      <c r="J1009" s="6">
        <v>947500</v>
      </c>
      <c r="K1009" t="s">
        <v>294</v>
      </c>
      <c r="L1009" t="s">
        <v>26</v>
      </c>
    </row>
    <row r="1010" spans="1:12" x14ac:dyDescent="0.5">
      <c r="A1010" s="2">
        <v>45758</v>
      </c>
      <c r="B1010" s="3" t="s">
        <v>115</v>
      </c>
      <c r="C1010" s="3" t="s">
        <v>432</v>
      </c>
      <c r="D1010" s="3"/>
      <c r="E1010" s="4">
        <v>4460</v>
      </c>
      <c r="F1010" s="3" t="s">
        <v>41</v>
      </c>
      <c r="G1010" s="3" t="s">
        <v>679</v>
      </c>
      <c r="H1010" s="3"/>
      <c r="I1010" s="4">
        <v>0</v>
      </c>
      <c r="J1010" s="4">
        <v>4460</v>
      </c>
      <c r="K1010" s="3" t="s">
        <v>47</v>
      </c>
      <c r="L1010" s="3" t="s">
        <v>48</v>
      </c>
    </row>
    <row r="1011" spans="1:12" x14ac:dyDescent="0.5">
      <c r="A1011" s="5">
        <v>45758</v>
      </c>
      <c r="B1011" t="s">
        <v>115</v>
      </c>
      <c r="C1011" t="s">
        <v>289</v>
      </c>
      <c r="D1011" t="s">
        <v>290</v>
      </c>
      <c r="E1011" s="6">
        <v>876661</v>
      </c>
      <c r="F1011" t="s">
        <v>14</v>
      </c>
      <c r="G1011" t="s">
        <v>15</v>
      </c>
      <c r="H1011" t="s">
        <v>16</v>
      </c>
      <c r="I1011" s="6">
        <v>139971</v>
      </c>
      <c r="J1011" s="6">
        <v>736690</v>
      </c>
      <c r="K1011" t="s">
        <v>17</v>
      </c>
      <c r="L1011" t="s">
        <v>18</v>
      </c>
    </row>
    <row r="1012" spans="1:12" x14ac:dyDescent="0.5">
      <c r="A1012" s="2">
        <v>45758</v>
      </c>
      <c r="B1012" s="3" t="s">
        <v>115</v>
      </c>
      <c r="C1012" s="3" t="s">
        <v>275</v>
      </c>
      <c r="D1012" s="3" t="s">
        <v>276</v>
      </c>
      <c r="E1012" s="4">
        <v>12376</v>
      </c>
      <c r="F1012" s="3" t="s">
        <v>14</v>
      </c>
      <c r="G1012" s="3" t="s">
        <v>15</v>
      </c>
      <c r="H1012" s="3" t="s">
        <v>20</v>
      </c>
      <c r="I1012" s="4">
        <v>1976</v>
      </c>
      <c r="J1012" s="4">
        <v>10400</v>
      </c>
      <c r="K1012" s="3" t="s">
        <v>21</v>
      </c>
      <c r="L1012" s="3" t="s">
        <v>22</v>
      </c>
    </row>
    <row r="1013" spans="1:12" x14ac:dyDescent="0.5">
      <c r="A1013" s="5">
        <v>45758</v>
      </c>
      <c r="B1013" t="s">
        <v>115</v>
      </c>
      <c r="C1013" t="s">
        <v>378</v>
      </c>
      <c r="D1013" t="s">
        <v>669</v>
      </c>
      <c r="E1013" s="6">
        <v>39186</v>
      </c>
      <c r="F1013" t="s">
        <v>41</v>
      </c>
      <c r="G1013" t="s">
        <v>15</v>
      </c>
      <c r="H1013" t="s">
        <v>20</v>
      </c>
      <c r="I1013" s="6">
        <v>0</v>
      </c>
      <c r="J1013" s="6">
        <v>39186</v>
      </c>
      <c r="K1013" t="s">
        <v>21</v>
      </c>
      <c r="L1013" t="s">
        <v>22</v>
      </c>
    </row>
    <row r="1014" spans="1:12" x14ac:dyDescent="0.5">
      <c r="A1014" s="2">
        <v>45761</v>
      </c>
      <c r="B1014" s="3" t="s">
        <v>115</v>
      </c>
      <c r="C1014" s="3" t="s">
        <v>279</v>
      </c>
      <c r="D1014" s="3" t="s">
        <v>280</v>
      </c>
      <c r="E1014" s="4">
        <v>99450</v>
      </c>
      <c r="F1014" s="3" t="s">
        <v>14</v>
      </c>
      <c r="G1014" s="3" t="s">
        <v>15</v>
      </c>
      <c r="H1014" s="3" t="s">
        <v>24</v>
      </c>
      <c r="I1014" s="4">
        <v>15879</v>
      </c>
      <c r="J1014" s="4">
        <v>83571</v>
      </c>
      <c r="K1014" s="3" t="s">
        <v>25</v>
      </c>
      <c r="L1014" s="3" t="s">
        <v>26</v>
      </c>
    </row>
    <row r="1015" spans="1:12" x14ac:dyDescent="0.5">
      <c r="A1015" s="5">
        <v>45761</v>
      </c>
      <c r="B1015" t="s">
        <v>115</v>
      </c>
      <c r="C1015" t="s">
        <v>401</v>
      </c>
      <c r="D1015" t="s">
        <v>643</v>
      </c>
      <c r="E1015" s="6">
        <v>152618</v>
      </c>
      <c r="F1015" t="s">
        <v>14</v>
      </c>
      <c r="G1015" t="s">
        <v>15</v>
      </c>
      <c r="H1015" t="s">
        <v>212</v>
      </c>
      <c r="I1015" s="6">
        <v>24368</v>
      </c>
      <c r="J1015" s="6">
        <v>128250</v>
      </c>
      <c r="K1015" t="s">
        <v>213</v>
      </c>
      <c r="L1015" t="s">
        <v>48</v>
      </c>
    </row>
    <row r="1016" spans="1:12" x14ac:dyDescent="0.5">
      <c r="A1016" s="2">
        <v>45761</v>
      </c>
      <c r="B1016" s="3" t="s">
        <v>96</v>
      </c>
      <c r="C1016" s="3" t="s">
        <v>305</v>
      </c>
      <c r="D1016" s="3" t="s">
        <v>306</v>
      </c>
      <c r="E1016" s="4">
        <v>130000</v>
      </c>
      <c r="F1016" s="3" t="s">
        <v>41</v>
      </c>
      <c r="G1016" s="3" t="s">
        <v>15</v>
      </c>
      <c r="H1016" s="3" t="s">
        <v>307</v>
      </c>
      <c r="I1016" s="4">
        <v>0</v>
      </c>
      <c r="J1016" s="4">
        <v>130000</v>
      </c>
      <c r="K1016" s="3" t="s">
        <v>308</v>
      </c>
      <c r="L1016" s="3" t="s">
        <v>144</v>
      </c>
    </row>
    <row r="1017" spans="1:12" x14ac:dyDescent="0.5">
      <c r="A1017" s="5">
        <v>45762</v>
      </c>
      <c r="B1017" t="s">
        <v>115</v>
      </c>
      <c r="C1017" t="s">
        <v>261</v>
      </c>
      <c r="D1017" t="s">
        <v>262</v>
      </c>
      <c r="E1017" s="6">
        <v>75601</v>
      </c>
      <c r="F1017" t="s">
        <v>14</v>
      </c>
      <c r="G1017" t="s">
        <v>15</v>
      </c>
      <c r="H1017" t="s">
        <v>24</v>
      </c>
      <c r="I1017" s="6">
        <v>12071</v>
      </c>
      <c r="J1017" s="6">
        <v>63530</v>
      </c>
      <c r="K1017" t="s">
        <v>25</v>
      </c>
      <c r="L1017" t="s">
        <v>26</v>
      </c>
    </row>
    <row r="1018" spans="1:12" x14ac:dyDescent="0.5">
      <c r="A1018" s="2">
        <v>45762</v>
      </c>
      <c r="B1018" s="3" t="s">
        <v>115</v>
      </c>
      <c r="C1018" s="3" t="s">
        <v>261</v>
      </c>
      <c r="D1018" s="3" t="s">
        <v>262</v>
      </c>
      <c r="E1018" s="4">
        <v>75601</v>
      </c>
      <c r="F1018" s="3" t="s">
        <v>14</v>
      </c>
      <c r="G1018" s="3" t="s">
        <v>15</v>
      </c>
      <c r="H1018" s="3" t="s">
        <v>24</v>
      </c>
      <c r="I1018" s="4">
        <v>12071</v>
      </c>
      <c r="J1018" s="4">
        <v>63530</v>
      </c>
      <c r="K1018" s="3" t="s">
        <v>25</v>
      </c>
      <c r="L1018" s="3" t="s">
        <v>26</v>
      </c>
    </row>
    <row r="1019" spans="1:12" x14ac:dyDescent="0.5">
      <c r="A1019" s="5">
        <v>45762</v>
      </c>
      <c r="B1019" t="s">
        <v>115</v>
      </c>
      <c r="C1019" t="s">
        <v>261</v>
      </c>
      <c r="D1019" t="s">
        <v>262</v>
      </c>
      <c r="E1019" s="6">
        <v>75601</v>
      </c>
      <c r="F1019" t="s">
        <v>14</v>
      </c>
      <c r="G1019" t="s">
        <v>15</v>
      </c>
      <c r="H1019" t="s">
        <v>24</v>
      </c>
      <c r="I1019" s="6">
        <v>12071</v>
      </c>
      <c r="J1019" s="6">
        <v>63530</v>
      </c>
      <c r="K1019" t="s">
        <v>25</v>
      </c>
      <c r="L1019" t="s">
        <v>26</v>
      </c>
    </row>
    <row r="1020" spans="1:12" x14ac:dyDescent="0.5">
      <c r="A1020" s="2">
        <v>45763</v>
      </c>
      <c r="B1020" s="3" t="s">
        <v>115</v>
      </c>
      <c r="C1020" s="3" t="s">
        <v>271</v>
      </c>
      <c r="D1020" s="3" t="s">
        <v>272</v>
      </c>
      <c r="E1020" s="4">
        <v>269014</v>
      </c>
      <c r="F1020" s="3" t="s">
        <v>14</v>
      </c>
      <c r="G1020" s="3" t="s">
        <v>15</v>
      </c>
      <c r="H1020" s="3" t="s">
        <v>24</v>
      </c>
      <c r="I1020" s="4">
        <v>42952</v>
      </c>
      <c r="J1020" s="4">
        <v>226062</v>
      </c>
      <c r="K1020" s="3" t="s">
        <v>25</v>
      </c>
      <c r="L1020" s="3" t="s">
        <v>26</v>
      </c>
    </row>
    <row r="1021" spans="1:12" x14ac:dyDescent="0.5">
      <c r="A1021" s="5">
        <v>45763</v>
      </c>
      <c r="B1021" t="s">
        <v>96</v>
      </c>
      <c r="C1021" t="s">
        <v>251</v>
      </c>
      <c r="D1021" t="s">
        <v>252</v>
      </c>
      <c r="E1021" s="6">
        <v>200000</v>
      </c>
      <c r="F1021" t="s">
        <v>41</v>
      </c>
      <c r="G1021" t="s">
        <v>15</v>
      </c>
      <c r="H1021" t="s">
        <v>66</v>
      </c>
      <c r="I1021" s="6">
        <v>0</v>
      </c>
      <c r="J1021" s="6">
        <v>200000</v>
      </c>
      <c r="K1021" t="s">
        <v>67</v>
      </c>
      <c r="L1021" t="s">
        <v>68</v>
      </c>
    </row>
    <row r="1022" spans="1:12" x14ac:dyDescent="0.5">
      <c r="A1022" s="2">
        <v>45764</v>
      </c>
      <c r="B1022" s="3" t="s">
        <v>115</v>
      </c>
      <c r="C1022" s="3" t="s">
        <v>311</v>
      </c>
      <c r="D1022" s="3" t="s">
        <v>312</v>
      </c>
      <c r="E1022" s="4">
        <v>69055</v>
      </c>
      <c r="F1022" s="3" t="s">
        <v>14</v>
      </c>
      <c r="G1022" s="3" t="s">
        <v>15</v>
      </c>
      <c r="H1022" s="3" t="s">
        <v>24</v>
      </c>
      <c r="I1022" s="4">
        <v>11026</v>
      </c>
      <c r="J1022" s="4">
        <v>58029</v>
      </c>
      <c r="K1022" s="3" t="s">
        <v>25</v>
      </c>
      <c r="L1022" s="3" t="s">
        <v>26</v>
      </c>
    </row>
    <row r="1023" spans="1:12" x14ac:dyDescent="0.5">
      <c r="A1023" s="5">
        <v>45764</v>
      </c>
      <c r="B1023" t="s">
        <v>115</v>
      </c>
      <c r="C1023" t="s">
        <v>247</v>
      </c>
      <c r="D1023" t="s">
        <v>248</v>
      </c>
      <c r="E1023" s="6">
        <v>369876</v>
      </c>
      <c r="F1023" t="s">
        <v>14</v>
      </c>
      <c r="G1023" t="s">
        <v>15</v>
      </c>
      <c r="H1023" t="s">
        <v>24</v>
      </c>
      <c r="I1023" s="6">
        <v>59056</v>
      </c>
      <c r="J1023" s="6">
        <v>310820</v>
      </c>
      <c r="K1023" t="s">
        <v>25</v>
      </c>
      <c r="L1023" t="s">
        <v>26</v>
      </c>
    </row>
    <row r="1024" spans="1:12" x14ac:dyDescent="0.5">
      <c r="A1024" s="2">
        <v>45769</v>
      </c>
      <c r="B1024" s="3" t="s">
        <v>115</v>
      </c>
      <c r="C1024" s="3" t="s">
        <v>261</v>
      </c>
      <c r="D1024" s="3" t="s">
        <v>262</v>
      </c>
      <c r="E1024" s="4">
        <v>75601</v>
      </c>
      <c r="F1024" s="3" t="s">
        <v>14</v>
      </c>
      <c r="G1024" s="3" t="s">
        <v>15</v>
      </c>
      <c r="H1024" s="3" t="s">
        <v>24</v>
      </c>
      <c r="I1024" s="4">
        <v>12071</v>
      </c>
      <c r="J1024" s="4">
        <v>63530</v>
      </c>
      <c r="K1024" s="3" t="s">
        <v>25</v>
      </c>
      <c r="L1024" s="3" t="s">
        <v>26</v>
      </c>
    </row>
    <row r="1025" spans="1:12" x14ac:dyDescent="0.5">
      <c r="A1025" s="5">
        <v>45769</v>
      </c>
      <c r="B1025" t="s">
        <v>115</v>
      </c>
      <c r="C1025" t="s">
        <v>261</v>
      </c>
      <c r="D1025" t="s">
        <v>262</v>
      </c>
      <c r="E1025" s="6">
        <v>75601</v>
      </c>
      <c r="F1025" t="s">
        <v>14</v>
      </c>
      <c r="G1025" t="s">
        <v>15</v>
      </c>
      <c r="H1025" t="s">
        <v>24</v>
      </c>
      <c r="I1025" s="6">
        <v>12071</v>
      </c>
      <c r="J1025" s="6">
        <v>63530</v>
      </c>
      <c r="K1025" t="s">
        <v>25</v>
      </c>
      <c r="L1025" t="s">
        <v>26</v>
      </c>
    </row>
    <row r="1026" spans="1:12" x14ac:dyDescent="0.5">
      <c r="A1026" s="2">
        <v>45769</v>
      </c>
      <c r="B1026" s="3" t="s">
        <v>115</v>
      </c>
      <c r="C1026" s="3" t="s">
        <v>261</v>
      </c>
      <c r="D1026" s="3" t="s">
        <v>262</v>
      </c>
      <c r="E1026" s="4">
        <v>75601</v>
      </c>
      <c r="F1026" s="3" t="s">
        <v>14</v>
      </c>
      <c r="G1026" s="3" t="s">
        <v>15</v>
      </c>
      <c r="H1026" s="3" t="s">
        <v>24</v>
      </c>
      <c r="I1026" s="4">
        <v>12071</v>
      </c>
      <c r="J1026" s="4">
        <v>63530</v>
      </c>
      <c r="K1026" s="3" t="s">
        <v>25</v>
      </c>
      <c r="L1026" s="3" t="s">
        <v>26</v>
      </c>
    </row>
    <row r="1027" spans="1:12" x14ac:dyDescent="0.5">
      <c r="A1027" s="5">
        <v>45769</v>
      </c>
      <c r="B1027" t="s">
        <v>115</v>
      </c>
      <c r="C1027" t="s">
        <v>285</v>
      </c>
      <c r="D1027" t="s">
        <v>286</v>
      </c>
      <c r="E1027" s="6">
        <v>122850</v>
      </c>
      <c r="F1027" t="s">
        <v>14</v>
      </c>
      <c r="G1027" t="s">
        <v>15</v>
      </c>
      <c r="H1027" t="s">
        <v>24</v>
      </c>
      <c r="I1027" s="6">
        <v>19615</v>
      </c>
      <c r="J1027" s="6">
        <v>103235</v>
      </c>
      <c r="K1027" t="s">
        <v>25</v>
      </c>
      <c r="L1027" t="s">
        <v>26</v>
      </c>
    </row>
    <row r="1028" spans="1:12" x14ac:dyDescent="0.5">
      <c r="A1028" s="2">
        <v>45769</v>
      </c>
      <c r="B1028" s="3" t="s">
        <v>115</v>
      </c>
      <c r="C1028" s="3" t="s">
        <v>263</v>
      </c>
      <c r="D1028" s="3" t="s">
        <v>264</v>
      </c>
      <c r="E1028" s="4">
        <v>198047</v>
      </c>
      <c r="F1028" s="3" t="s">
        <v>14</v>
      </c>
      <c r="G1028" s="3" t="s">
        <v>15</v>
      </c>
      <c r="H1028" s="3" t="s">
        <v>24</v>
      </c>
      <c r="I1028" s="4">
        <v>31621</v>
      </c>
      <c r="J1028" s="4">
        <v>166426</v>
      </c>
      <c r="K1028" s="3" t="s">
        <v>25</v>
      </c>
      <c r="L1028" s="3" t="s">
        <v>26</v>
      </c>
    </row>
    <row r="1029" spans="1:12" x14ac:dyDescent="0.5">
      <c r="A1029" s="5">
        <v>45769</v>
      </c>
      <c r="B1029" t="s">
        <v>115</v>
      </c>
      <c r="C1029" t="s">
        <v>269</v>
      </c>
      <c r="D1029" t="s">
        <v>270</v>
      </c>
      <c r="E1029" s="6">
        <v>799741</v>
      </c>
      <c r="F1029" t="s">
        <v>41</v>
      </c>
      <c r="G1029" t="s">
        <v>15</v>
      </c>
      <c r="H1029" t="s">
        <v>46</v>
      </c>
      <c r="I1029" s="6">
        <v>0</v>
      </c>
      <c r="J1029" s="6">
        <v>799741</v>
      </c>
      <c r="K1029" t="s">
        <v>47</v>
      </c>
      <c r="L1029" t="s">
        <v>48</v>
      </c>
    </row>
    <row r="1030" spans="1:12" x14ac:dyDescent="0.5">
      <c r="A1030" s="2">
        <v>45770</v>
      </c>
      <c r="B1030" s="3" t="s">
        <v>115</v>
      </c>
      <c r="C1030" s="3" t="s">
        <v>279</v>
      </c>
      <c r="D1030" s="3" t="s">
        <v>280</v>
      </c>
      <c r="E1030" s="4">
        <v>110240</v>
      </c>
      <c r="F1030" s="3" t="s">
        <v>14</v>
      </c>
      <c r="G1030" s="3" t="s">
        <v>15</v>
      </c>
      <c r="H1030" s="3" t="s">
        <v>24</v>
      </c>
      <c r="I1030" s="4">
        <v>17601</v>
      </c>
      <c r="J1030" s="4">
        <v>92639</v>
      </c>
      <c r="K1030" s="3" t="s">
        <v>25</v>
      </c>
      <c r="L1030" s="3" t="s">
        <v>26</v>
      </c>
    </row>
    <row r="1031" spans="1:12" x14ac:dyDescent="0.5">
      <c r="A1031" s="5">
        <v>45770</v>
      </c>
      <c r="B1031" t="s">
        <v>115</v>
      </c>
      <c r="C1031" t="s">
        <v>247</v>
      </c>
      <c r="D1031" t="s">
        <v>248</v>
      </c>
      <c r="E1031" s="6">
        <v>206505</v>
      </c>
      <c r="F1031" t="s">
        <v>14</v>
      </c>
      <c r="G1031" t="s">
        <v>15</v>
      </c>
      <c r="H1031" t="s">
        <v>24</v>
      </c>
      <c r="I1031" s="6">
        <v>32971</v>
      </c>
      <c r="J1031" s="6">
        <v>173534</v>
      </c>
      <c r="K1031" t="s">
        <v>25</v>
      </c>
      <c r="L1031" t="s">
        <v>26</v>
      </c>
    </row>
    <row r="1032" spans="1:12" x14ac:dyDescent="0.5">
      <c r="A1032" s="2">
        <v>45771</v>
      </c>
      <c r="B1032" s="3" t="s">
        <v>96</v>
      </c>
      <c r="C1032" s="3" t="s">
        <v>249</v>
      </c>
      <c r="D1032" s="3" t="s">
        <v>250</v>
      </c>
      <c r="E1032" s="4">
        <v>42133</v>
      </c>
      <c r="F1032" s="3" t="s">
        <v>41</v>
      </c>
      <c r="G1032" s="3" t="s">
        <v>15</v>
      </c>
      <c r="H1032" s="3" t="s">
        <v>66</v>
      </c>
      <c r="I1032" s="4">
        <v>0</v>
      </c>
      <c r="J1032" s="4">
        <v>42133</v>
      </c>
      <c r="K1032" s="3" t="s">
        <v>67</v>
      </c>
      <c r="L1032" s="3" t="s">
        <v>68</v>
      </c>
    </row>
    <row r="1033" spans="1:12" x14ac:dyDescent="0.5">
      <c r="A1033" s="5">
        <v>45771</v>
      </c>
      <c r="B1033" t="s">
        <v>115</v>
      </c>
      <c r="C1033" t="s">
        <v>378</v>
      </c>
      <c r="D1033" t="s">
        <v>669</v>
      </c>
      <c r="E1033" s="6">
        <v>4874</v>
      </c>
      <c r="F1033" t="s">
        <v>41</v>
      </c>
      <c r="G1033" t="s">
        <v>15</v>
      </c>
      <c r="H1033" t="s">
        <v>20</v>
      </c>
      <c r="I1033" s="6">
        <v>0</v>
      </c>
      <c r="J1033" s="6">
        <v>4874</v>
      </c>
      <c r="K1033" t="s">
        <v>21</v>
      </c>
      <c r="L1033" t="s">
        <v>22</v>
      </c>
    </row>
    <row r="1034" spans="1:12" x14ac:dyDescent="0.5">
      <c r="A1034" s="2">
        <v>45771</v>
      </c>
      <c r="B1034" s="3" t="s">
        <v>115</v>
      </c>
      <c r="C1034" s="3" t="s">
        <v>378</v>
      </c>
      <c r="D1034" s="3" t="s">
        <v>669</v>
      </c>
      <c r="E1034" s="4">
        <v>15567</v>
      </c>
      <c r="F1034" s="3" t="s">
        <v>41</v>
      </c>
      <c r="G1034" s="3" t="s">
        <v>15</v>
      </c>
      <c r="H1034" s="3" t="s">
        <v>20</v>
      </c>
      <c r="I1034" s="4">
        <v>0</v>
      </c>
      <c r="J1034" s="4">
        <v>15567</v>
      </c>
      <c r="K1034" s="3" t="s">
        <v>21</v>
      </c>
      <c r="L1034" s="3" t="s">
        <v>22</v>
      </c>
    </row>
    <row r="1035" spans="1:12" x14ac:dyDescent="0.5">
      <c r="A1035" s="5">
        <v>45772</v>
      </c>
      <c r="B1035" t="s">
        <v>115</v>
      </c>
      <c r="C1035" t="s">
        <v>261</v>
      </c>
      <c r="D1035" t="s">
        <v>262</v>
      </c>
      <c r="E1035" s="6">
        <v>37800</v>
      </c>
      <c r="F1035" t="s">
        <v>14</v>
      </c>
      <c r="G1035" t="s">
        <v>15</v>
      </c>
      <c r="H1035" t="s">
        <v>24</v>
      </c>
      <c r="I1035" s="6">
        <v>6035</v>
      </c>
      <c r="J1035" s="6">
        <v>31765</v>
      </c>
      <c r="K1035" t="s">
        <v>25</v>
      </c>
      <c r="L1035" t="s">
        <v>26</v>
      </c>
    </row>
    <row r="1036" spans="1:12" x14ac:dyDescent="0.5">
      <c r="A1036" s="2">
        <v>45772</v>
      </c>
      <c r="B1036" s="3" t="s">
        <v>115</v>
      </c>
      <c r="C1036" s="3" t="s">
        <v>261</v>
      </c>
      <c r="D1036" s="3" t="s">
        <v>262</v>
      </c>
      <c r="E1036" s="4">
        <v>37800</v>
      </c>
      <c r="F1036" s="3" t="s">
        <v>14</v>
      </c>
      <c r="G1036" s="3" t="s">
        <v>15</v>
      </c>
      <c r="H1036" s="3" t="s">
        <v>24</v>
      </c>
      <c r="I1036" s="4">
        <v>6035</v>
      </c>
      <c r="J1036" s="4">
        <v>31765</v>
      </c>
      <c r="K1036" s="3" t="s">
        <v>25</v>
      </c>
      <c r="L1036" s="3" t="s">
        <v>26</v>
      </c>
    </row>
    <row r="1037" spans="1:12" x14ac:dyDescent="0.5">
      <c r="A1037" s="5">
        <v>45772</v>
      </c>
      <c r="B1037" t="s">
        <v>115</v>
      </c>
      <c r="C1037" t="s">
        <v>261</v>
      </c>
      <c r="D1037" t="s">
        <v>262</v>
      </c>
      <c r="E1037" s="6">
        <v>75601</v>
      </c>
      <c r="F1037" t="s">
        <v>14</v>
      </c>
      <c r="G1037" t="s">
        <v>15</v>
      </c>
      <c r="H1037" t="s">
        <v>24</v>
      </c>
      <c r="I1037" s="6">
        <v>12071</v>
      </c>
      <c r="J1037" s="6">
        <v>63530</v>
      </c>
      <c r="K1037" t="s">
        <v>25</v>
      </c>
      <c r="L1037" t="s">
        <v>26</v>
      </c>
    </row>
    <row r="1038" spans="1:12" x14ac:dyDescent="0.5">
      <c r="A1038" s="2">
        <v>45772</v>
      </c>
      <c r="B1038" s="3" t="s">
        <v>115</v>
      </c>
      <c r="C1038" s="3" t="s">
        <v>385</v>
      </c>
      <c r="D1038" s="3" t="s">
        <v>642</v>
      </c>
      <c r="E1038" s="4">
        <v>102393</v>
      </c>
      <c r="F1038" s="3" t="s">
        <v>14</v>
      </c>
      <c r="G1038" s="3" t="s">
        <v>15</v>
      </c>
      <c r="H1038" s="3" t="s">
        <v>293</v>
      </c>
      <c r="I1038" s="4">
        <v>16348</v>
      </c>
      <c r="J1038" s="4">
        <v>86045</v>
      </c>
      <c r="K1038" s="3" t="s">
        <v>294</v>
      </c>
      <c r="L1038" s="3" t="s">
        <v>26</v>
      </c>
    </row>
    <row r="1039" spans="1:12" x14ac:dyDescent="0.5">
      <c r="A1039" s="5">
        <v>45772</v>
      </c>
      <c r="B1039" t="s">
        <v>96</v>
      </c>
      <c r="C1039" t="s">
        <v>249</v>
      </c>
      <c r="D1039" t="s">
        <v>250</v>
      </c>
      <c r="E1039" s="6">
        <v>3813</v>
      </c>
      <c r="F1039" t="s">
        <v>41</v>
      </c>
      <c r="G1039" t="s">
        <v>15</v>
      </c>
      <c r="H1039" t="s">
        <v>66</v>
      </c>
      <c r="I1039" s="6">
        <v>0</v>
      </c>
      <c r="J1039" s="6">
        <v>3813</v>
      </c>
      <c r="K1039" t="s">
        <v>67</v>
      </c>
      <c r="L1039" t="s">
        <v>68</v>
      </c>
    </row>
    <row r="1040" spans="1:12" x14ac:dyDescent="0.5">
      <c r="A1040" s="2">
        <v>45776</v>
      </c>
      <c r="B1040" s="3" t="s">
        <v>96</v>
      </c>
      <c r="C1040" s="3" t="s">
        <v>305</v>
      </c>
      <c r="D1040" s="3" t="s">
        <v>306</v>
      </c>
      <c r="E1040" s="4">
        <v>130000</v>
      </c>
      <c r="F1040" s="3" t="s">
        <v>41</v>
      </c>
      <c r="G1040" s="3" t="s">
        <v>15</v>
      </c>
      <c r="H1040" s="3" t="s">
        <v>307</v>
      </c>
      <c r="I1040" s="4">
        <v>0</v>
      </c>
      <c r="J1040" s="4">
        <v>130000</v>
      </c>
      <c r="K1040" s="3" t="s">
        <v>308</v>
      </c>
      <c r="L1040" s="3" t="s">
        <v>144</v>
      </c>
    </row>
    <row r="1041" spans="1:12" x14ac:dyDescent="0.5">
      <c r="A1041" s="5">
        <v>45776</v>
      </c>
      <c r="B1041" t="s">
        <v>115</v>
      </c>
      <c r="C1041" t="s">
        <v>378</v>
      </c>
      <c r="D1041" t="s">
        <v>669</v>
      </c>
      <c r="E1041" s="6">
        <v>19000</v>
      </c>
      <c r="F1041" t="s">
        <v>41</v>
      </c>
      <c r="G1041" t="s">
        <v>15</v>
      </c>
      <c r="H1041" t="s">
        <v>20</v>
      </c>
      <c r="I1041" s="6">
        <v>0</v>
      </c>
      <c r="J1041" s="6">
        <v>19000</v>
      </c>
      <c r="K1041" t="s">
        <v>21</v>
      </c>
      <c r="L1041" t="s">
        <v>22</v>
      </c>
    </row>
    <row r="1042" spans="1:12" x14ac:dyDescent="0.5">
      <c r="A1042" s="2">
        <v>45777</v>
      </c>
      <c r="B1042" s="3" t="s">
        <v>115</v>
      </c>
      <c r="C1042" s="3" t="s">
        <v>261</v>
      </c>
      <c r="D1042" s="3" t="s">
        <v>262</v>
      </c>
      <c r="E1042" s="4">
        <v>75601</v>
      </c>
      <c r="F1042" s="3" t="s">
        <v>14</v>
      </c>
      <c r="G1042" s="3" t="s">
        <v>15</v>
      </c>
      <c r="H1042" s="3" t="s">
        <v>24</v>
      </c>
      <c r="I1042" s="4">
        <v>12071</v>
      </c>
      <c r="J1042" s="4">
        <v>63530</v>
      </c>
      <c r="K1042" s="3" t="s">
        <v>25</v>
      </c>
      <c r="L1042" s="3" t="s">
        <v>26</v>
      </c>
    </row>
    <row r="1043" spans="1:12" x14ac:dyDescent="0.5">
      <c r="A1043" s="5">
        <v>45777</v>
      </c>
      <c r="B1043" t="s">
        <v>115</v>
      </c>
      <c r="C1043" t="s">
        <v>261</v>
      </c>
      <c r="D1043" t="s">
        <v>262</v>
      </c>
      <c r="E1043" s="6">
        <v>75601</v>
      </c>
      <c r="F1043" t="s">
        <v>14</v>
      </c>
      <c r="G1043" t="s">
        <v>15</v>
      </c>
      <c r="H1043" t="s">
        <v>24</v>
      </c>
      <c r="I1043" s="6">
        <v>12071</v>
      </c>
      <c r="J1043" s="6">
        <v>63530</v>
      </c>
      <c r="K1043" t="s">
        <v>25</v>
      </c>
      <c r="L1043" t="s">
        <v>26</v>
      </c>
    </row>
    <row r="1044" spans="1:12" x14ac:dyDescent="0.5">
      <c r="A1044" s="2">
        <v>45777</v>
      </c>
      <c r="B1044" s="3" t="s">
        <v>115</v>
      </c>
      <c r="C1044" s="3" t="s">
        <v>265</v>
      </c>
      <c r="D1044" s="3" t="s">
        <v>266</v>
      </c>
      <c r="E1044" s="4">
        <v>10246</v>
      </c>
      <c r="F1044" s="3" t="s">
        <v>14</v>
      </c>
      <c r="G1044" s="3" t="s">
        <v>15</v>
      </c>
      <c r="H1044" s="3" t="s">
        <v>267</v>
      </c>
      <c r="I1044" s="4">
        <v>1636</v>
      </c>
      <c r="J1044" s="4">
        <v>8610</v>
      </c>
      <c r="K1044" s="3" t="s">
        <v>268</v>
      </c>
      <c r="L1044" s="3" t="s">
        <v>68</v>
      </c>
    </row>
    <row r="1045" spans="1:12" x14ac:dyDescent="0.5">
      <c r="A1045" s="5">
        <v>45779</v>
      </c>
      <c r="B1045" t="s">
        <v>131</v>
      </c>
      <c r="C1045" t="s">
        <v>247</v>
      </c>
      <c r="D1045" t="s">
        <v>248</v>
      </c>
      <c r="E1045" s="6">
        <v>369876</v>
      </c>
      <c r="F1045" t="s">
        <v>14</v>
      </c>
      <c r="G1045" t="s">
        <v>15</v>
      </c>
      <c r="H1045" t="s">
        <v>24</v>
      </c>
      <c r="I1045" s="6">
        <v>59056</v>
      </c>
      <c r="J1045" s="6">
        <v>310820</v>
      </c>
      <c r="K1045" t="s">
        <v>25</v>
      </c>
      <c r="L1045" t="s">
        <v>26</v>
      </c>
    </row>
    <row r="1046" spans="1:12" x14ac:dyDescent="0.5">
      <c r="A1046" s="2">
        <v>45779</v>
      </c>
      <c r="B1046" s="3" t="s">
        <v>131</v>
      </c>
      <c r="C1046" s="3" t="s">
        <v>309</v>
      </c>
      <c r="D1046" s="3" t="s">
        <v>310</v>
      </c>
      <c r="E1046" s="4">
        <v>2024190</v>
      </c>
      <c r="F1046" s="3" t="s">
        <v>14</v>
      </c>
      <c r="G1046" s="3" t="s">
        <v>15</v>
      </c>
      <c r="H1046" s="3" t="s">
        <v>293</v>
      </c>
      <c r="I1046" s="4">
        <v>323190</v>
      </c>
      <c r="J1046" s="4">
        <v>1701000</v>
      </c>
      <c r="K1046" s="3" t="s">
        <v>294</v>
      </c>
      <c r="L1046" s="3" t="s">
        <v>26</v>
      </c>
    </row>
    <row r="1047" spans="1:12" x14ac:dyDescent="0.5">
      <c r="A1047" s="5">
        <v>45779</v>
      </c>
      <c r="B1047" t="s">
        <v>115</v>
      </c>
      <c r="C1047" t="s">
        <v>427</v>
      </c>
      <c r="D1047" t="s">
        <v>672</v>
      </c>
      <c r="E1047" s="6">
        <v>74385</v>
      </c>
      <c r="F1047" t="s">
        <v>41</v>
      </c>
      <c r="G1047" t="s">
        <v>15</v>
      </c>
      <c r="H1047" t="s">
        <v>66</v>
      </c>
      <c r="I1047" s="6">
        <v>0</v>
      </c>
      <c r="J1047" s="6">
        <v>74385</v>
      </c>
      <c r="K1047" t="s">
        <v>67</v>
      </c>
      <c r="L1047" t="s">
        <v>68</v>
      </c>
    </row>
    <row r="1048" spans="1:12" x14ac:dyDescent="0.5">
      <c r="A1048" s="2">
        <v>45779</v>
      </c>
      <c r="B1048" s="3" t="s">
        <v>115</v>
      </c>
      <c r="C1048" s="3" t="s">
        <v>425</v>
      </c>
      <c r="D1048" s="3" t="s">
        <v>668</v>
      </c>
      <c r="E1048" s="4">
        <v>100000</v>
      </c>
      <c r="F1048" s="3" t="s">
        <v>41</v>
      </c>
      <c r="G1048" s="3" t="s">
        <v>15</v>
      </c>
      <c r="H1048" s="3" t="s">
        <v>66</v>
      </c>
      <c r="I1048" s="4">
        <v>0</v>
      </c>
      <c r="J1048" s="4">
        <v>100000</v>
      </c>
      <c r="K1048" s="3" t="s">
        <v>67</v>
      </c>
      <c r="L1048" s="3" t="s">
        <v>68</v>
      </c>
    </row>
    <row r="1049" spans="1:12" x14ac:dyDescent="0.5">
      <c r="A1049" s="5">
        <v>45779</v>
      </c>
      <c r="B1049" t="s">
        <v>115</v>
      </c>
      <c r="C1049" t="s">
        <v>251</v>
      </c>
      <c r="D1049" t="s">
        <v>252</v>
      </c>
      <c r="E1049" s="6">
        <v>100000</v>
      </c>
      <c r="F1049" t="s">
        <v>41</v>
      </c>
      <c r="G1049" t="s">
        <v>15</v>
      </c>
      <c r="H1049" t="s">
        <v>66</v>
      </c>
      <c r="I1049" s="6">
        <v>0</v>
      </c>
      <c r="J1049" s="6">
        <v>100000</v>
      </c>
      <c r="K1049" t="s">
        <v>67</v>
      </c>
      <c r="L1049" t="s">
        <v>68</v>
      </c>
    </row>
    <row r="1050" spans="1:12" x14ac:dyDescent="0.5">
      <c r="A1050" s="2">
        <v>45779</v>
      </c>
      <c r="B1050" s="3" t="s">
        <v>115</v>
      </c>
      <c r="C1050" s="3" t="s">
        <v>251</v>
      </c>
      <c r="D1050" s="3" t="s">
        <v>252</v>
      </c>
      <c r="E1050" s="4">
        <v>300092</v>
      </c>
      <c r="F1050" s="3" t="s">
        <v>41</v>
      </c>
      <c r="G1050" s="3" t="s">
        <v>15</v>
      </c>
      <c r="H1050" s="3" t="s">
        <v>66</v>
      </c>
      <c r="I1050" s="4">
        <v>0</v>
      </c>
      <c r="J1050" s="4">
        <v>300092</v>
      </c>
      <c r="K1050" s="3" t="s">
        <v>67</v>
      </c>
      <c r="L1050" s="3" t="s">
        <v>68</v>
      </c>
    </row>
    <row r="1051" spans="1:12" x14ac:dyDescent="0.5">
      <c r="A1051" s="5">
        <v>45779</v>
      </c>
      <c r="B1051" t="s">
        <v>115</v>
      </c>
      <c r="C1051" t="s">
        <v>427</v>
      </c>
      <c r="D1051" t="s">
        <v>672</v>
      </c>
      <c r="E1051" s="6">
        <v>438615</v>
      </c>
      <c r="F1051" t="s">
        <v>41</v>
      </c>
      <c r="G1051" t="s">
        <v>15</v>
      </c>
      <c r="H1051" t="s">
        <v>66</v>
      </c>
      <c r="I1051" s="6">
        <v>0</v>
      </c>
      <c r="J1051" s="6">
        <v>438615</v>
      </c>
      <c r="K1051" t="s">
        <v>67</v>
      </c>
      <c r="L1051" t="s">
        <v>68</v>
      </c>
    </row>
    <row r="1052" spans="1:12" x14ac:dyDescent="0.5">
      <c r="A1052" s="2">
        <v>45779</v>
      </c>
      <c r="B1052" s="3" t="s">
        <v>131</v>
      </c>
      <c r="C1052" s="3" t="s">
        <v>253</v>
      </c>
      <c r="D1052" s="3" t="s">
        <v>254</v>
      </c>
      <c r="E1052" s="4">
        <v>700000</v>
      </c>
      <c r="F1052" s="3" t="s">
        <v>41</v>
      </c>
      <c r="G1052" s="3" t="s">
        <v>15</v>
      </c>
      <c r="H1052" s="3" t="s">
        <v>255</v>
      </c>
      <c r="I1052" s="4">
        <v>0</v>
      </c>
      <c r="J1052" s="4">
        <v>700000</v>
      </c>
      <c r="K1052" s="3" t="s">
        <v>256</v>
      </c>
      <c r="L1052" s="3" t="s">
        <v>68</v>
      </c>
    </row>
    <row r="1053" spans="1:12" x14ac:dyDescent="0.5">
      <c r="A1053" s="5">
        <v>45779</v>
      </c>
      <c r="B1053" t="s">
        <v>115</v>
      </c>
      <c r="C1053" t="s">
        <v>281</v>
      </c>
      <c r="D1053" t="s">
        <v>282</v>
      </c>
      <c r="E1053" s="6">
        <v>776997</v>
      </c>
      <c r="F1053" t="s">
        <v>41</v>
      </c>
      <c r="G1053" t="s">
        <v>15</v>
      </c>
      <c r="H1053" t="s">
        <v>66</v>
      </c>
      <c r="I1053" s="6">
        <v>0</v>
      </c>
      <c r="J1053" s="6">
        <v>776997</v>
      </c>
      <c r="K1053" t="s">
        <v>67</v>
      </c>
      <c r="L1053" t="s">
        <v>68</v>
      </c>
    </row>
    <row r="1054" spans="1:12" x14ac:dyDescent="0.5">
      <c r="A1054" s="2">
        <v>45779</v>
      </c>
      <c r="B1054" s="3" t="s">
        <v>115</v>
      </c>
      <c r="C1054" s="3" t="s">
        <v>259</v>
      </c>
      <c r="D1054" s="3" t="s">
        <v>260</v>
      </c>
      <c r="E1054" s="4">
        <v>800000</v>
      </c>
      <c r="F1054" s="3" t="s">
        <v>41</v>
      </c>
      <c r="G1054" s="3" t="s">
        <v>15</v>
      </c>
      <c r="H1054" s="3" t="s">
        <v>66</v>
      </c>
      <c r="I1054" s="4">
        <v>0</v>
      </c>
      <c r="J1054" s="4">
        <v>800000</v>
      </c>
      <c r="K1054" s="3" t="s">
        <v>67</v>
      </c>
      <c r="L1054" s="3" t="s">
        <v>68</v>
      </c>
    </row>
    <row r="1055" spans="1:12" x14ac:dyDescent="0.5">
      <c r="A1055" s="5">
        <v>45779</v>
      </c>
      <c r="B1055" t="s">
        <v>115</v>
      </c>
      <c r="C1055" t="s">
        <v>249</v>
      </c>
      <c r="D1055" t="s">
        <v>250</v>
      </c>
      <c r="E1055" s="6">
        <v>1128830</v>
      </c>
      <c r="F1055" t="s">
        <v>41</v>
      </c>
      <c r="G1055" t="s">
        <v>15</v>
      </c>
      <c r="H1055" t="s">
        <v>66</v>
      </c>
      <c r="I1055" s="6">
        <v>0</v>
      </c>
      <c r="J1055" s="6">
        <v>1128830</v>
      </c>
      <c r="K1055" t="s">
        <v>67</v>
      </c>
      <c r="L1055" t="s">
        <v>68</v>
      </c>
    </row>
    <row r="1056" spans="1:12" x14ac:dyDescent="0.5">
      <c r="A1056" s="2">
        <v>45782</v>
      </c>
      <c r="B1056" s="3" t="s">
        <v>131</v>
      </c>
      <c r="C1056" s="3" t="s">
        <v>261</v>
      </c>
      <c r="D1056" s="3" t="s">
        <v>262</v>
      </c>
      <c r="E1056" s="4">
        <v>37800</v>
      </c>
      <c r="F1056" s="3" t="s">
        <v>14</v>
      </c>
      <c r="G1056" s="3" t="s">
        <v>15</v>
      </c>
      <c r="H1056" s="3" t="s">
        <v>24</v>
      </c>
      <c r="I1056" s="4">
        <v>6035</v>
      </c>
      <c r="J1056" s="4">
        <v>31765</v>
      </c>
      <c r="K1056" s="3" t="s">
        <v>25</v>
      </c>
      <c r="L1056" s="3" t="s">
        <v>26</v>
      </c>
    </row>
    <row r="1057" spans="1:12" x14ac:dyDescent="0.5">
      <c r="A1057" s="5">
        <v>45782</v>
      </c>
      <c r="B1057" t="s">
        <v>131</v>
      </c>
      <c r="C1057" t="s">
        <v>285</v>
      </c>
      <c r="D1057" t="s">
        <v>286</v>
      </c>
      <c r="E1057" s="6">
        <v>163800</v>
      </c>
      <c r="F1057" t="s">
        <v>14</v>
      </c>
      <c r="G1057" t="s">
        <v>15</v>
      </c>
      <c r="H1057" t="s">
        <v>24</v>
      </c>
      <c r="I1057" s="6">
        <v>26153</v>
      </c>
      <c r="J1057" s="6">
        <v>137647</v>
      </c>
      <c r="K1057" t="s">
        <v>25</v>
      </c>
      <c r="L1057" t="s">
        <v>26</v>
      </c>
    </row>
    <row r="1058" spans="1:12" x14ac:dyDescent="0.5">
      <c r="A1058" s="2">
        <v>45782</v>
      </c>
      <c r="B1058" s="3" t="s">
        <v>131</v>
      </c>
      <c r="C1058" s="3" t="s">
        <v>261</v>
      </c>
      <c r="D1058" s="3" t="s">
        <v>262</v>
      </c>
      <c r="E1058" s="4">
        <v>188990</v>
      </c>
      <c r="F1058" s="3" t="s">
        <v>14</v>
      </c>
      <c r="G1058" s="3" t="s">
        <v>15</v>
      </c>
      <c r="H1058" s="3" t="s">
        <v>24</v>
      </c>
      <c r="I1058" s="4">
        <v>30175</v>
      </c>
      <c r="J1058" s="4">
        <v>158815</v>
      </c>
      <c r="K1058" s="3" t="s">
        <v>25</v>
      </c>
      <c r="L1058" s="3" t="s">
        <v>26</v>
      </c>
    </row>
    <row r="1059" spans="1:12" x14ac:dyDescent="0.5">
      <c r="A1059" s="5">
        <v>45782</v>
      </c>
      <c r="B1059" t="s">
        <v>115</v>
      </c>
      <c r="C1059" t="s">
        <v>394</v>
      </c>
      <c r="D1059" t="s">
        <v>668</v>
      </c>
      <c r="E1059" s="6">
        <v>18000</v>
      </c>
      <c r="F1059" t="s">
        <v>41</v>
      </c>
      <c r="G1059" t="s">
        <v>15</v>
      </c>
      <c r="H1059" t="s">
        <v>66</v>
      </c>
      <c r="I1059" s="6">
        <v>0</v>
      </c>
      <c r="J1059" s="6">
        <v>18000</v>
      </c>
      <c r="K1059" t="s">
        <v>67</v>
      </c>
      <c r="L1059" t="s">
        <v>68</v>
      </c>
    </row>
    <row r="1060" spans="1:12" x14ac:dyDescent="0.5">
      <c r="A1060" s="2">
        <v>45782</v>
      </c>
      <c r="B1060" s="3" t="s">
        <v>131</v>
      </c>
      <c r="C1060" s="3" t="s">
        <v>265</v>
      </c>
      <c r="D1060" s="3" t="s">
        <v>266</v>
      </c>
      <c r="E1060" s="4">
        <v>65000</v>
      </c>
      <c r="F1060" s="3" t="s">
        <v>14</v>
      </c>
      <c r="G1060" s="3" t="s">
        <v>15</v>
      </c>
      <c r="H1060" s="3" t="s">
        <v>267</v>
      </c>
      <c r="I1060" s="4">
        <v>10378</v>
      </c>
      <c r="J1060" s="4">
        <v>54622</v>
      </c>
      <c r="K1060" s="3" t="s">
        <v>268</v>
      </c>
      <c r="L1060" s="3" t="s">
        <v>68</v>
      </c>
    </row>
    <row r="1061" spans="1:12" x14ac:dyDescent="0.5">
      <c r="A1061" s="5">
        <v>45782</v>
      </c>
      <c r="B1061" t="s">
        <v>131</v>
      </c>
      <c r="C1061" t="s">
        <v>269</v>
      </c>
      <c r="D1061" t="s">
        <v>270</v>
      </c>
      <c r="E1061" s="6">
        <v>916300</v>
      </c>
      <c r="F1061" t="s">
        <v>41</v>
      </c>
      <c r="G1061" t="s">
        <v>15</v>
      </c>
      <c r="H1061" t="s">
        <v>46</v>
      </c>
      <c r="I1061" s="6">
        <v>0</v>
      </c>
      <c r="J1061" s="6">
        <v>916300</v>
      </c>
      <c r="K1061" t="s">
        <v>47</v>
      </c>
      <c r="L1061" t="s">
        <v>48</v>
      </c>
    </row>
    <row r="1062" spans="1:12" x14ac:dyDescent="0.5">
      <c r="A1062" s="2">
        <v>45782</v>
      </c>
      <c r="B1062" s="3" t="s">
        <v>115</v>
      </c>
      <c r="C1062" s="3" t="s">
        <v>305</v>
      </c>
      <c r="D1062" s="3" t="s">
        <v>306</v>
      </c>
      <c r="E1062" s="4">
        <v>130000</v>
      </c>
      <c r="F1062" s="3" t="s">
        <v>41</v>
      </c>
      <c r="G1062" s="3" t="s">
        <v>15</v>
      </c>
      <c r="H1062" s="3" t="s">
        <v>307</v>
      </c>
      <c r="I1062" s="4">
        <v>0</v>
      </c>
      <c r="J1062" s="4">
        <v>130000</v>
      </c>
      <c r="K1062" s="3" t="s">
        <v>308</v>
      </c>
      <c r="L1062" s="3" t="s">
        <v>144</v>
      </c>
    </row>
    <row r="1063" spans="1:12" x14ac:dyDescent="0.5">
      <c r="A1063" s="5">
        <v>45783</v>
      </c>
      <c r="B1063" t="s">
        <v>131</v>
      </c>
      <c r="C1063" t="s">
        <v>413</v>
      </c>
      <c r="D1063" t="s">
        <v>645</v>
      </c>
      <c r="E1063" s="6">
        <v>62475</v>
      </c>
      <c r="F1063" t="s">
        <v>14</v>
      </c>
      <c r="G1063" t="s">
        <v>15</v>
      </c>
      <c r="H1063" t="s">
        <v>321</v>
      </c>
      <c r="I1063" s="6">
        <v>9975</v>
      </c>
      <c r="J1063" s="6">
        <v>52500</v>
      </c>
      <c r="K1063" t="s">
        <v>322</v>
      </c>
      <c r="L1063" t="s">
        <v>26</v>
      </c>
    </row>
    <row r="1064" spans="1:12" x14ac:dyDescent="0.5">
      <c r="A1064" s="2">
        <v>45783</v>
      </c>
      <c r="B1064" s="3" t="s">
        <v>115</v>
      </c>
      <c r="C1064" s="3" t="s">
        <v>257</v>
      </c>
      <c r="D1064" s="3" t="s">
        <v>258</v>
      </c>
      <c r="E1064" s="4">
        <v>125000</v>
      </c>
      <c r="F1064" s="3" t="s">
        <v>41</v>
      </c>
      <c r="G1064" s="3" t="s">
        <v>15</v>
      </c>
      <c r="H1064" s="3" t="s">
        <v>66</v>
      </c>
      <c r="I1064" s="4">
        <v>0</v>
      </c>
      <c r="J1064" s="4">
        <v>125000</v>
      </c>
      <c r="K1064" s="3" t="s">
        <v>67</v>
      </c>
      <c r="L1064" s="3" t="s">
        <v>68</v>
      </c>
    </row>
    <row r="1065" spans="1:12" x14ac:dyDescent="0.5">
      <c r="A1065" s="5">
        <v>45783</v>
      </c>
      <c r="B1065" t="s">
        <v>131</v>
      </c>
      <c r="C1065" t="s">
        <v>435</v>
      </c>
      <c r="E1065" s="6">
        <v>92880</v>
      </c>
      <c r="F1065" t="s">
        <v>41</v>
      </c>
      <c r="G1065" t="s">
        <v>15</v>
      </c>
      <c r="I1065" s="6">
        <v>0</v>
      </c>
      <c r="J1065" s="6">
        <v>92880</v>
      </c>
      <c r="K1065" t="s">
        <v>47</v>
      </c>
      <c r="L1065" t="s">
        <v>48</v>
      </c>
    </row>
    <row r="1066" spans="1:12" x14ac:dyDescent="0.5">
      <c r="A1066" s="2">
        <v>45784</v>
      </c>
      <c r="B1066" s="3" t="s">
        <v>131</v>
      </c>
      <c r="C1066" s="3" t="s">
        <v>261</v>
      </c>
      <c r="D1066" s="3" t="s">
        <v>262</v>
      </c>
      <c r="E1066" s="4">
        <v>75601</v>
      </c>
      <c r="F1066" s="3" t="s">
        <v>14</v>
      </c>
      <c r="G1066" s="3" t="s">
        <v>15</v>
      </c>
      <c r="H1066" s="3" t="s">
        <v>24</v>
      </c>
      <c r="I1066" s="4">
        <v>12071</v>
      </c>
      <c r="J1066" s="4">
        <v>63530</v>
      </c>
      <c r="K1066" s="3" t="s">
        <v>25</v>
      </c>
      <c r="L1066" s="3" t="s">
        <v>26</v>
      </c>
    </row>
    <row r="1067" spans="1:12" x14ac:dyDescent="0.5">
      <c r="A1067" s="5">
        <v>45784</v>
      </c>
      <c r="B1067" t="s">
        <v>131</v>
      </c>
      <c r="C1067" t="s">
        <v>261</v>
      </c>
      <c r="D1067" t="s">
        <v>262</v>
      </c>
      <c r="E1067" s="6">
        <v>75601</v>
      </c>
      <c r="F1067" t="s">
        <v>14</v>
      </c>
      <c r="G1067" t="s">
        <v>15</v>
      </c>
      <c r="H1067" t="s">
        <v>24</v>
      </c>
      <c r="I1067" s="6">
        <v>12071</v>
      </c>
      <c r="J1067" s="6">
        <v>63530</v>
      </c>
      <c r="K1067" t="s">
        <v>25</v>
      </c>
      <c r="L1067" t="s">
        <v>26</v>
      </c>
    </row>
    <row r="1068" spans="1:12" x14ac:dyDescent="0.5">
      <c r="A1068" s="2">
        <v>45784</v>
      </c>
      <c r="B1068" s="3" t="s">
        <v>131</v>
      </c>
      <c r="C1068" s="3" t="s">
        <v>279</v>
      </c>
      <c r="D1068" s="3" t="s">
        <v>280</v>
      </c>
      <c r="E1068" s="4">
        <v>110240</v>
      </c>
      <c r="F1068" s="3" t="s">
        <v>14</v>
      </c>
      <c r="G1068" s="3" t="s">
        <v>15</v>
      </c>
      <c r="H1068" s="3" t="s">
        <v>24</v>
      </c>
      <c r="I1068" s="4">
        <v>17601</v>
      </c>
      <c r="J1068" s="4">
        <v>92639</v>
      </c>
      <c r="K1068" s="3" t="s">
        <v>25</v>
      </c>
      <c r="L1068" s="3" t="s">
        <v>26</v>
      </c>
    </row>
    <row r="1069" spans="1:12" x14ac:dyDescent="0.5">
      <c r="A1069" s="5">
        <v>45784</v>
      </c>
      <c r="B1069" t="s">
        <v>131</v>
      </c>
      <c r="C1069" t="s">
        <v>263</v>
      </c>
      <c r="D1069" t="s">
        <v>264</v>
      </c>
      <c r="E1069" s="6">
        <v>228637</v>
      </c>
      <c r="F1069" t="s">
        <v>14</v>
      </c>
      <c r="G1069" t="s">
        <v>15</v>
      </c>
      <c r="H1069" t="s">
        <v>24</v>
      </c>
      <c r="I1069" s="6">
        <v>36505</v>
      </c>
      <c r="J1069" s="6">
        <v>192132</v>
      </c>
      <c r="K1069" t="s">
        <v>25</v>
      </c>
      <c r="L1069" t="s">
        <v>26</v>
      </c>
    </row>
    <row r="1070" spans="1:12" x14ac:dyDescent="0.5">
      <c r="A1070" s="2">
        <v>45784</v>
      </c>
      <c r="B1070" s="3" t="s">
        <v>131</v>
      </c>
      <c r="C1070" s="3" t="s">
        <v>247</v>
      </c>
      <c r="D1070" s="3" t="s">
        <v>248</v>
      </c>
      <c r="E1070" s="4">
        <v>369876</v>
      </c>
      <c r="F1070" s="3" t="s">
        <v>14</v>
      </c>
      <c r="G1070" s="3" t="s">
        <v>15</v>
      </c>
      <c r="H1070" s="3" t="s">
        <v>24</v>
      </c>
      <c r="I1070" s="4">
        <v>59056</v>
      </c>
      <c r="J1070" s="4">
        <v>310820</v>
      </c>
      <c r="K1070" s="3" t="s">
        <v>25</v>
      </c>
      <c r="L1070" s="3" t="s">
        <v>26</v>
      </c>
    </row>
    <row r="1071" spans="1:12" x14ac:dyDescent="0.5">
      <c r="A1071" s="5">
        <v>45784</v>
      </c>
      <c r="B1071" t="s">
        <v>131</v>
      </c>
      <c r="C1071" t="s">
        <v>253</v>
      </c>
      <c r="D1071" t="s">
        <v>254</v>
      </c>
      <c r="E1071" s="6">
        <v>3200</v>
      </c>
      <c r="F1071" t="s">
        <v>41</v>
      </c>
      <c r="G1071" t="s">
        <v>15</v>
      </c>
      <c r="H1071" t="s">
        <v>255</v>
      </c>
      <c r="I1071" s="6">
        <v>0</v>
      </c>
      <c r="J1071" s="6">
        <v>3200</v>
      </c>
      <c r="K1071" t="s">
        <v>256</v>
      </c>
      <c r="L1071" t="s">
        <v>68</v>
      </c>
    </row>
    <row r="1072" spans="1:12" x14ac:dyDescent="0.5">
      <c r="A1072" s="2">
        <v>45784</v>
      </c>
      <c r="B1072" s="3" t="s">
        <v>131</v>
      </c>
      <c r="C1072" s="3" t="s">
        <v>253</v>
      </c>
      <c r="D1072" s="3" t="s">
        <v>254</v>
      </c>
      <c r="E1072" s="4">
        <v>72904</v>
      </c>
      <c r="F1072" s="3" t="s">
        <v>41</v>
      </c>
      <c r="G1072" s="3" t="s">
        <v>15</v>
      </c>
      <c r="H1072" s="3" t="s">
        <v>255</v>
      </c>
      <c r="I1072" s="4">
        <v>0</v>
      </c>
      <c r="J1072" s="4">
        <v>72904</v>
      </c>
      <c r="K1072" s="3" t="s">
        <v>256</v>
      </c>
      <c r="L1072" s="3" t="s">
        <v>68</v>
      </c>
    </row>
    <row r="1073" spans="1:12" x14ac:dyDescent="0.5">
      <c r="A1073" s="5">
        <v>45785</v>
      </c>
      <c r="B1073" t="s">
        <v>131</v>
      </c>
      <c r="C1073" t="s">
        <v>313</v>
      </c>
      <c r="D1073" t="s">
        <v>314</v>
      </c>
      <c r="E1073" s="6">
        <v>11990</v>
      </c>
      <c r="F1073" t="s">
        <v>14</v>
      </c>
      <c r="G1073" t="s">
        <v>15</v>
      </c>
      <c r="H1073" t="s">
        <v>293</v>
      </c>
      <c r="I1073" s="6">
        <v>1914</v>
      </c>
      <c r="J1073" s="6">
        <v>10076</v>
      </c>
      <c r="K1073" t="s">
        <v>294</v>
      </c>
      <c r="L1073" t="s">
        <v>26</v>
      </c>
    </row>
    <row r="1074" spans="1:12" x14ac:dyDescent="0.5">
      <c r="A1074" s="2">
        <v>45785</v>
      </c>
      <c r="B1074" s="3" t="s">
        <v>115</v>
      </c>
      <c r="C1074" s="3" t="s">
        <v>437</v>
      </c>
      <c r="D1074" s="3" t="s">
        <v>668</v>
      </c>
      <c r="E1074" s="4">
        <v>34000</v>
      </c>
      <c r="F1074" s="3" t="s">
        <v>41</v>
      </c>
      <c r="G1074" s="3" t="s">
        <v>15</v>
      </c>
      <c r="H1074" s="3" t="s">
        <v>66</v>
      </c>
      <c r="I1074" s="4">
        <v>0</v>
      </c>
      <c r="J1074" s="4">
        <v>34000</v>
      </c>
      <c r="K1074" s="3" t="s">
        <v>67</v>
      </c>
      <c r="L1074" s="3" t="s">
        <v>68</v>
      </c>
    </row>
    <row r="1075" spans="1:12" x14ac:dyDescent="0.5">
      <c r="A1075" s="5">
        <v>45789</v>
      </c>
      <c r="B1075" t="s">
        <v>131</v>
      </c>
      <c r="C1075" t="s">
        <v>315</v>
      </c>
      <c r="D1075" t="s">
        <v>316</v>
      </c>
      <c r="E1075" s="6">
        <v>46720</v>
      </c>
      <c r="F1075" t="s">
        <v>14</v>
      </c>
      <c r="G1075" t="s">
        <v>15</v>
      </c>
      <c r="H1075" t="s">
        <v>24</v>
      </c>
      <c r="I1075" s="6">
        <v>7459</v>
      </c>
      <c r="J1075" s="6">
        <v>39261</v>
      </c>
      <c r="K1075" t="s">
        <v>25</v>
      </c>
      <c r="L1075" t="s">
        <v>26</v>
      </c>
    </row>
    <row r="1076" spans="1:12" x14ac:dyDescent="0.5">
      <c r="A1076" s="2">
        <v>45789</v>
      </c>
      <c r="B1076" s="3" t="s">
        <v>131</v>
      </c>
      <c r="C1076" s="3" t="s">
        <v>401</v>
      </c>
      <c r="D1076" s="3" t="s">
        <v>643</v>
      </c>
      <c r="E1076" s="4">
        <v>122601</v>
      </c>
      <c r="F1076" s="3" t="s">
        <v>14</v>
      </c>
      <c r="G1076" s="3" t="s">
        <v>15</v>
      </c>
      <c r="H1076" s="3" t="s">
        <v>212</v>
      </c>
      <c r="I1076" s="4">
        <v>19575</v>
      </c>
      <c r="J1076" s="4">
        <v>103026</v>
      </c>
      <c r="K1076" s="3" t="s">
        <v>213</v>
      </c>
      <c r="L1076" s="3" t="s">
        <v>48</v>
      </c>
    </row>
    <row r="1077" spans="1:12" x14ac:dyDescent="0.5">
      <c r="A1077" s="5">
        <v>45789</v>
      </c>
      <c r="B1077" t="s">
        <v>131</v>
      </c>
      <c r="C1077" t="s">
        <v>269</v>
      </c>
      <c r="D1077" t="s">
        <v>270</v>
      </c>
      <c r="E1077" s="6">
        <v>826409</v>
      </c>
      <c r="F1077" t="s">
        <v>41</v>
      </c>
      <c r="G1077" t="s">
        <v>15</v>
      </c>
      <c r="H1077" t="s">
        <v>46</v>
      </c>
      <c r="I1077" s="6">
        <v>0</v>
      </c>
      <c r="J1077" s="6">
        <v>826409</v>
      </c>
      <c r="K1077" t="s">
        <v>47</v>
      </c>
      <c r="L1077" t="s">
        <v>48</v>
      </c>
    </row>
    <row r="1078" spans="1:12" x14ac:dyDescent="0.5">
      <c r="A1078" s="2">
        <v>45789</v>
      </c>
      <c r="B1078" s="3" t="s">
        <v>115</v>
      </c>
      <c r="C1078" s="3" t="s">
        <v>305</v>
      </c>
      <c r="D1078" s="3" t="s">
        <v>306</v>
      </c>
      <c r="E1078" s="4">
        <v>130000</v>
      </c>
      <c r="F1078" s="3" t="s">
        <v>41</v>
      </c>
      <c r="G1078" s="3" t="s">
        <v>15</v>
      </c>
      <c r="H1078" s="3" t="s">
        <v>307</v>
      </c>
      <c r="I1078" s="4">
        <v>0</v>
      </c>
      <c r="J1078" s="4">
        <v>130000</v>
      </c>
      <c r="K1078" s="3" t="s">
        <v>308</v>
      </c>
      <c r="L1078" s="3" t="s">
        <v>144</v>
      </c>
    </row>
    <row r="1079" spans="1:12" x14ac:dyDescent="0.5">
      <c r="A1079" s="5">
        <v>45789</v>
      </c>
      <c r="B1079" t="s">
        <v>131</v>
      </c>
      <c r="C1079" t="s">
        <v>317</v>
      </c>
      <c r="D1079" t="s">
        <v>318</v>
      </c>
      <c r="E1079" s="6">
        <v>723520</v>
      </c>
      <c r="F1079" t="s">
        <v>14</v>
      </c>
      <c r="G1079" t="s">
        <v>15</v>
      </c>
      <c r="H1079" t="s">
        <v>33</v>
      </c>
      <c r="I1079" s="6">
        <v>115520</v>
      </c>
      <c r="J1079" s="6">
        <v>608000</v>
      </c>
      <c r="K1079" t="s">
        <v>34</v>
      </c>
      <c r="L1079" t="s">
        <v>35</v>
      </c>
    </row>
    <row r="1080" spans="1:12" x14ac:dyDescent="0.5">
      <c r="A1080" s="2">
        <v>45789</v>
      </c>
      <c r="B1080" s="3" t="s">
        <v>131</v>
      </c>
      <c r="C1080" s="3" t="s">
        <v>275</v>
      </c>
      <c r="D1080" s="3" t="s">
        <v>276</v>
      </c>
      <c r="E1080" s="4">
        <v>9282</v>
      </c>
      <c r="F1080" s="3" t="s">
        <v>14</v>
      </c>
      <c r="G1080" s="3" t="s">
        <v>15</v>
      </c>
      <c r="H1080" s="3" t="s">
        <v>20</v>
      </c>
      <c r="I1080" s="4">
        <v>1482</v>
      </c>
      <c r="J1080" s="4">
        <v>7800</v>
      </c>
      <c r="K1080" s="3" t="s">
        <v>21</v>
      </c>
      <c r="L1080" s="3" t="s">
        <v>22</v>
      </c>
    </row>
    <row r="1081" spans="1:12" x14ac:dyDescent="0.5">
      <c r="A1081" s="5">
        <v>45789</v>
      </c>
      <c r="B1081" t="s">
        <v>131</v>
      </c>
      <c r="C1081" t="s">
        <v>378</v>
      </c>
      <c r="D1081" t="s">
        <v>669</v>
      </c>
      <c r="E1081" s="6">
        <v>31200</v>
      </c>
      <c r="F1081" t="s">
        <v>41</v>
      </c>
      <c r="G1081" t="s">
        <v>15</v>
      </c>
      <c r="H1081" t="s">
        <v>20</v>
      </c>
      <c r="I1081" s="6">
        <v>0</v>
      </c>
      <c r="J1081" s="6">
        <v>31200</v>
      </c>
      <c r="K1081" t="s">
        <v>21</v>
      </c>
      <c r="L1081" t="s">
        <v>22</v>
      </c>
    </row>
    <row r="1082" spans="1:12" x14ac:dyDescent="0.5">
      <c r="A1082" s="2">
        <v>45790</v>
      </c>
      <c r="B1082" s="3" t="s">
        <v>131</v>
      </c>
      <c r="C1082" s="3" t="s">
        <v>413</v>
      </c>
      <c r="D1082" s="3" t="s">
        <v>645</v>
      </c>
      <c r="E1082" s="4">
        <v>409574</v>
      </c>
      <c r="F1082" s="3" t="s">
        <v>14</v>
      </c>
      <c r="G1082" s="3" t="s">
        <v>15</v>
      </c>
      <c r="H1082" s="3" t="s">
        <v>321</v>
      </c>
      <c r="I1082" s="4">
        <v>65394</v>
      </c>
      <c r="J1082" s="4">
        <v>344180</v>
      </c>
      <c r="K1082" s="3" t="s">
        <v>322</v>
      </c>
      <c r="L1082" s="3" t="s">
        <v>26</v>
      </c>
    </row>
    <row r="1083" spans="1:12" x14ac:dyDescent="0.5">
      <c r="A1083" s="5">
        <v>45790</v>
      </c>
      <c r="B1083" t="s">
        <v>115</v>
      </c>
      <c r="C1083" t="s">
        <v>427</v>
      </c>
      <c r="D1083" t="s">
        <v>672</v>
      </c>
      <c r="E1083" s="6">
        <v>17217</v>
      </c>
      <c r="F1083" t="s">
        <v>41</v>
      </c>
      <c r="G1083" t="s">
        <v>15</v>
      </c>
      <c r="H1083" t="s">
        <v>66</v>
      </c>
      <c r="I1083" s="6">
        <v>0</v>
      </c>
      <c r="J1083" s="6">
        <v>17217</v>
      </c>
      <c r="K1083" t="s">
        <v>67</v>
      </c>
      <c r="L1083" t="s">
        <v>68</v>
      </c>
    </row>
    <row r="1084" spans="1:12" x14ac:dyDescent="0.5">
      <c r="A1084" s="2">
        <v>45790</v>
      </c>
      <c r="B1084" s="3" t="s">
        <v>131</v>
      </c>
      <c r="C1084" s="3" t="s">
        <v>289</v>
      </c>
      <c r="D1084" s="3" t="s">
        <v>290</v>
      </c>
      <c r="E1084" s="4">
        <v>927569</v>
      </c>
      <c r="F1084" s="3" t="s">
        <v>14</v>
      </c>
      <c r="G1084" s="3" t="s">
        <v>15</v>
      </c>
      <c r="H1084" s="3" t="s">
        <v>16</v>
      </c>
      <c r="I1084" s="4">
        <v>148099</v>
      </c>
      <c r="J1084" s="4">
        <v>779470</v>
      </c>
      <c r="K1084" s="3" t="s">
        <v>17</v>
      </c>
      <c r="L1084" s="3" t="s">
        <v>18</v>
      </c>
    </row>
    <row r="1085" spans="1:12" x14ac:dyDescent="0.5">
      <c r="A1085" s="5">
        <v>45791</v>
      </c>
      <c r="B1085" t="s">
        <v>131</v>
      </c>
      <c r="C1085" t="s">
        <v>287</v>
      </c>
      <c r="D1085" t="s">
        <v>288</v>
      </c>
      <c r="E1085" s="6">
        <v>9896</v>
      </c>
      <c r="F1085" t="s">
        <v>14</v>
      </c>
      <c r="G1085" t="s">
        <v>15</v>
      </c>
      <c r="H1085" t="s">
        <v>24</v>
      </c>
      <c r="I1085" s="6">
        <v>1580</v>
      </c>
      <c r="J1085" s="6">
        <v>8316</v>
      </c>
      <c r="K1085" t="s">
        <v>25</v>
      </c>
      <c r="L1085" t="s">
        <v>26</v>
      </c>
    </row>
    <row r="1086" spans="1:12" x14ac:dyDescent="0.5">
      <c r="A1086" s="2">
        <v>45791</v>
      </c>
      <c r="B1086" s="3" t="s">
        <v>131</v>
      </c>
      <c r="C1086" s="3" t="s">
        <v>295</v>
      </c>
      <c r="D1086" s="3" t="s">
        <v>296</v>
      </c>
      <c r="E1086" s="4">
        <v>61559</v>
      </c>
      <c r="F1086" s="3" t="s">
        <v>14</v>
      </c>
      <c r="G1086" s="3" t="s">
        <v>15</v>
      </c>
      <c r="H1086" s="3" t="s">
        <v>293</v>
      </c>
      <c r="I1086" s="4">
        <v>9829</v>
      </c>
      <c r="J1086" s="4">
        <v>51730</v>
      </c>
      <c r="K1086" s="3" t="s">
        <v>294</v>
      </c>
      <c r="L1086" s="3" t="s">
        <v>26</v>
      </c>
    </row>
    <row r="1087" spans="1:12" x14ac:dyDescent="0.5">
      <c r="A1087" s="5">
        <v>45791</v>
      </c>
      <c r="B1087" t="s">
        <v>131</v>
      </c>
      <c r="C1087" t="s">
        <v>319</v>
      </c>
      <c r="D1087" t="s">
        <v>320</v>
      </c>
      <c r="E1087" s="6">
        <v>751541</v>
      </c>
      <c r="F1087" t="s">
        <v>14</v>
      </c>
      <c r="G1087" t="s">
        <v>15</v>
      </c>
      <c r="H1087" t="s">
        <v>321</v>
      </c>
      <c r="I1087" s="6">
        <v>119994</v>
      </c>
      <c r="J1087" s="6">
        <v>631547</v>
      </c>
      <c r="K1087" t="s">
        <v>322</v>
      </c>
      <c r="L1087" t="s">
        <v>26</v>
      </c>
    </row>
    <row r="1088" spans="1:12" x14ac:dyDescent="0.5">
      <c r="A1088" s="2">
        <v>45791</v>
      </c>
      <c r="B1088" s="3" t="s">
        <v>115</v>
      </c>
      <c r="C1088" s="3" t="s">
        <v>281</v>
      </c>
      <c r="D1088" s="3" t="s">
        <v>282</v>
      </c>
      <c r="E1088" s="4">
        <v>25739</v>
      </c>
      <c r="F1088" s="3" t="s">
        <v>41</v>
      </c>
      <c r="G1088" s="3" t="s">
        <v>15</v>
      </c>
      <c r="H1088" s="3" t="s">
        <v>66</v>
      </c>
      <c r="I1088" s="4">
        <v>0</v>
      </c>
      <c r="J1088" s="4">
        <v>25739</v>
      </c>
      <c r="K1088" s="3" t="s">
        <v>67</v>
      </c>
      <c r="L1088" s="3" t="s">
        <v>68</v>
      </c>
    </row>
    <row r="1089" spans="1:12" x14ac:dyDescent="0.5">
      <c r="A1089" s="5">
        <v>45791</v>
      </c>
      <c r="B1089" t="s">
        <v>131</v>
      </c>
      <c r="C1089" t="s">
        <v>299</v>
      </c>
      <c r="D1089" t="s">
        <v>300</v>
      </c>
      <c r="E1089" s="6">
        <v>105000</v>
      </c>
      <c r="F1089" t="s">
        <v>14</v>
      </c>
      <c r="G1089" t="s">
        <v>15</v>
      </c>
      <c r="H1089" t="s">
        <v>301</v>
      </c>
      <c r="I1089" s="6">
        <v>16765</v>
      </c>
      <c r="J1089" s="6">
        <v>88235</v>
      </c>
      <c r="K1089" t="s">
        <v>302</v>
      </c>
      <c r="L1089" t="s">
        <v>48</v>
      </c>
    </row>
    <row r="1090" spans="1:12" x14ac:dyDescent="0.5">
      <c r="A1090" s="2">
        <v>45792</v>
      </c>
      <c r="B1090" s="3" t="s">
        <v>131</v>
      </c>
      <c r="C1090" s="3" t="s">
        <v>261</v>
      </c>
      <c r="D1090" s="3" t="s">
        <v>262</v>
      </c>
      <c r="E1090" s="4">
        <v>37800</v>
      </c>
      <c r="F1090" s="3" t="s">
        <v>14</v>
      </c>
      <c r="G1090" s="3" t="s">
        <v>15</v>
      </c>
      <c r="H1090" s="3" t="s">
        <v>24</v>
      </c>
      <c r="I1090" s="4">
        <v>6035</v>
      </c>
      <c r="J1090" s="4">
        <v>31765</v>
      </c>
      <c r="K1090" s="3" t="s">
        <v>25</v>
      </c>
      <c r="L1090" s="3" t="s">
        <v>26</v>
      </c>
    </row>
    <row r="1091" spans="1:12" x14ac:dyDescent="0.5">
      <c r="A1091" s="5">
        <v>45792</v>
      </c>
      <c r="B1091" t="s">
        <v>131</v>
      </c>
      <c r="C1091" t="s">
        <v>261</v>
      </c>
      <c r="D1091" t="s">
        <v>262</v>
      </c>
      <c r="E1091" s="6">
        <v>75601</v>
      </c>
      <c r="F1091" t="s">
        <v>14</v>
      </c>
      <c r="G1091" t="s">
        <v>15</v>
      </c>
      <c r="H1091" t="s">
        <v>24</v>
      </c>
      <c r="I1091" s="6">
        <v>12071</v>
      </c>
      <c r="J1091" s="6">
        <v>63530</v>
      </c>
      <c r="K1091" t="s">
        <v>25</v>
      </c>
      <c r="L1091" t="s">
        <v>26</v>
      </c>
    </row>
    <row r="1092" spans="1:12" x14ac:dyDescent="0.5">
      <c r="A1092" s="2">
        <v>45792</v>
      </c>
      <c r="B1092" s="3" t="s">
        <v>131</v>
      </c>
      <c r="C1092" s="3" t="s">
        <v>261</v>
      </c>
      <c r="D1092" s="3" t="s">
        <v>262</v>
      </c>
      <c r="E1092" s="4">
        <v>75601</v>
      </c>
      <c r="F1092" s="3" t="s">
        <v>14</v>
      </c>
      <c r="G1092" s="3" t="s">
        <v>15</v>
      </c>
      <c r="H1092" s="3" t="s">
        <v>24</v>
      </c>
      <c r="I1092" s="4">
        <v>12071</v>
      </c>
      <c r="J1092" s="4">
        <v>63530</v>
      </c>
      <c r="K1092" s="3" t="s">
        <v>25</v>
      </c>
      <c r="L1092" s="3" t="s">
        <v>26</v>
      </c>
    </row>
    <row r="1093" spans="1:12" x14ac:dyDescent="0.5">
      <c r="A1093" s="5">
        <v>45792</v>
      </c>
      <c r="B1093" t="s">
        <v>131</v>
      </c>
      <c r="C1093" t="s">
        <v>261</v>
      </c>
      <c r="D1093" t="s">
        <v>262</v>
      </c>
      <c r="E1093" s="6">
        <v>113401</v>
      </c>
      <c r="F1093" t="s">
        <v>14</v>
      </c>
      <c r="G1093" t="s">
        <v>15</v>
      </c>
      <c r="H1093" t="s">
        <v>24</v>
      </c>
      <c r="I1093" s="6">
        <v>18106</v>
      </c>
      <c r="J1093" s="6">
        <v>95295</v>
      </c>
      <c r="K1093" t="s">
        <v>25</v>
      </c>
      <c r="L1093" t="s">
        <v>26</v>
      </c>
    </row>
    <row r="1094" spans="1:12" x14ac:dyDescent="0.5">
      <c r="A1094" s="2">
        <v>45792</v>
      </c>
      <c r="B1094" s="3" t="s">
        <v>115</v>
      </c>
      <c r="C1094" s="3" t="s">
        <v>281</v>
      </c>
      <c r="D1094" s="3" t="s">
        <v>282</v>
      </c>
      <c r="E1094" s="4">
        <v>5680</v>
      </c>
      <c r="F1094" s="3" t="s">
        <v>41</v>
      </c>
      <c r="G1094" s="3" t="s">
        <v>15</v>
      </c>
      <c r="H1094" s="3" t="s">
        <v>66</v>
      </c>
      <c r="I1094" s="4">
        <v>0</v>
      </c>
      <c r="J1094" s="4">
        <v>5680</v>
      </c>
      <c r="K1094" s="3" t="s">
        <v>67</v>
      </c>
      <c r="L1094" s="3" t="s">
        <v>68</v>
      </c>
    </row>
    <row r="1095" spans="1:12" x14ac:dyDescent="0.5">
      <c r="A1095" s="5">
        <v>45792</v>
      </c>
      <c r="B1095" t="s">
        <v>131</v>
      </c>
      <c r="C1095" t="s">
        <v>438</v>
      </c>
      <c r="D1095" t="s">
        <v>673</v>
      </c>
      <c r="E1095" s="6">
        <v>247253</v>
      </c>
      <c r="F1095" t="s">
        <v>14</v>
      </c>
      <c r="G1095" t="s">
        <v>15</v>
      </c>
      <c r="H1095" t="s">
        <v>119</v>
      </c>
      <c r="I1095" s="6">
        <v>39477</v>
      </c>
      <c r="J1095" s="6">
        <v>207776</v>
      </c>
      <c r="K1095" t="s">
        <v>120</v>
      </c>
      <c r="L1095" t="s">
        <v>48</v>
      </c>
    </row>
    <row r="1096" spans="1:12" x14ac:dyDescent="0.5">
      <c r="A1096" s="2">
        <v>45793</v>
      </c>
      <c r="B1096" s="3" t="s">
        <v>131</v>
      </c>
      <c r="C1096" s="3" t="s">
        <v>247</v>
      </c>
      <c r="D1096" s="3" t="s">
        <v>248</v>
      </c>
      <c r="E1096" s="4">
        <v>161412</v>
      </c>
      <c r="F1096" s="3" t="s">
        <v>14</v>
      </c>
      <c r="G1096" s="3" t="s">
        <v>15</v>
      </c>
      <c r="H1096" s="3" t="s">
        <v>24</v>
      </c>
      <c r="I1096" s="4">
        <v>25772</v>
      </c>
      <c r="J1096" s="4">
        <v>135640</v>
      </c>
      <c r="K1096" s="3" t="s">
        <v>25</v>
      </c>
      <c r="L1096" s="3" t="s">
        <v>26</v>
      </c>
    </row>
    <row r="1097" spans="1:12" x14ac:dyDescent="0.5">
      <c r="A1097" s="5">
        <v>45796</v>
      </c>
      <c r="B1097" t="s">
        <v>115</v>
      </c>
      <c r="C1097" t="s">
        <v>281</v>
      </c>
      <c r="D1097" t="s">
        <v>282</v>
      </c>
      <c r="E1097" s="6">
        <v>23940</v>
      </c>
      <c r="F1097" t="s">
        <v>41</v>
      </c>
      <c r="G1097" t="s">
        <v>15</v>
      </c>
      <c r="H1097" t="s">
        <v>66</v>
      </c>
      <c r="I1097" s="6">
        <v>0</v>
      </c>
      <c r="J1097" s="6">
        <v>23940</v>
      </c>
      <c r="K1097" t="s">
        <v>67</v>
      </c>
      <c r="L1097" t="s">
        <v>68</v>
      </c>
    </row>
    <row r="1098" spans="1:12" x14ac:dyDescent="0.5">
      <c r="A1098" s="2">
        <v>45796</v>
      </c>
      <c r="B1098" s="3" t="s">
        <v>115</v>
      </c>
      <c r="C1098" s="3" t="s">
        <v>440</v>
      </c>
      <c r="D1098" s="3" t="s">
        <v>668</v>
      </c>
      <c r="E1098" s="4">
        <v>34200</v>
      </c>
      <c r="F1098" s="3" t="s">
        <v>41</v>
      </c>
      <c r="G1098" s="3" t="s">
        <v>15</v>
      </c>
      <c r="H1098" s="3" t="s">
        <v>66</v>
      </c>
      <c r="I1098" s="4">
        <v>0</v>
      </c>
      <c r="J1098" s="4">
        <v>34200</v>
      </c>
      <c r="K1098" s="3" t="s">
        <v>67</v>
      </c>
      <c r="L1098" s="3" t="s">
        <v>68</v>
      </c>
    </row>
    <row r="1099" spans="1:12" x14ac:dyDescent="0.5">
      <c r="A1099" s="5">
        <v>45796</v>
      </c>
      <c r="B1099" t="s">
        <v>115</v>
      </c>
      <c r="C1099" t="s">
        <v>251</v>
      </c>
      <c r="D1099" t="s">
        <v>252</v>
      </c>
      <c r="E1099" s="6">
        <v>200000</v>
      </c>
      <c r="F1099" t="s">
        <v>41</v>
      </c>
      <c r="G1099" t="s">
        <v>15</v>
      </c>
      <c r="H1099" t="s">
        <v>66</v>
      </c>
      <c r="I1099" s="6">
        <v>0</v>
      </c>
      <c r="J1099" s="6">
        <v>200000</v>
      </c>
      <c r="K1099" t="s">
        <v>67</v>
      </c>
      <c r="L1099" t="s">
        <v>68</v>
      </c>
    </row>
    <row r="1100" spans="1:12" x14ac:dyDescent="0.5">
      <c r="A1100" s="2">
        <v>45796</v>
      </c>
      <c r="B1100" s="3" t="s">
        <v>115</v>
      </c>
      <c r="C1100" s="3" t="s">
        <v>305</v>
      </c>
      <c r="D1100" s="3" t="s">
        <v>306</v>
      </c>
      <c r="E1100" s="4">
        <v>130000</v>
      </c>
      <c r="F1100" s="3" t="s">
        <v>41</v>
      </c>
      <c r="G1100" s="3" t="s">
        <v>15</v>
      </c>
      <c r="H1100" s="3" t="s">
        <v>307</v>
      </c>
      <c r="I1100" s="4">
        <v>0</v>
      </c>
      <c r="J1100" s="4">
        <v>130000</v>
      </c>
      <c r="K1100" s="3" t="s">
        <v>308</v>
      </c>
      <c r="L1100" s="3" t="s">
        <v>144</v>
      </c>
    </row>
    <row r="1101" spans="1:12" x14ac:dyDescent="0.5">
      <c r="A1101" s="5">
        <v>45799</v>
      </c>
      <c r="B1101" t="s">
        <v>131</v>
      </c>
      <c r="C1101" t="s">
        <v>385</v>
      </c>
      <c r="D1101" t="s">
        <v>642</v>
      </c>
      <c r="E1101" s="6">
        <v>16348</v>
      </c>
      <c r="F1101" t="s">
        <v>14</v>
      </c>
      <c r="G1101" t="s">
        <v>15</v>
      </c>
      <c r="H1101" t="s">
        <v>293</v>
      </c>
      <c r="I1101" s="6">
        <v>2610</v>
      </c>
      <c r="J1101" s="6">
        <v>13738</v>
      </c>
      <c r="K1101" t="s">
        <v>294</v>
      </c>
      <c r="L1101" t="s">
        <v>26</v>
      </c>
    </row>
    <row r="1102" spans="1:12" x14ac:dyDescent="0.5">
      <c r="A1102" s="2">
        <v>45799</v>
      </c>
      <c r="B1102" s="3" t="s">
        <v>131</v>
      </c>
      <c r="C1102" s="3" t="s">
        <v>385</v>
      </c>
      <c r="D1102" s="3" t="s">
        <v>642</v>
      </c>
      <c r="E1102" s="4">
        <v>86045</v>
      </c>
      <c r="F1102" s="3" t="s">
        <v>14</v>
      </c>
      <c r="G1102" s="3" t="s">
        <v>15</v>
      </c>
      <c r="H1102" s="3" t="s">
        <v>293</v>
      </c>
      <c r="I1102" s="4">
        <v>13738</v>
      </c>
      <c r="J1102" s="4">
        <v>72307</v>
      </c>
      <c r="K1102" s="3" t="s">
        <v>294</v>
      </c>
      <c r="L1102" s="3" t="s">
        <v>26</v>
      </c>
    </row>
    <row r="1103" spans="1:12" x14ac:dyDescent="0.5">
      <c r="A1103" s="5">
        <v>45799</v>
      </c>
      <c r="B1103" t="s">
        <v>131</v>
      </c>
      <c r="C1103" t="s">
        <v>279</v>
      </c>
      <c r="D1103" t="s">
        <v>280</v>
      </c>
      <c r="E1103" s="6">
        <v>103350</v>
      </c>
      <c r="F1103" t="s">
        <v>14</v>
      </c>
      <c r="G1103" t="s">
        <v>15</v>
      </c>
      <c r="H1103" t="s">
        <v>24</v>
      </c>
      <c r="I1103" s="6">
        <v>16501</v>
      </c>
      <c r="J1103" s="6">
        <v>86849</v>
      </c>
      <c r="K1103" t="s">
        <v>25</v>
      </c>
      <c r="L1103" t="s">
        <v>26</v>
      </c>
    </row>
    <row r="1104" spans="1:12" x14ac:dyDescent="0.5">
      <c r="A1104" s="2">
        <v>45799</v>
      </c>
      <c r="B1104" s="3" t="s">
        <v>131</v>
      </c>
      <c r="C1104" s="3" t="s">
        <v>285</v>
      </c>
      <c r="D1104" s="3" t="s">
        <v>286</v>
      </c>
      <c r="E1104" s="4">
        <v>144243</v>
      </c>
      <c r="F1104" s="3" t="s">
        <v>14</v>
      </c>
      <c r="G1104" s="3" t="s">
        <v>15</v>
      </c>
      <c r="H1104" s="3" t="s">
        <v>24</v>
      </c>
      <c r="I1104" s="4">
        <v>23030</v>
      </c>
      <c r="J1104" s="4">
        <v>121213</v>
      </c>
      <c r="K1104" s="3" t="s">
        <v>25</v>
      </c>
      <c r="L1104" s="3" t="s">
        <v>26</v>
      </c>
    </row>
    <row r="1105" spans="1:12" x14ac:dyDescent="0.5">
      <c r="A1105" s="5">
        <v>45800</v>
      </c>
      <c r="B1105" t="s">
        <v>131</v>
      </c>
      <c r="C1105" t="s">
        <v>261</v>
      </c>
      <c r="D1105" t="s">
        <v>262</v>
      </c>
      <c r="E1105" s="6">
        <v>37800</v>
      </c>
      <c r="F1105" t="s">
        <v>14</v>
      </c>
      <c r="G1105" t="s">
        <v>15</v>
      </c>
      <c r="H1105" t="s">
        <v>24</v>
      </c>
      <c r="I1105" s="6">
        <v>6035</v>
      </c>
      <c r="J1105" s="6">
        <v>31765</v>
      </c>
      <c r="K1105" t="s">
        <v>25</v>
      </c>
      <c r="L1105" t="s">
        <v>26</v>
      </c>
    </row>
    <row r="1106" spans="1:12" x14ac:dyDescent="0.5">
      <c r="A1106" s="2">
        <v>45800</v>
      </c>
      <c r="B1106" s="3" t="s">
        <v>131</v>
      </c>
      <c r="C1106" s="3" t="s">
        <v>261</v>
      </c>
      <c r="D1106" s="3" t="s">
        <v>262</v>
      </c>
      <c r="E1106" s="4">
        <v>37800</v>
      </c>
      <c r="F1106" s="3" t="s">
        <v>14</v>
      </c>
      <c r="G1106" s="3" t="s">
        <v>15</v>
      </c>
      <c r="H1106" s="3" t="s">
        <v>24</v>
      </c>
      <c r="I1106" s="4">
        <v>6035</v>
      </c>
      <c r="J1106" s="4">
        <v>31765</v>
      </c>
      <c r="K1106" s="3" t="s">
        <v>25</v>
      </c>
      <c r="L1106" s="3" t="s">
        <v>26</v>
      </c>
    </row>
    <row r="1107" spans="1:12" x14ac:dyDescent="0.5">
      <c r="A1107" s="5">
        <v>45800</v>
      </c>
      <c r="B1107" t="s">
        <v>131</v>
      </c>
      <c r="C1107" t="s">
        <v>261</v>
      </c>
      <c r="D1107" t="s">
        <v>262</v>
      </c>
      <c r="E1107" s="6">
        <v>41400</v>
      </c>
      <c r="F1107" t="s">
        <v>14</v>
      </c>
      <c r="G1107" t="s">
        <v>15</v>
      </c>
      <c r="H1107" t="s">
        <v>24</v>
      </c>
      <c r="I1107" s="6">
        <v>6610</v>
      </c>
      <c r="J1107" s="6">
        <v>34790</v>
      </c>
      <c r="K1107" t="s">
        <v>25</v>
      </c>
      <c r="L1107" t="s">
        <v>26</v>
      </c>
    </row>
    <row r="1108" spans="1:12" x14ac:dyDescent="0.5">
      <c r="A1108" s="2">
        <v>45800</v>
      </c>
      <c r="B1108" s="3" t="s">
        <v>115</v>
      </c>
      <c r="C1108" s="3" t="s">
        <v>281</v>
      </c>
      <c r="D1108" s="3" t="s">
        <v>282</v>
      </c>
      <c r="E1108" s="4">
        <v>21990</v>
      </c>
      <c r="F1108" s="3" t="s">
        <v>41</v>
      </c>
      <c r="G1108" s="3" t="s">
        <v>15</v>
      </c>
      <c r="H1108" s="3" t="s">
        <v>66</v>
      </c>
      <c r="I1108" s="4">
        <v>0</v>
      </c>
      <c r="J1108" s="4">
        <v>21990</v>
      </c>
      <c r="K1108" s="3" t="s">
        <v>67</v>
      </c>
      <c r="L1108" s="3" t="s">
        <v>68</v>
      </c>
    </row>
    <row r="1109" spans="1:12" x14ac:dyDescent="0.5">
      <c r="A1109" s="5">
        <v>45803</v>
      </c>
      <c r="B1109" t="s">
        <v>131</v>
      </c>
      <c r="C1109" t="s">
        <v>247</v>
      </c>
      <c r="D1109" t="s">
        <v>248</v>
      </c>
      <c r="E1109" s="6">
        <v>161412</v>
      </c>
      <c r="F1109" t="s">
        <v>14</v>
      </c>
      <c r="G1109" t="s">
        <v>15</v>
      </c>
      <c r="H1109" t="s">
        <v>24</v>
      </c>
      <c r="I1109" s="6">
        <v>25772</v>
      </c>
      <c r="J1109" s="6">
        <v>135640</v>
      </c>
      <c r="K1109" t="s">
        <v>25</v>
      </c>
      <c r="L1109" t="s">
        <v>26</v>
      </c>
    </row>
    <row r="1110" spans="1:12" x14ac:dyDescent="0.5">
      <c r="A1110" s="2">
        <v>45804</v>
      </c>
      <c r="B1110" s="3" t="s">
        <v>131</v>
      </c>
      <c r="C1110" s="3" t="s">
        <v>271</v>
      </c>
      <c r="D1110" s="3" t="s">
        <v>272</v>
      </c>
      <c r="E1110" s="4">
        <v>261978</v>
      </c>
      <c r="F1110" s="3" t="s">
        <v>14</v>
      </c>
      <c r="G1110" s="3" t="s">
        <v>15</v>
      </c>
      <c r="H1110" s="3" t="s">
        <v>24</v>
      </c>
      <c r="I1110" s="4">
        <v>41828</v>
      </c>
      <c r="J1110" s="4">
        <v>220150</v>
      </c>
      <c r="K1110" s="3" t="s">
        <v>25</v>
      </c>
      <c r="L1110" s="3" t="s">
        <v>26</v>
      </c>
    </row>
    <row r="1111" spans="1:12" x14ac:dyDescent="0.5">
      <c r="A1111" s="5">
        <v>45804</v>
      </c>
      <c r="B1111" t="s">
        <v>115</v>
      </c>
      <c r="C1111" t="s">
        <v>305</v>
      </c>
      <c r="D1111" t="s">
        <v>306</v>
      </c>
      <c r="E1111" s="6">
        <v>130000</v>
      </c>
      <c r="F1111" t="s">
        <v>41</v>
      </c>
      <c r="G1111" t="s">
        <v>15</v>
      </c>
      <c r="H1111" t="s">
        <v>307</v>
      </c>
      <c r="I1111" s="6">
        <v>0</v>
      </c>
      <c r="J1111" s="6">
        <v>130000</v>
      </c>
      <c r="K1111" t="s">
        <v>308</v>
      </c>
      <c r="L1111" t="s">
        <v>144</v>
      </c>
    </row>
    <row r="1112" spans="1:12" x14ac:dyDescent="0.5">
      <c r="A1112" s="2">
        <v>45804</v>
      </c>
      <c r="B1112" s="3" t="s">
        <v>131</v>
      </c>
      <c r="C1112" s="3" t="s">
        <v>378</v>
      </c>
      <c r="D1112" s="3" t="s">
        <v>669</v>
      </c>
      <c r="E1112" s="4">
        <v>28860</v>
      </c>
      <c r="F1112" s="3" t="s">
        <v>41</v>
      </c>
      <c r="G1112" s="3" t="s">
        <v>15</v>
      </c>
      <c r="H1112" s="3" t="s">
        <v>20</v>
      </c>
      <c r="I1112" s="4">
        <v>0</v>
      </c>
      <c r="J1112" s="4">
        <v>28860</v>
      </c>
      <c r="K1112" s="3" t="s">
        <v>21</v>
      </c>
      <c r="L1112" s="3" t="s">
        <v>22</v>
      </c>
    </row>
    <row r="1113" spans="1:12" x14ac:dyDescent="0.5">
      <c r="A1113" s="5">
        <v>45806</v>
      </c>
      <c r="B1113" t="s">
        <v>131</v>
      </c>
      <c r="C1113" t="s">
        <v>261</v>
      </c>
      <c r="D1113" t="s">
        <v>262</v>
      </c>
      <c r="E1113" s="6">
        <v>37800</v>
      </c>
      <c r="F1113" t="s">
        <v>14</v>
      </c>
      <c r="G1113" t="s">
        <v>15</v>
      </c>
      <c r="H1113" t="s">
        <v>24</v>
      </c>
      <c r="I1113" s="6">
        <v>6035</v>
      </c>
      <c r="J1113" s="6">
        <v>31765</v>
      </c>
      <c r="K1113" t="s">
        <v>25</v>
      </c>
      <c r="L1113" t="s">
        <v>26</v>
      </c>
    </row>
    <row r="1114" spans="1:12" x14ac:dyDescent="0.5">
      <c r="A1114" s="2">
        <v>45806</v>
      </c>
      <c r="B1114" s="3" t="s">
        <v>131</v>
      </c>
      <c r="C1114" s="3" t="s">
        <v>261</v>
      </c>
      <c r="D1114" s="3" t="s">
        <v>262</v>
      </c>
      <c r="E1114" s="4">
        <v>75601</v>
      </c>
      <c r="F1114" s="3" t="s">
        <v>14</v>
      </c>
      <c r="G1114" s="3" t="s">
        <v>15</v>
      </c>
      <c r="H1114" s="3" t="s">
        <v>24</v>
      </c>
      <c r="I1114" s="4">
        <v>12071</v>
      </c>
      <c r="J1114" s="4">
        <v>63530</v>
      </c>
      <c r="K1114" s="3" t="s">
        <v>25</v>
      </c>
      <c r="L1114" s="3" t="s">
        <v>26</v>
      </c>
    </row>
    <row r="1115" spans="1:12" x14ac:dyDescent="0.5">
      <c r="A1115" s="5">
        <v>45806</v>
      </c>
      <c r="B1115" t="s">
        <v>131</v>
      </c>
      <c r="C1115" t="s">
        <v>261</v>
      </c>
      <c r="D1115" t="s">
        <v>262</v>
      </c>
      <c r="E1115" s="6">
        <v>75601</v>
      </c>
      <c r="F1115" t="s">
        <v>14</v>
      </c>
      <c r="G1115" t="s">
        <v>15</v>
      </c>
      <c r="H1115" t="s">
        <v>24</v>
      </c>
      <c r="I1115" s="6">
        <v>12071</v>
      </c>
      <c r="J1115" s="6">
        <v>63530</v>
      </c>
      <c r="K1115" t="s">
        <v>25</v>
      </c>
      <c r="L1115" t="s">
        <v>26</v>
      </c>
    </row>
    <row r="1116" spans="1:12" x14ac:dyDescent="0.5">
      <c r="A1116" s="2">
        <v>45806</v>
      </c>
      <c r="B1116" s="3" t="s">
        <v>131</v>
      </c>
      <c r="C1116" s="3" t="s">
        <v>261</v>
      </c>
      <c r="D1116" s="3" t="s">
        <v>262</v>
      </c>
      <c r="E1116" s="4">
        <v>75601</v>
      </c>
      <c r="F1116" s="3" t="s">
        <v>14</v>
      </c>
      <c r="G1116" s="3" t="s">
        <v>15</v>
      </c>
      <c r="H1116" s="3" t="s">
        <v>24</v>
      </c>
      <c r="I1116" s="4">
        <v>12071</v>
      </c>
      <c r="J1116" s="4">
        <v>63530</v>
      </c>
      <c r="K1116" s="3" t="s">
        <v>25</v>
      </c>
      <c r="L1116" s="3" t="s">
        <v>26</v>
      </c>
    </row>
    <row r="1117" spans="1:12" x14ac:dyDescent="0.5">
      <c r="A1117" s="5">
        <v>45807</v>
      </c>
      <c r="B1117" t="s">
        <v>131</v>
      </c>
      <c r="C1117" t="s">
        <v>247</v>
      </c>
      <c r="D1117" t="s">
        <v>248</v>
      </c>
      <c r="E1117" s="6">
        <v>208464</v>
      </c>
      <c r="F1117" t="s">
        <v>14</v>
      </c>
      <c r="G1117" t="s">
        <v>15</v>
      </c>
      <c r="H1117" t="s">
        <v>24</v>
      </c>
      <c r="I1117" s="6">
        <v>33284</v>
      </c>
      <c r="J1117" s="6">
        <v>175180</v>
      </c>
      <c r="K1117" t="s">
        <v>25</v>
      </c>
      <c r="L1117" t="s">
        <v>26</v>
      </c>
    </row>
    <row r="1118" spans="1:12" x14ac:dyDescent="0.5">
      <c r="A1118" s="2">
        <v>45810</v>
      </c>
      <c r="B1118" s="3" t="s">
        <v>151</v>
      </c>
      <c r="C1118" s="3" t="s">
        <v>279</v>
      </c>
      <c r="D1118" s="3" t="s">
        <v>280</v>
      </c>
      <c r="E1118" s="4">
        <v>110240</v>
      </c>
      <c r="F1118" s="3" t="s">
        <v>14</v>
      </c>
      <c r="G1118" s="3" t="s">
        <v>15</v>
      </c>
      <c r="H1118" s="3" t="s">
        <v>24</v>
      </c>
      <c r="I1118" s="4">
        <v>17601</v>
      </c>
      <c r="J1118" s="4">
        <v>92639</v>
      </c>
      <c r="K1118" s="3" t="s">
        <v>25</v>
      </c>
      <c r="L1118" s="3" t="s">
        <v>26</v>
      </c>
    </row>
    <row r="1119" spans="1:12" x14ac:dyDescent="0.5">
      <c r="A1119" s="5">
        <v>45810</v>
      </c>
      <c r="B1119" t="s">
        <v>151</v>
      </c>
      <c r="C1119" t="s">
        <v>285</v>
      </c>
      <c r="D1119" t="s">
        <v>286</v>
      </c>
      <c r="E1119" s="6">
        <v>144243</v>
      </c>
      <c r="F1119" t="s">
        <v>14</v>
      </c>
      <c r="G1119" t="s">
        <v>15</v>
      </c>
      <c r="H1119" t="s">
        <v>24</v>
      </c>
      <c r="I1119" s="6">
        <v>23030</v>
      </c>
      <c r="J1119" s="6">
        <v>121213</v>
      </c>
      <c r="K1119" t="s">
        <v>25</v>
      </c>
      <c r="L1119" t="s">
        <v>26</v>
      </c>
    </row>
    <row r="1120" spans="1:12" x14ac:dyDescent="0.5">
      <c r="A1120" s="2">
        <v>45810</v>
      </c>
      <c r="B1120" s="3" t="s">
        <v>151</v>
      </c>
      <c r="C1120" s="3" t="s">
        <v>247</v>
      </c>
      <c r="D1120" s="3" t="s">
        <v>248</v>
      </c>
      <c r="E1120" s="4">
        <v>161412</v>
      </c>
      <c r="F1120" s="3" t="s">
        <v>14</v>
      </c>
      <c r="G1120" s="3" t="s">
        <v>15</v>
      </c>
      <c r="H1120" s="3" t="s">
        <v>24</v>
      </c>
      <c r="I1120" s="4">
        <v>25772</v>
      </c>
      <c r="J1120" s="4">
        <v>135640</v>
      </c>
      <c r="K1120" s="3" t="s">
        <v>25</v>
      </c>
      <c r="L1120" s="3" t="s">
        <v>26</v>
      </c>
    </row>
    <row r="1121" spans="1:12" x14ac:dyDescent="0.5">
      <c r="A1121" s="5">
        <v>45810</v>
      </c>
      <c r="B1121" t="s">
        <v>131</v>
      </c>
      <c r="C1121" t="s">
        <v>394</v>
      </c>
      <c r="D1121" t="s">
        <v>668</v>
      </c>
      <c r="E1121" s="6">
        <v>18000</v>
      </c>
      <c r="F1121" t="s">
        <v>41</v>
      </c>
      <c r="G1121" t="s">
        <v>15</v>
      </c>
      <c r="H1121" t="s">
        <v>66</v>
      </c>
      <c r="I1121" s="6">
        <v>0</v>
      </c>
      <c r="J1121" s="6">
        <v>18000</v>
      </c>
      <c r="K1121" t="s">
        <v>67</v>
      </c>
      <c r="L1121" t="s">
        <v>68</v>
      </c>
    </row>
    <row r="1122" spans="1:12" x14ac:dyDescent="0.5">
      <c r="A1122" s="2">
        <v>45810</v>
      </c>
      <c r="B1122" s="3" t="s">
        <v>151</v>
      </c>
      <c r="C1122" s="3" t="s">
        <v>323</v>
      </c>
      <c r="D1122" s="3" t="s">
        <v>324</v>
      </c>
      <c r="E1122" s="4">
        <v>65000</v>
      </c>
      <c r="F1122" s="3" t="s">
        <v>14</v>
      </c>
      <c r="G1122" s="3" t="s">
        <v>15</v>
      </c>
      <c r="H1122" s="3" t="s">
        <v>267</v>
      </c>
      <c r="I1122" s="4">
        <v>10378</v>
      </c>
      <c r="J1122" s="4">
        <v>54622</v>
      </c>
      <c r="K1122" s="3" t="s">
        <v>268</v>
      </c>
      <c r="L1122" s="3" t="s">
        <v>68</v>
      </c>
    </row>
    <row r="1123" spans="1:12" x14ac:dyDescent="0.5">
      <c r="A1123" s="5">
        <v>45810</v>
      </c>
      <c r="B1123" t="s">
        <v>131</v>
      </c>
      <c r="C1123" t="s">
        <v>437</v>
      </c>
      <c r="D1123" t="s">
        <v>668</v>
      </c>
      <c r="E1123" s="6">
        <v>100000</v>
      </c>
      <c r="F1123" t="s">
        <v>41</v>
      </c>
      <c r="G1123" t="s">
        <v>15</v>
      </c>
      <c r="H1123" t="s">
        <v>66</v>
      </c>
      <c r="I1123" s="6">
        <v>0</v>
      </c>
      <c r="J1123" s="6">
        <v>100000</v>
      </c>
      <c r="K1123" t="s">
        <v>67</v>
      </c>
      <c r="L1123" t="s">
        <v>68</v>
      </c>
    </row>
    <row r="1124" spans="1:12" x14ac:dyDescent="0.5">
      <c r="A1124" s="2">
        <v>45810</v>
      </c>
      <c r="B1124" s="3" t="s">
        <v>131</v>
      </c>
      <c r="C1124" s="3" t="s">
        <v>251</v>
      </c>
      <c r="D1124" s="3" t="s">
        <v>252</v>
      </c>
      <c r="E1124" s="4">
        <v>400092</v>
      </c>
      <c r="F1124" s="3" t="s">
        <v>41</v>
      </c>
      <c r="G1124" s="3" t="s">
        <v>15</v>
      </c>
      <c r="H1124" s="3" t="s">
        <v>66</v>
      </c>
      <c r="I1124" s="4">
        <v>0</v>
      </c>
      <c r="J1124" s="4">
        <v>400092</v>
      </c>
      <c r="K1124" s="3" t="s">
        <v>67</v>
      </c>
      <c r="L1124" s="3" t="s">
        <v>68</v>
      </c>
    </row>
    <row r="1125" spans="1:12" x14ac:dyDescent="0.5">
      <c r="A1125" s="5">
        <v>45810</v>
      </c>
      <c r="B1125" t="s">
        <v>131</v>
      </c>
      <c r="C1125" t="s">
        <v>427</v>
      </c>
      <c r="D1125" t="s">
        <v>672</v>
      </c>
      <c r="E1125" s="6">
        <v>539233</v>
      </c>
      <c r="F1125" t="s">
        <v>41</v>
      </c>
      <c r="G1125" t="s">
        <v>15</v>
      </c>
      <c r="H1125" t="s">
        <v>66</v>
      </c>
      <c r="I1125" s="6">
        <v>0</v>
      </c>
      <c r="J1125" s="6">
        <v>539233</v>
      </c>
      <c r="K1125" t="s">
        <v>67</v>
      </c>
      <c r="L1125" t="s">
        <v>68</v>
      </c>
    </row>
    <row r="1126" spans="1:12" x14ac:dyDescent="0.5">
      <c r="A1126" s="2">
        <v>45810</v>
      </c>
      <c r="B1126" s="3" t="s">
        <v>151</v>
      </c>
      <c r="C1126" s="3" t="s">
        <v>253</v>
      </c>
      <c r="D1126" s="3" t="s">
        <v>254</v>
      </c>
      <c r="E1126" s="4">
        <v>700000</v>
      </c>
      <c r="F1126" s="3" t="s">
        <v>41</v>
      </c>
      <c r="G1126" s="3" t="s">
        <v>15</v>
      </c>
      <c r="H1126" s="3" t="s">
        <v>255</v>
      </c>
      <c r="I1126" s="4">
        <v>0</v>
      </c>
      <c r="J1126" s="4">
        <v>700000</v>
      </c>
      <c r="K1126" s="3" t="s">
        <v>256</v>
      </c>
      <c r="L1126" s="3" t="s">
        <v>68</v>
      </c>
    </row>
    <row r="1127" spans="1:12" x14ac:dyDescent="0.5">
      <c r="A1127" s="5">
        <v>45810</v>
      </c>
      <c r="B1127" t="s">
        <v>131</v>
      </c>
      <c r="C1127" t="s">
        <v>259</v>
      </c>
      <c r="D1127" t="s">
        <v>260</v>
      </c>
      <c r="E1127" s="6">
        <v>800000</v>
      </c>
      <c r="F1127" t="s">
        <v>41</v>
      </c>
      <c r="G1127" t="s">
        <v>15</v>
      </c>
      <c r="H1127" t="s">
        <v>66</v>
      </c>
      <c r="I1127" s="6">
        <v>0</v>
      </c>
      <c r="J1127" s="6">
        <v>800000</v>
      </c>
      <c r="K1127" t="s">
        <v>67</v>
      </c>
      <c r="L1127" t="s">
        <v>68</v>
      </c>
    </row>
    <row r="1128" spans="1:12" x14ac:dyDescent="0.5">
      <c r="A1128" s="2">
        <v>45810</v>
      </c>
      <c r="B1128" s="3" t="s">
        <v>131</v>
      </c>
      <c r="C1128" s="3" t="s">
        <v>281</v>
      </c>
      <c r="D1128" s="3" t="s">
        <v>282</v>
      </c>
      <c r="E1128" s="4">
        <v>802780</v>
      </c>
      <c r="F1128" s="3" t="s">
        <v>41</v>
      </c>
      <c r="G1128" s="3" t="s">
        <v>15</v>
      </c>
      <c r="H1128" s="3" t="s">
        <v>66</v>
      </c>
      <c r="I1128" s="4">
        <v>0</v>
      </c>
      <c r="J1128" s="4">
        <v>802780</v>
      </c>
      <c r="K1128" s="3" t="s">
        <v>67</v>
      </c>
      <c r="L1128" s="3" t="s">
        <v>68</v>
      </c>
    </row>
    <row r="1129" spans="1:12" x14ac:dyDescent="0.5">
      <c r="A1129" s="5">
        <v>45810</v>
      </c>
      <c r="B1129" t="s">
        <v>131</v>
      </c>
      <c r="C1129" t="s">
        <v>249</v>
      </c>
      <c r="D1129" t="s">
        <v>250</v>
      </c>
      <c r="E1129" s="6">
        <v>1128320</v>
      </c>
      <c r="F1129" t="s">
        <v>41</v>
      </c>
      <c r="G1129" t="s">
        <v>15</v>
      </c>
      <c r="H1129" t="s">
        <v>66</v>
      </c>
      <c r="I1129" s="6">
        <v>0</v>
      </c>
      <c r="J1129" s="6">
        <v>1128320</v>
      </c>
      <c r="K1129" t="s">
        <v>67</v>
      </c>
      <c r="L1129" t="s">
        <v>68</v>
      </c>
    </row>
    <row r="1130" spans="1:12" x14ac:dyDescent="0.5">
      <c r="A1130" s="2">
        <v>45810</v>
      </c>
      <c r="B1130" s="3" t="s">
        <v>151</v>
      </c>
      <c r="C1130" s="3" t="s">
        <v>269</v>
      </c>
      <c r="D1130" s="3" t="s">
        <v>270</v>
      </c>
      <c r="E1130" s="4">
        <v>916300</v>
      </c>
      <c r="F1130" s="3" t="s">
        <v>41</v>
      </c>
      <c r="G1130" s="3" t="s">
        <v>15</v>
      </c>
      <c r="H1130" s="3" t="s">
        <v>46</v>
      </c>
      <c r="I1130" s="4">
        <v>0</v>
      </c>
      <c r="J1130" s="4">
        <v>916300</v>
      </c>
      <c r="K1130" s="3" t="s">
        <v>47</v>
      </c>
      <c r="L1130" s="3" t="s">
        <v>48</v>
      </c>
    </row>
    <row r="1131" spans="1:12" x14ac:dyDescent="0.5">
      <c r="A1131" s="5">
        <v>45810</v>
      </c>
      <c r="B1131" t="s">
        <v>131</v>
      </c>
      <c r="C1131" t="s">
        <v>305</v>
      </c>
      <c r="D1131" t="s">
        <v>306</v>
      </c>
      <c r="E1131" s="6">
        <v>130000</v>
      </c>
      <c r="F1131" t="s">
        <v>41</v>
      </c>
      <c r="G1131" t="s">
        <v>15</v>
      </c>
      <c r="H1131" t="s">
        <v>307</v>
      </c>
      <c r="I1131" s="6">
        <v>0</v>
      </c>
      <c r="J1131" s="6">
        <v>130000</v>
      </c>
      <c r="K1131" t="s">
        <v>308</v>
      </c>
      <c r="L1131" t="s">
        <v>144</v>
      </c>
    </row>
    <row r="1132" spans="1:12" x14ac:dyDescent="0.5">
      <c r="A1132" s="2">
        <v>45811</v>
      </c>
      <c r="B1132" s="3" t="s">
        <v>131</v>
      </c>
      <c r="C1132" s="3" t="s">
        <v>249</v>
      </c>
      <c r="D1132" s="3" t="s">
        <v>250</v>
      </c>
      <c r="E1132" s="4">
        <v>19938</v>
      </c>
      <c r="F1132" s="3" t="s">
        <v>41</v>
      </c>
      <c r="G1132" s="3" t="s">
        <v>15</v>
      </c>
      <c r="H1132" s="3" t="s">
        <v>66</v>
      </c>
      <c r="I1132" s="4">
        <v>0</v>
      </c>
      <c r="J1132" s="4">
        <v>19938</v>
      </c>
      <c r="K1132" s="3" t="s">
        <v>67</v>
      </c>
      <c r="L1132" s="3" t="s">
        <v>68</v>
      </c>
    </row>
    <row r="1133" spans="1:12" x14ac:dyDescent="0.5">
      <c r="A1133" s="5">
        <v>45812</v>
      </c>
      <c r="B1133" t="s">
        <v>151</v>
      </c>
      <c r="C1133" t="s">
        <v>325</v>
      </c>
      <c r="D1133" t="s">
        <v>326</v>
      </c>
      <c r="E1133" s="6">
        <v>27358</v>
      </c>
      <c r="F1133" t="s">
        <v>14</v>
      </c>
      <c r="G1133" t="s">
        <v>15</v>
      </c>
      <c r="H1133" t="s">
        <v>293</v>
      </c>
      <c r="I1133" s="6">
        <v>4368</v>
      </c>
      <c r="J1133" s="6">
        <v>22990</v>
      </c>
      <c r="K1133" t="s">
        <v>294</v>
      </c>
      <c r="L1133" t="s">
        <v>26</v>
      </c>
    </row>
    <row r="1134" spans="1:12" x14ac:dyDescent="0.5">
      <c r="A1134" s="2">
        <v>45812</v>
      </c>
      <c r="B1134" s="3" t="s">
        <v>151</v>
      </c>
      <c r="C1134" s="3" t="s">
        <v>261</v>
      </c>
      <c r="D1134" s="3" t="s">
        <v>262</v>
      </c>
      <c r="E1134" s="4">
        <v>37800</v>
      </c>
      <c r="F1134" s="3" t="s">
        <v>14</v>
      </c>
      <c r="G1134" s="3" t="s">
        <v>15</v>
      </c>
      <c r="H1134" s="3" t="s">
        <v>24</v>
      </c>
      <c r="I1134" s="4">
        <v>6035</v>
      </c>
      <c r="J1134" s="4">
        <v>31765</v>
      </c>
      <c r="K1134" s="3" t="s">
        <v>25</v>
      </c>
      <c r="L1134" s="3" t="s">
        <v>26</v>
      </c>
    </row>
    <row r="1135" spans="1:12" x14ac:dyDescent="0.5">
      <c r="A1135" s="5">
        <v>45812</v>
      </c>
      <c r="B1135" t="s">
        <v>151</v>
      </c>
      <c r="C1135" t="s">
        <v>261</v>
      </c>
      <c r="D1135" t="s">
        <v>262</v>
      </c>
      <c r="E1135" s="6">
        <v>37800</v>
      </c>
      <c r="F1135" t="s">
        <v>14</v>
      </c>
      <c r="G1135" t="s">
        <v>15</v>
      </c>
      <c r="H1135" t="s">
        <v>24</v>
      </c>
      <c r="I1135" s="6">
        <v>6035</v>
      </c>
      <c r="J1135" s="6">
        <v>31765</v>
      </c>
      <c r="K1135" t="s">
        <v>25</v>
      </c>
      <c r="L1135" t="s">
        <v>26</v>
      </c>
    </row>
    <row r="1136" spans="1:12" x14ac:dyDescent="0.5">
      <c r="A1136" s="2">
        <v>45812</v>
      </c>
      <c r="B1136" s="3" t="s">
        <v>151</v>
      </c>
      <c r="C1136" s="3" t="s">
        <v>261</v>
      </c>
      <c r="D1136" s="3" t="s">
        <v>262</v>
      </c>
      <c r="E1136" s="4">
        <v>113394</v>
      </c>
      <c r="F1136" s="3" t="s">
        <v>14</v>
      </c>
      <c r="G1136" s="3" t="s">
        <v>15</v>
      </c>
      <c r="H1136" s="3" t="s">
        <v>24</v>
      </c>
      <c r="I1136" s="4">
        <v>18105</v>
      </c>
      <c r="J1136" s="4">
        <v>95289</v>
      </c>
      <c r="K1136" s="3" t="s">
        <v>25</v>
      </c>
      <c r="L1136" s="3" t="s">
        <v>26</v>
      </c>
    </row>
    <row r="1137" spans="1:12" x14ac:dyDescent="0.5">
      <c r="A1137" s="5">
        <v>45812</v>
      </c>
      <c r="B1137" t="s">
        <v>151</v>
      </c>
      <c r="C1137" t="s">
        <v>309</v>
      </c>
      <c r="D1137" t="s">
        <v>310</v>
      </c>
      <c r="E1137" s="6">
        <v>2023595</v>
      </c>
      <c r="F1137" t="s">
        <v>14</v>
      </c>
      <c r="G1137" t="s">
        <v>15</v>
      </c>
      <c r="H1137" t="s">
        <v>293</v>
      </c>
      <c r="I1137" s="6">
        <v>323095</v>
      </c>
      <c r="J1137" s="6">
        <v>1700500</v>
      </c>
      <c r="K1137" t="s">
        <v>294</v>
      </c>
      <c r="L1137" t="s">
        <v>26</v>
      </c>
    </row>
    <row r="1138" spans="1:12" x14ac:dyDescent="0.5">
      <c r="A1138" s="2">
        <v>45812</v>
      </c>
      <c r="B1138" s="3" t="s">
        <v>151</v>
      </c>
      <c r="C1138" s="3" t="s">
        <v>253</v>
      </c>
      <c r="D1138" s="3" t="s">
        <v>254</v>
      </c>
      <c r="E1138" s="4">
        <v>3310</v>
      </c>
      <c r="F1138" s="3" t="s">
        <v>41</v>
      </c>
      <c r="G1138" s="3" t="s">
        <v>15</v>
      </c>
      <c r="H1138" s="3" t="s">
        <v>255</v>
      </c>
      <c r="I1138" s="4">
        <v>0</v>
      </c>
      <c r="J1138" s="4">
        <v>3310</v>
      </c>
      <c r="K1138" s="3" t="s">
        <v>256</v>
      </c>
      <c r="L1138" s="3" t="s">
        <v>68</v>
      </c>
    </row>
    <row r="1139" spans="1:12" x14ac:dyDescent="0.5">
      <c r="A1139" s="5">
        <v>45813</v>
      </c>
      <c r="B1139" t="s">
        <v>151</v>
      </c>
      <c r="C1139" t="s">
        <v>297</v>
      </c>
      <c r="D1139" t="s">
        <v>298</v>
      </c>
      <c r="E1139" s="6">
        <v>1344700</v>
      </c>
      <c r="F1139" t="s">
        <v>14</v>
      </c>
      <c r="G1139" t="s">
        <v>15</v>
      </c>
      <c r="H1139" t="s">
        <v>293</v>
      </c>
      <c r="I1139" s="6">
        <v>214700</v>
      </c>
      <c r="J1139" s="6">
        <v>1130000</v>
      </c>
      <c r="K1139" t="s">
        <v>294</v>
      </c>
      <c r="L1139" t="s">
        <v>26</v>
      </c>
    </row>
    <row r="1140" spans="1:12" x14ac:dyDescent="0.5">
      <c r="A1140" s="2">
        <v>45814</v>
      </c>
      <c r="B1140" s="3" t="s">
        <v>131</v>
      </c>
      <c r="C1140" s="3" t="s">
        <v>305</v>
      </c>
      <c r="D1140" s="3" t="s">
        <v>306</v>
      </c>
      <c r="E1140" s="4">
        <v>21666</v>
      </c>
      <c r="F1140" s="3" t="s">
        <v>41</v>
      </c>
      <c r="G1140" s="3" t="s">
        <v>15</v>
      </c>
      <c r="H1140" s="3" t="s">
        <v>307</v>
      </c>
      <c r="I1140" s="4">
        <v>0</v>
      </c>
      <c r="J1140" s="4">
        <v>21666</v>
      </c>
      <c r="K1140" s="3" t="s">
        <v>308</v>
      </c>
      <c r="L1140" s="3" t="s">
        <v>144</v>
      </c>
    </row>
    <row r="1141" spans="1:12" x14ac:dyDescent="0.5">
      <c r="A1141" s="5">
        <v>45817</v>
      </c>
      <c r="B1141" t="s">
        <v>151</v>
      </c>
      <c r="C1141" t="s">
        <v>247</v>
      </c>
      <c r="D1141" t="s">
        <v>248</v>
      </c>
      <c r="E1141" s="6">
        <v>414970</v>
      </c>
      <c r="F1141" t="s">
        <v>14</v>
      </c>
      <c r="G1141" t="s">
        <v>15</v>
      </c>
      <c r="H1141" t="s">
        <v>24</v>
      </c>
      <c r="I1141" s="6">
        <v>66256</v>
      </c>
      <c r="J1141" s="6">
        <v>348714</v>
      </c>
      <c r="K1141" t="s">
        <v>25</v>
      </c>
      <c r="L1141" t="s">
        <v>26</v>
      </c>
    </row>
    <row r="1142" spans="1:12" x14ac:dyDescent="0.5">
      <c r="A1142" s="2">
        <v>45817</v>
      </c>
      <c r="B1142" s="3" t="s">
        <v>151</v>
      </c>
      <c r="C1142" s="3" t="s">
        <v>269</v>
      </c>
      <c r="D1142" s="3" t="s">
        <v>270</v>
      </c>
      <c r="E1142" s="4">
        <v>692209</v>
      </c>
      <c r="F1142" s="3" t="s">
        <v>41</v>
      </c>
      <c r="G1142" s="3" t="s">
        <v>15</v>
      </c>
      <c r="H1142" s="3" t="s">
        <v>46</v>
      </c>
      <c r="I1142" s="4">
        <v>0</v>
      </c>
      <c r="J1142" s="4">
        <v>692209</v>
      </c>
      <c r="K1142" s="3" t="s">
        <v>47</v>
      </c>
      <c r="L1142" s="3" t="s">
        <v>48</v>
      </c>
    </row>
    <row r="1143" spans="1:12" x14ac:dyDescent="0.5">
      <c r="A1143" s="5">
        <v>45818</v>
      </c>
      <c r="B1143" t="s">
        <v>151</v>
      </c>
      <c r="C1143" t="s">
        <v>287</v>
      </c>
      <c r="D1143" t="s">
        <v>288</v>
      </c>
      <c r="E1143" s="6">
        <v>19792</v>
      </c>
      <c r="F1143" t="s">
        <v>14</v>
      </c>
      <c r="G1143" t="s">
        <v>15</v>
      </c>
      <c r="H1143" t="s">
        <v>24</v>
      </c>
      <c r="I1143" s="6">
        <v>3160</v>
      </c>
      <c r="J1143" s="6">
        <v>16632</v>
      </c>
      <c r="K1143" t="s">
        <v>25</v>
      </c>
      <c r="L1143" t="s">
        <v>26</v>
      </c>
    </row>
    <row r="1144" spans="1:12" x14ac:dyDescent="0.5">
      <c r="A1144" s="2">
        <v>45818</v>
      </c>
      <c r="B1144" s="3" t="s">
        <v>151</v>
      </c>
      <c r="C1144" s="3" t="s">
        <v>261</v>
      </c>
      <c r="D1144" s="3" t="s">
        <v>262</v>
      </c>
      <c r="E1144" s="4">
        <v>37800</v>
      </c>
      <c r="F1144" s="3" t="s">
        <v>14</v>
      </c>
      <c r="G1144" s="3" t="s">
        <v>15</v>
      </c>
      <c r="H1144" s="3" t="s">
        <v>24</v>
      </c>
      <c r="I1144" s="4">
        <v>6035</v>
      </c>
      <c r="J1144" s="4">
        <v>31765</v>
      </c>
      <c r="K1144" s="3" t="s">
        <v>25</v>
      </c>
      <c r="L1144" s="3" t="s">
        <v>26</v>
      </c>
    </row>
    <row r="1145" spans="1:12" x14ac:dyDescent="0.5">
      <c r="A1145" s="5">
        <v>45818</v>
      </c>
      <c r="B1145" t="s">
        <v>151</v>
      </c>
      <c r="C1145" t="s">
        <v>261</v>
      </c>
      <c r="D1145" t="s">
        <v>262</v>
      </c>
      <c r="E1145" s="6">
        <v>37800</v>
      </c>
      <c r="F1145" t="s">
        <v>14</v>
      </c>
      <c r="G1145" t="s">
        <v>15</v>
      </c>
      <c r="H1145" t="s">
        <v>24</v>
      </c>
      <c r="I1145" s="6">
        <v>6035</v>
      </c>
      <c r="J1145" s="6">
        <v>31765</v>
      </c>
      <c r="K1145" t="s">
        <v>25</v>
      </c>
      <c r="L1145" t="s">
        <v>26</v>
      </c>
    </row>
    <row r="1146" spans="1:12" x14ac:dyDescent="0.5">
      <c r="A1146" s="2">
        <v>45818</v>
      </c>
      <c r="B1146" s="3" t="s">
        <v>151</v>
      </c>
      <c r="C1146" s="3" t="s">
        <v>261</v>
      </c>
      <c r="D1146" s="3" t="s">
        <v>262</v>
      </c>
      <c r="E1146" s="4">
        <v>75601</v>
      </c>
      <c r="F1146" s="3" t="s">
        <v>14</v>
      </c>
      <c r="G1146" s="3" t="s">
        <v>15</v>
      </c>
      <c r="H1146" s="3" t="s">
        <v>24</v>
      </c>
      <c r="I1146" s="4">
        <v>12071</v>
      </c>
      <c r="J1146" s="4">
        <v>63530</v>
      </c>
      <c r="K1146" s="3" t="s">
        <v>25</v>
      </c>
      <c r="L1146" s="3" t="s">
        <v>26</v>
      </c>
    </row>
    <row r="1147" spans="1:12" x14ac:dyDescent="0.5">
      <c r="A1147" s="5">
        <v>45818</v>
      </c>
      <c r="B1147" t="s">
        <v>151</v>
      </c>
      <c r="C1147" t="s">
        <v>295</v>
      </c>
      <c r="D1147" t="s">
        <v>296</v>
      </c>
      <c r="E1147" s="6">
        <v>92338</v>
      </c>
      <c r="F1147" t="s">
        <v>14</v>
      </c>
      <c r="G1147" t="s">
        <v>15</v>
      </c>
      <c r="H1147" t="s">
        <v>293</v>
      </c>
      <c r="I1147" s="6">
        <v>14743</v>
      </c>
      <c r="J1147" s="6">
        <v>77595</v>
      </c>
      <c r="K1147" t="s">
        <v>294</v>
      </c>
      <c r="L1147" t="s">
        <v>26</v>
      </c>
    </row>
    <row r="1148" spans="1:12" x14ac:dyDescent="0.5">
      <c r="A1148" s="2">
        <v>45818</v>
      </c>
      <c r="B1148" s="3" t="s">
        <v>151</v>
      </c>
      <c r="C1148" s="3" t="s">
        <v>263</v>
      </c>
      <c r="D1148" s="3" t="s">
        <v>264</v>
      </c>
      <c r="E1148" s="4">
        <v>228637</v>
      </c>
      <c r="F1148" s="3" t="s">
        <v>14</v>
      </c>
      <c r="G1148" s="3" t="s">
        <v>15</v>
      </c>
      <c r="H1148" s="3" t="s">
        <v>24</v>
      </c>
      <c r="I1148" s="4">
        <v>36505</v>
      </c>
      <c r="J1148" s="4">
        <v>192132</v>
      </c>
      <c r="K1148" s="3" t="s">
        <v>25</v>
      </c>
      <c r="L1148" s="3" t="s">
        <v>26</v>
      </c>
    </row>
    <row r="1149" spans="1:12" x14ac:dyDescent="0.5">
      <c r="A1149" s="5">
        <v>45818</v>
      </c>
      <c r="B1149" t="s">
        <v>131</v>
      </c>
      <c r="C1149" t="s">
        <v>445</v>
      </c>
      <c r="D1149" t="s">
        <v>668</v>
      </c>
      <c r="E1149" s="6">
        <v>89218</v>
      </c>
      <c r="F1149" t="s">
        <v>41</v>
      </c>
      <c r="G1149" t="s">
        <v>15</v>
      </c>
      <c r="H1149" t="s">
        <v>66</v>
      </c>
      <c r="I1149" s="6">
        <v>0</v>
      </c>
      <c r="J1149" s="6">
        <v>89218</v>
      </c>
      <c r="K1149" t="s">
        <v>67</v>
      </c>
      <c r="L1149" t="s">
        <v>68</v>
      </c>
    </row>
    <row r="1150" spans="1:12" x14ac:dyDescent="0.5">
      <c r="A1150" s="2">
        <v>45818</v>
      </c>
      <c r="B1150" s="3" t="s">
        <v>151</v>
      </c>
      <c r="C1150" s="3" t="s">
        <v>401</v>
      </c>
      <c r="D1150" s="3" t="s">
        <v>643</v>
      </c>
      <c r="E1150" s="4">
        <v>103601</v>
      </c>
      <c r="F1150" s="3" t="s">
        <v>14</v>
      </c>
      <c r="G1150" s="3" t="s">
        <v>15</v>
      </c>
      <c r="H1150" s="3" t="s">
        <v>212</v>
      </c>
      <c r="I1150" s="4">
        <v>16541</v>
      </c>
      <c r="J1150" s="4">
        <v>87060</v>
      </c>
      <c r="K1150" s="3" t="s">
        <v>213</v>
      </c>
      <c r="L1150" s="3" t="s">
        <v>48</v>
      </c>
    </row>
    <row r="1151" spans="1:12" x14ac:dyDescent="0.5">
      <c r="A1151" s="5">
        <v>45818</v>
      </c>
      <c r="B1151" t="s">
        <v>151</v>
      </c>
      <c r="C1151" t="s">
        <v>444</v>
      </c>
      <c r="E1151" s="6">
        <v>3000</v>
      </c>
      <c r="F1151" t="s">
        <v>41</v>
      </c>
      <c r="G1151" t="s">
        <v>679</v>
      </c>
      <c r="I1151" s="6">
        <v>0</v>
      </c>
      <c r="J1151" s="6">
        <v>3000</v>
      </c>
      <c r="K1151" t="s">
        <v>47</v>
      </c>
      <c r="L1151" t="s">
        <v>48</v>
      </c>
    </row>
    <row r="1152" spans="1:12" x14ac:dyDescent="0.5">
      <c r="A1152" s="2">
        <v>45818</v>
      </c>
      <c r="B1152" s="3" t="s">
        <v>151</v>
      </c>
      <c r="C1152" s="3" t="s">
        <v>289</v>
      </c>
      <c r="D1152" s="3" t="s">
        <v>290</v>
      </c>
      <c r="E1152" s="4">
        <v>1142050</v>
      </c>
      <c r="F1152" s="3" t="s">
        <v>14</v>
      </c>
      <c r="G1152" s="3" t="s">
        <v>15</v>
      </c>
      <c r="H1152" s="3" t="s">
        <v>16</v>
      </c>
      <c r="I1152" s="4">
        <v>182344</v>
      </c>
      <c r="J1152" s="4">
        <v>959706</v>
      </c>
      <c r="K1152" s="3" t="s">
        <v>17</v>
      </c>
      <c r="L1152" s="3" t="s">
        <v>18</v>
      </c>
    </row>
    <row r="1153" spans="1:12" x14ac:dyDescent="0.5">
      <c r="A1153" s="5">
        <v>45818</v>
      </c>
      <c r="B1153" t="s">
        <v>151</v>
      </c>
      <c r="C1153" t="s">
        <v>443</v>
      </c>
      <c r="D1153" t="s">
        <v>648</v>
      </c>
      <c r="E1153" s="6">
        <v>178500</v>
      </c>
      <c r="F1153" t="s">
        <v>14</v>
      </c>
      <c r="G1153" t="s">
        <v>15</v>
      </c>
      <c r="H1153" t="s">
        <v>548</v>
      </c>
      <c r="I1153" s="6">
        <v>28500</v>
      </c>
      <c r="J1153" s="6">
        <v>150000</v>
      </c>
      <c r="K1153" t="s">
        <v>531</v>
      </c>
      <c r="L1153" t="s">
        <v>35</v>
      </c>
    </row>
    <row r="1154" spans="1:12" x14ac:dyDescent="0.5">
      <c r="A1154" s="2">
        <v>45818</v>
      </c>
      <c r="B1154" s="3" t="s">
        <v>151</v>
      </c>
      <c r="C1154" s="3" t="s">
        <v>378</v>
      </c>
      <c r="D1154" s="3" t="s">
        <v>669</v>
      </c>
      <c r="E1154" s="4">
        <v>42000</v>
      </c>
      <c r="F1154" s="3" t="s">
        <v>41</v>
      </c>
      <c r="G1154" s="3" t="s">
        <v>15</v>
      </c>
      <c r="H1154" s="3" t="s">
        <v>20</v>
      </c>
      <c r="I1154" s="4">
        <v>0</v>
      </c>
      <c r="J1154" s="4">
        <v>42000</v>
      </c>
      <c r="K1154" s="3" t="s">
        <v>21</v>
      </c>
      <c r="L1154" s="3" t="s">
        <v>22</v>
      </c>
    </row>
    <row r="1155" spans="1:12" x14ac:dyDescent="0.5">
      <c r="A1155" s="5">
        <v>45819</v>
      </c>
      <c r="B1155" t="s">
        <v>151</v>
      </c>
      <c r="C1155" t="s">
        <v>438</v>
      </c>
      <c r="D1155" t="s">
        <v>673</v>
      </c>
      <c r="E1155" s="6">
        <v>248828</v>
      </c>
      <c r="F1155" t="s">
        <v>14</v>
      </c>
      <c r="G1155" t="s">
        <v>15</v>
      </c>
      <c r="H1155" t="s">
        <v>119</v>
      </c>
      <c r="I1155" s="6">
        <v>39729</v>
      </c>
      <c r="J1155" s="6">
        <v>209099</v>
      </c>
      <c r="K1155" t="s">
        <v>120</v>
      </c>
      <c r="L1155" t="s">
        <v>48</v>
      </c>
    </row>
    <row r="1156" spans="1:12" x14ac:dyDescent="0.5">
      <c r="A1156" s="2">
        <v>45819</v>
      </c>
      <c r="B1156" s="3" t="s">
        <v>151</v>
      </c>
      <c r="C1156" s="3" t="s">
        <v>275</v>
      </c>
      <c r="D1156" s="3" t="s">
        <v>276</v>
      </c>
      <c r="E1156" s="4">
        <v>15470</v>
      </c>
      <c r="F1156" s="3" t="s">
        <v>14</v>
      </c>
      <c r="G1156" s="3" t="s">
        <v>15</v>
      </c>
      <c r="H1156" s="3" t="s">
        <v>20</v>
      </c>
      <c r="I1156" s="4">
        <v>2470</v>
      </c>
      <c r="J1156" s="4">
        <v>13000</v>
      </c>
      <c r="K1156" s="3" t="s">
        <v>21</v>
      </c>
      <c r="L1156" s="3" t="s">
        <v>22</v>
      </c>
    </row>
    <row r="1157" spans="1:12" x14ac:dyDescent="0.5">
      <c r="A1157" s="5">
        <v>45821</v>
      </c>
      <c r="B1157" t="s">
        <v>151</v>
      </c>
      <c r="C1157" t="s">
        <v>261</v>
      </c>
      <c r="D1157" t="s">
        <v>262</v>
      </c>
      <c r="E1157" s="6">
        <v>37800</v>
      </c>
      <c r="F1157" t="s">
        <v>14</v>
      </c>
      <c r="G1157" t="s">
        <v>15</v>
      </c>
      <c r="H1157" t="s">
        <v>24</v>
      </c>
      <c r="I1157" s="6">
        <v>6035</v>
      </c>
      <c r="J1157" s="6">
        <v>31765</v>
      </c>
      <c r="K1157" t="s">
        <v>25</v>
      </c>
      <c r="L1157" t="s">
        <v>26</v>
      </c>
    </row>
    <row r="1158" spans="1:12" x14ac:dyDescent="0.5">
      <c r="A1158" s="2">
        <v>45821</v>
      </c>
      <c r="B1158" s="3" t="s">
        <v>151</v>
      </c>
      <c r="C1158" s="3" t="s">
        <v>261</v>
      </c>
      <c r="D1158" s="3" t="s">
        <v>262</v>
      </c>
      <c r="E1158" s="4">
        <v>37800</v>
      </c>
      <c r="F1158" s="3" t="s">
        <v>14</v>
      </c>
      <c r="G1158" s="3" t="s">
        <v>15</v>
      </c>
      <c r="H1158" s="3" t="s">
        <v>24</v>
      </c>
      <c r="I1158" s="4">
        <v>6035</v>
      </c>
      <c r="J1158" s="4">
        <v>31765</v>
      </c>
      <c r="K1158" s="3" t="s">
        <v>25</v>
      </c>
      <c r="L1158" s="3" t="s">
        <v>26</v>
      </c>
    </row>
    <row r="1159" spans="1:12" x14ac:dyDescent="0.5">
      <c r="A1159" s="5">
        <v>45821</v>
      </c>
      <c r="B1159" t="s">
        <v>151</v>
      </c>
      <c r="C1159" t="s">
        <v>279</v>
      </c>
      <c r="D1159" t="s">
        <v>280</v>
      </c>
      <c r="E1159" s="6">
        <v>110240</v>
      </c>
      <c r="F1159" t="s">
        <v>14</v>
      </c>
      <c r="G1159" t="s">
        <v>15</v>
      </c>
      <c r="H1159" t="s">
        <v>24</v>
      </c>
      <c r="I1159" s="6">
        <v>17601</v>
      </c>
      <c r="J1159" s="6">
        <v>92639</v>
      </c>
      <c r="K1159" t="s">
        <v>25</v>
      </c>
      <c r="L1159" t="s">
        <v>26</v>
      </c>
    </row>
    <row r="1160" spans="1:12" x14ac:dyDescent="0.5">
      <c r="A1160" s="2">
        <v>45821</v>
      </c>
      <c r="B1160" s="3" t="s">
        <v>131</v>
      </c>
      <c r="C1160" s="3" t="s">
        <v>281</v>
      </c>
      <c r="D1160" s="3" t="s">
        <v>282</v>
      </c>
      <c r="E1160" s="4">
        <v>4580</v>
      </c>
      <c r="F1160" s="3" t="s">
        <v>41</v>
      </c>
      <c r="G1160" s="3" t="s">
        <v>15</v>
      </c>
      <c r="H1160" s="3" t="s">
        <v>66</v>
      </c>
      <c r="I1160" s="4">
        <v>0</v>
      </c>
      <c r="J1160" s="4">
        <v>4580</v>
      </c>
      <c r="K1160" s="3" t="s">
        <v>67</v>
      </c>
      <c r="L1160" s="3" t="s">
        <v>68</v>
      </c>
    </row>
    <row r="1161" spans="1:12" x14ac:dyDescent="0.5">
      <c r="A1161" s="5">
        <v>45821</v>
      </c>
      <c r="B1161" t="s">
        <v>131</v>
      </c>
      <c r="C1161" t="s">
        <v>251</v>
      </c>
      <c r="D1161" t="s">
        <v>252</v>
      </c>
      <c r="E1161" s="6">
        <v>200000</v>
      </c>
      <c r="F1161" t="s">
        <v>41</v>
      </c>
      <c r="G1161" t="s">
        <v>15</v>
      </c>
      <c r="H1161" t="s">
        <v>66</v>
      </c>
      <c r="I1161" s="6">
        <v>0</v>
      </c>
      <c r="J1161" s="6">
        <v>200000</v>
      </c>
      <c r="K1161" t="s">
        <v>67</v>
      </c>
      <c r="L1161" t="s">
        <v>68</v>
      </c>
    </row>
    <row r="1162" spans="1:12" x14ac:dyDescent="0.5">
      <c r="A1162" s="2">
        <v>45824</v>
      </c>
      <c r="B1162" s="3" t="s">
        <v>151</v>
      </c>
      <c r="C1162" s="3" t="s">
        <v>285</v>
      </c>
      <c r="D1162" s="3" t="s">
        <v>286</v>
      </c>
      <c r="E1162" s="4">
        <v>164850</v>
      </c>
      <c r="F1162" s="3" t="s">
        <v>14</v>
      </c>
      <c r="G1162" s="3" t="s">
        <v>15</v>
      </c>
      <c r="H1162" s="3" t="s">
        <v>24</v>
      </c>
      <c r="I1162" s="4">
        <v>26321</v>
      </c>
      <c r="J1162" s="4">
        <v>138529</v>
      </c>
      <c r="K1162" s="3" t="s">
        <v>25</v>
      </c>
      <c r="L1162" s="3" t="s">
        <v>26</v>
      </c>
    </row>
    <row r="1163" spans="1:12" x14ac:dyDescent="0.5">
      <c r="A1163" s="5">
        <v>45824</v>
      </c>
      <c r="B1163" t="s">
        <v>131</v>
      </c>
      <c r="C1163" t="s">
        <v>424</v>
      </c>
      <c r="D1163" t="s">
        <v>668</v>
      </c>
      <c r="E1163" s="6">
        <v>42730</v>
      </c>
      <c r="F1163" t="s">
        <v>41</v>
      </c>
      <c r="G1163" t="s">
        <v>15</v>
      </c>
      <c r="H1163" t="s">
        <v>66</v>
      </c>
      <c r="I1163" s="6">
        <v>0</v>
      </c>
      <c r="J1163" s="6">
        <v>42730</v>
      </c>
      <c r="K1163" t="s">
        <v>67</v>
      </c>
      <c r="L1163" t="s">
        <v>68</v>
      </c>
    </row>
    <row r="1164" spans="1:12" x14ac:dyDescent="0.5">
      <c r="A1164" s="2">
        <v>45825</v>
      </c>
      <c r="B1164" s="3" t="s">
        <v>151</v>
      </c>
      <c r="C1164" s="3" t="s">
        <v>261</v>
      </c>
      <c r="D1164" s="3" t="s">
        <v>262</v>
      </c>
      <c r="E1164" s="4">
        <v>75601</v>
      </c>
      <c r="F1164" s="3" t="s">
        <v>14</v>
      </c>
      <c r="G1164" s="3" t="s">
        <v>15</v>
      </c>
      <c r="H1164" s="3" t="s">
        <v>24</v>
      </c>
      <c r="I1164" s="4">
        <v>12071</v>
      </c>
      <c r="J1164" s="4">
        <v>63530</v>
      </c>
      <c r="K1164" s="3" t="s">
        <v>25</v>
      </c>
      <c r="L1164" s="3" t="s">
        <v>26</v>
      </c>
    </row>
    <row r="1165" spans="1:12" x14ac:dyDescent="0.5">
      <c r="A1165" s="5">
        <v>45825</v>
      </c>
      <c r="B1165" t="s">
        <v>151</v>
      </c>
      <c r="C1165" t="s">
        <v>261</v>
      </c>
      <c r="D1165" t="s">
        <v>262</v>
      </c>
      <c r="E1165" s="6">
        <v>75601</v>
      </c>
      <c r="F1165" t="s">
        <v>14</v>
      </c>
      <c r="G1165" t="s">
        <v>15</v>
      </c>
      <c r="H1165" t="s">
        <v>24</v>
      </c>
      <c r="I1165" s="6">
        <v>12071</v>
      </c>
      <c r="J1165" s="6">
        <v>63530</v>
      </c>
      <c r="K1165" t="s">
        <v>25</v>
      </c>
      <c r="L1165" t="s">
        <v>26</v>
      </c>
    </row>
    <row r="1166" spans="1:12" x14ac:dyDescent="0.5">
      <c r="A1166" s="2">
        <v>45825</v>
      </c>
      <c r="B1166" s="3" t="s">
        <v>151</v>
      </c>
      <c r="C1166" s="3" t="s">
        <v>297</v>
      </c>
      <c r="D1166" s="3" t="s">
        <v>298</v>
      </c>
      <c r="E1166" s="4">
        <v>216000</v>
      </c>
      <c r="F1166" s="3" t="s">
        <v>14</v>
      </c>
      <c r="G1166" s="3" t="s">
        <v>15</v>
      </c>
      <c r="H1166" s="3" t="s">
        <v>293</v>
      </c>
      <c r="I1166" s="4">
        <v>34487</v>
      </c>
      <c r="J1166" s="4">
        <v>181513</v>
      </c>
      <c r="K1166" s="3" t="s">
        <v>294</v>
      </c>
      <c r="L1166" s="3" t="s">
        <v>26</v>
      </c>
    </row>
    <row r="1167" spans="1:12" x14ac:dyDescent="0.5">
      <c r="A1167" s="5">
        <v>45825</v>
      </c>
      <c r="B1167" t="s">
        <v>151</v>
      </c>
      <c r="C1167" t="s">
        <v>247</v>
      </c>
      <c r="D1167" t="s">
        <v>248</v>
      </c>
      <c r="E1167" s="6">
        <v>369876</v>
      </c>
      <c r="F1167" t="s">
        <v>14</v>
      </c>
      <c r="G1167" t="s">
        <v>15</v>
      </c>
      <c r="H1167" t="s">
        <v>24</v>
      </c>
      <c r="I1167" s="6">
        <v>59056</v>
      </c>
      <c r="J1167" s="6">
        <v>310820</v>
      </c>
      <c r="K1167" t="s">
        <v>25</v>
      </c>
      <c r="L1167" t="s">
        <v>26</v>
      </c>
    </row>
    <row r="1168" spans="1:12" x14ac:dyDescent="0.5">
      <c r="A1168" s="2">
        <v>45827</v>
      </c>
      <c r="B1168" s="3" t="s">
        <v>131</v>
      </c>
      <c r="C1168" s="3" t="s">
        <v>446</v>
      </c>
      <c r="D1168" s="3" t="s">
        <v>668</v>
      </c>
      <c r="E1168" s="4">
        <v>50565</v>
      </c>
      <c r="F1168" s="3" t="s">
        <v>41</v>
      </c>
      <c r="G1168" s="3" t="s">
        <v>15</v>
      </c>
      <c r="H1168" s="3" t="s">
        <v>66</v>
      </c>
      <c r="I1168" s="4">
        <v>0</v>
      </c>
      <c r="J1168" s="4">
        <v>50565</v>
      </c>
      <c r="K1168" s="3" t="s">
        <v>67</v>
      </c>
      <c r="L1168" s="3" t="s">
        <v>68</v>
      </c>
    </row>
    <row r="1169" spans="1:12" x14ac:dyDescent="0.5">
      <c r="A1169" s="5">
        <v>45827</v>
      </c>
      <c r="B1169" t="s">
        <v>151</v>
      </c>
      <c r="C1169" t="s">
        <v>378</v>
      </c>
      <c r="D1169" t="s">
        <v>669</v>
      </c>
      <c r="E1169" s="6">
        <v>35000</v>
      </c>
      <c r="F1169" t="s">
        <v>41</v>
      </c>
      <c r="G1169" t="s">
        <v>15</v>
      </c>
      <c r="H1169" t="s">
        <v>20</v>
      </c>
      <c r="I1169" s="6">
        <v>0</v>
      </c>
      <c r="J1169" s="6">
        <v>35000</v>
      </c>
      <c r="K1169" t="s">
        <v>21</v>
      </c>
      <c r="L1169" t="s">
        <v>22</v>
      </c>
    </row>
    <row r="1170" spans="1:12" x14ac:dyDescent="0.5">
      <c r="A1170" s="2">
        <v>45831</v>
      </c>
      <c r="B1170" s="3" t="s">
        <v>151</v>
      </c>
      <c r="C1170" s="3" t="s">
        <v>297</v>
      </c>
      <c r="D1170" s="3" t="s">
        <v>298</v>
      </c>
      <c r="E1170" s="4">
        <v>41040</v>
      </c>
      <c r="F1170" s="3" t="s">
        <v>14</v>
      </c>
      <c r="G1170" s="3" t="s">
        <v>15</v>
      </c>
      <c r="H1170" s="3" t="s">
        <v>293</v>
      </c>
      <c r="I1170" s="4">
        <v>6553</v>
      </c>
      <c r="J1170" s="4">
        <v>34487</v>
      </c>
      <c r="K1170" s="3" t="s">
        <v>294</v>
      </c>
      <c r="L1170" s="3" t="s">
        <v>26</v>
      </c>
    </row>
    <row r="1171" spans="1:12" x14ac:dyDescent="0.5">
      <c r="A1171" s="5">
        <v>45831</v>
      </c>
      <c r="B1171" t="s">
        <v>151</v>
      </c>
      <c r="C1171" t="s">
        <v>385</v>
      </c>
      <c r="D1171" t="s">
        <v>642</v>
      </c>
      <c r="E1171" s="6">
        <v>111698</v>
      </c>
      <c r="F1171" t="s">
        <v>14</v>
      </c>
      <c r="G1171" t="s">
        <v>15</v>
      </c>
      <c r="H1171" t="s">
        <v>293</v>
      </c>
      <c r="I1171" s="6">
        <v>17834</v>
      </c>
      <c r="J1171" s="6">
        <v>93864</v>
      </c>
      <c r="K1171" t="s">
        <v>294</v>
      </c>
      <c r="L1171" t="s">
        <v>26</v>
      </c>
    </row>
    <row r="1172" spans="1:12" x14ac:dyDescent="0.5">
      <c r="A1172" s="2">
        <v>45831</v>
      </c>
      <c r="B1172" s="3" t="s">
        <v>151</v>
      </c>
      <c r="C1172" s="3" t="s">
        <v>447</v>
      </c>
      <c r="D1172" s="3" t="s">
        <v>649</v>
      </c>
      <c r="E1172" s="4">
        <v>244188</v>
      </c>
      <c r="F1172" s="3" t="s">
        <v>14</v>
      </c>
      <c r="G1172" s="3" t="s">
        <v>15</v>
      </c>
      <c r="H1172" s="3" t="s">
        <v>293</v>
      </c>
      <c r="I1172" s="4">
        <v>38988</v>
      </c>
      <c r="J1172" s="4">
        <v>205200</v>
      </c>
      <c r="K1172" s="3" t="s">
        <v>294</v>
      </c>
      <c r="L1172" s="3" t="s">
        <v>26</v>
      </c>
    </row>
    <row r="1173" spans="1:12" x14ac:dyDescent="0.5">
      <c r="A1173" s="5">
        <v>45831</v>
      </c>
      <c r="B1173" t="s">
        <v>131</v>
      </c>
      <c r="C1173" t="s">
        <v>249</v>
      </c>
      <c r="D1173" t="s">
        <v>250</v>
      </c>
      <c r="E1173" s="6">
        <v>5290</v>
      </c>
      <c r="F1173" t="s">
        <v>41</v>
      </c>
      <c r="G1173" t="s">
        <v>15</v>
      </c>
      <c r="H1173" t="s">
        <v>66</v>
      </c>
      <c r="I1173" s="6">
        <v>0</v>
      </c>
      <c r="J1173" s="6">
        <v>5290</v>
      </c>
      <c r="K1173" t="s">
        <v>67</v>
      </c>
      <c r="L1173" t="s">
        <v>68</v>
      </c>
    </row>
    <row r="1174" spans="1:12" x14ac:dyDescent="0.5">
      <c r="A1174" s="2">
        <v>45831</v>
      </c>
      <c r="B1174" s="3" t="s">
        <v>131</v>
      </c>
      <c r="C1174" s="3" t="s">
        <v>305</v>
      </c>
      <c r="D1174" s="3" t="s">
        <v>306</v>
      </c>
      <c r="E1174" s="4">
        <v>50000</v>
      </c>
      <c r="F1174" s="3" t="s">
        <v>41</v>
      </c>
      <c r="G1174" s="3" t="s">
        <v>15</v>
      </c>
      <c r="H1174" s="3" t="s">
        <v>307</v>
      </c>
      <c r="I1174" s="4">
        <v>0</v>
      </c>
      <c r="J1174" s="4">
        <v>50000</v>
      </c>
      <c r="K1174" s="3" t="s">
        <v>308</v>
      </c>
      <c r="L1174" s="3" t="s">
        <v>144</v>
      </c>
    </row>
    <row r="1175" spans="1:12" x14ac:dyDescent="0.5">
      <c r="A1175" s="5">
        <v>45833</v>
      </c>
      <c r="B1175" t="s">
        <v>151</v>
      </c>
      <c r="C1175" t="s">
        <v>261</v>
      </c>
      <c r="D1175" t="s">
        <v>262</v>
      </c>
      <c r="E1175" s="6">
        <v>37800</v>
      </c>
      <c r="F1175" t="s">
        <v>14</v>
      </c>
      <c r="G1175" t="s">
        <v>15</v>
      </c>
      <c r="H1175" t="s">
        <v>24</v>
      </c>
      <c r="I1175" s="6">
        <v>6035</v>
      </c>
      <c r="J1175" s="6">
        <v>31765</v>
      </c>
      <c r="K1175" t="s">
        <v>25</v>
      </c>
      <c r="L1175" t="s">
        <v>26</v>
      </c>
    </row>
    <row r="1176" spans="1:12" x14ac:dyDescent="0.5">
      <c r="A1176" s="2">
        <v>45833</v>
      </c>
      <c r="B1176" s="3" t="s">
        <v>151</v>
      </c>
      <c r="C1176" s="3" t="s">
        <v>261</v>
      </c>
      <c r="D1176" s="3" t="s">
        <v>262</v>
      </c>
      <c r="E1176" s="4">
        <v>37800</v>
      </c>
      <c r="F1176" s="3" t="s">
        <v>14</v>
      </c>
      <c r="G1176" s="3" t="s">
        <v>15</v>
      </c>
      <c r="H1176" s="3" t="s">
        <v>24</v>
      </c>
      <c r="I1176" s="4">
        <v>6035</v>
      </c>
      <c r="J1176" s="4">
        <v>31765</v>
      </c>
      <c r="K1176" s="3" t="s">
        <v>25</v>
      </c>
      <c r="L1176" s="3" t="s">
        <v>26</v>
      </c>
    </row>
    <row r="1177" spans="1:12" x14ac:dyDescent="0.5">
      <c r="A1177" s="5">
        <v>45833</v>
      </c>
      <c r="B1177" t="s">
        <v>151</v>
      </c>
      <c r="C1177" t="s">
        <v>261</v>
      </c>
      <c r="D1177" t="s">
        <v>262</v>
      </c>
      <c r="E1177" s="6">
        <v>75601</v>
      </c>
      <c r="F1177" t="s">
        <v>14</v>
      </c>
      <c r="G1177" t="s">
        <v>15</v>
      </c>
      <c r="H1177" t="s">
        <v>24</v>
      </c>
      <c r="I1177" s="6">
        <v>12071</v>
      </c>
      <c r="J1177" s="6">
        <v>63530</v>
      </c>
      <c r="K1177" t="s">
        <v>25</v>
      </c>
      <c r="L1177" t="s">
        <v>26</v>
      </c>
    </row>
    <row r="1178" spans="1:12" x14ac:dyDescent="0.5">
      <c r="A1178" s="2">
        <v>45833</v>
      </c>
      <c r="B1178" s="3" t="s">
        <v>151</v>
      </c>
      <c r="C1178" s="3" t="s">
        <v>261</v>
      </c>
      <c r="D1178" s="3" t="s">
        <v>262</v>
      </c>
      <c r="E1178" s="4">
        <v>75601</v>
      </c>
      <c r="F1178" s="3" t="s">
        <v>14</v>
      </c>
      <c r="G1178" s="3" t="s">
        <v>15</v>
      </c>
      <c r="H1178" s="3" t="s">
        <v>24</v>
      </c>
      <c r="I1178" s="4">
        <v>12071</v>
      </c>
      <c r="J1178" s="4">
        <v>63530</v>
      </c>
      <c r="K1178" s="3" t="s">
        <v>25</v>
      </c>
      <c r="L1178" s="3" t="s">
        <v>26</v>
      </c>
    </row>
    <row r="1179" spans="1:12" x14ac:dyDescent="0.5">
      <c r="A1179" s="5">
        <v>45833</v>
      </c>
      <c r="B1179" t="s">
        <v>151</v>
      </c>
      <c r="C1179" t="s">
        <v>261</v>
      </c>
      <c r="D1179" t="s">
        <v>262</v>
      </c>
      <c r="E1179" s="6">
        <v>75601</v>
      </c>
      <c r="F1179" t="s">
        <v>14</v>
      </c>
      <c r="G1179" t="s">
        <v>15</v>
      </c>
      <c r="H1179" t="s">
        <v>24</v>
      </c>
      <c r="I1179" s="6">
        <v>12071</v>
      </c>
      <c r="J1179" s="6">
        <v>63530</v>
      </c>
      <c r="K1179" t="s">
        <v>25</v>
      </c>
      <c r="L1179" t="s">
        <v>26</v>
      </c>
    </row>
    <row r="1180" spans="1:12" x14ac:dyDescent="0.5">
      <c r="A1180" s="2">
        <v>45833</v>
      </c>
      <c r="B1180" s="3" t="s">
        <v>151</v>
      </c>
      <c r="C1180" s="3" t="s">
        <v>279</v>
      </c>
      <c r="D1180" s="3" t="s">
        <v>280</v>
      </c>
      <c r="E1180" s="4">
        <v>110240</v>
      </c>
      <c r="F1180" s="3" t="s">
        <v>14</v>
      </c>
      <c r="G1180" s="3" t="s">
        <v>15</v>
      </c>
      <c r="H1180" s="3" t="s">
        <v>24</v>
      </c>
      <c r="I1180" s="4">
        <v>17601</v>
      </c>
      <c r="J1180" s="4">
        <v>92639</v>
      </c>
      <c r="K1180" s="3" t="s">
        <v>25</v>
      </c>
      <c r="L1180" s="3" t="s">
        <v>26</v>
      </c>
    </row>
    <row r="1181" spans="1:12" x14ac:dyDescent="0.5">
      <c r="A1181" s="5">
        <v>45833</v>
      </c>
      <c r="B1181" t="s">
        <v>151</v>
      </c>
      <c r="C1181" t="s">
        <v>327</v>
      </c>
      <c r="D1181" t="s">
        <v>328</v>
      </c>
      <c r="E1181" s="6">
        <v>824279</v>
      </c>
      <c r="F1181" t="s">
        <v>14</v>
      </c>
      <c r="G1181" t="s">
        <v>15</v>
      </c>
      <c r="H1181" t="s">
        <v>119</v>
      </c>
      <c r="I1181" s="6">
        <v>131608</v>
      </c>
      <c r="J1181" s="6">
        <v>692671</v>
      </c>
      <c r="K1181" t="s">
        <v>120</v>
      </c>
      <c r="L1181" t="s">
        <v>48</v>
      </c>
    </row>
    <row r="1182" spans="1:12" x14ac:dyDescent="0.5">
      <c r="A1182" s="2">
        <v>45834</v>
      </c>
      <c r="B1182" s="3" t="s">
        <v>151</v>
      </c>
      <c r="C1182" s="3" t="s">
        <v>247</v>
      </c>
      <c r="D1182" s="3" t="s">
        <v>248</v>
      </c>
      <c r="E1182" s="4">
        <v>208464</v>
      </c>
      <c r="F1182" s="3" t="s">
        <v>14</v>
      </c>
      <c r="G1182" s="3" t="s">
        <v>15</v>
      </c>
      <c r="H1182" s="3" t="s">
        <v>24</v>
      </c>
      <c r="I1182" s="4">
        <v>33284</v>
      </c>
      <c r="J1182" s="4">
        <v>175180</v>
      </c>
      <c r="K1182" s="3" t="s">
        <v>25</v>
      </c>
      <c r="L1182" s="3" t="s">
        <v>26</v>
      </c>
    </row>
    <row r="1183" spans="1:12" x14ac:dyDescent="0.5">
      <c r="A1183" s="5">
        <v>45834</v>
      </c>
      <c r="B1183" t="s">
        <v>151</v>
      </c>
      <c r="C1183" t="s">
        <v>263</v>
      </c>
      <c r="D1183" t="s">
        <v>264</v>
      </c>
      <c r="E1183" s="6">
        <v>618950</v>
      </c>
      <c r="F1183" t="s">
        <v>14</v>
      </c>
      <c r="G1183" t="s">
        <v>15</v>
      </c>
      <c r="H1183" t="s">
        <v>24</v>
      </c>
      <c r="I1183" s="6">
        <v>98824</v>
      </c>
      <c r="J1183" s="6">
        <v>520126</v>
      </c>
      <c r="K1183" t="s">
        <v>25</v>
      </c>
      <c r="L1183" t="s">
        <v>26</v>
      </c>
    </row>
    <row r="1184" spans="1:12" x14ac:dyDescent="0.5">
      <c r="A1184" s="2">
        <v>45834</v>
      </c>
      <c r="B1184" s="3" t="s">
        <v>151</v>
      </c>
      <c r="C1184" s="3" t="s">
        <v>253</v>
      </c>
      <c r="D1184" s="3" t="s">
        <v>254</v>
      </c>
      <c r="E1184" s="4">
        <v>18096</v>
      </c>
      <c r="F1184" s="3" t="s">
        <v>41</v>
      </c>
      <c r="G1184" s="3" t="s">
        <v>15</v>
      </c>
      <c r="H1184" s="3" t="s">
        <v>255</v>
      </c>
      <c r="I1184" s="4">
        <v>0</v>
      </c>
      <c r="J1184" s="4">
        <v>18096</v>
      </c>
      <c r="K1184" s="3" t="s">
        <v>256</v>
      </c>
      <c r="L1184" s="3" t="s">
        <v>68</v>
      </c>
    </row>
    <row r="1185" spans="1:12" x14ac:dyDescent="0.5">
      <c r="A1185" s="5">
        <v>45839</v>
      </c>
      <c r="B1185" t="s">
        <v>151</v>
      </c>
      <c r="C1185" t="s">
        <v>251</v>
      </c>
      <c r="D1185" t="s">
        <v>252</v>
      </c>
      <c r="E1185" s="6">
        <v>92</v>
      </c>
      <c r="F1185" t="s">
        <v>41</v>
      </c>
      <c r="G1185" t="s">
        <v>15</v>
      </c>
      <c r="H1185" t="s">
        <v>66</v>
      </c>
      <c r="I1185" s="6">
        <v>0</v>
      </c>
      <c r="J1185" s="6">
        <v>92</v>
      </c>
      <c r="K1185" t="s">
        <v>67</v>
      </c>
      <c r="L1185" t="s">
        <v>68</v>
      </c>
    </row>
    <row r="1186" spans="1:12" x14ac:dyDescent="0.5">
      <c r="A1186" s="2">
        <v>45839</v>
      </c>
      <c r="B1186" s="3" t="s">
        <v>164</v>
      </c>
      <c r="C1186" s="3" t="s">
        <v>253</v>
      </c>
      <c r="D1186" s="3" t="s">
        <v>254</v>
      </c>
      <c r="E1186" s="4">
        <v>29873</v>
      </c>
      <c r="F1186" s="3" t="s">
        <v>41</v>
      </c>
      <c r="G1186" s="3" t="s">
        <v>15</v>
      </c>
      <c r="H1186" s="3" t="s">
        <v>255</v>
      </c>
      <c r="I1186" s="4">
        <v>0</v>
      </c>
      <c r="J1186" s="4">
        <v>29873</v>
      </c>
      <c r="K1186" s="3" t="s">
        <v>256</v>
      </c>
      <c r="L1186" s="3" t="s">
        <v>68</v>
      </c>
    </row>
    <row r="1187" spans="1:12" x14ac:dyDescent="0.5">
      <c r="A1187" s="5">
        <v>45839</v>
      </c>
      <c r="B1187" t="s">
        <v>151</v>
      </c>
      <c r="C1187" t="s">
        <v>395</v>
      </c>
      <c r="D1187" t="s">
        <v>668</v>
      </c>
      <c r="E1187" s="6">
        <v>100000</v>
      </c>
      <c r="F1187" t="s">
        <v>41</v>
      </c>
      <c r="G1187" t="s">
        <v>15</v>
      </c>
      <c r="H1187" t="s">
        <v>66</v>
      </c>
      <c r="I1187" s="6">
        <v>0</v>
      </c>
      <c r="J1187" s="6">
        <v>100000</v>
      </c>
      <c r="K1187" t="s">
        <v>67</v>
      </c>
      <c r="L1187" t="s">
        <v>68</v>
      </c>
    </row>
    <row r="1188" spans="1:12" x14ac:dyDescent="0.5">
      <c r="A1188" s="2">
        <v>45839</v>
      </c>
      <c r="B1188" s="3" t="s">
        <v>151</v>
      </c>
      <c r="C1188" s="3" t="s">
        <v>437</v>
      </c>
      <c r="D1188" s="3" t="s">
        <v>668</v>
      </c>
      <c r="E1188" s="4">
        <v>100000</v>
      </c>
      <c r="F1188" s="3" t="s">
        <v>41</v>
      </c>
      <c r="G1188" s="3" t="s">
        <v>15</v>
      </c>
      <c r="H1188" s="3" t="s">
        <v>66</v>
      </c>
      <c r="I1188" s="4">
        <v>0</v>
      </c>
      <c r="J1188" s="4">
        <v>100000</v>
      </c>
      <c r="K1188" s="3" t="s">
        <v>67</v>
      </c>
      <c r="L1188" s="3" t="s">
        <v>68</v>
      </c>
    </row>
    <row r="1189" spans="1:12" x14ac:dyDescent="0.5">
      <c r="A1189" s="5">
        <v>45839</v>
      </c>
      <c r="B1189" t="s">
        <v>151</v>
      </c>
      <c r="C1189" t="s">
        <v>454</v>
      </c>
      <c r="D1189" t="s">
        <v>674</v>
      </c>
      <c r="E1189" s="6">
        <v>384750</v>
      </c>
      <c r="F1189" t="s">
        <v>41</v>
      </c>
      <c r="G1189" t="s">
        <v>15</v>
      </c>
      <c r="H1189" t="s">
        <v>66</v>
      </c>
      <c r="I1189" s="6">
        <v>0</v>
      </c>
      <c r="J1189" s="6">
        <v>384750</v>
      </c>
      <c r="K1189" t="s">
        <v>67</v>
      </c>
      <c r="L1189" t="s">
        <v>68</v>
      </c>
    </row>
    <row r="1190" spans="1:12" x14ac:dyDescent="0.5">
      <c r="A1190" s="2">
        <v>45839</v>
      </c>
      <c r="B1190" s="3" t="s">
        <v>151</v>
      </c>
      <c r="C1190" s="3" t="s">
        <v>329</v>
      </c>
      <c r="D1190" s="3" t="s">
        <v>330</v>
      </c>
      <c r="E1190" s="4">
        <v>604415</v>
      </c>
      <c r="F1190" s="3" t="s">
        <v>41</v>
      </c>
      <c r="G1190" s="3" t="s">
        <v>15</v>
      </c>
      <c r="H1190" s="3" t="s">
        <v>66</v>
      </c>
      <c r="I1190" s="4">
        <v>0</v>
      </c>
      <c r="J1190" s="4">
        <v>604415</v>
      </c>
      <c r="K1190" s="3" t="s">
        <v>67</v>
      </c>
      <c r="L1190" s="3" t="s">
        <v>68</v>
      </c>
    </row>
    <row r="1191" spans="1:12" x14ac:dyDescent="0.5">
      <c r="A1191" s="5">
        <v>45839</v>
      </c>
      <c r="B1191" t="s">
        <v>164</v>
      </c>
      <c r="C1191" t="s">
        <v>253</v>
      </c>
      <c r="D1191" t="s">
        <v>254</v>
      </c>
      <c r="E1191" s="6">
        <v>700000</v>
      </c>
      <c r="F1191" t="s">
        <v>41</v>
      </c>
      <c r="G1191" t="s">
        <v>15</v>
      </c>
      <c r="H1191" t="s">
        <v>255</v>
      </c>
      <c r="I1191" s="6">
        <v>0</v>
      </c>
      <c r="J1191" s="6">
        <v>700000</v>
      </c>
      <c r="K1191" t="s">
        <v>256</v>
      </c>
      <c r="L1191" t="s">
        <v>68</v>
      </c>
    </row>
    <row r="1192" spans="1:12" x14ac:dyDescent="0.5">
      <c r="A1192" s="2">
        <v>45839</v>
      </c>
      <c r="B1192" s="3" t="s">
        <v>151</v>
      </c>
      <c r="C1192" s="3" t="s">
        <v>259</v>
      </c>
      <c r="D1192" s="3" t="s">
        <v>260</v>
      </c>
      <c r="E1192" s="4">
        <v>800000</v>
      </c>
      <c r="F1192" s="3" t="s">
        <v>41</v>
      </c>
      <c r="G1192" s="3" t="s">
        <v>15</v>
      </c>
      <c r="H1192" s="3" t="s">
        <v>66</v>
      </c>
      <c r="I1192" s="4">
        <v>0</v>
      </c>
      <c r="J1192" s="4">
        <v>800000</v>
      </c>
      <c r="K1192" s="3" t="s">
        <v>67</v>
      </c>
      <c r="L1192" s="3" t="s">
        <v>68</v>
      </c>
    </row>
    <row r="1193" spans="1:12" x14ac:dyDescent="0.5">
      <c r="A1193" s="5">
        <v>45839</v>
      </c>
      <c r="B1193" t="s">
        <v>151</v>
      </c>
      <c r="C1193" t="s">
        <v>281</v>
      </c>
      <c r="D1193" t="s">
        <v>282</v>
      </c>
      <c r="E1193" s="6">
        <v>908346</v>
      </c>
      <c r="F1193" t="s">
        <v>41</v>
      </c>
      <c r="G1193" t="s">
        <v>15</v>
      </c>
      <c r="H1193" t="s">
        <v>66</v>
      </c>
      <c r="I1193" s="6">
        <v>0</v>
      </c>
      <c r="J1193" s="6">
        <v>908346</v>
      </c>
      <c r="K1193" t="s">
        <v>67</v>
      </c>
      <c r="L1193" t="s">
        <v>68</v>
      </c>
    </row>
    <row r="1194" spans="1:12" x14ac:dyDescent="0.5">
      <c r="A1194" s="2">
        <v>45839</v>
      </c>
      <c r="B1194" s="3" t="s">
        <v>151</v>
      </c>
      <c r="C1194" s="3" t="s">
        <v>249</v>
      </c>
      <c r="D1194" s="3" t="s">
        <v>250</v>
      </c>
      <c r="E1194" s="4">
        <v>1134330</v>
      </c>
      <c r="F1194" s="3" t="s">
        <v>41</v>
      </c>
      <c r="G1194" s="3" t="s">
        <v>15</v>
      </c>
      <c r="H1194" s="3" t="s">
        <v>66</v>
      </c>
      <c r="I1194" s="4">
        <v>0</v>
      </c>
      <c r="J1194" s="4">
        <v>1134330</v>
      </c>
      <c r="K1194" s="3" t="s">
        <v>67</v>
      </c>
      <c r="L1194" s="3" t="s">
        <v>68</v>
      </c>
    </row>
    <row r="1195" spans="1:12" x14ac:dyDescent="0.5">
      <c r="A1195" s="5">
        <v>45839</v>
      </c>
      <c r="B1195" t="s">
        <v>164</v>
      </c>
      <c r="C1195" t="s">
        <v>452</v>
      </c>
      <c r="E1195" s="6">
        <v>20393</v>
      </c>
      <c r="F1195" t="s">
        <v>41</v>
      </c>
      <c r="G1195" t="s">
        <v>15</v>
      </c>
      <c r="I1195" s="6">
        <v>0</v>
      </c>
      <c r="J1195" s="6">
        <v>20393</v>
      </c>
      <c r="K1195" t="s">
        <v>47</v>
      </c>
      <c r="L1195" t="s">
        <v>48</v>
      </c>
    </row>
    <row r="1196" spans="1:12" x14ac:dyDescent="0.5">
      <c r="A1196" s="2">
        <v>45839</v>
      </c>
      <c r="B1196" s="3" t="s">
        <v>151</v>
      </c>
      <c r="C1196" s="3" t="s">
        <v>305</v>
      </c>
      <c r="D1196" s="3" t="s">
        <v>306</v>
      </c>
      <c r="E1196" s="4">
        <v>563922</v>
      </c>
      <c r="F1196" s="3" t="s">
        <v>41</v>
      </c>
      <c r="G1196" s="3" t="s">
        <v>15</v>
      </c>
      <c r="H1196" s="3" t="s">
        <v>307</v>
      </c>
      <c r="I1196" s="4">
        <v>0</v>
      </c>
      <c r="J1196" s="4">
        <v>563922</v>
      </c>
      <c r="K1196" s="3" t="s">
        <v>308</v>
      </c>
      <c r="L1196" s="3" t="s">
        <v>144</v>
      </c>
    </row>
    <row r="1197" spans="1:12" x14ac:dyDescent="0.5">
      <c r="A1197" s="5">
        <v>45840</v>
      </c>
      <c r="B1197" t="s">
        <v>151</v>
      </c>
      <c r="C1197" t="s">
        <v>455</v>
      </c>
      <c r="D1197" t="s">
        <v>675</v>
      </c>
      <c r="E1197" s="6">
        <v>50000</v>
      </c>
      <c r="F1197" t="s">
        <v>41</v>
      </c>
      <c r="G1197" t="s">
        <v>15</v>
      </c>
      <c r="H1197" t="s">
        <v>66</v>
      </c>
      <c r="I1197" s="6">
        <v>0</v>
      </c>
      <c r="J1197" s="6">
        <v>50000</v>
      </c>
      <c r="K1197" t="s">
        <v>67</v>
      </c>
      <c r="L1197" t="s">
        <v>68</v>
      </c>
    </row>
    <row r="1198" spans="1:12" x14ac:dyDescent="0.5">
      <c r="A1198" s="2">
        <v>45841</v>
      </c>
      <c r="B1198" s="3" t="s">
        <v>164</v>
      </c>
      <c r="C1198" s="3" t="s">
        <v>315</v>
      </c>
      <c r="D1198" s="3" t="s">
        <v>316</v>
      </c>
      <c r="E1198" s="4">
        <v>29009</v>
      </c>
      <c r="F1198" s="3" t="s">
        <v>14</v>
      </c>
      <c r="G1198" s="3" t="s">
        <v>15</v>
      </c>
      <c r="H1198" s="3" t="s">
        <v>24</v>
      </c>
      <c r="I1198" s="4">
        <v>4632</v>
      </c>
      <c r="J1198" s="4">
        <v>24377</v>
      </c>
      <c r="K1198" s="3" t="s">
        <v>25</v>
      </c>
      <c r="L1198" s="3" t="s">
        <v>26</v>
      </c>
    </row>
    <row r="1199" spans="1:12" x14ac:dyDescent="0.5">
      <c r="A1199" s="5">
        <v>45841</v>
      </c>
      <c r="B1199" t="s">
        <v>164</v>
      </c>
      <c r="C1199" t="s">
        <v>331</v>
      </c>
      <c r="D1199" t="s">
        <v>332</v>
      </c>
      <c r="E1199" s="6">
        <v>79900</v>
      </c>
      <c r="F1199" t="s">
        <v>14</v>
      </c>
      <c r="G1199" t="s">
        <v>15</v>
      </c>
      <c r="H1199" t="s">
        <v>24</v>
      </c>
      <c r="I1199" s="6">
        <v>12757</v>
      </c>
      <c r="J1199" s="6">
        <v>67143</v>
      </c>
      <c r="K1199" t="s">
        <v>25</v>
      </c>
      <c r="L1199" t="s">
        <v>26</v>
      </c>
    </row>
    <row r="1200" spans="1:12" x14ac:dyDescent="0.5">
      <c r="A1200" s="2">
        <v>45841</v>
      </c>
      <c r="B1200" s="3" t="s">
        <v>164</v>
      </c>
      <c r="C1200" s="3" t="s">
        <v>323</v>
      </c>
      <c r="D1200" s="3" t="s">
        <v>324</v>
      </c>
      <c r="E1200" s="4">
        <v>65000</v>
      </c>
      <c r="F1200" s="3" t="s">
        <v>14</v>
      </c>
      <c r="G1200" s="3" t="s">
        <v>15</v>
      </c>
      <c r="H1200" s="3" t="s">
        <v>267</v>
      </c>
      <c r="I1200" s="4">
        <v>10378</v>
      </c>
      <c r="J1200" s="4">
        <v>54622</v>
      </c>
      <c r="K1200" s="3" t="s">
        <v>268</v>
      </c>
      <c r="L1200" s="3" t="s">
        <v>68</v>
      </c>
    </row>
    <row r="1201" spans="1:12" x14ac:dyDescent="0.5">
      <c r="A1201" s="5">
        <v>45841</v>
      </c>
      <c r="B1201" t="s">
        <v>164</v>
      </c>
      <c r="C1201" t="s">
        <v>380</v>
      </c>
      <c r="D1201" t="s">
        <v>641</v>
      </c>
      <c r="E1201" s="6">
        <v>70210</v>
      </c>
      <c r="F1201" t="s">
        <v>14</v>
      </c>
      <c r="G1201" t="s">
        <v>15</v>
      </c>
      <c r="H1201" t="s">
        <v>46</v>
      </c>
      <c r="I1201" s="6">
        <v>11210</v>
      </c>
      <c r="J1201" s="6">
        <v>59000</v>
      </c>
      <c r="K1201" t="s">
        <v>47</v>
      </c>
      <c r="L1201" t="s">
        <v>48</v>
      </c>
    </row>
    <row r="1202" spans="1:12" x14ac:dyDescent="0.5">
      <c r="A1202" s="2">
        <v>45841</v>
      </c>
      <c r="B1202" s="3" t="s">
        <v>164</v>
      </c>
      <c r="C1202" s="3" t="s">
        <v>333</v>
      </c>
      <c r="D1202" s="3" t="s">
        <v>334</v>
      </c>
      <c r="E1202" s="4">
        <v>129000</v>
      </c>
      <c r="F1202" s="3" t="s">
        <v>14</v>
      </c>
      <c r="G1202" s="3" t="s">
        <v>15</v>
      </c>
      <c r="H1202" s="3" t="s">
        <v>33</v>
      </c>
      <c r="I1202" s="4">
        <v>20597</v>
      </c>
      <c r="J1202" s="4">
        <v>108403</v>
      </c>
      <c r="K1202" s="3" t="s">
        <v>34</v>
      </c>
      <c r="L1202" s="3" t="s">
        <v>35</v>
      </c>
    </row>
    <row r="1203" spans="1:12" x14ac:dyDescent="0.5">
      <c r="A1203" s="5">
        <v>45842</v>
      </c>
      <c r="B1203" t="s">
        <v>151</v>
      </c>
      <c r="C1203" t="s">
        <v>394</v>
      </c>
      <c r="D1203" t="s">
        <v>668</v>
      </c>
      <c r="E1203" s="6">
        <v>18000</v>
      </c>
      <c r="F1203" t="s">
        <v>41</v>
      </c>
      <c r="G1203" t="s">
        <v>15</v>
      </c>
      <c r="H1203" t="s">
        <v>66</v>
      </c>
      <c r="I1203" s="6">
        <v>0</v>
      </c>
      <c r="J1203" s="6">
        <v>18000</v>
      </c>
      <c r="K1203" t="s">
        <v>67</v>
      </c>
      <c r="L1203" t="s">
        <v>68</v>
      </c>
    </row>
    <row r="1204" spans="1:12" x14ac:dyDescent="0.5">
      <c r="A1204" s="2">
        <v>45842</v>
      </c>
      <c r="B1204" s="3" t="s">
        <v>164</v>
      </c>
      <c r="C1204" s="3" t="s">
        <v>269</v>
      </c>
      <c r="D1204" s="3" t="s">
        <v>270</v>
      </c>
      <c r="E1204" s="4">
        <v>916300</v>
      </c>
      <c r="F1204" s="3" t="s">
        <v>41</v>
      </c>
      <c r="G1204" s="3" t="s">
        <v>15</v>
      </c>
      <c r="H1204" s="3" t="s">
        <v>46</v>
      </c>
      <c r="I1204" s="4">
        <v>0</v>
      </c>
      <c r="J1204" s="4">
        <v>916300</v>
      </c>
      <c r="K1204" s="3" t="s">
        <v>47</v>
      </c>
      <c r="L1204" s="3" t="s">
        <v>48</v>
      </c>
    </row>
    <row r="1205" spans="1:12" x14ac:dyDescent="0.5">
      <c r="A1205" s="5">
        <v>45845</v>
      </c>
      <c r="B1205" t="s">
        <v>164</v>
      </c>
      <c r="C1205" t="s">
        <v>311</v>
      </c>
      <c r="D1205" t="s">
        <v>312</v>
      </c>
      <c r="E1205" s="6">
        <v>66570</v>
      </c>
      <c r="F1205" t="s">
        <v>14</v>
      </c>
      <c r="G1205" t="s">
        <v>15</v>
      </c>
      <c r="H1205" t="s">
        <v>24</v>
      </c>
      <c r="I1205" s="6">
        <v>10629</v>
      </c>
      <c r="J1205" s="6">
        <v>55941</v>
      </c>
      <c r="K1205" t="s">
        <v>25</v>
      </c>
      <c r="L1205" t="s">
        <v>26</v>
      </c>
    </row>
    <row r="1206" spans="1:12" x14ac:dyDescent="0.5">
      <c r="A1206" s="2">
        <v>45845</v>
      </c>
      <c r="B1206" s="3" t="s">
        <v>164</v>
      </c>
      <c r="C1206" s="3" t="s">
        <v>401</v>
      </c>
      <c r="D1206" s="3" t="s">
        <v>643</v>
      </c>
      <c r="E1206" s="4">
        <v>122015</v>
      </c>
      <c r="F1206" s="3" t="s">
        <v>14</v>
      </c>
      <c r="G1206" s="3" t="s">
        <v>15</v>
      </c>
      <c r="H1206" s="3" t="s">
        <v>212</v>
      </c>
      <c r="I1206" s="4">
        <v>19481</v>
      </c>
      <c r="J1206" s="4">
        <v>102534</v>
      </c>
      <c r="K1206" s="3" t="s">
        <v>213</v>
      </c>
      <c r="L1206" s="3" t="s">
        <v>48</v>
      </c>
    </row>
    <row r="1207" spans="1:12" x14ac:dyDescent="0.5">
      <c r="A1207" s="5">
        <v>45845</v>
      </c>
      <c r="B1207" t="s">
        <v>164</v>
      </c>
      <c r="C1207" t="s">
        <v>438</v>
      </c>
      <c r="D1207" t="s">
        <v>673</v>
      </c>
      <c r="E1207" s="6">
        <v>246737</v>
      </c>
      <c r="F1207" t="s">
        <v>14</v>
      </c>
      <c r="G1207" t="s">
        <v>15</v>
      </c>
      <c r="H1207" t="s">
        <v>119</v>
      </c>
      <c r="I1207" s="6">
        <v>39395</v>
      </c>
      <c r="J1207" s="6">
        <v>207342</v>
      </c>
      <c r="K1207" t="s">
        <v>120</v>
      </c>
      <c r="L1207" t="s">
        <v>48</v>
      </c>
    </row>
    <row r="1208" spans="1:12" x14ac:dyDescent="0.5">
      <c r="A1208" s="2">
        <v>45845</v>
      </c>
      <c r="B1208" s="3" t="s">
        <v>164</v>
      </c>
      <c r="C1208" s="3" t="s">
        <v>327</v>
      </c>
      <c r="D1208" s="3" t="s">
        <v>328</v>
      </c>
      <c r="E1208" s="4">
        <v>824993</v>
      </c>
      <c r="F1208" s="3" t="s">
        <v>14</v>
      </c>
      <c r="G1208" s="3" t="s">
        <v>15</v>
      </c>
      <c r="H1208" s="3" t="s">
        <v>119</v>
      </c>
      <c r="I1208" s="4">
        <v>131722</v>
      </c>
      <c r="J1208" s="4">
        <v>693271</v>
      </c>
      <c r="K1208" s="3" t="s">
        <v>120</v>
      </c>
      <c r="L1208" s="3" t="s">
        <v>48</v>
      </c>
    </row>
    <row r="1209" spans="1:12" x14ac:dyDescent="0.5">
      <c r="A1209" s="5">
        <v>45845</v>
      </c>
      <c r="B1209" t="s">
        <v>151</v>
      </c>
      <c r="C1209" t="s">
        <v>305</v>
      </c>
      <c r="D1209" t="s">
        <v>306</v>
      </c>
      <c r="E1209" s="6">
        <v>25000</v>
      </c>
      <c r="F1209" t="s">
        <v>41</v>
      </c>
      <c r="G1209" t="s">
        <v>15</v>
      </c>
      <c r="H1209" t="s">
        <v>307</v>
      </c>
      <c r="I1209" s="6">
        <v>0</v>
      </c>
      <c r="J1209" s="6">
        <v>25000</v>
      </c>
      <c r="K1209" t="s">
        <v>308</v>
      </c>
      <c r="L1209" t="s">
        <v>144</v>
      </c>
    </row>
    <row r="1210" spans="1:12" x14ac:dyDescent="0.5">
      <c r="A1210" s="2">
        <v>45845</v>
      </c>
      <c r="B1210" s="3" t="s">
        <v>164</v>
      </c>
      <c r="C1210" s="3" t="s">
        <v>378</v>
      </c>
      <c r="D1210" s="3" t="s">
        <v>669</v>
      </c>
      <c r="E1210" s="4">
        <v>42000</v>
      </c>
      <c r="F1210" s="3" t="s">
        <v>41</v>
      </c>
      <c r="G1210" s="3" t="s">
        <v>15</v>
      </c>
      <c r="H1210" s="3" t="s">
        <v>20</v>
      </c>
      <c r="I1210" s="4">
        <v>0</v>
      </c>
      <c r="J1210" s="4">
        <v>42000</v>
      </c>
      <c r="K1210" s="3" t="s">
        <v>21</v>
      </c>
      <c r="L1210" s="3" t="s">
        <v>22</v>
      </c>
    </row>
    <row r="1211" spans="1:12" x14ac:dyDescent="0.5">
      <c r="A1211" s="5">
        <v>45846</v>
      </c>
      <c r="B1211" t="s">
        <v>164</v>
      </c>
      <c r="C1211" t="s">
        <v>319</v>
      </c>
      <c r="D1211" t="s">
        <v>320</v>
      </c>
      <c r="E1211" s="6">
        <v>71502</v>
      </c>
      <c r="F1211" t="s">
        <v>14</v>
      </c>
      <c r="G1211" t="s">
        <v>15</v>
      </c>
      <c r="H1211" t="s">
        <v>321</v>
      </c>
      <c r="I1211" s="6">
        <v>11416</v>
      </c>
      <c r="J1211" s="6">
        <v>60086</v>
      </c>
      <c r="K1211" t="s">
        <v>322</v>
      </c>
      <c r="L1211" t="s">
        <v>26</v>
      </c>
    </row>
    <row r="1212" spans="1:12" x14ac:dyDescent="0.5">
      <c r="A1212" s="2">
        <v>45846</v>
      </c>
      <c r="B1212" s="3" t="s">
        <v>151</v>
      </c>
      <c r="C1212" s="3" t="s">
        <v>281</v>
      </c>
      <c r="D1212" s="3" t="s">
        <v>282</v>
      </c>
      <c r="E1212" s="4">
        <v>20670</v>
      </c>
      <c r="F1212" s="3" t="s">
        <v>41</v>
      </c>
      <c r="G1212" s="3" t="s">
        <v>15</v>
      </c>
      <c r="H1212" s="3" t="s">
        <v>66</v>
      </c>
      <c r="I1212" s="4">
        <v>0</v>
      </c>
      <c r="J1212" s="4">
        <v>20670</v>
      </c>
      <c r="K1212" s="3" t="s">
        <v>67</v>
      </c>
      <c r="L1212" s="3" t="s">
        <v>68</v>
      </c>
    </row>
    <row r="1213" spans="1:12" x14ac:dyDescent="0.5">
      <c r="A1213" s="5">
        <v>45846</v>
      </c>
      <c r="B1213" t="s">
        <v>164</v>
      </c>
      <c r="C1213" t="s">
        <v>299</v>
      </c>
      <c r="D1213" t="s">
        <v>300</v>
      </c>
      <c r="E1213" s="6">
        <v>105000</v>
      </c>
      <c r="F1213" t="s">
        <v>14</v>
      </c>
      <c r="G1213" t="s">
        <v>15</v>
      </c>
      <c r="H1213" t="s">
        <v>301</v>
      </c>
      <c r="I1213" s="6">
        <v>16765</v>
      </c>
      <c r="J1213" s="6">
        <v>88235</v>
      </c>
      <c r="K1213" t="s">
        <v>302</v>
      </c>
      <c r="L1213" t="s">
        <v>48</v>
      </c>
    </row>
    <row r="1214" spans="1:12" x14ac:dyDescent="0.5">
      <c r="A1214" s="2">
        <v>45846</v>
      </c>
      <c r="B1214" s="3" t="s">
        <v>164</v>
      </c>
      <c r="C1214" s="3" t="s">
        <v>269</v>
      </c>
      <c r="D1214" s="3" t="s">
        <v>270</v>
      </c>
      <c r="E1214" s="4">
        <v>533892</v>
      </c>
      <c r="F1214" s="3" t="s">
        <v>41</v>
      </c>
      <c r="G1214" s="3" t="s">
        <v>15</v>
      </c>
      <c r="H1214" s="3" t="s">
        <v>46</v>
      </c>
      <c r="I1214" s="4">
        <v>0</v>
      </c>
      <c r="J1214" s="4">
        <v>533892</v>
      </c>
      <c r="K1214" s="3" t="s">
        <v>47</v>
      </c>
      <c r="L1214" s="3" t="s">
        <v>48</v>
      </c>
    </row>
    <row r="1215" spans="1:12" x14ac:dyDescent="0.5">
      <c r="A1215" s="5">
        <v>45847</v>
      </c>
      <c r="B1215" t="s">
        <v>164</v>
      </c>
      <c r="C1215" t="s">
        <v>279</v>
      </c>
      <c r="D1215" t="s">
        <v>280</v>
      </c>
      <c r="E1215" s="6">
        <v>137800</v>
      </c>
      <c r="F1215" t="s">
        <v>14</v>
      </c>
      <c r="G1215" t="s">
        <v>15</v>
      </c>
      <c r="H1215" t="s">
        <v>24</v>
      </c>
      <c r="I1215" s="6">
        <v>22002</v>
      </c>
      <c r="J1215" s="6">
        <v>115798</v>
      </c>
      <c r="K1215" t="s">
        <v>25</v>
      </c>
      <c r="L1215" t="s">
        <v>26</v>
      </c>
    </row>
    <row r="1216" spans="1:12" x14ac:dyDescent="0.5">
      <c r="A1216" s="2">
        <v>45847</v>
      </c>
      <c r="B1216" s="3" t="s">
        <v>164</v>
      </c>
      <c r="C1216" s="3" t="s">
        <v>247</v>
      </c>
      <c r="D1216" s="3" t="s">
        <v>248</v>
      </c>
      <c r="E1216" s="4">
        <v>253558</v>
      </c>
      <c r="F1216" s="3" t="s">
        <v>14</v>
      </c>
      <c r="G1216" s="3" t="s">
        <v>15</v>
      </c>
      <c r="H1216" s="3" t="s">
        <v>24</v>
      </c>
      <c r="I1216" s="4">
        <v>40484</v>
      </c>
      <c r="J1216" s="4">
        <v>213074</v>
      </c>
      <c r="K1216" s="3" t="s">
        <v>25</v>
      </c>
      <c r="L1216" s="3" t="s">
        <v>26</v>
      </c>
    </row>
    <row r="1217" spans="1:12" x14ac:dyDescent="0.5">
      <c r="A1217" s="5">
        <v>45847</v>
      </c>
      <c r="B1217" t="s">
        <v>164</v>
      </c>
      <c r="C1217" t="s">
        <v>289</v>
      </c>
      <c r="D1217" t="s">
        <v>290</v>
      </c>
      <c r="E1217" s="6">
        <v>1126145</v>
      </c>
      <c r="F1217" t="s">
        <v>14</v>
      </c>
      <c r="G1217" t="s">
        <v>15</v>
      </c>
      <c r="H1217" t="s">
        <v>16</v>
      </c>
      <c r="I1217" s="6">
        <v>179805</v>
      </c>
      <c r="J1217" s="6">
        <v>946340</v>
      </c>
      <c r="K1217" t="s">
        <v>17</v>
      </c>
      <c r="L1217" t="s">
        <v>18</v>
      </c>
    </row>
    <row r="1218" spans="1:12" x14ac:dyDescent="0.5">
      <c r="A1218" s="2">
        <v>45848</v>
      </c>
      <c r="B1218" s="3" t="s">
        <v>164</v>
      </c>
      <c r="C1218" s="3" t="s">
        <v>297</v>
      </c>
      <c r="D1218" s="3" t="s">
        <v>298</v>
      </c>
      <c r="E1218" s="4">
        <v>101388</v>
      </c>
      <c r="F1218" s="3" t="s">
        <v>14</v>
      </c>
      <c r="G1218" s="3" t="s">
        <v>15</v>
      </c>
      <c r="H1218" s="3" t="s">
        <v>293</v>
      </c>
      <c r="I1218" s="4">
        <v>16188</v>
      </c>
      <c r="J1218" s="4">
        <v>85200</v>
      </c>
      <c r="K1218" s="3" t="s">
        <v>294</v>
      </c>
      <c r="L1218" s="3" t="s">
        <v>26</v>
      </c>
    </row>
    <row r="1219" spans="1:12" x14ac:dyDescent="0.5">
      <c r="A1219" s="5">
        <v>45848</v>
      </c>
      <c r="B1219" t="s">
        <v>151</v>
      </c>
      <c r="C1219" t="s">
        <v>249</v>
      </c>
      <c r="D1219" t="s">
        <v>250</v>
      </c>
      <c r="E1219" s="6">
        <v>22464</v>
      </c>
      <c r="F1219" t="s">
        <v>41</v>
      </c>
      <c r="G1219" t="s">
        <v>15</v>
      </c>
      <c r="H1219" t="s">
        <v>66</v>
      </c>
      <c r="I1219" s="6">
        <v>0</v>
      </c>
      <c r="J1219" s="6">
        <v>22464</v>
      </c>
      <c r="K1219" t="s">
        <v>67</v>
      </c>
      <c r="L1219" t="s">
        <v>68</v>
      </c>
    </row>
    <row r="1220" spans="1:12" x14ac:dyDescent="0.5">
      <c r="A1220" s="2">
        <v>45848</v>
      </c>
      <c r="B1220" s="3" t="s">
        <v>164</v>
      </c>
      <c r="C1220" s="3" t="s">
        <v>253</v>
      </c>
      <c r="D1220" s="3" t="s">
        <v>254</v>
      </c>
      <c r="E1220" s="4">
        <v>45512</v>
      </c>
      <c r="F1220" s="3" t="s">
        <v>41</v>
      </c>
      <c r="G1220" s="3" t="s">
        <v>15</v>
      </c>
      <c r="H1220" s="3" t="s">
        <v>255</v>
      </c>
      <c r="I1220" s="4">
        <v>0</v>
      </c>
      <c r="J1220" s="4">
        <v>45512</v>
      </c>
      <c r="K1220" s="3" t="s">
        <v>256</v>
      </c>
      <c r="L1220" s="3" t="s">
        <v>68</v>
      </c>
    </row>
    <row r="1221" spans="1:12" x14ac:dyDescent="0.5">
      <c r="A1221" s="5">
        <v>45849</v>
      </c>
      <c r="B1221" t="s">
        <v>164</v>
      </c>
      <c r="C1221" t="s">
        <v>247</v>
      </c>
      <c r="D1221" t="s">
        <v>248</v>
      </c>
      <c r="E1221" s="6">
        <v>161412</v>
      </c>
      <c r="F1221" t="s">
        <v>14</v>
      </c>
      <c r="G1221" t="s">
        <v>15</v>
      </c>
      <c r="H1221" t="s">
        <v>24</v>
      </c>
      <c r="I1221" s="6">
        <v>25772</v>
      </c>
      <c r="J1221" s="6">
        <v>135640</v>
      </c>
      <c r="K1221" t="s">
        <v>25</v>
      </c>
      <c r="L1221" t="s">
        <v>26</v>
      </c>
    </row>
    <row r="1222" spans="1:12" x14ac:dyDescent="0.5">
      <c r="A1222" s="2">
        <v>45849</v>
      </c>
      <c r="B1222" s="3" t="s">
        <v>164</v>
      </c>
      <c r="C1222" s="3" t="s">
        <v>275</v>
      </c>
      <c r="D1222" s="3" t="s">
        <v>276</v>
      </c>
      <c r="E1222" s="4">
        <v>18564</v>
      </c>
      <c r="F1222" s="3" t="s">
        <v>14</v>
      </c>
      <c r="G1222" s="3" t="s">
        <v>15</v>
      </c>
      <c r="H1222" s="3" t="s">
        <v>20</v>
      </c>
      <c r="I1222" s="4">
        <v>2964</v>
      </c>
      <c r="J1222" s="4">
        <v>15600</v>
      </c>
      <c r="K1222" s="3" t="s">
        <v>21</v>
      </c>
      <c r="L1222" s="3" t="s">
        <v>22</v>
      </c>
    </row>
    <row r="1223" spans="1:12" x14ac:dyDescent="0.5">
      <c r="A1223" s="5">
        <v>45853</v>
      </c>
      <c r="B1223" t="s">
        <v>164</v>
      </c>
      <c r="C1223" t="s">
        <v>335</v>
      </c>
      <c r="D1223" t="s">
        <v>336</v>
      </c>
      <c r="E1223" s="6">
        <v>17480</v>
      </c>
      <c r="F1223" t="s">
        <v>14</v>
      </c>
      <c r="G1223" t="s">
        <v>15</v>
      </c>
      <c r="H1223" t="s">
        <v>24</v>
      </c>
      <c r="I1223" s="6">
        <v>2791</v>
      </c>
      <c r="J1223" s="6">
        <v>14689</v>
      </c>
      <c r="K1223" t="s">
        <v>25</v>
      </c>
      <c r="L1223" t="s">
        <v>26</v>
      </c>
    </row>
    <row r="1224" spans="1:12" x14ac:dyDescent="0.5">
      <c r="A1224" s="2">
        <v>45853</v>
      </c>
      <c r="B1224" s="3" t="s">
        <v>164</v>
      </c>
      <c r="C1224" s="3" t="s">
        <v>337</v>
      </c>
      <c r="D1224" s="3" t="s">
        <v>338</v>
      </c>
      <c r="E1224" s="4">
        <v>84381</v>
      </c>
      <c r="F1224" s="3" t="s">
        <v>14</v>
      </c>
      <c r="G1224" s="3" t="s">
        <v>15</v>
      </c>
      <c r="H1224" s="3" t="s">
        <v>293</v>
      </c>
      <c r="I1224" s="4">
        <v>13473</v>
      </c>
      <c r="J1224" s="4">
        <v>70908</v>
      </c>
      <c r="K1224" s="3" t="s">
        <v>294</v>
      </c>
      <c r="L1224" s="3" t="s">
        <v>26</v>
      </c>
    </row>
    <row r="1225" spans="1:12" x14ac:dyDescent="0.5">
      <c r="A1225" s="5">
        <v>45853</v>
      </c>
      <c r="B1225" t="s">
        <v>164</v>
      </c>
      <c r="C1225" t="s">
        <v>385</v>
      </c>
      <c r="D1225" t="s">
        <v>642</v>
      </c>
      <c r="E1225" s="6">
        <v>111698</v>
      </c>
      <c r="F1225" t="s">
        <v>14</v>
      </c>
      <c r="G1225" t="s">
        <v>15</v>
      </c>
      <c r="H1225" t="s">
        <v>293</v>
      </c>
      <c r="I1225" s="6">
        <v>17834</v>
      </c>
      <c r="J1225" s="6">
        <v>93864</v>
      </c>
      <c r="K1225" t="s">
        <v>294</v>
      </c>
      <c r="L1225" t="s">
        <v>26</v>
      </c>
    </row>
    <row r="1226" spans="1:12" x14ac:dyDescent="0.5">
      <c r="A1226" s="2">
        <v>45853</v>
      </c>
      <c r="B1226" s="3" t="s">
        <v>164</v>
      </c>
      <c r="C1226" s="3" t="s">
        <v>285</v>
      </c>
      <c r="D1226" s="3" t="s">
        <v>286</v>
      </c>
      <c r="E1226" s="4">
        <v>159600</v>
      </c>
      <c r="F1226" s="3" t="s">
        <v>14</v>
      </c>
      <c r="G1226" s="3" t="s">
        <v>15</v>
      </c>
      <c r="H1226" s="3" t="s">
        <v>24</v>
      </c>
      <c r="I1226" s="4">
        <v>25482</v>
      </c>
      <c r="J1226" s="4">
        <v>134118</v>
      </c>
      <c r="K1226" s="3" t="s">
        <v>25</v>
      </c>
      <c r="L1226" s="3" t="s">
        <v>26</v>
      </c>
    </row>
    <row r="1227" spans="1:12" x14ac:dyDescent="0.5">
      <c r="A1227" s="5">
        <v>45853</v>
      </c>
      <c r="B1227" t="s">
        <v>164</v>
      </c>
      <c r="C1227" t="s">
        <v>271</v>
      </c>
      <c r="D1227" t="s">
        <v>272</v>
      </c>
      <c r="E1227" s="6">
        <v>315372</v>
      </c>
      <c r="F1227" t="s">
        <v>14</v>
      </c>
      <c r="G1227" t="s">
        <v>15</v>
      </c>
      <c r="H1227" t="s">
        <v>24</v>
      </c>
      <c r="I1227" s="6">
        <v>50354</v>
      </c>
      <c r="J1227" s="6">
        <v>265018</v>
      </c>
      <c r="K1227" t="s">
        <v>25</v>
      </c>
      <c r="L1227" t="s">
        <v>26</v>
      </c>
    </row>
    <row r="1228" spans="1:12" x14ac:dyDescent="0.5">
      <c r="A1228" s="2">
        <v>45853</v>
      </c>
      <c r="B1228" s="3" t="s">
        <v>164</v>
      </c>
      <c r="C1228" s="3" t="s">
        <v>297</v>
      </c>
      <c r="D1228" s="3" t="s">
        <v>298</v>
      </c>
      <c r="E1228" s="4">
        <v>481950</v>
      </c>
      <c r="F1228" s="3" t="s">
        <v>14</v>
      </c>
      <c r="G1228" s="3" t="s">
        <v>15</v>
      </c>
      <c r="H1228" s="3" t="s">
        <v>293</v>
      </c>
      <c r="I1228" s="4">
        <v>76950</v>
      </c>
      <c r="J1228" s="4">
        <v>405000</v>
      </c>
      <c r="K1228" s="3" t="s">
        <v>294</v>
      </c>
      <c r="L1228" s="3" t="s">
        <v>26</v>
      </c>
    </row>
    <row r="1229" spans="1:12" x14ac:dyDescent="0.5">
      <c r="A1229" s="5">
        <v>45853</v>
      </c>
      <c r="B1229" t="s">
        <v>151</v>
      </c>
      <c r="C1229" t="s">
        <v>445</v>
      </c>
      <c r="D1229" t="s">
        <v>668</v>
      </c>
      <c r="E1229" s="6">
        <v>120000</v>
      </c>
      <c r="F1229" t="s">
        <v>41</v>
      </c>
      <c r="G1229" t="s">
        <v>15</v>
      </c>
      <c r="H1229" t="s">
        <v>66</v>
      </c>
      <c r="I1229" s="6">
        <v>0</v>
      </c>
      <c r="J1229" s="6">
        <v>120000</v>
      </c>
      <c r="K1229" t="s">
        <v>67</v>
      </c>
      <c r="L1229" t="s">
        <v>68</v>
      </c>
    </row>
    <row r="1230" spans="1:12" x14ac:dyDescent="0.5">
      <c r="A1230" s="2">
        <v>45853</v>
      </c>
      <c r="B1230" s="3" t="s">
        <v>164</v>
      </c>
      <c r="C1230" s="3" t="s">
        <v>317</v>
      </c>
      <c r="D1230" s="3" t="s">
        <v>318</v>
      </c>
      <c r="E1230" s="4">
        <v>702100</v>
      </c>
      <c r="F1230" s="3" t="s">
        <v>14</v>
      </c>
      <c r="G1230" s="3" t="s">
        <v>15</v>
      </c>
      <c r="H1230" s="3" t="s">
        <v>33</v>
      </c>
      <c r="I1230" s="4">
        <v>112100</v>
      </c>
      <c r="J1230" s="4">
        <v>590000</v>
      </c>
      <c r="K1230" s="3" t="s">
        <v>34</v>
      </c>
      <c r="L1230" s="3" t="s">
        <v>35</v>
      </c>
    </row>
    <row r="1231" spans="1:12" x14ac:dyDescent="0.5">
      <c r="A1231" s="5">
        <v>45855</v>
      </c>
      <c r="B1231" t="s">
        <v>164</v>
      </c>
      <c r="C1231" t="s">
        <v>397</v>
      </c>
      <c r="D1231" t="s">
        <v>671</v>
      </c>
      <c r="E1231" s="6">
        <v>36146</v>
      </c>
      <c r="F1231" t="s">
        <v>14</v>
      </c>
      <c r="G1231" t="s">
        <v>15</v>
      </c>
      <c r="H1231" t="s">
        <v>293</v>
      </c>
      <c r="I1231" s="6">
        <v>5771</v>
      </c>
      <c r="J1231" s="6">
        <v>30375</v>
      </c>
      <c r="K1231" t="s">
        <v>294</v>
      </c>
      <c r="L1231" t="s">
        <v>26</v>
      </c>
    </row>
    <row r="1232" spans="1:12" x14ac:dyDescent="0.5">
      <c r="A1232" s="2">
        <v>45855</v>
      </c>
      <c r="B1232" s="3" t="s">
        <v>164</v>
      </c>
      <c r="C1232" s="3" t="s">
        <v>261</v>
      </c>
      <c r="D1232" s="3" t="s">
        <v>262</v>
      </c>
      <c r="E1232" s="4">
        <v>113394</v>
      </c>
      <c r="F1232" s="3" t="s">
        <v>14</v>
      </c>
      <c r="G1232" s="3" t="s">
        <v>15</v>
      </c>
      <c r="H1232" s="3" t="s">
        <v>24</v>
      </c>
      <c r="I1232" s="4">
        <v>18105</v>
      </c>
      <c r="J1232" s="4">
        <v>95289</v>
      </c>
      <c r="K1232" s="3" t="s">
        <v>25</v>
      </c>
      <c r="L1232" s="3" t="s">
        <v>26</v>
      </c>
    </row>
    <row r="1233" spans="1:12" x14ac:dyDescent="0.5">
      <c r="A1233" s="5">
        <v>45855</v>
      </c>
      <c r="B1233" t="s">
        <v>151</v>
      </c>
      <c r="C1233" t="s">
        <v>454</v>
      </c>
      <c r="D1233" t="s">
        <v>674</v>
      </c>
      <c r="E1233" s="6">
        <v>150000</v>
      </c>
      <c r="F1233" t="s">
        <v>41</v>
      </c>
      <c r="G1233" t="s">
        <v>15</v>
      </c>
      <c r="H1233" t="s">
        <v>66</v>
      </c>
      <c r="I1233" s="6">
        <v>0</v>
      </c>
      <c r="J1233" s="6">
        <v>150000</v>
      </c>
      <c r="K1233" t="s">
        <v>67</v>
      </c>
      <c r="L1233" t="s">
        <v>68</v>
      </c>
    </row>
    <row r="1234" spans="1:12" x14ac:dyDescent="0.5">
      <c r="A1234" s="2">
        <v>45855</v>
      </c>
      <c r="B1234" s="3" t="s">
        <v>151</v>
      </c>
      <c r="C1234" s="3" t="s">
        <v>251</v>
      </c>
      <c r="D1234" s="3" t="s">
        <v>252</v>
      </c>
      <c r="E1234" s="4">
        <v>200000</v>
      </c>
      <c r="F1234" s="3" t="s">
        <v>41</v>
      </c>
      <c r="G1234" s="3" t="s">
        <v>15</v>
      </c>
      <c r="H1234" s="3" t="s">
        <v>66</v>
      </c>
      <c r="I1234" s="4">
        <v>0</v>
      </c>
      <c r="J1234" s="4">
        <v>200000</v>
      </c>
      <c r="K1234" s="3" t="s">
        <v>67</v>
      </c>
      <c r="L1234" s="3" t="s">
        <v>68</v>
      </c>
    </row>
    <row r="1235" spans="1:12" x14ac:dyDescent="0.5">
      <c r="A1235" s="5">
        <v>45856</v>
      </c>
      <c r="B1235" t="s">
        <v>164</v>
      </c>
      <c r="C1235" t="s">
        <v>325</v>
      </c>
      <c r="D1235" t="s">
        <v>326</v>
      </c>
      <c r="E1235" s="6">
        <v>38080</v>
      </c>
      <c r="F1235" t="s">
        <v>14</v>
      </c>
      <c r="G1235" t="s">
        <v>15</v>
      </c>
      <c r="H1235" t="s">
        <v>293</v>
      </c>
      <c r="I1235" s="6">
        <v>6080</v>
      </c>
      <c r="J1235" s="6">
        <v>32000</v>
      </c>
      <c r="K1235" t="s">
        <v>294</v>
      </c>
      <c r="L1235" t="s">
        <v>26</v>
      </c>
    </row>
    <row r="1236" spans="1:12" x14ac:dyDescent="0.5">
      <c r="A1236" s="2">
        <v>45859</v>
      </c>
      <c r="B1236" s="3" t="s">
        <v>164</v>
      </c>
      <c r="C1236" s="3" t="s">
        <v>459</v>
      </c>
      <c r="D1236" s="3"/>
      <c r="E1236" s="4">
        <v>7990</v>
      </c>
      <c r="F1236" s="3" t="s">
        <v>41</v>
      </c>
      <c r="G1236" s="3" t="s">
        <v>679</v>
      </c>
      <c r="H1236" s="3"/>
      <c r="I1236" s="4">
        <v>0</v>
      </c>
      <c r="J1236" s="4">
        <v>7990</v>
      </c>
      <c r="K1236" s="3" t="s">
        <v>47</v>
      </c>
      <c r="L1236" s="3" t="s">
        <v>48</v>
      </c>
    </row>
    <row r="1237" spans="1:12" x14ac:dyDescent="0.5">
      <c r="A1237" s="5">
        <v>45860</v>
      </c>
      <c r="B1237" t="s">
        <v>164</v>
      </c>
      <c r="C1237" t="s">
        <v>279</v>
      </c>
      <c r="D1237" t="s">
        <v>280</v>
      </c>
      <c r="E1237" s="6">
        <v>92560</v>
      </c>
      <c r="F1237" t="s">
        <v>14</v>
      </c>
      <c r="G1237" t="s">
        <v>15</v>
      </c>
      <c r="H1237" t="s">
        <v>24</v>
      </c>
      <c r="I1237" s="6">
        <v>14778</v>
      </c>
      <c r="J1237" s="6">
        <v>77782</v>
      </c>
      <c r="K1237" t="s">
        <v>25</v>
      </c>
      <c r="L1237" t="s">
        <v>26</v>
      </c>
    </row>
    <row r="1238" spans="1:12" x14ac:dyDescent="0.5">
      <c r="A1238" s="2">
        <v>45860</v>
      </c>
      <c r="B1238" s="3" t="s">
        <v>164</v>
      </c>
      <c r="C1238" s="3" t="s">
        <v>263</v>
      </c>
      <c r="D1238" s="3" t="s">
        <v>264</v>
      </c>
      <c r="E1238" s="4">
        <v>228637</v>
      </c>
      <c r="F1238" s="3" t="s">
        <v>14</v>
      </c>
      <c r="G1238" s="3" t="s">
        <v>15</v>
      </c>
      <c r="H1238" s="3" t="s">
        <v>24</v>
      </c>
      <c r="I1238" s="4">
        <v>36505</v>
      </c>
      <c r="J1238" s="4">
        <v>192132</v>
      </c>
      <c r="K1238" s="3" t="s">
        <v>25</v>
      </c>
      <c r="L1238" s="3" t="s">
        <v>26</v>
      </c>
    </row>
    <row r="1239" spans="1:12" x14ac:dyDescent="0.5">
      <c r="A1239" s="5">
        <v>45861</v>
      </c>
      <c r="B1239" t="s">
        <v>151</v>
      </c>
      <c r="C1239" t="s">
        <v>249</v>
      </c>
      <c r="D1239" t="s">
        <v>250</v>
      </c>
      <c r="E1239" s="6">
        <v>15529</v>
      </c>
      <c r="F1239" t="s">
        <v>41</v>
      </c>
      <c r="G1239" t="s">
        <v>15</v>
      </c>
      <c r="H1239" t="s">
        <v>66</v>
      </c>
      <c r="I1239" s="6">
        <v>0</v>
      </c>
      <c r="J1239" s="6">
        <v>15529</v>
      </c>
      <c r="K1239" t="s">
        <v>67</v>
      </c>
      <c r="L1239" t="s">
        <v>68</v>
      </c>
    </row>
    <row r="1240" spans="1:12" x14ac:dyDescent="0.5">
      <c r="A1240" s="2">
        <v>45861</v>
      </c>
      <c r="B1240" s="3" t="s">
        <v>164</v>
      </c>
      <c r="C1240" s="3" t="s">
        <v>460</v>
      </c>
      <c r="D1240" s="3"/>
      <c r="E1240" s="4">
        <v>2500</v>
      </c>
      <c r="F1240" s="3" t="s">
        <v>41</v>
      </c>
      <c r="G1240" s="3" t="s">
        <v>679</v>
      </c>
      <c r="H1240" s="3"/>
      <c r="I1240" s="4">
        <v>0</v>
      </c>
      <c r="J1240" s="4">
        <v>2500</v>
      </c>
      <c r="K1240" s="3" t="s">
        <v>47</v>
      </c>
      <c r="L1240" s="3" t="s">
        <v>48</v>
      </c>
    </row>
    <row r="1241" spans="1:12" x14ac:dyDescent="0.5">
      <c r="A1241" s="5">
        <v>45862</v>
      </c>
      <c r="B1241" t="s">
        <v>164</v>
      </c>
      <c r="C1241" t="s">
        <v>285</v>
      </c>
      <c r="D1241" t="s">
        <v>286</v>
      </c>
      <c r="E1241" s="6">
        <v>159600</v>
      </c>
      <c r="F1241" t="s">
        <v>14</v>
      </c>
      <c r="G1241" t="s">
        <v>15</v>
      </c>
      <c r="H1241" t="s">
        <v>24</v>
      </c>
      <c r="I1241" s="6">
        <v>25482</v>
      </c>
      <c r="J1241" s="6">
        <v>134118</v>
      </c>
      <c r="K1241" t="s">
        <v>25</v>
      </c>
      <c r="L1241" t="s">
        <v>26</v>
      </c>
    </row>
    <row r="1242" spans="1:12" x14ac:dyDescent="0.5">
      <c r="A1242" s="2">
        <v>45863</v>
      </c>
      <c r="B1242" s="3" t="s">
        <v>164</v>
      </c>
      <c r="C1242" s="3" t="s">
        <v>285</v>
      </c>
      <c r="D1242" s="3" t="s">
        <v>286</v>
      </c>
      <c r="E1242" s="4">
        <v>9399</v>
      </c>
      <c r="F1242" s="3" t="s">
        <v>14</v>
      </c>
      <c r="G1242" s="3" t="s">
        <v>15</v>
      </c>
      <c r="H1242" s="3" t="s">
        <v>24</v>
      </c>
      <c r="I1242" s="4">
        <v>1501</v>
      </c>
      <c r="J1242" s="4">
        <v>7898</v>
      </c>
      <c r="K1242" s="3" t="s">
        <v>25</v>
      </c>
      <c r="L1242" s="3" t="s">
        <v>26</v>
      </c>
    </row>
    <row r="1243" spans="1:12" x14ac:dyDescent="0.5">
      <c r="A1243" s="5">
        <v>45863</v>
      </c>
      <c r="B1243" t="s">
        <v>164</v>
      </c>
      <c r="C1243" t="s">
        <v>247</v>
      </c>
      <c r="D1243" t="s">
        <v>248</v>
      </c>
      <c r="E1243" s="6">
        <v>84887</v>
      </c>
      <c r="F1243" t="s">
        <v>14</v>
      </c>
      <c r="G1243" t="s">
        <v>15</v>
      </c>
      <c r="H1243" t="s">
        <v>24</v>
      </c>
      <c r="I1243" s="6">
        <v>13553</v>
      </c>
      <c r="J1243" s="6">
        <v>71334</v>
      </c>
      <c r="K1243" t="s">
        <v>25</v>
      </c>
      <c r="L1243" t="s">
        <v>26</v>
      </c>
    </row>
    <row r="1244" spans="1:12" x14ac:dyDescent="0.5">
      <c r="A1244" s="2">
        <v>45866</v>
      </c>
      <c r="B1244" s="3" t="s">
        <v>164</v>
      </c>
      <c r="C1244" s="3" t="s">
        <v>247</v>
      </c>
      <c r="D1244" s="3" t="s">
        <v>248</v>
      </c>
      <c r="E1244" s="4">
        <v>368958</v>
      </c>
      <c r="F1244" s="3" t="s">
        <v>14</v>
      </c>
      <c r="G1244" s="3" t="s">
        <v>15</v>
      </c>
      <c r="H1244" s="3" t="s">
        <v>24</v>
      </c>
      <c r="I1244" s="4">
        <v>58909</v>
      </c>
      <c r="J1244" s="4">
        <v>310049</v>
      </c>
      <c r="K1244" s="3" t="s">
        <v>25</v>
      </c>
      <c r="L1244" s="3" t="s">
        <v>26</v>
      </c>
    </row>
    <row r="1245" spans="1:12" x14ac:dyDescent="0.5">
      <c r="A1245" s="5">
        <v>45866</v>
      </c>
      <c r="B1245" t="s">
        <v>164</v>
      </c>
      <c r="C1245" t="s">
        <v>432</v>
      </c>
      <c r="E1245" s="6">
        <v>2680</v>
      </c>
      <c r="F1245" t="s">
        <v>41</v>
      </c>
      <c r="G1245" t="s">
        <v>679</v>
      </c>
      <c r="I1245" s="6">
        <v>0</v>
      </c>
      <c r="J1245" s="6">
        <v>2680</v>
      </c>
      <c r="K1245" t="s">
        <v>47</v>
      </c>
      <c r="L1245" t="s">
        <v>48</v>
      </c>
    </row>
    <row r="1246" spans="1:12" x14ac:dyDescent="0.5">
      <c r="A1246" s="2">
        <v>45867</v>
      </c>
      <c r="B1246" s="3" t="s">
        <v>164</v>
      </c>
      <c r="C1246" s="3" t="s">
        <v>299</v>
      </c>
      <c r="D1246" s="3" t="s">
        <v>300</v>
      </c>
      <c r="E1246" s="4">
        <v>105000</v>
      </c>
      <c r="F1246" s="3" t="s">
        <v>14</v>
      </c>
      <c r="G1246" s="3" t="s">
        <v>15</v>
      </c>
      <c r="H1246" s="3" t="s">
        <v>301</v>
      </c>
      <c r="I1246" s="4">
        <v>16765</v>
      </c>
      <c r="J1246" s="4">
        <v>88235</v>
      </c>
      <c r="K1246" s="3" t="s">
        <v>302</v>
      </c>
      <c r="L1246" s="3" t="s">
        <v>48</v>
      </c>
    </row>
    <row r="1247" spans="1:12" x14ac:dyDescent="0.5">
      <c r="A1247" s="5">
        <v>45868</v>
      </c>
      <c r="B1247" t="s">
        <v>164</v>
      </c>
      <c r="C1247" t="s">
        <v>313</v>
      </c>
      <c r="D1247" t="s">
        <v>314</v>
      </c>
      <c r="E1247" s="6">
        <v>15261</v>
      </c>
      <c r="F1247" t="s">
        <v>14</v>
      </c>
      <c r="G1247" t="s">
        <v>15</v>
      </c>
      <c r="H1247" t="s">
        <v>293</v>
      </c>
      <c r="I1247" s="6">
        <v>2437</v>
      </c>
      <c r="J1247" s="6">
        <v>12824</v>
      </c>
      <c r="K1247" t="s">
        <v>294</v>
      </c>
      <c r="L1247" t="s">
        <v>26</v>
      </c>
    </row>
    <row r="1248" spans="1:12" x14ac:dyDescent="0.5">
      <c r="A1248" s="2">
        <v>45868</v>
      </c>
      <c r="B1248" s="3" t="s">
        <v>164</v>
      </c>
      <c r="C1248" s="3" t="s">
        <v>339</v>
      </c>
      <c r="D1248" s="3" t="s">
        <v>340</v>
      </c>
      <c r="E1248" s="4">
        <v>73700</v>
      </c>
      <c r="F1248" s="3" t="s">
        <v>14</v>
      </c>
      <c r="G1248" s="3" t="s">
        <v>15</v>
      </c>
      <c r="H1248" s="3" t="s">
        <v>293</v>
      </c>
      <c r="I1248" s="4">
        <v>11767</v>
      </c>
      <c r="J1248" s="4">
        <v>61933</v>
      </c>
      <c r="K1248" s="3" t="s">
        <v>294</v>
      </c>
      <c r="L1248" s="3" t="s">
        <v>26</v>
      </c>
    </row>
    <row r="1249" spans="1:12" x14ac:dyDescent="0.5">
      <c r="A1249" s="5">
        <v>45868</v>
      </c>
      <c r="B1249" t="s">
        <v>164</v>
      </c>
      <c r="C1249" t="s">
        <v>261</v>
      </c>
      <c r="D1249" t="s">
        <v>262</v>
      </c>
      <c r="E1249" s="6">
        <v>113401</v>
      </c>
      <c r="F1249" t="s">
        <v>14</v>
      </c>
      <c r="G1249" t="s">
        <v>15</v>
      </c>
      <c r="H1249" t="s">
        <v>24</v>
      </c>
      <c r="I1249" s="6">
        <v>18106</v>
      </c>
      <c r="J1249" s="6">
        <v>95295</v>
      </c>
      <c r="K1249" t="s">
        <v>25</v>
      </c>
      <c r="L1249" t="s">
        <v>26</v>
      </c>
    </row>
    <row r="1250" spans="1:12" x14ac:dyDescent="0.5">
      <c r="A1250" s="2">
        <v>45869</v>
      </c>
      <c r="B1250" s="3" t="s">
        <v>151</v>
      </c>
      <c r="C1250" s="3" t="s">
        <v>455</v>
      </c>
      <c r="D1250" s="3" t="s">
        <v>675</v>
      </c>
      <c r="E1250" s="4">
        <v>100000</v>
      </c>
      <c r="F1250" s="3" t="s">
        <v>41</v>
      </c>
      <c r="G1250" s="3" t="s">
        <v>15</v>
      </c>
      <c r="H1250" s="3" t="s">
        <v>66</v>
      </c>
      <c r="I1250" s="4">
        <v>0</v>
      </c>
      <c r="J1250" s="4">
        <v>100000</v>
      </c>
      <c r="K1250" s="3" t="s">
        <v>67</v>
      </c>
      <c r="L1250" s="3" t="s">
        <v>68</v>
      </c>
    </row>
    <row r="1251" spans="1:12" x14ac:dyDescent="0.5">
      <c r="A1251" s="5">
        <v>45869</v>
      </c>
      <c r="B1251" t="s">
        <v>151</v>
      </c>
      <c r="C1251" t="s">
        <v>454</v>
      </c>
      <c r="D1251" t="s">
        <v>674</v>
      </c>
      <c r="E1251" s="6">
        <v>363000</v>
      </c>
      <c r="F1251" t="s">
        <v>41</v>
      </c>
      <c r="G1251" t="s">
        <v>15</v>
      </c>
      <c r="H1251" t="s">
        <v>66</v>
      </c>
      <c r="I1251" s="6">
        <v>0</v>
      </c>
      <c r="J1251" s="6">
        <v>363000</v>
      </c>
      <c r="K1251" t="s">
        <v>67</v>
      </c>
      <c r="L1251" t="s">
        <v>68</v>
      </c>
    </row>
    <row r="1252" spans="1:12" x14ac:dyDescent="0.5">
      <c r="A1252" s="2">
        <v>45869</v>
      </c>
      <c r="B1252" s="3" t="s">
        <v>151</v>
      </c>
      <c r="C1252" s="3" t="s">
        <v>251</v>
      </c>
      <c r="D1252" s="3" t="s">
        <v>252</v>
      </c>
      <c r="E1252" s="4">
        <v>400092</v>
      </c>
      <c r="F1252" s="3" t="s">
        <v>41</v>
      </c>
      <c r="G1252" s="3" t="s">
        <v>15</v>
      </c>
      <c r="H1252" s="3" t="s">
        <v>66</v>
      </c>
      <c r="I1252" s="4">
        <v>0</v>
      </c>
      <c r="J1252" s="4">
        <v>400092</v>
      </c>
      <c r="K1252" s="3" t="s">
        <v>67</v>
      </c>
      <c r="L1252" s="3" t="s">
        <v>68</v>
      </c>
    </row>
    <row r="1253" spans="1:12" x14ac:dyDescent="0.5">
      <c r="A1253" s="5">
        <v>45869</v>
      </c>
      <c r="B1253" t="s">
        <v>164</v>
      </c>
      <c r="C1253" t="s">
        <v>253</v>
      </c>
      <c r="D1253" t="s">
        <v>254</v>
      </c>
      <c r="E1253" s="6">
        <v>700000</v>
      </c>
      <c r="F1253" t="s">
        <v>41</v>
      </c>
      <c r="G1253" t="s">
        <v>15</v>
      </c>
      <c r="H1253" t="s">
        <v>255</v>
      </c>
      <c r="I1253" s="6">
        <v>0</v>
      </c>
      <c r="J1253" s="6">
        <v>700000</v>
      </c>
      <c r="K1253" t="s">
        <v>256</v>
      </c>
      <c r="L1253" t="s">
        <v>68</v>
      </c>
    </row>
    <row r="1254" spans="1:12" x14ac:dyDescent="0.5">
      <c r="A1254" s="2">
        <v>45869</v>
      </c>
      <c r="B1254" s="3" t="s">
        <v>151</v>
      </c>
      <c r="C1254" s="3" t="s">
        <v>329</v>
      </c>
      <c r="D1254" s="3" t="s">
        <v>330</v>
      </c>
      <c r="E1254" s="4">
        <v>824200</v>
      </c>
      <c r="F1254" s="3" t="s">
        <v>41</v>
      </c>
      <c r="G1254" s="3" t="s">
        <v>15</v>
      </c>
      <c r="H1254" s="3" t="s">
        <v>66</v>
      </c>
      <c r="I1254" s="4">
        <v>0</v>
      </c>
      <c r="J1254" s="4">
        <v>824200</v>
      </c>
      <c r="K1254" s="3" t="s">
        <v>67</v>
      </c>
      <c r="L1254" s="3" t="s">
        <v>68</v>
      </c>
    </row>
    <row r="1255" spans="1:12" x14ac:dyDescent="0.5">
      <c r="A1255" s="5">
        <v>45869</v>
      </c>
      <c r="B1255" t="s">
        <v>151</v>
      </c>
      <c r="C1255" t="s">
        <v>281</v>
      </c>
      <c r="D1255" t="s">
        <v>282</v>
      </c>
      <c r="E1255" s="6">
        <v>908585</v>
      </c>
      <c r="F1255" t="s">
        <v>41</v>
      </c>
      <c r="G1255" t="s">
        <v>15</v>
      </c>
      <c r="H1255" t="s">
        <v>66</v>
      </c>
      <c r="I1255" s="6">
        <v>0</v>
      </c>
      <c r="J1255" s="6">
        <v>908585</v>
      </c>
      <c r="K1255" t="s">
        <v>67</v>
      </c>
      <c r="L1255" t="s">
        <v>68</v>
      </c>
    </row>
    <row r="1256" spans="1:12" x14ac:dyDescent="0.5">
      <c r="A1256" s="2">
        <v>45869</v>
      </c>
      <c r="B1256" s="3" t="s">
        <v>151</v>
      </c>
      <c r="C1256" s="3" t="s">
        <v>249</v>
      </c>
      <c r="D1256" s="3" t="s">
        <v>250</v>
      </c>
      <c r="E1256" s="4">
        <v>1134655</v>
      </c>
      <c r="F1256" s="3" t="s">
        <v>41</v>
      </c>
      <c r="G1256" s="3" t="s">
        <v>15</v>
      </c>
      <c r="H1256" s="3" t="s">
        <v>66</v>
      </c>
      <c r="I1256" s="4">
        <v>0</v>
      </c>
      <c r="J1256" s="4">
        <v>1134655</v>
      </c>
      <c r="K1256" s="3" t="s">
        <v>67</v>
      </c>
      <c r="L1256" s="3" t="s">
        <v>68</v>
      </c>
    </row>
    <row r="1257" spans="1:12" x14ac:dyDescent="0.5">
      <c r="A1257" s="5">
        <v>45873</v>
      </c>
      <c r="B1257" t="s">
        <v>174</v>
      </c>
      <c r="C1257" t="s">
        <v>323</v>
      </c>
      <c r="D1257" t="s">
        <v>324</v>
      </c>
      <c r="E1257" s="6">
        <v>65000</v>
      </c>
      <c r="F1257" t="s">
        <v>14</v>
      </c>
      <c r="G1257" t="s">
        <v>15</v>
      </c>
      <c r="H1257" t="s">
        <v>267</v>
      </c>
      <c r="I1257" s="6">
        <v>10378</v>
      </c>
      <c r="J1257" s="6">
        <v>54622</v>
      </c>
      <c r="K1257" t="s">
        <v>268</v>
      </c>
      <c r="L1257" t="s">
        <v>68</v>
      </c>
    </row>
    <row r="1258" spans="1:12" x14ac:dyDescent="0.5">
      <c r="A1258" s="2">
        <v>45873</v>
      </c>
      <c r="B1258" s="3" t="s">
        <v>164</v>
      </c>
      <c r="C1258" s="3" t="s">
        <v>259</v>
      </c>
      <c r="D1258" s="3" t="s">
        <v>260</v>
      </c>
      <c r="E1258" s="4">
        <v>800000</v>
      </c>
      <c r="F1258" s="3" t="s">
        <v>41</v>
      </c>
      <c r="G1258" s="3" t="s">
        <v>15</v>
      </c>
      <c r="H1258" s="3" t="s">
        <v>66</v>
      </c>
      <c r="I1258" s="4">
        <v>0</v>
      </c>
      <c r="J1258" s="4">
        <v>800000</v>
      </c>
      <c r="K1258" s="3" t="s">
        <v>67</v>
      </c>
      <c r="L1258" s="3" t="s">
        <v>68</v>
      </c>
    </row>
    <row r="1259" spans="1:12" x14ac:dyDescent="0.5">
      <c r="A1259" s="5">
        <v>45873</v>
      </c>
      <c r="B1259" t="s">
        <v>174</v>
      </c>
      <c r="C1259" t="s">
        <v>269</v>
      </c>
      <c r="D1259" t="s">
        <v>270</v>
      </c>
      <c r="E1259" s="6">
        <v>881969</v>
      </c>
      <c r="F1259" t="s">
        <v>41</v>
      </c>
      <c r="G1259" t="s">
        <v>15</v>
      </c>
      <c r="H1259" t="s">
        <v>46</v>
      </c>
      <c r="I1259" s="6">
        <v>0</v>
      </c>
      <c r="J1259" s="6">
        <v>881969</v>
      </c>
      <c r="K1259" t="s">
        <v>47</v>
      </c>
      <c r="L1259" t="s">
        <v>48</v>
      </c>
    </row>
    <row r="1260" spans="1:12" x14ac:dyDescent="0.5">
      <c r="A1260" s="2">
        <v>45874</v>
      </c>
      <c r="B1260" s="3" t="s">
        <v>164</v>
      </c>
      <c r="C1260" s="3" t="s">
        <v>465</v>
      </c>
      <c r="D1260" s="3" t="s">
        <v>668</v>
      </c>
      <c r="E1260" s="4">
        <v>15000</v>
      </c>
      <c r="F1260" s="3" t="s">
        <v>41</v>
      </c>
      <c r="G1260" s="3" t="s">
        <v>15</v>
      </c>
      <c r="H1260" s="3" t="s">
        <v>66</v>
      </c>
      <c r="I1260" s="4">
        <v>0</v>
      </c>
      <c r="J1260" s="4">
        <v>15000</v>
      </c>
      <c r="K1260" s="3" t="s">
        <v>67</v>
      </c>
      <c r="L1260" s="3" t="s">
        <v>68</v>
      </c>
    </row>
    <row r="1261" spans="1:12" x14ac:dyDescent="0.5">
      <c r="A1261" s="5">
        <v>45874</v>
      </c>
      <c r="B1261" t="s">
        <v>174</v>
      </c>
      <c r="C1261" t="s">
        <v>253</v>
      </c>
      <c r="D1261" t="s">
        <v>254</v>
      </c>
      <c r="E1261" s="6">
        <v>22476</v>
      </c>
      <c r="F1261" t="s">
        <v>41</v>
      </c>
      <c r="G1261" t="s">
        <v>15</v>
      </c>
      <c r="H1261" t="s">
        <v>255</v>
      </c>
      <c r="I1261" s="6">
        <v>0</v>
      </c>
      <c r="J1261" s="6">
        <v>22476</v>
      </c>
      <c r="K1261" t="s">
        <v>256</v>
      </c>
      <c r="L1261" t="s">
        <v>68</v>
      </c>
    </row>
    <row r="1262" spans="1:12" x14ac:dyDescent="0.5">
      <c r="A1262" s="2">
        <v>45874</v>
      </c>
      <c r="B1262" s="3" t="s">
        <v>174</v>
      </c>
      <c r="C1262" s="3" t="s">
        <v>299</v>
      </c>
      <c r="D1262" s="3" t="s">
        <v>300</v>
      </c>
      <c r="E1262" s="4">
        <v>105000</v>
      </c>
      <c r="F1262" s="3" t="s">
        <v>14</v>
      </c>
      <c r="G1262" s="3" t="s">
        <v>15</v>
      </c>
      <c r="H1262" s="3" t="s">
        <v>301</v>
      </c>
      <c r="I1262" s="4">
        <v>16765</v>
      </c>
      <c r="J1262" s="4">
        <v>88235</v>
      </c>
      <c r="K1262" s="3" t="s">
        <v>302</v>
      </c>
      <c r="L1262" s="3" t="s">
        <v>48</v>
      </c>
    </row>
    <row r="1263" spans="1:12" x14ac:dyDescent="0.5">
      <c r="A1263" s="5">
        <v>45874</v>
      </c>
      <c r="B1263" t="s">
        <v>164</v>
      </c>
      <c r="C1263" t="s">
        <v>305</v>
      </c>
      <c r="D1263" t="s">
        <v>306</v>
      </c>
      <c r="E1263" s="6">
        <v>25000</v>
      </c>
      <c r="F1263" t="s">
        <v>41</v>
      </c>
      <c r="G1263" t="s">
        <v>15</v>
      </c>
      <c r="H1263" t="s">
        <v>307</v>
      </c>
      <c r="I1263" s="6">
        <v>0</v>
      </c>
      <c r="J1263" s="6">
        <v>25000</v>
      </c>
      <c r="K1263" t="s">
        <v>308</v>
      </c>
      <c r="L1263" t="s">
        <v>144</v>
      </c>
    </row>
    <row r="1264" spans="1:12" x14ac:dyDescent="0.5">
      <c r="A1264" s="2">
        <v>45875</v>
      </c>
      <c r="B1264" s="3" t="s">
        <v>174</v>
      </c>
      <c r="C1264" s="3" t="s">
        <v>325</v>
      </c>
      <c r="D1264" s="3" t="s">
        <v>326</v>
      </c>
      <c r="E1264" s="4">
        <v>49980</v>
      </c>
      <c r="F1264" s="3" t="s">
        <v>14</v>
      </c>
      <c r="G1264" s="3" t="s">
        <v>15</v>
      </c>
      <c r="H1264" s="3" t="s">
        <v>293</v>
      </c>
      <c r="I1264" s="4">
        <v>7980</v>
      </c>
      <c r="J1264" s="4">
        <v>42000</v>
      </c>
      <c r="K1264" s="3" t="s">
        <v>294</v>
      </c>
      <c r="L1264" s="3" t="s">
        <v>26</v>
      </c>
    </row>
    <row r="1265" spans="1:12" x14ac:dyDescent="0.5">
      <c r="A1265" s="5">
        <v>45876</v>
      </c>
      <c r="B1265" t="s">
        <v>174</v>
      </c>
      <c r="C1265" t="s">
        <v>341</v>
      </c>
      <c r="D1265" t="s">
        <v>342</v>
      </c>
      <c r="E1265" s="6">
        <v>17200</v>
      </c>
      <c r="F1265" t="s">
        <v>14</v>
      </c>
      <c r="G1265" t="s">
        <v>15</v>
      </c>
      <c r="H1265" t="s">
        <v>293</v>
      </c>
      <c r="I1265" s="6">
        <v>2746</v>
      </c>
      <c r="J1265" s="6">
        <v>14454</v>
      </c>
      <c r="K1265" t="s">
        <v>294</v>
      </c>
      <c r="L1265" t="s">
        <v>26</v>
      </c>
    </row>
    <row r="1266" spans="1:12" x14ac:dyDescent="0.5">
      <c r="A1266" s="2">
        <v>45876</v>
      </c>
      <c r="B1266" s="3" t="s">
        <v>174</v>
      </c>
      <c r="C1266" s="3" t="s">
        <v>466</v>
      </c>
      <c r="D1266" s="3" t="s">
        <v>650</v>
      </c>
      <c r="E1266" s="4">
        <v>30383</v>
      </c>
      <c r="F1266" s="3" t="s">
        <v>14</v>
      </c>
      <c r="G1266" s="3" t="s">
        <v>15</v>
      </c>
      <c r="H1266" s="3" t="s">
        <v>293</v>
      </c>
      <c r="I1266" s="4">
        <v>4851</v>
      </c>
      <c r="J1266" s="4">
        <v>25532</v>
      </c>
      <c r="K1266" s="3" t="s">
        <v>294</v>
      </c>
      <c r="L1266" s="3" t="s">
        <v>26</v>
      </c>
    </row>
    <row r="1267" spans="1:12" x14ac:dyDescent="0.5">
      <c r="A1267" s="5">
        <v>45876</v>
      </c>
      <c r="B1267" t="s">
        <v>174</v>
      </c>
      <c r="C1267" t="s">
        <v>385</v>
      </c>
      <c r="D1267" t="s">
        <v>642</v>
      </c>
      <c r="E1267" s="6">
        <v>111698</v>
      </c>
      <c r="F1267" t="s">
        <v>14</v>
      </c>
      <c r="G1267" t="s">
        <v>15</v>
      </c>
      <c r="H1267" t="s">
        <v>293</v>
      </c>
      <c r="I1267" s="6">
        <v>17834</v>
      </c>
      <c r="J1267" s="6">
        <v>93864</v>
      </c>
      <c r="K1267" t="s">
        <v>294</v>
      </c>
      <c r="L1267" t="s">
        <v>26</v>
      </c>
    </row>
    <row r="1268" spans="1:12" x14ac:dyDescent="0.5">
      <c r="A1268" s="2">
        <v>45876</v>
      </c>
      <c r="B1268" s="3" t="s">
        <v>174</v>
      </c>
      <c r="C1268" s="3" t="s">
        <v>247</v>
      </c>
      <c r="D1268" s="3" t="s">
        <v>248</v>
      </c>
      <c r="E1268" s="4">
        <v>246299</v>
      </c>
      <c r="F1268" s="3" t="s">
        <v>14</v>
      </c>
      <c r="G1268" s="3" t="s">
        <v>15</v>
      </c>
      <c r="H1268" s="3" t="s">
        <v>24</v>
      </c>
      <c r="I1268" s="4">
        <v>39325</v>
      </c>
      <c r="J1268" s="4">
        <v>206974</v>
      </c>
      <c r="K1268" s="3" t="s">
        <v>25</v>
      </c>
      <c r="L1268" s="3" t="s">
        <v>26</v>
      </c>
    </row>
    <row r="1269" spans="1:12" x14ac:dyDescent="0.5">
      <c r="A1269" s="5">
        <v>45877</v>
      </c>
      <c r="B1269" t="s">
        <v>174</v>
      </c>
      <c r="C1269" t="s">
        <v>279</v>
      </c>
      <c r="D1269" t="s">
        <v>280</v>
      </c>
      <c r="E1269" s="6">
        <v>85670</v>
      </c>
      <c r="F1269" t="s">
        <v>14</v>
      </c>
      <c r="G1269" t="s">
        <v>15</v>
      </c>
      <c r="H1269" t="s">
        <v>24</v>
      </c>
      <c r="I1269" s="6">
        <v>13678</v>
      </c>
      <c r="J1269" s="6">
        <v>71992</v>
      </c>
      <c r="K1269" t="s">
        <v>25</v>
      </c>
      <c r="L1269" t="s">
        <v>26</v>
      </c>
    </row>
    <row r="1270" spans="1:12" x14ac:dyDescent="0.5">
      <c r="A1270" s="2">
        <v>45877</v>
      </c>
      <c r="B1270" s="3" t="s">
        <v>174</v>
      </c>
      <c r="C1270" s="3" t="s">
        <v>311</v>
      </c>
      <c r="D1270" s="3" t="s">
        <v>312</v>
      </c>
      <c r="E1270" s="4">
        <v>104575</v>
      </c>
      <c r="F1270" s="3" t="s">
        <v>14</v>
      </c>
      <c r="G1270" s="3" t="s">
        <v>15</v>
      </c>
      <c r="H1270" s="3" t="s">
        <v>24</v>
      </c>
      <c r="I1270" s="4">
        <v>16697</v>
      </c>
      <c r="J1270" s="4">
        <v>87878</v>
      </c>
      <c r="K1270" s="3" t="s">
        <v>25</v>
      </c>
      <c r="L1270" s="3" t="s">
        <v>26</v>
      </c>
    </row>
    <row r="1271" spans="1:12" x14ac:dyDescent="0.5">
      <c r="A1271" s="5">
        <v>45877</v>
      </c>
      <c r="B1271" t="s">
        <v>174</v>
      </c>
      <c r="C1271" t="s">
        <v>247</v>
      </c>
      <c r="D1271" t="s">
        <v>248</v>
      </c>
      <c r="E1271" s="6">
        <v>204075</v>
      </c>
      <c r="F1271" t="s">
        <v>14</v>
      </c>
      <c r="G1271" t="s">
        <v>15</v>
      </c>
      <c r="H1271" t="s">
        <v>24</v>
      </c>
      <c r="I1271" s="6">
        <v>32583</v>
      </c>
      <c r="J1271" s="6">
        <v>171492</v>
      </c>
      <c r="K1271" t="s">
        <v>25</v>
      </c>
      <c r="L1271" t="s">
        <v>26</v>
      </c>
    </row>
    <row r="1272" spans="1:12" x14ac:dyDescent="0.5">
      <c r="A1272" s="2">
        <v>45877</v>
      </c>
      <c r="B1272" s="3" t="s">
        <v>164</v>
      </c>
      <c r="C1272" s="3" t="s">
        <v>394</v>
      </c>
      <c r="D1272" s="3" t="s">
        <v>668</v>
      </c>
      <c r="E1272" s="4">
        <v>18000</v>
      </c>
      <c r="F1272" s="3" t="s">
        <v>41</v>
      </c>
      <c r="G1272" s="3" t="s">
        <v>15</v>
      </c>
      <c r="H1272" s="3" t="s">
        <v>66</v>
      </c>
      <c r="I1272" s="4">
        <v>0</v>
      </c>
      <c r="J1272" s="4">
        <v>18000</v>
      </c>
      <c r="K1272" s="3" t="s">
        <v>67</v>
      </c>
      <c r="L1272" s="3" t="s">
        <v>68</v>
      </c>
    </row>
    <row r="1273" spans="1:12" x14ac:dyDescent="0.5">
      <c r="A1273" s="5">
        <v>45877</v>
      </c>
      <c r="B1273" t="s">
        <v>174</v>
      </c>
      <c r="C1273" t="s">
        <v>467</v>
      </c>
      <c r="D1273" t="s">
        <v>468</v>
      </c>
      <c r="E1273" s="6">
        <v>25490</v>
      </c>
      <c r="F1273" t="s">
        <v>41</v>
      </c>
      <c r="G1273" t="s">
        <v>15</v>
      </c>
      <c r="I1273" s="6">
        <v>0</v>
      </c>
      <c r="J1273" s="6">
        <v>25490</v>
      </c>
      <c r="K1273" t="s">
        <v>47</v>
      </c>
      <c r="L1273" t="s">
        <v>48</v>
      </c>
    </row>
    <row r="1274" spans="1:12" x14ac:dyDescent="0.5">
      <c r="A1274" s="2">
        <v>45877</v>
      </c>
      <c r="B1274" s="3" t="s">
        <v>174</v>
      </c>
      <c r="C1274" s="3" t="s">
        <v>443</v>
      </c>
      <c r="D1274" s="3" t="s">
        <v>648</v>
      </c>
      <c r="E1274" s="4">
        <v>416500</v>
      </c>
      <c r="F1274" s="3" t="s">
        <v>14</v>
      </c>
      <c r="G1274" s="3" t="s">
        <v>15</v>
      </c>
      <c r="H1274" s="3" t="s">
        <v>548</v>
      </c>
      <c r="I1274" s="4">
        <v>66500</v>
      </c>
      <c r="J1274" s="4">
        <v>350000</v>
      </c>
      <c r="K1274" s="3" t="s">
        <v>531</v>
      </c>
      <c r="L1274" s="3" t="s">
        <v>35</v>
      </c>
    </row>
    <row r="1275" spans="1:12" x14ac:dyDescent="0.5">
      <c r="A1275" s="5">
        <v>45880</v>
      </c>
      <c r="B1275" t="s">
        <v>174</v>
      </c>
      <c r="C1275" t="s">
        <v>261</v>
      </c>
      <c r="D1275" t="s">
        <v>262</v>
      </c>
      <c r="E1275" s="6">
        <v>151201</v>
      </c>
      <c r="F1275" t="s">
        <v>14</v>
      </c>
      <c r="G1275" t="s">
        <v>15</v>
      </c>
      <c r="H1275" t="s">
        <v>24</v>
      </c>
      <c r="I1275" s="6">
        <v>24141</v>
      </c>
      <c r="J1275" s="6">
        <v>127060</v>
      </c>
      <c r="K1275" t="s">
        <v>25</v>
      </c>
      <c r="L1275" t="s">
        <v>26</v>
      </c>
    </row>
    <row r="1276" spans="1:12" x14ac:dyDescent="0.5">
      <c r="A1276" s="2">
        <v>45880</v>
      </c>
      <c r="B1276" s="3" t="s">
        <v>174</v>
      </c>
      <c r="C1276" s="3" t="s">
        <v>285</v>
      </c>
      <c r="D1276" s="3" t="s">
        <v>286</v>
      </c>
      <c r="E1276" s="4">
        <v>161700</v>
      </c>
      <c r="F1276" s="3" t="s">
        <v>14</v>
      </c>
      <c r="G1276" s="3" t="s">
        <v>15</v>
      </c>
      <c r="H1276" s="3" t="s">
        <v>24</v>
      </c>
      <c r="I1276" s="4">
        <v>25818</v>
      </c>
      <c r="J1276" s="4">
        <v>135882</v>
      </c>
      <c r="K1276" s="3" t="s">
        <v>25</v>
      </c>
      <c r="L1276" s="3" t="s">
        <v>26</v>
      </c>
    </row>
    <row r="1277" spans="1:12" x14ac:dyDescent="0.5">
      <c r="A1277" s="5">
        <v>45880</v>
      </c>
      <c r="B1277" t="s">
        <v>174</v>
      </c>
      <c r="C1277" t="s">
        <v>438</v>
      </c>
      <c r="D1277" t="s">
        <v>673</v>
      </c>
      <c r="E1277" s="6">
        <v>252631</v>
      </c>
      <c r="F1277" t="s">
        <v>14</v>
      </c>
      <c r="G1277" t="s">
        <v>15</v>
      </c>
      <c r="H1277" t="s">
        <v>119</v>
      </c>
      <c r="I1277" s="6">
        <v>40336</v>
      </c>
      <c r="J1277" s="6">
        <v>212295</v>
      </c>
      <c r="K1277" t="s">
        <v>120</v>
      </c>
      <c r="L1277" t="s">
        <v>48</v>
      </c>
    </row>
    <row r="1278" spans="1:12" x14ac:dyDescent="0.5">
      <c r="A1278" s="2">
        <v>45880</v>
      </c>
      <c r="B1278" s="3" t="s">
        <v>174</v>
      </c>
      <c r="C1278" s="3" t="s">
        <v>269</v>
      </c>
      <c r="D1278" s="3" t="s">
        <v>270</v>
      </c>
      <c r="E1278" s="4">
        <v>677042</v>
      </c>
      <c r="F1278" s="3" t="s">
        <v>41</v>
      </c>
      <c r="G1278" s="3" t="s">
        <v>15</v>
      </c>
      <c r="H1278" s="3" t="s">
        <v>46</v>
      </c>
      <c r="I1278" s="4">
        <v>0</v>
      </c>
      <c r="J1278" s="4">
        <v>677042</v>
      </c>
      <c r="K1278" s="3" t="s">
        <v>47</v>
      </c>
      <c r="L1278" s="3" t="s">
        <v>48</v>
      </c>
    </row>
    <row r="1279" spans="1:12" x14ac:dyDescent="0.5">
      <c r="A1279" s="5">
        <v>45880</v>
      </c>
      <c r="B1279" t="s">
        <v>174</v>
      </c>
      <c r="C1279" t="s">
        <v>327</v>
      </c>
      <c r="D1279" t="s">
        <v>328</v>
      </c>
      <c r="E1279" s="6">
        <v>822278</v>
      </c>
      <c r="F1279" t="s">
        <v>14</v>
      </c>
      <c r="G1279" t="s">
        <v>15</v>
      </c>
      <c r="H1279" t="s">
        <v>119</v>
      </c>
      <c r="I1279" s="6">
        <v>131288</v>
      </c>
      <c r="J1279" s="6">
        <v>690990</v>
      </c>
      <c r="K1279" t="s">
        <v>120</v>
      </c>
      <c r="L1279" t="s">
        <v>48</v>
      </c>
    </row>
    <row r="1280" spans="1:12" x14ac:dyDescent="0.5">
      <c r="A1280" s="2">
        <v>45881</v>
      </c>
      <c r="B1280" s="3" t="s">
        <v>174</v>
      </c>
      <c r="C1280" s="3" t="s">
        <v>337</v>
      </c>
      <c r="D1280" s="3" t="s">
        <v>338</v>
      </c>
      <c r="E1280" s="4">
        <v>54081</v>
      </c>
      <c r="F1280" s="3" t="s">
        <v>14</v>
      </c>
      <c r="G1280" s="3" t="s">
        <v>15</v>
      </c>
      <c r="H1280" s="3" t="s">
        <v>293</v>
      </c>
      <c r="I1280" s="4">
        <v>8635</v>
      </c>
      <c r="J1280" s="4">
        <v>45446</v>
      </c>
      <c r="K1280" s="3" t="s">
        <v>294</v>
      </c>
      <c r="L1280" s="3" t="s">
        <v>26</v>
      </c>
    </row>
    <row r="1281" spans="1:12" x14ac:dyDescent="0.5">
      <c r="A1281" s="5">
        <v>45883</v>
      </c>
      <c r="B1281" t="s">
        <v>174</v>
      </c>
      <c r="C1281" t="s">
        <v>261</v>
      </c>
      <c r="D1281" t="s">
        <v>262</v>
      </c>
      <c r="E1281" s="6">
        <v>151201</v>
      </c>
      <c r="F1281" t="s">
        <v>14</v>
      </c>
      <c r="G1281" t="s">
        <v>15</v>
      </c>
      <c r="H1281" t="s">
        <v>24</v>
      </c>
      <c r="I1281" s="6">
        <v>24141</v>
      </c>
      <c r="J1281" s="6">
        <v>127060</v>
      </c>
      <c r="K1281" t="s">
        <v>25</v>
      </c>
      <c r="L1281" t="s">
        <v>26</v>
      </c>
    </row>
    <row r="1282" spans="1:12" x14ac:dyDescent="0.5">
      <c r="A1282" s="2">
        <v>45883</v>
      </c>
      <c r="B1282" s="3" t="s">
        <v>174</v>
      </c>
      <c r="C1282" s="3" t="s">
        <v>378</v>
      </c>
      <c r="D1282" s="3" t="s">
        <v>669</v>
      </c>
      <c r="E1282" s="4">
        <v>58000</v>
      </c>
      <c r="F1282" s="3" t="s">
        <v>41</v>
      </c>
      <c r="G1282" s="3" t="s">
        <v>15</v>
      </c>
      <c r="H1282" s="3" t="s">
        <v>20</v>
      </c>
      <c r="I1282" s="4">
        <v>0</v>
      </c>
      <c r="J1282" s="4">
        <v>58000</v>
      </c>
      <c r="K1282" s="3" t="s">
        <v>21</v>
      </c>
      <c r="L1282" s="3" t="s">
        <v>22</v>
      </c>
    </row>
    <row r="1283" spans="1:12" x14ac:dyDescent="0.5">
      <c r="A1283" s="5">
        <v>45887</v>
      </c>
      <c r="B1283" t="s">
        <v>174</v>
      </c>
      <c r="C1283" t="s">
        <v>279</v>
      </c>
      <c r="D1283" t="s">
        <v>280</v>
      </c>
      <c r="E1283" s="6">
        <v>103350</v>
      </c>
      <c r="F1283" t="s">
        <v>14</v>
      </c>
      <c r="G1283" t="s">
        <v>15</v>
      </c>
      <c r="H1283" t="s">
        <v>24</v>
      </c>
      <c r="I1283" s="6">
        <v>16501</v>
      </c>
      <c r="J1283" s="6">
        <v>86849</v>
      </c>
      <c r="K1283" t="s">
        <v>25</v>
      </c>
      <c r="L1283" t="s">
        <v>26</v>
      </c>
    </row>
    <row r="1284" spans="1:12" x14ac:dyDescent="0.5">
      <c r="A1284" s="2">
        <v>45887</v>
      </c>
      <c r="B1284" s="3" t="s">
        <v>174</v>
      </c>
      <c r="C1284" s="3" t="s">
        <v>247</v>
      </c>
      <c r="D1284" s="3" t="s">
        <v>248</v>
      </c>
      <c r="E1284" s="4">
        <v>204075</v>
      </c>
      <c r="F1284" s="3" t="s">
        <v>14</v>
      </c>
      <c r="G1284" s="3" t="s">
        <v>15</v>
      </c>
      <c r="H1284" s="3" t="s">
        <v>24</v>
      </c>
      <c r="I1284" s="4">
        <v>32583</v>
      </c>
      <c r="J1284" s="4">
        <v>171492</v>
      </c>
      <c r="K1284" s="3" t="s">
        <v>25</v>
      </c>
      <c r="L1284" s="3" t="s">
        <v>26</v>
      </c>
    </row>
    <row r="1285" spans="1:12" x14ac:dyDescent="0.5">
      <c r="A1285" s="5">
        <v>45887</v>
      </c>
      <c r="B1285" t="s">
        <v>164</v>
      </c>
      <c r="C1285" t="s">
        <v>251</v>
      </c>
      <c r="D1285" t="s">
        <v>252</v>
      </c>
      <c r="E1285" s="6">
        <v>200000</v>
      </c>
      <c r="F1285" t="s">
        <v>41</v>
      </c>
      <c r="G1285" t="s">
        <v>15</v>
      </c>
      <c r="H1285" t="s">
        <v>66</v>
      </c>
      <c r="I1285" s="6">
        <v>0</v>
      </c>
      <c r="J1285" s="6">
        <v>200000</v>
      </c>
      <c r="K1285" t="s">
        <v>67</v>
      </c>
      <c r="L1285" t="s">
        <v>68</v>
      </c>
    </row>
    <row r="1286" spans="1:12" x14ac:dyDescent="0.5">
      <c r="A1286" s="2">
        <v>45889</v>
      </c>
      <c r="B1286" s="3" t="s">
        <v>174</v>
      </c>
      <c r="C1286" s="3" t="s">
        <v>309</v>
      </c>
      <c r="D1286" s="3" t="s">
        <v>310</v>
      </c>
      <c r="E1286" s="4">
        <v>691985</v>
      </c>
      <c r="F1286" s="3" t="s">
        <v>14</v>
      </c>
      <c r="G1286" s="3" t="s">
        <v>15</v>
      </c>
      <c r="H1286" s="3" t="s">
        <v>293</v>
      </c>
      <c r="I1286" s="4">
        <v>110485</v>
      </c>
      <c r="J1286" s="4">
        <v>581500</v>
      </c>
      <c r="K1286" s="3" t="s">
        <v>294</v>
      </c>
      <c r="L1286" s="3" t="s">
        <v>26</v>
      </c>
    </row>
    <row r="1287" spans="1:12" x14ac:dyDescent="0.5">
      <c r="A1287" s="5">
        <v>45890</v>
      </c>
      <c r="B1287" t="s">
        <v>174</v>
      </c>
      <c r="C1287" t="s">
        <v>335</v>
      </c>
      <c r="D1287" t="s">
        <v>336</v>
      </c>
      <c r="E1287" s="6">
        <v>17480</v>
      </c>
      <c r="F1287" t="s">
        <v>14</v>
      </c>
      <c r="G1287" t="s">
        <v>15</v>
      </c>
      <c r="H1287" t="s">
        <v>24</v>
      </c>
      <c r="I1287" s="6">
        <v>2791</v>
      </c>
      <c r="J1287" s="6">
        <v>14689</v>
      </c>
      <c r="K1287" t="s">
        <v>25</v>
      </c>
      <c r="L1287" t="s">
        <v>26</v>
      </c>
    </row>
    <row r="1288" spans="1:12" x14ac:dyDescent="0.5">
      <c r="A1288" s="2">
        <v>45890</v>
      </c>
      <c r="B1288" s="3" t="s">
        <v>174</v>
      </c>
      <c r="C1288" s="3" t="s">
        <v>261</v>
      </c>
      <c r="D1288" s="3" t="s">
        <v>262</v>
      </c>
      <c r="E1288" s="4">
        <v>151201</v>
      </c>
      <c r="F1288" s="3" t="s">
        <v>14</v>
      </c>
      <c r="G1288" s="3" t="s">
        <v>15</v>
      </c>
      <c r="H1288" s="3" t="s">
        <v>24</v>
      </c>
      <c r="I1288" s="4">
        <v>24141</v>
      </c>
      <c r="J1288" s="4">
        <v>127060</v>
      </c>
      <c r="K1288" s="3" t="s">
        <v>25</v>
      </c>
      <c r="L1288" s="3" t="s">
        <v>26</v>
      </c>
    </row>
    <row r="1289" spans="1:12" x14ac:dyDescent="0.5">
      <c r="A1289" s="5">
        <v>45890</v>
      </c>
      <c r="B1289" t="s">
        <v>174</v>
      </c>
      <c r="C1289" t="s">
        <v>261</v>
      </c>
      <c r="D1289" t="s">
        <v>262</v>
      </c>
      <c r="E1289" s="6">
        <v>151201</v>
      </c>
      <c r="F1289" t="s">
        <v>14</v>
      </c>
      <c r="G1289" t="s">
        <v>15</v>
      </c>
      <c r="H1289" t="s">
        <v>24</v>
      </c>
      <c r="I1289" s="6">
        <v>24141</v>
      </c>
      <c r="J1289" s="6">
        <v>127060</v>
      </c>
      <c r="K1289" t="s">
        <v>25</v>
      </c>
      <c r="L1289" t="s">
        <v>26</v>
      </c>
    </row>
    <row r="1290" spans="1:12" x14ac:dyDescent="0.5">
      <c r="A1290" s="2">
        <v>45890</v>
      </c>
      <c r="B1290" s="3" t="s">
        <v>164</v>
      </c>
      <c r="C1290" s="3" t="s">
        <v>249</v>
      </c>
      <c r="D1290" s="3" t="s">
        <v>250</v>
      </c>
      <c r="E1290" s="4">
        <v>23549</v>
      </c>
      <c r="F1290" s="3" t="s">
        <v>41</v>
      </c>
      <c r="G1290" s="3" t="s">
        <v>15</v>
      </c>
      <c r="H1290" s="3" t="s">
        <v>66</v>
      </c>
      <c r="I1290" s="4">
        <v>0</v>
      </c>
      <c r="J1290" s="4">
        <v>23549</v>
      </c>
      <c r="K1290" s="3" t="s">
        <v>67</v>
      </c>
      <c r="L1290" s="3" t="s">
        <v>68</v>
      </c>
    </row>
    <row r="1291" spans="1:12" x14ac:dyDescent="0.5">
      <c r="A1291" s="5">
        <v>45890</v>
      </c>
      <c r="B1291" t="s">
        <v>174</v>
      </c>
      <c r="C1291" t="s">
        <v>289</v>
      </c>
      <c r="D1291" t="s">
        <v>290</v>
      </c>
      <c r="E1291" s="6">
        <v>1026701</v>
      </c>
      <c r="F1291" t="s">
        <v>14</v>
      </c>
      <c r="G1291" t="s">
        <v>15</v>
      </c>
      <c r="H1291" t="s">
        <v>16</v>
      </c>
      <c r="I1291" s="6">
        <v>163927</v>
      </c>
      <c r="J1291" s="6">
        <v>862774</v>
      </c>
      <c r="K1291" t="s">
        <v>17</v>
      </c>
      <c r="L1291" t="s">
        <v>18</v>
      </c>
    </row>
    <row r="1292" spans="1:12" x14ac:dyDescent="0.5">
      <c r="A1292" s="2">
        <v>45894</v>
      </c>
      <c r="B1292" s="3" t="s">
        <v>174</v>
      </c>
      <c r="C1292" s="3" t="s">
        <v>335</v>
      </c>
      <c r="D1292" s="3" t="s">
        <v>336</v>
      </c>
      <c r="E1292" s="4">
        <v>55920</v>
      </c>
      <c r="F1292" s="3" t="s">
        <v>14</v>
      </c>
      <c r="G1292" s="3" t="s">
        <v>15</v>
      </c>
      <c r="H1292" s="3" t="s">
        <v>24</v>
      </c>
      <c r="I1292" s="4">
        <v>8928</v>
      </c>
      <c r="J1292" s="4">
        <v>46992</v>
      </c>
      <c r="K1292" s="3" t="s">
        <v>25</v>
      </c>
      <c r="L1292" s="3" t="s">
        <v>26</v>
      </c>
    </row>
    <row r="1293" spans="1:12" x14ac:dyDescent="0.5">
      <c r="A1293" s="5">
        <v>45895</v>
      </c>
      <c r="B1293" t="s">
        <v>174</v>
      </c>
      <c r="C1293" t="s">
        <v>343</v>
      </c>
      <c r="D1293" t="s">
        <v>344</v>
      </c>
      <c r="E1293" s="6">
        <v>2380</v>
      </c>
      <c r="F1293" t="s">
        <v>14</v>
      </c>
      <c r="G1293" t="s">
        <v>15</v>
      </c>
      <c r="H1293" t="s">
        <v>24</v>
      </c>
      <c r="I1293" s="6">
        <v>380</v>
      </c>
      <c r="J1293" s="6">
        <v>2000</v>
      </c>
      <c r="K1293" t="s">
        <v>25</v>
      </c>
      <c r="L1293" t="s">
        <v>26</v>
      </c>
    </row>
    <row r="1294" spans="1:12" x14ac:dyDescent="0.5">
      <c r="A1294" s="2">
        <v>45895</v>
      </c>
      <c r="B1294" s="3" t="s">
        <v>174</v>
      </c>
      <c r="C1294" s="3" t="s">
        <v>247</v>
      </c>
      <c r="D1294" s="3" t="s">
        <v>248</v>
      </c>
      <c r="E1294" s="4">
        <v>212219</v>
      </c>
      <c r="F1294" s="3" t="s">
        <v>14</v>
      </c>
      <c r="G1294" s="3" t="s">
        <v>15</v>
      </c>
      <c r="H1294" s="3" t="s">
        <v>24</v>
      </c>
      <c r="I1294" s="4">
        <v>33884</v>
      </c>
      <c r="J1294" s="4">
        <v>178335</v>
      </c>
      <c r="K1294" s="3" t="s">
        <v>25</v>
      </c>
      <c r="L1294" s="3" t="s">
        <v>26</v>
      </c>
    </row>
    <row r="1295" spans="1:12" x14ac:dyDescent="0.5">
      <c r="A1295" s="5">
        <v>45895</v>
      </c>
      <c r="B1295" t="s">
        <v>174</v>
      </c>
      <c r="C1295" t="s">
        <v>309</v>
      </c>
      <c r="D1295" t="s">
        <v>310</v>
      </c>
      <c r="E1295" s="6">
        <v>691985</v>
      </c>
      <c r="F1295" t="s">
        <v>14</v>
      </c>
      <c r="G1295" t="s">
        <v>15</v>
      </c>
      <c r="H1295" t="s">
        <v>293</v>
      </c>
      <c r="I1295" s="6">
        <v>110485</v>
      </c>
      <c r="J1295" s="6">
        <v>581500</v>
      </c>
      <c r="K1295" t="s">
        <v>294</v>
      </c>
      <c r="L1295" t="s">
        <v>26</v>
      </c>
    </row>
    <row r="1296" spans="1:12" x14ac:dyDescent="0.5">
      <c r="A1296" s="2">
        <v>45895</v>
      </c>
      <c r="B1296" s="3" t="s">
        <v>174</v>
      </c>
      <c r="C1296" s="3" t="s">
        <v>469</v>
      </c>
      <c r="D1296" s="3"/>
      <c r="E1296" s="4">
        <v>2000</v>
      </c>
      <c r="F1296" s="3" t="s">
        <v>41</v>
      </c>
      <c r="G1296" s="3" t="s">
        <v>679</v>
      </c>
      <c r="H1296" s="3"/>
      <c r="I1296" s="4">
        <v>0</v>
      </c>
      <c r="J1296" s="4">
        <v>2000</v>
      </c>
      <c r="K1296" s="3" t="s">
        <v>47</v>
      </c>
      <c r="L1296" s="3" t="s">
        <v>48</v>
      </c>
    </row>
    <row r="1297" spans="1:12" x14ac:dyDescent="0.5">
      <c r="A1297" s="5">
        <v>45896</v>
      </c>
      <c r="B1297" t="s">
        <v>174</v>
      </c>
      <c r="C1297" t="s">
        <v>287</v>
      </c>
      <c r="D1297" t="s">
        <v>288</v>
      </c>
      <c r="E1297" s="6">
        <v>13195</v>
      </c>
      <c r="F1297" t="s">
        <v>14</v>
      </c>
      <c r="G1297" t="s">
        <v>15</v>
      </c>
      <c r="H1297" t="s">
        <v>24</v>
      </c>
      <c r="I1297" s="6">
        <v>2107</v>
      </c>
      <c r="J1297" s="6">
        <v>11088</v>
      </c>
      <c r="K1297" t="s">
        <v>25</v>
      </c>
      <c r="L1297" t="s">
        <v>26</v>
      </c>
    </row>
    <row r="1298" spans="1:12" x14ac:dyDescent="0.5">
      <c r="A1298" s="2">
        <v>45896</v>
      </c>
      <c r="B1298" s="3" t="s">
        <v>174</v>
      </c>
      <c r="C1298" s="3" t="s">
        <v>295</v>
      </c>
      <c r="D1298" s="3" t="s">
        <v>296</v>
      </c>
      <c r="E1298" s="4">
        <v>123177</v>
      </c>
      <c r="F1298" s="3" t="s">
        <v>14</v>
      </c>
      <c r="G1298" s="3" t="s">
        <v>15</v>
      </c>
      <c r="H1298" s="3" t="s">
        <v>293</v>
      </c>
      <c r="I1298" s="4">
        <v>19667</v>
      </c>
      <c r="J1298" s="4">
        <v>103510</v>
      </c>
      <c r="K1298" s="3" t="s">
        <v>294</v>
      </c>
      <c r="L1298" s="3" t="s">
        <v>26</v>
      </c>
    </row>
    <row r="1299" spans="1:12" x14ac:dyDescent="0.5">
      <c r="A1299" s="5">
        <v>45896</v>
      </c>
      <c r="B1299" t="s">
        <v>174</v>
      </c>
      <c r="C1299" t="s">
        <v>470</v>
      </c>
      <c r="E1299" s="6">
        <v>10000</v>
      </c>
      <c r="F1299" t="s">
        <v>41</v>
      </c>
      <c r="G1299" t="s">
        <v>679</v>
      </c>
      <c r="I1299" s="6">
        <v>0</v>
      </c>
      <c r="J1299" s="6">
        <v>10000</v>
      </c>
      <c r="K1299" t="s">
        <v>47</v>
      </c>
      <c r="L1299" t="s">
        <v>48</v>
      </c>
    </row>
    <row r="1300" spans="1:12" x14ac:dyDescent="0.5">
      <c r="A1300" s="2">
        <v>45897</v>
      </c>
      <c r="B1300" s="3" t="s">
        <v>174</v>
      </c>
      <c r="C1300" s="3" t="s">
        <v>285</v>
      </c>
      <c r="D1300" s="3" t="s">
        <v>286</v>
      </c>
      <c r="E1300" s="4">
        <v>141487</v>
      </c>
      <c r="F1300" s="3" t="s">
        <v>14</v>
      </c>
      <c r="G1300" s="3" t="s">
        <v>15</v>
      </c>
      <c r="H1300" s="3" t="s">
        <v>24</v>
      </c>
      <c r="I1300" s="4">
        <v>22590</v>
      </c>
      <c r="J1300" s="4">
        <v>118897</v>
      </c>
      <c r="K1300" s="3" t="s">
        <v>25</v>
      </c>
      <c r="L1300" s="3" t="s">
        <v>26</v>
      </c>
    </row>
    <row r="1301" spans="1:12" x14ac:dyDescent="0.5">
      <c r="A1301" s="5">
        <v>45897</v>
      </c>
      <c r="B1301" t="s">
        <v>174</v>
      </c>
      <c r="C1301" t="s">
        <v>261</v>
      </c>
      <c r="D1301" t="s">
        <v>262</v>
      </c>
      <c r="E1301" s="6">
        <v>151201</v>
      </c>
      <c r="F1301" t="s">
        <v>14</v>
      </c>
      <c r="G1301" t="s">
        <v>15</v>
      </c>
      <c r="H1301" t="s">
        <v>24</v>
      </c>
      <c r="I1301" s="6">
        <v>24141</v>
      </c>
      <c r="J1301" s="6">
        <v>127060</v>
      </c>
      <c r="K1301" t="s">
        <v>25</v>
      </c>
      <c r="L1301" t="s">
        <v>26</v>
      </c>
    </row>
    <row r="1302" spans="1:12" x14ac:dyDescent="0.5">
      <c r="A1302" s="2">
        <v>45897</v>
      </c>
      <c r="B1302" s="3" t="s">
        <v>174</v>
      </c>
      <c r="C1302" s="3" t="s">
        <v>261</v>
      </c>
      <c r="D1302" s="3" t="s">
        <v>262</v>
      </c>
      <c r="E1302" s="4">
        <v>151201</v>
      </c>
      <c r="F1302" s="3" t="s">
        <v>14</v>
      </c>
      <c r="G1302" s="3" t="s">
        <v>15</v>
      </c>
      <c r="H1302" s="3" t="s">
        <v>24</v>
      </c>
      <c r="I1302" s="4">
        <v>24141</v>
      </c>
      <c r="J1302" s="4">
        <v>127060</v>
      </c>
      <c r="K1302" s="3" t="s">
        <v>25</v>
      </c>
      <c r="L1302" s="3" t="s">
        <v>26</v>
      </c>
    </row>
    <row r="1303" spans="1:12" x14ac:dyDescent="0.5">
      <c r="A1303" s="5">
        <v>45897</v>
      </c>
      <c r="B1303" t="s">
        <v>174</v>
      </c>
      <c r="C1303" t="s">
        <v>379</v>
      </c>
      <c r="D1303" t="s">
        <v>670</v>
      </c>
      <c r="E1303" s="6">
        <v>340000</v>
      </c>
      <c r="F1303" t="s">
        <v>41</v>
      </c>
      <c r="G1303" t="s">
        <v>15</v>
      </c>
      <c r="H1303" t="s">
        <v>547</v>
      </c>
      <c r="I1303" s="6">
        <v>0</v>
      </c>
      <c r="J1303" s="6">
        <v>340000</v>
      </c>
      <c r="K1303" t="s">
        <v>530</v>
      </c>
      <c r="L1303" t="s">
        <v>35</v>
      </c>
    </row>
    <row r="1304" spans="1:12" x14ac:dyDescent="0.5">
      <c r="A1304" s="2">
        <v>45897</v>
      </c>
      <c r="B1304" s="3" t="s">
        <v>174</v>
      </c>
      <c r="C1304" s="3" t="s">
        <v>378</v>
      </c>
      <c r="D1304" s="3" t="s">
        <v>669</v>
      </c>
      <c r="E1304" s="4">
        <v>3000</v>
      </c>
      <c r="F1304" s="3" t="s">
        <v>41</v>
      </c>
      <c r="G1304" s="3" t="s">
        <v>15</v>
      </c>
      <c r="H1304" s="3" t="s">
        <v>20</v>
      </c>
      <c r="I1304" s="4">
        <v>0</v>
      </c>
      <c r="J1304" s="4">
        <v>3000</v>
      </c>
      <c r="K1304" s="3" t="s">
        <v>21</v>
      </c>
      <c r="L1304" s="3" t="s">
        <v>22</v>
      </c>
    </row>
    <row r="1305" spans="1:12" x14ac:dyDescent="0.5">
      <c r="A1305" s="5">
        <v>45897</v>
      </c>
      <c r="B1305" t="s">
        <v>174</v>
      </c>
      <c r="C1305" t="s">
        <v>378</v>
      </c>
      <c r="D1305" t="s">
        <v>669</v>
      </c>
      <c r="E1305" s="6">
        <v>9000</v>
      </c>
      <c r="F1305" t="s">
        <v>41</v>
      </c>
      <c r="G1305" t="s">
        <v>15</v>
      </c>
      <c r="H1305" t="s">
        <v>20</v>
      </c>
      <c r="I1305" s="6">
        <v>0</v>
      </c>
      <c r="J1305" s="6">
        <v>9000</v>
      </c>
      <c r="K1305" t="s">
        <v>21</v>
      </c>
      <c r="L1305" t="s">
        <v>22</v>
      </c>
    </row>
    <row r="1306" spans="1:12" x14ac:dyDescent="0.5">
      <c r="A1306" s="2">
        <v>45901</v>
      </c>
      <c r="B1306" s="3" t="s">
        <v>174</v>
      </c>
      <c r="C1306" s="3" t="s">
        <v>395</v>
      </c>
      <c r="D1306" s="3" t="s">
        <v>668</v>
      </c>
      <c r="E1306" s="4">
        <v>146975</v>
      </c>
      <c r="F1306" s="3" t="s">
        <v>41</v>
      </c>
      <c r="G1306" s="3" t="s">
        <v>15</v>
      </c>
      <c r="H1306" s="3" t="s">
        <v>66</v>
      </c>
      <c r="I1306" s="4">
        <v>0</v>
      </c>
      <c r="J1306" s="4">
        <v>146975</v>
      </c>
      <c r="K1306" s="3" t="s">
        <v>67</v>
      </c>
      <c r="L1306" s="3" t="s">
        <v>68</v>
      </c>
    </row>
    <row r="1307" spans="1:12" x14ac:dyDescent="0.5">
      <c r="A1307" s="5">
        <v>45901</v>
      </c>
      <c r="B1307" t="s">
        <v>174</v>
      </c>
      <c r="C1307" t="s">
        <v>455</v>
      </c>
      <c r="D1307" t="s">
        <v>675</v>
      </c>
      <c r="E1307" s="6">
        <v>299735</v>
      </c>
      <c r="F1307" t="s">
        <v>41</v>
      </c>
      <c r="G1307" t="s">
        <v>15</v>
      </c>
      <c r="H1307" t="s">
        <v>66</v>
      </c>
      <c r="I1307" s="6">
        <v>0</v>
      </c>
      <c r="J1307" s="6">
        <v>299735</v>
      </c>
      <c r="K1307" t="s">
        <v>67</v>
      </c>
      <c r="L1307" t="s">
        <v>68</v>
      </c>
    </row>
    <row r="1308" spans="1:12" x14ac:dyDescent="0.5">
      <c r="A1308" s="2">
        <v>45901</v>
      </c>
      <c r="B1308" s="3" t="s">
        <v>174</v>
      </c>
      <c r="C1308" s="3" t="s">
        <v>251</v>
      </c>
      <c r="D1308" s="3" t="s">
        <v>252</v>
      </c>
      <c r="E1308" s="4">
        <v>400092</v>
      </c>
      <c r="F1308" s="3" t="s">
        <v>41</v>
      </c>
      <c r="G1308" s="3" t="s">
        <v>15</v>
      </c>
      <c r="H1308" s="3" t="s">
        <v>66</v>
      </c>
      <c r="I1308" s="4">
        <v>0</v>
      </c>
      <c r="J1308" s="4">
        <v>400092</v>
      </c>
      <c r="K1308" s="3" t="s">
        <v>67</v>
      </c>
      <c r="L1308" s="3" t="s">
        <v>68</v>
      </c>
    </row>
    <row r="1309" spans="1:12" x14ac:dyDescent="0.5">
      <c r="A1309" s="5">
        <v>45901</v>
      </c>
      <c r="B1309" t="s">
        <v>174</v>
      </c>
      <c r="C1309" t="s">
        <v>454</v>
      </c>
      <c r="D1309" t="s">
        <v>674</v>
      </c>
      <c r="E1309" s="6">
        <v>513000</v>
      </c>
      <c r="F1309" t="s">
        <v>41</v>
      </c>
      <c r="G1309" t="s">
        <v>15</v>
      </c>
      <c r="H1309" t="s">
        <v>66</v>
      </c>
      <c r="I1309" s="6">
        <v>0</v>
      </c>
      <c r="J1309" s="6">
        <v>513000</v>
      </c>
      <c r="K1309" t="s">
        <v>67</v>
      </c>
      <c r="L1309" t="s">
        <v>68</v>
      </c>
    </row>
    <row r="1310" spans="1:12" x14ac:dyDescent="0.5">
      <c r="A1310" s="2">
        <v>45901</v>
      </c>
      <c r="B1310" s="3" t="s">
        <v>192</v>
      </c>
      <c r="C1310" s="3" t="s">
        <v>253</v>
      </c>
      <c r="D1310" s="3" t="s">
        <v>254</v>
      </c>
      <c r="E1310" s="4">
        <v>700000</v>
      </c>
      <c r="F1310" s="3" t="s">
        <v>41</v>
      </c>
      <c r="G1310" s="3" t="s">
        <v>15</v>
      </c>
      <c r="H1310" s="3" t="s">
        <v>255</v>
      </c>
      <c r="I1310" s="4">
        <v>0</v>
      </c>
      <c r="J1310" s="4">
        <v>700000</v>
      </c>
      <c r="K1310" s="3" t="s">
        <v>256</v>
      </c>
      <c r="L1310" s="3" t="s">
        <v>68</v>
      </c>
    </row>
    <row r="1311" spans="1:12" x14ac:dyDescent="0.5">
      <c r="A1311" s="5">
        <v>45901</v>
      </c>
      <c r="B1311" t="s">
        <v>174</v>
      </c>
      <c r="C1311" t="s">
        <v>329</v>
      </c>
      <c r="D1311" t="s">
        <v>330</v>
      </c>
      <c r="E1311" s="6">
        <v>824200</v>
      </c>
      <c r="F1311" t="s">
        <v>41</v>
      </c>
      <c r="G1311" t="s">
        <v>15</v>
      </c>
      <c r="H1311" t="s">
        <v>66</v>
      </c>
      <c r="I1311" s="6">
        <v>0</v>
      </c>
      <c r="J1311" s="6">
        <v>824200</v>
      </c>
      <c r="K1311" t="s">
        <v>67</v>
      </c>
      <c r="L1311" t="s">
        <v>68</v>
      </c>
    </row>
    <row r="1312" spans="1:12" x14ac:dyDescent="0.5">
      <c r="A1312" s="2">
        <v>45901</v>
      </c>
      <c r="B1312" s="3" t="s">
        <v>174</v>
      </c>
      <c r="C1312" s="3" t="s">
        <v>281</v>
      </c>
      <c r="D1312" s="3" t="s">
        <v>282</v>
      </c>
      <c r="E1312" s="4">
        <v>908014</v>
      </c>
      <c r="F1312" s="3" t="s">
        <v>41</v>
      </c>
      <c r="G1312" s="3" t="s">
        <v>15</v>
      </c>
      <c r="H1312" s="3" t="s">
        <v>66</v>
      </c>
      <c r="I1312" s="4">
        <v>0</v>
      </c>
      <c r="J1312" s="4">
        <v>908014</v>
      </c>
      <c r="K1312" s="3" t="s">
        <v>67</v>
      </c>
      <c r="L1312" s="3" t="s">
        <v>68</v>
      </c>
    </row>
    <row r="1313" spans="1:12" x14ac:dyDescent="0.5">
      <c r="A1313" s="5">
        <v>45901</v>
      </c>
      <c r="B1313" t="s">
        <v>192</v>
      </c>
      <c r="C1313" t="s">
        <v>401</v>
      </c>
      <c r="D1313" t="s">
        <v>643</v>
      </c>
      <c r="E1313" s="6">
        <v>187694</v>
      </c>
      <c r="F1313" t="s">
        <v>14</v>
      </c>
      <c r="G1313" t="s">
        <v>15</v>
      </c>
      <c r="H1313" t="s">
        <v>212</v>
      </c>
      <c r="I1313" s="6">
        <v>29968</v>
      </c>
      <c r="J1313" s="6">
        <v>157726</v>
      </c>
      <c r="K1313" t="s">
        <v>213</v>
      </c>
      <c r="L1313" t="s">
        <v>48</v>
      </c>
    </row>
    <row r="1314" spans="1:12" x14ac:dyDescent="0.5">
      <c r="A1314" s="2">
        <v>45901</v>
      </c>
      <c r="B1314" s="3" t="s">
        <v>174</v>
      </c>
      <c r="C1314" s="3" t="s">
        <v>305</v>
      </c>
      <c r="D1314" s="3" t="s">
        <v>306</v>
      </c>
      <c r="E1314" s="4">
        <v>545002</v>
      </c>
      <c r="F1314" s="3" t="s">
        <v>41</v>
      </c>
      <c r="G1314" s="3" t="s">
        <v>15</v>
      </c>
      <c r="H1314" s="3" t="s">
        <v>307</v>
      </c>
      <c r="I1314" s="4">
        <v>0</v>
      </c>
      <c r="J1314" s="4">
        <v>545002</v>
      </c>
      <c r="K1314" s="3" t="s">
        <v>308</v>
      </c>
      <c r="L1314" s="3" t="s">
        <v>144</v>
      </c>
    </row>
    <row r="1315" spans="1:12" x14ac:dyDescent="0.5">
      <c r="A1315" s="5">
        <v>45902</v>
      </c>
      <c r="B1315" t="s">
        <v>174</v>
      </c>
      <c r="C1315" t="s">
        <v>394</v>
      </c>
      <c r="D1315" t="s">
        <v>668</v>
      </c>
      <c r="E1315" s="6">
        <v>18000</v>
      </c>
      <c r="F1315" t="s">
        <v>41</v>
      </c>
      <c r="G1315" t="s">
        <v>15</v>
      </c>
      <c r="H1315" t="s">
        <v>66</v>
      </c>
      <c r="I1315" s="6">
        <v>0</v>
      </c>
      <c r="J1315" s="6">
        <v>18000</v>
      </c>
      <c r="K1315" t="s">
        <v>67</v>
      </c>
      <c r="L1315" t="s">
        <v>68</v>
      </c>
    </row>
    <row r="1316" spans="1:12" x14ac:dyDescent="0.5">
      <c r="A1316" s="2">
        <v>45902</v>
      </c>
      <c r="B1316" s="3" t="s">
        <v>192</v>
      </c>
      <c r="C1316" s="3" t="s">
        <v>323</v>
      </c>
      <c r="D1316" s="3" t="s">
        <v>324</v>
      </c>
      <c r="E1316" s="4">
        <v>65000</v>
      </c>
      <c r="F1316" s="3" t="s">
        <v>14</v>
      </c>
      <c r="G1316" s="3" t="s">
        <v>15</v>
      </c>
      <c r="H1316" s="3" t="s">
        <v>267</v>
      </c>
      <c r="I1316" s="4">
        <v>10378</v>
      </c>
      <c r="J1316" s="4">
        <v>54622</v>
      </c>
      <c r="K1316" s="3" t="s">
        <v>268</v>
      </c>
      <c r="L1316" s="3" t="s">
        <v>68</v>
      </c>
    </row>
    <row r="1317" spans="1:12" x14ac:dyDescent="0.5">
      <c r="A1317" s="5">
        <v>45902</v>
      </c>
      <c r="B1317" t="s">
        <v>174</v>
      </c>
      <c r="C1317" t="s">
        <v>249</v>
      </c>
      <c r="D1317" t="s">
        <v>250</v>
      </c>
      <c r="E1317" s="6">
        <v>1133926</v>
      </c>
      <c r="F1317" t="s">
        <v>41</v>
      </c>
      <c r="G1317" t="s">
        <v>15</v>
      </c>
      <c r="H1317" t="s">
        <v>66</v>
      </c>
      <c r="I1317" s="6">
        <v>0</v>
      </c>
      <c r="J1317" s="6">
        <v>1133926</v>
      </c>
      <c r="K1317" t="s">
        <v>67</v>
      </c>
      <c r="L1317" t="s">
        <v>68</v>
      </c>
    </row>
    <row r="1318" spans="1:12" x14ac:dyDescent="0.5">
      <c r="A1318" s="2">
        <v>45902</v>
      </c>
      <c r="B1318" s="3" t="s">
        <v>192</v>
      </c>
      <c r="C1318" s="3" t="s">
        <v>378</v>
      </c>
      <c r="D1318" s="3" t="s">
        <v>669</v>
      </c>
      <c r="E1318" s="4">
        <v>35000</v>
      </c>
      <c r="F1318" s="3" t="s">
        <v>41</v>
      </c>
      <c r="G1318" s="3" t="s">
        <v>15</v>
      </c>
      <c r="H1318" s="3" t="s">
        <v>20</v>
      </c>
      <c r="I1318" s="4">
        <v>0</v>
      </c>
      <c r="J1318" s="4">
        <v>35000</v>
      </c>
      <c r="K1318" s="3" t="s">
        <v>21</v>
      </c>
      <c r="L1318" s="3" t="s">
        <v>22</v>
      </c>
    </row>
    <row r="1319" spans="1:12" x14ac:dyDescent="0.5">
      <c r="A1319" s="5">
        <v>45903</v>
      </c>
      <c r="B1319" t="s">
        <v>192</v>
      </c>
      <c r="C1319" t="s">
        <v>279</v>
      </c>
      <c r="D1319" t="s">
        <v>280</v>
      </c>
      <c r="E1319" s="6">
        <v>103350</v>
      </c>
      <c r="F1319" t="s">
        <v>14</v>
      </c>
      <c r="G1319" t="s">
        <v>15</v>
      </c>
      <c r="H1319" t="s">
        <v>24</v>
      </c>
      <c r="I1319" s="6">
        <v>16501</v>
      </c>
      <c r="J1319" s="6">
        <v>86849</v>
      </c>
      <c r="K1319" t="s">
        <v>25</v>
      </c>
      <c r="L1319" t="s">
        <v>26</v>
      </c>
    </row>
    <row r="1320" spans="1:12" x14ac:dyDescent="0.5">
      <c r="A1320" s="2">
        <v>45903</v>
      </c>
      <c r="B1320" s="3" t="s">
        <v>192</v>
      </c>
      <c r="C1320" s="3" t="s">
        <v>327</v>
      </c>
      <c r="D1320" s="3" t="s">
        <v>328</v>
      </c>
      <c r="E1320" s="4">
        <v>827762</v>
      </c>
      <c r="F1320" s="3" t="s">
        <v>14</v>
      </c>
      <c r="G1320" s="3" t="s">
        <v>15</v>
      </c>
      <c r="H1320" s="3" t="s">
        <v>119</v>
      </c>
      <c r="I1320" s="4">
        <v>132164</v>
      </c>
      <c r="J1320" s="4">
        <v>695598</v>
      </c>
      <c r="K1320" s="3" t="s">
        <v>120</v>
      </c>
      <c r="L1320" s="3" t="s">
        <v>48</v>
      </c>
    </row>
    <row r="1321" spans="1:12" x14ac:dyDescent="0.5">
      <c r="A1321" s="5">
        <v>45903</v>
      </c>
      <c r="B1321" t="s">
        <v>192</v>
      </c>
      <c r="C1321" t="s">
        <v>269</v>
      </c>
      <c r="D1321" t="s">
        <v>270</v>
      </c>
      <c r="E1321" s="6">
        <v>916300</v>
      </c>
      <c r="F1321" t="s">
        <v>41</v>
      </c>
      <c r="G1321" t="s">
        <v>15</v>
      </c>
      <c r="H1321" t="s">
        <v>46</v>
      </c>
      <c r="I1321" s="6">
        <v>0</v>
      </c>
      <c r="J1321" s="6">
        <v>916300</v>
      </c>
      <c r="K1321" t="s">
        <v>47</v>
      </c>
      <c r="L1321" t="s">
        <v>48</v>
      </c>
    </row>
    <row r="1322" spans="1:12" x14ac:dyDescent="0.5">
      <c r="A1322" s="2">
        <v>45903</v>
      </c>
      <c r="B1322" s="3" t="s">
        <v>192</v>
      </c>
      <c r="C1322" s="3" t="s">
        <v>345</v>
      </c>
      <c r="D1322" s="3" t="s">
        <v>346</v>
      </c>
      <c r="E1322" s="4">
        <v>3332</v>
      </c>
      <c r="F1322" s="3" t="s">
        <v>14</v>
      </c>
      <c r="G1322" s="3" t="s">
        <v>15</v>
      </c>
      <c r="H1322" s="3" t="s">
        <v>347</v>
      </c>
      <c r="I1322" s="4">
        <v>532</v>
      </c>
      <c r="J1322" s="4">
        <v>2800</v>
      </c>
      <c r="K1322" s="3" t="s">
        <v>348</v>
      </c>
      <c r="L1322" s="3" t="s">
        <v>22</v>
      </c>
    </row>
    <row r="1323" spans="1:12" x14ac:dyDescent="0.5">
      <c r="A1323" s="5">
        <v>45904</v>
      </c>
      <c r="B1323" t="s">
        <v>192</v>
      </c>
      <c r="C1323" t="s">
        <v>339</v>
      </c>
      <c r="D1323" t="s">
        <v>340</v>
      </c>
      <c r="E1323" s="6">
        <v>27000</v>
      </c>
      <c r="F1323" t="s">
        <v>14</v>
      </c>
      <c r="G1323" t="s">
        <v>15</v>
      </c>
      <c r="H1323" t="s">
        <v>293</v>
      </c>
      <c r="I1323" s="6">
        <v>4311</v>
      </c>
      <c r="J1323" s="6">
        <v>22689</v>
      </c>
      <c r="K1323" t="s">
        <v>294</v>
      </c>
      <c r="L1323" t="s">
        <v>26</v>
      </c>
    </row>
    <row r="1324" spans="1:12" x14ac:dyDescent="0.5">
      <c r="A1324" s="2">
        <v>45904</v>
      </c>
      <c r="B1324" s="3" t="s">
        <v>192</v>
      </c>
      <c r="C1324" s="3" t="s">
        <v>471</v>
      </c>
      <c r="D1324" s="3"/>
      <c r="E1324" s="4">
        <v>275761</v>
      </c>
      <c r="F1324" s="3" t="s">
        <v>41</v>
      </c>
      <c r="G1324" s="3" t="s">
        <v>15</v>
      </c>
      <c r="H1324" s="3"/>
      <c r="I1324" s="4">
        <v>0</v>
      </c>
      <c r="J1324" s="4">
        <v>275761</v>
      </c>
      <c r="K1324" s="3" t="s">
        <v>47</v>
      </c>
      <c r="L1324" s="3" t="s">
        <v>48</v>
      </c>
    </row>
    <row r="1325" spans="1:12" x14ac:dyDescent="0.5">
      <c r="A1325" s="5">
        <v>45905</v>
      </c>
      <c r="B1325" t="s">
        <v>192</v>
      </c>
      <c r="C1325" t="s">
        <v>261</v>
      </c>
      <c r="D1325" t="s">
        <v>262</v>
      </c>
      <c r="E1325" s="6">
        <v>151201</v>
      </c>
      <c r="F1325" t="s">
        <v>14</v>
      </c>
      <c r="G1325" t="s">
        <v>15</v>
      </c>
      <c r="H1325" t="s">
        <v>24</v>
      </c>
      <c r="I1325" s="6">
        <v>24141</v>
      </c>
      <c r="J1325" s="6">
        <v>127060</v>
      </c>
      <c r="K1325" t="s">
        <v>25</v>
      </c>
      <c r="L1325" t="s">
        <v>26</v>
      </c>
    </row>
    <row r="1326" spans="1:12" x14ac:dyDescent="0.5">
      <c r="A1326" s="2">
        <v>45905</v>
      </c>
      <c r="B1326" s="3" t="s">
        <v>192</v>
      </c>
      <c r="C1326" s="3" t="s">
        <v>261</v>
      </c>
      <c r="D1326" s="3" t="s">
        <v>262</v>
      </c>
      <c r="E1326" s="4">
        <v>151201</v>
      </c>
      <c r="F1326" s="3" t="s">
        <v>14</v>
      </c>
      <c r="G1326" s="3" t="s">
        <v>15</v>
      </c>
      <c r="H1326" s="3" t="s">
        <v>24</v>
      </c>
      <c r="I1326" s="4">
        <v>24141</v>
      </c>
      <c r="J1326" s="4">
        <v>127060</v>
      </c>
      <c r="K1326" s="3" t="s">
        <v>25</v>
      </c>
      <c r="L1326" s="3" t="s">
        <v>26</v>
      </c>
    </row>
    <row r="1327" spans="1:12" x14ac:dyDescent="0.5">
      <c r="A1327" s="5">
        <v>45905</v>
      </c>
      <c r="B1327" t="s">
        <v>192</v>
      </c>
      <c r="C1327" t="s">
        <v>247</v>
      </c>
      <c r="D1327" t="s">
        <v>248</v>
      </c>
      <c r="E1327" s="6">
        <v>376280</v>
      </c>
      <c r="F1327" t="s">
        <v>14</v>
      </c>
      <c r="G1327" t="s">
        <v>15</v>
      </c>
      <c r="H1327" t="s">
        <v>24</v>
      </c>
      <c r="I1327" s="6">
        <v>60078</v>
      </c>
      <c r="J1327" s="6">
        <v>316202</v>
      </c>
      <c r="K1327" t="s">
        <v>25</v>
      </c>
      <c r="L1327" t="s">
        <v>26</v>
      </c>
    </row>
    <row r="1328" spans="1:12" x14ac:dyDescent="0.5">
      <c r="A1328" s="2">
        <v>45905</v>
      </c>
      <c r="B1328" s="3" t="s">
        <v>192</v>
      </c>
      <c r="C1328" s="3" t="s">
        <v>472</v>
      </c>
      <c r="D1328" s="3"/>
      <c r="E1328" s="4">
        <v>129187</v>
      </c>
      <c r="F1328" s="3" t="s">
        <v>41</v>
      </c>
      <c r="G1328" s="3" t="s">
        <v>15</v>
      </c>
      <c r="H1328" s="3"/>
      <c r="I1328" s="4">
        <v>0</v>
      </c>
      <c r="J1328" s="4">
        <v>129187</v>
      </c>
      <c r="K1328" s="3" t="s">
        <v>47</v>
      </c>
      <c r="L1328" s="3" t="s">
        <v>48</v>
      </c>
    </row>
    <row r="1329" spans="1:12" x14ac:dyDescent="0.5">
      <c r="A1329" s="5">
        <v>45908</v>
      </c>
      <c r="B1329" t="s">
        <v>174</v>
      </c>
      <c r="C1329" t="s">
        <v>329</v>
      </c>
      <c r="D1329" t="s">
        <v>330</v>
      </c>
      <c r="E1329" s="6">
        <v>2390</v>
      </c>
      <c r="F1329" t="s">
        <v>41</v>
      </c>
      <c r="G1329" t="s">
        <v>15</v>
      </c>
      <c r="H1329" t="s">
        <v>66</v>
      </c>
      <c r="I1329" s="6">
        <v>0</v>
      </c>
      <c r="J1329" s="6">
        <v>2390</v>
      </c>
      <c r="K1329" t="s">
        <v>67</v>
      </c>
      <c r="L1329" t="s">
        <v>68</v>
      </c>
    </row>
    <row r="1330" spans="1:12" x14ac:dyDescent="0.5">
      <c r="A1330" s="2">
        <v>45908</v>
      </c>
      <c r="B1330" s="3" t="s">
        <v>192</v>
      </c>
      <c r="C1330" s="3" t="s">
        <v>438</v>
      </c>
      <c r="D1330" s="3" t="s">
        <v>673</v>
      </c>
      <c r="E1330" s="4">
        <v>253929</v>
      </c>
      <c r="F1330" s="3" t="s">
        <v>14</v>
      </c>
      <c r="G1330" s="3" t="s">
        <v>15</v>
      </c>
      <c r="H1330" s="3" t="s">
        <v>119</v>
      </c>
      <c r="I1330" s="4">
        <v>40543</v>
      </c>
      <c r="J1330" s="4">
        <v>213386</v>
      </c>
      <c r="K1330" s="3" t="s">
        <v>120</v>
      </c>
      <c r="L1330" s="3" t="s">
        <v>48</v>
      </c>
    </row>
    <row r="1331" spans="1:12" x14ac:dyDescent="0.5">
      <c r="A1331" s="5">
        <v>45908</v>
      </c>
      <c r="B1331" t="s">
        <v>192</v>
      </c>
      <c r="C1331" t="s">
        <v>269</v>
      </c>
      <c r="D1331" t="s">
        <v>270</v>
      </c>
      <c r="E1331" s="6">
        <v>688992</v>
      </c>
      <c r="F1331" t="s">
        <v>41</v>
      </c>
      <c r="G1331" t="s">
        <v>15</v>
      </c>
      <c r="H1331" t="s">
        <v>46</v>
      </c>
      <c r="I1331" s="6">
        <v>0</v>
      </c>
      <c r="J1331" s="6">
        <v>688992</v>
      </c>
      <c r="K1331" t="s">
        <v>47</v>
      </c>
      <c r="L1331" t="s">
        <v>48</v>
      </c>
    </row>
    <row r="1332" spans="1:12" x14ac:dyDescent="0.5">
      <c r="A1332" s="2">
        <v>45909</v>
      </c>
      <c r="B1332" s="3" t="s">
        <v>192</v>
      </c>
      <c r="C1332" s="3" t="s">
        <v>285</v>
      </c>
      <c r="D1332" s="3" t="s">
        <v>286</v>
      </c>
      <c r="E1332" s="4">
        <v>170573</v>
      </c>
      <c r="F1332" s="3" t="s">
        <v>14</v>
      </c>
      <c r="G1332" s="3" t="s">
        <v>15</v>
      </c>
      <c r="H1332" s="3" t="s">
        <v>24</v>
      </c>
      <c r="I1332" s="4">
        <v>27234</v>
      </c>
      <c r="J1332" s="4">
        <v>143339</v>
      </c>
      <c r="K1332" s="3" t="s">
        <v>25</v>
      </c>
      <c r="L1332" s="3" t="s">
        <v>26</v>
      </c>
    </row>
    <row r="1333" spans="1:12" x14ac:dyDescent="0.5">
      <c r="A1333" s="5">
        <v>45909</v>
      </c>
      <c r="B1333" t="s">
        <v>192</v>
      </c>
      <c r="C1333" t="s">
        <v>297</v>
      </c>
      <c r="D1333" t="s">
        <v>298</v>
      </c>
      <c r="E1333" s="6">
        <v>203621</v>
      </c>
      <c r="F1333" t="s">
        <v>14</v>
      </c>
      <c r="G1333" t="s">
        <v>15</v>
      </c>
      <c r="H1333" t="s">
        <v>293</v>
      </c>
      <c r="I1333" s="6">
        <v>32511</v>
      </c>
      <c r="J1333" s="6">
        <v>171110</v>
      </c>
      <c r="K1333" t="s">
        <v>294</v>
      </c>
      <c r="L1333" t="s">
        <v>26</v>
      </c>
    </row>
    <row r="1334" spans="1:12" x14ac:dyDescent="0.5">
      <c r="A1334" s="2">
        <v>45911</v>
      </c>
      <c r="B1334" s="3" t="s">
        <v>192</v>
      </c>
      <c r="C1334" s="3" t="s">
        <v>253</v>
      </c>
      <c r="D1334" s="3" t="s">
        <v>254</v>
      </c>
      <c r="E1334" s="4">
        <v>28192</v>
      </c>
      <c r="F1334" s="3" t="s">
        <v>41</v>
      </c>
      <c r="G1334" s="3" t="s">
        <v>15</v>
      </c>
      <c r="H1334" s="3" t="s">
        <v>255</v>
      </c>
      <c r="I1334" s="4">
        <v>0</v>
      </c>
      <c r="J1334" s="4">
        <v>28192</v>
      </c>
      <c r="K1334" s="3" t="s">
        <v>256</v>
      </c>
      <c r="L1334" s="3" t="s">
        <v>68</v>
      </c>
    </row>
    <row r="1335" spans="1:12" x14ac:dyDescent="0.5">
      <c r="A1335" s="5">
        <v>45911</v>
      </c>
      <c r="B1335" t="s">
        <v>174</v>
      </c>
      <c r="C1335" t="s">
        <v>249</v>
      </c>
      <c r="D1335" t="s">
        <v>250</v>
      </c>
      <c r="E1335" s="6">
        <v>31500</v>
      </c>
      <c r="F1335" t="s">
        <v>41</v>
      </c>
      <c r="G1335" t="s">
        <v>15</v>
      </c>
      <c r="H1335" t="s">
        <v>66</v>
      </c>
      <c r="I1335" s="6">
        <v>0</v>
      </c>
      <c r="J1335" s="6">
        <v>31500</v>
      </c>
      <c r="K1335" t="s">
        <v>67</v>
      </c>
      <c r="L1335" t="s">
        <v>68</v>
      </c>
    </row>
    <row r="1336" spans="1:12" x14ac:dyDescent="0.5">
      <c r="A1336" s="2">
        <v>45911</v>
      </c>
      <c r="B1336" s="3" t="s">
        <v>174</v>
      </c>
      <c r="C1336" s="3" t="s">
        <v>474</v>
      </c>
      <c r="D1336" s="3" t="s">
        <v>668</v>
      </c>
      <c r="E1336" s="4">
        <v>75000</v>
      </c>
      <c r="F1336" s="3" t="s">
        <v>41</v>
      </c>
      <c r="G1336" s="3" t="s">
        <v>15</v>
      </c>
      <c r="H1336" s="3" t="s">
        <v>66</v>
      </c>
      <c r="I1336" s="4">
        <v>0</v>
      </c>
      <c r="J1336" s="4">
        <v>75000</v>
      </c>
      <c r="K1336" s="3" t="s">
        <v>67</v>
      </c>
      <c r="L1336" s="3" t="s">
        <v>68</v>
      </c>
    </row>
    <row r="1337" spans="1:12" x14ac:dyDescent="0.5">
      <c r="A1337" s="5">
        <v>45911</v>
      </c>
      <c r="B1337" t="s">
        <v>192</v>
      </c>
      <c r="C1337" t="s">
        <v>289</v>
      </c>
      <c r="D1337" t="s">
        <v>290</v>
      </c>
      <c r="E1337" s="6">
        <v>999743</v>
      </c>
      <c r="F1337" t="s">
        <v>14</v>
      </c>
      <c r="G1337" t="s">
        <v>15</v>
      </c>
      <c r="H1337" t="s">
        <v>16</v>
      </c>
      <c r="I1337" s="6">
        <v>159623</v>
      </c>
      <c r="J1337" s="6">
        <v>840120</v>
      </c>
      <c r="K1337" t="s">
        <v>17</v>
      </c>
      <c r="L1337" t="s">
        <v>18</v>
      </c>
    </row>
    <row r="1338" spans="1:12" x14ac:dyDescent="0.5">
      <c r="A1338" s="2">
        <v>45912</v>
      </c>
      <c r="B1338" s="3" t="s">
        <v>192</v>
      </c>
      <c r="C1338" s="3" t="s">
        <v>253</v>
      </c>
      <c r="D1338" s="3" t="s">
        <v>254</v>
      </c>
      <c r="E1338" s="4">
        <v>22770</v>
      </c>
      <c r="F1338" s="3" t="s">
        <v>41</v>
      </c>
      <c r="G1338" s="3" t="s">
        <v>15</v>
      </c>
      <c r="H1338" s="3" t="s">
        <v>255</v>
      </c>
      <c r="I1338" s="4">
        <v>0</v>
      </c>
      <c r="J1338" s="4">
        <v>22770</v>
      </c>
      <c r="K1338" s="3" t="s">
        <v>256</v>
      </c>
      <c r="L1338" s="3" t="s">
        <v>68</v>
      </c>
    </row>
    <row r="1339" spans="1:12" x14ac:dyDescent="0.5">
      <c r="A1339" s="5">
        <v>45912</v>
      </c>
      <c r="B1339" t="s">
        <v>174</v>
      </c>
      <c r="C1339" t="s">
        <v>305</v>
      </c>
      <c r="D1339" t="s">
        <v>306</v>
      </c>
      <c r="E1339" s="6">
        <v>100000</v>
      </c>
      <c r="F1339" t="s">
        <v>41</v>
      </c>
      <c r="G1339" t="s">
        <v>15</v>
      </c>
      <c r="H1339" t="s">
        <v>307</v>
      </c>
      <c r="I1339" s="6">
        <v>0</v>
      </c>
      <c r="J1339" s="6">
        <v>100000</v>
      </c>
      <c r="K1339" t="s">
        <v>308</v>
      </c>
      <c r="L1339" t="s">
        <v>144</v>
      </c>
    </row>
    <row r="1340" spans="1:12" x14ac:dyDescent="0.5">
      <c r="A1340" s="2">
        <v>45915</v>
      </c>
      <c r="B1340" s="3" t="s">
        <v>192</v>
      </c>
      <c r="C1340" s="3" t="s">
        <v>279</v>
      </c>
      <c r="D1340" s="3" t="s">
        <v>280</v>
      </c>
      <c r="E1340" s="4">
        <v>103350</v>
      </c>
      <c r="F1340" s="3" t="s">
        <v>14</v>
      </c>
      <c r="G1340" s="3" t="s">
        <v>15</v>
      </c>
      <c r="H1340" s="3" t="s">
        <v>24</v>
      </c>
      <c r="I1340" s="4">
        <v>16501</v>
      </c>
      <c r="J1340" s="4">
        <v>86849</v>
      </c>
      <c r="K1340" s="3" t="s">
        <v>25</v>
      </c>
      <c r="L1340" s="3" t="s">
        <v>26</v>
      </c>
    </row>
    <row r="1341" spans="1:12" x14ac:dyDescent="0.5">
      <c r="A1341" s="5">
        <v>45916</v>
      </c>
      <c r="B1341" t="s">
        <v>192</v>
      </c>
      <c r="C1341" t="s">
        <v>261</v>
      </c>
      <c r="D1341" t="s">
        <v>262</v>
      </c>
      <c r="E1341" s="6">
        <v>151201</v>
      </c>
      <c r="F1341" t="s">
        <v>14</v>
      </c>
      <c r="G1341" t="s">
        <v>15</v>
      </c>
      <c r="H1341" t="s">
        <v>24</v>
      </c>
      <c r="I1341" s="6">
        <v>24141</v>
      </c>
      <c r="J1341" s="6">
        <v>127060</v>
      </c>
      <c r="K1341" t="s">
        <v>25</v>
      </c>
      <c r="L1341" t="s">
        <v>26</v>
      </c>
    </row>
    <row r="1342" spans="1:12" x14ac:dyDescent="0.5">
      <c r="A1342" s="2">
        <v>45916</v>
      </c>
      <c r="B1342" s="3" t="s">
        <v>192</v>
      </c>
      <c r="C1342" s="3" t="s">
        <v>261</v>
      </c>
      <c r="D1342" s="3" t="s">
        <v>262</v>
      </c>
      <c r="E1342" s="4">
        <v>151201</v>
      </c>
      <c r="F1342" s="3" t="s">
        <v>14</v>
      </c>
      <c r="G1342" s="3" t="s">
        <v>15</v>
      </c>
      <c r="H1342" s="3" t="s">
        <v>24</v>
      </c>
      <c r="I1342" s="4">
        <v>24141</v>
      </c>
      <c r="J1342" s="4">
        <v>127060</v>
      </c>
      <c r="K1342" s="3" t="s">
        <v>25</v>
      </c>
      <c r="L1342" s="3" t="s">
        <v>26</v>
      </c>
    </row>
    <row r="1343" spans="1:12" x14ac:dyDescent="0.5">
      <c r="A1343" s="5">
        <v>45917</v>
      </c>
      <c r="B1343" t="s">
        <v>192</v>
      </c>
      <c r="C1343" t="s">
        <v>331</v>
      </c>
      <c r="D1343" t="s">
        <v>332</v>
      </c>
      <c r="E1343" s="6">
        <v>79900</v>
      </c>
      <c r="F1343" t="s">
        <v>14</v>
      </c>
      <c r="G1343" t="s">
        <v>15</v>
      </c>
      <c r="H1343" t="s">
        <v>24</v>
      </c>
      <c r="I1343" s="6">
        <v>12757</v>
      </c>
      <c r="J1343" s="6">
        <v>67143</v>
      </c>
      <c r="K1343" t="s">
        <v>25</v>
      </c>
      <c r="L1343" t="s">
        <v>26</v>
      </c>
    </row>
    <row r="1344" spans="1:12" x14ac:dyDescent="0.5">
      <c r="A1344" s="2">
        <v>45917</v>
      </c>
      <c r="B1344" s="3" t="s">
        <v>192</v>
      </c>
      <c r="C1344" s="3" t="s">
        <v>349</v>
      </c>
      <c r="D1344" s="3" t="s">
        <v>350</v>
      </c>
      <c r="E1344" s="4">
        <v>383775</v>
      </c>
      <c r="F1344" s="3" t="s">
        <v>14</v>
      </c>
      <c r="G1344" s="3" t="s">
        <v>15</v>
      </c>
      <c r="H1344" s="3" t="s">
        <v>293</v>
      </c>
      <c r="I1344" s="4">
        <v>61275</v>
      </c>
      <c r="J1344" s="4">
        <v>322500</v>
      </c>
      <c r="K1344" s="3" t="s">
        <v>294</v>
      </c>
      <c r="L1344" s="3" t="s">
        <v>26</v>
      </c>
    </row>
    <row r="1345" spans="1:12" x14ac:dyDescent="0.5">
      <c r="A1345" s="5">
        <v>45922</v>
      </c>
      <c r="B1345" t="s">
        <v>192</v>
      </c>
      <c r="C1345" t="s">
        <v>295</v>
      </c>
      <c r="D1345" t="s">
        <v>296</v>
      </c>
      <c r="E1345" s="6">
        <v>123115</v>
      </c>
      <c r="F1345" t="s">
        <v>14</v>
      </c>
      <c r="G1345" t="s">
        <v>15</v>
      </c>
      <c r="H1345" t="s">
        <v>293</v>
      </c>
      <c r="I1345" s="6">
        <v>19657</v>
      </c>
      <c r="J1345" s="6">
        <v>103458</v>
      </c>
      <c r="K1345" t="s">
        <v>294</v>
      </c>
      <c r="L1345" t="s">
        <v>26</v>
      </c>
    </row>
    <row r="1346" spans="1:12" x14ac:dyDescent="0.5">
      <c r="A1346" s="2">
        <v>45922</v>
      </c>
      <c r="B1346" s="3" t="s">
        <v>192</v>
      </c>
      <c r="C1346" s="3" t="s">
        <v>275</v>
      </c>
      <c r="D1346" s="3" t="s">
        <v>276</v>
      </c>
      <c r="E1346" s="4">
        <v>6188</v>
      </c>
      <c r="F1346" s="3" t="s">
        <v>14</v>
      </c>
      <c r="G1346" s="3" t="s">
        <v>15</v>
      </c>
      <c r="H1346" s="3" t="s">
        <v>20</v>
      </c>
      <c r="I1346" s="4">
        <v>988</v>
      </c>
      <c r="J1346" s="4">
        <v>5200</v>
      </c>
      <c r="K1346" s="3" t="s">
        <v>21</v>
      </c>
      <c r="L1346" s="3" t="s">
        <v>22</v>
      </c>
    </row>
    <row r="1347" spans="1:12" x14ac:dyDescent="0.5">
      <c r="A1347" s="5">
        <v>45923</v>
      </c>
      <c r="B1347" t="s">
        <v>192</v>
      </c>
      <c r="C1347" t="s">
        <v>335</v>
      </c>
      <c r="D1347" t="s">
        <v>336</v>
      </c>
      <c r="E1347" s="6">
        <v>2990</v>
      </c>
      <c r="F1347" t="s">
        <v>14</v>
      </c>
      <c r="G1347" t="s">
        <v>15</v>
      </c>
      <c r="H1347" t="s">
        <v>24</v>
      </c>
      <c r="I1347" s="6">
        <v>477</v>
      </c>
      <c r="J1347" s="6">
        <v>2513</v>
      </c>
      <c r="K1347" t="s">
        <v>25</v>
      </c>
      <c r="L1347" t="s">
        <v>26</v>
      </c>
    </row>
    <row r="1348" spans="1:12" x14ac:dyDescent="0.5">
      <c r="A1348" s="2">
        <v>45923</v>
      </c>
      <c r="B1348" s="3" t="s">
        <v>192</v>
      </c>
      <c r="C1348" s="3" t="s">
        <v>313</v>
      </c>
      <c r="D1348" s="3" t="s">
        <v>314</v>
      </c>
      <c r="E1348" s="4">
        <v>18981</v>
      </c>
      <c r="F1348" s="3" t="s">
        <v>14</v>
      </c>
      <c r="G1348" s="3" t="s">
        <v>15</v>
      </c>
      <c r="H1348" s="3" t="s">
        <v>293</v>
      </c>
      <c r="I1348" s="4">
        <v>3031</v>
      </c>
      <c r="J1348" s="4">
        <v>15950</v>
      </c>
      <c r="K1348" s="3" t="s">
        <v>294</v>
      </c>
      <c r="L1348" s="3" t="s">
        <v>26</v>
      </c>
    </row>
    <row r="1349" spans="1:12" x14ac:dyDescent="0.5">
      <c r="A1349" s="5">
        <v>45923</v>
      </c>
      <c r="B1349" t="s">
        <v>192</v>
      </c>
      <c r="C1349" t="s">
        <v>271</v>
      </c>
      <c r="D1349" t="s">
        <v>272</v>
      </c>
      <c r="E1349" s="6">
        <v>42916</v>
      </c>
      <c r="F1349" t="s">
        <v>14</v>
      </c>
      <c r="G1349" t="s">
        <v>15</v>
      </c>
      <c r="H1349" t="s">
        <v>24</v>
      </c>
      <c r="I1349" s="6">
        <v>6852</v>
      </c>
      <c r="J1349" s="6">
        <v>36064</v>
      </c>
      <c r="K1349" t="s">
        <v>25</v>
      </c>
      <c r="L1349" t="s">
        <v>26</v>
      </c>
    </row>
    <row r="1350" spans="1:12" x14ac:dyDescent="0.5">
      <c r="A1350" s="2">
        <v>45923</v>
      </c>
      <c r="B1350" s="3" t="s">
        <v>192</v>
      </c>
      <c r="C1350" s="3" t="s">
        <v>313</v>
      </c>
      <c r="D1350" s="3" t="s">
        <v>314</v>
      </c>
      <c r="E1350" s="4">
        <v>44691</v>
      </c>
      <c r="F1350" s="3" t="s">
        <v>14</v>
      </c>
      <c r="G1350" s="3" t="s">
        <v>15</v>
      </c>
      <c r="H1350" s="3" t="s">
        <v>293</v>
      </c>
      <c r="I1350" s="4">
        <v>7136</v>
      </c>
      <c r="J1350" s="4">
        <v>37555</v>
      </c>
      <c r="K1350" s="3" t="s">
        <v>294</v>
      </c>
      <c r="L1350" s="3" t="s">
        <v>26</v>
      </c>
    </row>
    <row r="1351" spans="1:12" x14ac:dyDescent="0.5">
      <c r="A1351" s="5">
        <v>45923</v>
      </c>
      <c r="B1351" t="s">
        <v>192</v>
      </c>
      <c r="C1351" t="s">
        <v>335</v>
      </c>
      <c r="D1351" t="s">
        <v>336</v>
      </c>
      <c r="E1351" s="6">
        <v>75290</v>
      </c>
      <c r="F1351" t="s">
        <v>14</v>
      </c>
      <c r="G1351" t="s">
        <v>15</v>
      </c>
      <c r="H1351" t="s">
        <v>24</v>
      </c>
      <c r="I1351" s="6">
        <v>12021</v>
      </c>
      <c r="J1351" s="6">
        <v>63269</v>
      </c>
      <c r="K1351" t="s">
        <v>25</v>
      </c>
      <c r="L1351" t="s">
        <v>26</v>
      </c>
    </row>
    <row r="1352" spans="1:12" x14ac:dyDescent="0.5">
      <c r="A1352" s="2">
        <v>45923</v>
      </c>
      <c r="B1352" s="3" t="s">
        <v>192</v>
      </c>
      <c r="C1352" s="3" t="s">
        <v>477</v>
      </c>
      <c r="D1352" s="3" t="s">
        <v>651</v>
      </c>
      <c r="E1352" s="4">
        <v>118369</v>
      </c>
      <c r="F1352" s="3" t="s">
        <v>14</v>
      </c>
      <c r="G1352" s="3" t="s">
        <v>15</v>
      </c>
      <c r="H1352" s="3" t="s">
        <v>24</v>
      </c>
      <c r="I1352" s="4">
        <v>18899</v>
      </c>
      <c r="J1352" s="4">
        <v>99470</v>
      </c>
      <c r="K1352" s="3" t="s">
        <v>25</v>
      </c>
      <c r="L1352" s="3" t="s">
        <v>26</v>
      </c>
    </row>
    <row r="1353" spans="1:12" x14ac:dyDescent="0.5">
      <c r="A1353" s="5">
        <v>45923</v>
      </c>
      <c r="B1353" t="s">
        <v>192</v>
      </c>
      <c r="C1353" t="s">
        <v>271</v>
      </c>
      <c r="D1353" t="s">
        <v>272</v>
      </c>
      <c r="E1353" s="6">
        <v>225876</v>
      </c>
      <c r="F1353" t="s">
        <v>14</v>
      </c>
      <c r="G1353" t="s">
        <v>15</v>
      </c>
      <c r="H1353" t="s">
        <v>24</v>
      </c>
      <c r="I1353" s="6">
        <v>36064</v>
      </c>
      <c r="J1353" s="6">
        <v>189812</v>
      </c>
      <c r="K1353" t="s">
        <v>25</v>
      </c>
      <c r="L1353" t="s">
        <v>26</v>
      </c>
    </row>
    <row r="1354" spans="1:12" x14ac:dyDescent="0.5">
      <c r="A1354" s="2">
        <v>45923</v>
      </c>
      <c r="B1354" s="3" t="s">
        <v>192</v>
      </c>
      <c r="C1354" s="3" t="s">
        <v>478</v>
      </c>
      <c r="D1354" s="3" t="s">
        <v>667</v>
      </c>
      <c r="E1354" s="4">
        <v>699870</v>
      </c>
      <c r="F1354" s="3" t="s">
        <v>14</v>
      </c>
      <c r="G1354" s="3" t="s">
        <v>15</v>
      </c>
      <c r="H1354" s="3" t="s">
        <v>24</v>
      </c>
      <c r="I1354" s="4">
        <v>111744</v>
      </c>
      <c r="J1354" s="4">
        <v>588126</v>
      </c>
      <c r="K1354" s="3" t="s">
        <v>25</v>
      </c>
      <c r="L1354" s="3" t="s">
        <v>26</v>
      </c>
    </row>
    <row r="1355" spans="1:12" x14ac:dyDescent="0.5">
      <c r="A1355" s="5">
        <v>45924</v>
      </c>
      <c r="B1355" t="s">
        <v>192</v>
      </c>
      <c r="C1355" t="s">
        <v>401</v>
      </c>
      <c r="D1355" t="s">
        <v>643</v>
      </c>
      <c r="E1355" s="6">
        <v>150880</v>
      </c>
      <c r="F1355" t="s">
        <v>14</v>
      </c>
      <c r="G1355" t="s">
        <v>15</v>
      </c>
      <c r="H1355" t="s">
        <v>212</v>
      </c>
      <c r="I1355" s="6">
        <v>24090</v>
      </c>
      <c r="J1355" s="6">
        <v>126790</v>
      </c>
      <c r="K1355" t="s">
        <v>213</v>
      </c>
      <c r="L1355" t="s">
        <v>48</v>
      </c>
    </row>
    <row r="1356" spans="1:12" x14ac:dyDescent="0.5">
      <c r="A1356" s="2">
        <v>45925</v>
      </c>
      <c r="B1356" s="3" t="s">
        <v>192</v>
      </c>
      <c r="C1356" s="3" t="s">
        <v>331</v>
      </c>
      <c r="D1356" s="3" t="s">
        <v>332</v>
      </c>
      <c r="E1356" s="4">
        <v>79900</v>
      </c>
      <c r="F1356" s="3" t="s">
        <v>14</v>
      </c>
      <c r="G1356" s="3" t="s">
        <v>15</v>
      </c>
      <c r="H1356" s="3" t="s">
        <v>24</v>
      </c>
      <c r="I1356" s="4">
        <v>12757</v>
      </c>
      <c r="J1356" s="4">
        <v>67143</v>
      </c>
      <c r="K1356" s="3" t="s">
        <v>25</v>
      </c>
      <c r="L1356" s="3" t="s">
        <v>26</v>
      </c>
    </row>
    <row r="1357" spans="1:12" x14ac:dyDescent="0.5">
      <c r="A1357" s="5">
        <v>45925</v>
      </c>
      <c r="B1357" t="s">
        <v>192</v>
      </c>
      <c r="C1357" t="s">
        <v>247</v>
      </c>
      <c r="D1357" t="s">
        <v>248</v>
      </c>
      <c r="E1357" s="6">
        <v>376280</v>
      </c>
      <c r="F1357" t="s">
        <v>14</v>
      </c>
      <c r="G1357" t="s">
        <v>15</v>
      </c>
      <c r="H1357" t="s">
        <v>24</v>
      </c>
      <c r="I1357" s="6">
        <v>60078</v>
      </c>
      <c r="J1357" s="6">
        <v>316202</v>
      </c>
      <c r="K1357" t="s">
        <v>25</v>
      </c>
      <c r="L1357" t="s">
        <v>26</v>
      </c>
    </row>
    <row r="1358" spans="1:12" x14ac:dyDescent="0.5">
      <c r="A1358" s="2">
        <v>45925</v>
      </c>
      <c r="B1358" s="3" t="s">
        <v>174</v>
      </c>
      <c r="C1358" s="3" t="s">
        <v>249</v>
      </c>
      <c r="D1358" s="3" t="s">
        <v>250</v>
      </c>
      <c r="E1358" s="4">
        <v>24161</v>
      </c>
      <c r="F1358" s="3" t="s">
        <v>41</v>
      </c>
      <c r="G1358" s="3" t="s">
        <v>15</v>
      </c>
      <c r="H1358" s="3" t="s">
        <v>66</v>
      </c>
      <c r="I1358" s="4">
        <v>0</v>
      </c>
      <c r="J1358" s="4">
        <v>24161</v>
      </c>
      <c r="K1358" s="3" t="s">
        <v>67</v>
      </c>
      <c r="L1358" s="3" t="s">
        <v>68</v>
      </c>
    </row>
    <row r="1359" spans="1:12" x14ac:dyDescent="0.5">
      <c r="A1359" s="5">
        <v>45925</v>
      </c>
      <c r="B1359" t="s">
        <v>192</v>
      </c>
      <c r="C1359" t="s">
        <v>253</v>
      </c>
      <c r="D1359" t="s">
        <v>254</v>
      </c>
      <c r="E1359" s="6">
        <v>39590</v>
      </c>
      <c r="F1359" t="s">
        <v>41</v>
      </c>
      <c r="G1359" t="s">
        <v>15</v>
      </c>
      <c r="H1359" t="s">
        <v>255</v>
      </c>
      <c r="I1359" s="6">
        <v>0</v>
      </c>
      <c r="J1359" s="6">
        <v>39590</v>
      </c>
      <c r="K1359" t="s">
        <v>256</v>
      </c>
      <c r="L1359" t="s">
        <v>68</v>
      </c>
    </row>
    <row r="1360" spans="1:12" x14ac:dyDescent="0.5">
      <c r="A1360" s="2">
        <v>45925</v>
      </c>
      <c r="B1360" s="3" t="s">
        <v>174</v>
      </c>
      <c r="C1360" s="3" t="s">
        <v>474</v>
      </c>
      <c r="D1360" s="3" t="s">
        <v>668</v>
      </c>
      <c r="E1360" s="4">
        <v>44980</v>
      </c>
      <c r="F1360" s="3" t="s">
        <v>41</v>
      </c>
      <c r="G1360" s="3" t="s">
        <v>15</v>
      </c>
      <c r="H1360" s="3" t="s">
        <v>66</v>
      </c>
      <c r="I1360" s="4">
        <v>0</v>
      </c>
      <c r="J1360" s="4">
        <v>44980</v>
      </c>
      <c r="K1360" s="3" t="s">
        <v>67</v>
      </c>
      <c r="L1360" s="3" t="s">
        <v>68</v>
      </c>
    </row>
    <row r="1361" spans="1:12" x14ac:dyDescent="0.5">
      <c r="A1361" s="5">
        <v>45925</v>
      </c>
      <c r="B1361" t="s">
        <v>174</v>
      </c>
      <c r="C1361" t="s">
        <v>474</v>
      </c>
      <c r="D1361" t="s">
        <v>668</v>
      </c>
      <c r="E1361" s="6">
        <v>75000</v>
      </c>
      <c r="F1361" t="s">
        <v>41</v>
      </c>
      <c r="G1361" t="s">
        <v>15</v>
      </c>
      <c r="H1361" t="s">
        <v>66</v>
      </c>
      <c r="I1361" s="6">
        <v>0</v>
      </c>
      <c r="J1361" s="6">
        <v>75000</v>
      </c>
      <c r="K1361" t="s">
        <v>67</v>
      </c>
      <c r="L1361" t="s">
        <v>68</v>
      </c>
    </row>
    <row r="1362" spans="1:12" x14ac:dyDescent="0.5">
      <c r="A1362" s="2">
        <v>45925</v>
      </c>
      <c r="B1362" s="3" t="s">
        <v>174</v>
      </c>
      <c r="C1362" s="3" t="s">
        <v>249</v>
      </c>
      <c r="D1362" s="3" t="s">
        <v>250</v>
      </c>
      <c r="E1362" s="4">
        <v>200000</v>
      </c>
      <c r="F1362" s="3" t="s">
        <v>41</v>
      </c>
      <c r="G1362" s="3" t="s">
        <v>15</v>
      </c>
      <c r="H1362" s="3" t="s">
        <v>66</v>
      </c>
      <c r="I1362" s="4">
        <v>0</v>
      </c>
      <c r="J1362" s="4">
        <v>200000</v>
      </c>
      <c r="K1362" s="3" t="s">
        <v>67</v>
      </c>
      <c r="L1362" s="3" t="s">
        <v>68</v>
      </c>
    </row>
    <row r="1363" spans="1:12" x14ac:dyDescent="0.5">
      <c r="A1363" s="5">
        <v>45925</v>
      </c>
      <c r="B1363" t="s">
        <v>192</v>
      </c>
      <c r="C1363" t="s">
        <v>345</v>
      </c>
      <c r="D1363" t="s">
        <v>346</v>
      </c>
      <c r="E1363" s="6">
        <v>3332</v>
      </c>
      <c r="F1363" t="s">
        <v>14</v>
      </c>
      <c r="G1363" t="s">
        <v>15</v>
      </c>
      <c r="H1363" t="s">
        <v>347</v>
      </c>
      <c r="I1363" s="6">
        <v>532</v>
      </c>
      <c r="J1363" s="6">
        <v>2800</v>
      </c>
      <c r="K1363" t="s">
        <v>348</v>
      </c>
      <c r="L1363" t="s">
        <v>22</v>
      </c>
    </row>
    <row r="1364" spans="1:12" x14ac:dyDescent="0.5">
      <c r="A1364" s="2">
        <v>45929</v>
      </c>
      <c r="B1364" s="3" t="s">
        <v>192</v>
      </c>
      <c r="C1364" s="3" t="s">
        <v>261</v>
      </c>
      <c r="D1364" s="3" t="s">
        <v>262</v>
      </c>
      <c r="E1364" s="4">
        <v>151201</v>
      </c>
      <c r="F1364" s="3" t="s">
        <v>14</v>
      </c>
      <c r="G1364" s="3" t="s">
        <v>15</v>
      </c>
      <c r="H1364" s="3" t="s">
        <v>24</v>
      </c>
      <c r="I1364" s="4">
        <v>24141</v>
      </c>
      <c r="J1364" s="4">
        <v>127060</v>
      </c>
      <c r="K1364" s="3" t="s">
        <v>25</v>
      </c>
      <c r="L1364" s="3" t="s">
        <v>26</v>
      </c>
    </row>
    <row r="1365" spans="1:12" x14ac:dyDescent="0.5">
      <c r="A1365" s="5">
        <v>45929</v>
      </c>
      <c r="B1365" t="s">
        <v>192</v>
      </c>
      <c r="C1365" t="s">
        <v>261</v>
      </c>
      <c r="D1365" t="s">
        <v>262</v>
      </c>
      <c r="E1365" s="6">
        <v>151201</v>
      </c>
      <c r="F1365" t="s">
        <v>14</v>
      </c>
      <c r="G1365" t="s">
        <v>15</v>
      </c>
      <c r="H1365" t="s">
        <v>24</v>
      </c>
      <c r="I1365" s="6">
        <v>24141</v>
      </c>
      <c r="J1365" s="6">
        <v>127060</v>
      </c>
      <c r="K1365" t="s">
        <v>25</v>
      </c>
      <c r="L1365" t="s">
        <v>26</v>
      </c>
    </row>
    <row r="1366" spans="1:12" x14ac:dyDescent="0.5">
      <c r="A1366" s="2">
        <v>45929</v>
      </c>
      <c r="B1366" s="3" t="s">
        <v>192</v>
      </c>
      <c r="C1366" s="3" t="s">
        <v>285</v>
      </c>
      <c r="D1366" s="3" t="s">
        <v>286</v>
      </c>
      <c r="E1366" s="4">
        <v>168263</v>
      </c>
      <c r="F1366" s="3" t="s">
        <v>14</v>
      </c>
      <c r="G1366" s="3" t="s">
        <v>15</v>
      </c>
      <c r="H1366" s="3" t="s">
        <v>24</v>
      </c>
      <c r="I1366" s="4">
        <v>26866</v>
      </c>
      <c r="J1366" s="4">
        <v>141397</v>
      </c>
      <c r="K1366" s="3" t="s">
        <v>25</v>
      </c>
      <c r="L1366" s="3" t="s">
        <v>26</v>
      </c>
    </row>
    <row r="1367" spans="1:12" x14ac:dyDescent="0.5">
      <c r="A1367" s="5">
        <v>45929</v>
      </c>
      <c r="B1367" t="s">
        <v>192</v>
      </c>
      <c r="C1367" t="s">
        <v>263</v>
      </c>
      <c r="D1367" t="s">
        <v>264</v>
      </c>
      <c r="E1367" s="6">
        <v>195369</v>
      </c>
      <c r="F1367" t="s">
        <v>14</v>
      </c>
      <c r="G1367" t="s">
        <v>15</v>
      </c>
      <c r="H1367" t="s">
        <v>24</v>
      </c>
      <c r="I1367" s="6">
        <v>31193</v>
      </c>
      <c r="J1367" s="6">
        <v>164176</v>
      </c>
      <c r="K1367" t="s">
        <v>25</v>
      </c>
      <c r="L1367" t="s">
        <v>26</v>
      </c>
    </row>
    <row r="1368" spans="1:12" x14ac:dyDescent="0.5">
      <c r="A1368" s="2">
        <v>45929</v>
      </c>
      <c r="B1368" s="3" t="s">
        <v>174</v>
      </c>
      <c r="C1368" s="3" t="s">
        <v>479</v>
      </c>
      <c r="D1368" s="3" t="s">
        <v>668</v>
      </c>
      <c r="E1368" s="4">
        <v>95200</v>
      </c>
      <c r="F1368" s="3" t="s">
        <v>41</v>
      </c>
      <c r="G1368" s="3" t="s">
        <v>15</v>
      </c>
      <c r="H1368" s="3" t="s">
        <v>66</v>
      </c>
      <c r="I1368" s="4">
        <v>0</v>
      </c>
      <c r="J1368" s="4">
        <v>95200</v>
      </c>
      <c r="K1368" s="3" t="s">
        <v>67</v>
      </c>
      <c r="L1368" s="3" t="s">
        <v>68</v>
      </c>
    </row>
    <row r="1369" spans="1:12" x14ac:dyDescent="0.5">
      <c r="A1369" s="5">
        <v>45929</v>
      </c>
      <c r="B1369" t="s">
        <v>192</v>
      </c>
      <c r="C1369" t="s">
        <v>378</v>
      </c>
      <c r="D1369" t="s">
        <v>669</v>
      </c>
      <c r="E1369" s="6">
        <v>77000</v>
      </c>
      <c r="F1369" t="s">
        <v>41</v>
      </c>
      <c r="G1369" t="s">
        <v>15</v>
      </c>
      <c r="H1369" t="s">
        <v>20</v>
      </c>
      <c r="I1369" s="6">
        <v>0</v>
      </c>
      <c r="J1369" s="6">
        <v>77000</v>
      </c>
      <c r="K1369" t="s">
        <v>21</v>
      </c>
      <c r="L1369" t="s">
        <v>22</v>
      </c>
    </row>
    <row r="1370" spans="1:12" x14ac:dyDescent="0.5">
      <c r="A1370" s="2">
        <v>45930</v>
      </c>
      <c r="B1370" s="3" t="s">
        <v>174</v>
      </c>
      <c r="C1370" s="3" t="s">
        <v>480</v>
      </c>
      <c r="D1370" s="3" t="s">
        <v>668</v>
      </c>
      <c r="E1370" s="4">
        <v>100000</v>
      </c>
      <c r="F1370" s="3" t="s">
        <v>41</v>
      </c>
      <c r="G1370" s="3" t="s">
        <v>15</v>
      </c>
      <c r="H1370" s="3" t="s">
        <v>66</v>
      </c>
      <c r="I1370" s="4">
        <v>0</v>
      </c>
      <c r="J1370" s="4">
        <v>100000</v>
      </c>
      <c r="K1370" s="3" t="s">
        <v>67</v>
      </c>
      <c r="L1370" s="3" t="s">
        <v>68</v>
      </c>
    </row>
    <row r="1371" spans="1:12" x14ac:dyDescent="0.5">
      <c r="A1371" s="5">
        <v>45931</v>
      </c>
      <c r="B1371" t="s">
        <v>203</v>
      </c>
      <c r="C1371" t="s">
        <v>279</v>
      </c>
      <c r="D1371" t="s">
        <v>280</v>
      </c>
      <c r="E1371" s="6">
        <v>103350</v>
      </c>
      <c r="F1371" t="s">
        <v>14</v>
      </c>
      <c r="G1371" t="s">
        <v>15</v>
      </c>
      <c r="H1371" t="s">
        <v>24</v>
      </c>
      <c r="I1371" s="6">
        <v>16501</v>
      </c>
      <c r="J1371" s="6">
        <v>86849</v>
      </c>
      <c r="K1371" t="s">
        <v>25</v>
      </c>
      <c r="L1371" t="s">
        <v>26</v>
      </c>
    </row>
    <row r="1372" spans="1:12" x14ac:dyDescent="0.5">
      <c r="A1372" s="2">
        <v>45931</v>
      </c>
      <c r="B1372" s="3" t="s">
        <v>192</v>
      </c>
      <c r="C1372" s="3" t="s">
        <v>481</v>
      </c>
      <c r="D1372" s="3" t="s">
        <v>676</v>
      </c>
      <c r="E1372" s="4">
        <v>100000</v>
      </c>
      <c r="F1372" s="3" t="s">
        <v>41</v>
      </c>
      <c r="G1372" s="3" t="s">
        <v>15</v>
      </c>
      <c r="H1372" s="3" t="s">
        <v>66</v>
      </c>
      <c r="I1372" s="4">
        <v>0</v>
      </c>
      <c r="J1372" s="4">
        <v>100000</v>
      </c>
      <c r="K1372" s="3" t="s">
        <v>67</v>
      </c>
      <c r="L1372" s="3" t="s">
        <v>68</v>
      </c>
    </row>
    <row r="1373" spans="1:12" x14ac:dyDescent="0.5">
      <c r="A1373" s="5">
        <v>45931</v>
      </c>
      <c r="B1373" t="s">
        <v>192</v>
      </c>
      <c r="C1373" t="s">
        <v>455</v>
      </c>
      <c r="D1373" t="s">
        <v>675</v>
      </c>
      <c r="E1373" s="6">
        <v>300000</v>
      </c>
      <c r="F1373" t="s">
        <v>41</v>
      </c>
      <c r="G1373" t="s">
        <v>15</v>
      </c>
      <c r="H1373" t="s">
        <v>66</v>
      </c>
      <c r="I1373" s="6">
        <v>0</v>
      </c>
      <c r="J1373" s="6">
        <v>300000</v>
      </c>
      <c r="K1373" t="s">
        <v>67</v>
      </c>
      <c r="L1373" t="s">
        <v>68</v>
      </c>
    </row>
    <row r="1374" spans="1:12" x14ac:dyDescent="0.5">
      <c r="A1374" s="2">
        <v>45931</v>
      </c>
      <c r="B1374" s="3" t="s">
        <v>192</v>
      </c>
      <c r="C1374" s="3" t="s">
        <v>251</v>
      </c>
      <c r="D1374" s="3" t="s">
        <v>252</v>
      </c>
      <c r="E1374" s="4">
        <v>400092</v>
      </c>
      <c r="F1374" s="3" t="s">
        <v>41</v>
      </c>
      <c r="G1374" s="3" t="s">
        <v>15</v>
      </c>
      <c r="H1374" s="3" t="s">
        <v>66</v>
      </c>
      <c r="I1374" s="4">
        <v>0</v>
      </c>
      <c r="J1374" s="4">
        <v>400092</v>
      </c>
      <c r="K1374" s="3" t="s">
        <v>67</v>
      </c>
      <c r="L1374" s="3" t="s">
        <v>68</v>
      </c>
    </row>
    <row r="1375" spans="1:12" x14ac:dyDescent="0.5">
      <c r="A1375" s="5">
        <v>45931</v>
      </c>
      <c r="B1375" t="s">
        <v>192</v>
      </c>
      <c r="C1375" t="s">
        <v>454</v>
      </c>
      <c r="D1375" t="s">
        <v>674</v>
      </c>
      <c r="E1375" s="6">
        <v>513000</v>
      </c>
      <c r="F1375" t="s">
        <v>41</v>
      </c>
      <c r="G1375" t="s">
        <v>15</v>
      </c>
      <c r="H1375" t="s">
        <v>66</v>
      </c>
      <c r="I1375" s="6">
        <v>0</v>
      </c>
      <c r="J1375" s="6">
        <v>513000</v>
      </c>
      <c r="K1375" t="s">
        <v>67</v>
      </c>
      <c r="L1375" t="s">
        <v>68</v>
      </c>
    </row>
    <row r="1376" spans="1:12" x14ac:dyDescent="0.5">
      <c r="A1376" s="2">
        <v>45931</v>
      </c>
      <c r="B1376" s="3" t="s">
        <v>203</v>
      </c>
      <c r="C1376" s="3" t="s">
        <v>253</v>
      </c>
      <c r="D1376" s="3" t="s">
        <v>254</v>
      </c>
      <c r="E1376" s="4">
        <v>700000</v>
      </c>
      <c r="F1376" s="3" t="s">
        <v>41</v>
      </c>
      <c r="G1376" s="3" t="s">
        <v>15</v>
      </c>
      <c r="H1376" s="3" t="s">
        <v>255</v>
      </c>
      <c r="I1376" s="4">
        <v>0</v>
      </c>
      <c r="J1376" s="4">
        <v>700000</v>
      </c>
      <c r="K1376" s="3" t="s">
        <v>256</v>
      </c>
      <c r="L1376" s="3" t="s">
        <v>68</v>
      </c>
    </row>
    <row r="1377" spans="1:12" x14ac:dyDescent="0.5">
      <c r="A1377" s="5">
        <v>45931</v>
      </c>
      <c r="B1377" t="s">
        <v>192</v>
      </c>
      <c r="C1377" t="s">
        <v>329</v>
      </c>
      <c r="D1377" t="s">
        <v>330</v>
      </c>
      <c r="E1377" s="6">
        <v>824200</v>
      </c>
      <c r="F1377" t="s">
        <v>41</v>
      </c>
      <c r="G1377" t="s">
        <v>15</v>
      </c>
      <c r="H1377" t="s">
        <v>66</v>
      </c>
      <c r="I1377" s="6">
        <v>0</v>
      </c>
      <c r="J1377" s="6">
        <v>824200</v>
      </c>
      <c r="K1377" t="s">
        <v>67</v>
      </c>
      <c r="L1377" t="s">
        <v>68</v>
      </c>
    </row>
    <row r="1378" spans="1:12" x14ac:dyDescent="0.5">
      <c r="A1378" s="2">
        <v>45931</v>
      </c>
      <c r="B1378" s="3" t="s">
        <v>192</v>
      </c>
      <c r="C1378" s="3" t="s">
        <v>281</v>
      </c>
      <c r="D1378" s="3" t="s">
        <v>282</v>
      </c>
      <c r="E1378" s="4">
        <v>907754</v>
      </c>
      <c r="F1378" s="3" t="s">
        <v>41</v>
      </c>
      <c r="G1378" s="3" t="s">
        <v>15</v>
      </c>
      <c r="H1378" s="3" t="s">
        <v>66</v>
      </c>
      <c r="I1378" s="4">
        <v>0</v>
      </c>
      <c r="J1378" s="4">
        <v>907754</v>
      </c>
      <c r="K1378" s="3" t="s">
        <v>67</v>
      </c>
      <c r="L1378" s="3" t="s">
        <v>68</v>
      </c>
    </row>
    <row r="1379" spans="1:12" x14ac:dyDescent="0.5">
      <c r="A1379" s="5">
        <v>45931</v>
      </c>
      <c r="B1379" t="s">
        <v>192</v>
      </c>
      <c r="C1379" t="s">
        <v>305</v>
      </c>
      <c r="D1379" t="s">
        <v>306</v>
      </c>
      <c r="E1379" s="6">
        <v>20000</v>
      </c>
      <c r="F1379" t="s">
        <v>41</v>
      </c>
      <c r="G1379" t="s">
        <v>15</v>
      </c>
      <c r="H1379" t="s">
        <v>307</v>
      </c>
      <c r="I1379" s="6">
        <v>0</v>
      </c>
      <c r="J1379" s="6">
        <v>20000</v>
      </c>
      <c r="K1379" t="s">
        <v>308</v>
      </c>
      <c r="L1379" t="s">
        <v>144</v>
      </c>
    </row>
    <row r="1380" spans="1:12" x14ac:dyDescent="0.5">
      <c r="A1380" s="2">
        <v>45931</v>
      </c>
      <c r="B1380" s="3" t="s">
        <v>192</v>
      </c>
      <c r="C1380" s="3" t="s">
        <v>305</v>
      </c>
      <c r="D1380" s="3" t="s">
        <v>306</v>
      </c>
      <c r="E1380" s="4">
        <v>445002</v>
      </c>
      <c r="F1380" s="3" t="s">
        <v>41</v>
      </c>
      <c r="G1380" s="3" t="s">
        <v>15</v>
      </c>
      <c r="H1380" s="3" t="s">
        <v>307</v>
      </c>
      <c r="I1380" s="4">
        <v>0</v>
      </c>
      <c r="J1380" s="4">
        <v>445002</v>
      </c>
      <c r="K1380" s="3" t="s">
        <v>308</v>
      </c>
      <c r="L1380" s="3" t="s">
        <v>144</v>
      </c>
    </row>
    <row r="1381" spans="1:12" x14ac:dyDescent="0.5">
      <c r="A1381" s="5">
        <v>45932</v>
      </c>
      <c r="B1381" t="s">
        <v>203</v>
      </c>
      <c r="C1381" t="s">
        <v>385</v>
      </c>
      <c r="D1381" t="s">
        <v>642</v>
      </c>
      <c r="E1381" s="6">
        <v>122408</v>
      </c>
      <c r="F1381" t="s">
        <v>14</v>
      </c>
      <c r="G1381" t="s">
        <v>15</v>
      </c>
      <c r="H1381" t="s">
        <v>293</v>
      </c>
      <c r="I1381" s="6">
        <v>19544</v>
      </c>
      <c r="J1381" s="6">
        <v>102864</v>
      </c>
      <c r="K1381" t="s">
        <v>294</v>
      </c>
      <c r="L1381" t="s">
        <v>26</v>
      </c>
    </row>
    <row r="1382" spans="1:12" x14ac:dyDescent="0.5">
      <c r="A1382" s="2">
        <v>45932</v>
      </c>
      <c r="B1382" s="3" t="s">
        <v>192</v>
      </c>
      <c r="C1382" s="3" t="s">
        <v>395</v>
      </c>
      <c r="D1382" s="3" t="s">
        <v>668</v>
      </c>
      <c r="E1382" s="4">
        <v>44092</v>
      </c>
      <c r="F1382" s="3" t="s">
        <v>41</v>
      </c>
      <c r="G1382" s="3" t="s">
        <v>15</v>
      </c>
      <c r="H1382" s="3" t="s">
        <v>66</v>
      </c>
      <c r="I1382" s="4">
        <v>0</v>
      </c>
      <c r="J1382" s="4">
        <v>44092</v>
      </c>
      <c r="K1382" s="3" t="s">
        <v>67</v>
      </c>
      <c r="L1382" s="3" t="s">
        <v>68</v>
      </c>
    </row>
    <row r="1383" spans="1:12" x14ac:dyDescent="0.5">
      <c r="A1383" s="5">
        <v>45932</v>
      </c>
      <c r="B1383" t="s">
        <v>203</v>
      </c>
      <c r="C1383" t="s">
        <v>323</v>
      </c>
      <c r="D1383" t="s">
        <v>324</v>
      </c>
      <c r="E1383" s="6">
        <v>65000</v>
      </c>
      <c r="F1383" t="s">
        <v>14</v>
      </c>
      <c r="G1383" t="s">
        <v>15</v>
      </c>
      <c r="H1383" t="s">
        <v>267</v>
      </c>
      <c r="I1383" s="6">
        <v>10378</v>
      </c>
      <c r="J1383" s="6">
        <v>54622</v>
      </c>
      <c r="K1383" t="s">
        <v>268</v>
      </c>
      <c r="L1383" t="s">
        <v>68</v>
      </c>
    </row>
    <row r="1384" spans="1:12" x14ac:dyDescent="0.5">
      <c r="A1384" s="2">
        <v>45932</v>
      </c>
      <c r="B1384" s="3" t="s">
        <v>192</v>
      </c>
      <c r="C1384" s="3" t="s">
        <v>249</v>
      </c>
      <c r="D1384" s="3" t="s">
        <v>250</v>
      </c>
      <c r="E1384" s="4">
        <v>933968</v>
      </c>
      <c r="F1384" s="3" t="s">
        <v>41</v>
      </c>
      <c r="G1384" s="3" t="s">
        <v>15</v>
      </c>
      <c r="H1384" s="3" t="s">
        <v>66</v>
      </c>
      <c r="I1384" s="4">
        <v>0</v>
      </c>
      <c r="J1384" s="4">
        <v>933968</v>
      </c>
      <c r="K1384" s="3" t="s">
        <v>67</v>
      </c>
      <c r="L1384" s="3" t="s">
        <v>68</v>
      </c>
    </row>
    <row r="1385" spans="1:12" x14ac:dyDescent="0.5">
      <c r="A1385" s="5">
        <v>45933</v>
      </c>
      <c r="B1385" t="s">
        <v>192</v>
      </c>
      <c r="C1385" t="s">
        <v>257</v>
      </c>
      <c r="D1385" t="s">
        <v>258</v>
      </c>
      <c r="E1385" s="6">
        <v>125000</v>
      </c>
      <c r="F1385" t="s">
        <v>41</v>
      </c>
      <c r="G1385" t="s">
        <v>15</v>
      </c>
      <c r="H1385" t="s">
        <v>66</v>
      </c>
      <c r="I1385" s="6">
        <v>0</v>
      </c>
      <c r="J1385" s="6">
        <v>125000</v>
      </c>
      <c r="K1385" t="s">
        <v>67</v>
      </c>
      <c r="L1385" t="s">
        <v>68</v>
      </c>
    </row>
    <row r="1386" spans="1:12" x14ac:dyDescent="0.5">
      <c r="A1386" s="2">
        <v>45933</v>
      </c>
      <c r="B1386" s="3" t="s">
        <v>203</v>
      </c>
      <c r="C1386" s="3" t="s">
        <v>269</v>
      </c>
      <c r="D1386" s="3" t="s">
        <v>270</v>
      </c>
      <c r="E1386" s="4">
        <v>916300</v>
      </c>
      <c r="F1386" s="3" t="s">
        <v>41</v>
      </c>
      <c r="G1386" s="3" t="s">
        <v>15</v>
      </c>
      <c r="H1386" s="3" t="s">
        <v>46</v>
      </c>
      <c r="I1386" s="4">
        <v>0</v>
      </c>
      <c r="J1386" s="4">
        <v>916300</v>
      </c>
      <c r="K1386" s="3" t="s">
        <v>47</v>
      </c>
      <c r="L1386" s="3" t="s">
        <v>48</v>
      </c>
    </row>
    <row r="1387" spans="1:12" x14ac:dyDescent="0.5">
      <c r="A1387" s="5">
        <v>45936</v>
      </c>
      <c r="B1387" t="s">
        <v>203</v>
      </c>
      <c r="C1387" t="s">
        <v>327</v>
      </c>
      <c r="D1387" t="s">
        <v>328</v>
      </c>
      <c r="E1387" s="6">
        <v>829199</v>
      </c>
      <c r="F1387" t="s">
        <v>14</v>
      </c>
      <c r="G1387" t="s">
        <v>15</v>
      </c>
      <c r="H1387" t="s">
        <v>119</v>
      </c>
      <c r="I1387" s="6">
        <v>132393</v>
      </c>
      <c r="J1387" s="6">
        <v>696806</v>
      </c>
      <c r="K1387" t="s">
        <v>120</v>
      </c>
      <c r="L1387" t="s">
        <v>48</v>
      </c>
    </row>
    <row r="1388" spans="1:12" x14ac:dyDescent="0.5">
      <c r="A1388" s="2">
        <v>45937</v>
      </c>
      <c r="B1388" s="3" t="s">
        <v>203</v>
      </c>
      <c r="C1388" s="3" t="s">
        <v>351</v>
      </c>
      <c r="D1388" s="3" t="s">
        <v>352</v>
      </c>
      <c r="E1388" s="4">
        <v>276400</v>
      </c>
      <c r="F1388" s="3" t="s">
        <v>14</v>
      </c>
      <c r="G1388" s="3" t="s">
        <v>15</v>
      </c>
      <c r="H1388" s="3" t="s">
        <v>119</v>
      </c>
      <c r="I1388" s="4">
        <v>44131</v>
      </c>
      <c r="J1388" s="4">
        <v>232269</v>
      </c>
      <c r="K1388" s="3" t="s">
        <v>120</v>
      </c>
      <c r="L1388" s="3" t="s">
        <v>48</v>
      </c>
    </row>
    <row r="1389" spans="1:12" x14ac:dyDescent="0.5">
      <c r="A1389" s="5">
        <v>45937</v>
      </c>
      <c r="B1389" t="s">
        <v>203</v>
      </c>
      <c r="C1389" t="s">
        <v>345</v>
      </c>
      <c r="D1389" t="s">
        <v>346</v>
      </c>
      <c r="E1389" s="6">
        <v>3332</v>
      </c>
      <c r="F1389" t="s">
        <v>14</v>
      </c>
      <c r="G1389" t="s">
        <v>15</v>
      </c>
      <c r="H1389" t="s">
        <v>347</v>
      </c>
      <c r="I1389" s="6">
        <v>532</v>
      </c>
      <c r="J1389" s="6">
        <v>2800</v>
      </c>
      <c r="K1389" t="s">
        <v>348</v>
      </c>
      <c r="L1389" t="s">
        <v>22</v>
      </c>
    </row>
    <row r="1390" spans="1:12" x14ac:dyDescent="0.5">
      <c r="A1390" s="2">
        <v>45937</v>
      </c>
      <c r="B1390" s="3" t="s">
        <v>203</v>
      </c>
      <c r="C1390" s="3" t="s">
        <v>345</v>
      </c>
      <c r="D1390" s="3" t="s">
        <v>346</v>
      </c>
      <c r="E1390" s="4">
        <v>6664</v>
      </c>
      <c r="F1390" s="3" t="s">
        <v>14</v>
      </c>
      <c r="G1390" s="3" t="s">
        <v>15</v>
      </c>
      <c r="H1390" s="3" t="s">
        <v>347</v>
      </c>
      <c r="I1390" s="4">
        <v>1064</v>
      </c>
      <c r="J1390" s="4">
        <v>5600</v>
      </c>
      <c r="K1390" s="3" t="s">
        <v>348</v>
      </c>
      <c r="L1390" s="3" t="s">
        <v>22</v>
      </c>
    </row>
    <row r="1391" spans="1:12" x14ac:dyDescent="0.5">
      <c r="A1391" s="5">
        <v>45938</v>
      </c>
      <c r="B1391" t="s">
        <v>203</v>
      </c>
      <c r="C1391" t="s">
        <v>261</v>
      </c>
      <c r="D1391" t="s">
        <v>262</v>
      </c>
      <c r="E1391" s="6">
        <v>75601</v>
      </c>
      <c r="F1391" t="s">
        <v>14</v>
      </c>
      <c r="G1391" t="s">
        <v>15</v>
      </c>
      <c r="H1391" t="s">
        <v>24</v>
      </c>
      <c r="I1391" s="6">
        <v>12071</v>
      </c>
      <c r="J1391" s="6">
        <v>63530</v>
      </c>
      <c r="K1391" t="s">
        <v>25</v>
      </c>
      <c r="L1391" t="s">
        <v>26</v>
      </c>
    </row>
    <row r="1392" spans="1:12" x14ac:dyDescent="0.5">
      <c r="A1392" s="2">
        <v>45938</v>
      </c>
      <c r="B1392" s="3" t="s">
        <v>203</v>
      </c>
      <c r="C1392" s="3" t="s">
        <v>261</v>
      </c>
      <c r="D1392" s="3" t="s">
        <v>262</v>
      </c>
      <c r="E1392" s="4">
        <v>113401</v>
      </c>
      <c r="F1392" s="3" t="s">
        <v>14</v>
      </c>
      <c r="G1392" s="3" t="s">
        <v>15</v>
      </c>
      <c r="H1392" s="3" t="s">
        <v>24</v>
      </c>
      <c r="I1392" s="4">
        <v>18106</v>
      </c>
      <c r="J1392" s="4">
        <v>95295</v>
      </c>
      <c r="K1392" s="3" t="s">
        <v>25</v>
      </c>
      <c r="L1392" s="3" t="s">
        <v>26</v>
      </c>
    </row>
    <row r="1393" spans="1:12" x14ac:dyDescent="0.5">
      <c r="A1393" s="5">
        <v>45938</v>
      </c>
      <c r="B1393" t="s">
        <v>203</v>
      </c>
      <c r="C1393" t="s">
        <v>261</v>
      </c>
      <c r="D1393" t="s">
        <v>262</v>
      </c>
      <c r="E1393" s="6">
        <v>151201</v>
      </c>
      <c r="F1393" t="s">
        <v>14</v>
      </c>
      <c r="G1393" t="s">
        <v>15</v>
      </c>
      <c r="H1393" t="s">
        <v>24</v>
      </c>
      <c r="I1393" s="6">
        <v>24141</v>
      </c>
      <c r="J1393" s="6">
        <v>127060</v>
      </c>
      <c r="K1393" t="s">
        <v>25</v>
      </c>
      <c r="L1393" t="s">
        <v>26</v>
      </c>
    </row>
    <row r="1394" spans="1:12" x14ac:dyDescent="0.5">
      <c r="A1394" s="2">
        <v>45938</v>
      </c>
      <c r="B1394" s="3" t="s">
        <v>203</v>
      </c>
      <c r="C1394" s="3" t="s">
        <v>438</v>
      </c>
      <c r="D1394" s="3" t="s">
        <v>673</v>
      </c>
      <c r="E1394" s="4">
        <v>259102</v>
      </c>
      <c r="F1394" s="3" t="s">
        <v>14</v>
      </c>
      <c r="G1394" s="3" t="s">
        <v>15</v>
      </c>
      <c r="H1394" s="3" t="s">
        <v>119</v>
      </c>
      <c r="I1394" s="4">
        <v>41369</v>
      </c>
      <c r="J1394" s="4">
        <v>217733</v>
      </c>
      <c r="K1394" s="3" t="s">
        <v>120</v>
      </c>
      <c r="L1394" s="3" t="s">
        <v>48</v>
      </c>
    </row>
    <row r="1395" spans="1:12" x14ac:dyDescent="0.5">
      <c r="A1395" s="5">
        <v>45938</v>
      </c>
      <c r="B1395" t="s">
        <v>203</v>
      </c>
      <c r="C1395" t="s">
        <v>269</v>
      </c>
      <c r="D1395" t="s">
        <v>270</v>
      </c>
      <c r="E1395" s="6">
        <v>591249</v>
      </c>
      <c r="F1395" t="s">
        <v>41</v>
      </c>
      <c r="G1395" t="s">
        <v>15</v>
      </c>
      <c r="H1395" t="s">
        <v>46</v>
      </c>
      <c r="I1395" s="6">
        <v>0</v>
      </c>
      <c r="J1395" s="6">
        <v>591249</v>
      </c>
      <c r="K1395" t="s">
        <v>47</v>
      </c>
      <c r="L1395" t="s">
        <v>48</v>
      </c>
    </row>
    <row r="1396" spans="1:12" x14ac:dyDescent="0.5">
      <c r="A1396" s="2">
        <v>45939</v>
      </c>
      <c r="B1396" s="3" t="s">
        <v>203</v>
      </c>
      <c r="C1396" s="3" t="s">
        <v>337</v>
      </c>
      <c r="D1396" s="3" t="s">
        <v>338</v>
      </c>
      <c r="E1396" s="4">
        <v>25518</v>
      </c>
      <c r="F1396" s="3" t="s">
        <v>14</v>
      </c>
      <c r="G1396" s="3" t="s">
        <v>15</v>
      </c>
      <c r="H1396" s="3" t="s">
        <v>293</v>
      </c>
      <c r="I1396" s="4">
        <v>4074</v>
      </c>
      <c r="J1396" s="4">
        <v>21444</v>
      </c>
      <c r="K1396" s="3" t="s">
        <v>294</v>
      </c>
      <c r="L1396" s="3" t="s">
        <v>26</v>
      </c>
    </row>
    <row r="1397" spans="1:12" x14ac:dyDescent="0.5">
      <c r="A1397" s="5">
        <v>45939</v>
      </c>
      <c r="B1397" t="s">
        <v>203</v>
      </c>
      <c r="C1397" t="s">
        <v>484</v>
      </c>
      <c r="E1397" s="6">
        <v>26157</v>
      </c>
      <c r="F1397" t="s">
        <v>41</v>
      </c>
      <c r="G1397" t="s">
        <v>15</v>
      </c>
      <c r="I1397" s="6">
        <v>0</v>
      </c>
      <c r="J1397" s="6">
        <v>26157</v>
      </c>
      <c r="K1397" t="s">
        <v>47</v>
      </c>
      <c r="L1397" t="s">
        <v>48</v>
      </c>
    </row>
    <row r="1398" spans="1:12" x14ac:dyDescent="0.5">
      <c r="A1398" s="2">
        <v>45940</v>
      </c>
      <c r="B1398" s="3" t="s">
        <v>203</v>
      </c>
      <c r="C1398" s="3" t="s">
        <v>335</v>
      </c>
      <c r="D1398" s="3" t="s">
        <v>336</v>
      </c>
      <c r="E1398" s="4">
        <v>83880</v>
      </c>
      <c r="F1398" s="3" t="s">
        <v>14</v>
      </c>
      <c r="G1398" s="3" t="s">
        <v>15</v>
      </c>
      <c r="H1398" s="3" t="s">
        <v>24</v>
      </c>
      <c r="I1398" s="4">
        <v>13393</v>
      </c>
      <c r="J1398" s="4">
        <v>70487</v>
      </c>
      <c r="K1398" s="3" t="s">
        <v>25</v>
      </c>
      <c r="L1398" s="3" t="s">
        <v>26</v>
      </c>
    </row>
    <row r="1399" spans="1:12" x14ac:dyDescent="0.5">
      <c r="A1399" s="5">
        <v>45943</v>
      </c>
      <c r="B1399" t="s">
        <v>203</v>
      </c>
      <c r="C1399" t="s">
        <v>247</v>
      </c>
      <c r="D1399" t="s">
        <v>248</v>
      </c>
      <c r="E1399" s="6">
        <v>363753</v>
      </c>
      <c r="F1399" t="s">
        <v>14</v>
      </c>
      <c r="G1399" t="s">
        <v>15</v>
      </c>
      <c r="H1399" t="s">
        <v>24</v>
      </c>
      <c r="I1399" s="6">
        <v>58078</v>
      </c>
      <c r="J1399" s="6">
        <v>305675</v>
      </c>
      <c r="K1399" t="s">
        <v>25</v>
      </c>
      <c r="L1399" t="s">
        <v>26</v>
      </c>
    </row>
    <row r="1400" spans="1:12" x14ac:dyDescent="0.5">
      <c r="A1400" s="2">
        <v>45943</v>
      </c>
      <c r="B1400" s="3" t="s">
        <v>203</v>
      </c>
      <c r="C1400" s="3" t="s">
        <v>309</v>
      </c>
      <c r="D1400" s="3" t="s">
        <v>310</v>
      </c>
      <c r="E1400" s="4">
        <v>944265</v>
      </c>
      <c r="F1400" s="3" t="s">
        <v>14</v>
      </c>
      <c r="G1400" s="3" t="s">
        <v>15</v>
      </c>
      <c r="H1400" s="3" t="s">
        <v>293</v>
      </c>
      <c r="I1400" s="4">
        <v>150765</v>
      </c>
      <c r="J1400" s="4">
        <v>793500</v>
      </c>
      <c r="K1400" s="3" t="s">
        <v>294</v>
      </c>
      <c r="L1400" s="3" t="s">
        <v>26</v>
      </c>
    </row>
    <row r="1401" spans="1:12" x14ac:dyDescent="0.5">
      <c r="A1401" s="5">
        <v>45943</v>
      </c>
      <c r="B1401" t="s">
        <v>192</v>
      </c>
      <c r="C1401" t="s">
        <v>259</v>
      </c>
      <c r="D1401" t="s">
        <v>260</v>
      </c>
      <c r="E1401" s="6">
        <v>800000</v>
      </c>
      <c r="F1401" t="s">
        <v>41</v>
      </c>
      <c r="G1401" t="s">
        <v>15</v>
      </c>
      <c r="H1401" t="s">
        <v>66</v>
      </c>
      <c r="I1401" s="6">
        <v>0</v>
      </c>
      <c r="J1401" s="6">
        <v>800000</v>
      </c>
      <c r="K1401" t="s">
        <v>67</v>
      </c>
      <c r="L1401" t="s">
        <v>68</v>
      </c>
    </row>
    <row r="1402" spans="1:12" x14ac:dyDescent="0.5">
      <c r="A1402" s="2">
        <v>45943</v>
      </c>
      <c r="B1402" s="3" t="s">
        <v>192</v>
      </c>
      <c r="C1402" s="3" t="s">
        <v>259</v>
      </c>
      <c r="D1402" s="3" t="s">
        <v>260</v>
      </c>
      <c r="E1402" s="4">
        <v>2000000</v>
      </c>
      <c r="F1402" s="3" t="s">
        <v>41</v>
      </c>
      <c r="G1402" s="3" t="s">
        <v>15</v>
      </c>
      <c r="H1402" s="3" t="s">
        <v>66</v>
      </c>
      <c r="I1402" s="4">
        <v>0</v>
      </c>
      <c r="J1402" s="4">
        <v>2000000</v>
      </c>
      <c r="K1402" s="3" t="s">
        <v>67</v>
      </c>
      <c r="L1402" s="3" t="s">
        <v>68</v>
      </c>
    </row>
    <row r="1403" spans="1:12" x14ac:dyDescent="0.5">
      <c r="A1403" s="5">
        <v>45944</v>
      </c>
      <c r="B1403" t="s">
        <v>203</v>
      </c>
      <c r="C1403" t="s">
        <v>279</v>
      </c>
      <c r="D1403" t="s">
        <v>280</v>
      </c>
      <c r="E1403" s="6">
        <v>103350</v>
      </c>
      <c r="F1403" t="s">
        <v>14</v>
      </c>
      <c r="G1403" t="s">
        <v>15</v>
      </c>
      <c r="H1403" t="s">
        <v>24</v>
      </c>
      <c r="I1403" s="6">
        <v>16501</v>
      </c>
      <c r="J1403" s="6">
        <v>86849</v>
      </c>
      <c r="K1403" t="s">
        <v>25</v>
      </c>
      <c r="L1403" t="s">
        <v>26</v>
      </c>
    </row>
    <row r="1404" spans="1:12" x14ac:dyDescent="0.5">
      <c r="A1404" s="2">
        <v>45944</v>
      </c>
      <c r="B1404" s="3" t="s">
        <v>203</v>
      </c>
      <c r="C1404" s="3" t="s">
        <v>285</v>
      </c>
      <c r="D1404" s="3" t="s">
        <v>286</v>
      </c>
      <c r="E1404" s="4">
        <v>159390</v>
      </c>
      <c r="F1404" s="3" t="s">
        <v>14</v>
      </c>
      <c r="G1404" s="3" t="s">
        <v>15</v>
      </c>
      <c r="H1404" s="3" t="s">
        <v>24</v>
      </c>
      <c r="I1404" s="4">
        <v>25449</v>
      </c>
      <c r="J1404" s="4">
        <v>133941</v>
      </c>
      <c r="K1404" s="3" t="s">
        <v>25</v>
      </c>
      <c r="L1404" s="3" t="s">
        <v>26</v>
      </c>
    </row>
    <row r="1405" spans="1:12" x14ac:dyDescent="0.5">
      <c r="A1405" s="5">
        <v>45945</v>
      </c>
      <c r="B1405" t="s">
        <v>203</v>
      </c>
      <c r="C1405" t="s">
        <v>311</v>
      </c>
      <c r="D1405" t="s">
        <v>312</v>
      </c>
      <c r="E1405" s="6">
        <v>205131</v>
      </c>
      <c r="F1405" t="s">
        <v>14</v>
      </c>
      <c r="G1405" t="s">
        <v>15</v>
      </c>
      <c r="H1405" t="s">
        <v>24</v>
      </c>
      <c r="I1405" s="6">
        <v>32752</v>
      </c>
      <c r="J1405" s="6">
        <v>172379</v>
      </c>
      <c r="K1405" t="s">
        <v>25</v>
      </c>
      <c r="L1405" t="s">
        <v>26</v>
      </c>
    </row>
    <row r="1406" spans="1:12" x14ac:dyDescent="0.5">
      <c r="A1406" s="2">
        <v>45945</v>
      </c>
      <c r="B1406" s="3" t="s">
        <v>192</v>
      </c>
      <c r="C1406" s="3" t="s">
        <v>251</v>
      </c>
      <c r="D1406" s="3" t="s">
        <v>252</v>
      </c>
      <c r="E1406" s="4">
        <v>300000</v>
      </c>
      <c r="F1406" s="3" t="s">
        <v>41</v>
      </c>
      <c r="G1406" s="3" t="s">
        <v>15</v>
      </c>
      <c r="H1406" s="3" t="s">
        <v>66</v>
      </c>
      <c r="I1406" s="4">
        <v>0</v>
      </c>
      <c r="J1406" s="4">
        <v>300000</v>
      </c>
      <c r="K1406" s="3" t="s">
        <v>67</v>
      </c>
      <c r="L1406" s="3" t="s">
        <v>68</v>
      </c>
    </row>
    <row r="1407" spans="1:12" x14ac:dyDescent="0.5">
      <c r="A1407" s="5">
        <v>45946</v>
      </c>
      <c r="B1407" t="s">
        <v>203</v>
      </c>
      <c r="C1407" t="s">
        <v>271</v>
      </c>
      <c r="D1407" t="s">
        <v>272</v>
      </c>
      <c r="E1407" s="6">
        <v>312815</v>
      </c>
      <c r="F1407" t="s">
        <v>14</v>
      </c>
      <c r="G1407" t="s">
        <v>15</v>
      </c>
      <c r="H1407" t="s">
        <v>24</v>
      </c>
      <c r="I1407" s="6">
        <v>49945</v>
      </c>
      <c r="J1407" s="6">
        <v>262870</v>
      </c>
      <c r="K1407" t="s">
        <v>25</v>
      </c>
      <c r="L1407" t="s">
        <v>26</v>
      </c>
    </row>
    <row r="1408" spans="1:12" x14ac:dyDescent="0.5">
      <c r="A1408" s="2">
        <v>45946</v>
      </c>
      <c r="B1408" s="3" t="s">
        <v>203</v>
      </c>
      <c r="C1408" s="3" t="s">
        <v>289</v>
      </c>
      <c r="D1408" s="3" t="s">
        <v>290</v>
      </c>
      <c r="E1408" s="4">
        <v>1085673</v>
      </c>
      <c r="F1408" s="3" t="s">
        <v>14</v>
      </c>
      <c r="G1408" s="3" t="s">
        <v>15</v>
      </c>
      <c r="H1408" s="3" t="s">
        <v>16</v>
      </c>
      <c r="I1408" s="4">
        <v>173343</v>
      </c>
      <c r="J1408" s="4">
        <v>912330</v>
      </c>
      <c r="K1408" s="3" t="s">
        <v>17</v>
      </c>
      <c r="L1408" s="3" t="s">
        <v>18</v>
      </c>
    </row>
    <row r="1409" spans="1:12" x14ac:dyDescent="0.5">
      <c r="A1409" s="5">
        <v>45946</v>
      </c>
      <c r="B1409" t="s">
        <v>203</v>
      </c>
      <c r="C1409" t="s">
        <v>345</v>
      </c>
      <c r="D1409" t="s">
        <v>346</v>
      </c>
      <c r="E1409" s="6">
        <v>3332</v>
      </c>
      <c r="F1409" t="s">
        <v>14</v>
      </c>
      <c r="G1409" t="s">
        <v>15</v>
      </c>
      <c r="H1409" t="s">
        <v>347</v>
      </c>
      <c r="I1409" s="6">
        <v>532</v>
      </c>
      <c r="J1409" s="6">
        <v>2800</v>
      </c>
      <c r="K1409" t="s">
        <v>348</v>
      </c>
      <c r="L1409" t="s">
        <v>22</v>
      </c>
    </row>
    <row r="1410" spans="1:12" x14ac:dyDescent="0.5">
      <c r="A1410" s="2">
        <v>45947</v>
      </c>
      <c r="B1410" s="3" t="s">
        <v>203</v>
      </c>
      <c r="C1410" s="3" t="s">
        <v>261</v>
      </c>
      <c r="D1410" s="3" t="s">
        <v>262</v>
      </c>
      <c r="E1410" s="4">
        <v>151201</v>
      </c>
      <c r="F1410" s="3" t="s">
        <v>14</v>
      </c>
      <c r="G1410" s="3" t="s">
        <v>15</v>
      </c>
      <c r="H1410" s="3" t="s">
        <v>24</v>
      </c>
      <c r="I1410" s="4">
        <v>24141</v>
      </c>
      <c r="J1410" s="4">
        <v>127060</v>
      </c>
      <c r="K1410" s="3" t="s">
        <v>25</v>
      </c>
      <c r="L1410" s="3" t="s">
        <v>26</v>
      </c>
    </row>
    <row r="1411" spans="1:12" x14ac:dyDescent="0.5">
      <c r="A1411" s="5">
        <v>45947</v>
      </c>
      <c r="B1411" t="s">
        <v>203</v>
      </c>
      <c r="C1411" t="s">
        <v>261</v>
      </c>
      <c r="D1411" t="s">
        <v>262</v>
      </c>
      <c r="E1411" s="6">
        <v>151201</v>
      </c>
      <c r="F1411" t="s">
        <v>14</v>
      </c>
      <c r="G1411" t="s">
        <v>15</v>
      </c>
      <c r="H1411" t="s">
        <v>24</v>
      </c>
      <c r="I1411" s="6">
        <v>24141</v>
      </c>
      <c r="J1411" s="6">
        <v>127060</v>
      </c>
      <c r="K1411" t="s">
        <v>25</v>
      </c>
      <c r="L1411" t="s">
        <v>26</v>
      </c>
    </row>
    <row r="1412" spans="1:12" x14ac:dyDescent="0.5">
      <c r="A1412" s="2">
        <v>45950</v>
      </c>
      <c r="B1412" s="3" t="s">
        <v>203</v>
      </c>
      <c r="C1412" s="3" t="s">
        <v>486</v>
      </c>
      <c r="D1412" s="3" t="s">
        <v>280</v>
      </c>
      <c r="E1412" s="4">
        <v>103350</v>
      </c>
      <c r="F1412" s="3" t="s">
        <v>14</v>
      </c>
      <c r="G1412" s="3" t="s">
        <v>15</v>
      </c>
      <c r="H1412" s="3" t="s">
        <v>24</v>
      </c>
      <c r="I1412" s="4">
        <v>16501</v>
      </c>
      <c r="J1412" s="4">
        <v>86849</v>
      </c>
      <c r="K1412" s="3" t="s">
        <v>25</v>
      </c>
      <c r="L1412" s="3" t="s">
        <v>26</v>
      </c>
    </row>
    <row r="1413" spans="1:12" x14ac:dyDescent="0.5">
      <c r="A1413" s="5">
        <v>45950</v>
      </c>
      <c r="B1413" t="s">
        <v>203</v>
      </c>
      <c r="C1413" t="s">
        <v>263</v>
      </c>
      <c r="D1413" t="s">
        <v>264</v>
      </c>
      <c r="E1413" s="6">
        <v>228637</v>
      </c>
      <c r="F1413" t="s">
        <v>14</v>
      </c>
      <c r="G1413" t="s">
        <v>15</v>
      </c>
      <c r="H1413" t="s">
        <v>24</v>
      </c>
      <c r="I1413" s="6">
        <v>36505</v>
      </c>
      <c r="J1413" s="6">
        <v>192132</v>
      </c>
      <c r="K1413" t="s">
        <v>25</v>
      </c>
      <c r="L1413" t="s">
        <v>26</v>
      </c>
    </row>
    <row r="1414" spans="1:12" x14ac:dyDescent="0.5">
      <c r="A1414" s="2">
        <v>45950</v>
      </c>
      <c r="B1414" s="3" t="s">
        <v>203</v>
      </c>
      <c r="C1414" s="3" t="s">
        <v>401</v>
      </c>
      <c r="D1414" s="3" t="s">
        <v>643</v>
      </c>
      <c r="E1414" s="4">
        <v>128515</v>
      </c>
      <c r="F1414" s="3" t="s">
        <v>14</v>
      </c>
      <c r="G1414" s="3" t="s">
        <v>15</v>
      </c>
      <c r="H1414" s="3" t="s">
        <v>212</v>
      </c>
      <c r="I1414" s="4">
        <v>20519</v>
      </c>
      <c r="J1414" s="4">
        <v>107996</v>
      </c>
      <c r="K1414" s="3" t="s">
        <v>213</v>
      </c>
      <c r="L1414" s="3" t="s">
        <v>48</v>
      </c>
    </row>
    <row r="1415" spans="1:12" x14ac:dyDescent="0.5">
      <c r="A1415" s="5">
        <v>45950</v>
      </c>
      <c r="B1415" t="s">
        <v>203</v>
      </c>
      <c r="C1415" t="s">
        <v>353</v>
      </c>
      <c r="D1415" t="s">
        <v>354</v>
      </c>
      <c r="E1415" s="6">
        <v>1000000</v>
      </c>
      <c r="F1415" t="s">
        <v>14</v>
      </c>
      <c r="G1415" t="s">
        <v>15</v>
      </c>
      <c r="H1415" t="s">
        <v>355</v>
      </c>
      <c r="I1415" s="6">
        <v>159664</v>
      </c>
      <c r="J1415" s="6">
        <v>840336</v>
      </c>
      <c r="K1415" t="s">
        <v>356</v>
      </c>
      <c r="L1415" t="s">
        <v>48</v>
      </c>
    </row>
    <row r="1416" spans="1:12" x14ac:dyDescent="0.5">
      <c r="A1416" s="2">
        <v>45950</v>
      </c>
      <c r="B1416" s="3" t="s">
        <v>192</v>
      </c>
      <c r="C1416" s="3" t="s">
        <v>305</v>
      </c>
      <c r="D1416" s="3" t="s">
        <v>306</v>
      </c>
      <c r="E1416" s="4">
        <v>50000</v>
      </c>
      <c r="F1416" s="3" t="s">
        <v>41</v>
      </c>
      <c r="G1416" s="3" t="s">
        <v>15</v>
      </c>
      <c r="H1416" s="3" t="s">
        <v>307</v>
      </c>
      <c r="I1416" s="4">
        <v>0</v>
      </c>
      <c r="J1416" s="4">
        <v>50000</v>
      </c>
      <c r="K1416" s="3" t="s">
        <v>308</v>
      </c>
      <c r="L1416" s="3" t="s">
        <v>144</v>
      </c>
    </row>
    <row r="1417" spans="1:12" x14ac:dyDescent="0.5">
      <c r="A1417" s="5">
        <v>45951</v>
      </c>
      <c r="B1417" t="s">
        <v>203</v>
      </c>
      <c r="C1417" t="s">
        <v>378</v>
      </c>
      <c r="D1417" t="s">
        <v>669</v>
      </c>
      <c r="E1417" s="6">
        <v>21000</v>
      </c>
      <c r="F1417" t="s">
        <v>41</v>
      </c>
      <c r="G1417" t="s">
        <v>15</v>
      </c>
      <c r="H1417" t="s">
        <v>20</v>
      </c>
      <c r="I1417" s="6">
        <v>0</v>
      </c>
      <c r="J1417" s="6">
        <v>21000</v>
      </c>
      <c r="K1417" t="s">
        <v>21</v>
      </c>
      <c r="L1417" t="s">
        <v>22</v>
      </c>
    </row>
    <row r="1418" spans="1:12" x14ac:dyDescent="0.5">
      <c r="A1418" s="2">
        <v>45952</v>
      </c>
      <c r="B1418" s="3" t="s">
        <v>203</v>
      </c>
      <c r="C1418" s="3" t="s">
        <v>261</v>
      </c>
      <c r="D1418" s="3" t="s">
        <v>262</v>
      </c>
      <c r="E1418" s="4">
        <v>75601</v>
      </c>
      <c r="F1418" s="3" t="s">
        <v>14</v>
      </c>
      <c r="G1418" s="3" t="s">
        <v>15</v>
      </c>
      <c r="H1418" s="3" t="s">
        <v>24</v>
      </c>
      <c r="I1418" s="4">
        <v>12071</v>
      </c>
      <c r="J1418" s="4">
        <v>63530</v>
      </c>
      <c r="K1418" s="3" t="s">
        <v>25</v>
      </c>
      <c r="L1418" s="3" t="s">
        <v>26</v>
      </c>
    </row>
    <row r="1419" spans="1:12" x14ac:dyDescent="0.5">
      <c r="A1419" s="5">
        <v>45952</v>
      </c>
      <c r="B1419" t="s">
        <v>203</v>
      </c>
      <c r="C1419" t="s">
        <v>261</v>
      </c>
      <c r="D1419" t="s">
        <v>262</v>
      </c>
      <c r="E1419" s="6">
        <v>151201</v>
      </c>
      <c r="F1419" t="s">
        <v>14</v>
      </c>
      <c r="G1419" t="s">
        <v>15</v>
      </c>
      <c r="H1419" t="s">
        <v>24</v>
      </c>
      <c r="I1419" s="6">
        <v>24141</v>
      </c>
      <c r="J1419" s="6">
        <v>127060</v>
      </c>
      <c r="K1419" t="s">
        <v>25</v>
      </c>
      <c r="L1419" t="s">
        <v>26</v>
      </c>
    </row>
    <row r="1420" spans="1:12" x14ac:dyDescent="0.5">
      <c r="A1420" s="2">
        <v>45952</v>
      </c>
      <c r="B1420" s="3" t="s">
        <v>192</v>
      </c>
      <c r="C1420" s="3" t="s">
        <v>490</v>
      </c>
      <c r="D1420" s="3" t="s">
        <v>668</v>
      </c>
      <c r="E1420" s="4">
        <v>44980</v>
      </c>
      <c r="F1420" s="3" t="s">
        <v>41</v>
      </c>
      <c r="G1420" s="3" t="s">
        <v>15</v>
      </c>
      <c r="H1420" s="3" t="s">
        <v>66</v>
      </c>
      <c r="I1420" s="4">
        <v>0</v>
      </c>
      <c r="J1420" s="4">
        <v>44980</v>
      </c>
      <c r="K1420" s="3" t="s">
        <v>67</v>
      </c>
      <c r="L1420" s="3" t="s">
        <v>68</v>
      </c>
    </row>
    <row r="1421" spans="1:12" x14ac:dyDescent="0.5">
      <c r="A1421" s="5">
        <v>45952</v>
      </c>
      <c r="B1421" t="s">
        <v>192</v>
      </c>
      <c r="C1421" t="s">
        <v>488</v>
      </c>
      <c r="D1421" t="s">
        <v>668</v>
      </c>
      <c r="E1421" s="6">
        <v>145000</v>
      </c>
      <c r="F1421" t="s">
        <v>41</v>
      </c>
      <c r="G1421" t="s">
        <v>15</v>
      </c>
      <c r="H1421" t="s">
        <v>66</v>
      </c>
      <c r="I1421" s="6">
        <v>0</v>
      </c>
      <c r="J1421" s="6">
        <v>145000</v>
      </c>
      <c r="K1421" t="s">
        <v>67</v>
      </c>
      <c r="L1421" t="s">
        <v>68</v>
      </c>
    </row>
    <row r="1422" spans="1:12" x14ac:dyDescent="0.5">
      <c r="A1422" s="2">
        <v>45952</v>
      </c>
      <c r="B1422" s="3" t="s">
        <v>203</v>
      </c>
      <c r="C1422" s="3" t="s">
        <v>353</v>
      </c>
      <c r="D1422" s="3" t="s">
        <v>354</v>
      </c>
      <c r="E1422" s="4">
        <v>1732959</v>
      </c>
      <c r="F1422" s="3" t="s">
        <v>14</v>
      </c>
      <c r="G1422" s="3" t="s">
        <v>15</v>
      </c>
      <c r="H1422" s="3" t="s">
        <v>355</v>
      </c>
      <c r="I1422" s="4">
        <v>276691</v>
      </c>
      <c r="J1422" s="4">
        <v>1456268</v>
      </c>
      <c r="K1422" s="3" t="s">
        <v>356</v>
      </c>
      <c r="L1422" s="3" t="s">
        <v>48</v>
      </c>
    </row>
    <row r="1423" spans="1:12" x14ac:dyDescent="0.5">
      <c r="A1423" s="5">
        <v>45952</v>
      </c>
      <c r="B1423" t="s">
        <v>203</v>
      </c>
      <c r="C1423" t="s">
        <v>353</v>
      </c>
      <c r="D1423" t="s">
        <v>354</v>
      </c>
      <c r="E1423" s="6">
        <v>7000000</v>
      </c>
      <c r="F1423" t="s">
        <v>14</v>
      </c>
      <c r="G1423" t="s">
        <v>15</v>
      </c>
      <c r="H1423" t="s">
        <v>355</v>
      </c>
      <c r="I1423" s="6">
        <v>1117647</v>
      </c>
      <c r="J1423" s="6">
        <v>5882353</v>
      </c>
      <c r="K1423" t="s">
        <v>356</v>
      </c>
      <c r="L1423" t="s">
        <v>48</v>
      </c>
    </row>
    <row r="1424" spans="1:12" x14ac:dyDescent="0.5">
      <c r="A1424" s="2">
        <v>45952</v>
      </c>
      <c r="B1424" s="3" t="s">
        <v>203</v>
      </c>
      <c r="C1424" s="3" t="s">
        <v>353</v>
      </c>
      <c r="D1424" s="3" t="s">
        <v>354</v>
      </c>
      <c r="E1424" s="4">
        <v>7000000</v>
      </c>
      <c r="F1424" s="3" t="s">
        <v>14</v>
      </c>
      <c r="G1424" s="3" t="s">
        <v>15</v>
      </c>
      <c r="H1424" s="3" t="s">
        <v>355</v>
      </c>
      <c r="I1424" s="4">
        <v>1117647</v>
      </c>
      <c r="J1424" s="4">
        <v>5882353</v>
      </c>
      <c r="K1424" s="3" t="s">
        <v>356</v>
      </c>
      <c r="L1424" s="3" t="s">
        <v>48</v>
      </c>
    </row>
    <row r="1425" spans="1:12" x14ac:dyDescent="0.5">
      <c r="A1425" s="5">
        <v>45952</v>
      </c>
      <c r="B1425" t="s">
        <v>203</v>
      </c>
      <c r="C1425" t="s">
        <v>353</v>
      </c>
      <c r="D1425" t="s">
        <v>354</v>
      </c>
      <c r="E1425" s="6">
        <v>7000000</v>
      </c>
      <c r="F1425" t="s">
        <v>14</v>
      </c>
      <c r="G1425" t="s">
        <v>15</v>
      </c>
      <c r="H1425" t="s">
        <v>355</v>
      </c>
      <c r="I1425" s="6">
        <v>1117647</v>
      </c>
      <c r="J1425" s="6">
        <v>5882353</v>
      </c>
      <c r="K1425" t="s">
        <v>356</v>
      </c>
      <c r="L1425" t="s">
        <v>48</v>
      </c>
    </row>
    <row r="1426" spans="1:12" x14ac:dyDescent="0.5">
      <c r="A1426" s="2">
        <v>45952</v>
      </c>
      <c r="B1426" s="3" t="s">
        <v>203</v>
      </c>
      <c r="C1426" s="3" t="s">
        <v>353</v>
      </c>
      <c r="D1426" s="3" t="s">
        <v>354</v>
      </c>
      <c r="E1426" s="4">
        <v>7000000</v>
      </c>
      <c r="F1426" s="3" t="s">
        <v>14</v>
      </c>
      <c r="G1426" s="3" t="s">
        <v>15</v>
      </c>
      <c r="H1426" s="3" t="s">
        <v>355</v>
      </c>
      <c r="I1426" s="4">
        <v>1117647</v>
      </c>
      <c r="J1426" s="4">
        <v>5882353</v>
      </c>
      <c r="K1426" s="3" t="s">
        <v>356</v>
      </c>
      <c r="L1426" s="3" t="s">
        <v>48</v>
      </c>
    </row>
    <row r="1427" spans="1:12" x14ac:dyDescent="0.5">
      <c r="A1427" s="5">
        <v>45952</v>
      </c>
      <c r="B1427" t="s">
        <v>203</v>
      </c>
      <c r="C1427" t="s">
        <v>353</v>
      </c>
      <c r="D1427" t="s">
        <v>354</v>
      </c>
      <c r="E1427" s="6">
        <v>7000000</v>
      </c>
      <c r="F1427" t="s">
        <v>14</v>
      </c>
      <c r="G1427" t="s">
        <v>15</v>
      </c>
      <c r="H1427" t="s">
        <v>355</v>
      </c>
      <c r="I1427" s="6">
        <v>1117647</v>
      </c>
      <c r="J1427" s="6">
        <v>5882353</v>
      </c>
      <c r="K1427" t="s">
        <v>356</v>
      </c>
      <c r="L1427" t="s">
        <v>48</v>
      </c>
    </row>
    <row r="1428" spans="1:12" x14ac:dyDescent="0.5">
      <c r="A1428" s="2">
        <v>45952</v>
      </c>
      <c r="B1428" s="3" t="s">
        <v>203</v>
      </c>
      <c r="C1428" s="3" t="s">
        <v>353</v>
      </c>
      <c r="D1428" s="3" t="s">
        <v>354</v>
      </c>
      <c r="E1428" s="4">
        <v>7000000</v>
      </c>
      <c r="F1428" s="3" t="s">
        <v>14</v>
      </c>
      <c r="G1428" s="3" t="s">
        <v>15</v>
      </c>
      <c r="H1428" s="3" t="s">
        <v>355</v>
      </c>
      <c r="I1428" s="4">
        <v>1117647</v>
      </c>
      <c r="J1428" s="4">
        <v>5882353</v>
      </c>
      <c r="K1428" s="3" t="s">
        <v>356</v>
      </c>
      <c r="L1428" s="3" t="s">
        <v>48</v>
      </c>
    </row>
    <row r="1429" spans="1:12" x14ac:dyDescent="0.5">
      <c r="A1429" s="5">
        <v>45952</v>
      </c>
      <c r="B1429" t="s">
        <v>203</v>
      </c>
      <c r="C1429" t="s">
        <v>353</v>
      </c>
      <c r="D1429" t="s">
        <v>354</v>
      </c>
      <c r="E1429" s="6">
        <v>7000000</v>
      </c>
      <c r="F1429" t="s">
        <v>14</v>
      </c>
      <c r="G1429" t="s">
        <v>15</v>
      </c>
      <c r="H1429" t="s">
        <v>355</v>
      </c>
      <c r="I1429" s="6">
        <v>1117647</v>
      </c>
      <c r="J1429" s="6">
        <v>5882353</v>
      </c>
      <c r="K1429" t="s">
        <v>356</v>
      </c>
      <c r="L1429" t="s">
        <v>48</v>
      </c>
    </row>
    <row r="1430" spans="1:12" x14ac:dyDescent="0.5">
      <c r="A1430" s="2">
        <v>45952</v>
      </c>
      <c r="B1430" s="3" t="s">
        <v>203</v>
      </c>
      <c r="C1430" s="3" t="s">
        <v>353</v>
      </c>
      <c r="D1430" s="3" t="s">
        <v>354</v>
      </c>
      <c r="E1430" s="4">
        <v>7000000</v>
      </c>
      <c r="F1430" s="3" t="s">
        <v>14</v>
      </c>
      <c r="G1430" s="3" t="s">
        <v>15</v>
      </c>
      <c r="H1430" s="3" t="s">
        <v>355</v>
      </c>
      <c r="I1430" s="4">
        <v>1117647</v>
      </c>
      <c r="J1430" s="4">
        <v>5882353</v>
      </c>
      <c r="K1430" s="3" t="s">
        <v>356</v>
      </c>
      <c r="L1430" s="3" t="s">
        <v>48</v>
      </c>
    </row>
    <row r="1431" spans="1:12" x14ac:dyDescent="0.5">
      <c r="A1431" s="5">
        <v>45952</v>
      </c>
      <c r="B1431" t="s">
        <v>203</v>
      </c>
      <c r="C1431" t="s">
        <v>353</v>
      </c>
      <c r="D1431" t="s">
        <v>354</v>
      </c>
      <c r="E1431" s="6">
        <v>7000000</v>
      </c>
      <c r="F1431" t="s">
        <v>14</v>
      </c>
      <c r="G1431" t="s">
        <v>15</v>
      </c>
      <c r="H1431" t="s">
        <v>355</v>
      </c>
      <c r="I1431" s="6">
        <v>1117647</v>
      </c>
      <c r="J1431" s="6">
        <v>5882353</v>
      </c>
      <c r="K1431" t="s">
        <v>356</v>
      </c>
      <c r="L1431" t="s">
        <v>48</v>
      </c>
    </row>
    <row r="1432" spans="1:12" x14ac:dyDescent="0.5">
      <c r="A1432" s="2">
        <v>45953</v>
      </c>
      <c r="B1432" s="3" t="s">
        <v>203</v>
      </c>
      <c r="C1432" s="3" t="s">
        <v>247</v>
      </c>
      <c r="D1432" s="3" t="s">
        <v>248</v>
      </c>
      <c r="E1432" s="4">
        <v>363293</v>
      </c>
      <c r="F1432" s="3" t="s">
        <v>14</v>
      </c>
      <c r="G1432" s="3" t="s">
        <v>15</v>
      </c>
      <c r="H1432" s="3" t="s">
        <v>24</v>
      </c>
      <c r="I1432" s="4">
        <v>58005</v>
      </c>
      <c r="J1432" s="4">
        <v>305288</v>
      </c>
      <c r="K1432" s="3" t="s">
        <v>25</v>
      </c>
      <c r="L1432" s="3" t="s">
        <v>26</v>
      </c>
    </row>
    <row r="1433" spans="1:12" x14ac:dyDescent="0.5">
      <c r="A1433" s="5">
        <v>45954</v>
      </c>
      <c r="B1433" t="s">
        <v>203</v>
      </c>
      <c r="C1433" t="s">
        <v>491</v>
      </c>
      <c r="D1433" t="s">
        <v>652</v>
      </c>
      <c r="E1433" s="6">
        <v>133821</v>
      </c>
      <c r="F1433" t="s">
        <v>14</v>
      </c>
      <c r="G1433" t="s">
        <v>15</v>
      </c>
      <c r="H1433" t="s">
        <v>293</v>
      </c>
      <c r="I1433" s="6">
        <v>21366</v>
      </c>
      <c r="J1433" s="6">
        <v>112455</v>
      </c>
      <c r="K1433" t="s">
        <v>294</v>
      </c>
      <c r="L1433" t="s">
        <v>26</v>
      </c>
    </row>
    <row r="1434" spans="1:12" x14ac:dyDescent="0.5">
      <c r="A1434" s="2">
        <v>45957</v>
      </c>
      <c r="B1434" s="3" t="s">
        <v>203</v>
      </c>
      <c r="C1434" s="3" t="s">
        <v>492</v>
      </c>
      <c r="D1434" s="3" t="s">
        <v>286</v>
      </c>
      <c r="E1434" s="4">
        <v>159390</v>
      </c>
      <c r="F1434" s="3" t="s">
        <v>14</v>
      </c>
      <c r="G1434" s="3" t="s">
        <v>15</v>
      </c>
      <c r="H1434" s="3" t="s">
        <v>24</v>
      </c>
      <c r="I1434" s="4">
        <v>25449</v>
      </c>
      <c r="J1434" s="4">
        <v>133941</v>
      </c>
      <c r="K1434" s="3" t="s">
        <v>25</v>
      </c>
      <c r="L1434" s="3" t="s">
        <v>26</v>
      </c>
    </row>
    <row r="1435" spans="1:12" x14ac:dyDescent="0.5">
      <c r="A1435" s="5">
        <v>45958</v>
      </c>
      <c r="B1435" t="s">
        <v>203</v>
      </c>
      <c r="C1435" t="s">
        <v>335</v>
      </c>
      <c r="D1435" t="s">
        <v>336</v>
      </c>
      <c r="E1435" s="6">
        <v>54110</v>
      </c>
      <c r="F1435" t="s">
        <v>14</v>
      </c>
      <c r="G1435" t="s">
        <v>15</v>
      </c>
      <c r="H1435" t="s">
        <v>24</v>
      </c>
      <c r="I1435" s="6">
        <v>8639</v>
      </c>
      <c r="J1435" s="6">
        <v>45471</v>
      </c>
      <c r="K1435" t="s">
        <v>25</v>
      </c>
      <c r="L1435" t="s">
        <v>26</v>
      </c>
    </row>
    <row r="1436" spans="1:12" x14ac:dyDescent="0.5">
      <c r="A1436" s="2">
        <v>45958</v>
      </c>
      <c r="B1436" s="3" t="s">
        <v>192</v>
      </c>
      <c r="C1436" s="3" t="s">
        <v>493</v>
      </c>
      <c r="D1436" s="3" t="s">
        <v>668</v>
      </c>
      <c r="E1436" s="4">
        <v>7000</v>
      </c>
      <c r="F1436" s="3" t="s">
        <v>41</v>
      </c>
      <c r="G1436" s="3" t="s">
        <v>15</v>
      </c>
      <c r="H1436" s="3" t="s">
        <v>66</v>
      </c>
      <c r="I1436" s="4">
        <v>0</v>
      </c>
      <c r="J1436" s="4">
        <v>7000</v>
      </c>
      <c r="K1436" s="3" t="s">
        <v>67</v>
      </c>
      <c r="L1436" s="3" t="s">
        <v>68</v>
      </c>
    </row>
    <row r="1437" spans="1:12" x14ac:dyDescent="0.5">
      <c r="A1437" s="5">
        <v>45959</v>
      </c>
      <c r="B1437" t="s">
        <v>203</v>
      </c>
      <c r="C1437" t="s">
        <v>261</v>
      </c>
      <c r="D1437" t="s">
        <v>262</v>
      </c>
      <c r="E1437" s="6">
        <v>108000</v>
      </c>
      <c r="F1437" t="s">
        <v>14</v>
      </c>
      <c r="G1437" t="s">
        <v>15</v>
      </c>
      <c r="H1437" t="s">
        <v>24</v>
      </c>
      <c r="I1437" s="6">
        <v>17244</v>
      </c>
      <c r="J1437" s="6">
        <v>90756</v>
      </c>
      <c r="K1437" t="s">
        <v>25</v>
      </c>
      <c r="L1437" t="s">
        <v>26</v>
      </c>
    </row>
    <row r="1438" spans="1:12" x14ac:dyDescent="0.5">
      <c r="A1438" s="2">
        <v>45959</v>
      </c>
      <c r="B1438" s="3" t="s">
        <v>203</v>
      </c>
      <c r="C1438" s="3" t="s">
        <v>261</v>
      </c>
      <c r="D1438" s="3" t="s">
        <v>262</v>
      </c>
      <c r="E1438" s="4">
        <v>110699</v>
      </c>
      <c r="F1438" s="3" t="s">
        <v>14</v>
      </c>
      <c r="G1438" s="3" t="s">
        <v>15</v>
      </c>
      <c r="H1438" s="3" t="s">
        <v>24</v>
      </c>
      <c r="I1438" s="4">
        <v>17675</v>
      </c>
      <c r="J1438" s="4">
        <v>93024</v>
      </c>
      <c r="K1438" s="3" t="s">
        <v>25</v>
      </c>
      <c r="L1438" s="3" t="s">
        <v>26</v>
      </c>
    </row>
    <row r="1439" spans="1:12" x14ac:dyDescent="0.5">
      <c r="A1439" s="5">
        <v>45959</v>
      </c>
      <c r="B1439" t="s">
        <v>192</v>
      </c>
      <c r="C1439" t="s">
        <v>494</v>
      </c>
      <c r="D1439" t="s">
        <v>668</v>
      </c>
      <c r="E1439" s="6">
        <v>154343</v>
      </c>
      <c r="F1439" t="s">
        <v>41</v>
      </c>
      <c r="G1439" t="s">
        <v>15</v>
      </c>
      <c r="H1439" t="s">
        <v>66</v>
      </c>
      <c r="I1439" s="6">
        <v>0</v>
      </c>
      <c r="J1439" s="6">
        <v>154343</v>
      </c>
      <c r="K1439" t="s">
        <v>67</v>
      </c>
      <c r="L1439" t="s">
        <v>68</v>
      </c>
    </row>
    <row r="1440" spans="1:12" x14ac:dyDescent="0.5">
      <c r="A1440" s="2">
        <v>45960</v>
      </c>
      <c r="B1440" s="3" t="s">
        <v>203</v>
      </c>
      <c r="C1440" s="3" t="s">
        <v>247</v>
      </c>
      <c r="D1440" s="3" t="s">
        <v>248</v>
      </c>
      <c r="E1440" s="4">
        <v>204770</v>
      </c>
      <c r="F1440" s="3" t="s">
        <v>14</v>
      </c>
      <c r="G1440" s="3" t="s">
        <v>15</v>
      </c>
      <c r="H1440" s="3" t="s">
        <v>24</v>
      </c>
      <c r="I1440" s="4">
        <v>32694</v>
      </c>
      <c r="J1440" s="4">
        <v>172076</v>
      </c>
      <c r="K1440" s="3" t="s">
        <v>25</v>
      </c>
      <c r="L1440" s="3" t="s">
        <v>26</v>
      </c>
    </row>
    <row r="1441" spans="1:12" x14ac:dyDescent="0.5">
      <c r="A1441" s="5">
        <v>45960</v>
      </c>
      <c r="B1441" t="s">
        <v>203</v>
      </c>
      <c r="C1441" t="s">
        <v>253</v>
      </c>
      <c r="D1441" t="s">
        <v>254</v>
      </c>
      <c r="E1441" s="6">
        <v>12596</v>
      </c>
      <c r="F1441" t="s">
        <v>41</v>
      </c>
      <c r="G1441" t="s">
        <v>15</v>
      </c>
      <c r="H1441" t="s">
        <v>255</v>
      </c>
      <c r="I1441" s="6">
        <v>0</v>
      </c>
      <c r="J1441" s="6">
        <v>12596</v>
      </c>
      <c r="K1441" t="s">
        <v>256</v>
      </c>
      <c r="L1441" t="s">
        <v>68</v>
      </c>
    </row>
    <row r="1442" spans="1:12" x14ac:dyDescent="0.5">
      <c r="A1442" s="2">
        <v>45960</v>
      </c>
      <c r="B1442" s="3" t="s">
        <v>192</v>
      </c>
      <c r="C1442" s="3" t="s">
        <v>395</v>
      </c>
      <c r="D1442" s="3" t="s">
        <v>668</v>
      </c>
      <c r="E1442" s="4">
        <v>75937</v>
      </c>
      <c r="F1442" s="3" t="s">
        <v>41</v>
      </c>
      <c r="G1442" s="3" t="s">
        <v>15</v>
      </c>
      <c r="H1442" s="3" t="s">
        <v>66</v>
      </c>
      <c r="I1442" s="4">
        <v>0</v>
      </c>
      <c r="J1442" s="4">
        <v>75937</v>
      </c>
      <c r="K1442" s="3" t="s">
        <v>67</v>
      </c>
      <c r="L1442" s="3" t="s">
        <v>68</v>
      </c>
    </row>
    <row r="1443" spans="1:12" x14ac:dyDescent="0.5">
      <c r="A1443" s="5">
        <v>45960</v>
      </c>
      <c r="B1443" t="s">
        <v>192</v>
      </c>
      <c r="C1443" t="s">
        <v>249</v>
      </c>
      <c r="D1443" t="s">
        <v>250</v>
      </c>
      <c r="E1443" s="6">
        <v>95833</v>
      </c>
      <c r="F1443" t="s">
        <v>41</v>
      </c>
      <c r="G1443" t="s">
        <v>15</v>
      </c>
      <c r="H1443" t="s">
        <v>66</v>
      </c>
      <c r="I1443" s="6">
        <v>0</v>
      </c>
      <c r="J1443" s="6">
        <v>95833</v>
      </c>
      <c r="K1443" t="s">
        <v>67</v>
      </c>
      <c r="L1443" t="s">
        <v>68</v>
      </c>
    </row>
    <row r="1444" spans="1:12" x14ac:dyDescent="0.5">
      <c r="A1444" s="2">
        <v>45960</v>
      </c>
      <c r="B1444" s="3" t="s">
        <v>192</v>
      </c>
      <c r="C1444" s="3" t="s">
        <v>480</v>
      </c>
      <c r="D1444" s="3" t="s">
        <v>668</v>
      </c>
      <c r="E1444" s="4">
        <v>100000</v>
      </c>
      <c r="F1444" s="3" t="s">
        <v>41</v>
      </c>
      <c r="G1444" s="3" t="s">
        <v>15</v>
      </c>
      <c r="H1444" s="3" t="s">
        <v>66</v>
      </c>
      <c r="I1444" s="4">
        <v>0</v>
      </c>
      <c r="J1444" s="4">
        <v>100000</v>
      </c>
      <c r="K1444" s="3" t="s">
        <v>67</v>
      </c>
      <c r="L1444" s="3" t="s">
        <v>68</v>
      </c>
    </row>
    <row r="1445" spans="1:12" x14ac:dyDescent="0.5">
      <c r="A1445" s="5">
        <v>45960</v>
      </c>
      <c r="B1445" t="s">
        <v>192</v>
      </c>
      <c r="C1445" t="s">
        <v>481</v>
      </c>
      <c r="D1445" t="s">
        <v>676</v>
      </c>
      <c r="E1445" s="6">
        <v>100000</v>
      </c>
      <c r="F1445" t="s">
        <v>41</v>
      </c>
      <c r="G1445" t="s">
        <v>15</v>
      </c>
      <c r="H1445" t="s">
        <v>66</v>
      </c>
      <c r="I1445" s="6">
        <v>0</v>
      </c>
      <c r="J1445" s="6">
        <v>100000</v>
      </c>
      <c r="K1445" t="s">
        <v>67</v>
      </c>
      <c r="L1445" t="s">
        <v>68</v>
      </c>
    </row>
    <row r="1446" spans="1:12" x14ac:dyDescent="0.5">
      <c r="A1446" s="2">
        <v>45960</v>
      </c>
      <c r="B1446" s="3" t="s">
        <v>192</v>
      </c>
      <c r="C1446" s="3" t="s">
        <v>495</v>
      </c>
      <c r="D1446" s="3" t="s">
        <v>668</v>
      </c>
      <c r="E1446" s="4">
        <v>299250</v>
      </c>
      <c r="F1446" s="3" t="s">
        <v>41</v>
      </c>
      <c r="G1446" s="3" t="s">
        <v>15</v>
      </c>
      <c r="H1446" s="3" t="s">
        <v>66</v>
      </c>
      <c r="I1446" s="4">
        <v>0</v>
      </c>
      <c r="J1446" s="4">
        <v>299250</v>
      </c>
      <c r="K1446" s="3" t="s">
        <v>67</v>
      </c>
      <c r="L1446" s="3" t="s">
        <v>68</v>
      </c>
    </row>
    <row r="1447" spans="1:12" x14ac:dyDescent="0.5">
      <c r="A1447" s="5">
        <v>45960</v>
      </c>
      <c r="B1447" t="s">
        <v>192</v>
      </c>
      <c r="C1447" t="s">
        <v>251</v>
      </c>
      <c r="D1447" t="s">
        <v>252</v>
      </c>
      <c r="E1447" s="6">
        <v>300312</v>
      </c>
      <c r="F1447" t="s">
        <v>41</v>
      </c>
      <c r="G1447" t="s">
        <v>15</v>
      </c>
      <c r="H1447" t="s">
        <v>66</v>
      </c>
      <c r="I1447" s="6">
        <v>0</v>
      </c>
      <c r="J1447" s="6">
        <v>300312</v>
      </c>
      <c r="K1447" t="s">
        <v>67</v>
      </c>
      <c r="L1447" t="s">
        <v>68</v>
      </c>
    </row>
    <row r="1448" spans="1:12" x14ac:dyDescent="0.5">
      <c r="A1448" s="2">
        <v>45960</v>
      </c>
      <c r="B1448" s="3" t="s">
        <v>192</v>
      </c>
      <c r="C1448" s="3" t="s">
        <v>496</v>
      </c>
      <c r="D1448" s="3" t="s">
        <v>668</v>
      </c>
      <c r="E1448" s="4">
        <v>325834</v>
      </c>
      <c r="F1448" s="3" t="s">
        <v>41</v>
      </c>
      <c r="G1448" s="3" t="s">
        <v>15</v>
      </c>
      <c r="H1448" s="3" t="s">
        <v>66</v>
      </c>
      <c r="I1448" s="4">
        <v>0</v>
      </c>
      <c r="J1448" s="4">
        <v>325834</v>
      </c>
      <c r="K1448" s="3" t="s">
        <v>67</v>
      </c>
      <c r="L1448" s="3" t="s">
        <v>68</v>
      </c>
    </row>
    <row r="1449" spans="1:12" x14ac:dyDescent="0.5">
      <c r="A1449" s="5">
        <v>45960</v>
      </c>
      <c r="B1449" t="s">
        <v>192</v>
      </c>
      <c r="C1449" t="s">
        <v>455</v>
      </c>
      <c r="D1449" t="s">
        <v>675</v>
      </c>
      <c r="E1449" s="6">
        <v>352295</v>
      </c>
      <c r="F1449" t="s">
        <v>41</v>
      </c>
      <c r="G1449" t="s">
        <v>15</v>
      </c>
      <c r="H1449" t="s">
        <v>66</v>
      </c>
      <c r="I1449" s="6">
        <v>0</v>
      </c>
      <c r="J1449" s="6">
        <v>352295</v>
      </c>
      <c r="K1449" t="s">
        <v>67</v>
      </c>
      <c r="L1449" t="s">
        <v>68</v>
      </c>
    </row>
    <row r="1450" spans="1:12" x14ac:dyDescent="0.5">
      <c r="A1450" s="2">
        <v>45960</v>
      </c>
      <c r="B1450" s="3" t="s">
        <v>203</v>
      </c>
      <c r="C1450" s="3" t="s">
        <v>253</v>
      </c>
      <c r="D1450" s="3" t="s">
        <v>254</v>
      </c>
      <c r="E1450" s="4">
        <v>700000</v>
      </c>
      <c r="F1450" s="3" t="s">
        <v>41</v>
      </c>
      <c r="G1450" s="3" t="s">
        <v>15</v>
      </c>
      <c r="H1450" s="3" t="s">
        <v>255</v>
      </c>
      <c r="I1450" s="4">
        <v>0</v>
      </c>
      <c r="J1450" s="4">
        <v>700000</v>
      </c>
      <c r="K1450" s="3" t="s">
        <v>256</v>
      </c>
      <c r="L1450" s="3" t="s">
        <v>68</v>
      </c>
    </row>
    <row r="1451" spans="1:12" x14ac:dyDescent="0.5">
      <c r="A1451" s="5">
        <v>45960</v>
      </c>
      <c r="B1451" t="s">
        <v>192</v>
      </c>
      <c r="C1451" t="s">
        <v>281</v>
      </c>
      <c r="D1451" t="s">
        <v>282</v>
      </c>
      <c r="E1451" s="6">
        <v>789449</v>
      </c>
      <c r="F1451" t="s">
        <v>41</v>
      </c>
      <c r="G1451" t="s">
        <v>15</v>
      </c>
      <c r="H1451" t="s">
        <v>66</v>
      </c>
      <c r="I1451" s="6">
        <v>0</v>
      </c>
      <c r="J1451" s="6">
        <v>789449</v>
      </c>
      <c r="K1451" t="s">
        <v>67</v>
      </c>
      <c r="L1451" t="s">
        <v>68</v>
      </c>
    </row>
    <row r="1452" spans="1:12" x14ac:dyDescent="0.5">
      <c r="A1452" s="2">
        <v>45960</v>
      </c>
      <c r="B1452" s="3" t="s">
        <v>192</v>
      </c>
      <c r="C1452" s="3" t="s">
        <v>329</v>
      </c>
      <c r="D1452" s="3" t="s">
        <v>330</v>
      </c>
      <c r="E1452" s="4">
        <v>819400</v>
      </c>
      <c r="F1452" s="3" t="s">
        <v>41</v>
      </c>
      <c r="G1452" s="3" t="s">
        <v>15</v>
      </c>
      <c r="H1452" s="3" t="s">
        <v>66</v>
      </c>
      <c r="I1452" s="4">
        <v>0</v>
      </c>
      <c r="J1452" s="4">
        <v>819400</v>
      </c>
      <c r="K1452" s="3" t="s">
        <v>67</v>
      </c>
      <c r="L1452" s="3" t="s">
        <v>68</v>
      </c>
    </row>
    <row r="1453" spans="1:12" x14ac:dyDescent="0.5">
      <c r="A1453" s="5">
        <v>45960</v>
      </c>
      <c r="B1453" t="s">
        <v>192</v>
      </c>
      <c r="C1453" t="s">
        <v>249</v>
      </c>
      <c r="D1453" t="s">
        <v>250</v>
      </c>
      <c r="E1453" s="6">
        <v>1130911</v>
      </c>
      <c r="F1453" t="s">
        <v>41</v>
      </c>
      <c r="G1453" t="s">
        <v>15</v>
      </c>
      <c r="H1453" t="s">
        <v>66</v>
      </c>
      <c r="I1453" s="6">
        <v>0</v>
      </c>
      <c r="J1453" s="6">
        <v>1130911</v>
      </c>
      <c r="K1453" t="s">
        <v>67</v>
      </c>
      <c r="L1453" t="s">
        <v>68</v>
      </c>
    </row>
    <row r="1454" spans="1:12" x14ac:dyDescent="0.5">
      <c r="A1454" s="2">
        <v>45960</v>
      </c>
      <c r="B1454" s="3" t="s">
        <v>192</v>
      </c>
      <c r="C1454" s="3" t="s">
        <v>305</v>
      </c>
      <c r="D1454" s="3" t="s">
        <v>306</v>
      </c>
      <c r="E1454" s="4">
        <v>491034</v>
      </c>
      <c r="F1454" s="3" t="s">
        <v>41</v>
      </c>
      <c r="G1454" s="3" t="s">
        <v>15</v>
      </c>
      <c r="H1454" s="3" t="s">
        <v>307</v>
      </c>
      <c r="I1454" s="4">
        <v>0</v>
      </c>
      <c r="J1454" s="4">
        <v>491034</v>
      </c>
      <c r="K1454" s="3" t="s">
        <v>308</v>
      </c>
      <c r="L1454" s="3" t="s">
        <v>144</v>
      </c>
    </row>
    <row r="1455" spans="1:12" x14ac:dyDescent="0.5">
      <c r="A1455" s="5">
        <v>45965</v>
      </c>
      <c r="B1455" t="s">
        <v>218</v>
      </c>
      <c r="C1455" t="s">
        <v>279</v>
      </c>
      <c r="D1455" t="s">
        <v>280</v>
      </c>
      <c r="E1455" s="6">
        <v>103350</v>
      </c>
      <c r="F1455" t="s">
        <v>14</v>
      </c>
      <c r="G1455" t="s">
        <v>15</v>
      </c>
      <c r="H1455" t="s">
        <v>24</v>
      </c>
      <c r="I1455" s="6">
        <v>16501</v>
      </c>
      <c r="J1455" s="6">
        <v>86849</v>
      </c>
      <c r="K1455" t="s">
        <v>25</v>
      </c>
      <c r="L1455" t="s">
        <v>26</v>
      </c>
    </row>
    <row r="1456" spans="1:12" x14ac:dyDescent="0.5">
      <c r="A1456" s="2">
        <v>45965</v>
      </c>
      <c r="B1456" s="3" t="s">
        <v>218</v>
      </c>
      <c r="C1456" s="3" t="s">
        <v>357</v>
      </c>
      <c r="D1456" s="3" t="s">
        <v>358</v>
      </c>
      <c r="E1456" s="4">
        <v>1000000</v>
      </c>
      <c r="F1456" s="3" t="s">
        <v>41</v>
      </c>
      <c r="G1456" s="3" t="s">
        <v>15</v>
      </c>
      <c r="H1456" s="3" t="s">
        <v>119</v>
      </c>
      <c r="I1456" s="4">
        <v>0</v>
      </c>
      <c r="J1456" s="4">
        <v>1000000</v>
      </c>
      <c r="K1456" s="3" t="s">
        <v>120</v>
      </c>
      <c r="L1456" s="3" t="s">
        <v>48</v>
      </c>
    </row>
    <row r="1457" spans="1:12" x14ac:dyDescent="0.5">
      <c r="A1457" s="5">
        <v>45966</v>
      </c>
      <c r="B1457" t="s">
        <v>218</v>
      </c>
      <c r="C1457" t="s">
        <v>497</v>
      </c>
      <c r="D1457" t="s">
        <v>663</v>
      </c>
      <c r="E1457" s="6">
        <v>53550</v>
      </c>
      <c r="F1457" t="s">
        <v>14</v>
      </c>
      <c r="G1457" t="s">
        <v>15</v>
      </c>
      <c r="H1457" t="s">
        <v>24</v>
      </c>
      <c r="I1457" s="6">
        <v>8550</v>
      </c>
      <c r="J1457" s="6">
        <v>45000</v>
      </c>
      <c r="K1457" t="s">
        <v>25</v>
      </c>
      <c r="L1457" t="s">
        <v>26</v>
      </c>
    </row>
    <row r="1458" spans="1:12" x14ac:dyDescent="0.5">
      <c r="A1458" s="2">
        <v>45966</v>
      </c>
      <c r="B1458" s="3" t="s">
        <v>218</v>
      </c>
      <c r="C1458" s="3" t="s">
        <v>261</v>
      </c>
      <c r="D1458" s="3" t="s">
        <v>262</v>
      </c>
      <c r="E1458" s="4">
        <v>105301</v>
      </c>
      <c r="F1458" s="3" t="s">
        <v>14</v>
      </c>
      <c r="G1458" s="3" t="s">
        <v>15</v>
      </c>
      <c r="H1458" s="3" t="s">
        <v>24</v>
      </c>
      <c r="I1458" s="4">
        <v>16813</v>
      </c>
      <c r="J1458" s="4">
        <v>88488</v>
      </c>
      <c r="K1458" s="3" t="s">
        <v>25</v>
      </c>
      <c r="L1458" s="3" t="s">
        <v>26</v>
      </c>
    </row>
    <row r="1459" spans="1:12" x14ac:dyDescent="0.5">
      <c r="A1459" s="5">
        <v>45966</v>
      </c>
      <c r="B1459" t="s">
        <v>218</v>
      </c>
      <c r="C1459" t="s">
        <v>315</v>
      </c>
      <c r="D1459" t="s">
        <v>316</v>
      </c>
      <c r="E1459" s="6">
        <v>116638</v>
      </c>
      <c r="F1459" t="s">
        <v>14</v>
      </c>
      <c r="G1459" t="s">
        <v>15</v>
      </c>
      <c r="H1459" t="s">
        <v>24</v>
      </c>
      <c r="I1459" s="6">
        <v>18623</v>
      </c>
      <c r="J1459" s="6">
        <v>98015</v>
      </c>
      <c r="K1459" t="s">
        <v>25</v>
      </c>
      <c r="L1459" t="s">
        <v>26</v>
      </c>
    </row>
    <row r="1460" spans="1:12" x14ac:dyDescent="0.5">
      <c r="A1460" s="2">
        <v>45966</v>
      </c>
      <c r="B1460" s="3" t="s">
        <v>218</v>
      </c>
      <c r="C1460" s="3" t="s">
        <v>261</v>
      </c>
      <c r="D1460" s="3" t="s">
        <v>262</v>
      </c>
      <c r="E1460" s="4">
        <v>144000</v>
      </c>
      <c r="F1460" s="3" t="s">
        <v>14</v>
      </c>
      <c r="G1460" s="3" t="s">
        <v>15</v>
      </c>
      <c r="H1460" s="3" t="s">
        <v>24</v>
      </c>
      <c r="I1460" s="4">
        <v>22992</v>
      </c>
      <c r="J1460" s="4">
        <v>121008</v>
      </c>
      <c r="K1460" s="3" t="s">
        <v>25</v>
      </c>
      <c r="L1460" s="3" t="s">
        <v>26</v>
      </c>
    </row>
    <row r="1461" spans="1:12" x14ac:dyDescent="0.5">
      <c r="A1461" s="5">
        <v>45966</v>
      </c>
      <c r="B1461" t="s">
        <v>218</v>
      </c>
      <c r="C1461" t="s">
        <v>285</v>
      </c>
      <c r="D1461" t="s">
        <v>286</v>
      </c>
      <c r="E1461" s="6">
        <v>159390</v>
      </c>
      <c r="F1461" t="s">
        <v>14</v>
      </c>
      <c r="G1461" t="s">
        <v>15</v>
      </c>
      <c r="H1461" t="s">
        <v>24</v>
      </c>
      <c r="I1461" s="6">
        <v>25449</v>
      </c>
      <c r="J1461" s="6">
        <v>133941</v>
      </c>
      <c r="K1461" t="s">
        <v>25</v>
      </c>
      <c r="L1461" t="s">
        <v>26</v>
      </c>
    </row>
    <row r="1462" spans="1:12" x14ac:dyDescent="0.5">
      <c r="A1462" s="2">
        <v>45966</v>
      </c>
      <c r="B1462" s="3" t="s">
        <v>218</v>
      </c>
      <c r="C1462" s="3" t="s">
        <v>323</v>
      </c>
      <c r="D1462" s="3" t="s">
        <v>324</v>
      </c>
      <c r="E1462" s="4">
        <v>65000</v>
      </c>
      <c r="F1462" s="3" t="s">
        <v>14</v>
      </c>
      <c r="G1462" s="3" t="s">
        <v>15</v>
      </c>
      <c r="H1462" s="3" t="s">
        <v>267</v>
      </c>
      <c r="I1462" s="4">
        <v>10378</v>
      </c>
      <c r="J1462" s="4">
        <v>54622</v>
      </c>
      <c r="K1462" s="3" t="s">
        <v>268</v>
      </c>
      <c r="L1462" s="3" t="s">
        <v>68</v>
      </c>
    </row>
    <row r="1463" spans="1:12" x14ac:dyDescent="0.5">
      <c r="A1463" s="5">
        <v>45966</v>
      </c>
      <c r="B1463" t="s">
        <v>218</v>
      </c>
      <c r="C1463" t="s">
        <v>357</v>
      </c>
      <c r="D1463" t="s">
        <v>358</v>
      </c>
      <c r="E1463" s="6">
        <v>882101</v>
      </c>
      <c r="F1463" t="s">
        <v>41</v>
      </c>
      <c r="G1463" t="s">
        <v>15</v>
      </c>
      <c r="H1463" t="s">
        <v>119</v>
      </c>
      <c r="I1463" s="6">
        <v>0</v>
      </c>
      <c r="J1463" s="6">
        <v>882101</v>
      </c>
      <c r="K1463" t="s">
        <v>120</v>
      </c>
      <c r="L1463" t="s">
        <v>48</v>
      </c>
    </row>
    <row r="1464" spans="1:12" x14ac:dyDescent="0.5">
      <c r="A1464" s="2">
        <v>45966</v>
      </c>
      <c r="B1464" s="3" t="s">
        <v>218</v>
      </c>
      <c r="C1464" s="3" t="s">
        <v>269</v>
      </c>
      <c r="D1464" s="3" t="s">
        <v>270</v>
      </c>
      <c r="E1464" s="4">
        <v>916300</v>
      </c>
      <c r="F1464" s="3" t="s">
        <v>41</v>
      </c>
      <c r="G1464" s="3" t="s">
        <v>15</v>
      </c>
      <c r="H1464" s="3" t="s">
        <v>46</v>
      </c>
      <c r="I1464" s="4">
        <v>0</v>
      </c>
      <c r="J1464" s="4">
        <v>916300</v>
      </c>
      <c r="K1464" s="3" t="s">
        <v>47</v>
      </c>
      <c r="L1464" s="3" t="s">
        <v>48</v>
      </c>
    </row>
    <row r="1465" spans="1:12" x14ac:dyDescent="0.5">
      <c r="A1465" s="5">
        <v>45966</v>
      </c>
      <c r="B1465" t="s">
        <v>218</v>
      </c>
      <c r="C1465" t="s">
        <v>357</v>
      </c>
      <c r="D1465" t="s">
        <v>358</v>
      </c>
      <c r="E1465" s="6">
        <v>3367970</v>
      </c>
      <c r="F1465" t="s">
        <v>41</v>
      </c>
      <c r="G1465" t="s">
        <v>15</v>
      </c>
      <c r="H1465" t="s">
        <v>119</v>
      </c>
      <c r="I1465" s="6">
        <v>0</v>
      </c>
      <c r="J1465" s="6">
        <v>3367970</v>
      </c>
      <c r="K1465" t="s">
        <v>120</v>
      </c>
      <c r="L1465" t="s">
        <v>48</v>
      </c>
    </row>
    <row r="1466" spans="1:12" x14ac:dyDescent="0.5">
      <c r="A1466" s="2">
        <v>45971</v>
      </c>
      <c r="B1466" s="3" t="s">
        <v>218</v>
      </c>
      <c r="C1466" s="3" t="s">
        <v>311</v>
      </c>
      <c r="D1466" s="3" t="s">
        <v>312</v>
      </c>
      <c r="E1466" s="4">
        <v>67177</v>
      </c>
      <c r="F1466" s="3" t="s">
        <v>14</v>
      </c>
      <c r="G1466" s="3" t="s">
        <v>15</v>
      </c>
      <c r="H1466" s="3" t="s">
        <v>24</v>
      </c>
      <c r="I1466" s="4">
        <v>10726</v>
      </c>
      <c r="J1466" s="4">
        <v>56451</v>
      </c>
      <c r="K1466" s="3" t="s">
        <v>25</v>
      </c>
      <c r="L1466" s="3" t="s">
        <v>26</v>
      </c>
    </row>
    <row r="1467" spans="1:12" x14ac:dyDescent="0.5">
      <c r="A1467" s="5">
        <v>45971</v>
      </c>
      <c r="B1467" t="s">
        <v>218</v>
      </c>
      <c r="C1467" t="s">
        <v>247</v>
      </c>
      <c r="D1467" t="s">
        <v>248</v>
      </c>
      <c r="E1467" s="6">
        <v>408387</v>
      </c>
      <c r="F1467" t="s">
        <v>14</v>
      </c>
      <c r="G1467" t="s">
        <v>15</v>
      </c>
      <c r="H1467" t="s">
        <v>24</v>
      </c>
      <c r="I1467" s="6">
        <v>65205</v>
      </c>
      <c r="J1467" s="6">
        <v>343182</v>
      </c>
      <c r="K1467" t="s">
        <v>25</v>
      </c>
      <c r="L1467" t="s">
        <v>26</v>
      </c>
    </row>
    <row r="1468" spans="1:12" x14ac:dyDescent="0.5">
      <c r="A1468" s="2">
        <v>45972</v>
      </c>
      <c r="B1468" s="3" t="s">
        <v>218</v>
      </c>
      <c r="C1468" s="3" t="s">
        <v>335</v>
      </c>
      <c r="D1468" s="3" t="s">
        <v>336</v>
      </c>
      <c r="E1468" s="4">
        <v>87889</v>
      </c>
      <c r="F1468" s="3" t="s">
        <v>14</v>
      </c>
      <c r="G1468" s="3" t="s">
        <v>15</v>
      </c>
      <c r="H1468" s="3" t="s">
        <v>24</v>
      </c>
      <c r="I1468" s="4">
        <v>14033</v>
      </c>
      <c r="J1468" s="4">
        <v>73856</v>
      </c>
      <c r="K1468" s="3" t="s">
        <v>25</v>
      </c>
      <c r="L1468" s="3" t="s">
        <v>26</v>
      </c>
    </row>
    <row r="1469" spans="1:12" x14ac:dyDescent="0.5">
      <c r="A1469" s="5">
        <v>45972</v>
      </c>
      <c r="B1469" t="s">
        <v>218</v>
      </c>
      <c r="C1469" t="s">
        <v>261</v>
      </c>
      <c r="D1469" t="s">
        <v>262</v>
      </c>
      <c r="E1469" s="6">
        <v>143995</v>
      </c>
      <c r="F1469" t="s">
        <v>14</v>
      </c>
      <c r="G1469" t="s">
        <v>15</v>
      </c>
      <c r="H1469" t="s">
        <v>24</v>
      </c>
      <c r="I1469" s="6">
        <v>22991</v>
      </c>
      <c r="J1469" s="6">
        <v>121004</v>
      </c>
      <c r="K1469" t="s">
        <v>25</v>
      </c>
      <c r="L1469" t="s">
        <v>26</v>
      </c>
    </row>
    <row r="1470" spans="1:12" x14ac:dyDescent="0.5">
      <c r="A1470" s="2">
        <v>45972</v>
      </c>
      <c r="B1470" s="3" t="s">
        <v>218</v>
      </c>
      <c r="C1470" s="3" t="s">
        <v>349</v>
      </c>
      <c r="D1470" s="3" t="s">
        <v>350</v>
      </c>
      <c r="E1470" s="4">
        <v>383755</v>
      </c>
      <c r="F1470" s="3" t="s">
        <v>14</v>
      </c>
      <c r="G1470" s="3" t="s">
        <v>15</v>
      </c>
      <c r="H1470" s="3" t="s">
        <v>293</v>
      </c>
      <c r="I1470" s="4">
        <v>61272</v>
      </c>
      <c r="J1470" s="4">
        <v>322483</v>
      </c>
      <c r="K1470" s="3" t="s">
        <v>294</v>
      </c>
      <c r="L1470" s="3" t="s">
        <v>26</v>
      </c>
    </row>
    <row r="1471" spans="1:12" x14ac:dyDescent="0.5">
      <c r="A1471" s="5">
        <v>45972</v>
      </c>
      <c r="B1471" t="s">
        <v>203</v>
      </c>
      <c r="C1471" t="s">
        <v>259</v>
      </c>
      <c r="D1471" t="s">
        <v>260</v>
      </c>
      <c r="E1471" s="6">
        <v>800000</v>
      </c>
      <c r="F1471" t="s">
        <v>41</v>
      </c>
      <c r="G1471" t="s">
        <v>15</v>
      </c>
      <c r="H1471" t="s">
        <v>66</v>
      </c>
      <c r="I1471" s="6">
        <v>0</v>
      </c>
      <c r="J1471" s="6">
        <v>800000</v>
      </c>
      <c r="K1471" t="s">
        <v>67</v>
      </c>
      <c r="L1471" t="s">
        <v>68</v>
      </c>
    </row>
    <row r="1472" spans="1:12" x14ac:dyDescent="0.5">
      <c r="A1472" s="2">
        <v>45972</v>
      </c>
      <c r="B1472" s="3" t="s">
        <v>218</v>
      </c>
      <c r="C1472" s="3" t="s">
        <v>401</v>
      </c>
      <c r="D1472" s="3" t="s">
        <v>643</v>
      </c>
      <c r="E1472" s="4">
        <v>4886</v>
      </c>
      <c r="F1472" s="3" t="s">
        <v>14</v>
      </c>
      <c r="G1472" s="3" t="s">
        <v>15</v>
      </c>
      <c r="H1472" s="3" t="s">
        <v>212</v>
      </c>
      <c r="I1472" s="4">
        <v>780</v>
      </c>
      <c r="J1472" s="4">
        <v>4106</v>
      </c>
      <c r="K1472" s="3" t="s">
        <v>213</v>
      </c>
      <c r="L1472" s="3" t="s">
        <v>48</v>
      </c>
    </row>
    <row r="1473" spans="1:12" x14ac:dyDescent="0.5">
      <c r="A1473" s="5">
        <v>45972</v>
      </c>
      <c r="B1473" t="s">
        <v>218</v>
      </c>
      <c r="C1473" t="s">
        <v>401</v>
      </c>
      <c r="D1473" t="s">
        <v>643</v>
      </c>
      <c r="E1473" s="6">
        <v>120083</v>
      </c>
      <c r="F1473" t="s">
        <v>14</v>
      </c>
      <c r="G1473" t="s">
        <v>15</v>
      </c>
      <c r="H1473" t="s">
        <v>212</v>
      </c>
      <c r="I1473" s="6">
        <v>19173</v>
      </c>
      <c r="J1473" s="6">
        <v>100910</v>
      </c>
      <c r="K1473" t="s">
        <v>213</v>
      </c>
      <c r="L1473" t="s">
        <v>48</v>
      </c>
    </row>
    <row r="1474" spans="1:12" x14ac:dyDescent="0.5">
      <c r="A1474" s="2">
        <v>45972</v>
      </c>
      <c r="B1474" s="3" t="s">
        <v>218</v>
      </c>
      <c r="C1474" s="3" t="s">
        <v>269</v>
      </c>
      <c r="D1474" s="3" t="s">
        <v>270</v>
      </c>
      <c r="E1474" s="4">
        <v>737499</v>
      </c>
      <c r="F1474" s="3" t="s">
        <v>41</v>
      </c>
      <c r="G1474" s="3" t="s">
        <v>15</v>
      </c>
      <c r="H1474" s="3" t="s">
        <v>46</v>
      </c>
      <c r="I1474" s="4">
        <v>0</v>
      </c>
      <c r="J1474" s="4">
        <v>737499</v>
      </c>
      <c r="K1474" s="3" t="s">
        <v>47</v>
      </c>
      <c r="L1474" s="3" t="s">
        <v>48</v>
      </c>
    </row>
    <row r="1475" spans="1:12" x14ac:dyDescent="0.5">
      <c r="A1475" s="5">
        <v>45974</v>
      </c>
      <c r="B1475" t="s">
        <v>218</v>
      </c>
      <c r="C1475" t="s">
        <v>297</v>
      </c>
      <c r="D1475" t="s">
        <v>298</v>
      </c>
      <c r="E1475" s="6">
        <v>330000</v>
      </c>
      <c r="F1475" t="s">
        <v>14</v>
      </c>
      <c r="G1475" t="s">
        <v>15</v>
      </c>
      <c r="H1475" t="s">
        <v>293</v>
      </c>
      <c r="I1475" s="6">
        <v>52689</v>
      </c>
      <c r="J1475" s="6">
        <v>277311</v>
      </c>
      <c r="K1475" t="s">
        <v>294</v>
      </c>
      <c r="L1475" t="s">
        <v>26</v>
      </c>
    </row>
    <row r="1476" spans="1:12" x14ac:dyDescent="0.5">
      <c r="A1476" s="2">
        <v>45975</v>
      </c>
      <c r="B1476" s="3" t="s">
        <v>218</v>
      </c>
      <c r="C1476" s="3" t="s">
        <v>297</v>
      </c>
      <c r="D1476" s="3" t="s">
        <v>298</v>
      </c>
      <c r="E1476" s="4">
        <v>62700</v>
      </c>
      <c r="F1476" s="3" t="s">
        <v>14</v>
      </c>
      <c r="G1476" s="3" t="s">
        <v>15</v>
      </c>
      <c r="H1476" s="3" t="s">
        <v>293</v>
      </c>
      <c r="I1476" s="4">
        <v>10011</v>
      </c>
      <c r="J1476" s="4">
        <v>52689</v>
      </c>
      <c r="K1476" s="3" t="s">
        <v>294</v>
      </c>
      <c r="L1476" s="3" t="s">
        <v>26</v>
      </c>
    </row>
    <row r="1477" spans="1:12" x14ac:dyDescent="0.5">
      <c r="A1477" s="5">
        <v>45975</v>
      </c>
      <c r="B1477" t="s">
        <v>218</v>
      </c>
      <c r="C1477" t="s">
        <v>279</v>
      </c>
      <c r="D1477" t="s">
        <v>280</v>
      </c>
      <c r="E1477" s="6">
        <v>103350</v>
      </c>
      <c r="F1477" t="s">
        <v>14</v>
      </c>
      <c r="G1477" t="s">
        <v>15</v>
      </c>
      <c r="H1477" t="s">
        <v>24</v>
      </c>
      <c r="I1477" s="6">
        <v>16501</v>
      </c>
      <c r="J1477" s="6">
        <v>86849</v>
      </c>
      <c r="K1477" t="s">
        <v>25</v>
      </c>
      <c r="L1477" t="s">
        <v>26</v>
      </c>
    </row>
    <row r="1478" spans="1:12" x14ac:dyDescent="0.5">
      <c r="A1478" s="2">
        <v>45975</v>
      </c>
      <c r="B1478" s="3" t="s">
        <v>218</v>
      </c>
      <c r="C1478" s="3" t="s">
        <v>247</v>
      </c>
      <c r="D1478" s="3" t="s">
        <v>248</v>
      </c>
      <c r="E1478" s="4">
        <v>363293</v>
      </c>
      <c r="F1478" s="3" t="s">
        <v>14</v>
      </c>
      <c r="G1478" s="3" t="s">
        <v>15</v>
      </c>
      <c r="H1478" s="3" t="s">
        <v>24</v>
      </c>
      <c r="I1478" s="4">
        <v>58005</v>
      </c>
      <c r="J1478" s="4">
        <v>305288</v>
      </c>
      <c r="K1478" s="3" t="s">
        <v>25</v>
      </c>
      <c r="L1478" s="3" t="s">
        <v>26</v>
      </c>
    </row>
    <row r="1479" spans="1:12" x14ac:dyDescent="0.5">
      <c r="A1479" s="5">
        <v>45975</v>
      </c>
      <c r="B1479" t="s">
        <v>203</v>
      </c>
      <c r="C1479" t="s">
        <v>394</v>
      </c>
      <c r="D1479" t="s">
        <v>668</v>
      </c>
      <c r="E1479" s="6">
        <v>18000</v>
      </c>
      <c r="F1479" t="s">
        <v>41</v>
      </c>
      <c r="G1479" t="s">
        <v>15</v>
      </c>
      <c r="H1479" t="s">
        <v>66</v>
      </c>
      <c r="I1479" s="6">
        <v>0</v>
      </c>
      <c r="J1479" s="6">
        <v>18000</v>
      </c>
      <c r="K1479" t="s">
        <v>67</v>
      </c>
      <c r="L1479" t="s">
        <v>68</v>
      </c>
    </row>
    <row r="1480" spans="1:12" x14ac:dyDescent="0.5">
      <c r="A1480" s="2">
        <v>45975</v>
      </c>
      <c r="B1480" s="3" t="s">
        <v>218</v>
      </c>
      <c r="C1480" s="3" t="s">
        <v>289</v>
      </c>
      <c r="D1480" s="3" t="s">
        <v>290</v>
      </c>
      <c r="E1480" s="4">
        <v>769030</v>
      </c>
      <c r="F1480" s="3" t="s">
        <v>14</v>
      </c>
      <c r="G1480" s="3" t="s">
        <v>15</v>
      </c>
      <c r="H1480" s="3" t="s">
        <v>16</v>
      </c>
      <c r="I1480" s="4">
        <v>122786</v>
      </c>
      <c r="J1480" s="4">
        <v>646244</v>
      </c>
      <c r="K1480" s="3" t="s">
        <v>17</v>
      </c>
      <c r="L1480" s="3" t="s">
        <v>18</v>
      </c>
    </row>
    <row r="1481" spans="1:12" x14ac:dyDescent="0.5">
      <c r="A1481" s="5">
        <v>45978</v>
      </c>
      <c r="B1481" t="s">
        <v>218</v>
      </c>
      <c r="C1481" t="s">
        <v>261</v>
      </c>
      <c r="D1481" t="s">
        <v>262</v>
      </c>
      <c r="E1481" s="6">
        <v>107996</v>
      </c>
      <c r="F1481" t="s">
        <v>14</v>
      </c>
      <c r="G1481" t="s">
        <v>15</v>
      </c>
      <c r="H1481" t="s">
        <v>24</v>
      </c>
      <c r="I1481" s="6">
        <v>17243</v>
      </c>
      <c r="J1481" s="6">
        <v>90753</v>
      </c>
      <c r="K1481" t="s">
        <v>25</v>
      </c>
      <c r="L1481" t="s">
        <v>26</v>
      </c>
    </row>
    <row r="1482" spans="1:12" x14ac:dyDescent="0.5">
      <c r="A1482" s="2">
        <v>45978</v>
      </c>
      <c r="B1482" s="3" t="s">
        <v>218</v>
      </c>
      <c r="C1482" s="3" t="s">
        <v>261</v>
      </c>
      <c r="D1482" s="3" t="s">
        <v>262</v>
      </c>
      <c r="E1482" s="4">
        <v>108000</v>
      </c>
      <c r="F1482" s="3" t="s">
        <v>14</v>
      </c>
      <c r="G1482" s="3" t="s">
        <v>15</v>
      </c>
      <c r="H1482" s="3" t="s">
        <v>24</v>
      </c>
      <c r="I1482" s="4">
        <v>17244</v>
      </c>
      <c r="J1482" s="4">
        <v>90756</v>
      </c>
      <c r="K1482" s="3" t="s">
        <v>25</v>
      </c>
      <c r="L1482" s="3" t="s">
        <v>26</v>
      </c>
    </row>
    <row r="1483" spans="1:12" x14ac:dyDescent="0.5">
      <c r="A1483" s="5">
        <v>45978</v>
      </c>
      <c r="B1483" t="s">
        <v>218</v>
      </c>
      <c r="C1483" t="s">
        <v>261</v>
      </c>
      <c r="D1483" t="s">
        <v>262</v>
      </c>
      <c r="E1483" s="6">
        <v>108000</v>
      </c>
      <c r="F1483" t="s">
        <v>14</v>
      </c>
      <c r="G1483" t="s">
        <v>15</v>
      </c>
      <c r="H1483" t="s">
        <v>24</v>
      </c>
      <c r="I1483" s="6">
        <v>17244</v>
      </c>
      <c r="J1483" s="6">
        <v>90756</v>
      </c>
      <c r="K1483" t="s">
        <v>25</v>
      </c>
      <c r="L1483" t="s">
        <v>26</v>
      </c>
    </row>
    <row r="1484" spans="1:12" x14ac:dyDescent="0.5">
      <c r="A1484" s="2">
        <v>45978</v>
      </c>
      <c r="B1484" s="3" t="s">
        <v>203</v>
      </c>
      <c r="C1484" s="3" t="s">
        <v>249</v>
      </c>
      <c r="D1484" s="3" t="s">
        <v>250</v>
      </c>
      <c r="E1484" s="4">
        <v>20000</v>
      </c>
      <c r="F1484" s="3" t="s">
        <v>41</v>
      </c>
      <c r="G1484" s="3" t="s">
        <v>15</v>
      </c>
      <c r="H1484" s="3" t="s">
        <v>66</v>
      </c>
      <c r="I1484" s="4">
        <v>0</v>
      </c>
      <c r="J1484" s="4">
        <v>20000</v>
      </c>
      <c r="K1484" s="3" t="s">
        <v>67</v>
      </c>
      <c r="L1484" s="3" t="s">
        <v>68</v>
      </c>
    </row>
    <row r="1485" spans="1:12" x14ac:dyDescent="0.5">
      <c r="A1485" s="5">
        <v>45978</v>
      </c>
      <c r="B1485" t="s">
        <v>203</v>
      </c>
      <c r="C1485" t="s">
        <v>259</v>
      </c>
      <c r="D1485" t="s">
        <v>260</v>
      </c>
      <c r="E1485" s="6">
        <v>40000</v>
      </c>
      <c r="F1485" t="s">
        <v>41</v>
      </c>
      <c r="G1485" t="s">
        <v>15</v>
      </c>
      <c r="H1485" t="s">
        <v>66</v>
      </c>
      <c r="I1485" s="6">
        <v>0</v>
      </c>
      <c r="J1485" s="6">
        <v>40000</v>
      </c>
      <c r="K1485" t="s">
        <v>67</v>
      </c>
      <c r="L1485" t="s">
        <v>68</v>
      </c>
    </row>
    <row r="1486" spans="1:12" x14ac:dyDescent="0.5">
      <c r="A1486" s="2">
        <v>45979</v>
      </c>
      <c r="B1486" s="3" t="s">
        <v>218</v>
      </c>
      <c r="C1486" s="3" t="s">
        <v>271</v>
      </c>
      <c r="D1486" s="3" t="s">
        <v>272</v>
      </c>
      <c r="E1486" s="4">
        <v>304093</v>
      </c>
      <c r="F1486" s="3" t="s">
        <v>14</v>
      </c>
      <c r="G1486" s="3" t="s">
        <v>15</v>
      </c>
      <c r="H1486" s="3" t="s">
        <v>24</v>
      </c>
      <c r="I1486" s="4">
        <v>48553</v>
      </c>
      <c r="J1486" s="4">
        <v>255540</v>
      </c>
      <c r="K1486" s="3" t="s">
        <v>25</v>
      </c>
      <c r="L1486" s="3" t="s">
        <v>26</v>
      </c>
    </row>
    <row r="1487" spans="1:12" x14ac:dyDescent="0.5">
      <c r="A1487" s="5">
        <v>45979</v>
      </c>
      <c r="B1487" t="s">
        <v>203</v>
      </c>
      <c r="C1487" t="s">
        <v>455</v>
      </c>
      <c r="D1487" t="s">
        <v>675</v>
      </c>
      <c r="E1487" s="6">
        <v>50000</v>
      </c>
      <c r="F1487" t="s">
        <v>41</v>
      </c>
      <c r="G1487" t="s">
        <v>15</v>
      </c>
      <c r="H1487" t="s">
        <v>66</v>
      </c>
      <c r="I1487" s="6">
        <v>0</v>
      </c>
      <c r="J1487" s="6">
        <v>50000</v>
      </c>
      <c r="K1487" t="s">
        <v>67</v>
      </c>
      <c r="L1487" t="s">
        <v>68</v>
      </c>
    </row>
    <row r="1488" spans="1:12" x14ac:dyDescent="0.5">
      <c r="A1488" s="2">
        <v>45979</v>
      </c>
      <c r="B1488" s="3" t="s">
        <v>203</v>
      </c>
      <c r="C1488" s="3" t="s">
        <v>251</v>
      </c>
      <c r="D1488" s="3" t="s">
        <v>252</v>
      </c>
      <c r="E1488" s="4">
        <v>300000</v>
      </c>
      <c r="F1488" s="3" t="s">
        <v>41</v>
      </c>
      <c r="G1488" s="3" t="s">
        <v>15</v>
      </c>
      <c r="H1488" s="3" t="s">
        <v>66</v>
      </c>
      <c r="I1488" s="4">
        <v>0</v>
      </c>
      <c r="J1488" s="4">
        <v>300000</v>
      </c>
      <c r="K1488" s="3" t="s">
        <v>67</v>
      </c>
      <c r="L1488" s="3" t="s">
        <v>68</v>
      </c>
    </row>
    <row r="1489" spans="1:12" x14ac:dyDescent="0.5">
      <c r="A1489" s="5">
        <v>45980</v>
      </c>
      <c r="B1489" t="s">
        <v>218</v>
      </c>
      <c r="C1489" t="s">
        <v>502</v>
      </c>
      <c r="E1489" s="6">
        <v>63177</v>
      </c>
      <c r="F1489" t="s">
        <v>41</v>
      </c>
      <c r="G1489" t="s">
        <v>15</v>
      </c>
      <c r="I1489" s="6">
        <v>0</v>
      </c>
      <c r="J1489" s="6">
        <v>63177</v>
      </c>
      <c r="K1489" t="s">
        <v>47</v>
      </c>
      <c r="L1489" t="s">
        <v>48</v>
      </c>
    </row>
    <row r="1490" spans="1:12" x14ac:dyDescent="0.5">
      <c r="A1490" s="2">
        <v>45981</v>
      </c>
      <c r="B1490" s="3" t="s">
        <v>218</v>
      </c>
      <c r="C1490" s="3" t="s">
        <v>359</v>
      </c>
      <c r="D1490" s="3" t="s">
        <v>360</v>
      </c>
      <c r="E1490" s="4">
        <v>43435</v>
      </c>
      <c r="F1490" s="3" t="s">
        <v>14</v>
      </c>
      <c r="G1490" s="3" t="s">
        <v>15</v>
      </c>
      <c r="H1490" s="3" t="s">
        <v>24</v>
      </c>
      <c r="I1490" s="4">
        <v>6935</v>
      </c>
      <c r="J1490" s="4">
        <v>36500</v>
      </c>
      <c r="K1490" s="3" t="s">
        <v>25</v>
      </c>
      <c r="L1490" s="3" t="s">
        <v>26</v>
      </c>
    </row>
    <row r="1491" spans="1:12" x14ac:dyDescent="0.5">
      <c r="A1491" s="5">
        <v>45981</v>
      </c>
      <c r="B1491" t="s">
        <v>218</v>
      </c>
      <c r="C1491" t="s">
        <v>285</v>
      </c>
      <c r="D1491" t="s">
        <v>286</v>
      </c>
      <c r="E1491" s="6">
        <v>159389</v>
      </c>
      <c r="F1491" t="s">
        <v>14</v>
      </c>
      <c r="G1491" t="s">
        <v>15</v>
      </c>
      <c r="H1491" t="s">
        <v>24</v>
      </c>
      <c r="I1491" s="6">
        <v>25449</v>
      </c>
      <c r="J1491" s="6">
        <v>133940</v>
      </c>
      <c r="K1491" t="s">
        <v>25</v>
      </c>
      <c r="L1491" t="s">
        <v>26</v>
      </c>
    </row>
    <row r="1492" spans="1:12" x14ac:dyDescent="0.5">
      <c r="A1492" s="2">
        <v>45981</v>
      </c>
      <c r="B1492" s="3" t="s">
        <v>218</v>
      </c>
      <c r="C1492" s="3" t="s">
        <v>503</v>
      </c>
      <c r="D1492" s="3" t="s">
        <v>652</v>
      </c>
      <c r="E1492" s="4">
        <v>178429</v>
      </c>
      <c r="F1492" s="3" t="s">
        <v>14</v>
      </c>
      <c r="G1492" s="3" t="s">
        <v>15</v>
      </c>
      <c r="H1492" s="3" t="s">
        <v>293</v>
      </c>
      <c r="I1492" s="4">
        <v>28489</v>
      </c>
      <c r="J1492" s="4">
        <v>149940</v>
      </c>
      <c r="K1492" s="3" t="s">
        <v>294</v>
      </c>
      <c r="L1492" s="3" t="s">
        <v>26</v>
      </c>
    </row>
    <row r="1493" spans="1:12" x14ac:dyDescent="0.5">
      <c r="A1493" s="5">
        <v>45982</v>
      </c>
      <c r="B1493" t="s">
        <v>218</v>
      </c>
      <c r="C1493" t="s">
        <v>247</v>
      </c>
      <c r="D1493" t="s">
        <v>248</v>
      </c>
      <c r="E1493" s="6">
        <v>161412</v>
      </c>
      <c r="F1493" t="s">
        <v>14</v>
      </c>
      <c r="G1493" t="s">
        <v>15</v>
      </c>
      <c r="H1493" t="s">
        <v>24</v>
      </c>
      <c r="I1493" s="6">
        <v>25772</v>
      </c>
      <c r="J1493" s="6">
        <v>135640</v>
      </c>
      <c r="K1493" t="s">
        <v>25</v>
      </c>
      <c r="L1493" t="s">
        <v>26</v>
      </c>
    </row>
    <row r="1494" spans="1:12" x14ac:dyDescent="0.5">
      <c r="A1494" s="2">
        <v>45986</v>
      </c>
      <c r="B1494" s="3" t="s">
        <v>218</v>
      </c>
      <c r="C1494" s="3" t="s">
        <v>313</v>
      </c>
      <c r="D1494" s="3" t="s">
        <v>314</v>
      </c>
      <c r="E1494" s="4">
        <v>47780</v>
      </c>
      <c r="F1494" s="3" t="s">
        <v>14</v>
      </c>
      <c r="G1494" s="3" t="s">
        <v>15</v>
      </c>
      <c r="H1494" s="3" t="s">
        <v>293</v>
      </c>
      <c r="I1494" s="4">
        <v>7629</v>
      </c>
      <c r="J1494" s="4">
        <v>40151</v>
      </c>
      <c r="K1494" s="3" t="s">
        <v>294</v>
      </c>
      <c r="L1494" s="3" t="s">
        <v>26</v>
      </c>
    </row>
    <row r="1495" spans="1:12" x14ac:dyDescent="0.5">
      <c r="A1495" s="5">
        <v>45986</v>
      </c>
      <c r="B1495" t="s">
        <v>218</v>
      </c>
      <c r="C1495" t="s">
        <v>279</v>
      </c>
      <c r="D1495" t="s">
        <v>280</v>
      </c>
      <c r="E1495" s="6">
        <v>103350</v>
      </c>
      <c r="F1495" t="s">
        <v>14</v>
      </c>
      <c r="G1495" t="s">
        <v>15</v>
      </c>
      <c r="H1495" t="s">
        <v>24</v>
      </c>
      <c r="I1495" s="6">
        <v>16501</v>
      </c>
      <c r="J1495" s="6">
        <v>86849</v>
      </c>
      <c r="K1495" t="s">
        <v>25</v>
      </c>
      <c r="L1495" t="s">
        <v>26</v>
      </c>
    </row>
    <row r="1496" spans="1:12" x14ac:dyDescent="0.5">
      <c r="A1496" s="2">
        <v>45986</v>
      </c>
      <c r="B1496" s="3" t="s">
        <v>218</v>
      </c>
      <c r="C1496" s="3" t="s">
        <v>261</v>
      </c>
      <c r="D1496" s="3" t="s">
        <v>262</v>
      </c>
      <c r="E1496" s="4">
        <v>108000</v>
      </c>
      <c r="F1496" s="3" t="s">
        <v>14</v>
      </c>
      <c r="G1496" s="3" t="s">
        <v>15</v>
      </c>
      <c r="H1496" s="3" t="s">
        <v>24</v>
      </c>
      <c r="I1496" s="4">
        <v>17244</v>
      </c>
      <c r="J1496" s="4">
        <v>90756</v>
      </c>
      <c r="K1496" s="3" t="s">
        <v>25</v>
      </c>
      <c r="L1496" s="3" t="s">
        <v>26</v>
      </c>
    </row>
    <row r="1497" spans="1:12" x14ac:dyDescent="0.5">
      <c r="A1497" s="5">
        <v>45986</v>
      </c>
      <c r="B1497" t="s">
        <v>218</v>
      </c>
      <c r="C1497" t="s">
        <v>261</v>
      </c>
      <c r="D1497" t="s">
        <v>262</v>
      </c>
      <c r="E1497" s="6">
        <v>140401</v>
      </c>
      <c r="F1497" t="s">
        <v>14</v>
      </c>
      <c r="G1497" t="s">
        <v>15</v>
      </c>
      <c r="H1497" t="s">
        <v>24</v>
      </c>
      <c r="I1497" s="6">
        <v>22417</v>
      </c>
      <c r="J1497" s="6">
        <v>117984</v>
      </c>
      <c r="K1497" t="s">
        <v>25</v>
      </c>
      <c r="L1497" t="s">
        <v>26</v>
      </c>
    </row>
    <row r="1498" spans="1:12" x14ac:dyDescent="0.5">
      <c r="A1498" s="2">
        <v>45986</v>
      </c>
      <c r="B1498" s="3" t="s">
        <v>218</v>
      </c>
      <c r="C1498" s="3" t="s">
        <v>263</v>
      </c>
      <c r="D1498" s="3" t="s">
        <v>264</v>
      </c>
      <c r="E1498" s="4">
        <v>228637</v>
      </c>
      <c r="F1498" s="3" t="s">
        <v>14</v>
      </c>
      <c r="G1498" s="3" t="s">
        <v>15</v>
      </c>
      <c r="H1498" s="3" t="s">
        <v>24</v>
      </c>
      <c r="I1498" s="4">
        <v>36505</v>
      </c>
      <c r="J1498" s="4">
        <v>192132</v>
      </c>
      <c r="K1498" s="3" t="s">
        <v>25</v>
      </c>
      <c r="L1498" s="3" t="s">
        <v>26</v>
      </c>
    </row>
    <row r="1499" spans="1:12" x14ac:dyDescent="0.5">
      <c r="A1499" s="5">
        <v>45986</v>
      </c>
      <c r="B1499" t="s">
        <v>218</v>
      </c>
      <c r="C1499" t="s">
        <v>247</v>
      </c>
      <c r="D1499" t="s">
        <v>248</v>
      </c>
      <c r="E1499" s="6">
        <v>246975</v>
      </c>
      <c r="F1499" t="s">
        <v>14</v>
      </c>
      <c r="G1499" t="s">
        <v>15</v>
      </c>
      <c r="H1499" t="s">
        <v>24</v>
      </c>
      <c r="I1499" s="6">
        <v>39433</v>
      </c>
      <c r="J1499" s="6">
        <v>207542</v>
      </c>
      <c r="K1499" t="s">
        <v>25</v>
      </c>
      <c r="L1499" t="s">
        <v>26</v>
      </c>
    </row>
    <row r="1500" spans="1:12" x14ac:dyDescent="0.5">
      <c r="A1500" s="2">
        <v>45986</v>
      </c>
      <c r="B1500" s="3" t="s">
        <v>218</v>
      </c>
      <c r="C1500" s="3" t="s">
        <v>504</v>
      </c>
      <c r="D1500" s="3"/>
      <c r="E1500" s="4">
        <v>10800</v>
      </c>
      <c r="F1500" s="3" t="s">
        <v>41</v>
      </c>
      <c r="G1500" s="3" t="s">
        <v>679</v>
      </c>
      <c r="H1500" s="3"/>
      <c r="I1500" s="4">
        <v>0</v>
      </c>
      <c r="J1500" s="4">
        <v>10800</v>
      </c>
      <c r="K1500" s="3" t="s">
        <v>47</v>
      </c>
      <c r="L1500" s="3" t="s">
        <v>48</v>
      </c>
    </row>
    <row r="1501" spans="1:12" x14ac:dyDescent="0.5">
      <c r="A1501" s="5">
        <v>45986</v>
      </c>
      <c r="B1501" t="s">
        <v>218</v>
      </c>
      <c r="C1501" t="s">
        <v>467</v>
      </c>
      <c r="D1501" t="s">
        <v>468</v>
      </c>
      <c r="E1501" s="6">
        <v>25490</v>
      </c>
      <c r="F1501" t="s">
        <v>41</v>
      </c>
      <c r="G1501" t="s">
        <v>15</v>
      </c>
      <c r="I1501" s="6">
        <v>0</v>
      </c>
      <c r="J1501" s="6">
        <v>25490</v>
      </c>
      <c r="K1501" t="s">
        <v>47</v>
      </c>
      <c r="L1501" t="s">
        <v>48</v>
      </c>
    </row>
    <row r="1502" spans="1:12" x14ac:dyDescent="0.5">
      <c r="A1502" s="2">
        <v>45989</v>
      </c>
      <c r="B1502" s="3" t="s">
        <v>218</v>
      </c>
      <c r="C1502" s="3" t="s">
        <v>506</v>
      </c>
      <c r="D1502" s="3" t="s">
        <v>653</v>
      </c>
      <c r="E1502" s="4">
        <v>28332</v>
      </c>
      <c r="F1502" s="3" t="s">
        <v>14</v>
      </c>
      <c r="G1502" s="3" t="s">
        <v>15</v>
      </c>
      <c r="H1502" s="3" t="s">
        <v>24</v>
      </c>
      <c r="I1502" s="4">
        <v>4524</v>
      </c>
      <c r="J1502" s="4">
        <v>23808</v>
      </c>
      <c r="K1502" s="3" t="s">
        <v>25</v>
      </c>
      <c r="L1502" s="3" t="s">
        <v>26</v>
      </c>
    </row>
    <row r="1503" spans="1:12" x14ac:dyDescent="0.5">
      <c r="A1503" s="5">
        <v>45989</v>
      </c>
      <c r="B1503" t="s">
        <v>218</v>
      </c>
      <c r="C1503" t="s">
        <v>361</v>
      </c>
      <c r="D1503" t="s">
        <v>362</v>
      </c>
      <c r="E1503" s="6">
        <v>34558</v>
      </c>
      <c r="F1503" t="s">
        <v>14</v>
      </c>
      <c r="G1503" t="s">
        <v>15</v>
      </c>
      <c r="H1503" t="s">
        <v>24</v>
      </c>
      <c r="I1503" s="6">
        <v>5518</v>
      </c>
      <c r="J1503" s="6">
        <v>29040</v>
      </c>
      <c r="K1503" t="s">
        <v>25</v>
      </c>
      <c r="L1503" t="s">
        <v>26</v>
      </c>
    </row>
    <row r="1504" spans="1:12" x14ac:dyDescent="0.5">
      <c r="A1504" s="2">
        <v>45989</v>
      </c>
      <c r="B1504" s="3" t="s">
        <v>218</v>
      </c>
      <c r="C1504" s="3" t="s">
        <v>335</v>
      </c>
      <c r="D1504" s="3" t="s">
        <v>336</v>
      </c>
      <c r="E1504" s="4">
        <v>140570</v>
      </c>
      <c r="F1504" s="3" t="s">
        <v>14</v>
      </c>
      <c r="G1504" s="3" t="s">
        <v>15</v>
      </c>
      <c r="H1504" s="3" t="s">
        <v>24</v>
      </c>
      <c r="I1504" s="4">
        <v>22444</v>
      </c>
      <c r="J1504" s="4">
        <v>118126</v>
      </c>
      <c r="K1504" s="3" t="s">
        <v>25</v>
      </c>
      <c r="L1504" s="3" t="s">
        <v>26</v>
      </c>
    </row>
    <row r="1505" spans="1:12" x14ac:dyDescent="0.5">
      <c r="A1505" s="5">
        <v>45989</v>
      </c>
      <c r="B1505" t="s">
        <v>218</v>
      </c>
      <c r="C1505" t="s">
        <v>247</v>
      </c>
      <c r="D1505" t="s">
        <v>248</v>
      </c>
      <c r="E1505" s="6">
        <v>188896</v>
      </c>
      <c r="F1505" t="s">
        <v>14</v>
      </c>
      <c r="G1505" t="s">
        <v>15</v>
      </c>
      <c r="H1505" t="s">
        <v>24</v>
      </c>
      <c r="I1505" s="6">
        <v>30160</v>
      </c>
      <c r="J1505" s="6">
        <v>158736</v>
      </c>
      <c r="K1505" t="s">
        <v>25</v>
      </c>
      <c r="L1505" t="s">
        <v>26</v>
      </c>
    </row>
    <row r="1506" spans="1:12" x14ac:dyDescent="0.5">
      <c r="A1506" s="2">
        <v>45992</v>
      </c>
      <c r="B1506" s="3" t="s">
        <v>232</v>
      </c>
      <c r="C1506" s="3" t="s">
        <v>279</v>
      </c>
      <c r="D1506" s="3" t="s">
        <v>280</v>
      </c>
      <c r="E1506" s="4">
        <v>157560</v>
      </c>
      <c r="F1506" s="3" t="s">
        <v>14</v>
      </c>
      <c r="G1506" s="3" t="s">
        <v>15</v>
      </c>
      <c r="H1506" s="3" t="s">
        <v>24</v>
      </c>
      <c r="I1506" s="4">
        <v>25157</v>
      </c>
      <c r="J1506" s="4">
        <v>132403</v>
      </c>
      <c r="K1506" s="3" t="s">
        <v>25</v>
      </c>
      <c r="L1506" s="3" t="s">
        <v>26</v>
      </c>
    </row>
    <row r="1507" spans="1:12" x14ac:dyDescent="0.5">
      <c r="A1507" s="5">
        <v>45993</v>
      </c>
      <c r="B1507" t="s">
        <v>232</v>
      </c>
      <c r="C1507" t="s">
        <v>261</v>
      </c>
      <c r="D1507" t="s">
        <v>262</v>
      </c>
      <c r="E1507" s="6">
        <v>105301</v>
      </c>
      <c r="F1507" t="s">
        <v>14</v>
      </c>
      <c r="G1507" t="s">
        <v>15</v>
      </c>
      <c r="H1507" t="s">
        <v>24</v>
      </c>
      <c r="I1507" s="6">
        <v>16813</v>
      </c>
      <c r="J1507" s="6">
        <v>88488</v>
      </c>
      <c r="K1507" t="s">
        <v>25</v>
      </c>
      <c r="L1507" t="s">
        <v>26</v>
      </c>
    </row>
    <row r="1508" spans="1:12" x14ac:dyDescent="0.5">
      <c r="A1508" s="2">
        <v>45993</v>
      </c>
      <c r="B1508" s="3" t="s">
        <v>232</v>
      </c>
      <c r="C1508" s="3" t="s">
        <v>261</v>
      </c>
      <c r="D1508" s="3" t="s">
        <v>262</v>
      </c>
      <c r="E1508" s="4">
        <v>105301</v>
      </c>
      <c r="F1508" s="3" t="s">
        <v>14</v>
      </c>
      <c r="G1508" s="3" t="s">
        <v>15</v>
      </c>
      <c r="H1508" s="3" t="s">
        <v>24</v>
      </c>
      <c r="I1508" s="4">
        <v>16813</v>
      </c>
      <c r="J1508" s="4">
        <v>88488</v>
      </c>
      <c r="K1508" s="3" t="s">
        <v>25</v>
      </c>
      <c r="L1508" s="3" t="s">
        <v>26</v>
      </c>
    </row>
    <row r="1509" spans="1:12" x14ac:dyDescent="0.5">
      <c r="A1509" s="5">
        <v>45993</v>
      </c>
      <c r="B1509" t="s">
        <v>232</v>
      </c>
      <c r="C1509" t="s">
        <v>261</v>
      </c>
      <c r="D1509" t="s">
        <v>262</v>
      </c>
      <c r="E1509" s="6">
        <v>140401</v>
      </c>
      <c r="F1509" t="s">
        <v>14</v>
      </c>
      <c r="G1509" t="s">
        <v>15</v>
      </c>
      <c r="H1509" t="s">
        <v>24</v>
      </c>
      <c r="I1509" s="6">
        <v>22417</v>
      </c>
      <c r="J1509" s="6">
        <v>117984</v>
      </c>
      <c r="K1509" t="s">
        <v>25</v>
      </c>
      <c r="L1509" t="s">
        <v>26</v>
      </c>
    </row>
    <row r="1510" spans="1:12" x14ac:dyDescent="0.5">
      <c r="A1510" s="2">
        <v>45993</v>
      </c>
      <c r="B1510" s="3" t="s">
        <v>232</v>
      </c>
      <c r="C1510" s="3" t="s">
        <v>285</v>
      </c>
      <c r="D1510" s="3" t="s">
        <v>286</v>
      </c>
      <c r="E1510" s="4">
        <v>199236</v>
      </c>
      <c r="F1510" s="3" t="s">
        <v>14</v>
      </c>
      <c r="G1510" s="3" t="s">
        <v>15</v>
      </c>
      <c r="H1510" s="3" t="s">
        <v>24</v>
      </c>
      <c r="I1510" s="4">
        <v>31811</v>
      </c>
      <c r="J1510" s="4">
        <v>167425</v>
      </c>
      <c r="K1510" s="3" t="s">
        <v>25</v>
      </c>
      <c r="L1510" s="3" t="s">
        <v>26</v>
      </c>
    </row>
    <row r="1511" spans="1:12" x14ac:dyDescent="0.5">
      <c r="A1511" s="5">
        <v>45993</v>
      </c>
      <c r="B1511" t="s">
        <v>232</v>
      </c>
      <c r="C1511" t="s">
        <v>247</v>
      </c>
      <c r="D1511" t="s">
        <v>248</v>
      </c>
      <c r="E1511" s="6">
        <v>201881</v>
      </c>
      <c r="F1511" t="s">
        <v>14</v>
      </c>
      <c r="G1511" t="s">
        <v>15</v>
      </c>
      <c r="H1511" t="s">
        <v>24</v>
      </c>
      <c r="I1511" s="6">
        <v>32233</v>
      </c>
      <c r="J1511" s="6">
        <v>169648</v>
      </c>
      <c r="K1511" t="s">
        <v>25</v>
      </c>
      <c r="L1511" t="s">
        <v>26</v>
      </c>
    </row>
    <row r="1512" spans="1:12" x14ac:dyDescent="0.5">
      <c r="A1512" s="2">
        <v>45993</v>
      </c>
      <c r="B1512" s="3" t="s">
        <v>218</v>
      </c>
      <c r="C1512" s="3" t="s">
        <v>329</v>
      </c>
      <c r="D1512" s="3" t="s">
        <v>330</v>
      </c>
      <c r="E1512" s="4">
        <v>1200</v>
      </c>
      <c r="F1512" s="3" t="s">
        <v>41</v>
      </c>
      <c r="G1512" s="3" t="s">
        <v>15</v>
      </c>
      <c r="H1512" s="3" t="s">
        <v>66</v>
      </c>
      <c r="I1512" s="4">
        <v>0</v>
      </c>
      <c r="J1512" s="4">
        <v>1200</v>
      </c>
      <c r="K1512" s="3" t="s">
        <v>67</v>
      </c>
      <c r="L1512" s="3" t="s">
        <v>68</v>
      </c>
    </row>
    <row r="1513" spans="1:12" x14ac:dyDescent="0.5">
      <c r="A1513" s="5">
        <v>45993</v>
      </c>
      <c r="B1513" t="s">
        <v>218</v>
      </c>
      <c r="C1513" t="s">
        <v>481</v>
      </c>
      <c r="D1513" t="s">
        <v>676</v>
      </c>
      <c r="E1513" s="6">
        <v>22042</v>
      </c>
      <c r="F1513" t="s">
        <v>41</v>
      </c>
      <c r="G1513" t="s">
        <v>15</v>
      </c>
      <c r="H1513" t="s">
        <v>66</v>
      </c>
      <c r="I1513" s="6">
        <v>0</v>
      </c>
      <c r="J1513" s="6">
        <v>22042</v>
      </c>
      <c r="K1513" t="s">
        <v>67</v>
      </c>
      <c r="L1513" t="s">
        <v>68</v>
      </c>
    </row>
    <row r="1514" spans="1:12" x14ac:dyDescent="0.5">
      <c r="A1514" s="2">
        <v>45993</v>
      </c>
      <c r="B1514" s="3" t="s">
        <v>218</v>
      </c>
      <c r="C1514" s="3" t="s">
        <v>251</v>
      </c>
      <c r="D1514" s="3" t="s">
        <v>252</v>
      </c>
      <c r="E1514" s="4">
        <v>24421</v>
      </c>
      <c r="F1514" s="3" t="s">
        <v>41</v>
      </c>
      <c r="G1514" s="3" t="s">
        <v>15</v>
      </c>
      <c r="H1514" s="3" t="s">
        <v>66</v>
      </c>
      <c r="I1514" s="4">
        <v>0</v>
      </c>
      <c r="J1514" s="4">
        <v>24421</v>
      </c>
      <c r="K1514" s="3" t="s">
        <v>67</v>
      </c>
      <c r="L1514" s="3" t="s">
        <v>68</v>
      </c>
    </row>
    <row r="1515" spans="1:12" x14ac:dyDescent="0.5">
      <c r="A1515" s="5">
        <v>45993</v>
      </c>
      <c r="B1515" t="s">
        <v>218</v>
      </c>
      <c r="C1515" t="s">
        <v>480</v>
      </c>
      <c r="D1515" t="s">
        <v>668</v>
      </c>
      <c r="E1515" s="6">
        <v>100000</v>
      </c>
      <c r="F1515" t="s">
        <v>41</v>
      </c>
      <c r="G1515" t="s">
        <v>15</v>
      </c>
      <c r="H1515" t="s">
        <v>66</v>
      </c>
      <c r="I1515" s="6">
        <v>0</v>
      </c>
      <c r="J1515" s="6">
        <v>100000</v>
      </c>
      <c r="K1515" t="s">
        <v>67</v>
      </c>
      <c r="L1515" t="s">
        <v>68</v>
      </c>
    </row>
    <row r="1516" spans="1:12" x14ac:dyDescent="0.5">
      <c r="A1516" s="2">
        <v>45993</v>
      </c>
      <c r="B1516" s="3" t="s">
        <v>218</v>
      </c>
      <c r="C1516" s="3" t="s">
        <v>329</v>
      </c>
      <c r="D1516" s="3" t="s">
        <v>330</v>
      </c>
      <c r="E1516" s="4">
        <v>150000</v>
      </c>
      <c r="F1516" s="3" t="s">
        <v>41</v>
      </c>
      <c r="G1516" s="3" t="s">
        <v>15</v>
      </c>
      <c r="H1516" s="3" t="s">
        <v>66</v>
      </c>
      <c r="I1516" s="4">
        <v>0</v>
      </c>
      <c r="J1516" s="4">
        <v>150000</v>
      </c>
      <c r="K1516" s="3" t="s">
        <v>67</v>
      </c>
      <c r="L1516" s="3" t="s">
        <v>68</v>
      </c>
    </row>
    <row r="1517" spans="1:12" x14ac:dyDescent="0.5">
      <c r="A1517" s="5">
        <v>45993</v>
      </c>
      <c r="B1517" t="s">
        <v>218</v>
      </c>
      <c r="C1517" t="s">
        <v>251</v>
      </c>
      <c r="D1517" t="s">
        <v>252</v>
      </c>
      <c r="E1517" s="6">
        <v>300312</v>
      </c>
      <c r="F1517" t="s">
        <v>41</v>
      </c>
      <c r="G1517" t="s">
        <v>15</v>
      </c>
      <c r="H1517" t="s">
        <v>66</v>
      </c>
      <c r="I1517" s="6">
        <v>0</v>
      </c>
      <c r="J1517" s="6">
        <v>300312</v>
      </c>
      <c r="K1517" t="s">
        <v>67</v>
      </c>
      <c r="L1517" t="s">
        <v>68</v>
      </c>
    </row>
    <row r="1518" spans="1:12" x14ac:dyDescent="0.5">
      <c r="A1518" s="2">
        <v>45993</v>
      </c>
      <c r="B1518" s="3" t="s">
        <v>218</v>
      </c>
      <c r="C1518" s="3" t="s">
        <v>455</v>
      </c>
      <c r="D1518" s="3" t="s">
        <v>675</v>
      </c>
      <c r="E1518" s="4">
        <v>402295</v>
      </c>
      <c r="F1518" s="3" t="s">
        <v>41</v>
      </c>
      <c r="G1518" s="3" t="s">
        <v>15</v>
      </c>
      <c r="H1518" s="3" t="s">
        <v>66</v>
      </c>
      <c r="I1518" s="4">
        <v>0</v>
      </c>
      <c r="J1518" s="4">
        <v>402295</v>
      </c>
      <c r="K1518" s="3" t="s">
        <v>67</v>
      </c>
      <c r="L1518" s="3" t="s">
        <v>68</v>
      </c>
    </row>
    <row r="1519" spans="1:12" x14ac:dyDescent="0.5">
      <c r="A1519" s="5">
        <v>45993</v>
      </c>
      <c r="B1519" t="s">
        <v>218</v>
      </c>
      <c r="C1519" t="s">
        <v>481</v>
      </c>
      <c r="D1519" t="s">
        <v>676</v>
      </c>
      <c r="E1519" s="6">
        <v>450366</v>
      </c>
      <c r="F1519" t="s">
        <v>41</v>
      </c>
      <c r="G1519" t="s">
        <v>15</v>
      </c>
      <c r="H1519" t="s">
        <v>66</v>
      </c>
      <c r="I1519" s="6">
        <v>0</v>
      </c>
      <c r="J1519" s="6">
        <v>450366</v>
      </c>
      <c r="K1519" t="s">
        <v>67</v>
      </c>
      <c r="L1519" t="s">
        <v>68</v>
      </c>
    </row>
    <row r="1520" spans="1:12" x14ac:dyDescent="0.5">
      <c r="A1520" s="2">
        <v>45993</v>
      </c>
      <c r="B1520" s="3" t="s">
        <v>218</v>
      </c>
      <c r="C1520" s="3" t="s">
        <v>495</v>
      </c>
      <c r="D1520" s="3" t="s">
        <v>668</v>
      </c>
      <c r="E1520" s="4">
        <v>575167</v>
      </c>
      <c r="F1520" s="3" t="s">
        <v>41</v>
      </c>
      <c r="G1520" s="3" t="s">
        <v>15</v>
      </c>
      <c r="H1520" s="3" t="s">
        <v>66</v>
      </c>
      <c r="I1520" s="4">
        <v>0</v>
      </c>
      <c r="J1520" s="4">
        <v>575167</v>
      </c>
      <c r="K1520" s="3" t="s">
        <v>67</v>
      </c>
      <c r="L1520" s="3" t="s">
        <v>68</v>
      </c>
    </row>
    <row r="1521" spans="1:12" x14ac:dyDescent="0.5">
      <c r="A1521" s="5">
        <v>45993</v>
      </c>
      <c r="B1521" t="s">
        <v>232</v>
      </c>
      <c r="C1521" t="s">
        <v>253</v>
      </c>
      <c r="D1521" t="s">
        <v>254</v>
      </c>
      <c r="E1521" s="6">
        <v>700000</v>
      </c>
      <c r="F1521" t="s">
        <v>41</v>
      </c>
      <c r="G1521" t="s">
        <v>15</v>
      </c>
      <c r="H1521" t="s">
        <v>255</v>
      </c>
      <c r="I1521" s="6">
        <v>0</v>
      </c>
      <c r="J1521" s="6">
        <v>700000</v>
      </c>
      <c r="K1521" t="s">
        <v>256</v>
      </c>
      <c r="L1521" t="s">
        <v>68</v>
      </c>
    </row>
    <row r="1522" spans="1:12" x14ac:dyDescent="0.5">
      <c r="A1522" s="2">
        <v>45993</v>
      </c>
      <c r="B1522" s="3" t="s">
        <v>218</v>
      </c>
      <c r="C1522" s="3" t="s">
        <v>281</v>
      </c>
      <c r="D1522" s="3" t="s">
        <v>282</v>
      </c>
      <c r="E1522" s="4">
        <v>789188</v>
      </c>
      <c r="F1522" s="3" t="s">
        <v>41</v>
      </c>
      <c r="G1522" s="3" t="s">
        <v>15</v>
      </c>
      <c r="H1522" s="3" t="s">
        <v>66</v>
      </c>
      <c r="I1522" s="4">
        <v>0</v>
      </c>
      <c r="J1522" s="4">
        <v>789188</v>
      </c>
      <c r="K1522" s="3" t="s">
        <v>67</v>
      </c>
      <c r="L1522" s="3" t="s">
        <v>68</v>
      </c>
    </row>
    <row r="1523" spans="1:12" x14ac:dyDescent="0.5">
      <c r="A1523" s="5">
        <v>45993</v>
      </c>
      <c r="B1523" t="s">
        <v>218</v>
      </c>
      <c r="C1523" t="s">
        <v>329</v>
      </c>
      <c r="D1523" t="s">
        <v>330</v>
      </c>
      <c r="E1523" s="6">
        <v>824200</v>
      </c>
      <c r="F1523" t="s">
        <v>41</v>
      </c>
      <c r="G1523" t="s">
        <v>15</v>
      </c>
      <c r="H1523" t="s">
        <v>66</v>
      </c>
      <c r="I1523" s="6">
        <v>0</v>
      </c>
      <c r="J1523" s="6">
        <v>824200</v>
      </c>
      <c r="K1523" t="s">
        <v>67</v>
      </c>
      <c r="L1523" t="s">
        <v>68</v>
      </c>
    </row>
    <row r="1524" spans="1:12" x14ac:dyDescent="0.5">
      <c r="A1524" s="2">
        <v>45993</v>
      </c>
      <c r="B1524" s="3" t="s">
        <v>218</v>
      </c>
      <c r="C1524" s="3" t="s">
        <v>249</v>
      </c>
      <c r="D1524" s="3" t="s">
        <v>250</v>
      </c>
      <c r="E1524" s="4">
        <v>1109163</v>
      </c>
      <c r="F1524" s="3" t="s">
        <v>41</v>
      </c>
      <c r="G1524" s="3" t="s">
        <v>15</v>
      </c>
      <c r="H1524" s="3" t="s">
        <v>66</v>
      </c>
      <c r="I1524" s="4">
        <v>0</v>
      </c>
      <c r="J1524" s="4">
        <v>1109163</v>
      </c>
      <c r="K1524" s="3" t="s">
        <v>67</v>
      </c>
      <c r="L1524" s="3" t="s">
        <v>68</v>
      </c>
    </row>
    <row r="1525" spans="1:12" x14ac:dyDescent="0.5">
      <c r="A1525" s="5">
        <v>45993</v>
      </c>
      <c r="B1525" t="s">
        <v>232</v>
      </c>
      <c r="C1525" t="s">
        <v>508</v>
      </c>
      <c r="D1525" t="s">
        <v>509</v>
      </c>
      <c r="E1525" s="6">
        <v>75000</v>
      </c>
      <c r="F1525" t="s">
        <v>41</v>
      </c>
      <c r="G1525" t="s">
        <v>15</v>
      </c>
      <c r="I1525" s="6">
        <v>0</v>
      </c>
      <c r="J1525" s="6">
        <v>75000</v>
      </c>
      <c r="K1525" t="s">
        <v>47</v>
      </c>
      <c r="L1525" t="s">
        <v>48</v>
      </c>
    </row>
    <row r="1526" spans="1:12" x14ac:dyDescent="0.5">
      <c r="A1526" s="2">
        <v>45993</v>
      </c>
      <c r="B1526" s="3" t="s">
        <v>218</v>
      </c>
      <c r="C1526" s="3" t="s">
        <v>305</v>
      </c>
      <c r="D1526" s="3" t="s">
        <v>306</v>
      </c>
      <c r="E1526" s="4">
        <v>545002</v>
      </c>
      <c r="F1526" s="3" t="s">
        <v>41</v>
      </c>
      <c r="G1526" s="3" t="s">
        <v>15</v>
      </c>
      <c r="H1526" s="3" t="s">
        <v>307</v>
      </c>
      <c r="I1526" s="4">
        <v>0</v>
      </c>
      <c r="J1526" s="4">
        <v>545002</v>
      </c>
      <c r="K1526" s="3" t="s">
        <v>308</v>
      </c>
      <c r="L1526" s="3" t="s">
        <v>144</v>
      </c>
    </row>
    <row r="1527" spans="1:12" x14ac:dyDescent="0.5">
      <c r="A1527" s="5">
        <v>45993</v>
      </c>
      <c r="B1527" t="s">
        <v>232</v>
      </c>
      <c r="C1527" t="s">
        <v>273</v>
      </c>
      <c r="D1527" t="s">
        <v>274</v>
      </c>
      <c r="E1527" s="6">
        <v>535479</v>
      </c>
      <c r="F1527" t="s">
        <v>14</v>
      </c>
      <c r="G1527" t="s">
        <v>15</v>
      </c>
      <c r="H1527" t="s">
        <v>20</v>
      </c>
      <c r="I1527" s="6">
        <v>85497</v>
      </c>
      <c r="J1527" s="6">
        <v>449982</v>
      </c>
      <c r="K1527" t="s">
        <v>21</v>
      </c>
      <c r="L1527" t="s">
        <v>22</v>
      </c>
    </row>
    <row r="1528" spans="1:12" x14ac:dyDescent="0.5">
      <c r="A1528" s="2">
        <v>45994</v>
      </c>
      <c r="B1528" s="3" t="s">
        <v>218</v>
      </c>
      <c r="C1528" s="3" t="s">
        <v>249</v>
      </c>
      <c r="D1528" s="3" t="s">
        <v>250</v>
      </c>
      <c r="E1528" s="4">
        <v>36765</v>
      </c>
      <c r="F1528" s="3" t="s">
        <v>41</v>
      </c>
      <c r="G1528" s="3" t="s">
        <v>15</v>
      </c>
      <c r="H1528" s="3" t="s">
        <v>66</v>
      </c>
      <c r="I1528" s="4">
        <v>0</v>
      </c>
      <c r="J1528" s="4">
        <v>36765</v>
      </c>
      <c r="K1528" s="3" t="s">
        <v>67</v>
      </c>
      <c r="L1528" s="3" t="s">
        <v>68</v>
      </c>
    </row>
    <row r="1529" spans="1:12" x14ac:dyDescent="0.5">
      <c r="A1529" s="5">
        <v>45994</v>
      </c>
      <c r="B1529" t="s">
        <v>232</v>
      </c>
      <c r="C1529" t="s">
        <v>323</v>
      </c>
      <c r="D1529" t="s">
        <v>324</v>
      </c>
      <c r="E1529" s="6">
        <v>110000</v>
      </c>
      <c r="F1529" t="s">
        <v>14</v>
      </c>
      <c r="G1529" t="s">
        <v>15</v>
      </c>
      <c r="H1529" t="s">
        <v>267</v>
      </c>
      <c r="I1529" s="6">
        <v>17563</v>
      </c>
      <c r="J1529" s="6">
        <v>92437</v>
      </c>
      <c r="K1529" t="s">
        <v>268</v>
      </c>
      <c r="L1529" t="s">
        <v>68</v>
      </c>
    </row>
    <row r="1530" spans="1:12" x14ac:dyDescent="0.5">
      <c r="A1530" s="2">
        <v>45995</v>
      </c>
      <c r="B1530" s="3" t="s">
        <v>232</v>
      </c>
      <c r="C1530" s="3" t="s">
        <v>311</v>
      </c>
      <c r="D1530" s="3" t="s">
        <v>312</v>
      </c>
      <c r="E1530" s="4">
        <v>66072</v>
      </c>
      <c r="F1530" s="3" t="s">
        <v>14</v>
      </c>
      <c r="G1530" s="3" t="s">
        <v>15</v>
      </c>
      <c r="H1530" s="3" t="s">
        <v>24</v>
      </c>
      <c r="I1530" s="4">
        <v>10549</v>
      </c>
      <c r="J1530" s="4">
        <v>55523</v>
      </c>
      <c r="K1530" s="3" t="s">
        <v>25</v>
      </c>
      <c r="L1530" s="3" t="s">
        <v>26</v>
      </c>
    </row>
    <row r="1531" spans="1:12" x14ac:dyDescent="0.5">
      <c r="A1531" s="5">
        <v>45995</v>
      </c>
      <c r="B1531" t="s">
        <v>232</v>
      </c>
      <c r="C1531" t="s">
        <v>247</v>
      </c>
      <c r="D1531" t="s">
        <v>248</v>
      </c>
      <c r="E1531" s="6">
        <v>161412</v>
      </c>
      <c r="F1531" t="s">
        <v>14</v>
      </c>
      <c r="G1531" t="s">
        <v>15</v>
      </c>
      <c r="H1531" t="s">
        <v>24</v>
      </c>
      <c r="I1531" s="6">
        <v>25772</v>
      </c>
      <c r="J1531" s="6">
        <v>135640</v>
      </c>
      <c r="K1531" t="s">
        <v>25</v>
      </c>
      <c r="L1531" t="s">
        <v>26</v>
      </c>
    </row>
    <row r="1532" spans="1:12" x14ac:dyDescent="0.5">
      <c r="A1532" s="2">
        <v>45996</v>
      </c>
      <c r="B1532" s="3" t="s">
        <v>232</v>
      </c>
      <c r="C1532" s="3" t="s">
        <v>261</v>
      </c>
      <c r="D1532" s="3" t="s">
        <v>262</v>
      </c>
      <c r="E1532" s="4">
        <v>105301</v>
      </c>
      <c r="F1532" s="3" t="s">
        <v>14</v>
      </c>
      <c r="G1532" s="3" t="s">
        <v>15</v>
      </c>
      <c r="H1532" s="3" t="s">
        <v>24</v>
      </c>
      <c r="I1532" s="4">
        <v>16813</v>
      </c>
      <c r="J1532" s="4">
        <v>88488</v>
      </c>
      <c r="K1532" s="3" t="s">
        <v>25</v>
      </c>
      <c r="L1532" s="3" t="s">
        <v>26</v>
      </c>
    </row>
    <row r="1533" spans="1:12" x14ac:dyDescent="0.5">
      <c r="A1533" s="5">
        <v>45996</v>
      </c>
      <c r="B1533" t="s">
        <v>232</v>
      </c>
      <c r="C1533" t="s">
        <v>261</v>
      </c>
      <c r="D1533" t="s">
        <v>262</v>
      </c>
      <c r="E1533" s="6">
        <v>140401</v>
      </c>
      <c r="F1533" t="s">
        <v>14</v>
      </c>
      <c r="G1533" t="s">
        <v>15</v>
      </c>
      <c r="H1533" t="s">
        <v>24</v>
      </c>
      <c r="I1533" s="6">
        <v>22417</v>
      </c>
      <c r="J1533" s="6">
        <v>117984</v>
      </c>
      <c r="K1533" t="s">
        <v>25</v>
      </c>
      <c r="L1533" t="s">
        <v>26</v>
      </c>
    </row>
    <row r="1534" spans="1:12" x14ac:dyDescent="0.5">
      <c r="A1534" s="2">
        <v>45996</v>
      </c>
      <c r="B1534" s="3" t="s">
        <v>232</v>
      </c>
      <c r="C1534" s="3" t="s">
        <v>357</v>
      </c>
      <c r="D1534" s="3" t="s">
        <v>358</v>
      </c>
      <c r="E1534" s="4">
        <v>1883070</v>
      </c>
      <c r="F1534" s="3" t="s">
        <v>41</v>
      </c>
      <c r="G1534" s="3" t="s">
        <v>15</v>
      </c>
      <c r="H1534" s="3" t="s">
        <v>119</v>
      </c>
      <c r="I1534" s="4">
        <v>0</v>
      </c>
      <c r="J1534" s="4">
        <v>1883070</v>
      </c>
      <c r="K1534" s="3" t="s">
        <v>120</v>
      </c>
      <c r="L1534" s="3" t="s">
        <v>48</v>
      </c>
    </row>
    <row r="1535" spans="1:12" x14ac:dyDescent="0.5">
      <c r="A1535" s="5">
        <v>45996</v>
      </c>
      <c r="B1535" t="s">
        <v>232</v>
      </c>
      <c r="C1535" t="s">
        <v>357</v>
      </c>
      <c r="D1535" t="s">
        <v>358</v>
      </c>
      <c r="E1535" s="6">
        <v>3369705</v>
      </c>
      <c r="F1535" t="s">
        <v>41</v>
      </c>
      <c r="G1535" t="s">
        <v>15</v>
      </c>
      <c r="H1535" t="s">
        <v>119</v>
      </c>
      <c r="I1535" s="6">
        <v>0</v>
      </c>
      <c r="J1535" s="6">
        <v>3369705</v>
      </c>
      <c r="K1535" t="s">
        <v>120</v>
      </c>
      <c r="L1535" t="s">
        <v>48</v>
      </c>
    </row>
    <row r="1536" spans="1:12" x14ac:dyDescent="0.5">
      <c r="A1536" s="2">
        <v>46000</v>
      </c>
      <c r="B1536" s="3" t="s">
        <v>232</v>
      </c>
      <c r="C1536" s="3" t="s">
        <v>261</v>
      </c>
      <c r="D1536" s="3" t="s">
        <v>262</v>
      </c>
      <c r="E1536" s="4">
        <v>105301</v>
      </c>
      <c r="F1536" s="3" t="s">
        <v>14</v>
      </c>
      <c r="G1536" s="3" t="s">
        <v>15</v>
      </c>
      <c r="H1536" s="3" t="s">
        <v>24</v>
      </c>
      <c r="I1536" s="4">
        <v>16813</v>
      </c>
      <c r="J1536" s="4">
        <v>88488</v>
      </c>
      <c r="K1536" s="3" t="s">
        <v>25</v>
      </c>
      <c r="L1536" s="3" t="s">
        <v>26</v>
      </c>
    </row>
    <row r="1537" spans="1:12" x14ac:dyDescent="0.5">
      <c r="A1537" s="5">
        <v>46000</v>
      </c>
      <c r="B1537" t="s">
        <v>232</v>
      </c>
      <c r="C1537" t="s">
        <v>363</v>
      </c>
      <c r="D1537" t="s">
        <v>364</v>
      </c>
      <c r="E1537" s="6">
        <v>111384</v>
      </c>
      <c r="F1537" t="s">
        <v>14</v>
      </c>
      <c r="G1537" t="s">
        <v>15</v>
      </c>
      <c r="H1537" t="s">
        <v>293</v>
      </c>
      <c r="I1537" s="6">
        <v>17784</v>
      </c>
      <c r="J1537" s="6">
        <v>93600</v>
      </c>
      <c r="K1537" t="s">
        <v>294</v>
      </c>
      <c r="L1537" t="s">
        <v>26</v>
      </c>
    </row>
    <row r="1538" spans="1:12" x14ac:dyDescent="0.5">
      <c r="A1538" s="2">
        <v>46000</v>
      </c>
      <c r="B1538" s="3" t="s">
        <v>232</v>
      </c>
      <c r="C1538" s="3" t="s">
        <v>261</v>
      </c>
      <c r="D1538" s="3" t="s">
        <v>262</v>
      </c>
      <c r="E1538" s="4">
        <v>210601</v>
      </c>
      <c r="F1538" s="3" t="s">
        <v>14</v>
      </c>
      <c r="G1538" s="3" t="s">
        <v>15</v>
      </c>
      <c r="H1538" s="3" t="s">
        <v>24</v>
      </c>
      <c r="I1538" s="4">
        <v>33625</v>
      </c>
      <c r="J1538" s="4">
        <v>176976</v>
      </c>
      <c r="K1538" s="3" t="s">
        <v>25</v>
      </c>
      <c r="L1538" s="3" t="s">
        <v>26</v>
      </c>
    </row>
    <row r="1539" spans="1:12" x14ac:dyDescent="0.5">
      <c r="A1539" s="5">
        <v>46000</v>
      </c>
      <c r="B1539" t="s">
        <v>218</v>
      </c>
      <c r="C1539" t="s">
        <v>249</v>
      </c>
      <c r="D1539" t="s">
        <v>250</v>
      </c>
      <c r="E1539" s="6">
        <v>169775</v>
      </c>
      <c r="F1539" t="s">
        <v>41</v>
      </c>
      <c r="G1539" t="s">
        <v>15</v>
      </c>
      <c r="H1539" t="s">
        <v>66</v>
      </c>
      <c r="I1539" s="6">
        <v>0</v>
      </c>
      <c r="J1539" s="6">
        <v>169775</v>
      </c>
      <c r="K1539" t="s">
        <v>67</v>
      </c>
      <c r="L1539" t="s">
        <v>68</v>
      </c>
    </row>
    <row r="1540" spans="1:12" x14ac:dyDescent="0.5">
      <c r="A1540" s="2">
        <v>46001</v>
      </c>
      <c r="B1540" s="3" t="s">
        <v>232</v>
      </c>
      <c r="C1540" s="3" t="s">
        <v>359</v>
      </c>
      <c r="D1540" s="3" t="s">
        <v>360</v>
      </c>
      <c r="E1540" s="4">
        <v>86870</v>
      </c>
      <c r="F1540" s="3" t="s">
        <v>14</v>
      </c>
      <c r="G1540" s="3" t="s">
        <v>15</v>
      </c>
      <c r="H1540" s="3" t="s">
        <v>24</v>
      </c>
      <c r="I1540" s="4">
        <v>13870</v>
      </c>
      <c r="J1540" s="4">
        <v>73000</v>
      </c>
      <c r="K1540" s="3" t="s">
        <v>25</v>
      </c>
      <c r="L1540" s="3" t="s">
        <v>26</v>
      </c>
    </row>
    <row r="1541" spans="1:12" x14ac:dyDescent="0.5">
      <c r="A1541" s="5">
        <v>46001</v>
      </c>
      <c r="B1541" t="s">
        <v>232</v>
      </c>
      <c r="C1541" t="s">
        <v>295</v>
      </c>
      <c r="D1541" t="s">
        <v>296</v>
      </c>
      <c r="E1541" s="6">
        <v>129325</v>
      </c>
      <c r="F1541" t="s">
        <v>14</v>
      </c>
      <c r="G1541" t="s">
        <v>15</v>
      </c>
      <c r="H1541" t="s">
        <v>293</v>
      </c>
      <c r="I1541" s="6">
        <v>20649</v>
      </c>
      <c r="J1541" s="6">
        <v>108676</v>
      </c>
      <c r="K1541" t="s">
        <v>294</v>
      </c>
      <c r="L1541" t="s">
        <v>26</v>
      </c>
    </row>
    <row r="1542" spans="1:12" x14ac:dyDescent="0.5">
      <c r="A1542" s="2">
        <v>46001</v>
      </c>
      <c r="B1542" s="3" t="s">
        <v>232</v>
      </c>
      <c r="C1542" s="3" t="s">
        <v>247</v>
      </c>
      <c r="D1542" s="3" t="s">
        <v>248</v>
      </c>
      <c r="E1542" s="4">
        <v>331248</v>
      </c>
      <c r="F1542" s="3" t="s">
        <v>14</v>
      </c>
      <c r="G1542" s="3" t="s">
        <v>15</v>
      </c>
      <c r="H1542" s="3" t="s">
        <v>24</v>
      </c>
      <c r="I1542" s="4">
        <v>52888</v>
      </c>
      <c r="J1542" s="4">
        <v>278360</v>
      </c>
      <c r="K1542" s="3" t="s">
        <v>25</v>
      </c>
      <c r="L1542" s="3" t="s">
        <v>26</v>
      </c>
    </row>
    <row r="1543" spans="1:12" x14ac:dyDescent="0.5">
      <c r="A1543" s="5">
        <v>46001</v>
      </c>
      <c r="B1543" t="s">
        <v>232</v>
      </c>
      <c r="C1543" t="s">
        <v>510</v>
      </c>
      <c r="D1543" t="s">
        <v>511</v>
      </c>
      <c r="E1543" s="6">
        <v>50000</v>
      </c>
      <c r="F1543" t="s">
        <v>41</v>
      </c>
      <c r="G1543" t="s">
        <v>15</v>
      </c>
      <c r="I1543" s="6">
        <v>0</v>
      </c>
      <c r="J1543" s="6">
        <v>50000</v>
      </c>
      <c r="K1543" t="s">
        <v>47</v>
      </c>
      <c r="L1543" t="s">
        <v>48</v>
      </c>
    </row>
    <row r="1544" spans="1:12" x14ac:dyDescent="0.5">
      <c r="A1544" s="2">
        <v>46001</v>
      </c>
      <c r="B1544" s="3" t="s">
        <v>232</v>
      </c>
      <c r="C1544" s="3" t="s">
        <v>317</v>
      </c>
      <c r="D1544" s="3" t="s">
        <v>318</v>
      </c>
      <c r="E1544" s="4">
        <v>773500</v>
      </c>
      <c r="F1544" s="3" t="s">
        <v>14</v>
      </c>
      <c r="G1544" s="3" t="s">
        <v>15</v>
      </c>
      <c r="H1544" s="3" t="s">
        <v>33</v>
      </c>
      <c r="I1544" s="4">
        <v>123500</v>
      </c>
      <c r="J1544" s="4">
        <v>650000</v>
      </c>
      <c r="K1544" s="3" t="s">
        <v>34</v>
      </c>
      <c r="L1544" s="3" t="s">
        <v>35</v>
      </c>
    </row>
    <row r="1545" spans="1:12" x14ac:dyDescent="0.5">
      <c r="A1545" s="5">
        <v>46006</v>
      </c>
      <c r="B1545" t="s">
        <v>232</v>
      </c>
      <c r="C1545" t="s">
        <v>309</v>
      </c>
      <c r="D1545" t="s">
        <v>310</v>
      </c>
      <c r="E1545" s="6">
        <v>944265</v>
      </c>
      <c r="F1545" t="s">
        <v>14</v>
      </c>
      <c r="G1545" t="s">
        <v>15</v>
      </c>
      <c r="H1545" t="s">
        <v>293</v>
      </c>
      <c r="I1545" s="6">
        <v>150765</v>
      </c>
      <c r="J1545" s="6">
        <v>793500</v>
      </c>
      <c r="K1545" t="s">
        <v>294</v>
      </c>
      <c r="L1545" t="s">
        <v>26</v>
      </c>
    </row>
    <row r="1546" spans="1:12" x14ac:dyDescent="0.5">
      <c r="A1546" s="2">
        <v>46006</v>
      </c>
      <c r="B1546" s="3" t="s">
        <v>232</v>
      </c>
      <c r="C1546" s="3" t="s">
        <v>401</v>
      </c>
      <c r="D1546" s="3" t="s">
        <v>643</v>
      </c>
      <c r="E1546" s="4">
        <v>83288</v>
      </c>
      <c r="F1546" s="3" t="s">
        <v>14</v>
      </c>
      <c r="G1546" s="3" t="s">
        <v>15</v>
      </c>
      <c r="H1546" s="3" t="s">
        <v>212</v>
      </c>
      <c r="I1546" s="4">
        <v>13298</v>
      </c>
      <c r="J1546" s="4">
        <v>69990</v>
      </c>
      <c r="K1546" s="3" t="s">
        <v>213</v>
      </c>
      <c r="L1546" s="3" t="s">
        <v>48</v>
      </c>
    </row>
    <row r="1547" spans="1:12" x14ac:dyDescent="0.5">
      <c r="A1547" s="5">
        <v>46007</v>
      </c>
      <c r="B1547" t="s">
        <v>218</v>
      </c>
      <c r="C1547" t="s">
        <v>259</v>
      </c>
      <c r="D1547" t="s">
        <v>260</v>
      </c>
      <c r="E1547" s="6">
        <v>378333</v>
      </c>
      <c r="F1547" t="s">
        <v>41</v>
      </c>
      <c r="G1547" t="s">
        <v>15</v>
      </c>
      <c r="H1547" t="s">
        <v>66</v>
      </c>
      <c r="I1547" s="6">
        <v>0</v>
      </c>
      <c r="J1547" s="6">
        <v>378333</v>
      </c>
      <c r="K1547" t="s">
        <v>67</v>
      </c>
      <c r="L1547" t="s">
        <v>68</v>
      </c>
    </row>
    <row r="1548" spans="1:12" x14ac:dyDescent="0.5">
      <c r="A1548" s="2">
        <v>46007</v>
      </c>
      <c r="B1548" s="3" t="s">
        <v>218</v>
      </c>
      <c r="C1548" s="3" t="s">
        <v>259</v>
      </c>
      <c r="D1548" s="3" t="s">
        <v>260</v>
      </c>
      <c r="E1548" s="4">
        <v>800000</v>
      </c>
      <c r="F1548" s="3" t="s">
        <v>41</v>
      </c>
      <c r="G1548" s="3" t="s">
        <v>15</v>
      </c>
      <c r="H1548" s="3" t="s">
        <v>66</v>
      </c>
      <c r="I1548" s="4">
        <v>0</v>
      </c>
      <c r="J1548" s="4">
        <v>800000</v>
      </c>
      <c r="K1548" s="3" t="s">
        <v>67</v>
      </c>
      <c r="L1548" s="3" t="s">
        <v>68</v>
      </c>
    </row>
    <row r="1549" spans="1:12" x14ac:dyDescent="0.5">
      <c r="A1549" s="5">
        <v>46007</v>
      </c>
      <c r="B1549" t="s">
        <v>232</v>
      </c>
      <c r="C1549" t="s">
        <v>269</v>
      </c>
      <c r="D1549" t="s">
        <v>270</v>
      </c>
      <c r="E1549" s="6">
        <v>767433</v>
      </c>
      <c r="F1549" t="s">
        <v>41</v>
      </c>
      <c r="G1549" t="s">
        <v>15</v>
      </c>
      <c r="H1549" t="s">
        <v>46</v>
      </c>
      <c r="I1549" s="6">
        <v>0</v>
      </c>
      <c r="J1549" s="6">
        <v>767433</v>
      </c>
      <c r="K1549" t="s">
        <v>47</v>
      </c>
      <c r="L1549" t="s">
        <v>48</v>
      </c>
    </row>
    <row r="1550" spans="1:12" x14ac:dyDescent="0.5">
      <c r="A1550" s="2">
        <v>46008</v>
      </c>
      <c r="B1550" s="3" t="s">
        <v>232</v>
      </c>
      <c r="C1550" s="3" t="s">
        <v>279</v>
      </c>
      <c r="D1550" s="3" t="s">
        <v>280</v>
      </c>
      <c r="E1550" s="4">
        <v>103410</v>
      </c>
      <c r="F1550" s="3" t="s">
        <v>14</v>
      </c>
      <c r="G1550" s="3" t="s">
        <v>15</v>
      </c>
      <c r="H1550" s="3" t="s">
        <v>24</v>
      </c>
      <c r="I1550" s="4">
        <v>16511</v>
      </c>
      <c r="J1550" s="4">
        <v>86899</v>
      </c>
      <c r="K1550" s="3" t="s">
        <v>25</v>
      </c>
      <c r="L1550" s="3" t="s">
        <v>26</v>
      </c>
    </row>
    <row r="1551" spans="1:12" x14ac:dyDescent="0.5">
      <c r="A1551" s="5">
        <v>46008</v>
      </c>
      <c r="B1551" t="s">
        <v>232</v>
      </c>
      <c r="C1551" t="s">
        <v>335</v>
      </c>
      <c r="D1551" t="s">
        <v>336</v>
      </c>
      <c r="E1551" s="6">
        <v>109650</v>
      </c>
      <c r="F1551" t="s">
        <v>14</v>
      </c>
      <c r="G1551" t="s">
        <v>15</v>
      </c>
      <c r="H1551" t="s">
        <v>24</v>
      </c>
      <c r="I1551" s="6">
        <v>17507</v>
      </c>
      <c r="J1551" s="6">
        <v>92143</v>
      </c>
      <c r="K1551" t="s">
        <v>25</v>
      </c>
      <c r="L1551" t="s">
        <v>26</v>
      </c>
    </row>
    <row r="1552" spans="1:12" x14ac:dyDescent="0.5">
      <c r="A1552" s="2">
        <v>46008</v>
      </c>
      <c r="B1552" s="3" t="s">
        <v>232</v>
      </c>
      <c r="C1552" s="3" t="s">
        <v>247</v>
      </c>
      <c r="D1552" s="3" t="s">
        <v>248</v>
      </c>
      <c r="E1552" s="4">
        <v>161412</v>
      </c>
      <c r="F1552" s="3" t="s">
        <v>14</v>
      </c>
      <c r="G1552" s="3" t="s">
        <v>15</v>
      </c>
      <c r="H1552" s="3" t="s">
        <v>24</v>
      </c>
      <c r="I1552" s="4">
        <v>25772</v>
      </c>
      <c r="J1552" s="4">
        <v>135640</v>
      </c>
      <c r="K1552" s="3" t="s">
        <v>25</v>
      </c>
      <c r="L1552" s="3" t="s">
        <v>26</v>
      </c>
    </row>
    <row r="1553" spans="1:12" x14ac:dyDescent="0.5">
      <c r="A1553" s="5">
        <v>46008</v>
      </c>
      <c r="B1553" t="s">
        <v>232</v>
      </c>
      <c r="C1553" t="s">
        <v>263</v>
      </c>
      <c r="D1553" t="s">
        <v>264</v>
      </c>
      <c r="E1553" s="6">
        <v>309688</v>
      </c>
      <c r="F1553" t="s">
        <v>14</v>
      </c>
      <c r="G1553" t="s">
        <v>15</v>
      </c>
      <c r="H1553" t="s">
        <v>24</v>
      </c>
      <c r="I1553" s="6">
        <v>49446</v>
      </c>
      <c r="J1553" s="6">
        <v>260242</v>
      </c>
      <c r="K1553" t="s">
        <v>25</v>
      </c>
      <c r="L1553" t="s">
        <v>26</v>
      </c>
    </row>
    <row r="1554" spans="1:12" x14ac:dyDescent="0.5">
      <c r="A1554" s="2">
        <v>46008</v>
      </c>
      <c r="B1554" s="3" t="s">
        <v>218</v>
      </c>
      <c r="C1554" s="3" t="s">
        <v>251</v>
      </c>
      <c r="D1554" s="3" t="s">
        <v>252</v>
      </c>
      <c r="E1554" s="4">
        <v>300000</v>
      </c>
      <c r="F1554" s="3" t="s">
        <v>41</v>
      </c>
      <c r="G1554" s="3" t="s">
        <v>15</v>
      </c>
      <c r="H1554" s="3" t="s">
        <v>66</v>
      </c>
      <c r="I1554" s="4">
        <v>0</v>
      </c>
      <c r="J1554" s="4">
        <v>300000</v>
      </c>
      <c r="K1554" s="3" t="s">
        <v>67</v>
      </c>
      <c r="L1554" s="3" t="s">
        <v>68</v>
      </c>
    </row>
    <row r="1555" spans="1:12" x14ac:dyDescent="0.5">
      <c r="A1555" s="5">
        <v>46010</v>
      </c>
      <c r="B1555" t="s">
        <v>218</v>
      </c>
      <c r="C1555" t="s">
        <v>514</v>
      </c>
      <c r="D1555" t="s">
        <v>668</v>
      </c>
      <c r="E1555" s="6">
        <v>214500</v>
      </c>
      <c r="F1555" t="s">
        <v>41</v>
      </c>
      <c r="G1555" t="s">
        <v>15</v>
      </c>
      <c r="H1555" t="s">
        <v>66</v>
      </c>
      <c r="I1555" s="6">
        <v>0</v>
      </c>
      <c r="J1555" s="6">
        <v>214500</v>
      </c>
      <c r="K1555" t="s">
        <v>67</v>
      </c>
      <c r="L1555" t="s">
        <v>68</v>
      </c>
    </row>
    <row r="1556" spans="1:12" x14ac:dyDescent="0.5">
      <c r="A1556" s="2">
        <v>46013</v>
      </c>
      <c r="B1556" s="3" t="s">
        <v>232</v>
      </c>
      <c r="C1556" s="3" t="s">
        <v>247</v>
      </c>
      <c r="D1556" s="3" t="s">
        <v>248</v>
      </c>
      <c r="E1556" s="4">
        <v>249169</v>
      </c>
      <c r="F1556" s="3" t="s">
        <v>14</v>
      </c>
      <c r="G1556" s="3" t="s">
        <v>15</v>
      </c>
      <c r="H1556" s="3" t="s">
        <v>24</v>
      </c>
      <c r="I1556" s="4">
        <v>39783</v>
      </c>
      <c r="J1556" s="4">
        <v>209386</v>
      </c>
      <c r="K1556" s="3" t="s">
        <v>25</v>
      </c>
      <c r="L1556" s="3" t="s">
        <v>26</v>
      </c>
    </row>
    <row r="1557" spans="1:12" x14ac:dyDescent="0.5">
      <c r="A1557" s="5">
        <v>46013</v>
      </c>
      <c r="B1557" t="s">
        <v>218</v>
      </c>
      <c r="C1557" t="s">
        <v>515</v>
      </c>
      <c r="D1557" t="s">
        <v>668</v>
      </c>
      <c r="E1557" s="6">
        <v>3600</v>
      </c>
      <c r="F1557" t="s">
        <v>41</v>
      </c>
      <c r="G1557" t="s">
        <v>15</v>
      </c>
      <c r="H1557" t="s">
        <v>66</v>
      </c>
      <c r="I1557" s="6">
        <v>0</v>
      </c>
      <c r="J1557" s="6">
        <v>3600</v>
      </c>
      <c r="K1557" t="s">
        <v>67</v>
      </c>
      <c r="L1557" t="s">
        <v>68</v>
      </c>
    </row>
    <row r="1558" spans="1:12" x14ac:dyDescent="0.5">
      <c r="A1558" s="2">
        <v>46014</v>
      </c>
      <c r="B1558" s="3" t="s">
        <v>232</v>
      </c>
      <c r="C1558" s="3" t="s">
        <v>261</v>
      </c>
      <c r="D1558" s="3" t="s">
        <v>262</v>
      </c>
      <c r="E1558" s="4">
        <v>99899</v>
      </c>
      <c r="F1558" s="3" t="s">
        <v>14</v>
      </c>
      <c r="G1558" s="3" t="s">
        <v>15</v>
      </c>
      <c r="H1558" s="3" t="s">
        <v>24</v>
      </c>
      <c r="I1558" s="4">
        <v>15950</v>
      </c>
      <c r="J1558" s="4">
        <v>83949</v>
      </c>
      <c r="K1558" s="3" t="s">
        <v>25</v>
      </c>
      <c r="L1558" s="3" t="s">
        <v>26</v>
      </c>
    </row>
    <row r="1559" spans="1:12" x14ac:dyDescent="0.5">
      <c r="A1559" s="5">
        <v>46014</v>
      </c>
      <c r="B1559" t="s">
        <v>232</v>
      </c>
      <c r="C1559" t="s">
        <v>261</v>
      </c>
      <c r="D1559" t="s">
        <v>262</v>
      </c>
      <c r="E1559" s="6">
        <v>133199</v>
      </c>
      <c r="F1559" t="s">
        <v>14</v>
      </c>
      <c r="G1559" t="s">
        <v>15</v>
      </c>
      <c r="H1559" t="s">
        <v>24</v>
      </c>
      <c r="I1559" s="6">
        <v>21267</v>
      </c>
      <c r="J1559" s="6">
        <v>111932</v>
      </c>
      <c r="K1559" t="s">
        <v>25</v>
      </c>
      <c r="L1559" t="s">
        <v>26</v>
      </c>
    </row>
    <row r="1560" spans="1:12" x14ac:dyDescent="0.5">
      <c r="A1560" s="2">
        <v>46014</v>
      </c>
      <c r="B1560" s="3" t="s">
        <v>232</v>
      </c>
      <c r="C1560" s="3" t="s">
        <v>271</v>
      </c>
      <c r="D1560" s="3" t="s">
        <v>272</v>
      </c>
      <c r="E1560" s="4">
        <v>339254</v>
      </c>
      <c r="F1560" s="3" t="s">
        <v>14</v>
      </c>
      <c r="G1560" s="3" t="s">
        <v>15</v>
      </c>
      <c r="H1560" s="3" t="s">
        <v>24</v>
      </c>
      <c r="I1560" s="4">
        <v>54167</v>
      </c>
      <c r="J1560" s="4">
        <v>285087</v>
      </c>
      <c r="K1560" s="3" t="s">
        <v>25</v>
      </c>
      <c r="L1560" s="3" t="s">
        <v>26</v>
      </c>
    </row>
    <row r="1561" spans="1:12" x14ac:dyDescent="0.5">
      <c r="A1561" s="5">
        <v>46014</v>
      </c>
      <c r="B1561" t="s">
        <v>218</v>
      </c>
      <c r="C1561" t="s">
        <v>249</v>
      </c>
      <c r="D1561" t="s">
        <v>250</v>
      </c>
      <c r="E1561" s="6">
        <v>13430</v>
      </c>
      <c r="F1561" t="s">
        <v>41</v>
      </c>
      <c r="G1561" t="s">
        <v>15</v>
      </c>
      <c r="H1561" t="s">
        <v>66</v>
      </c>
      <c r="I1561" s="6">
        <v>0</v>
      </c>
      <c r="J1561" s="6">
        <v>13430</v>
      </c>
      <c r="K1561" t="s">
        <v>67</v>
      </c>
      <c r="L1561" t="s">
        <v>68</v>
      </c>
    </row>
    <row r="1562" spans="1:12" x14ac:dyDescent="0.5">
      <c r="A1562" s="2">
        <v>46014</v>
      </c>
      <c r="B1562" s="3" t="s">
        <v>218</v>
      </c>
      <c r="C1562" s="3" t="s">
        <v>249</v>
      </c>
      <c r="D1562" s="3" t="s">
        <v>250</v>
      </c>
      <c r="E1562" s="4">
        <v>43162</v>
      </c>
      <c r="F1562" s="3" t="s">
        <v>41</v>
      </c>
      <c r="G1562" s="3" t="s">
        <v>15</v>
      </c>
      <c r="H1562" s="3" t="s">
        <v>66</v>
      </c>
      <c r="I1562" s="4">
        <v>0</v>
      </c>
      <c r="J1562" s="4">
        <v>43162</v>
      </c>
      <c r="K1562" s="3" t="s">
        <v>67</v>
      </c>
      <c r="L1562" s="3" t="s">
        <v>68</v>
      </c>
    </row>
    <row r="1563" spans="1:12" x14ac:dyDescent="0.5">
      <c r="A1563" s="5">
        <v>46014</v>
      </c>
      <c r="B1563" t="s">
        <v>232</v>
      </c>
      <c r="C1563" t="s">
        <v>289</v>
      </c>
      <c r="D1563" t="s">
        <v>290</v>
      </c>
      <c r="E1563" s="6">
        <v>663540</v>
      </c>
      <c r="F1563" t="s">
        <v>14</v>
      </c>
      <c r="G1563" t="s">
        <v>15</v>
      </c>
      <c r="H1563" t="s">
        <v>16</v>
      </c>
      <c r="I1563" s="6">
        <v>105943</v>
      </c>
      <c r="J1563" s="6">
        <v>557597</v>
      </c>
      <c r="K1563" t="s">
        <v>17</v>
      </c>
      <c r="L1563" t="s">
        <v>18</v>
      </c>
    </row>
    <row r="1564" spans="1:12" x14ac:dyDescent="0.5">
      <c r="A1564" s="2">
        <v>46015</v>
      </c>
      <c r="B1564" s="3" t="s">
        <v>232</v>
      </c>
      <c r="C1564" s="3" t="s">
        <v>285</v>
      </c>
      <c r="D1564" s="3" t="s">
        <v>286</v>
      </c>
      <c r="E1564" s="4">
        <v>180862</v>
      </c>
      <c r="F1564" s="3" t="s">
        <v>14</v>
      </c>
      <c r="G1564" s="3" t="s">
        <v>15</v>
      </c>
      <c r="H1564" s="3" t="s">
        <v>24</v>
      </c>
      <c r="I1564" s="4">
        <v>28877</v>
      </c>
      <c r="J1564" s="4">
        <v>151985</v>
      </c>
      <c r="K1564" s="3" t="s">
        <v>25</v>
      </c>
      <c r="L1564" s="3" t="s">
        <v>26</v>
      </c>
    </row>
    <row r="1565" spans="1:12" x14ac:dyDescent="0.5">
      <c r="A1565" s="5">
        <v>46017</v>
      </c>
      <c r="B1565" t="s">
        <v>232</v>
      </c>
      <c r="C1565" t="s">
        <v>279</v>
      </c>
      <c r="D1565" t="s">
        <v>280</v>
      </c>
      <c r="E1565" s="6">
        <v>110240</v>
      </c>
      <c r="F1565" t="s">
        <v>14</v>
      </c>
      <c r="G1565" t="s">
        <v>15</v>
      </c>
      <c r="H1565" t="s">
        <v>24</v>
      </c>
      <c r="I1565" s="6">
        <v>17601</v>
      </c>
      <c r="J1565" s="6">
        <v>92639</v>
      </c>
      <c r="K1565" t="s">
        <v>25</v>
      </c>
      <c r="L1565" t="s">
        <v>26</v>
      </c>
    </row>
    <row r="1566" spans="1:12" x14ac:dyDescent="0.5">
      <c r="A1566" s="2">
        <v>46017</v>
      </c>
      <c r="B1566" s="3" t="s">
        <v>232</v>
      </c>
      <c r="C1566" s="3" t="s">
        <v>335</v>
      </c>
      <c r="D1566" s="3" t="s">
        <v>336</v>
      </c>
      <c r="E1566" s="4">
        <v>193340</v>
      </c>
      <c r="F1566" s="3" t="s">
        <v>14</v>
      </c>
      <c r="G1566" s="3" t="s">
        <v>15</v>
      </c>
      <c r="H1566" s="3" t="s">
        <v>24</v>
      </c>
      <c r="I1566" s="4">
        <v>30869</v>
      </c>
      <c r="J1566" s="4">
        <v>162471</v>
      </c>
      <c r="K1566" s="3" t="s">
        <v>25</v>
      </c>
      <c r="L1566" s="3" t="s">
        <v>26</v>
      </c>
    </row>
    <row r="1567" spans="1:12" x14ac:dyDescent="0.5">
      <c r="A1567" s="5">
        <v>46017</v>
      </c>
      <c r="B1567" t="s">
        <v>232</v>
      </c>
      <c r="C1567" t="s">
        <v>247</v>
      </c>
      <c r="D1567" t="s">
        <v>248</v>
      </c>
      <c r="E1567" s="6">
        <v>322824</v>
      </c>
      <c r="F1567" t="s">
        <v>14</v>
      </c>
      <c r="G1567" t="s">
        <v>15</v>
      </c>
      <c r="H1567" t="s">
        <v>24</v>
      </c>
      <c r="I1567" s="6">
        <v>51543</v>
      </c>
      <c r="J1567" s="6">
        <v>271281</v>
      </c>
      <c r="K1567" t="s">
        <v>25</v>
      </c>
      <c r="L1567" t="s">
        <v>26</v>
      </c>
    </row>
    <row r="1568" spans="1:12" x14ac:dyDescent="0.5">
      <c r="A1568" s="2">
        <v>46017</v>
      </c>
      <c r="B1568" s="3" t="s">
        <v>218</v>
      </c>
      <c r="C1568" s="3" t="s">
        <v>259</v>
      </c>
      <c r="D1568" s="3" t="s">
        <v>260</v>
      </c>
      <c r="E1568" s="4">
        <v>108994</v>
      </c>
      <c r="F1568" s="3" t="s">
        <v>41</v>
      </c>
      <c r="G1568" s="3" t="s">
        <v>15</v>
      </c>
      <c r="H1568" s="3" t="s">
        <v>66</v>
      </c>
      <c r="I1568" s="4">
        <v>0</v>
      </c>
      <c r="J1568" s="4">
        <v>108994</v>
      </c>
      <c r="K1568" s="3" t="s">
        <v>67</v>
      </c>
      <c r="L1568" s="3" t="s">
        <v>68</v>
      </c>
    </row>
    <row r="1569" spans="1:12" x14ac:dyDescent="0.5">
      <c r="A1569" s="5">
        <v>46020</v>
      </c>
      <c r="B1569" t="s">
        <v>232</v>
      </c>
      <c r="C1569" t="s">
        <v>363</v>
      </c>
      <c r="D1569" t="s">
        <v>364</v>
      </c>
      <c r="E1569" s="6">
        <v>111384</v>
      </c>
      <c r="F1569" t="s">
        <v>14</v>
      </c>
      <c r="G1569" t="s">
        <v>15</v>
      </c>
      <c r="H1569" t="s">
        <v>293</v>
      </c>
      <c r="I1569" s="6">
        <v>17784</v>
      </c>
      <c r="J1569" s="6">
        <v>93600</v>
      </c>
      <c r="K1569" t="s">
        <v>294</v>
      </c>
      <c r="L1569" t="s">
        <v>26</v>
      </c>
    </row>
    <row r="1570" spans="1:12" x14ac:dyDescent="0.5">
      <c r="A1570" s="2">
        <v>46020</v>
      </c>
      <c r="B1570" s="3" t="s">
        <v>232</v>
      </c>
      <c r="C1570" s="3" t="s">
        <v>261</v>
      </c>
      <c r="D1570" s="3" t="s">
        <v>262</v>
      </c>
      <c r="E1570" s="4">
        <v>133199</v>
      </c>
      <c r="F1570" s="3" t="s">
        <v>14</v>
      </c>
      <c r="G1570" s="3" t="s">
        <v>15</v>
      </c>
      <c r="H1570" s="3" t="s">
        <v>24</v>
      </c>
      <c r="I1570" s="4">
        <v>21267</v>
      </c>
      <c r="J1570" s="4">
        <v>111932</v>
      </c>
      <c r="K1570" s="3" t="s">
        <v>25</v>
      </c>
      <c r="L1570" s="3" t="s">
        <v>26</v>
      </c>
    </row>
    <row r="1571" spans="1:12" x14ac:dyDescent="0.5">
      <c r="A1571" s="5">
        <v>46020</v>
      </c>
      <c r="B1571" t="s">
        <v>232</v>
      </c>
      <c r="C1571" t="s">
        <v>261</v>
      </c>
      <c r="D1571" t="s">
        <v>262</v>
      </c>
      <c r="E1571" s="6">
        <v>133199</v>
      </c>
      <c r="F1571" t="s">
        <v>14</v>
      </c>
      <c r="G1571" t="s">
        <v>15</v>
      </c>
      <c r="H1571" t="s">
        <v>24</v>
      </c>
      <c r="I1571" s="6">
        <v>21267</v>
      </c>
      <c r="J1571" s="6">
        <v>111932</v>
      </c>
      <c r="K1571" t="s">
        <v>25</v>
      </c>
      <c r="L1571" t="s">
        <v>26</v>
      </c>
    </row>
    <row r="1572" spans="1:12" x14ac:dyDescent="0.5">
      <c r="A1572" s="2">
        <v>46020</v>
      </c>
      <c r="B1572" s="3" t="s">
        <v>232</v>
      </c>
      <c r="C1572" s="3" t="s">
        <v>333</v>
      </c>
      <c r="D1572" s="3" t="s">
        <v>334</v>
      </c>
      <c r="E1572" s="4">
        <v>125000</v>
      </c>
      <c r="F1572" s="3" t="s">
        <v>14</v>
      </c>
      <c r="G1572" s="3" t="s">
        <v>15</v>
      </c>
      <c r="H1572" s="3" t="s">
        <v>33</v>
      </c>
      <c r="I1572" s="4">
        <v>19958</v>
      </c>
      <c r="J1572" s="4">
        <v>105042</v>
      </c>
      <c r="K1572" s="3" t="s">
        <v>34</v>
      </c>
      <c r="L1572" s="3" t="s">
        <v>35</v>
      </c>
    </row>
    <row r="1573" spans="1:12" x14ac:dyDescent="0.5">
      <c r="A1573" s="5">
        <v>46021</v>
      </c>
      <c r="B1573" t="s">
        <v>232</v>
      </c>
      <c r="C1573" t="s">
        <v>337</v>
      </c>
      <c r="D1573" t="s">
        <v>338</v>
      </c>
      <c r="E1573" s="6">
        <v>288755</v>
      </c>
      <c r="F1573" t="s">
        <v>14</v>
      </c>
      <c r="G1573" t="s">
        <v>15</v>
      </c>
      <c r="H1573" t="s">
        <v>293</v>
      </c>
      <c r="I1573" s="6">
        <v>46104</v>
      </c>
      <c r="J1573" s="6">
        <v>242651</v>
      </c>
      <c r="K1573" t="s">
        <v>294</v>
      </c>
      <c r="L1573" t="s">
        <v>26</v>
      </c>
    </row>
    <row r="1574" spans="1:12" x14ac:dyDescent="0.5">
      <c r="A1574" s="2">
        <v>46024</v>
      </c>
      <c r="B1574" s="3" t="s">
        <v>552</v>
      </c>
      <c r="C1574" s="3" t="s">
        <v>261</v>
      </c>
      <c r="D1574" s="3" t="s">
        <v>262</v>
      </c>
      <c r="E1574" s="4">
        <v>99899</v>
      </c>
      <c r="F1574" s="3" t="s">
        <v>14</v>
      </c>
      <c r="G1574" s="3" t="s">
        <v>15</v>
      </c>
      <c r="H1574" s="3" t="s">
        <v>24</v>
      </c>
      <c r="I1574" s="4">
        <v>15950</v>
      </c>
      <c r="J1574" s="4">
        <v>83949</v>
      </c>
      <c r="K1574" s="3" t="s">
        <v>25</v>
      </c>
      <c r="L1574" s="3" t="s">
        <v>26</v>
      </c>
    </row>
    <row r="1575" spans="1:12" x14ac:dyDescent="0.5">
      <c r="A1575" s="5">
        <v>46024</v>
      </c>
      <c r="B1575" t="s">
        <v>552</v>
      </c>
      <c r="C1575" t="s">
        <v>261</v>
      </c>
      <c r="D1575" t="s">
        <v>262</v>
      </c>
      <c r="E1575" s="6">
        <v>133199</v>
      </c>
      <c r="F1575" t="s">
        <v>14</v>
      </c>
      <c r="G1575" t="s">
        <v>15</v>
      </c>
      <c r="H1575" t="s">
        <v>24</v>
      </c>
      <c r="I1575" s="6">
        <v>21267</v>
      </c>
      <c r="J1575" s="6">
        <v>111932</v>
      </c>
      <c r="K1575" t="s">
        <v>25</v>
      </c>
      <c r="L1575" t="s">
        <v>26</v>
      </c>
    </row>
    <row r="1576" spans="1:12" x14ac:dyDescent="0.5">
      <c r="A1576" s="2">
        <v>46024</v>
      </c>
      <c r="B1576" s="3" t="s">
        <v>552</v>
      </c>
      <c r="C1576" s="3" t="s">
        <v>247</v>
      </c>
      <c r="D1576" s="3" t="s">
        <v>248</v>
      </c>
      <c r="E1576" s="4">
        <v>410581</v>
      </c>
      <c r="F1576" s="3" t="s">
        <v>14</v>
      </c>
      <c r="G1576" s="3" t="s">
        <v>15</v>
      </c>
      <c r="H1576" s="3" t="s">
        <v>24</v>
      </c>
      <c r="I1576" s="4">
        <v>65555</v>
      </c>
      <c r="J1576" s="4">
        <v>345026</v>
      </c>
      <c r="K1576" s="3" t="s">
        <v>25</v>
      </c>
      <c r="L1576" s="3" t="s">
        <v>26</v>
      </c>
    </row>
    <row r="1577" spans="1:12" x14ac:dyDescent="0.5">
      <c r="A1577" s="5">
        <v>46024</v>
      </c>
      <c r="B1577" t="s">
        <v>232</v>
      </c>
      <c r="C1577" t="s">
        <v>480</v>
      </c>
      <c r="D1577" t="s">
        <v>668</v>
      </c>
      <c r="E1577" s="6">
        <v>25000</v>
      </c>
      <c r="F1577" t="s">
        <v>41</v>
      </c>
      <c r="G1577" t="s">
        <v>15</v>
      </c>
      <c r="H1577" t="s">
        <v>66</v>
      </c>
      <c r="I1577" s="6">
        <v>0</v>
      </c>
      <c r="J1577" s="6">
        <v>25000</v>
      </c>
      <c r="K1577" t="s">
        <v>67</v>
      </c>
      <c r="L1577" t="s">
        <v>68</v>
      </c>
    </row>
    <row r="1578" spans="1:12" x14ac:dyDescent="0.5">
      <c r="A1578" s="2">
        <v>46024</v>
      </c>
      <c r="B1578" s="3" t="s">
        <v>232</v>
      </c>
      <c r="C1578" s="3" t="s">
        <v>582</v>
      </c>
      <c r="D1578" s="3" t="s">
        <v>668</v>
      </c>
      <c r="E1578" s="4">
        <v>35000</v>
      </c>
      <c r="F1578" s="3" t="s">
        <v>41</v>
      </c>
      <c r="G1578" s="3" t="s">
        <v>15</v>
      </c>
      <c r="H1578" s="3" t="s">
        <v>66</v>
      </c>
      <c r="I1578" s="4">
        <v>0</v>
      </c>
      <c r="J1578" s="4">
        <v>35000</v>
      </c>
      <c r="K1578" s="3" t="s">
        <v>67</v>
      </c>
      <c r="L1578" s="3" t="s">
        <v>68</v>
      </c>
    </row>
    <row r="1579" spans="1:12" x14ac:dyDescent="0.5">
      <c r="A1579" s="5">
        <v>46024</v>
      </c>
      <c r="B1579" t="s">
        <v>232</v>
      </c>
      <c r="C1579" t="s">
        <v>455</v>
      </c>
      <c r="D1579" t="s">
        <v>675</v>
      </c>
      <c r="E1579" s="6">
        <v>45230</v>
      </c>
      <c r="F1579" t="s">
        <v>41</v>
      </c>
      <c r="G1579" t="s">
        <v>15</v>
      </c>
      <c r="H1579" t="s">
        <v>66</v>
      </c>
      <c r="I1579" s="6">
        <v>0</v>
      </c>
      <c r="J1579" s="6">
        <v>45230</v>
      </c>
      <c r="K1579" t="s">
        <v>67</v>
      </c>
      <c r="L1579" t="s">
        <v>68</v>
      </c>
    </row>
    <row r="1580" spans="1:12" x14ac:dyDescent="0.5">
      <c r="A1580" s="2">
        <v>46024</v>
      </c>
      <c r="B1580" s="3" t="s">
        <v>232</v>
      </c>
      <c r="C1580" s="3" t="s">
        <v>583</v>
      </c>
      <c r="D1580" s="3" t="s">
        <v>668</v>
      </c>
      <c r="E1580" s="4">
        <v>50000</v>
      </c>
      <c r="F1580" s="3" t="s">
        <v>41</v>
      </c>
      <c r="G1580" s="3" t="s">
        <v>15</v>
      </c>
      <c r="H1580" s="3" t="s">
        <v>66</v>
      </c>
      <c r="I1580" s="4">
        <v>0</v>
      </c>
      <c r="J1580" s="4">
        <v>50000</v>
      </c>
      <c r="K1580" s="3" t="s">
        <v>67</v>
      </c>
      <c r="L1580" s="3" t="s">
        <v>68</v>
      </c>
    </row>
    <row r="1581" spans="1:12" x14ac:dyDescent="0.5">
      <c r="A1581" s="5">
        <v>46024</v>
      </c>
      <c r="B1581" t="s">
        <v>232</v>
      </c>
      <c r="C1581" t="s">
        <v>395</v>
      </c>
      <c r="D1581" t="s">
        <v>668</v>
      </c>
      <c r="E1581" s="6">
        <v>58790</v>
      </c>
      <c r="F1581" t="s">
        <v>41</v>
      </c>
      <c r="G1581" t="s">
        <v>15</v>
      </c>
      <c r="H1581" t="s">
        <v>66</v>
      </c>
      <c r="I1581" s="6">
        <v>0</v>
      </c>
      <c r="J1581" s="6">
        <v>58790</v>
      </c>
      <c r="K1581" t="s">
        <v>67</v>
      </c>
      <c r="L1581" t="s">
        <v>68</v>
      </c>
    </row>
    <row r="1582" spans="1:12" x14ac:dyDescent="0.5">
      <c r="A1582" s="2">
        <v>46024</v>
      </c>
      <c r="B1582" s="3" t="s">
        <v>232</v>
      </c>
      <c r="C1582" s="3" t="s">
        <v>480</v>
      </c>
      <c r="D1582" s="3" t="s">
        <v>668</v>
      </c>
      <c r="E1582" s="4">
        <v>100000</v>
      </c>
      <c r="F1582" s="3" t="s">
        <v>41</v>
      </c>
      <c r="G1582" s="3" t="s">
        <v>15</v>
      </c>
      <c r="H1582" s="3" t="s">
        <v>66</v>
      </c>
      <c r="I1582" s="4">
        <v>0</v>
      </c>
      <c r="J1582" s="4">
        <v>100000</v>
      </c>
      <c r="K1582" s="3" t="s">
        <v>67</v>
      </c>
      <c r="L1582" s="3" t="s">
        <v>68</v>
      </c>
    </row>
    <row r="1583" spans="1:12" x14ac:dyDescent="0.5">
      <c r="A1583" s="5">
        <v>46024</v>
      </c>
      <c r="B1583" t="s">
        <v>232</v>
      </c>
      <c r="C1583" t="s">
        <v>581</v>
      </c>
      <c r="D1583" t="s">
        <v>668</v>
      </c>
      <c r="E1583" s="6">
        <v>100000</v>
      </c>
      <c r="F1583" t="s">
        <v>41</v>
      </c>
      <c r="G1583" t="s">
        <v>15</v>
      </c>
      <c r="H1583" t="s">
        <v>66</v>
      </c>
      <c r="I1583" s="6">
        <v>0</v>
      </c>
      <c r="J1583" s="6">
        <v>100000</v>
      </c>
      <c r="K1583" t="s">
        <v>67</v>
      </c>
      <c r="L1583" t="s">
        <v>68</v>
      </c>
    </row>
    <row r="1584" spans="1:12" x14ac:dyDescent="0.5">
      <c r="A1584" s="2">
        <v>46024</v>
      </c>
      <c r="B1584" s="3" t="s">
        <v>232</v>
      </c>
      <c r="C1584" s="3" t="s">
        <v>581</v>
      </c>
      <c r="D1584" s="3" t="s">
        <v>668</v>
      </c>
      <c r="E1584" s="4">
        <v>100000</v>
      </c>
      <c r="F1584" s="3" t="s">
        <v>41</v>
      </c>
      <c r="G1584" s="3" t="s">
        <v>15</v>
      </c>
      <c r="H1584" s="3" t="s">
        <v>66</v>
      </c>
      <c r="I1584" s="4">
        <v>0</v>
      </c>
      <c r="J1584" s="4">
        <v>100000</v>
      </c>
      <c r="K1584" s="3" t="s">
        <v>67</v>
      </c>
      <c r="L1584" s="3" t="s">
        <v>68</v>
      </c>
    </row>
    <row r="1585" spans="1:12" x14ac:dyDescent="0.5">
      <c r="A1585" s="5">
        <v>46024</v>
      </c>
      <c r="B1585" t="s">
        <v>232</v>
      </c>
      <c r="C1585" t="s">
        <v>329</v>
      </c>
      <c r="D1585" t="s">
        <v>330</v>
      </c>
      <c r="E1585" s="6">
        <v>150000</v>
      </c>
      <c r="F1585" t="s">
        <v>41</v>
      </c>
      <c r="G1585" t="s">
        <v>15</v>
      </c>
      <c r="H1585" t="s">
        <v>66</v>
      </c>
      <c r="I1585" s="6">
        <v>0</v>
      </c>
      <c r="J1585" s="6">
        <v>150000</v>
      </c>
      <c r="K1585" t="s">
        <v>67</v>
      </c>
      <c r="L1585" t="s">
        <v>68</v>
      </c>
    </row>
    <row r="1586" spans="1:12" x14ac:dyDescent="0.5">
      <c r="A1586" s="2">
        <v>46024</v>
      </c>
      <c r="B1586" s="3" t="s">
        <v>232</v>
      </c>
      <c r="C1586" s="3" t="s">
        <v>481</v>
      </c>
      <c r="D1586" s="3" t="s">
        <v>676</v>
      </c>
      <c r="E1586" s="4">
        <v>200000</v>
      </c>
      <c r="F1586" s="3" t="s">
        <v>41</v>
      </c>
      <c r="G1586" s="3" t="s">
        <v>15</v>
      </c>
      <c r="H1586" s="3" t="s">
        <v>66</v>
      </c>
      <c r="I1586" s="4">
        <v>0</v>
      </c>
      <c r="J1586" s="4">
        <v>200000</v>
      </c>
      <c r="K1586" s="3" t="s">
        <v>67</v>
      </c>
      <c r="L1586" s="3" t="s">
        <v>68</v>
      </c>
    </row>
    <row r="1587" spans="1:12" x14ac:dyDescent="0.5">
      <c r="A1587" s="5">
        <v>46024</v>
      </c>
      <c r="B1587" t="s">
        <v>232</v>
      </c>
      <c r="C1587" t="s">
        <v>251</v>
      </c>
      <c r="D1587" t="s">
        <v>252</v>
      </c>
      <c r="E1587" s="6">
        <v>200000</v>
      </c>
      <c r="F1587" t="s">
        <v>41</v>
      </c>
      <c r="G1587" t="s">
        <v>15</v>
      </c>
      <c r="H1587" t="s">
        <v>66</v>
      </c>
      <c r="I1587" s="6">
        <v>0</v>
      </c>
      <c r="J1587" s="6">
        <v>200000</v>
      </c>
      <c r="K1587" t="s">
        <v>67</v>
      </c>
      <c r="L1587" t="s">
        <v>68</v>
      </c>
    </row>
    <row r="1588" spans="1:12" x14ac:dyDescent="0.5">
      <c r="A1588" s="2">
        <v>46024</v>
      </c>
      <c r="B1588" s="3" t="s">
        <v>232</v>
      </c>
      <c r="C1588" s="3" t="s">
        <v>251</v>
      </c>
      <c r="D1588" s="3" t="s">
        <v>252</v>
      </c>
      <c r="E1588" s="4">
        <v>300312</v>
      </c>
      <c r="F1588" s="3" t="s">
        <v>41</v>
      </c>
      <c r="G1588" s="3" t="s">
        <v>15</v>
      </c>
      <c r="H1588" s="3" t="s">
        <v>66</v>
      </c>
      <c r="I1588" s="4">
        <v>0</v>
      </c>
      <c r="J1588" s="4">
        <v>300312</v>
      </c>
      <c r="K1588" s="3" t="s">
        <v>67</v>
      </c>
      <c r="L1588" s="3" t="s">
        <v>68</v>
      </c>
    </row>
    <row r="1589" spans="1:12" x14ac:dyDescent="0.5">
      <c r="A1589" s="5">
        <v>46024</v>
      </c>
      <c r="B1589" t="s">
        <v>232</v>
      </c>
      <c r="C1589" t="s">
        <v>481</v>
      </c>
      <c r="D1589" t="s">
        <v>676</v>
      </c>
      <c r="E1589" s="6">
        <v>540439</v>
      </c>
      <c r="F1589" t="s">
        <v>41</v>
      </c>
      <c r="G1589" t="s">
        <v>15</v>
      </c>
      <c r="H1589" t="s">
        <v>66</v>
      </c>
      <c r="I1589" s="6">
        <v>0</v>
      </c>
      <c r="J1589" s="6">
        <v>540439</v>
      </c>
      <c r="K1589" t="s">
        <v>67</v>
      </c>
      <c r="L1589" t="s">
        <v>68</v>
      </c>
    </row>
    <row r="1590" spans="1:12" x14ac:dyDescent="0.5">
      <c r="A1590" s="2">
        <v>46024</v>
      </c>
      <c r="B1590" s="3" t="s">
        <v>552</v>
      </c>
      <c r="C1590" s="3" t="s">
        <v>253</v>
      </c>
      <c r="D1590" s="3" t="s">
        <v>254</v>
      </c>
      <c r="E1590" s="4">
        <v>700000</v>
      </c>
      <c r="F1590" s="3" t="s">
        <v>41</v>
      </c>
      <c r="G1590" s="3" t="s">
        <v>15</v>
      </c>
      <c r="H1590" s="3" t="s">
        <v>255</v>
      </c>
      <c r="I1590" s="4">
        <v>0</v>
      </c>
      <c r="J1590" s="4">
        <v>700000</v>
      </c>
      <c r="K1590" s="3" t="s">
        <v>256</v>
      </c>
      <c r="L1590" s="3" t="s">
        <v>68</v>
      </c>
    </row>
    <row r="1591" spans="1:12" x14ac:dyDescent="0.5">
      <c r="A1591" s="5">
        <v>46024</v>
      </c>
      <c r="B1591" t="s">
        <v>232</v>
      </c>
      <c r="C1591" t="s">
        <v>259</v>
      </c>
      <c r="D1591" t="s">
        <v>260</v>
      </c>
      <c r="E1591" s="6">
        <v>800000</v>
      </c>
      <c r="F1591" t="s">
        <v>41</v>
      </c>
      <c r="G1591" t="s">
        <v>15</v>
      </c>
      <c r="H1591" t="s">
        <v>66</v>
      </c>
      <c r="I1591" s="6">
        <v>0</v>
      </c>
      <c r="J1591" s="6">
        <v>800000</v>
      </c>
      <c r="K1591" t="s">
        <v>67</v>
      </c>
      <c r="L1591" t="s">
        <v>68</v>
      </c>
    </row>
    <row r="1592" spans="1:12" x14ac:dyDescent="0.5">
      <c r="A1592" s="2">
        <v>46024</v>
      </c>
      <c r="B1592" s="3" t="s">
        <v>232</v>
      </c>
      <c r="C1592" s="3" t="s">
        <v>329</v>
      </c>
      <c r="D1592" s="3" t="s">
        <v>330</v>
      </c>
      <c r="E1592" s="4">
        <v>825400</v>
      </c>
      <c r="F1592" s="3" t="s">
        <v>41</v>
      </c>
      <c r="G1592" s="3" t="s">
        <v>15</v>
      </c>
      <c r="H1592" s="3" t="s">
        <v>66</v>
      </c>
      <c r="I1592" s="4">
        <v>0</v>
      </c>
      <c r="J1592" s="4">
        <v>825400</v>
      </c>
      <c r="K1592" s="3" t="s">
        <v>67</v>
      </c>
      <c r="L1592" s="3" t="s">
        <v>68</v>
      </c>
    </row>
    <row r="1593" spans="1:12" x14ac:dyDescent="0.5">
      <c r="A1593" s="5">
        <v>46024</v>
      </c>
      <c r="B1593" t="s">
        <v>232</v>
      </c>
      <c r="C1593" t="s">
        <v>249</v>
      </c>
      <c r="D1593" t="s">
        <v>250</v>
      </c>
      <c r="E1593" s="6">
        <v>1130682</v>
      </c>
      <c r="F1593" t="s">
        <v>41</v>
      </c>
      <c r="G1593" t="s">
        <v>15</v>
      </c>
      <c r="H1593" t="s">
        <v>66</v>
      </c>
      <c r="I1593" s="6">
        <v>0</v>
      </c>
      <c r="J1593" s="6">
        <v>1130682</v>
      </c>
      <c r="K1593" t="s">
        <v>67</v>
      </c>
      <c r="L1593" t="s">
        <v>68</v>
      </c>
    </row>
    <row r="1594" spans="1:12" x14ac:dyDescent="0.5">
      <c r="A1594" s="2">
        <v>46024</v>
      </c>
      <c r="B1594" s="3" t="s">
        <v>232</v>
      </c>
      <c r="C1594" s="3" t="s">
        <v>305</v>
      </c>
      <c r="D1594" s="3" t="s">
        <v>306</v>
      </c>
      <c r="E1594" s="4">
        <v>414794</v>
      </c>
      <c r="F1594" s="3" t="s">
        <v>41</v>
      </c>
      <c r="G1594" s="3" t="s">
        <v>15</v>
      </c>
      <c r="H1594" s="3" t="s">
        <v>307</v>
      </c>
      <c r="I1594" s="4">
        <v>0</v>
      </c>
      <c r="J1594" s="4">
        <v>414794</v>
      </c>
      <c r="K1594" s="3" t="s">
        <v>308</v>
      </c>
      <c r="L1594" s="3" t="s">
        <v>144</v>
      </c>
    </row>
    <row r="1595" spans="1:12" x14ac:dyDescent="0.5">
      <c r="A1595" s="5">
        <v>46027</v>
      </c>
      <c r="B1595" t="s">
        <v>552</v>
      </c>
      <c r="C1595" t="s">
        <v>341</v>
      </c>
      <c r="D1595" t="s">
        <v>342</v>
      </c>
      <c r="E1595" s="6">
        <v>17290</v>
      </c>
      <c r="F1595" t="s">
        <v>14</v>
      </c>
      <c r="G1595" t="s">
        <v>15</v>
      </c>
      <c r="H1595" t="s">
        <v>293</v>
      </c>
      <c r="I1595" s="6">
        <v>2761</v>
      </c>
      <c r="J1595" s="6">
        <v>14529</v>
      </c>
      <c r="K1595" t="s">
        <v>294</v>
      </c>
      <c r="L1595" t="s">
        <v>26</v>
      </c>
    </row>
    <row r="1596" spans="1:12" x14ac:dyDescent="0.5">
      <c r="A1596" s="2">
        <v>46027</v>
      </c>
      <c r="B1596" s="3" t="s">
        <v>552</v>
      </c>
      <c r="C1596" s="3" t="s">
        <v>313</v>
      </c>
      <c r="D1596" s="3" t="s">
        <v>314</v>
      </c>
      <c r="E1596" s="4">
        <v>20280</v>
      </c>
      <c r="F1596" s="3" t="s">
        <v>14</v>
      </c>
      <c r="G1596" s="3" t="s">
        <v>15</v>
      </c>
      <c r="H1596" s="3" t="s">
        <v>293</v>
      </c>
      <c r="I1596" s="4">
        <v>3238</v>
      </c>
      <c r="J1596" s="4">
        <v>17042</v>
      </c>
      <c r="K1596" s="3" t="s">
        <v>294</v>
      </c>
      <c r="L1596" s="3" t="s">
        <v>26</v>
      </c>
    </row>
    <row r="1597" spans="1:12" x14ac:dyDescent="0.5">
      <c r="A1597" s="5">
        <v>46027</v>
      </c>
      <c r="B1597" t="s">
        <v>552</v>
      </c>
      <c r="C1597" t="s">
        <v>263</v>
      </c>
      <c r="D1597" t="s">
        <v>264</v>
      </c>
      <c r="E1597" s="6">
        <v>114319</v>
      </c>
      <c r="F1597" t="s">
        <v>14</v>
      </c>
      <c r="G1597" t="s">
        <v>15</v>
      </c>
      <c r="H1597" t="s">
        <v>24</v>
      </c>
      <c r="I1597" s="6">
        <v>18253</v>
      </c>
      <c r="J1597" s="6">
        <v>96066</v>
      </c>
      <c r="K1597" t="s">
        <v>25</v>
      </c>
      <c r="L1597" t="s">
        <v>26</v>
      </c>
    </row>
    <row r="1598" spans="1:12" x14ac:dyDescent="0.5">
      <c r="A1598" s="2">
        <v>46027</v>
      </c>
      <c r="B1598" s="3" t="s">
        <v>552</v>
      </c>
      <c r="C1598" s="3" t="s">
        <v>247</v>
      </c>
      <c r="D1598" s="3" t="s">
        <v>248</v>
      </c>
      <c r="E1598" s="4">
        <v>204075</v>
      </c>
      <c r="F1598" s="3" t="s">
        <v>14</v>
      </c>
      <c r="G1598" s="3" t="s">
        <v>15</v>
      </c>
      <c r="H1598" s="3" t="s">
        <v>24</v>
      </c>
      <c r="I1598" s="4">
        <v>32583</v>
      </c>
      <c r="J1598" s="4">
        <v>171492</v>
      </c>
      <c r="K1598" s="3" t="s">
        <v>25</v>
      </c>
      <c r="L1598" s="3" t="s">
        <v>26</v>
      </c>
    </row>
    <row r="1599" spans="1:12" x14ac:dyDescent="0.5">
      <c r="A1599" s="5">
        <v>46027</v>
      </c>
      <c r="B1599" t="s">
        <v>552</v>
      </c>
      <c r="C1599" t="s">
        <v>253</v>
      </c>
      <c r="D1599" t="s">
        <v>254</v>
      </c>
      <c r="E1599" s="6">
        <v>29851</v>
      </c>
      <c r="F1599" t="s">
        <v>41</v>
      </c>
      <c r="G1599" t="s">
        <v>15</v>
      </c>
      <c r="H1599" t="s">
        <v>255</v>
      </c>
      <c r="I1599" s="6">
        <v>0</v>
      </c>
      <c r="J1599" s="6">
        <v>29851</v>
      </c>
      <c r="K1599" t="s">
        <v>256</v>
      </c>
      <c r="L1599" t="s">
        <v>68</v>
      </c>
    </row>
    <row r="1600" spans="1:12" x14ac:dyDescent="0.5">
      <c r="A1600" s="2">
        <v>46027</v>
      </c>
      <c r="B1600" s="3" t="s">
        <v>552</v>
      </c>
      <c r="C1600" s="3" t="s">
        <v>323</v>
      </c>
      <c r="D1600" s="3" t="s">
        <v>324</v>
      </c>
      <c r="E1600" s="4">
        <v>110000</v>
      </c>
      <c r="F1600" s="3" t="s">
        <v>14</v>
      </c>
      <c r="G1600" s="3" t="s">
        <v>15</v>
      </c>
      <c r="H1600" s="3" t="s">
        <v>267</v>
      </c>
      <c r="I1600" s="4">
        <v>17563</v>
      </c>
      <c r="J1600" s="4">
        <v>92437</v>
      </c>
      <c r="K1600" s="3" t="s">
        <v>268</v>
      </c>
      <c r="L1600" s="3" t="s">
        <v>68</v>
      </c>
    </row>
    <row r="1601" spans="1:12" x14ac:dyDescent="0.5">
      <c r="A1601" s="5">
        <v>46027</v>
      </c>
      <c r="B1601" t="s">
        <v>232</v>
      </c>
      <c r="C1601" t="s">
        <v>585</v>
      </c>
      <c r="D1601" t="s">
        <v>668</v>
      </c>
      <c r="E1601" s="6">
        <v>200000</v>
      </c>
      <c r="F1601" t="s">
        <v>41</v>
      </c>
      <c r="G1601" t="s">
        <v>15</v>
      </c>
      <c r="H1601" t="s">
        <v>66</v>
      </c>
      <c r="I1601" s="6">
        <v>0</v>
      </c>
      <c r="J1601" s="6">
        <v>200000</v>
      </c>
      <c r="K1601" t="s">
        <v>67</v>
      </c>
      <c r="L1601" t="s">
        <v>68</v>
      </c>
    </row>
    <row r="1602" spans="1:12" x14ac:dyDescent="0.5">
      <c r="A1602" s="2">
        <v>46027</v>
      </c>
      <c r="B1602" s="3" t="s">
        <v>232</v>
      </c>
      <c r="C1602" s="3" t="s">
        <v>281</v>
      </c>
      <c r="D1602" s="3" t="s">
        <v>282</v>
      </c>
      <c r="E1602" s="4">
        <v>327274</v>
      </c>
      <c r="F1602" s="3" t="s">
        <v>41</v>
      </c>
      <c r="G1602" s="3" t="s">
        <v>15</v>
      </c>
      <c r="H1602" s="3" t="s">
        <v>66</v>
      </c>
      <c r="I1602" s="4">
        <v>0</v>
      </c>
      <c r="J1602" s="4">
        <v>327274</v>
      </c>
      <c r="K1602" s="3" t="s">
        <v>67</v>
      </c>
      <c r="L1602" s="3" t="s">
        <v>68</v>
      </c>
    </row>
    <row r="1603" spans="1:12" x14ac:dyDescent="0.5">
      <c r="A1603" s="5">
        <v>46027</v>
      </c>
      <c r="B1603" t="s">
        <v>232</v>
      </c>
      <c r="C1603" t="s">
        <v>586</v>
      </c>
      <c r="D1603" t="s">
        <v>668</v>
      </c>
      <c r="E1603" s="6">
        <v>412752</v>
      </c>
      <c r="F1603" t="s">
        <v>41</v>
      </c>
      <c r="G1603" t="s">
        <v>15</v>
      </c>
      <c r="H1603" t="s">
        <v>66</v>
      </c>
      <c r="I1603" s="6">
        <v>0</v>
      </c>
      <c r="J1603" s="6">
        <v>412752</v>
      </c>
      <c r="K1603" t="s">
        <v>67</v>
      </c>
      <c r="L1603" t="s">
        <v>68</v>
      </c>
    </row>
    <row r="1604" spans="1:12" x14ac:dyDescent="0.5">
      <c r="A1604" s="2">
        <v>46027</v>
      </c>
      <c r="B1604" s="3" t="s">
        <v>552</v>
      </c>
      <c r="C1604" s="3" t="s">
        <v>357</v>
      </c>
      <c r="D1604" s="3" t="s">
        <v>358</v>
      </c>
      <c r="E1604" s="4">
        <v>5266477</v>
      </c>
      <c r="F1604" s="3" t="s">
        <v>41</v>
      </c>
      <c r="G1604" s="3" t="s">
        <v>15</v>
      </c>
      <c r="H1604" s="3" t="s">
        <v>119</v>
      </c>
      <c r="I1604" s="4">
        <v>0</v>
      </c>
      <c r="J1604" s="4">
        <v>5266477</v>
      </c>
      <c r="K1604" s="3" t="s">
        <v>120</v>
      </c>
      <c r="L1604" s="3" t="s">
        <v>48</v>
      </c>
    </row>
    <row r="1605" spans="1:12" x14ac:dyDescent="0.5">
      <c r="A1605" s="5">
        <v>46029</v>
      </c>
      <c r="B1605" t="s">
        <v>552</v>
      </c>
      <c r="C1605" t="s">
        <v>261</v>
      </c>
      <c r="D1605" t="s">
        <v>262</v>
      </c>
      <c r="E1605" s="6">
        <v>99899</v>
      </c>
      <c r="F1605" t="s">
        <v>14</v>
      </c>
      <c r="G1605" t="s">
        <v>15</v>
      </c>
      <c r="H1605" t="s">
        <v>24</v>
      </c>
      <c r="I1605" s="6">
        <v>15950</v>
      </c>
      <c r="J1605" s="6">
        <v>83949</v>
      </c>
      <c r="K1605" t="s">
        <v>25</v>
      </c>
      <c r="L1605" t="s">
        <v>26</v>
      </c>
    </row>
    <row r="1606" spans="1:12" x14ac:dyDescent="0.5">
      <c r="A1606" s="2">
        <v>46029</v>
      </c>
      <c r="B1606" s="3" t="s">
        <v>552</v>
      </c>
      <c r="C1606" s="3" t="s">
        <v>337</v>
      </c>
      <c r="D1606" s="3" t="s">
        <v>338</v>
      </c>
      <c r="E1606" s="4">
        <v>103149</v>
      </c>
      <c r="F1606" s="3" t="s">
        <v>14</v>
      </c>
      <c r="G1606" s="3" t="s">
        <v>15</v>
      </c>
      <c r="H1606" s="3" t="s">
        <v>293</v>
      </c>
      <c r="I1606" s="4">
        <v>16469</v>
      </c>
      <c r="J1606" s="4">
        <v>86680</v>
      </c>
      <c r="K1606" s="3" t="s">
        <v>294</v>
      </c>
      <c r="L1606" s="3" t="s">
        <v>26</v>
      </c>
    </row>
    <row r="1607" spans="1:12" x14ac:dyDescent="0.5">
      <c r="A1607" s="5">
        <v>46029</v>
      </c>
      <c r="B1607" t="s">
        <v>552</v>
      </c>
      <c r="C1607" t="s">
        <v>363</v>
      </c>
      <c r="D1607" t="s">
        <v>364</v>
      </c>
      <c r="E1607" s="6">
        <v>111384</v>
      </c>
      <c r="F1607" t="s">
        <v>14</v>
      </c>
      <c r="G1607" t="s">
        <v>15</v>
      </c>
      <c r="H1607" t="s">
        <v>293</v>
      </c>
      <c r="I1607" s="6">
        <v>17784</v>
      </c>
      <c r="J1607" s="6">
        <v>93600</v>
      </c>
      <c r="K1607" t="s">
        <v>294</v>
      </c>
      <c r="L1607" t="s">
        <v>26</v>
      </c>
    </row>
    <row r="1608" spans="1:12" x14ac:dyDescent="0.5">
      <c r="A1608" s="2">
        <v>46029</v>
      </c>
      <c r="B1608" s="3" t="s">
        <v>552</v>
      </c>
      <c r="C1608" s="3" t="s">
        <v>261</v>
      </c>
      <c r="D1608" s="3" t="s">
        <v>262</v>
      </c>
      <c r="E1608" s="4">
        <v>133199</v>
      </c>
      <c r="F1608" s="3" t="s">
        <v>14</v>
      </c>
      <c r="G1608" s="3" t="s">
        <v>15</v>
      </c>
      <c r="H1608" s="3" t="s">
        <v>24</v>
      </c>
      <c r="I1608" s="4">
        <v>21267</v>
      </c>
      <c r="J1608" s="4">
        <v>111932</v>
      </c>
      <c r="K1608" s="3" t="s">
        <v>25</v>
      </c>
      <c r="L1608" s="3" t="s">
        <v>26</v>
      </c>
    </row>
    <row r="1609" spans="1:12" x14ac:dyDescent="0.5">
      <c r="A1609" s="5">
        <v>46030</v>
      </c>
      <c r="B1609" t="s">
        <v>552</v>
      </c>
      <c r="C1609" t="s">
        <v>279</v>
      </c>
      <c r="D1609" t="s">
        <v>280</v>
      </c>
      <c r="E1609" s="6">
        <v>103350</v>
      </c>
      <c r="F1609" t="s">
        <v>14</v>
      </c>
      <c r="G1609" t="s">
        <v>15</v>
      </c>
      <c r="H1609" t="s">
        <v>24</v>
      </c>
      <c r="I1609" s="6">
        <v>16501</v>
      </c>
      <c r="J1609" s="6">
        <v>86849</v>
      </c>
      <c r="K1609" t="s">
        <v>25</v>
      </c>
      <c r="L1609" t="s">
        <v>26</v>
      </c>
    </row>
    <row r="1610" spans="1:12" x14ac:dyDescent="0.5">
      <c r="A1610" s="2">
        <v>46031</v>
      </c>
      <c r="B1610" s="3" t="s">
        <v>552</v>
      </c>
      <c r="C1610" s="3" t="s">
        <v>577</v>
      </c>
      <c r="D1610" s="3" t="s">
        <v>578</v>
      </c>
      <c r="E1610" s="4">
        <v>40500</v>
      </c>
      <c r="F1610" s="3" t="s">
        <v>14</v>
      </c>
      <c r="G1610" s="3" t="s">
        <v>15</v>
      </c>
      <c r="H1610" s="3" t="s">
        <v>293</v>
      </c>
      <c r="I1610" s="4">
        <v>6466</v>
      </c>
      <c r="J1610" s="4">
        <v>34034</v>
      </c>
      <c r="K1610" s="3" t="s">
        <v>294</v>
      </c>
      <c r="L1610" s="3" t="s">
        <v>26</v>
      </c>
    </row>
    <row r="1611" spans="1:12" x14ac:dyDescent="0.5">
      <c r="A1611" s="5">
        <v>46031</v>
      </c>
      <c r="B1611" t="s">
        <v>552</v>
      </c>
      <c r="C1611" t="s">
        <v>593</v>
      </c>
      <c r="D1611" t="s">
        <v>654</v>
      </c>
      <c r="E1611" s="6">
        <v>231098</v>
      </c>
      <c r="F1611" t="s">
        <v>14</v>
      </c>
      <c r="G1611" t="s">
        <v>15</v>
      </c>
      <c r="H1611" t="s">
        <v>24</v>
      </c>
      <c r="I1611" s="6">
        <v>36898</v>
      </c>
      <c r="J1611" s="6">
        <v>194200</v>
      </c>
      <c r="K1611" t="s">
        <v>25</v>
      </c>
      <c r="L1611" t="s">
        <v>26</v>
      </c>
    </row>
    <row r="1612" spans="1:12" x14ac:dyDescent="0.5">
      <c r="A1612" s="2">
        <v>46031</v>
      </c>
      <c r="B1612" s="3" t="s">
        <v>552</v>
      </c>
      <c r="C1612" s="3" t="s">
        <v>271</v>
      </c>
      <c r="D1612" s="3" t="s">
        <v>272</v>
      </c>
      <c r="E1612" s="4">
        <v>336061</v>
      </c>
      <c r="F1612" s="3" t="s">
        <v>14</v>
      </c>
      <c r="G1612" s="3" t="s">
        <v>15</v>
      </c>
      <c r="H1612" s="3" t="s">
        <v>24</v>
      </c>
      <c r="I1612" s="4">
        <v>53657</v>
      </c>
      <c r="J1612" s="4">
        <v>282404</v>
      </c>
      <c r="K1612" s="3" t="s">
        <v>25</v>
      </c>
      <c r="L1612" s="3" t="s">
        <v>26</v>
      </c>
    </row>
    <row r="1613" spans="1:12" x14ac:dyDescent="0.5">
      <c r="A1613" s="5">
        <v>46031</v>
      </c>
      <c r="B1613" t="s">
        <v>552</v>
      </c>
      <c r="C1613" t="s">
        <v>297</v>
      </c>
      <c r="D1613" t="s">
        <v>298</v>
      </c>
      <c r="E1613" s="6">
        <v>399840</v>
      </c>
      <c r="F1613" t="s">
        <v>14</v>
      </c>
      <c r="G1613" t="s">
        <v>15</v>
      </c>
      <c r="H1613" t="s">
        <v>293</v>
      </c>
      <c r="I1613" s="6">
        <v>63840</v>
      </c>
      <c r="J1613" s="6">
        <v>336000</v>
      </c>
      <c r="K1613" t="s">
        <v>294</v>
      </c>
      <c r="L1613" t="s">
        <v>26</v>
      </c>
    </row>
    <row r="1614" spans="1:12" x14ac:dyDescent="0.5">
      <c r="A1614" s="2">
        <v>46031</v>
      </c>
      <c r="B1614" s="3" t="s">
        <v>232</v>
      </c>
      <c r="C1614" s="3" t="s">
        <v>474</v>
      </c>
      <c r="D1614" s="3" t="s">
        <v>668</v>
      </c>
      <c r="E1614" s="4">
        <v>250000</v>
      </c>
      <c r="F1614" s="3" t="s">
        <v>41</v>
      </c>
      <c r="G1614" s="3" t="s">
        <v>15</v>
      </c>
      <c r="H1614" s="3" t="s">
        <v>66</v>
      </c>
      <c r="I1614" s="4">
        <v>0</v>
      </c>
      <c r="J1614" s="4">
        <v>250000</v>
      </c>
      <c r="K1614" s="3" t="s">
        <v>67</v>
      </c>
      <c r="L1614" s="3" t="s">
        <v>68</v>
      </c>
    </row>
    <row r="1615" spans="1:12" x14ac:dyDescent="0.5">
      <c r="A1615" s="5">
        <v>46031</v>
      </c>
      <c r="B1615" t="s">
        <v>552</v>
      </c>
      <c r="C1615" t="s">
        <v>592</v>
      </c>
      <c r="D1615" t="s">
        <v>666</v>
      </c>
      <c r="E1615" s="6">
        <v>130000</v>
      </c>
      <c r="F1615" t="s">
        <v>14</v>
      </c>
      <c r="G1615" t="s">
        <v>15</v>
      </c>
      <c r="H1615" t="s">
        <v>355</v>
      </c>
      <c r="I1615" s="6">
        <v>20756</v>
      </c>
      <c r="J1615" s="6">
        <v>109244</v>
      </c>
      <c r="K1615" t="s">
        <v>356</v>
      </c>
      <c r="L1615" t="s">
        <v>48</v>
      </c>
    </row>
    <row r="1616" spans="1:12" x14ac:dyDescent="0.5">
      <c r="A1616" s="2">
        <v>46031</v>
      </c>
      <c r="B1616" s="3" t="s">
        <v>552</v>
      </c>
      <c r="C1616" s="3" t="s">
        <v>594</v>
      </c>
      <c r="D1616" s="3"/>
      <c r="E1616" s="4">
        <v>5000</v>
      </c>
      <c r="F1616" s="3" t="s">
        <v>41</v>
      </c>
      <c r="G1616" s="3" t="s">
        <v>15</v>
      </c>
      <c r="H1616" s="3"/>
      <c r="I1616" s="4">
        <v>0</v>
      </c>
      <c r="J1616" s="4">
        <v>5000</v>
      </c>
      <c r="K1616" s="3" t="s">
        <v>47</v>
      </c>
      <c r="L1616" s="3" t="s">
        <v>48</v>
      </c>
    </row>
    <row r="1617" spans="1:12" x14ac:dyDescent="0.5">
      <c r="A1617" s="5">
        <v>46034</v>
      </c>
      <c r="B1617" t="s">
        <v>552</v>
      </c>
      <c r="C1617" t="s">
        <v>285</v>
      </c>
      <c r="D1617" t="s">
        <v>286</v>
      </c>
      <c r="E1617" s="6">
        <v>149547</v>
      </c>
      <c r="F1617" t="s">
        <v>14</v>
      </c>
      <c r="G1617" t="s">
        <v>15</v>
      </c>
      <c r="H1617" t="s">
        <v>24</v>
      </c>
      <c r="I1617" s="6">
        <v>23877</v>
      </c>
      <c r="J1617" s="6">
        <v>125670</v>
      </c>
      <c r="K1617" t="s">
        <v>25</v>
      </c>
      <c r="L1617" t="s">
        <v>26</v>
      </c>
    </row>
    <row r="1618" spans="1:12" x14ac:dyDescent="0.5">
      <c r="A1618" s="2">
        <v>46034</v>
      </c>
      <c r="B1618" s="3" t="s">
        <v>552</v>
      </c>
      <c r="C1618" s="3" t="s">
        <v>247</v>
      </c>
      <c r="D1618" s="3" t="s">
        <v>248</v>
      </c>
      <c r="E1618" s="4">
        <v>171645</v>
      </c>
      <c r="F1618" s="3" t="s">
        <v>14</v>
      </c>
      <c r="G1618" s="3" t="s">
        <v>15</v>
      </c>
      <c r="H1618" s="3" t="s">
        <v>24</v>
      </c>
      <c r="I1618" s="4">
        <v>27406</v>
      </c>
      <c r="J1618" s="4">
        <v>144239</v>
      </c>
      <c r="K1618" s="3" t="s">
        <v>25</v>
      </c>
      <c r="L1618" s="3" t="s">
        <v>26</v>
      </c>
    </row>
    <row r="1619" spans="1:12" x14ac:dyDescent="0.5">
      <c r="A1619" s="5">
        <v>46036</v>
      </c>
      <c r="B1619" t="s">
        <v>552</v>
      </c>
      <c r="C1619" t="s">
        <v>253</v>
      </c>
      <c r="D1619" t="s">
        <v>254</v>
      </c>
      <c r="E1619" s="6">
        <v>20900</v>
      </c>
      <c r="F1619" t="s">
        <v>41</v>
      </c>
      <c r="G1619" t="s">
        <v>15</v>
      </c>
      <c r="H1619" t="s">
        <v>255</v>
      </c>
      <c r="I1619" s="6">
        <v>0</v>
      </c>
      <c r="J1619" s="6">
        <v>20900</v>
      </c>
      <c r="K1619" t="s">
        <v>256</v>
      </c>
      <c r="L1619" t="s">
        <v>68</v>
      </c>
    </row>
    <row r="1620" spans="1:12" x14ac:dyDescent="0.5">
      <c r="A1620" s="2">
        <v>46036</v>
      </c>
      <c r="B1620" s="3" t="s">
        <v>232</v>
      </c>
      <c r="C1620" s="3" t="s">
        <v>259</v>
      </c>
      <c r="D1620" s="3" t="s">
        <v>260</v>
      </c>
      <c r="E1620" s="4">
        <v>418204</v>
      </c>
      <c r="F1620" s="3" t="s">
        <v>41</v>
      </c>
      <c r="G1620" s="3" t="s">
        <v>15</v>
      </c>
      <c r="H1620" s="3" t="s">
        <v>66</v>
      </c>
      <c r="I1620" s="4">
        <v>0</v>
      </c>
      <c r="J1620" s="4">
        <v>418204</v>
      </c>
      <c r="K1620" s="3" t="s">
        <v>67</v>
      </c>
      <c r="L1620" s="3" t="s">
        <v>68</v>
      </c>
    </row>
    <row r="1621" spans="1:12" x14ac:dyDescent="0.5">
      <c r="A1621" s="5">
        <v>46036</v>
      </c>
      <c r="B1621" t="s">
        <v>552</v>
      </c>
      <c r="C1621" t="s">
        <v>401</v>
      </c>
      <c r="D1621" t="s">
        <v>643</v>
      </c>
      <c r="E1621" s="6">
        <v>156283</v>
      </c>
      <c r="F1621" t="s">
        <v>14</v>
      </c>
      <c r="G1621" t="s">
        <v>15</v>
      </c>
      <c r="H1621" t="s">
        <v>212</v>
      </c>
      <c r="I1621" s="6">
        <v>24953</v>
      </c>
      <c r="J1621" s="6">
        <v>131330</v>
      </c>
      <c r="K1621" t="s">
        <v>213</v>
      </c>
      <c r="L1621" t="s">
        <v>48</v>
      </c>
    </row>
    <row r="1622" spans="1:12" x14ac:dyDescent="0.5">
      <c r="A1622" s="2">
        <v>46036</v>
      </c>
      <c r="B1622" s="3" t="s">
        <v>552</v>
      </c>
      <c r="C1622" s="3" t="s">
        <v>289</v>
      </c>
      <c r="D1622" s="3" t="s">
        <v>290</v>
      </c>
      <c r="E1622" s="4">
        <v>1430679</v>
      </c>
      <c r="F1622" s="3" t="s">
        <v>14</v>
      </c>
      <c r="G1622" s="3" t="s">
        <v>15</v>
      </c>
      <c r="H1622" s="3" t="s">
        <v>16</v>
      </c>
      <c r="I1622" s="4">
        <v>228428</v>
      </c>
      <c r="J1622" s="4">
        <v>1202251</v>
      </c>
      <c r="K1622" s="3" t="s">
        <v>17</v>
      </c>
      <c r="L1622" s="3" t="s">
        <v>18</v>
      </c>
    </row>
    <row r="1623" spans="1:12" x14ac:dyDescent="0.5">
      <c r="A1623" s="5">
        <v>46037</v>
      </c>
      <c r="B1623" t="s">
        <v>552</v>
      </c>
      <c r="C1623" t="s">
        <v>261</v>
      </c>
      <c r="D1623" t="s">
        <v>262</v>
      </c>
      <c r="E1623" s="6">
        <v>99899</v>
      </c>
      <c r="F1623" t="s">
        <v>14</v>
      </c>
      <c r="G1623" t="s">
        <v>15</v>
      </c>
      <c r="H1623" t="s">
        <v>24</v>
      </c>
      <c r="I1623" s="6">
        <v>15950</v>
      </c>
      <c r="J1623" s="6">
        <v>83949</v>
      </c>
      <c r="K1623" t="s">
        <v>25</v>
      </c>
      <c r="L1623" t="s">
        <v>26</v>
      </c>
    </row>
    <row r="1624" spans="1:12" x14ac:dyDescent="0.5">
      <c r="A1624" s="2">
        <v>46037</v>
      </c>
      <c r="B1624" s="3" t="s">
        <v>552</v>
      </c>
      <c r="C1624" s="3" t="s">
        <v>261</v>
      </c>
      <c r="D1624" s="3" t="s">
        <v>262</v>
      </c>
      <c r="E1624" s="4">
        <v>99899</v>
      </c>
      <c r="F1624" s="3" t="s">
        <v>14</v>
      </c>
      <c r="G1624" s="3" t="s">
        <v>15</v>
      </c>
      <c r="H1624" s="3" t="s">
        <v>24</v>
      </c>
      <c r="I1624" s="4">
        <v>15950</v>
      </c>
      <c r="J1624" s="4">
        <v>83949</v>
      </c>
      <c r="K1624" s="3" t="s">
        <v>25</v>
      </c>
      <c r="L1624" s="3" t="s">
        <v>26</v>
      </c>
    </row>
    <row r="1625" spans="1:12" x14ac:dyDescent="0.5">
      <c r="A1625" s="5">
        <v>46037</v>
      </c>
      <c r="B1625" t="s">
        <v>552</v>
      </c>
      <c r="C1625" t="s">
        <v>261</v>
      </c>
      <c r="D1625" t="s">
        <v>262</v>
      </c>
      <c r="E1625" s="6">
        <v>126002</v>
      </c>
      <c r="F1625" t="s">
        <v>14</v>
      </c>
      <c r="G1625" t="s">
        <v>15</v>
      </c>
      <c r="H1625" t="s">
        <v>24</v>
      </c>
      <c r="I1625" s="6">
        <v>20118</v>
      </c>
      <c r="J1625" s="6">
        <v>105884</v>
      </c>
      <c r="K1625" t="s">
        <v>25</v>
      </c>
      <c r="L1625" t="s">
        <v>26</v>
      </c>
    </row>
    <row r="1626" spans="1:12" x14ac:dyDescent="0.5">
      <c r="A1626" s="2">
        <v>46037</v>
      </c>
      <c r="B1626" s="3" t="s">
        <v>552</v>
      </c>
      <c r="C1626" s="3" t="s">
        <v>247</v>
      </c>
      <c r="D1626" s="3" t="s">
        <v>248</v>
      </c>
      <c r="E1626" s="4">
        <v>162417</v>
      </c>
      <c r="F1626" s="3" t="s">
        <v>14</v>
      </c>
      <c r="G1626" s="3" t="s">
        <v>15</v>
      </c>
      <c r="H1626" s="3" t="s">
        <v>24</v>
      </c>
      <c r="I1626" s="4">
        <v>25932</v>
      </c>
      <c r="J1626" s="4">
        <v>136485</v>
      </c>
      <c r="K1626" s="3" t="s">
        <v>25</v>
      </c>
      <c r="L1626" s="3" t="s">
        <v>26</v>
      </c>
    </row>
    <row r="1627" spans="1:12" x14ac:dyDescent="0.5">
      <c r="A1627" s="5">
        <v>46037</v>
      </c>
      <c r="B1627" t="s">
        <v>232</v>
      </c>
      <c r="C1627" t="s">
        <v>251</v>
      </c>
      <c r="D1627" t="s">
        <v>252</v>
      </c>
      <c r="E1627" s="6">
        <v>300000</v>
      </c>
      <c r="F1627" t="s">
        <v>41</v>
      </c>
      <c r="G1627" t="s">
        <v>15</v>
      </c>
      <c r="H1627" t="s">
        <v>66</v>
      </c>
      <c r="I1627" s="6">
        <v>0</v>
      </c>
      <c r="J1627" s="6">
        <v>300000</v>
      </c>
      <c r="K1627" t="s">
        <v>67</v>
      </c>
      <c r="L1627" t="s">
        <v>68</v>
      </c>
    </row>
    <row r="1628" spans="1:12" x14ac:dyDescent="0.5">
      <c r="A1628" s="2">
        <v>46037</v>
      </c>
      <c r="B1628" s="3" t="s">
        <v>552</v>
      </c>
      <c r="C1628" s="3" t="s">
        <v>596</v>
      </c>
      <c r="D1628" s="3" t="s">
        <v>677</v>
      </c>
      <c r="E1628" s="4">
        <v>743750</v>
      </c>
      <c r="F1628" s="3" t="s">
        <v>14</v>
      </c>
      <c r="G1628" s="3" t="s">
        <v>15</v>
      </c>
      <c r="H1628" s="3" t="s">
        <v>355</v>
      </c>
      <c r="I1628" s="4">
        <v>118750</v>
      </c>
      <c r="J1628" s="4">
        <v>625000</v>
      </c>
      <c r="K1628" s="3" t="s">
        <v>356</v>
      </c>
      <c r="L1628" s="3" t="s">
        <v>48</v>
      </c>
    </row>
    <row r="1629" spans="1:12" x14ac:dyDescent="0.5">
      <c r="A1629" s="5">
        <v>46037</v>
      </c>
      <c r="B1629" t="s">
        <v>552</v>
      </c>
      <c r="C1629" t="s">
        <v>579</v>
      </c>
      <c r="D1629" t="s">
        <v>580</v>
      </c>
      <c r="E1629" s="6">
        <v>98107</v>
      </c>
      <c r="F1629" t="s">
        <v>14</v>
      </c>
      <c r="G1629" t="s">
        <v>15</v>
      </c>
      <c r="H1629" t="s">
        <v>33</v>
      </c>
      <c r="I1629" s="6">
        <v>15664</v>
      </c>
      <c r="J1629" s="6">
        <v>82443</v>
      </c>
      <c r="K1629" t="s">
        <v>34</v>
      </c>
      <c r="L1629" t="s">
        <v>35</v>
      </c>
    </row>
    <row r="1630" spans="1:12" x14ac:dyDescent="0.5">
      <c r="A1630" s="2">
        <v>46038</v>
      </c>
      <c r="B1630" s="3" t="s">
        <v>552</v>
      </c>
      <c r="C1630" s="3" t="s">
        <v>598</v>
      </c>
      <c r="D1630" s="3"/>
      <c r="E1630" s="4">
        <v>1850</v>
      </c>
      <c r="F1630" s="3" t="s">
        <v>41</v>
      </c>
      <c r="G1630" s="3" t="s">
        <v>679</v>
      </c>
      <c r="H1630" s="3"/>
      <c r="I1630" s="4">
        <v>0</v>
      </c>
      <c r="J1630" s="4">
        <v>1850</v>
      </c>
      <c r="K1630" s="3" t="s">
        <v>47</v>
      </c>
      <c r="L1630" s="3" t="s">
        <v>48</v>
      </c>
    </row>
    <row r="1631" spans="1:12" x14ac:dyDescent="0.5">
      <c r="A1631" s="5">
        <v>46041</v>
      </c>
      <c r="B1631" t="s">
        <v>552</v>
      </c>
      <c r="C1631" t="s">
        <v>247</v>
      </c>
      <c r="D1631" t="s">
        <v>248</v>
      </c>
      <c r="E1631" s="6">
        <v>206729</v>
      </c>
      <c r="F1631" t="s">
        <v>14</v>
      </c>
      <c r="G1631" t="s">
        <v>15</v>
      </c>
      <c r="H1631" t="s">
        <v>24</v>
      </c>
      <c r="I1631" s="6">
        <v>33007</v>
      </c>
      <c r="J1631" s="6">
        <v>173722</v>
      </c>
      <c r="K1631" t="s">
        <v>25</v>
      </c>
      <c r="L1631" t="s">
        <v>26</v>
      </c>
    </row>
    <row r="1632" spans="1:12" x14ac:dyDescent="0.5">
      <c r="A1632" s="2">
        <v>46041</v>
      </c>
      <c r="B1632" s="3" t="s">
        <v>552</v>
      </c>
      <c r="C1632" s="3" t="s">
        <v>406</v>
      </c>
      <c r="D1632" s="3" t="s">
        <v>644</v>
      </c>
      <c r="E1632" s="4">
        <v>205941</v>
      </c>
      <c r="F1632" s="3" t="s">
        <v>14</v>
      </c>
      <c r="G1632" s="3" t="s">
        <v>15</v>
      </c>
      <c r="H1632" s="3" t="s">
        <v>517</v>
      </c>
      <c r="I1632" s="4">
        <v>32881</v>
      </c>
      <c r="J1632" s="4">
        <v>173060</v>
      </c>
      <c r="K1632" s="3" t="s">
        <v>516</v>
      </c>
      <c r="L1632" s="3" t="s">
        <v>68</v>
      </c>
    </row>
    <row r="1633" spans="1:12" x14ac:dyDescent="0.5">
      <c r="A1633" s="5">
        <v>46041</v>
      </c>
      <c r="B1633" t="s">
        <v>232</v>
      </c>
      <c r="C1633" t="s">
        <v>259</v>
      </c>
      <c r="D1633" t="s">
        <v>260</v>
      </c>
      <c r="E1633" s="6">
        <v>280000</v>
      </c>
      <c r="F1633" t="s">
        <v>41</v>
      </c>
      <c r="G1633" t="s">
        <v>15</v>
      </c>
      <c r="H1633" t="s">
        <v>66</v>
      </c>
      <c r="I1633" s="6">
        <v>0</v>
      </c>
      <c r="J1633" s="6">
        <v>280000</v>
      </c>
      <c r="K1633" t="s">
        <v>67</v>
      </c>
      <c r="L1633" t="s">
        <v>68</v>
      </c>
    </row>
    <row r="1634" spans="1:12" x14ac:dyDescent="0.5">
      <c r="A1634" s="2">
        <v>46041</v>
      </c>
      <c r="B1634" s="3" t="s">
        <v>552</v>
      </c>
      <c r="C1634" s="3" t="s">
        <v>269</v>
      </c>
      <c r="D1634" s="3" t="s">
        <v>270</v>
      </c>
      <c r="E1634" s="4">
        <v>230662</v>
      </c>
      <c r="F1634" s="3" t="s">
        <v>41</v>
      </c>
      <c r="G1634" s="3" t="s">
        <v>15</v>
      </c>
      <c r="H1634" s="3" t="s">
        <v>46</v>
      </c>
      <c r="I1634" s="4">
        <v>0</v>
      </c>
      <c r="J1634" s="4">
        <v>230662</v>
      </c>
      <c r="K1634" s="3" t="s">
        <v>47</v>
      </c>
      <c r="L1634" s="3" t="s">
        <v>48</v>
      </c>
    </row>
    <row r="1635" spans="1:12" x14ac:dyDescent="0.5">
      <c r="A1635" s="5">
        <v>46041</v>
      </c>
      <c r="B1635" t="s">
        <v>232</v>
      </c>
      <c r="C1635" t="s">
        <v>305</v>
      </c>
      <c r="D1635" t="s">
        <v>306</v>
      </c>
      <c r="E1635" s="6">
        <v>100000</v>
      </c>
      <c r="F1635" t="s">
        <v>41</v>
      </c>
      <c r="G1635" t="s">
        <v>15</v>
      </c>
      <c r="H1635" t="s">
        <v>307</v>
      </c>
      <c r="I1635" s="6">
        <v>0</v>
      </c>
      <c r="J1635" s="6">
        <v>100000</v>
      </c>
      <c r="K1635" t="s">
        <v>308</v>
      </c>
      <c r="L1635" t="s">
        <v>144</v>
      </c>
    </row>
    <row r="1636" spans="1:12" x14ac:dyDescent="0.5">
      <c r="A1636" s="2">
        <v>46041</v>
      </c>
      <c r="B1636" s="3" t="s">
        <v>552</v>
      </c>
      <c r="C1636" s="3" t="s">
        <v>273</v>
      </c>
      <c r="D1636" s="3" t="s">
        <v>274</v>
      </c>
      <c r="E1636" s="4">
        <v>551976</v>
      </c>
      <c r="F1636" s="3" t="s">
        <v>14</v>
      </c>
      <c r="G1636" s="3" t="s">
        <v>15</v>
      </c>
      <c r="H1636" s="3" t="s">
        <v>20</v>
      </c>
      <c r="I1636" s="4">
        <v>88131</v>
      </c>
      <c r="J1636" s="4">
        <v>463845</v>
      </c>
      <c r="K1636" s="3" t="s">
        <v>21</v>
      </c>
      <c r="L1636" s="3" t="s">
        <v>22</v>
      </c>
    </row>
    <row r="1637" spans="1:12" x14ac:dyDescent="0.5">
      <c r="A1637" s="5">
        <v>46042</v>
      </c>
      <c r="B1637" t="s">
        <v>232</v>
      </c>
      <c r="C1637" t="s">
        <v>603</v>
      </c>
      <c r="D1637" t="s">
        <v>668</v>
      </c>
      <c r="E1637" s="6">
        <v>300000</v>
      </c>
      <c r="F1637" t="s">
        <v>41</v>
      </c>
      <c r="G1637" t="s">
        <v>15</v>
      </c>
      <c r="H1637" t="s">
        <v>66</v>
      </c>
      <c r="I1637" s="6">
        <v>0</v>
      </c>
      <c r="J1637" s="6">
        <v>300000</v>
      </c>
      <c r="K1637" t="s">
        <v>67</v>
      </c>
      <c r="L1637" t="s">
        <v>68</v>
      </c>
    </row>
    <row r="1638" spans="1:12" x14ac:dyDescent="0.5">
      <c r="A1638" s="2">
        <v>46043</v>
      </c>
      <c r="B1638" s="3" t="s">
        <v>552</v>
      </c>
      <c r="C1638" s="3" t="s">
        <v>279</v>
      </c>
      <c r="D1638" s="3" t="s">
        <v>280</v>
      </c>
      <c r="E1638" s="4">
        <v>106730</v>
      </c>
      <c r="F1638" s="3" t="s">
        <v>14</v>
      </c>
      <c r="G1638" s="3" t="s">
        <v>15</v>
      </c>
      <c r="H1638" s="3" t="s">
        <v>24</v>
      </c>
      <c r="I1638" s="4">
        <v>17041</v>
      </c>
      <c r="J1638" s="4">
        <v>89689</v>
      </c>
      <c r="K1638" s="3" t="s">
        <v>25</v>
      </c>
      <c r="L1638" s="3" t="s">
        <v>26</v>
      </c>
    </row>
    <row r="1639" spans="1:12" x14ac:dyDescent="0.5">
      <c r="A1639" s="5">
        <v>46043</v>
      </c>
      <c r="B1639" t="s">
        <v>232</v>
      </c>
      <c r="C1639" t="s">
        <v>605</v>
      </c>
      <c r="D1639" t="s">
        <v>668</v>
      </c>
      <c r="E1639" s="6">
        <v>25380</v>
      </c>
      <c r="F1639" t="s">
        <v>41</v>
      </c>
      <c r="G1639" t="s">
        <v>15</v>
      </c>
      <c r="H1639" t="s">
        <v>66</v>
      </c>
      <c r="I1639" s="6">
        <v>0</v>
      </c>
      <c r="J1639" s="6">
        <v>25380</v>
      </c>
      <c r="K1639" t="s">
        <v>67</v>
      </c>
      <c r="L1639" t="s">
        <v>68</v>
      </c>
    </row>
    <row r="1640" spans="1:12" x14ac:dyDescent="0.5">
      <c r="A1640" s="2">
        <v>46043</v>
      </c>
      <c r="B1640" s="3" t="s">
        <v>232</v>
      </c>
      <c r="C1640" s="3" t="s">
        <v>249</v>
      </c>
      <c r="D1640" s="3" t="s">
        <v>250</v>
      </c>
      <c r="E1640" s="4">
        <v>32474</v>
      </c>
      <c r="F1640" s="3" t="s">
        <v>41</v>
      </c>
      <c r="G1640" s="3" t="s">
        <v>15</v>
      </c>
      <c r="H1640" s="3" t="s">
        <v>66</v>
      </c>
      <c r="I1640" s="4">
        <v>0</v>
      </c>
      <c r="J1640" s="4">
        <v>32474</v>
      </c>
      <c r="K1640" s="3" t="s">
        <v>67</v>
      </c>
      <c r="L1640" s="3" t="s">
        <v>68</v>
      </c>
    </row>
    <row r="1641" spans="1:12" x14ac:dyDescent="0.5">
      <c r="A1641" s="5">
        <v>46043</v>
      </c>
      <c r="B1641" t="s">
        <v>232</v>
      </c>
      <c r="C1641" t="s">
        <v>604</v>
      </c>
      <c r="D1641" t="s">
        <v>668</v>
      </c>
      <c r="E1641" s="6">
        <v>214500</v>
      </c>
      <c r="F1641" t="s">
        <v>41</v>
      </c>
      <c r="G1641" t="s">
        <v>15</v>
      </c>
      <c r="H1641" t="s">
        <v>66</v>
      </c>
      <c r="I1641" s="6">
        <v>0</v>
      </c>
      <c r="J1641" s="6">
        <v>214500</v>
      </c>
      <c r="K1641" t="s">
        <v>67</v>
      </c>
      <c r="L1641" t="s">
        <v>68</v>
      </c>
    </row>
    <row r="1642" spans="1:12" x14ac:dyDescent="0.5">
      <c r="A1642" s="2">
        <v>46043</v>
      </c>
      <c r="B1642" s="3" t="s">
        <v>552</v>
      </c>
      <c r="C1642" s="3" t="s">
        <v>380</v>
      </c>
      <c r="D1642" s="3" t="s">
        <v>641</v>
      </c>
      <c r="E1642" s="4">
        <v>36890</v>
      </c>
      <c r="F1642" s="3" t="s">
        <v>14</v>
      </c>
      <c r="G1642" s="3" t="s">
        <v>15</v>
      </c>
      <c r="H1642" s="3" t="s">
        <v>46</v>
      </c>
      <c r="I1642" s="4">
        <v>5890</v>
      </c>
      <c r="J1642" s="4">
        <v>31000</v>
      </c>
      <c r="K1642" s="3" t="s">
        <v>47</v>
      </c>
      <c r="L1642" s="3" t="s">
        <v>48</v>
      </c>
    </row>
    <row r="1643" spans="1:12" x14ac:dyDescent="0.5">
      <c r="A1643" s="5">
        <v>46044</v>
      </c>
      <c r="B1643" t="s">
        <v>552</v>
      </c>
      <c r="C1643" t="s">
        <v>261</v>
      </c>
      <c r="D1643" t="s">
        <v>262</v>
      </c>
      <c r="E1643" s="6">
        <v>91799</v>
      </c>
      <c r="F1643" t="s">
        <v>14</v>
      </c>
      <c r="G1643" t="s">
        <v>15</v>
      </c>
      <c r="H1643" t="s">
        <v>24</v>
      </c>
      <c r="I1643" s="6">
        <v>14657</v>
      </c>
      <c r="J1643" s="6">
        <v>77142</v>
      </c>
      <c r="K1643" t="s">
        <v>25</v>
      </c>
      <c r="L1643" t="s">
        <v>26</v>
      </c>
    </row>
    <row r="1644" spans="1:12" x14ac:dyDescent="0.5">
      <c r="A1644" s="2">
        <v>46044</v>
      </c>
      <c r="B1644" s="3" t="s">
        <v>552</v>
      </c>
      <c r="C1644" s="3" t="s">
        <v>261</v>
      </c>
      <c r="D1644" s="3" t="s">
        <v>262</v>
      </c>
      <c r="E1644" s="4">
        <v>91799</v>
      </c>
      <c r="F1644" s="3" t="s">
        <v>14</v>
      </c>
      <c r="G1644" s="3" t="s">
        <v>15</v>
      </c>
      <c r="H1644" s="3" t="s">
        <v>24</v>
      </c>
      <c r="I1644" s="4">
        <v>14657</v>
      </c>
      <c r="J1644" s="4">
        <v>77142</v>
      </c>
      <c r="K1644" s="3" t="s">
        <v>25</v>
      </c>
      <c r="L1644" s="3" t="s">
        <v>26</v>
      </c>
    </row>
    <row r="1645" spans="1:12" x14ac:dyDescent="0.5">
      <c r="A1645" s="5">
        <v>46044</v>
      </c>
      <c r="B1645" t="s">
        <v>552</v>
      </c>
      <c r="C1645" t="s">
        <v>261</v>
      </c>
      <c r="D1645" t="s">
        <v>262</v>
      </c>
      <c r="E1645" s="6">
        <v>91799</v>
      </c>
      <c r="F1645" t="s">
        <v>14</v>
      </c>
      <c r="G1645" t="s">
        <v>15</v>
      </c>
      <c r="H1645" t="s">
        <v>24</v>
      </c>
      <c r="I1645" s="6">
        <v>14657</v>
      </c>
      <c r="J1645" s="6">
        <v>77142</v>
      </c>
      <c r="K1645" t="s">
        <v>25</v>
      </c>
      <c r="L1645" t="s">
        <v>26</v>
      </c>
    </row>
    <row r="1646" spans="1:12" x14ac:dyDescent="0.5">
      <c r="A1646" s="2">
        <v>46044</v>
      </c>
      <c r="B1646" s="3" t="s">
        <v>552</v>
      </c>
      <c r="C1646" s="3" t="s">
        <v>261</v>
      </c>
      <c r="D1646" s="3" t="s">
        <v>262</v>
      </c>
      <c r="E1646" s="4">
        <v>91799</v>
      </c>
      <c r="F1646" s="3" t="s">
        <v>14</v>
      </c>
      <c r="G1646" s="3" t="s">
        <v>15</v>
      </c>
      <c r="H1646" s="3" t="s">
        <v>24</v>
      </c>
      <c r="I1646" s="4">
        <v>14657</v>
      </c>
      <c r="J1646" s="4">
        <v>77142</v>
      </c>
      <c r="K1646" s="3" t="s">
        <v>25</v>
      </c>
      <c r="L1646" s="3" t="s">
        <v>26</v>
      </c>
    </row>
    <row r="1647" spans="1:12" x14ac:dyDescent="0.5">
      <c r="A1647" s="5">
        <v>46044</v>
      </c>
      <c r="B1647" t="s">
        <v>552</v>
      </c>
      <c r="C1647" t="s">
        <v>261</v>
      </c>
      <c r="D1647" t="s">
        <v>262</v>
      </c>
      <c r="E1647" s="6">
        <v>91799</v>
      </c>
      <c r="F1647" t="s">
        <v>14</v>
      </c>
      <c r="G1647" t="s">
        <v>15</v>
      </c>
      <c r="H1647" t="s">
        <v>24</v>
      </c>
      <c r="I1647" s="6">
        <v>14657</v>
      </c>
      <c r="J1647" s="6">
        <v>77142</v>
      </c>
      <c r="K1647" t="s">
        <v>25</v>
      </c>
      <c r="L1647" t="s">
        <v>26</v>
      </c>
    </row>
    <row r="1648" spans="1:12" x14ac:dyDescent="0.5">
      <c r="A1648" s="2">
        <v>46044</v>
      </c>
      <c r="B1648" s="3" t="s">
        <v>552</v>
      </c>
      <c r="C1648" s="3" t="s">
        <v>261</v>
      </c>
      <c r="D1648" s="3" t="s">
        <v>262</v>
      </c>
      <c r="E1648" s="4">
        <v>91799</v>
      </c>
      <c r="F1648" s="3" t="s">
        <v>14</v>
      </c>
      <c r="G1648" s="3" t="s">
        <v>15</v>
      </c>
      <c r="H1648" s="3" t="s">
        <v>24</v>
      </c>
      <c r="I1648" s="4">
        <v>14657</v>
      </c>
      <c r="J1648" s="4">
        <v>77142</v>
      </c>
      <c r="K1648" s="3" t="s">
        <v>25</v>
      </c>
      <c r="L1648" s="3" t="s">
        <v>26</v>
      </c>
    </row>
    <row r="1649" spans="1:12" x14ac:dyDescent="0.5">
      <c r="A1649" s="5">
        <v>46044</v>
      </c>
      <c r="B1649" t="s">
        <v>552</v>
      </c>
      <c r="C1649" t="s">
        <v>261</v>
      </c>
      <c r="D1649" t="s">
        <v>262</v>
      </c>
      <c r="E1649" s="6">
        <v>122399</v>
      </c>
      <c r="F1649" t="s">
        <v>14</v>
      </c>
      <c r="G1649" t="s">
        <v>15</v>
      </c>
      <c r="H1649" t="s">
        <v>24</v>
      </c>
      <c r="I1649" s="6">
        <v>19543</v>
      </c>
      <c r="J1649" s="6">
        <v>102856</v>
      </c>
      <c r="K1649" t="s">
        <v>25</v>
      </c>
      <c r="L1649" t="s">
        <v>26</v>
      </c>
    </row>
    <row r="1650" spans="1:12" x14ac:dyDescent="0.5">
      <c r="A1650" s="2">
        <v>46044</v>
      </c>
      <c r="B1650" s="3" t="s">
        <v>552</v>
      </c>
      <c r="C1650" s="3" t="s">
        <v>247</v>
      </c>
      <c r="D1650" s="3" t="s">
        <v>248</v>
      </c>
      <c r="E1650" s="4">
        <v>213603</v>
      </c>
      <c r="F1650" s="3" t="s">
        <v>14</v>
      </c>
      <c r="G1650" s="3" t="s">
        <v>15</v>
      </c>
      <c r="H1650" s="3" t="s">
        <v>24</v>
      </c>
      <c r="I1650" s="4">
        <v>34105</v>
      </c>
      <c r="J1650" s="4">
        <v>179498</v>
      </c>
      <c r="K1650" s="3" t="s">
        <v>25</v>
      </c>
      <c r="L1650" s="3" t="s">
        <v>26</v>
      </c>
    </row>
    <row r="1651" spans="1:12" x14ac:dyDescent="0.5">
      <c r="A1651" s="5">
        <v>46044</v>
      </c>
      <c r="B1651" t="s">
        <v>552</v>
      </c>
      <c r="C1651" t="s">
        <v>607</v>
      </c>
      <c r="E1651" s="6">
        <v>4800</v>
      </c>
      <c r="F1651" t="s">
        <v>41</v>
      </c>
      <c r="G1651" t="s">
        <v>679</v>
      </c>
      <c r="I1651" s="6">
        <v>0</v>
      </c>
      <c r="J1651" s="6">
        <v>4800</v>
      </c>
      <c r="K1651" t="s">
        <v>47</v>
      </c>
      <c r="L1651" t="s">
        <v>48</v>
      </c>
    </row>
    <row r="1652" spans="1:12" x14ac:dyDescent="0.5">
      <c r="A1652" s="2">
        <v>46045</v>
      </c>
      <c r="B1652" s="3" t="s">
        <v>552</v>
      </c>
      <c r="C1652" s="3" t="s">
        <v>285</v>
      </c>
      <c r="D1652" s="3" t="s">
        <v>286</v>
      </c>
      <c r="E1652" s="4">
        <v>143850</v>
      </c>
      <c r="F1652" s="3" t="s">
        <v>14</v>
      </c>
      <c r="G1652" s="3" t="s">
        <v>15</v>
      </c>
      <c r="H1652" s="3" t="s">
        <v>24</v>
      </c>
      <c r="I1652" s="4">
        <v>22968</v>
      </c>
      <c r="J1652" s="4">
        <v>120882</v>
      </c>
      <c r="K1652" s="3" t="s">
        <v>25</v>
      </c>
      <c r="L1652" s="3" t="s">
        <v>26</v>
      </c>
    </row>
    <row r="1653" spans="1:12" x14ac:dyDescent="0.5">
      <c r="A1653" s="5">
        <v>46045</v>
      </c>
      <c r="B1653" t="s">
        <v>552</v>
      </c>
      <c r="C1653" t="s">
        <v>247</v>
      </c>
      <c r="D1653" t="s">
        <v>248</v>
      </c>
      <c r="E1653" s="6">
        <v>206729</v>
      </c>
      <c r="F1653" t="s">
        <v>14</v>
      </c>
      <c r="G1653" t="s">
        <v>15</v>
      </c>
      <c r="H1653" t="s">
        <v>24</v>
      </c>
      <c r="I1653" s="6">
        <v>33007</v>
      </c>
      <c r="J1653" s="6">
        <v>173722</v>
      </c>
      <c r="K1653" t="s">
        <v>25</v>
      </c>
      <c r="L1653" t="s">
        <v>26</v>
      </c>
    </row>
    <row r="1654" spans="1:12" x14ac:dyDescent="0.5">
      <c r="A1654" s="2">
        <v>46045</v>
      </c>
      <c r="B1654" s="3" t="s">
        <v>552</v>
      </c>
      <c r="C1654" s="3" t="s">
        <v>335</v>
      </c>
      <c r="D1654" s="3" t="s">
        <v>336</v>
      </c>
      <c r="E1654" s="4">
        <v>327360</v>
      </c>
      <c r="F1654" s="3" t="s">
        <v>14</v>
      </c>
      <c r="G1654" s="3" t="s">
        <v>15</v>
      </c>
      <c r="H1654" s="3" t="s">
        <v>24</v>
      </c>
      <c r="I1654" s="4">
        <v>52268</v>
      </c>
      <c r="J1654" s="4">
        <v>275092</v>
      </c>
      <c r="K1654" s="3" t="s">
        <v>25</v>
      </c>
      <c r="L1654" s="3" t="s">
        <v>26</v>
      </c>
    </row>
    <row r="1655" spans="1:12" x14ac:dyDescent="0.5">
      <c r="A1655" s="5">
        <v>46045</v>
      </c>
      <c r="B1655" t="s">
        <v>552</v>
      </c>
      <c r="C1655" t="s">
        <v>297</v>
      </c>
      <c r="D1655" t="s">
        <v>298</v>
      </c>
      <c r="E1655" s="6">
        <v>589050</v>
      </c>
      <c r="F1655" t="s">
        <v>14</v>
      </c>
      <c r="G1655" t="s">
        <v>15</v>
      </c>
      <c r="H1655" t="s">
        <v>293</v>
      </c>
      <c r="I1655" s="6">
        <v>94050</v>
      </c>
      <c r="J1655" s="6">
        <v>495000</v>
      </c>
      <c r="K1655" t="s">
        <v>294</v>
      </c>
      <c r="L1655" t="s">
        <v>26</v>
      </c>
    </row>
    <row r="1656" spans="1:12" x14ac:dyDescent="0.5">
      <c r="A1656" s="2">
        <v>46050</v>
      </c>
      <c r="B1656" s="3" t="s">
        <v>552</v>
      </c>
      <c r="C1656" s="3" t="s">
        <v>339</v>
      </c>
      <c r="D1656" s="3" t="s">
        <v>340</v>
      </c>
      <c r="E1656" s="4">
        <v>38294</v>
      </c>
      <c r="F1656" s="3" t="s">
        <v>14</v>
      </c>
      <c r="G1656" s="3" t="s">
        <v>15</v>
      </c>
      <c r="H1656" s="3" t="s">
        <v>293</v>
      </c>
      <c r="I1656" s="4">
        <v>6114</v>
      </c>
      <c r="J1656" s="4">
        <v>32180</v>
      </c>
      <c r="K1656" s="3" t="s">
        <v>294</v>
      </c>
      <c r="L1656" s="3" t="s">
        <v>26</v>
      </c>
    </row>
    <row r="1657" spans="1:12" x14ac:dyDescent="0.5">
      <c r="A1657" s="5">
        <v>46050</v>
      </c>
      <c r="B1657" t="s">
        <v>552</v>
      </c>
      <c r="C1657" t="s">
        <v>297</v>
      </c>
      <c r="D1657" t="s">
        <v>298</v>
      </c>
      <c r="E1657" s="6">
        <v>599760</v>
      </c>
      <c r="F1657" t="s">
        <v>14</v>
      </c>
      <c r="G1657" t="s">
        <v>15</v>
      </c>
      <c r="H1657" t="s">
        <v>293</v>
      </c>
      <c r="I1657" s="6">
        <v>95760</v>
      </c>
      <c r="J1657" s="6">
        <v>504000</v>
      </c>
      <c r="K1657" t="s">
        <v>294</v>
      </c>
      <c r="L1657" t="s">
        <v>26</v>
      </c>
    </row>
    <row r="1658" spans="1:12" x14ac:dyDescent="0.5">
      <c r="A1658" s="2">
        <v>46050</v>
      </c>
      <c r="B1658" s="3" t="s">
        <v>232</v>
      </c>
      <c r="C1658" s="3" t="s">
        <v>249</v>
      </c>
      <c r="D1658" s="3" t="s">
        <v>250</v>
      </c>
      <c r="E1658" s="4">
        <v>100000</v>
      </c>
      <c r="F1658" s="3" t="s">
        <v>41</v>
      </c>
      <c r="G1658" s="3" t="s">
        <v>15</v>
      </c>
      <c r="H1658" s="3" t="s">
        <v>66</v>
      </c>
      <c r="I1658" s="4">
        <v>0</v>
      </c>
      <c r="J1658" s="4">
        <v>100000</v>
      </c>
      <c r="K1658" s="3" t="s">
        <v>67</v>
      </c>
      <c r="L1658" s="3" t="s">
        <v>68</v>
      </c>
    </row>
    <row r="1659" spans="1:12" x14ac:dyDescent="0.5">
      <c r="A1659" s="5">
        <v>46050</v>
      </c>
      <c r="B1659" t="s">
        <v>552</v>
      </c>
      <c r="C1659" t="s">
        <v>253</v>
      </c>
      <c r="D1659" t="s">
        <v>254</v>
      </c>
      <c r="E1659" s="6">
        <v>109415</v>
      </c>
      <c r="F1659" t="s">
        <v>41</v>
      </c>
      <c r="G1659" t="s">
        <v>15</v>
      </c>
      <c r="H1659" t="s">
        <v>255</v>
      </c>
      <c r="I1659" s="6">
        <v>0</v>
      </c>
      <c r="J1659" s="6">
        <v>109415</v>
      </c>
      <c r="K1659" t="s">
        <v>256</v>
      </c>
      <c r="L1659" t="s">
        <v>68</v>
      </c>
    </row>
    <row r="1660" spans="1:12" x14ac:dyDescent="0.5">
      <c r="A1660" s="2">
        <v>46052</v>
      </c>
      <c r="B1660" s="3" t="s">
        <v>552</v>
      </c>
      <c r="C1660" s="3" t="s">
        <v>253</v>
      </c>
      <c r="D1660" s="3" t="s">
        <v>254</v>
      </c>
      <c r="E1660" s="4">
        <v>104125</v>
      </c>
      <c r="F1660" s="3" t="s">
        <v>41</v>
      </c>
      <c r="G1660" s="3" t="s">
        <v>15</v>
      </c>
      <c r="H1660" s="3" t="s">
        <v>255</v>
      </c>
      <c r="I1660" s="4">
        <v>0</v>
      </c>
      <c r="J1660" s="4">
        <v>104125</v>
      </c>
      <c r="K1660" s="3" t="s">
        <v>256</v>
      </c>
      <c r="L1660" s="3" t="s">
        <v>68</v>
      </c>
    </row>
    <row r="1661" spans="1:12" x14ac:dyDescent="0.5">
      <c r="A1661" s="5">
        <v>46055</v>
      </c>
      <c r="B1661" t="s">
        <v>552</v>
      </c>
      <c r="C1661" t="s">
        <v>608</v>
      </c>
      <c r="D1661" t="s">
        <v>668</v>
      </c>
      <c r="E1661" s="6">
        <v>25650</v>
      </c>
      <c r="F1661" t="s">
        <v>41</v>
      </c>
      <c r="G1661" t="s">
        <v>15</v>
      </c>
      <c r="H1661" t="s">
        <v>66</v>
      </c>
      <c r="I1661" s="6">
        <v>0</v>
      </c>
      <c r="J1661" s="6">
        <v>25650</v>
      </c>
      <c r="K1661" t="s">
        <v>67</v>
      </c>
      <c r="L1661" t="s">
        <v>68</v>
      </c>
    </row>
    <row r="1662" spans="1:12" x14ac:dyDescent="0.5">
      <c r="A1662" s="2">
        <v>46055</v>
      </c>
      <c r="B1662" s="3" t="s">
        <v>552</v>
      </c>
      <c r="C1662" s="3" t="s">
        <v>480</v>
      </c>
      <c r="D1662" s="3" t="s">
        <v>668</v>
      </c>
      <c r="E1662" s="4">
        <v>53438</v>
      </c>
      <c r="F1662" s="3" t="s">
        <v>41</v>
      </c>
      <c r="G1662" s="3" t="s">
        <v>15</v>
      </c>
      <c r="H1662" s="3" t="s">
        <v>66</v>
      </c>
      <c r="I1662" s="4">
        <v>0</v>
      </c>
      <c r="J1662" s="4">
        <v>53438</v>
      </c>
      <c r="K1662" s="3" t="s">
        <v>67</v>
      </c>
      <c r="L1662" s="3" t="s">
        <v>68</v>
      </c>
    </row>
    <row r="1663" spans="1:12" x14ac:dyDescent="0.5">
      <c r="A1663" s="5">
        <v>46055</v>
      </c>
      <c r="B1663" t="s">
        <v>552</v>
      </c>
      <c r="C1663" t="s">
        <v>609</v>
      </c>
      <c r="D1663" t="s">
        <v>668</v>
      </c>
      <c r="E1663" s="6">
        <v>67065</v>
      </c>
      <c r="F1663" t="s">
        <v>41</v>
      </c>
      <c r="G1663" t="s">
        <v>15</v>
      </c>
      <c r="H1663" t="s">
        <v>66</v>
      </c>
      <c r="I1663" s="6">
        <v>0</v>
      </c>
      <c r="J1663" s="6">
        <v>67065</v>
      </c>
      <c r="K1663" t="s">
        <v>67</v>
      </c>
      <c r="L1663" t="s">
        <v>68</v>
      </c>
    </row>
    <row r="1664" spans="1:12" x14ac:dyDescent="0.5">
      <c r="A1664" s="2">
        <v>46055</v>
      </c>
      <c r="B1664" s="3" t="s">
        <v>552</v>
      </c>
      <c r="C1664" s="3" t="s">
        <v>582</v>
      </c>
      <c r="D1664" s="3" t="s">
        <v>668</v>
      </c>
      <c r="E1664" s="4">
        <v>100000</v>
      </c>
      <c r="F1664" s="3" t="s">
        <v>41</v>
      </c>
      <c r="G1664" s="3" t="s">
        <v>15</v>
      </c>
      <c r="H1664" s="3" t="s">
        <v>66</v>
      </c>
      <c r="I1664" s="4">
        <v>0</v>
      </c>
      <c r="J1664" s="4">
        <v>100000</v>
      </c>
      <c r="K1664" s="3" t="s">
        <v>67</v>
      </c>
      <c r="L1664" s="3" t="s">
        <v>68</v>
      </c>
    </row>
    <row r="1665" spans="1:12" x14ac:dyDescent="0.5">
      <c r="A1665" s="5">
        <v>46055</v>
      </c>
      <c r="B1665" t="s">
        <v>552</v>
      </c>
      <c r="C1665" t="s">
        <v>583</v>
      </c>
      <c r="D1665" t="s">
        <v>668</v>
      </c>
      <c r="E1665" s="6">
        <v>100000</v>
      </c>
      <c r="F1665" t="s">
        <v>41</v>
      </c>
      <c r="G1665" t="s">
        <v>15</v>
      </c>
      <c r="H1665" t="s">
        <v>66</v>
      </c>
      <c r="I1665" s="6">
        <v>0</v>
      </c>
      <c r="J1665" s="6">
        <v>100000</v>
      </c>
      <c r="K1665" t="s">
        <v>67</v>
      </c>
      <c r="L1665" t="s">
        <v>68</v>
      </c>
    </row>
    <row r="1666" spans="1:12" x14ac:dyDescent="0.5">
      <c r="A1666" s="2">
        <v>46055</v>
      </c>
      <c r="B1666" s="3" t="s">
        <v>560</v>
      </c>
      <c r="C1666" s="3" t="s">
        <v>323</v>
      </c>
      <c r="D1666" s="3" t="s">
        <v>324</v>
      </c>
      <c r="E1666" s="4">
        <v>110000</v>
      </c>
      <c r="F1666" s="3" t="s">
        <v>14</v>
      </c>
      <c r="G1666" s="3" t="s">
        <v>15</v>
      </c>
      <c r="H1666" s="3" t="s">
        <v>267</v>
      </c>
      <c r="I1666" s="4">
        <v>17563</v>
      </c>
      <c r="J1666" s="4">
        <v>92437</v>
      </c>
      <c r="K1666" s="3" t="s">
        <v>268</v>
      </c>
      <c r="L1666" s="3" t="s">
        <v>68</v>
      </c>
    </row>
    <row r="1667" spans="1:12" x14ac:dyDescent="0.5">
      <c r="A1667" s="5">
        <v>46055</v>
      </c>
      <c r="B1667" t="s">
        <v>552</v>
      </c>
      <c r="C1667" t="s">
        <v>581</v>
      </c>
      <c r="D1667" t="s">
        <v>668</v>
      </c>
      <c r="E1667" s="6">
        <v>135000</v>
      </c>
      <c r="F1667" t="s">
        <v>41</v>
      </c>
      <c r="G1667" t="s">
        <v>15</v>
      </c>
      <c r="H1667" t="s">
        <v>66</v>
      </c>
      <c r="I1667" s="6">
        <v>0</v>
      </c>
      <c r="J1667" s="6">
        <v>135000</v>
      </c>
      <c r="K1667" t="s">
        <v>67</v>
      </c>
      <c r="L1667" t="s">
        <v>68</v>
      </c>
    </row>
    <row r="1668" spans="1:12" x14ac:dyDescent="0.5">
      <c r="A1668" s="2">
        <v>46055</v>
      </c>
      <c r="B1668" s="3" t="s">
        <v>552</v>
      </c>
      <c r="C1668" s="3" t="s">
        <v>251</v>
      </c>
      <c r="D1668" s="3" t="s">
        <v>252</v>
      </c>
      <c r="E1668" s="4">
        <v>400312</v>
      </c>
      <c r="F1668" s="3" t="s">
        <v>41</v>
      </c>
      <c r="G1668" s="3" t="s">
        <v>15</v>
      </c>
      <c r="H1668" s="3" t="s">
        <v>66</v>
      </c>
      <c r="I1668" s="4">
        <v>0</v>
      </c>
      <c r="J1668" s="4">
        <v>400312</v>
      </c>
      <c r="K1668" s="3" t="s">
        <v>67</v>
      </c>
      <c r="L1668" s="3" t="s">
        <v>68</v>
      </c>
    </row>
    <row r="1669" spans="1:12" x14ac:dyDescent="0.5">
      <c r="A1669" s="5">
        <v>46055</v>
      </c>
      <c r="B1669" t="s">
        <v>552</v>
      </c>
      <c r="C1669" t="s">
        <v>481</v>
      </c>
      <c r="D1669" t="s">
        <v>676</v>
      </c>
      <c r="E1669" s="6">
        <v>650655</v>
      </c>
      <c r="F1669" t="s">
        <v>41</v>
      </c>
      <c r="G1669" t="s">
        <v>15</v>
      </c>
      <c r="H1669" t="s">
        <v>66</v>
      </c>
      <c r="I1669" s="6">
        <v>0</v>
      </c>
      <c r="J1669" s="6">
        <v>650655</v>
      </c>
      <c r="K1669" t="s">
        <v>67</v>
      </c>
      <c r="L1669" t="s">
        <v>68</v>
      </c>
    </row>
    <row r="1670" spans="1:12" x14ac:dyDescent="0.5">
      <c r="A1670" s="2">
        <v>46055</v>
      </c>
      <c r="B1670" s="3" t="s">
        <v>560</v>
      </c>
      <c r="C1670" s="3" t="s">
        <v>253</v>
      </c>
      <c r="D1670" s="3" t="s">
        <v>254</v>
      </c>
      <c r="E1670" s="4">
        <v>700000</v>
      </c>
      <c r="F1670" s="3" t="s">
        <v>41</v>
      </c>
      <c r="G1670" s="3" t="s">
        <v>15</v>
      </c>
      <c r="H1670" s="3" t="s">
        <v>255</v>
      </c>
      <c r="I1670" s="4">
        <v>0</v>
      </c>
      <c r="J1670" s="4">
        <v>700000</v>
      </c>
      <c r="K1670" s="3" t="s">
        <v>256</v>
      </c>
      <c r="L1670" s="3" t="s">
        <v>68</v>
      </c>
    </row>
    <row r="1671" spans="1:12" x14ac:dyDescent="0.5">
      <c r="A1671" s="5">
        <v>46055</v>
      </c>
      <c r="B1671" t="s">
        <v>552</v>
      </c>
      <c r="C1671" t="s">
        <v>259</v>
      </c>
      <c r="D1671" t="s">
        <v>260</v>
      </c>
      <c r="E1671" s="6">
        <v>800000</v>
      </c>
      <c r="F1671" t="s">
        <v>41</v>
      </c>
      <c r="G1671" t="s">
        <v>15</v>
      </c>
      <c r="H1671" t="s">
        <v>66</v>
      </c>
      <c r="I1671" s="6">
        <v>0</v>
      </c>
      <c r="J1671" s="6">
        <v>800000</v>
      </c>
      <c r="K1671" t="s">
        <v>67</v>
      </c>
      <c r="L1671" t="s">
        <v>68</v>
      </c>
    </row>
    <row r="1672" spans="1:12" x14ac:dyDescent="0.5">
      <c r="A1672" s="2">
        <v>46055</v>
      </c>
      <c r="B1672" s="3" t="s">
        <v>552</v>
      </c>
      <c r="C1672" s="3" t="s">
        <v>329</v>
      </c>
      <c r="D1672" s="3" t="s">
        <v>330</v>
      </c>
      <c r="E1672" s="4">
        <v>825400</v>
      </c>
      <c r="F1672" s="3" t="s">
        <v>41</v>
      </c>
      <c r="G1672" s="3" t="s">
        <v>15</v>
      </c>
      <c r="H1672" s="3" t="s">
        <v>66</v>
      </c>
      <c r="I1672" s="4">
        <v>0</v>
      </c>
      <c r="J1672" s="4">
        <v>825400</v>
      </c>
      <c r="K1672" s="3" t="s">
        <v>67</v>
      </c>
      <c r="L1672" s="3" t="s">
        <v>68</v>
      </c>
    </row>
    <row r="1673" spans="1:12" x14ac:dyDescent="0.5">
      <c r="A1673" s="5">
        <v>46055</v>
      </c>
      <c r="B1673" t="s">
        <v>552</v>
      </c>
      <c r="C1673" t="s">
        <v>249</v>
      </c>
      <c r="D1673" t="s">
        <v>250</v>
      </c>
      <c r="E1673" s="6">
        <v>1027503</v>
      </c>
      <c r="F1673" t="s">
        <v>41</v>
      </c>
      <c r="G1673" t="s">
        <v>15</v>
      </c>
      <c r="H1673" t="s">
        <v>66</v>
      </c>
      <c r="I1673" s="6">
        <v>0</v>
      </c>
      <c r="J1673" s="6">
        <v>1027503</v>
      </c>
      <c r="K1673" t="s">
        <v>67</v>
      </c>
      <c r="L1673" t="s">
        <v>68</v>
      </c>
    </row>
    <row r="1674" spans="1:12" x14ac:dyDescent="0.5">
      <c r="A1674" s="2">
        <v>46055</v>
      </c>
      <c r="B1674" s="3" t="s">
        <v>552</v>
      </c>
      <c r="C1674" s="3" t="s">
        <v>305</v>
      </c>
      <c r="D1674" s="3" t="s">
        <v>306</v>
      </c>
      <c r="E1674" s="4">
        <v>551261</v>
      </c>
      <c r="F1674" s="3" t="s">
        <v>41</v>
      </c>
      <c r="G1674" s="3" t="s">
        <v>15</v>
      </c>
      <c r="H1674" s="3" t="s">
        <v>307</v>
      </c>
      <c r="I1674" s="4">
        <v>0</v>
      </c>
      <c r="J1674" s="4">
        <v>551261</v>
      </c>
      <c r="K1674" s="3" t="s">
        <v>308</v>
      </c>
      <c r="L1674" s="3" t="s">
        <v>144</v>
      </c>
    </row>
    <row r="1675" spans="1:12" x14ac:dyDescent="0.5">
      <c r="A1675" s="5">
        <v>46056</v>
      </c>
      <c r="B1675" t="s">
        <v>552</v>
      </c>
      <c r="C1675" t="s">
        <v>610</v>
      </c>
      <c r="D1675" t="s">
        <v>668</v>
      </c>
      <c r="E1675" s="6">
        <v>25650</v>
      </c>
      <c r="F1675" t="s">
        <v>41</v>
      </c>
      <c r="G1675" t="s">
        <v>15</v>
      </c>
      <c r="H1675" t="s">
        <v>66</v>
      </c>
      <c r="I1675" s="6">
        <v>0</v>
      </c>
      <c r="J1675" s="6">
        <v>25650</v>
      </c>
      <c r="K1675" t="s">
        <v>67</v>
      </c>
      <c r="L1675" t="s">
        <v>68</v>
      </c>
    </row>
    <row r="1676" spans="1:12" x14ac:dyDescent="0.5">
      <c r="A1676" s="2">
        <v>46056</v>
      </c>
      <c r="B1676" s="3" t="s">
        <v>560</v>
      </c>
      <c r="C1676" s="3" t="s">
        <v>611</v>
      </c>
      <c r="D1676" s="3" t="s">
        <v>655</v>
      </c>
      <c r="E1676" s="4">
        <v>500000</v>
      </c>
      <c r="F1676" s="3" t="s">
        <v>41</v>
      </c>
      <c r="G1676" s="3" t="s">
        <v>15</v>
      </c>
      <c r="H1676" s="3" t="s">
        <v>255</v>
      </c>
      <c r="I1676" s="4">
        <v>0</v>
      </c>
      <c r="J1676" s="4">
        <v>500000</v>
      </c>
      <c r="K1676" s="3" t="s">
        <v>256</v>
      </c>
      <c r="L1676" s="3" t="s">
        <v>68</v>
      </c>
    </row>
    <row r="1677" spans="1:12" x14ac:dyDescent="0.5">
      <c r="A1677" s="5">
        <v>46057</v>
      </c>
      <c r="B1677" t="s">
        <v>560</v>
      </c>
      <c r="C1677" t="s">
        <v>596</v>
      </c>
      <c r="D1677" t="s">
        <v>677</v>
      </c>
      <c r="E1677" s="6">
        <v>743750</v>
      </c>
      <c r="F1677" t="s">
        <v>14</v>
      </c>
      <c r="G1677" t="s">
        <v>15</v>
      </c>
      <c r="H1677" t="s">
        <v>355</v>
      </c>
      <c r="I1677" s="6">
        <v>118750</v>
      </c>
      <c r="J1677" s="6">
        <v>625000</v>
      </c>
      <c r="K1677" t="s">
        <v>356</v>
      </c>
      <c r="L1677" t="s">
        <v>48</v>
      </c>
    </row>
    <row r="1678" spans="1:12" x14ac:dyDescent="0.5">
      <c r="A1678" s="2">
        <v>46057</v>
      </c>
      <c r="B1678" s="3" t="s">
        <v>560</v>
      </c>
      <c r="C1678" s="3" t="s">
        <v>273</v>
      </c>
      <c r="D1678" s="3" t="s">
        <v>274</v>
      </c>
      <c r="E1678" s="4">
        <v>535478</v>
      </c>
      <c r="F1678" s="3" t="s">
        <v>14</v>
      </c>
      <c r="G1678" s="3" t="s">
        <v>15</v>
      </c>
      <c r="H1678" s="3" t="s">
        <v>20</v>
      </c>
      <c r="I1678" s="4">
        <v>85496</v>
      </c>
      <c r="J1678" s="4">
        <v>449982</v>
      </c>
      <c r="K1678" s="3" t="s">
        <v>21</v>
      </c>
      <c r="L1678" s="3" t="s">
        <v>22</v>
      </c>
    </row>
    <row r="1679" spans="1:12" x14ac:dyDescent="0.5">
      <c r="A1679" s="5">
        <v>46059</v>
      </c>
      <c r="B1679" t="s">
        <v>560</v>
      </c>
      <c r="C1679" t="s">
        <v>357</v>
      </c>
      <c r="D1679" t="s">
        <v>358</v>
      </c>
      <c r="E1679" s="6">
        <v>3373926</v>
      </c>
      <c r="F1679" t="s">
        <v>41</v>
      </c>
      <c r="G1679" t="s">
        <v>15</v>
      </c>
      <c r="H1679" t="s">
        <v>119</v>
      </c>
      <c r="I1679" s="6">
        <v>0</v>
      </c>
      <c r="J1679" s="6">
        <v>3373926</v>
      </c>
      <c r="K1679" t="s">
        <v>120</v>
      </c>
      <c r="L1679" t="s">
        <v>48</v>
      </c>
    </row>
    <row r="1680" spans="1:12" x14ac:dyDescent="0.5">
      <c r="A1680" s="2">
        <v>46063</v>
      </c>
      <c r="B1680" s="3" t="s">
        <v>560</v>
      </c>
      <c r="C1680" s="3" t="s">
        <v>594</v>
      </c>
      <c r="D1680" s="3"/>
      <c r="E1680" s="4">
        <v>5000</v>
      </c>
      <c r="F1680" s="3" t="s">
        <v>41</v>
      </c>
      <c r="G1680" s="3" t="s">
        <v>15</v>
      </c>
      <c r="H1680" s="3"/>
      <c r="I1680" s="4">
        <v>0</v>
      </c>
      <c r="J1680" s="4">
        <v>5000</v>
      </c>
      <c r="K1680" s="3" t="s">
        <v>47</v>
      </c>
      <c r="L1680" s="3" t="s">
        <v>48</v>
      </c>
    </row>
    <row r="1681" spans="1:12" x14ac:dyDescent="0.5">
      <c r="A1681" s="5">
        <v>46069</v>
      </c>
      <c r="B1681" t="s">
        <v>552</v>
      </c>
      <c r="C1681" t="s">
        <v>329</v>
      </c>
      <c r="D1681" t="s">
        <v>330</v>
      </c>
      <c r="E1681" s="6">
        <v>1000000</v>
      </c>
      <c r="F1681" t="s">
        <v>41</v>
      </c>
      <c r="G1681" t="s">
        <v>15</v>
      </c>
      <c r="H1681" t="s">
        <v>66</v>
      </c>
      <c r="I1681" s="6">
        <v>0</v>
      </c>
      <c r="J1681" s="6">
        <v>1000000</v>
      </c>
      <c r="K1681" t="s">
        <v>67</v>
      </c>
      <c r="L1681" t="s">
        <v>68</v>
      </c>
    </row>
    <row r="1682" spans="1:12" x14ac:dyDescent="0.5">
      <c r="A1682" s="2">
        <v>46069</v>
      </c>
      <c r="B1682" s="3" t="s">
        <v>552</v>
      </c>
      <c r="C1682" s="3" t="s">
        <v>259</v>
      </c>
      <c r="D1682" s="3" t="s">
        <v>260</v>
      </c>
      <c r="E1682" s="4">
        <v>2000000</v>
      </c>
      <c r="F1682" s="3" t="s">
        <v>41</v>
      </c>
      <c r="G1682" s="3" t="s">
        <v>15</v>
      </c>
      <c r="H1682" s="3" t="s">
        <v>66</v>
      </c>
      <c r="I1682" s="4">
        <v>0</v>
      </c>
      <c r="J1682" s="4">
        <v>2000000</v>
      </c>
      <c r="K1682" s="3" t="s">
        <v>67</v>
      </c>
      <c r="L1682" s="3" t="s">
        <v>68</v>
      </c>
    </row>
    <row r="1683" spans="1:12" x14ac:dyDescent="0.5">
      <c r="A1683" s="5">
        <v>46070</v>
      </c>
      <c r="B1683" t="s">
        <v>552</v>
      </c>
      <c r="C1683" t="s">
        <v>251</v>
      </c>
      <c r="D1683" t="s">
        <v>252</v>
      </c>
      <c r="E1683" s="6">
        <v>300000</v>
      </c>
      <c r="F1683" t="s">
        <v>41</v>
      </c>
      <c r="G1683" t="s">
        <v>15</v>
      </c>
      <c r="H1683" t="s">
        <v>66</v>
      </c>
      <c r="I1683" s="6">
        <v>0</v>
      </c>
      <c r="J1683" s="6">
        <v>300000</v>
      </c>
      <c r="K1683" t="s">
        <v>67</v>
      </c>
      <c r="L1683" t="s">
        <v>68</v>
      </c>
    </row>
    <row r="1684" spans="1:12" x14ac:dyDescent="0.5">
      <c r="A1684" s="2">
        <v>46072</v>
      </c>
      <c r="B1684" s="3" t="s">
        <v>560</v>
      </c>
      <c r="C1684" s="3" t="s">
        <v>261</v>
      </c>
      <c r="D1684" s="3" t="s">
        <v>262</v>
      </c>
      <c r="E1684" s="4">
        <v>86405</v>
      </c>
      <c r="F1684" s="3" t="s">
        <v>14</v>
      </c>
      <c r="G1684" s="3" t="s">
        <v>15</v>
      </c>
      <c r="H1684" s="3" t="s">
        <v>24</v>
      </c>
      <c r="I1684" s="4">
        <v>13796</v>
      </c>
      <c r="J1684" s="4">
        <v>72609</v>
      </c>
      <c r="K1684" s="3" t="s">
        <v>25</v>
      </c>
      <c r="L1684" s="3" t="s">
        <v>26</v>
      </c>
    </row>
    <row r="1685" spans="1:12" x14ac:dyDescent="0.5">
      <c r="A1685" s="5">
        <v>46072</v>
      </c>
      <c r="B1685" t="s">
        <v>560</v>
      </c>
      <c r="C1685" t="s">
        <v>261</v>
      </c>
      <c r="D1685" t="s">
        <v>262</v>
      </c>
      <c r="E1685" s="6">
        <v>91799</v>
      </c>
      <c r="F1685" t="s">
        <v>14</v>
      </c>
      <c r="G1685" t="s">
        <v>15</v>
      </c>
      <c r="H1685" t="s">
        <v>24</v>
      </c>
      <c r="I1685" s="6">
        <v>14657</v>
      </c>
      <c r="J1685" s="6">
        <v>77142</v>
      </c>
      <c r="K1685" t="s">
        <v>25</v>
      </c>
      <c r="L1685" t="s">
        <v>26</v>
      </c>
    </row>
    <row r="1686" spans="1:12" x14ac:dyDescent="0.5">
      <c r="A1686" s="2">
        <v>46072</v>
      </c>
      <c r="B1686" s="3" t="s">
        <v>560</v>
      </c>
      <c r="C1686" s="3" t="s">
        <v>261</v>
      </c>
      <c r="D1686" s="3" t="s">
        <v>262</v>
      </c>
      <c r="E1686" s="4">
        <v>91799</v>
      </c>
      <c r="F1686" s="3" t="s">
        <v>14</v>
      </c>
      <c r="G1686" s="3" t="s">
        <v>15</v>
      </c>
      <c r="H1686" s="3" t="s">
        <v>24</v>
      </c>
      <c r="I1686" s="4">
        <v>14657</v>
      </c>
      <c r="J1686" s="4">
        <v>77142</v>
      </c>
      <c r="K1686" s="3" t="s">
        <v>25</v>
      </c>
      <c r="L1686" s="3" t="s">
        <v>26</v>
      </c>
    </row>
    <row r="1687" spans="1:12" x14ac:dyDescent="0.5">
      <c r="A1687" s="5">
        <v>46072</v>
      </c>
      <c r="B1687" t="s">
        <v>560</v>
      </c>
      <c r="C1687" t="s">
        <v>261</v>
      </c>
      <c r="D1687" t="s">
        <v>262</v>
      </c>
      <c r="E1687" s="6">
        <v>91799</v>
      </c>
      <c r="F1687" t="s">
        <v>14</v>
      </c>
      <c r="G1687" t="s">
        <v>15</v>
      </c>
      <c r="H1687" t="s">
        <v>24</v>
      </c>
      <c r="I1687" s="6">
        <v>14657</v>
      </c>
      <c r="J1687" s="6">
        <v>77142</v>
      </c>
      <c r="K1687" t="s">
        <v>25</v>
      </c>
      <c r="L1687" t="s">
        <v>26</v>
      </c>
    </row>
    <row r="1688" spans="1:12" x14ac:dyDescent="0.5">
      <c r="A1688" s="2">
        <v>46072</v>
      </c>
      <c r="B1688" s="3" t="s">
        <v>560</v>
      </c>
      <c r="C1688" s="3" t="s">
        <v>611</v>
      </c>
      <c r="D1688" s="3" t="s">
        <v>655</v>
      </c>
      <c r="E1688" s="4">
        <v>785200</v>
      </c>
      <c r="F1688" s="3" t="s">
        <v>41</v>
      </c>
      <c r="G1688" s="3" t="s">
        <v>15</v>
      </c>
      <c r="H1688" s="3" t="s">
        <v>255</v>
      </c>
      <c r="I1688" s="4">
        <v>0</v>
      </c>
      <c r="J1688" s="4">
        <v>785200</v>
      </c>
      <c r="K1688" s="3" t="s">
        <v>256</v>
      </c>
      <c r="L1688" s="3" t="s">
        <v>68</v>
      </c>
    </row>
    <row r="1689" spans="1:12" x14ac:dyDescent="0.5">
      <c r="A1689" s="5">
        <v>46073</v>
      </c>
      <c r="B1689" t="s">
        <v>560</v>
      </c>
      <c r="C1689" t="s">
        <v>303</v>
      </c>
      <c r="D1689" t="s">
        <v>304</v>
      </c>
      <c r="E1689" s="6">
        <v>21783</v>
      </c>
      <c r="F1689" t="s">
        <v>14</v>
      </c>
      <c r="G1689" t="s">
        <v>15</v>
      </c>
      <c r="H1689" t="s">
        <v>24</v>
      </c>
      <c r="I1689" s="6">
        <v>3478</v>
      </c>
      <c r="J1689" s="6">
        <v>18305</v>
      </c>
      <c r="K1689" t="s">
        <v>25</v>
      </c>
      <c r="L1689" t="s">
        <v>26</v>
      </c>
    </row>
    <row r="1690" spans="1:12" x14ac:dyDescent="0.5">
      <c r="A1690" s="2">
        <v>46073</v>
      </c>
      <c r="B1690" s="3" t="s">
        <v>560</v>
      </c>
      <c r="C1690" s="3" t="s">
        <v>303</v>
      </c>
      <c r="D1690" s="3" t="s">
        <v>304</v>
      </c>
      <c r="E1690" s="4">
        <v>61494</v>
      </c>
      <c r="F1690" s="3" t="s">
        <v>14</v>
      </c>
      <c r="G1690" s="3" t="s">
        <v>15</v>
      </c>
      <c r="H1690" s="3" t="s">
        <v>24</v>
      </c>
      <c r="I1690" s="4">
        <v>9818</v>
      </c>
      <c r="J1690" s="4">
        <v>51676</v>
      </c>
      <c r="K1690" s="3" t="s">
        <v>25</v>
      </c>
      <c r="L1690" s="3" t="s">
        <v>26</v>
      </c>
    </row>
    <row r="1691" spans="1:12" x14ac:dyDescent="0.5">
      <c r="A1691" s="5">
        <v>46073</v>
      </c>
      <c r="B1691" t="s">
        <v>560</v>
      </c>
      <c r="C1691" t="s">
        <v>263</v>
      </c>
      <c r="D1691" t="s">
        <v>264</v>
      </c>
      <c r="E1691" s="6">
        <v>287980</v>
      </c>
      <c r="F1691" t="s">
        <v>14</v>
      </c>
      <c r="G1691" t="s">
        <v>15</v>
      </c>
      <c r="H1691" t="s">
        <v>24</v>
      </c>
      <c r="I1691" s="6">
        <v>45980</v>
      </c>
      <c r="J1691" s="6">
        <v>242000</v>
      </c>
      <c r="K1691" t="s">
        <v>25</v>
      </c>
      <c r="L1691" t="s">
        <v>26</v>
      </c>
    </row>
    <row r="1692" spans="1:12" x14ac:dyDescent="0.5">
      <c r="A1692" s="2">
        <v>46073</v>
      </c>
      <c r="B1692" s="3" t="s">
        <v>552</v>
      </c>
      <c r="C1692" s="3" t="s">
        <v>249</v>
      </c>
      <c r="D1692" s="3" t="s">
        <v>250</v>
      </c>
      <c r="E1692" s="4">
        <v>385125</v>
      </c>
      <c r="F1692" s="3" t="s">
        <v>41</v>
      </c>
      <c r="G1692" s="3" t="s">
        <v>15</v>
      </c>
      <c r="H1692" s="3" t="s">
        <v>66</v>
      </c>
      <c r="I1692" s="4">
        <v>0</v>
      </c>
      <c r="J1692" s="4">
        <v>385125</v>
      </c>
      <c r="K1692" s="3" t="s">
        <v>67</v>
      </c>
      <c r="L1692" s="3" t="s">
        <v>68</v>
      </c>
    </row>
    <row r="1693" spans="1:12" x14ac:dyDescent="0.5">
      <c r="A1693" s="5">
        <v>46073</v>
      </c>
      <c r="B1693" t="s">
        <v>560</v>
      </c>
      <c r="C1693" t="s">
        <v>289</v>
      </c>
      <c r="D1693" t="s">
        <v>290</v>
      </c>
      <c r="E1693" s="6">
        <v>787290</v>
      </c>
      <c r="F1693" t="s">
        <v>14</v>
      </c>
      <c r="G1693" t="s">
        <v>15</v>
      </c>
      <c r="H1693" t="s">
        <v>16</v>
      </c>
      <c r="I1693" s="6">
        <v>125702</v>
      </c>
      <c r="J1693" s="6">
        <v>661588</v>
      </c>
      <c r="K1693" t="s">
        <v>17</v>
      </c>
      <c r="L1693" t="s">
        <v>18</v>
      </c>
    </row>
    <row r="1694" spans="1:12" x14ac:dyDescent="0.5">
      <c r="A1694" s="2">
        <v>46077</v>
      </c>
      <c r="B1694" s="3" t="s">
        <v>552</v>
      </c>
      <c r="C1694" s="3" t="s">
        <v>249</v>
      </c>
      <c r="D1694" s="3" t="s">
        <v>250</v>
      </c>
      <c r="E1694" s="4">
        <v>12980</v>
      </c>
      <c r="F1694" s="3" t="s">
        <v>41</v>
      </c>
      <c r="G1694" s="3" t="s">
        <v>15</v>
      </c>
      <c r="H1694" s="3" t="s">
        <v>66</v>
      </c>
      <c r="I1694" s="4">
        <v>0</v>
      </c>
      <c r="J1694" s="4">
        <v>12980</v>
      </c>
      <c r="K1694" s="3" t="s">
        <v>67</v>
      </c>
      <c r="L1694" s="3" t="s">
        <v>68</v>
      </c>
    </row>
    <row r="1695" spans="1:12" x14ac:dyDescent="0.5">
      <c r="A1695" s="5">
        <v>46077</v>
      </c>
      <c r="B1695" t="s">
        <v>560</v>
      </c>
      <c r="C1695" t="s">
        <v>345</v>
      </c>
      <c r="D1695" t="s">
        <v>346</v>
      </c>
      <c r="E1695" s="6">
        <v>13328</v>
      </c>
      <c r="F1695" t="s">
        <v>14</v>
      </c>
      <c r="G1695" t="s">
        <v>15</v>
      </c>
      <c r="H1695" t="s">
        <v>347</v>
      </c>
      <c r="I1695" s="6">
        <v>2128</v>
      </c>
      <c r="J1695" s="6">
        <v>11200</v>
      </c>
      <c r="K1695" t="s">
        <v>348</v>
      </c>
      <c r="L1695" t="s">
        <v>22</v>
      </c>
    </row>
    <row r="1696" spans="1:12" x14ac:dyDescent="0.5">
      <c r="A1696" s="2">
        <v>46078</v>
      </c>
      <c r="B1696" s="3" t="s">
        <v>560</v>
      </c>
      <c r="C1696" s="3" t="s">
        <v>279</v>
      </c>
      <c r="D1696" s="3" t="s">
        <v>280</v>
      </c>
      <c r="E1696" s="4">
        <v>193181</v>
      </c>
      <c r="F1696" s="3" t="s">
        <v>14</v>
      </c>
      <c r="G1696" s="3" t="s">
        <v>15</v>
      </c>
      <c r="H1696" s="3" t="s">
        <v>24</v>
      </c>
      <c r="I1696" s="4">
        <v>30844</v>
      </c>
      <c r="J1696" s="4">
        <v>162337</v>
      </c>
      <c r="K1696" s="3" t="s">
        <v>25</v>
      </c>
      <c r="L1696" s="3" t="s">
        <v>26</v>
      </c>
    </row>
    <row r="1697" spans="1:12" x14ac:dyDescent="0.5">
      <c r="A1697" s="5">
        <v>46078</v>
      </c>
      <c r="B1697" t="s">
        <v>552</v>
      </c>
      <c r="C1697" t="s">
        <v>249</v>
      </c>
      <c r="D1697" t="s">
        <v>250</v>
      </c>
      <c r="E1697" s="6">
        <v>11940</v>
      </c>
      <c r="F1697" t="s">
        <v>41</v>
      </c>
      <c r="G1697" t="s">
        <v>15</v>
      </c>
      <c r="H1697" t="s">
        <v>66</v>
      </c>
      <c r="I1697" s="6">
        <v>0</v>
      </c>
      <c r="J1697" s="6">
        <v>11940</v>
      </c>
      <c r="K1697" t="s">
        <v>67</v>
      </c>
      <c r="L1697" t="s">
        <v>68</v>
      </c>
    </row>
    <row r="1698" spans="1:12" x14ac:dyDescent="0.5">
      <c r="A1698" s="2">
        <v>46078</v>
      </c>
      <c r="B1698" s="3" t="s">
        <v>560</v>
      </c>
      <c r="C1698" s="3" t="s">
        <v>401</v>
      </c>
      <c r="D1698" s="3" t="s">
        <v>643</v>
      </c>
      <c r="E1698" s="4">
        <v>216278</v>
      </c>
      <c r="F1698" s="3" t="s">
        <v>14</v>
      </c>
      <c r="G1698" s="3" t="s">
        <v>15</v>
      </c>
      <c r="H1698" s="3" t="s">
        <v>212</v>
      </c>
      <c r="I1698" s="4">
        <v>34532</v>
      </c>
      <c r="J1698" s="4">
        <v>181746</v>
      </c>
      <c r="K1698" s="3" t="s">
        <v>213</v>
      </c>
      <c r="L1698" s="3" t="s">
        <v>48</v>
      </c>
    </row>
    <row r="1699" spans="1:12" x14ac:dyDescent="0.5">
      <c r="A1699" s="5">
        <v>46078</v>
      </c>
      <c r="B1699" t="s">
        <v>560</v>
      </c>
      <c r="C1699" t="s">
        <v>612</v>
      </c>
      <c r="E1699" s="6">
        <v>45839</v>
      </c>
      <c r="F1699" t="s">
        <v>41</v>
      </c>
      <c r="G1699" t="s">
        <v>15</v>
      </c>
      <c r="I1699" s="6">
        <v>0</v>
      </c>
      <c r="J1699" s="6">
        <v>45839</v>
      </c>
      <c r="K1699" t="s">
        <v>47</v>
      </c>
      <c r="L1699" t="s">
        <v>48</v>
      </c>
    </row>
    <row r="1700" spans="1:12" x14ac:dyDescent="0.5">
      <c r="A1700" s="2">
        <v>46079</v>
      </c>
      <c r="B1700" s="3" t="s">
        <v>552</v>
      </c>
      <c r="C1700" s="3" t="s">
        <v>614</v>
      </c>
      <c r="D1700" s="3" t="s">
        <v>668</v>
      </c>
      <c r="E1700" s="4">
        <v>5681</v>
      </c>
      <c r="F1700" s="3" t="s">
        <v>41</v>
      </c>
      <c r="G1700" s="3" t="s">
        <v>15</v>
      </c>
      <c r="H1700" s="3" t="s">
        <v>66</v>
      </c>
      <c r="I1700" s="4">
        <v>0</v>
      </c>
      <c r="J1700" s="4">
        <v>5681</v>
      </c>
      <c r="K1700" s="3" t="s">
        <v>67</v>
      </c>
      <c r="L1700" s="3" t="s">
        <v>68</v>
      </c>
    </row>
    <row r="1701" spans="1:12" x14ac:dyDescent="0.5">
      <c r="A1701" s="5">
        <v>46079</v>
      </c>
      <c r="B1701" t="s">
        <v>560</v>
      </c>
      <c r="C1701" t="s">
        <v>615</v>
      </c>
      <c r="E1701" s="6">
        <v>700</v>
      </c>
      <c r="F1701" t="s">
        <v>41</v>
      </c>
      <c r="G1701" t="s">
        <v>679</v>
      </c>
      <c r="I1701" s="6">
        <v>0</v>
      </c>
      <c r="J1701" s="6">
        <v>700</v>
      </c>
      <c r="K1701" t="s">
        <v>47</v>
      </c>
      <c r="L1701" t="s">
        <v>48</v>
      </c>
    </row>
    <row r="1702" spans="1:12" x14ac:dyDescent="0.5">
      <c r="A1702" s="2">
        <v>46079</v>
      </c>
      <c r="B1702" s="3" t="s">
        <v>560</v>
      </c>
      <c r="C1702" s="3" t="s">
        <v>613</v>
      </c>
      <c r="D1702" s="3"/>
      <c r="E1702" s="4">
        <v>39024</v>
      </c>
      <c r="F1702" s="3" t="s">
        <v>41</v>
      </c>
      <c r="G1702" s="3" t="s">
        <v>679</v>
      </c>
      <c r="H1702" s="3"/>
      <c r="I1702" s="4">
        <v>0</v>
      </c>
      <c r="J1702" s="4">
        <v>39024</v>
      </c>
      <c r="K1702" s="3" t="s">
        <v>47</v>
      </c>
      <c r="L1702" s="3" t="s">
        <v>48</v>
      </c>
    </row>
    <row r="1703" spans="1:12" x14ac:dyDescent="0.5">
      <c r="A1703" s="5">
        <v>46083</v>
      </c>
      <c r="B1703" t="s">
        <v>568</v>
      </c>
      <c r="C1703" t="s">
        <v>261</v>
      </c>
      <c r="D1703" t="s">
        <v>262</v>
      </c>
      <c r="E1703" s="6">
        <v>86401</v>
      </c>
      <c r="F1703" t="s">
        <v>14</v>
      </c>
      <c r="G1703" t="s">
        <v>15</v>
      </c>
      <c r="H1703" t="s">
        <v>24</v>
      </c>
      <c r="I1703" s="6">
        <v>13795</v>
      </c>
      <c r="J1703" s="6">
        <v>72606</v>
      </c>
      <c r="K1703" t="s">
        <v>25</v>
      </c>
      <c r="L1703" t="s">
        <v>26</v>
      </c>
    </row>
    <row r="1704" spans="1:12" x14ac:dyDescent="0.5">
      <c r="A1704" s="2">
        <v>46083</v>
      </c>
      <c r="B1704" s="3" t="s">
        <v>568</v>
      </c>
      <c r="C1704" s="3" t="s">
        <v>261</v>
      </c>
      <c r="D1704" s="3" t="s">
        <v>262</v>
      </c>
      <c r="E1704" s="4">
        <v>86401</v>
      </c>
      <c r="F1704" s="3" t="s">
        <v>14</v>
      </c>
      <c r="G1704" s="3" t="s">
        <v>15</v>
      </c>
      <c r="H1704" s="3" t="s">
        <v>24</v>
      </c>
      <c r="I1704" s="4">
        <v>13795</v>
      </c>
      <c r="J1704" s="4">
        <v>72606</v>
      </c>
      <c r="K1704" s="3" t="s">
        <v>25</v>
      </c>
      <c r="L1704" s="3" t="s">
        <v>26</v>
      </c>
    </row>
    <row r="1705" spans="1:12" x14ac:dyDescent="0.5">
      <c r="A1705" s="5">
        <v>46083</v>
      </c>
      <c r="B1705" t="s">
        <v>568</v>
      </c>
      <c r="C1705" t="s">
        <v>261</v>
      </c>
      <c r="D1705" t="s">
        <v>262</v>
      </c>
      <c r="E1705" s="6">
        <v>115200</v>
      </c>
      <c r="F1705" t="s">
        <v>14</v>
      </c>
      <c r="G1705" t="s">
        <v>15</v>
      </c>
      <c r="H1705" t="s">
        <v>24</v>
      </c>
      <c r="I1705" s="6">
        <v>18393</v>
      </c>
      <c r="J1705" s="6">
        <v>96807</v>
      </c>
      <c r="K1705" t="s">
        <v>25</v>
      </c>
      <c r="L1705" t="s">
        <v>26</v>
      </c>
    </row>
    <row r="1706" spans="1:12" x14ac:dyDescent="0.5">
      <c r="A1706" s="2">
        <v>46083</v>
      </c>
      <c r="B1706" s="3" t="s">
        <v>560</v>
      </c>
      <c r="C1706" s="3" t="s">
        <v>481</v>
      </c>
      <c r="D1706" s="3" t="s">
        <v>676</v>
      </c>
      <c r="E1706" s="4">
        <v>100000</v>
      </c>
      <c r="F1706" s="3" t="s">
        <v>41</v>
      </c>
      <c r="G1706" s="3" t="s">
        <v>15</v>
      </c>
      <c r="H1706" s="3" t="s">
        <v>66</v>
      </c>
      <c r="I1706" s="4">
        <v>0</v>
      </c>
      <c r="J1706" s="4">
        <v>100000</v>
      </c>
      <c r="K1706" s="3" t="s">
        <v>67</v>
      </c>
      <c r="L1706" s="3" t="s">
        <v>68</v>
      </c>
    </row>
    <row r="1707" spans="1:12" x14ac:dyDescent="0.5">
      <c r="A1707" s="5">
        <v>46083</v>
      </c>
      <c r="B1707" t="s">
        <v>560</v>
      </c>
      <c r="C1707" t="s">
        <v>251</v>
      </c>
      <c r="D1707" t="s">
        <v>252</v>
      </c>
      <c r="E1707" s="6">
        <v>100000</v>
      </c>
      <c r="F1707" t="s">
        <v>41</v>
      </c>
      <c r="G1707" t="s">
        <v>15</v>
      </c>
      <c r="H1707" t="s">
        <v>66</v>
      </c>
      <c r="I1707" s="6">
        <v>0</v>
      </c>
      <c r="J1707" s="6">
        <v>100000</v>
      </c>
      <c r="K1707" t="s">
        <v>67</v>
      </c>
      <c r="L1707" t="s">
        <v>68</v>
      </c>
    </row>
    <row r="1708" spans="1:12" x14ac:dyDescent="0.5">
      <c r="A1708" s="2">
        <v>46083</v>
      </c>
      <c r="B1708" s="3" t="s">
        <v>560</v>
      </c>
      <c r="C1708" s="3" t="s">
        <v>608</v>
      </c>
      <c r="D1708" s="3" t="s">
        <v>668</v>
      </c>
      <c r="E1708" s="4">
        <v>100000</v>
      </c>
      <c r="F1708" s="3" t="s">
        <v>41</v>
      </c>
      <c r="G1708" s="3" t="s">
        <v>15</v>
      </c>
      <c r="H1708" s="3" t="s">
        <v>66</v>
      </c>
      <c r="I1708" s="4">
        <v>0</v>
      </c>
      <c r="J1708" s="4">
        <v>100000</v>
      </c>
      <c r="K1708" s="3" t="s">
        <v>67</v>
      </c>
      <c r="L1708" s="3" t="s">
        <v>68</v>
      </c>
    </row>
    <row r="1709" spans="1:12" x14ac:dyDescent="0.5">
      <c r="A1709" s="5">
        <v>46083</v>
      </c>
      <c r="B1709" t="s">
        <v>560</v>
      </c>
      <c r="C1709" t="s">
        <v>610</v>
      </c>
      <c r="D1709" t="s">
        <v>668</v>
      </c>
      <c r="E1709" s="6">
        <v>100000</v>
      </c>
      <c r="F1709" t="s">
        <v>41</v>
      </c>
      <c r="G1709" t="s">
        <v>15</v>
      </c>
      <c r="H1709" t="s">
        <v>66</v>
      </c>
      <c r="I1709" s="6">
        <v>0</v>
      </c>
      <c r="J1709" s="6">
        <v>100000</v>
      </c>
      <c r="K1709" t="s">
        <v>67</v>
      </c>
      <c r="L1709" t="s">
        <v>68</v>
      </c>
    </row>
    <row r="1710" spans="1:12" x14ac:dyDescent="0.5">
      <c r="A1710" s="2">
        <v>46083</v>
      </c>
      <c r="B1710" s="3" t="s">
        <v>560</v>
      </c>
      <c r="C1710" s="3" t="s">
        <v>583</v>
      </c>
      <c r="D1710" s="3" t="s">
        <v>668</v>
      </c>
      <c r="E1710" s="4">
        <v>152321</v>
      </c>
      <c r="F1710" s="3" t="s">
        <v>41</v>
      </c>
      <c r="G1710" s="3" t="s">
        <v>15</v>
      </c>
      <c r="H1710" s="3" t="s">
        <v>66</v>
      </c>
      <c r="I1710" s="4">
        <v>0</v>
      </c>
      <c r="J1710" s="4">
        <v>152321</v>
      </c>
      <c r="K1710" s="3" t="s">
        <v>67</v>
      </c>
      <c r="L1710" s="3" t="s">
        <v>68</v>
      </c>
    </row>
    <row r="1711" spans="1:12" x14ac:dyDescent="0.5">
      <c r="A1711" s="5">
        <v>46083</v>
      </c>
      <c r="B1711" t="s">
        <v>560</v>
      </c>
      <c r="C1711" t="s">
        <v>480</v>
      </c>
      <c r="D1711" t="s">
        <v>668</v>
      </c>
      <c r="E1711" s="6">
        <v>160313</v>
      </c>
      <c r="F1711" t="s">
        <v>41</v>
      </c>
      <c r="G1711" t="s">
        <v>15</v>
      </c>
      <c r="H1711" t="s">
        <v>66</v>
      </c>
      <c r="I1711" s="6">
        <v>0</v>
      </c>
      <c r="J1711" s="6">
        <v>160313</v>
      </c>
      <c r="K1711" t="s">
        <v>67</v>
      </c>
      <c r="L1711" t="s">
        <v>68</v>
      </c>
    </row>
    <row r="1712" spans="1:12" x14ac:dyDescent="0.5">
      <c r="A1712" s="2">
        <v>46083</v>
      </c>
      <c r="B1712" s="3" t="s">
        <v>560</v>
      </c>
      <c r="C1712" s="3" t="s">
        <v>251</v>
      </c>
      <c r="D1712" s="3" t="s">
        <v>252</v>
      </c>
      <c r="E1712" s="4">
        <v>300312</v>
      </c>
      <c r="F1712" s="3" t="s">
        <v>41</v>
      </c>
      <c r="G1712" s="3" t="s">
        <v>15</v>
      </c>
      <c r="H1712" s="3" t="s">
        <v>66</v>
      </c>
      <c r="I1712" s="4">
        <v>0</v>
      </c>
      <c r="J1712" s="4">
        <v>300312</v>
      </c>
      <c r="K1712" s="3" t="s">
        <v>67</v>
      </c>
      <c r="L1712" s="3" t="s">
        <v>68</v>
      </c>
    </row>
    <row r="1713" spans="1:12" x14ac:dyDescent="0.5">
      <c r="A1713" s="5">
        <v>46083</v>
      </c>
      <c r="B1713" t="s">
        <v>560</v>
      </c>
      <c r="C1713" t="s">
        <v>481</v>
      </c>
      <c r="D1713" t="s">
        <v>676</v>
      </c>
      <c r="E1713" s="6">
        <v>550655</v>
      </c>
      <c r="F1713" t="s">
        <v>41</v>
      </c>
      <c r="G1713" t="s">
        <v>15</v>
      </c>
      <c r="H1713" t="s">
        <v>66</v>
      </c>
      <c r="I1713" s="6">
        <v>0</v>
      </c>
      <c r="J1713" s="6">
        <v>550655</v>
      </c>
      <c r="K1713" t="s">
        <v>67</v>
      </c>
      <c r="L1713" t="s">
        <v>68</v>
      </c>
    </row>
    <row r="1714" spans="1:12" x14ac:dyDescent="0.5">
      <c r="A1714" s="2">
        <v>46083</v>
      </c>
      <c r="B1714" s="3" t="s">
        <v>568</v>
      </c>
      <c r="C1714" s="3" t="s">
        <v>253</v>
      </c>
      <c r="D1714" s="3" t="s">
        <v>254</v>
      </c>
      <c r="E1714" s="4">
        <v>700000</v>
      </c>
      <c r="F1714" s="3" t="s">
        <v>41</v>
      </c>
      <c r="G1714" s="3" t="s">
        <v>15</v>
      </c>
      <c r="H1714" s="3" t="s">
        <v>255</v>
      </c>
      <c r="I1714" s="4">
        <v>0</v>
      </c>
      <c r="J1714" s="4">
        <v>700000</v>
      </c>
      <c r="K1714" s="3" t="s">
        <v>256</v>
      </c>
      <c r="L1714" s="3" t="s">
        <v>68</v>
      </c>
    </row>
    <row r="1715" spans="1:12" x14ac:dyDescent="0.5">
      <c r="A1715" s="5">
        <v>46083</v>
      </c>
      <c r="B1715" t="s">
        <v>560</v>
      </c>
      <c r="C1715" t="s">
        <v>259</v>
      </c>
      <c r="D1715" t="s">
        <v>260</v>
      </c>
      <c r="E1715" s="6">
        <v>800000</v>
      </c>
      <c r="F1715" t="s">
        <v>41</v>
      </c>
      <c r="G1715" t="s">
        <v>15</v>
      </c>
      <c r="H1715" t="s">
        <v>66</v>
      </c>
      <c r="I1715" s="6">
        <v>0</v>
      </c>
      <c r="J1715" s="6">
        <v>800000</v>
      </c>
      <c r="K1715" t="s">
        <v>67</v>
      </c>
      <c r="L1715" t="s">
        <v>68</v>
      </c>
    </row>
    <row r="1716" spans="1:12" x14ac:dyDescent="0.5">
      <c r="A1716" s="2">
        <v>46083</v>
      </c>
      <c r="B1716" s="3" t="s">
        <v>560</v>
      </c>
      <c r="C1716" s="3" t="s">
        <v>329</v>
      </c>
      <c r="D1716" s="3" t="s">
        <v>330</v>
      </c>
      <c r="E1716" s="4">
        <v>825400</v>
      </c>
      <c r="F1716" s="3" t="s">
        <v>41</v>
      </c>
      <c r="G1716" s="3" t="s">
        <v>15</v>
      </c>
      <c r="H1716" s="3" t="s">
        <v>66</v>
      </c>
      <c r="I1716" s="4">
        <v>0</v>
      </c>
      <c r="J1716" s="4">
        <v>825400</v>
      </c>
      <c r="K1716" s="3" t="s">
        <v>67</v>
      </c>
      <c r="L1716" s="3" t="s">
        <v>68</v>
      </c>
    </row>
    <row r="1717" spans="1:12" x14ac:dyDescent="0.5">
      <c r="A1717" s="5">
        <v>46083</v>
      </c>
      <c r="B1717" t="s">
        <v>560</v>
      </c>
      <c r="C1717" t="s">
        <v>249</v>
      </c>
      <c r="D1717" t="s">
        <v>250</v>
      </c>
      <c r="E1717" s="6">
        <v>1118222</v>
      </c>
      <c r="F1717" t="s">
        <v>41</v>
      </c>
      <c r="G1717" t="s">
        <v>15</v>
      </c>
      <c r="H1717" t="s">
        <v>66</v>
      </c>
      <c r="I1717" s="6">
        <v>0</v>
      </c>
      <c r="J1717" s="6">
        <v>1118222</v>
      </c>
      <c r="K1717" t="s">
        <v>67</v>
      </c>
      <c r="L1717" t="s">
        <v>68</v>
      </c>
    </row>
    <row r="1718" spans="1:12" x14ac:dyDescent="0.5">
      <c r="A1718" s="2">
        <v>46083</v>
      </c>
      <c r="B1718" s="3" t="s">
        <v>560</v>
      </c>
      <c r="C1718" s="3" t="s">
        <v>305</v>
      </c>
      <c r="D1718" s="3" t="s">
        <v>306</v>
      </c>
      <c r="E1718" s="4">
        <v>54506</v>
      </c>
      <c r="F1718" s="3" t="s">
        <v>41</v>
      </c>
      <c r="G1718" s="3" t="s">
        <v>15</v>
      </c>
      <c r="H1718" s="3" t="s">
        <v>307</v>
      </c>
      <c r="I1718" s="4">
        <v>0</v>
      </c>
      <c r="J1718" s="4">
        <v>54506</v>
      </c>
      <c r="K1718" s="3" t="s">
        <v>308</v>
      </c>
      <c r="L1718" s="3" t="s">
        <v>144</v>
      </c>
    </row>
    <row r="1719" spans="1:12" x14ac:dyDescent="0.5">
      <c r="A1719" s="5">
        <v>46083</v>
      </c>
      <c r="B1719" t="s">
        <v>560</v>
      </c>
      <c r="C1719" t="s">
        <v>305</v>
      </c>
      <c r="D1719" t="s">
        <v>306</v>
      </c>
      <c r="E1719" s="6">
        <v>551261</v>
      </c>
      <c r="F1719" t="s">
        <v>41</v>
      </c>
      <c r="G1719" t="s">
        <v>15</v>
      </c>
      <c r="H1719" t="s">
        <v>307</v>
      </c>
      <c r="I1719" s="6">
        <v>0</v>
      </c>
      <c r="J1719" s="6">
        <v>551261</v>
      </c>
      <c r="K1719" t="s">
        <v>308</v>
      </c>
      <c r="L1719" t="s">
        <v>144</v>
      </c>
    </row>
    <row r="1720" spans="1:12" x14ac:dyDescent="0.5">
      <c r="A1720" s="2">
        <v>46084</v>
      </c>
      <c r="B1720" s="3" t="s">
        <v>568</v>
      </c>
      <c r="C1720" s="3" t="s">
        <v>253</v>
      </c>
      <c r="D1720" s="3" t="s">
        <v>254</v>
      </c>
      <c r="E1720" s="4">
        <v>16730</v>
      </c>
      <c r="F1720" s="3" t="s">
        <v>41</v>
      </c>
      <c r="G1720" s="3" t="s">
        <v>15</v>
      </c>
      <c r="H1720" s="3" t="s">
        <v>255</v>
      </c>
      <c r="I1720" s="4">
        <v>0</v>
      </c>
      <c r="J1720" s="4">
        <v>16730</v>
      </c>
      <c r="K1720" s="3" t="s">
        <v>256</v>
      </c>
      <c r="L1720" s="3" t="s">
        <v>68</v>
      </c>
    </row>
    <row r="1721" spans="1:12" x14ac:dyDescent="0.5">
      <c r="A1721" s="5">
        <v>46084</v>
      </c>
      <c r="B1721" t="s">
        <v>560</v>
      </c>
      <c r="C1721" t="s">
        <v>249</v>
      </c>
      <c r="D1721" t="s">
        <v>250</v>
      </c>
      <c r="E1721" s="6">
        <v>24870</v>
      </c>
      <c r="F1721" t="s">
        <v>41</v>
      </c>
      <c r="G1721" t="s">
        <v>15</v>
      </c>
      <c r="H1721" t="s">
        <v>66</v>
      </c>
      <c r="I1721" s="6">
        <v>0</v>
      </c>
      <c r="J1721" s="6">
        <v>24870</v>
      </c>
      <c r="K1721" t="s">
        <v>67</v>
      </c>
      <c r="L1721" t="s">
        <v>68</v>
      </c>
    </row>
    <row r="1722" spans="1:12" x14ac:dyDescent="0.5">
      <c r="A1722" s="2">
        <v>46084</v>
      </c>
      <c r="B1722" s="3" t="s">
        <v>568</v>
      </c>
      <c r="C1722" s="3" t="s">
        <v>323</v>
      </c>
      <c r="D1722" s="3" t="s">
        <v>324</v>
      </c>
      <c r="E1722" s="4">
        <v>110000</v>
      </c>
      <c r="F1722" s="3" t="s">
        <v>14</v>
      </c>
      <c r="G1722" s="3" t="s">
        <v>15</v>
      </c>
      <c r="H1722" s="3" t="s">
        <v>267</v>
      </c>
      <c r="I1722" s="4">
        <v>17563</v>
      </c>
      <c r="J1722" s="4">
        <v>92437</v>
      </c>
      <c r="K1722" s="3" t="s">
        <v>268</v>
      </c>
      <c r="L1722" s="3" t="s">
        <v>68</v>
      </c>
    </row>
    <row r="1723" spans="1:12" x14ac:dyDescent="0.5">
      <c r="A1723" s="5">
        <v>46084</v>
      </c>
      <c r="B1723" t="s">
        <v>560</v>
      </c>
      <c r="C1723" t="s">
        <v>582</v>
      </c>
      <c r="D1723" t="s">
        <v>668</v>
      </c>
      <c r="E1723" s="6">
        <v>149467</v>
      </c>
      <c r="F1723" t="s">
        <v>41</v>
      </c>
      <c r="G1723" t="s">
        <v>15</v>
      </c>
      <c r="H1723" t="s">
        <v>66</v>
      </c>
      <c r="I1723" s="6">
        <v>0</v>
      </c>
      <c r="J1723" s="6">
        <v>149467</v>
      </c>
      <c r="K1723" t="s">
        <v>67</v>
      </c>
      <c r="L1723" t="s">
        <v>68</v>
      </c>
    </row>
    <row r="1724" spans="1:12" x14ac:dyDescent="0.5">
      <c r="A1724" s="2">
        <v>46084</v>
      </c>
      <c r="B1724" s="3" t="s">
        <v>568</v>
      </c>
      <c r="C1724" s="3" t="s">
        <v>273</v>
      </c>
      <c r="D1724" s="3" t="s">
        <v>274</v>
      </c>
      <c r="E1724" s="4">
        <v>609973</v>
      </c>
      <c r="F1724" s="3" t="s">
        <v>14</v>
      </c>
      <c r="G1724" s="3" t="s">
        <v>15</v>
      </c>
      <c r="H1724" s="3" t="s">
        <v>20</v>
      </c>
      <c r="I1724" s="4">
        <v>97391</v>
      </c>
      <c r="J1724" s="4">
        <v>512582</v>
      </c>
      <c r="K1724" s="3" t="s">
        <v>21</v>
      </c>
      <c r="L1724" s="3" t="s">
        <v>22</v>
      </c>
    </row>
    <row r="1725" spans="1:12" x14ac:dyDescent="0.5">
      <c r="A1725" s="5">
        <v>46085</v>
      </c>
      <c r="B1725" t="s">
        <v>568</v>
      </c>
      <c r="C1725" t="s">
        <v>311</v>
      </c>
      <c r="D1725" t="s">
        <v>312</v>
      </c>
      <c r="E1725" s="6">
        <v>399840</v>
      </c>
      <c r="F1725" t="s">
        <v>14</v>
      </c>
      <c r="G1725" t="s">
        <v>15</v>
      </c>
      <c r="H1725" t="s">
        <v>24</v>
      </c>
      <c r="I1725" s="6">
        <v>63840</v>
      </c>
      <c r="J1725" s="6">
        <v>336000</v>
      </c>
      <c r="K1725" t="s">
        <v>25</v>
      </c>
      <c r="L1725" t="s">
        <v>26</v>
      </c>
    </row>
    <row r="1726" spans="1:12" x14ac:dyDescent="0.5">
      <c r="A1726" s="2">
        <v>46085</v>
      </c>
      <c r="B1726" s="3" t="s">
        <v>560</v>
      </c>
      <c r="C1726" s="3" t="s">
        <v>249</v>
      </c>
      <c r="D1726" s="3" t="s">
        <v>250</v>
      </c>
      <c r="E1726" s="4">
        <v>39700</v>
      </c>
      <c r="F1726" s="3" t="s">
        <v>41</v>
      </c>
      <c r="G1726" s="3" t="s">
        <v>15</v>
      </c>
      <c r="H1726" s="3" t="s">
        <v>66</v>
      </c>
      <c r="I1726" s="4">
        <v>0</v>
      </c>
      <c r="J1726" s="4">
        <v>39700</v>
      </c>
      <c r="K1726" s="3" t="s">
        <v>67</v>
      </c>
      <c r="L1726" s="3" t="s">
        <v>68</v>
      </c>
    </row>
    <row r="1727" spans="1:12" x14ac:dyDescent="0.5">
      <c r="A1727" s="5">
        <v>46085</v>
      </c>
      <c r="B1727" t="s">
        <v>560</v>
      </c>
      <c r="C1727" t="s">
        <v>609</v>
      </c>
      <c r="D1727" t="s">
        <v>668</v>
      </c>
      <c r="E1727" s="6">
        <v>106666</v>
      </c>
      <c r="F1727" t="s">
        <v>41</v>
      </c>
      <c r="G1727" t="s">
        <v>15</v>
      </c>
      <c r="H1727" t="s">
        <v>66</v>
      </c>
      <c r="I1727" s="6">
        <v>0</v>
      </c>
      <c r="J1727" s="6">
        <v>106666</v>
      </c>
      <c r="K1727" t="s">
        <v>67</v>
      </c>
      <c r="L1727" t="s">
        <v>68</v>
      </c>
    </row>
    <row r="1728" spans="1:12" x14ac:dyDescent="0.5">
      <c r="A1728" s="2">
        <v>46085</v>
      </c>
      <c r="B1728" s="3" t="s">
        <v>568</v>
      </c>
      <c r="C1728" s="3" t="s">
        <v>357</v>
      </c>
      <c r="D1728" s="3" t="s">
        <v>358</v>
      </c>
      <c r="E1728" s="4">
        <v>3384133</v>
      </c>
      <c r="F1728" s="3" t="s">
        <v>41</v>
      </c>
      <c r="G1728" s="3" t="s">
        <v>15</v>
      </c>
      <c r="H1728" s="3" t="s">
        <v>119</v>
      </c>
      <c r="I1728" s="4">
        <v>0</v>
      </c>
      <c r="J1728" s="4">
        <v>3384133</v>
      </c>
      <c r="K1728" s="3" t="s">
        <v>120</v>
      </c>
      <c r="L1728" s="3" t="s">
        <v>48</v>
      </c>
    </row>
    <row r="1729" spans="1:12" x14ac:dyDescent="0.5">
      <c r="A1729" s="5">
        <v>46085</v>
      </c>
      <c r="B1729" t="s">
        <v>568</v>
      </c>
      <c r="C1729" t="s">
        <v>416</v>
      </c>
      <c r="D1729" t="s">
        <v>646</v>
      </c>
      <c r="E1729" s="6">
        <v>773500</v>
      </c>
      <c r="F1729" t="s">
        <v>14</v>
      </c>
      <c r="G1729" t="s">
        <v>15</v>
      </c>
      <c r="H1729" t="s">
        <v>547</v>
      </c>
      <c r="I1729" s="6">
        <v>123500</v>
      </c>
      <c r="J1729" s="6">
        <v>650000</v>
      </c>
      <c r="K1729" t="s">
        <v>530</v>
      </c>
      <c r="L1729" t="s">
        <v>35</v>
      </c>
    </row>
    <row r="1730" spans="1:12" x14ac:dyDescent="0.5">
      <c r="A1730" s="2">
        <v>46087</v>
      </c>
      <c r="B1730" s="3" t="s">
        <v>568</v>
      </c>
      <c r="C1730" s="3" t="s">
        <v>617</v>
      </c>
      <c r="D1730" s="3" t="s">
        <v>664</v>
      </c>
      <c r="E1730" s="4">
        <v>80124</v>
      </c>
      <c r="F1730" s="3" t="s">
        <v>14</v>
      </c>
      <c r="G1730" s="3" t="s">
        <v>15</v>
      </c>
      <c r="H1730" s="3" t="s">
        <v>293</v>
      </c>
      <c r="I1730" s="4">
        <v>12793</v>
      </c>
      <c r="J1730" s="4">
        <v>67331</v>
      </c>
      <c r="K1730" s="3" t="s">
        <v>294</v>
      </c>
      <c r="L1730" s="3" t="s">
        <v>26</v>
      </c>
    </row>
    <row r="1731" spans="1:12" x14ac:dyDescent="0.5">
      <c r="A1731" s="5">
        <v>46087</v>
      </c>
      <c r="B1731" t="s">
        <v>560</v>
      </c>
      <c r="C1731" t="s">
        <v>616</v>
      </c>
      <c r="D1731" t="s">
        <v>668</v>
      </c>
      <c r="E1731" s="6">
        <v>700</v>
      </c>
      <c r="F1731" t="s">
        <v>41</v>
      </c>
      <c r="G1731" t="s">
        <v>15</v>
      </c>
      <c r="H1731" t="s">
        <v>66</v>
      </c>
      <c r="I1731" s="6">
        <v>0</v>
      </c>
      <c r="J1731" s="6">
        <v>700</v>
      </c>
      <c r="K1731" t="s">
        <v>67</v>
      </c>
      <c r="L1731" t="s">
        <v>68</v>
      </c>
    </row>
    <row r="1732" spans="1:12" x14ac:dyDescent="0.5">
      <c r="A1732" s="2">
        <v>46087</v>
      </c>
      <c r="B1732" s="3" t="s">
        <v>568</v>
      </c>
      <c r="C1732" s="3" t="s">
        <v>345</v>
      </c>
      <c r="D1732" s="3" t="s">
        <v>346</v>
      </c>
      <c r="E1732" s="4">
        <v>3332</v>
      </c>
      <c r="F1732" s="3" t="s">
        <v>14</v>
      </c>
      <c r="G1732" s="3" t="s">
        <v>15</v>
      </c>
      <c r="H1732" s="3" t="s">
        <v>347</v>
      </c>
      <c r="I1732" s="4">
        <v>532</v>
      </c>
      <c r="J1732" s="4">
        <v>2800</v>
      </c>
      <c r="K1732" s="3" t="s">
        <v>348</v>
      </c>
      <c r="L1732" s="3" t="s">
        <v>22</v>
      </c>
    </row>
    <row r="1733" spans="1:12" x14ac:dyDescent="0.5">
      <c r="A1733" s="5">
        <v>46090</v>
      </c>
      <c r="B1733" t="s">
        <v>568</v>
      </c>
      <c r="C1733" t="s">
        <v>261</v>
      </c>
      <c r="D1733" t="s">
        <v>262</v>
      </c>
      <c r="E1733" s="6">
        <v>86401</v>
      </c>
      <c r="F1733" t="s">
        <v>14</v>
      </c>
      <c r="G1733" t="s">
        <v>15</v>
      </c>
      <c r="H1733" t="s">
        <v>24</v>
      </c>
      <c r="I1733" s="6">
        <v>13795</v>
      </c>
      <c r="J1733" s="6">
        <v>72606</v>
      </c>
      <c r="K1733" t="s">
        <v>25</v>
      </c>
      <c r="L1733" t="s">
        <v>26</v>
      </c>
    </row>
    <row r="1734" spans="1:12" x14ac:dyDescent="0.5">
      <c r="A1734" s="2">
        <v>46090</v>
      </c>
      <c r="B1734" s="3" t="s">
        <v>568</v>
      </c>
      <c r="C1734" s="3" t="s">
        <v>261</v>
      </c>
      <c r="D1734" s="3" t="s">
        <v>262</v>
      </c>
      <c r="E1734" s="4">
        <v>86401</v>
      </c>
      <c r="F1734" s="3" t="s">
        <v>14</v>
      </c>
      <c r="G1734" s="3" t="s">
        <v>15</v>
      </c>
      <c r="H1734" s="3" t="s">
        <v>24</v>
      </c>
      <c r="I1734" s="4">
        <v>13795</v>
      </c>
      <c r="J1734" s="4">
        <v>72606</v>
      </c>
      <c r="K1734" s="3" t="s">
        <v>25</v>
      </c>
      <c r="L1734" s="3" t="s">
        <v>26</v>
      </c>
    </row>
    <row r="1735" spans="1:12" x14ac:dyDescent="0.5">
      <c r="A1735" s="5">
        <v>46090</v>
      </c>
      <c r="B1735" t="s">
        <v>568</v>
      </c>
      <c r="C1735" t="s">
        <v>285</v>
      </c>
      <c r="D1735" t="s">
        <v>286</v>
      </c>
      <c r="E1735" s="6">
        <v>197637</v>
      </c>
      <c r="F1735" t="s">
        <v>14</v>
      </c>
      <c r="G1735" t="s">
        <v>15</v>
      </c>
      <c r="H1735" t="s">
        <v>24</v>
      </c>
      <c r="I1735" s="6">
        <v>31555</v>
      </c>
      <c r="J1735" s="6">
        <v>166082</v>
      </c>
      <c r="K1735" t="s">
        <v>25</v>
      </c>
      <c r="L1735" t="s">
        <v>26</v>
      </c>
    </row>
    <row r="1736" spans="1:12" x14ac:dyDescent="0.5">
      <c r="A1736" s="2">
        <v>46090</v>
      </c>
      <c r="B1736" s="3" t="s">
        <v>568</v>
      </c>
      <c r="C1736" s="3" t="s">
        <v>618</v>
      </c>
      <c r="D1736" s="3" t="s">
        <v>656</v>
      </c>
      <c r="E1736" s="4">
        <v>20900</v>
      </c>
      <c r="F1736" s="3" t="s">
        <v>14</v>
      </c>
      <c r="G1736" s="3" t="s">
        <v>15</v>
      </c>
      <c r="H1736" s="3" t="s">
        <v>517</v>
      </c>
      <c r="I1736" s="4">
        <v>3337</v>
      </c>
      <c r="J1736" s="4">
        <v>17563</v>
      </c>
      <c r="K1736" s="3" t="s">
        <v>516</v>
      </c>
      <c r="L1736" s="3" t="s">
        <v>68</v>
      </c>
    </row>
    <row r="1737" spans="1:12" x14ac:dyDescent="0.5">
      <c r="A1737" s="5">
        <v>46091</v>
      </c>
      <c r="B1737" t="s">
        <v>568</v>
      </c>
      <c r="C1737" t="s">
        <v>619</v>
      </c>
      <c r="E1737" s="6">
        <v>17990</v>
      </c>
      <c r="F1737" t="s">
        <v>41</v>
      </c>
      <c r="G1737" t="s">
        <v>679</v>
      </c>
      <c r="I1737" s="6">
        <v>0</v>
      </c>
      <c r="J1737" s="6">
        <v>17990</v>
      </c>
      <c r="K1737" t="s">
        <v>47</v>
      </c>
      <c r="L1737" t="s">
        <v>48</v>
      </c>
    </row>
    <row r="1738" spans="1:12" x14ac:dyDescent="0.5">
      <c r="A1738" s="2">
        <v>46092</v>
      </c>
      <c r="B1738" s="3" t="s">
        <v>560</v>
      </c>
      <c r="C1738" s="3" t="s">
        <v>249</v>
      </c>
      <c r="D1738" s="3" t="s">
        <v>250</v>
      </c>
      <c r="E1738" s="4">
        <v>19980</v>
      </c>
      <c r="F1738" s="3" t="s">
        <v>41</v>
      </c>
      <c r="G1738" s="3" t="s">
        <v>15</v>
      </c>
      <c r="H1738" s="3" t="s">
        <v>66</v>
      </c>
      <c r="I1738" s="4">
        <v>0</v>
      </c>
      <c r="J1738" s="4">
        <v>19980</v>
      </c>
      <c r="K1738" s="3" t="s">
        <v>67</v>
      </c>
      <c r="L1738" s="3" t="s">
        <v>68</v>
      </c>
    </row>
    <row r="1739" spans="1:12" x14ac:dyDescent="0.5">
      <c r="A1739" s="5">
        <v>46092</v>
      </c>
      <c r="B1739" t="s">
        <v>568</v>
      </c>
      <c r="C1739" t="s">
        <v>621</v>
      </c>
      <c r="E1739" s="6">
        <v>11980</v>
      </c>
      <c r="F1739" t="s">
        <v>41</v>
      </c>
      <c r="G1739" t="s">
        <v>679</v>
      </c>
      <c r="I1739" s="6">
        <v>0</v>
      </c>
      <c r="J1739" s="6">
        <v>11980</v>
      </c>
      <c r="K1739" t="s">
        <v>47</v>
      </c>
      <c r="L1739" t="s">
        <v>48</v>
      </c>
    </row>
    <row r="1740" spans="1:12" x14ac:dyDescent="0.5">
      <c r="A1740" s="2">
        <v>46092</v>
      </c>
      <c r="B1740" s="3" t="s">
        <v>568</v>
      </c>
      <c r="C1740" s="3" t="s">
        <v>622</v>
      </c>
      <c r="D1740" s="3"/>
      <c r="E1740" s="4">
        <v>24000</v>
      </c>
      <c r="F1740" s="3" t="s">
        <v>41</v>
      </c>
      <c r="G1740" s="3" t="s">
        <v>679</v>
      </c>
      <c r="H1740" s="3"/>
      <c r="I1740" s="4">
        <v>0</v>
      </c>
      <c r="J1740" s="4">
        <v>24000</v>
      </c>
      <c r="K1740" s="3" t="s">
        <v>47</v>
      </c>
      <c r="L1740" s="3" t="s">
        <v>48</v>
      </c>
    </row>
    <row r="1741" spans="1:12" x14ac:dyDescent="0.5">
      <c r="A1741" s="5">
        <v>46093</v>
      </c>
      <c r="B1741" t="s">
        <v>560</v>
      </c>
      <c r="C1741" t="s">
        <v>259</v>
      </c>
      <c r="D1741" t="s">
        <v>260</v>
      </c>
      <c r="E1741" s="6">
        <v>489509</v>
      </c>
      <c r="F1741" t="s">
        <v>41</v>
      </c>
      <c r="G1741" t="s">
        <v>15</v>
      </c>
      <c r="H1741" t="s">
        <v>66</v>
      </c>
      <c r="I1741" s="6">
        <v>0</v>
      </c>
      <c r="J1741" s="6">
        <v>489509</v>
      </c>
      <c r="K1741" t="s">
        <v>67</v>
      </c>
      <c r="L1741" t="s">
        <v>68</v>
      </c>
    </row>
    <row r="1742" spans="1:12" x14ac:dyDescent="0.5">
      <c r="A1742" s="2">
        <v>46093</v>
      </c>
      <c r="B1742" s="3" t="s">
        <v>560</v>
      </c>
      <c r="C1742" s="3" t="s">
        <v>259</v>
      </c>
      <c r="D1742" s="3" t="s">
        <v>260</v>
      </c>
      <c r="E1742" s="4">
        <v>500642</v>
      </c>
      <c r="F1742" s="3" t="s">
        <v>41</v>
      </c>
      <c r="G1742" s="3" t="s">
        <v>15</v>
      </c>
      <c r="H1742" s="3" t="s">
        <v>66</v>
      </c>
      <c r="I1742" s="4">
        <v>0</v>
      </c>
      <c r="J1742" s="4">
        <v>500642</v>
      </c>
      <c r="K1742" s="3" t="s">
        <v>67</v>
      </c>
      <c r="L1742" s="3" t="s">
        <v>68</v>
      </c>
    </row>
    <row r="1743" spans="1:12" x14ac:dyDescent="0.5">
      <c r="A1743" s="5">
        <v>46093</v>
      </c>
      <c r="B1743" t="s">
        <v>568</v>
      </c>
      <c r="C1743" t="s">
        <v>623</v>
      </c>
      <c r="D1743" t="s">
        <v>678</v>
      </c>
      <c r="E1743" s="6">
        <v>599970</v>
      </c>
      <c r="F1743" t="s">
        <v>14</v>
      </c>
      <c r="G1743" t="s">
        <v>15</v>
      </c>
      <c r="H1743" t="s">
        <v>355</v>
      </c>
      <c r="I1743" s="6">
        <v>95794</v>
      </c>
      <c r="J1743" s="6">
        <v>504176</v>
      </c>
      <c r="K1743" t="s">
        <v>356</v>
      </c>
      <c r="L1743" t="s">
        <v>48</v>
      </c>
    </row>
    <row r="1744" spans="1:12" x14ac:dyDescent="0.5">
      <c r="A1744" s="2">
        <v>46093</v>
      </c>
      <c r="B1744" s="3" t="s">
        <v>568</v>
      </c>
      <c r="C1744" s="3" t="s">
        <v>289</v>
      </c>
      <c r="D1744" s="3" t="s">
        <v>290</v>
      </c>
      <c r="E1744" s="4">
        <v>674062</v>
      </c>
      <c r="F1744" s="3" t="s">
        <v>14</v>
      </c>
      <c r="G1744" s="3" t="s">
        <v>15</v>
      </c>
      <c r="H1744" s="3" t="s">
        <v>16</v>
      </c>
      <c r="I1744" s="4">
        <v>107623</v>
      </c>
      <c r="J1744" s="4">
        <v>566439</v>
      </c>
      <c r="K1744" s="3" t="s">
        <v>17</v>
      </c>
      <c r="L1744" s="3" t="s">
        <v>18</v>
      </c>
    </row>
    <row r="1745" spans="1:12" x14ac:dyDescent="0.5">
      <c r="A1745" s="5">
        <v>46093</v>
      </c>
      <c r="B1745" t="s">
        <v>568</v>
      </c>
      <c r="C1745" t="s">
        <v>345</v>
      </c>
      <c r="D1745" t="s">
        <v>346</v>
      </c>
      <c r="E1745" s="6">
        <v>3332</v>
      </c>
      <c r="F1745" t="s">
        <v>14</v>
      </c>
      <c r="G1745" t="s">
        <v>15</v>
      </c>
      <c r="H1745" t="s">
        <v>347</v>
      </c>
      <c r="I1745" s="6">
        <v>532</v>
      </c>
      <c r="J1745" s="6">
        <v>2800</v>
      </c>
      <c r="K1745" t="s">
        <v>348</v>
      </c>
      <c r="L1745" t="s">
        <v>22</v>
      </c>
    </row>
    <row r="1746" spans="1:12" x14ac:dyDescent="0.5">
      <c r="A1746" s="2">
        <v>46094</v>
      </c>
      <c r="B1746" s="3" t="s">
        <v>568</v>
      </c>
      <c r="C1746" s="3" t="s">
        <v>361</v>
      </c>
      <c r="D1746" s="3" t="s">
        <v>362</v>
      </c>
      <c r="E1746" s="4">
        <v>34558</v>
      </c>
      <c r="F1746" s="3" t="s">
        <v>14</v>
      </c>
      <c r="G1746" s="3" t="s">
        <v>15</v>
      </c>
      <c r="H1746" s="3" t="s">
        <v>24</v>
      </c>
      <c r="I1746" s="4">
        <v>5518</v>
      </c>
      <c r="J1746" s="4">
        <v>29040</v>
      </c>
      <c r="K1746" s="3" t="s">
        <v>25</v>
      </c>
      <c r="L1746" s="3" t="s">
        <v>26</v>
      </c>
    </row>
    <row r="1747" spans="1:12" x14ac:dyDescent="0.5">
      <c r="A1747" s="5">
        <v>46094</v>
      </c>
      <c r="B1747" t="s">
        <v>568</v>
      </c>
      <c r="C1747" t="s">
        <v>247</v>
      </c>
      <c r="D1747" t="s">
        <v>248</v>
      </c>
      <c r="E1747" s="6">
        <v>66718</v>
      </c>
      <c r="F1747" t="s">
        <v>14</v>
      </c>
      <c r="G1747" t="s">
        <v>15</v>
      </c>
      <c r="H1747" t="s">
        <v>24</v>
      </c>
      <c r="I1747" s="6">
        <v>10652</v>
      </c>
      <c r="J1747" s="6">
        <v>56066</v>
      </c>
      <c r="K1747" t="s">
        <v>25</v>
      </c>
      <c r="L1747" t="s">
        <v>26</v>
      </c>
    </row>
    <row r="1748" spans="1:12" x14ac:dyDescent="0.5">
      <c r="A1748" s="2">
        <v>46094</v>
      </c>
      <c r="B1748" s="3" t="s">
        <v>568</v>
      </c>
      <c r="C1748" s="3" t="s">
        <v>335</v>
      </c>
      <c r="D1748" s="3" t="s">
        <v>336</v>
      </c>
      <c r="E1748" s="4">
        <v>74902</v>
      </c>
      <c r="F1748" s="3" t="s">
        <v>14</v>
      </c>
      <c r="G1748" s="3" t="s">
        <v>15</v>
      </c>
      <c r="H1748" s="3" t="s">
        <v>24</v>
      </c>
      <c r="I1748" s="4">
        <v>11959</v>
      </c>
      <c r="J1748" s="4">
        <v>62943</v>
      </c>
      <c r="K1748" s="3" t="s">
        <v>25</v>
      </c>
      <c r="L1748" s="3" t="s">
        <v>26</v>
      </c>
    </row>
    <row r="1749" spans="1:12" x14ac:dyDescent="0.5">
      <c r="A1749" s="5">
        <v>46094</v>
      </c>
      <c r="B1749" t="s">
        <v>568</v>
      </c>
      <c r="C1749" t="s">
        <v>261</v>
      </c>
      <c r="D1749" t="s">
        <v>262</v>
      </c>
      <c r="E1749" s="6">
        <v>86401</v>
      </c>
      <c r="F1749" t="s">
        <v>14</v>
      </c>
      <c r="G1749" t="s">
        <v>15</v>
      </c>
      <c r="H1749" t="s">
        <v>24</v>
      </c>
      <c r="I1749" s="6">
        <v>13795</v>
      </c>
      <c r="J1749" s="6">
        <v>72606</v>
      </c>
      <c r="K1749" t="s">
        <v>25</v>
      </c>
      <c r="L1749" t="s">
        <v>26</v>
      </c>
    </row>
    <row r="1750" spans="1:12" x14ac:dyDescent="0.5">
      <c r="A1750" s="2">
        <v>46094</v>
      </c>
      <c r="B1750" s="3" t="s">
        <v>568</v>
      </c>
      <c r="C1750" s="3" t="s">
        <v>261</v>
      </c>
      <c r="D1750" s="3" t="s">
        <v>262</v>
      </c>
      <c r="E1750" s="4">
        <v>86401</v>
      </c>
      <c r="F1750" s="3" t="s">
        <v>14</v>
      </c>
      <c r="G1750" s="3" t="s">
        <v>15</v>
      </c>
      <c r="H1750" s="3" t="s">
        <v>24</v>
      </c>
      <c r="I1750" s="4">
        <v>13795</v>
      </c>
      <c r="J1750" s="4">
        <v>72606</v>
      </c>
      <c r="K1750" s="3" t="s">
        <v>25</v>
      </c>
      <c r="L1750" s="3" t="s">
        <v>26</v>
      </c>
    </row>
    <row r="1751" spans="1:12" x14ac:dyDescent="0.5">
      <c r="A1751" s="5">
        <v>46094</v>
      </c>
      <c r="B1751" t="s">
        <v>568</v>
      </c>
      <c r="C1751" t="s">
        <v>261</v>
      </c>
      <c r="D1751" t="s">
        <v>262</v>
      </c>
      <c r="E1751" s="6">
        <v>86401</v>
      </c>
      <c r="F1751" t="s">
        <v>14</v>
      </c>
      <c r="G1751" t="s">
        <v>15</v>
      </c>
      <c r="H1751" t="s">
        <v>24</v>
      </c>
      <c r="I1751" s="6">
        <v>13795</v>
      </c>
      <c r="J1751" s="6">
        <v>72606</v>
      </c>
      <c r="K1751" t="s">
        <v>25</v>
      </c>
      <c r="L1751" t="s">
        <v>26</v>
      </c>
    </row>
    <row r="1752" spans="1:12" x14ac:dyDescent="0.5">
      <c r="A1752" s="2">
        <v>46094</v>
      </c>
      <c r="B1752" s="3" t="s">
        <v>568</v>
      </c>
      <c r="C1752" s="3" t="s">
        <v>279</v>
      </c>
      <c r="D1752" s="3" t="s">
        <v>280</v>
      </c>
      <c r="E1752" s="4">
        <v>206700</v>
      </c>
      <c r="F1752" s="3" t="s">
        <v>14</v>
      </c>
      <c r="G1752" s="3" t="s">
        <v>15</v>
      </c>
      <c r="H1752" s="3" t="s">
        <v>24</v>
      </c>
      <c r="I1752" s="4">
        <v>33003</v>
      </c>
      <c r="J1752" s="4">
        <v>173697</v>
      </c>
      <c r="K1752" s="3" t="s">
        <v>25</v>
      </c>
      <c r="L1752" s="3" t="s">
        <v>26</v>
      </c>
    </row>
    <row r="1753" spans="1:12" x14ac:dyDescent="0.5">
      <c r="A1753" s="5">
        <v>46094</v>
      </c>
      <c r="B1753" t="s">
        <v>568</v>
      </c>
      <c r="C1753" t="s">
        <v>263</v>
      </c>
      <c r="D1753" t="s">
        <v>264</v>
      </c>
      <c r="E1753" s="6">
        <v>228637</v>
      </c>
      <c r="F1753" t="s">
        <v>14</v>
      </c>
      <c r="G1753" t="s">
        <v>15</v>
      </c>
      <c r="H1753" t="s">
        <v>24</v>
      </c>
      <c r="I1753" s="6">
        <v>36505</v>
      </c>
      <c r="J1753" s="6">
        <v>192132</v>
      </c>
      <c r="K1753" t="s">
        <v>25</v>
      </c>
      <c r="L1753" t="s">
        <v>26</v>
      </c>
    </row>
    <row r="1754" spans="1:12" x14ac:dyDescent="0.5">
      <c r="A1754" s="2">
        <v>46094</v>
      </c>
      <c r="B1754" s="3" t="s">
        <v>560</v>
      </c>
      <c r="C1754" s="3" t="s">
        <v>249</v>
      </c>
      <c r="D1754" s="3" t="s">
        <v>250</v>
      </c>
      <c r="E1754" s="4">
        <v>182803</v>
      </c>
      <c r="F1754" s="3" t="s">
        <v>41</v>
      </c>
      <c r="G1754" s="3" t="s">
        <v>15</v>
      </c>
      <c r="H1754" s="3" t="s">
        <v>66</v>
      </c>
      <c r="I1754" s="4">
        <v>0</v>
      </c>
      <c r="J1754" s="4">
        <v>182803</v>
      </c>
      <c r="K1754" s="3" t="s">
        <v>67</v>
      </c>
      <c r="L1754" s="3" t="s">
        <v>68</v>
      </c>
    </row>
    <row r="1755" spans="1:12" x14ac:dyDescent="0.5">
      <c r="A1755" s="5">
        <v>46094</v>
      </c>
      <c r="B1755" t="s">
        <v>568</v>
      </c>
      <c r="C1755" t="s">
        <v>625</v>
      </c>
      <c r="E1755" s="6">
        <v>11640</v>
      </c>
      <c r="F1755" t="s">
        <v>41</v>
      </c>
      <c r="G1755" t="s">
        <v>15</v>
      </c>
      <c r="I1755" s="6">
        <v>0</v>
      </c>
      <c r="J1755" s="6">
        <v>11640</v>
      </c>
      <c r="K1755" t="s">
        <v>47</v>
      </c>
      <c r="L1755" t="s">
        <v>48</v>
      </c>
    </row>
    <row r="1756" spans="1:12" x14ac:dyDescent="0.5">
      <c r="A1756" s="2">
        <v>46097</v>
      </c>
      <c r="B1756" s="3" t="s">
        <v>568</v>
      </c>
      <c r="C1756" s="3" t="s">
        <v>623</v>
      </c>
      <c r="D1756" s="3" t="s">
        <v>678</v>
      </c>
      <c r="E1756" s="4">
        <v>124949</v>
      </c>
      <c r="F1756" s="3" t="s">
        <v>14</v>
      </c>
      <c r="G1756" s="3" t="s">
        <v>15</v>
      </c>
      <c r="H1756" s="3" t="s">
        <v>355</v>
      </c>
      <c r="I1756" s="4">
        <v>19950</v>
      </c>
      <c r="J1756" s="4">
        <v>104999</v>
      </c>
      <c r="K1756" s="3" t="s">
        <v>356</v>
      </c>
      <c r="L1756" s="3" t="s">
        <v>48</v>
      </c>
    </row>
    <row r="1757" spans="1:12" x14ac:dyDescent="0.5">
      <c r="A1757" s="5">
        <v>46098</v>
      </c>
      <c r="B1757" t="s">
        <v>568</v>
      </c>
      <c r="C1757" t="s">
        <v>335</v>
      </c>
      <c r="D1757" t="s">
        <v>336</v>
      </c>
      <c r="E1757" s="6">
        <v>16900</v>
      </c>
      <c r="F1757" t="s">
        <v>14</v>
      </c>
      <c r="G1757" t="s">
        <v>15</v>
      </c>
      <c r="H1757" t="s">
        <v>24</v>
      </c>
      <c r="I1757" s="6">
        <v>2698</v>
      </c>
      <c r="J1757" s="6">
        <v>14202</v>
      </c>
      <c r="K1757" t="s">
        <v>25</v>
      </c>
      <c r="L1757" t="s">
        <v>26</v>
      </c>
    </row>
    <row r="1758" spans="1:12" x14ac:dyDescent="0.5">
      <c r="A1758" s="2">
        <v>46098</v>
      </c>
      <c r="B1758" s="3" t="s">
        <v>568</v>
      </c>
      <c r="C1758" s="3" t="s">
        <v>335</v>
      </c>
      <c r="D1758" s="3" t="s">
        <v>336</v>
      </c>
      <c r="E1758" s="4">
        <v>20552</v>
      </c>
      <c r="F1758" s="3" t="s">
        <v>14</v>
      </c>
      <c r="G1758" s="3" t="s">
        <v>15</v>
      </c>
      <c r="H1758" s="3" t="s">
        <v>24</v>
      </c>
      <c r="I1758" s="4">
        <v>3281</v>
      </c>
      <c r="J1758" s="4">
        <v>17271</v>
      </c>
      <c r="K1758" s="3" t="s">
        <v>25</v>
      </c>
      <c r="L1758" s="3" t="s">
        <v>26</v>
      </c>
    </row>
    <row r="1759" spans="1:12" x14ac:dyDescent="0.5">
      <c r="A1759" s="5">
        <v>46098</v>
      </c>
      <c r="B1759" t="s">
        <v>560</v>
      </c>
      <c r="C1759" t="s">
        <v>249</v>
      </c>
      <c r="D1759" t="s">
        <v>250</v>
      </c>
      <c r="E1759" s="6">
        <v>51390</v>
      </c>
      <c r="F1759" t="s">
        <v>41</v>
      </c>
      <c r="G1759" t="s">
        <v>15</v>
      </c>
      <c r="H1759" t="s">
        <v>66</v>
      </c>
      <c r="I1759" s="6">
        <v>0</v>
      </c>
      <c r="J1759" s="6">
        <v>51390</v>
      </c>
      <c r="K1759" t="s">
        <v>67</v>
      </c>
      <c r="L1759" t="s">
        <v>68</v>
      </c>
    </row>
    <row r="1760" spans="1:12" x14ac:dyDescent="0.5">
      <c r="A1760" s="2">
        <v>46098</v>
      </c>
      <c r="B1760" s="3" t="s">
        <v>560</v>
      </c>
      <c r="C1760" s="3" t="s">
        <v>259</v>
      </c>
      <c r="D1760" s="3" t="s">
        <v>260</v>
      </c>
      <c r="E1760" s="4">
        <v>141080</v>
      </c>
      <c r="F1760" s="3" t="s">
        <v>41</v>
      </c>
      <c r="G1760" s="3" t="s">
        <v>15</v>
      </c>
      <c r="H1760" s="3" t="s">
        <v>66</v>
      </c>
      <c r="I1760" s="4">
        <v>0</v>
      </c>
      <c r="J1760" s="4">
        <v>141080</v>
      </c>
      <c r="K1760" s="3" t="s">
        <v>67</v>
      </c>
      <c r="L1760" s="3" t="s">
        <v>68</v>
      </c>
    </row>
    <row r="1761" spans="1:12" x14ac:dyDescent="0.5">
      <c r="A1761" s="5">
        <v>46098</v>
      </c>
      <c r="B1761" t="s">
        <v>560</v>
      </c>
      <c r="C1761" t="s">
        <v>251</v>
      </c>
      <c r="D1761" t="s">
        <v>252</v>
      </c>
      <c r="E1761" s="6">
        <v>300000</v>
      </c>
      <c r="F1761" t="s">
        <v>41</v>
      </c>
      <c r="G1761" t="s">
        <v>15</v>
      </c>
      <c r="H1761" t="s">
        <v>66</v>
      </c>
      <c r="I1761" s="6">
        <v>0</v>
      </c>
      <c r="J1761" s="6">
        <v>300000</v>
      </c>
      <c r="K1761" t="s">
        <v>67</v>
      </c>
      <c r="L1761" t="s">
        <v>68</v>
      </c>
    </row>
    <row r="1762" spans="1:12" x14ac:dyDescent="0.5">
      <c r="A1762" s="2">
        <v>46098</v>
      </c>
      <c r="B1762" s="3" t="s">
        <v>568</v>
      </c>
      <c r="C1762" s="3" t="s">
        <v>626</v>
      </c>
      <c r="D1762" s="3"/>
      <c r="E1762" s="4">
        <v>64100</v>
      </c>
      <c r="F1762" s="3" t="s">
        <v>41</v>
      </c>
      <c r="G1762" s="3" t="s">
        <v>15</v>
      </c>
      <c r="H1762" s="3"/>
      <c r="I1762" s="4">
        <v>0</v>
      </c>
      <c r="J1762" s="4">
        <v>64100</v>
      </c>
      <c r="K1762" s="3" t="s">
        <v>47</v>
      </c>
      <c r="L1762" s="3" t="s">
        <v>48</v>
      </c>
    </row>
    <row r="1763" spans="1:12" x14ac:dyDescent="0.5">
      <c r="A1763" s="5">
        <v>46098</v>
      </c>
      <c r="B1763" t="s">
        <v>568</v>
      </c>
      <c r="C1763" t="s">
        <v>579</v>
      </c>
      <c r="D1763" t="s">
        <v>580</v>
      </c>
      <c r="E1763" s="6">
        <v>98107</v>
      </c>
      <c r="F1763" t="s">
        <v>14</v>
      </c>
      <c r="G1763" t="s">
        <v>15</v>
      </c>
      <c r="H1763" t="s">
        <v>33</v>
      </c>
      <c r="I1763" s="6">
        <v>15664</v>
      </c>
      <c r="J1763" s="6">
        <v>82443</v>
      </c>
      <c r="K1763" t="s">
        <v>34</v>
      </c>
      <c r="L1763" t="s">
        <v>35</v>
      </c>
    </row>
    <row r="1764" spans="1:12" x14ac:dyDescent="0.5">
      <c r="A1764" s="2">
        <v>46098</v>
      </c>
      <c r="B1764" s="3" t="s">
        <v>568</v>
      </c>
      <c r="C1764" s="3" t="s">
        <v>579</v>
      </c>
      <c r="D1764" s="3" t="s">
        <v>580</v>
      </c>
      <c r="E1764" s="4">
        <v>146214</v>
      </c>
      <c r="F1764" s="3" t="s">
        <v>14</v>
      </c>
      <c r="G1764" s="3" t="s">
        <v>15</v>
      </c>
      <c r="H1764" s="3" t="s">
        <v>33</v>
      </c>
      <c r="I1764" s="4">
        <v>23345</v>
      </c>
      <c r="J1764" s="4">
        <v>122869</v>
      </c>
      <c r="K1764" s="3" t="s">
        <v>34</v>
      </c>
      <c r="L1764" s="3" t="s">
        <v>35</v>
      </c>
    </row>
    <row r="1765" spans="1:12" x14ac:dyDescent="0.5">
      <c r="A1765" s="5">
        <v>46099</v>
      </c>
      <c r="B1765" t="s">
        <v>568</v>
      </c>
      <c r="C1765" t="s">
        <v>627</v>
      </c>
      <c r="E1765" s="6">
        <v>10600</v>
      </c>
      <c r="F1765" t="s">
        <v>41</v>
      </c>
      <c r="G1765" t="s">
        <v>679</v>
      </c>
      <c r="I1765" s="6">
        <v>0</v>
      </c>
      <c r="J1765" s="6">
        <v>10600</v>
      </c>
      <c r="K1765" t="s">
        <v>47</v>
      </c>
      <c r="L1765" t="s">
        <v>48</v>
      </c>
    </row>
    <row r="1766" spans="1:12" x14ac:dyDescent="0.5">
      <c r="A1766" s="2">
        <v>46099</v>
      </c>
      <c r="B1766" s="3" t="s">
        <v>568</v>
      </c>
      <c r="C1766" s="3" t="s">
        <v>628</v>
      </c>
      <c r="D1766" s="3"/>
      <c r="E1766" s="4">
        <v>21001</v>
      </c>
      <c r="F1766" s="3" t="s">
        <v>41</v>
      </c>
      <c r="G1766" s="3" t="s">
        <v>679</v>
      </c>
      <c r="H1766" s="3"/>
      <c r="I1766" s="4">
        <v>0</v>
      </c>
      <c r="J1766" s="4">
        <v>21001</v>
      </c>
      <c r="K1766" s="3" t="s">
        <v>47</v>
      </c>
      <c r="L1766" s="3" t="s">
        <v>48</v>
      </c>
    </row>
    <row r="1767" spans="1:12" x14ac:dyDescent="0.5">
      <c r="A1767" s="5">
        <v>46099</v>
      </c>
      <c r="B1767" t="s">
        <v>568</v>
      </c>
      <c r="C1767" t="s">
        <v>629</v>
      </c>
      <c r="D1767" t="s">
        <v>657</v>
      </c>
      <c r="E1767" s="6">
        <v>68425</v>
      </c>
      <c r="F1767" t="s">
        <v>14</v>
      </c>
      <c r="G1767" t="s">
        <v>15</v>
      </c>
      <c r="H1767" t="s">
        <v>548</v>
      </c>
      <c r="I1767" s="6">
        <v>10925</v>
      </c>
      <c r="J1767" s="6">
        <v>57500</v>
      </c>
      <c r="K1767" t="s">
        <v>531</v>
      </c>
      <c r="L1767" t="s">
        <v>35</v>
      </c>
    </row>
    <row r="1768" spans="1:12" x14ac:dyDescent="0.5">
      <c r="A1768" s="2">
        <v>46100</v>
      </c>
      <c r="B1768" s="3" t="s">
        <v>568</v>
      </c>
      <c r="C1768" s="3" t="s">
        <v>630</v>
      </c>
      <c r="D1768" s="3" t="s">
        <v>658</v>
      </c>
      <c r="E1768" s="4">
        <v>47600</v>
      </c>
      <c r="F1768" s="3" t="s">
        <v>14</v>
      </c>
      <c r="G1768" s="3" t="s">
        <v>15</v>
      </c>
      <c r="H1768" s="3" t="s">
        <v>24</v>
      </c>
      <c r="I1768" s="4">
        <v>7600</v>
      </c>
      <c r="J1768" s="4">
        <v>40000</v>
      </c>
      <c r="K1768" s="3" t="s">
        <v>25</v>
      </c>
      <c r="L1768" s="3" t="s">
        <v>26</v>
      </c>
    </row>
    <row r="1769" spans="1:12" x14ac:dyDescent="0.5">
      <c r="A1769" s="5">
        <v>46100</v>
      </c>
      <c r="B1769" t="s">
        <v>568</v>
      </c>
      <c r="C1769" t="s">
        <v>261</v>
      </c>
      <c r="D1769" t="s">
        <v>262</v>
      </c>
      <c r="E1769" s="6">
        <v>86401</v>
      </c>
      <c r="F1769" t="s">
        <v>14</v>
      </c>
      <c r="G1769" t="s">
        <v>15</v>
      </c>
      <c r="H1769" t="s">
        <v>24</v>
      </c>
      <c r="I1769" s="6">
        <v>13795</v>
      </c>
      <c r="J1769" s="6">
        <v>72606</v>
      </c>
      <c r="K1769" t="s">
        <v>25</v>
      </c>
      <c r="L1769" t="s">
        <v>26</v>
      </c>
    </row>
    <row r="1770" spans="1:12" x14ac:dyDescent="0.5">
      <c r="A1770" s="2">
        <v>46100</v>
      </c>
      <c r="B1770" s="3" t="s">
        <v>568</v>
      </c>
      <c r="C1770" s="3" t="s">
        <v>261</v>
      </c>
      <c r="D1770" s="3" t="s">
        <v>262</v>
      </c>
      <c r="E1770" s="4">
        <v>86401</v>
      </c>
      <c r="F1770" s="3" t="s">
        <v>14</v>
      </c>
      <c r="G1770" s="3" t="s">
        <v>15</v>
      </c>
      <c r="H1770" s="3" t="s">
        <v>24</v>
      </c>
      <c r="I1770" s="4">
        <v>13795</v>
      </c>
      <c r="J1770" s="4">
        <v>72606</v>
      </c>
      <c r="K1770" s="3" t="s">
        <v>25</v>
      </c>
      <c r="L1770" s="3" t="s">
        <v>26</v>
      </c>
    </row>
    <row r="1771" spans="1:12" x14ac:dyDescent="0.5">
      <c r="A1771" s="5">
        <v>46100</v>
      </c>
      <c r="B1771" t="s">
        <v>568</v>
      </c>
      <c r="C1771" t="s">
        <v>285</v>
      </c>
      <c r="D1771" t="s">
        <v>286</v>
      </c>
      <c r="E1771" s="6">
        <v>141636</v>
      </c>
      <c r="F1771" t="s">
        <v>14</v>
      </c>
      <c r="G1771" t="s">
        <v>15</v>
      </c>
      <c r="H1771" t="s">
        <v>24</v>
      </c>
      <c r="I1771" s="6">
        <v>22614</v>
      </c>
      <c r="J1771" s="6">
        <v>119022</v>
      </c>
      <c r="K1771" t="s">
        <v>25</v>
      </c>
      <c r="L1771" t="s">
        <v>26</v>
      </c>
    </row>
    <row r="1772" spans="1:12" x14ac:dyDescent="0.5">
      <c r="A1772" s="2">
        <v>46100</v>
      </c>
      <c r="B1772" s="3" t="s">
        <v>568</v>
      </c>
      <c r="C1772" s="3" t="s">
        <v>261</v>
      </c>
      <c r="D1772" s="3" t="s">
        <v>262</v>
      </c>
      <c r="E1772" s="4">
        <v>151202</v>
      </c>
      <c r="F1772" s="3" t="s">
        <v>14</v>
      </c>
      <c r="G1772" s="3" t="s">
        <v>15</v>
      </c>
      <c r="H1772" s="3" t="s">
        <v>24</v>
      </c>
      <c r="I1772" s="4">
        <v>24141</v>
      </c>
      <c r="J1772" s="4">
        <v>127061</v>
      </c>
      <c r="K1772" s="3" t="s">
        <v>25</v>
      </c>
      <c r="L1772" s="3" t="s">
        <v>26</v>
      </c>
    </row>
    <row r="1773" spans="1:12" x14ac:dyDescent="0.5">
      <c r="A1773" s="5">
        <v>46100</v>
      </c>
      <c r="B1773" t="s">
        <v>568</v>
      </c>
      <c r="C1773" t="s">
        <v>311</v>
      </c>
      <c r="D1773" t="s">
        <v>312</v>
      </c>
      <c r="E1773" s="6">
        <v>465206</v>
      </c>
      <c r="F1773" t="s">
        <v>14</v>
      </c>
      <c r="G1773" t="s">
        <v>15</v>
      </c>
      <c r="H1773" t="s">
        <v>24</v>
      </c>
      <c r="I1773" s="6">
        <v>74277</v>
      </c>
      <c r="J1773" s="6">
        <v>390929</v>
      </c>
      <c r="K1773" t="s">
        <v>25</v>
      </c>
      <c r="L1773" t="s">
        <v>26</v>
      </c>
    </row>
    <row r="1774" spans="1:12" x14ac:dyDescent="0.5">
      <c r="A1774" s="2">
        <v>46101</v>
      </c>
      <c r="B1774" s="3" t="s">
        <v>568</v>
      </c>
      <c r="C1774" s="3" t="s">
        <v>363</v>
      </c>
      <c r="D1774" s="3" t="s">
        <v>364</v>
      </c>
      <c r="E1774" s="4">
        <v>111384</v>
      </c>
      <c r="F1774" s="3" t="s">
        <v>14</v>
      </c>
      <c r="G1774" s="3" t="s">
        <v>15</v>
      </c>
      <c r="H1774" s="3" t="s">
        <v>293</v>
      </c>
      <c r="I1774" s="4">
        <v>17784</v>
      </c>
      <c r="J1774" s="4">
        <v>93600</v>
      </c>
      <c r="K1774" s="3" t="s">
        <v>294</v>
      </c>
      <c r="L1774" s="3" t="s">
        <v>26</v>
      </c>
    </row>
    <row r="1775" spans="1:12" x14ac:dyDescent="0.5">
      <c r="A1775" s="5">
        <v>46101</v>
      </c>
      <c r="B1775" t="s">
        <v>568</v>
      </c>
      <c r="C1775" t="s">
        <v>363</v>
      </c>
      <c r="D1775" t="s">
        <v>364</v>
      </c>
      <c r="E1775" s="6">
        <v>111384</v>
      </c>
      <c r="F1775" t="s">
        <v>14</v>
      </c>
      <c r="G1775" t="s">
        <v>15</v>
      </c>
      <c r="H1775" t="s">
        <v>293</v>
      </c>
      <c r="I1775" s="6">
        <v>17784</v>
      </c>
      <c r="J1775" s="6">
        <v>93600</v>
      </c>
      <c r="K1775" t="s">
        <v>294</v>
      </c>
      <c r="L1775" t="s">
        <v>26</v>
      </c>
    </row>
    <row r="1776" spans="1:12" x14ac:dyDescent="0.5">
      <c r="A1776" s="2">
        <v>46104</v>
      </c>
      <c r="B1776" s="3" t="s">
        <v>568</v>
      </c>
      <c r="C1776" s="3" t="s">
        <v>253</v>
      </c>
      <c r="D1776" s="3" t="s">
        <v>254</v>
      </c>
      <c r="E1776" s="4">
        <v>26971</v>
      </c>
      <c r="F1776" s="3" t="s">
        <v>41</v>
      </c>
      <c r="G1776" s="3" t="s">
        <v>15</v>
      </c>
      <c r="H1776" s="3" t="s">
        <v>255</v>
      </c>
      <c r="I1776" s="4">
        <v>0</v>
      </c>
      <c r="J1776" s="4">
        <v>26971</v>
      </c>
      <c r="K1776" s="3" t="s">
        <v>256</v>
      </c>
      <c r="L1776" s="3" t="s">
        <v>68</v>
      </c>
    </row>
    <row r="1777" spans="1:12" x14ac:dyDescent="0.5">
      <c r="A1777" s="5">
        <v>46104</v>
      </c>
      <c r="B1777" t="s">
        <v>560</v>
      </c>
      <c r="C1777" t="s">
        <v>259</v>
      </c>
      <c r="D1777" t="s">
        <v>260</v>
      </c>
      <c r="E1777" s="6">
        <v>101566</v>
      </c>
      <c r="F1777" t="s">
        <v>41</v>
      </c>
      <c r="G1777" t="s">
        <v>15</v>
      </c>
      <c r="H1777" t="s">
        <v>66</v>
      </c>
      <c r="I1777" s="6">
        <v>0</v>
      </c>
      <c r="J1777" s="6">
        <v>101566</v>
      </c>
      <c r="K1777" t="s">
        <v>67</v>
      </c>
      <c r="L1777" t="s">
        <v>68</v>
      </c>
    </row>
    <row r="1778" spans="1:12" x14ac:dyDescent="0.5">
      <c r="A1778" s="2">
        <v>46105</v>
      </c>
      <c r="B1778" s="3" t="s">
        <v>568</v>
      </c>
      <c r="C1778" s="3" t="s">
        <v>632</v>
      </c>
      <c r="D1778" s="3" t="s">
        <v>659</v>
      </c>
      <c r="E1778" s="4">
        <v>138040</v>
      </c>
      <c r="F1778" s="3" t="s">
        <v>14</v>
      </c>
      <c r="G1778" s="3" t="s">
        <v>15</v>
      </c>
      <c r="H1778" s="3" t="s">
        <v>46</v>
      </c>
      <c r="I1778" s="4">
        <v>22040</v>
      </c>
      <c r="J1778" s="4">
        <v>116000</v>
      </c>
      <c r="K1778" s="3" t="s">
        <v>47</v>
      </c>
      <c r="L1778" s="3" t="s">
        <v>48</v>
      </c>
    </row>
    <row r="1779" spans="1:12" x14ac:dyDescent="0.5">
      <c r="A1779" s="5">
        <v>46105</v>
      </c>
      <c r="B1779" t="s">
        <v>568</v>
      </c>
      <c r="C1779" t="s">
        <v>633</v>
      </c>
      <c r="E1779" s="6">
        <v>30200</v>
      </c>
      <c r="F1779" t="s">
        <v>41</v>
      </c>
      <c r="G1779" t="s">
        <v>679</v>
      </c>
      <c r="I1779" s="6">
        <v>0</v>
      </c>
      <c r="J1779" s="6">
        <v>30200</v>
      </c>
      <c r="K1779" t="s">
        <v>47</v>
      </c>
      <c r="L1779" t="s">
        <v>48</v>
      </c>
    </row>
    <row r="1780" spans="1:12" x14ac:dyDescent="0.5">
      <c r="A1780" s="2">
        <v>46105</v>
      </c>
      <c r="B1780" s="3" t="s">
        <v>568</v>
      </c>
      <c r="C1780" s="3" t="s">
        <v>629</v>
      </c>
      <c r="D1780" s="3" t="s">
        <v>657</v>
      </c>
      <c r="E1780" s="4">
        <v>84609</v>
      </c>
      <c r="F1780" s="3" t="s">
        <v>14</v>
      </c>
      <c r="G1780" s="3" t="s">
        <v>15</v>
      </c>
      <c r="H1780" s="3" t="s">
        <v>548</v>
      </c>
      <c r="I1780" s="4">
        <v>13509</v>
      </c>
      <c r="J1780" s="4">
        <v>71100</v>
      </c>
      <c r="K1780" s="3" t="s">
        <v>531</v>
      </c>
      <c r="L1780" s="3" t="s">
        <v>35</v>
      </c>
    </row>
    <row r="1781" spans="1:12" x14ac:dyDescent="0.5">
      <c r="A1781" s="5">
        <v>46106</v>
      </c>
      <c r="B1781" t="s">
        <v>568</v>
      </c>
      <c r="C1781" t="s">
        <v>297</v>
      </c>
      <c r="D1781" t="s">
        <v>298</v>
      </c>
      <c r="E1781" s="6">
        <v>42600</v>
      </c>
      <c r="F1781" t="s">
        <v>14</v>
      </c>
      <c r="G1781" t="s">
        <v>15</v>
      </c>
      <c r="H1781" t="s">
        <v>293</v>
      </c>
      <c r="I1781" s="6">
        <v>6802</v>
      </c>
      <c r="J1781" s="6">
        <v>35798</v>
      </c>
      <c r="K1781" t="s">
        <v>294</v>
      </c>
      <c r="L1781" t="s">
        <v>26</v>
      </c>
    </row>
    <row r="1782" spans="1:12" x14ac:dyDescent="0.5">
      <c r="A1782" s="2">
        <v>46106</v>
      </c>
      <c r="B1782" s="3" t="s">
        <v>568</v>
      </c>
      <c r="C1782" s="3" t="s">
        <v>349</v>
      </c>
      <c r="D1782" s="3" t="s">
        <v>350</v>
      </c>
      <c r="E1782" s="4">
        <v>238000</v>
      </c>
      <c r="F1782" s="3" t="s">
        <v>14</v>
      </c>
      <c r="G1782" s="3" t="s">
        <v>15</v>
      </c>
      <c r="H1782" s="3" t="s">
        <v>293</v>
      </c>
      <c r="I1782" s="4">
        <v>38000</v>
      </c>
      <c r="J1782" s="4">
        <v>200000</v>
      </c>
      <c r="K1782" s="3" t="s">
        <v>294</v>
      </c>
      <c r="L1782" s="3" t="s">
        <v>26</v>
      </c>
    </row>
    <row r="1783" spans="1:12" x14ac:dyDescent="0.5">
      <c r="A1783" s="5">
        <v>46106</v>
      </c>
      <c r="B1783" t="s">
        <v>568</v>
      </c>
      <c r="C1783" t="s">
        <v>297</v>
      </c>
      <c r="D1783" t="s">
        <v>298</v>
      </c>
      <c r="E1783" s="6">
        <v>314636</v>
      </c>
      <c r="F1783" t="s">
        <v>14</v>
      </c>
      <c r="G1783" t="s">
        <v>15</v>
      </c>
      <c r="H1783" t="s">
        <v>293</v>
      </c>
      <c r="I1783" s="6">
        <v>50236</v>
      </c>
      <c r="J1783" s="6">
        <v>264400</v>
      </c>
      <c r="K1783" t="s">
        <v>294</v>
      </c>
      <c r="L1783" t="s">
        <v>26</v>
      </c>
    </row>
    <row r="1784" spans="1:12" x14ac:dyDescent="0.5">
      <c r="A1784" s="2">
        <v>46106</v>
      </c>
      <c r="B1784" s="3" t="s">
        <v>568</v>
      </c>
      <c r="C1784" s="3" t="s">
        <v>634</v>
      </c>
      <c r="D1784" s="3" t="s">
        <v>660</v>
      </c>
      <c r="E1784" s="4">
        <v>107100</v>
      </c>
      <c r="F1784" s="3" t="s">
        <v>14</v>
      </c>
      <c r="G1784" s="3" t="s">
        <v>15</v>
      </c>
      <c r="H1784" s="3" t="s">
        <v>301</v>
      </c>
      <c r="I1784" s="4">
        <v>17100</v>
      </c>
      <c r="J1784" s="4">
        <v>90000</v>
      </c>
      <c r="K1784" s="3" t="s">
        <v>302</v>
      </c>
      <c r="L1784" s="3" t="s">
        <v>48</v>
      </c>
    </row>
    <row r="1785" spans="1:12" x14ac:dyDescent="0.5">
      <c r="A1785" s="5">
        <v>46106</v>
      </c>
      <c r="B1785" t="s">
        <v>568</v>
      </c>
      <c r="C1785" t="s">
        <v>622</v>
      </c>
      <c r="E1785" s="6">
        <v>4000</v>
      </c>
      <c r="F1785" t="s">
        <v>41</v>
      </c>
      <c r="G1785" t="s">
        <v>679</v>
      </c>
      <c r="I1785" s="6">
        <v>0</v>
      </c>
      <c r="J1785" s="6">
        <v>4000</v>
      </c>
      <c r="K1785" t="s">
        <v>47</v>
      </c>
      <c r="L1785" t="s">
        <v>48</v>
      </c>
    </row>
    <row r="1786" spans="1:12" x14ac:dyDescent="0.5">
      <c r="A1786" s="2">
        <v>46106</v>
      </c>
      <c r="B1786" s="3" t="s">
        <v>568</v>
      </c>
      <c r="C1786" s="3" t="s">
        <v>635</v>
      </c>
      <c r="D1786" s="3"/>
      <c r="E1786" s="4">
        <v>4800</v>
      </c>
      <c r="F1786" s="3" t="s">
        <v>41</v>
      </c>
      <c r="G1786" s="3" t="s">
        <v>679</v>
      </c>
      <c r="H1786" s="3"/>
      <c r="I1786" s="4">
        <v>0</v>
      </c>
      <c r="J1786" s="4">
        <v>4800</v>
      </c>
      <c r="K1786" s="3" t="s">
        <v>47</v>
      </c>
      <c r="L1786" s="3" t="s">
        <v>48</v>
      </c>
    </row>
    <row r="1787" spans="1:12" x14ac:dyDescent="0.5">
      <c r="A1787" s="5">
        <v>46106</v>
      </c>
      <c r="B1787" t="s">
        <v>568</v>
      </c>
      <c r="C1787" t="s">
        <v>636</v>
      </c>
      <c r="E1787" s="6">
        <v>500000</v>
      </c>
      <c r="F1787" t="s">
        <v>41</v>
      </c>
      <c r="G1787" t="s">
        <v>15</v>
      </c>
      <c r="I1787" s="6">
        <v>0</v>
      </c>
      <c r="J1787" s="6">
        <v>500000</v>
      </c>
      <c r="K1787" t="s">
        <v>47</v>
      </c>
      <c r="L1787" t="s">
        <v>48</v>
      </c>
    </row>
    <row r="1788" spans="1:12" x14ac:dyDescent="0.5">
      <c r="A1788" s="2">
        <v>46106</v>
      </c>
      <c r="B1788" s="3" t="s">
        <v>568</v>
      </c>
      <c r="C1788" s="3" t="s">
        <v>579</v>
      </c>
      <c r="D1788" s="3" t="s">
        <v>580</v>
      </c>
      <c r="E1788" s="4">
        <v>146214</v>
      </c>
      <c r="F1788" s="3" t="s">
        <v>14</v>
      </c>
      <c r="G1788" s="3" t="s">
        <v>15</v>
      </c>
      <c r="H1788" s="3" t="s">
        <v>33</v>
      </c>
      <c r="I1788" s="4">
        <v>23345</v>
      </c>
      <c r="J1788" s="4">
        <v>122869</v>
      </c>
      <c r="K1788" s="3" t="s">
        <v>34</v>
      </c>
      <c r="L1788" s="3" t="s">
        <v>35</v>
      </c>
    </row>
    <row r="1789" spans="1:12" x14ac:dyDescent="0.5">
      <c r="A1789" s="5">
        <v>46106</v>
      </c>
      <c r="B1789" t="s">
        <v>568</v>
      </c>
      <c r="C1789" t="s">
        <v>379</v>
      </c>
      <c r="D1789" t="s">
        <v>670</v>
      </c>
      <c r="E1789" s="6">
        <v>250000</v>
      </c>
      <c r="F1789" t="s">
        <v>41</v>
      </c>
      <c r="G1789" t="s">
        <v>15</v>
      </c>
      <c r="H1789" t="s">
        <v>547</v>
      </c>
      <c r="I1789" s="6">
        <v>0</v>
      </c>
      <c r="J1789" s="6">
        <v>250000</v>
      </c>
      <c r="K1789" t="s">
        <v>530</v>
      </c>
      <c r="L1789" t="s">
        <v>35</v>
      </c>
    </row>
    <row r="1790" spans="1:12" x14ac:dyDescent="0.5">
      <c r="A1790" s="2">
        <v>46107</v>
      </c>
      <c r="B1790" s="3" t="s">
        <v>568</v>
      </c>
      <c r="C1790" s="3" t="s">
        <v>577</v>
      </c>
      <c r="D1790" s="3" t="s">
        <v>578</v>
      </c>
      <c r="E1790" s="4">
        <v>189010</v>
      </c>
      <c r="F1790" s="3" t="s">
        <v>14</v>
      </c>
      <c r="G1790" s="3" t="s">
        <v>15</v>
      </c>
      <c r="H1790" s="3" t="s">
        <v>293</v>
      </c>
      <c r="I1790" s="4">
        <v>30178</v>
      </c>
      <c r="J1790" s="4">
        <v>158832</v>
      </c>
      <c r="K1790" s="3" t="s">
        <v>294</v>
      </c>
      <c r="L1790" s="3" t="s">
        <v>26</v>
      </c>
    </row>
    <row r="1791" spans="1:12" x14ac:dyDescent="0.5">
      <c r="A1791" s="5">
        <v>46107</v>
      </c>
      <c r="B1791" t="s">
        <v>568</v>
      </c>
      <c r="C1791" t="s">
        <v>271</v>
      </c>
      <c r="D1791" t="s">
        <v>272</v>
      </c>
      <c r="E1791" s="6">
        <v>342940</v>
      </c>
      <c r="F1791" t="s">
        <v>14</v>
      </c>
      <c r="G1791" t="s">
        <v>15</v>
      </c>
      <c r="H1791" t="s">
        <v>24</v>
      </c>
      <c r="I1791" s="6">
        <v>54755</v>
      </c>
      <c r="J1791" s="6">
        <v>288185</v>
      </c>
      <c r="K1791" t="s">
        <v>25</v>
      </c>
      <c r="L1791" t="s">
        <v>26</v>
      </c>
    </row>
    <row r="1792" spans="1:12" x14ac:dyDescent="0.5">
      <c r="A1792" s="2">
        <v>46107</v>
      </c>
      <c r="B1792" s="3" t="s">
        <v>560</v>
      </c>
      <c r="C1792" s="3" t="s">
        <v>638</v>
      </c>
      <c r="D1792" s="3" t="s">
        <v>668</v>
      </c>
      <c r="E1792" s="4">
        <v>42000</v>
      </c>
      <c r="F1792" s="3" t="s">
        <v>41</v>
      </c>
      <c r="G1792" s="3" t="s">
        <v>15</v>
      </c>
      <c r="H1792" s="3" t="s">
        <v>66</v>
      </c>
      <c r="I1792" s="4">
        <v>0</v>
      </c>
      <c r="J1792" s="4">
        <v>42000</v>
      </c>
      <c r="K1792" s="3" t="s">
        <v>67</v>
      </c>
      <c r="L1792" s="3" t="s">
        <v>68</v>
      </c>
    </row>
    <row r="1793" spans="1:12" x14ac:dyDescent="0.5">
      <c r="A1793" s="5">
        <v>46107</v>
      </c>
      <c r="B1793" t="s">
        <v>560</v>
      </c>
      <c r="C1793" t="s">
        <v>637</v>
      </c>
      <c r="D1793" t="s">
        <v>668</v>
      </c>
      <c r="E1793" s="6">
        <v>100000</v>
      </c>
      <c r="F1793" t="s">
        <v>41</v>
      </c>
      <c r="G1793" t="s">
        <v>15</v>
      </c>
      <c r="H1793" t="s">
        <v>66</v>
      </c>
      <c r="I1793" s="6">
        <v>0</v>
      </c>
      <c r="J1793" s="6">
        <v>100000</v>
      </c>
      <c r="K1793" t="s">
        <v>67</v>
      </c>
      <c r="L1793" t="s">
        <v>68</v>
      </c>
    </row>
    <row r="1794" spans="1:12" x14ac:dyDescent="0.5">
      <c r="A1794" s="2">
        <v>46108</v>
      </c>
      <c r="B1794" s="3" t="s">
        <v>568</v>
      </c>
      <c r="C1794" s="3" t="s">
        <v>577</v>
      </c>
      <c r="D1794" s="3" t="s">
        <v>578</v>
      </c>
      <c r="E1794" s="4">
        <v>7563</v>
      </c>
      <c r="F1794" s="3" t="s">
        <v>14</v>
      </c>
      <c r="G1794" s="3" t="s">
        <v>15</v>
      </c>
      <c r="H1794" s="3" t="s">
        <v>293</v>
      </c>
      <c r="I1794" s="4">
        <v>1208</v>
      </c>
      <c r="J1794" s="4">
        <v>6355</v>
      </c>
      <c r="K1794" s="3" t="s">
        <v>294</v>
      </c>
      <c r="L1794" s="3" t="s">
        <v>26</v>
      </c>
    </row>
    <row r="1795" spans="1:12" x14ac:dyDescent="0.5">
      <c r="A1795" s="5">
        <v>46108</v>
      </c>
      <c r="B1795" t="s">
        <v>568</v>
      </c>
      <c r="C1795" t="s">
        <v>617</v>
      </c>
      <c r="D1795" t="s">
        <v>664</v>
      </c>
      <c r="E1795" s="6">
        <v>80123</v>
      </c>
      <c r="F1795" t="s">
        <v>14</v>
      </c>
      <c r="G1795" t="s">
        <v>15</v>
      </c>
      <c r="H1795" t="s">
        <v>293</v>
      </c>
      <c r="I1795" s="6">
        <v>12793</v>
      </c>
      <c r="J1795" s="6">
        <v>67330</v>
      </c>
      <c r="K1795" t="s">
        <v>294</v>
      </c>
      <c r="L1795" t="s">
        <v>26</v>
      </c>
    </row>
    <row r="1796" spans="1:12" x14ac:dyDescent="0.5">
      <c r="A1796" s="2">
        <v>46108</v>
      </c>
      <c r="B1796" s="3" t="s">
        <v>560</v>
      </c>
      <c r="C1796" s="3" t="s">
        <v>474</v>
      </c>
      <c r="D1796" s="3" t="s">
        <v>668</v>
      </c>
      <c r="E1796" s="4">
        <v>110000</v>
      </c>
      <c r="F1796" s="3" t="s">
        <v>41</v>
      </c>
      <c r="G1796" s="3" t="s">
        <v>15</v>
      </c>
      <c r="H1796" s="3" t="s">
        <v>66</v>
      </c>
      <c r="I1796" s="4">
        <v>0</v>
      </c>
      <c r="J1796" s="4">
        <v>110000</v>
      </c>
      <c r="K1796" s="3" t="s">
        <v>67</v>
      </c>
      <c r="L1796" s="3" t="s">
        <v>68</v>
      </c>
    </row>
    <row r="1797" spans="1:12" x14ac:dyDescent="0.5">
      <c r="A1797" s="5">
        <v>46111</v>
      </c>
      <c r="B1797" t="s">
        <v>568</v>
      </c>
      <c r="C1797" t="s">
        <v>577</v>
      </c>
      <c r="D1797" t="s">
        <v>578</v>
      </c>
      <c r="E1797" s="6">
        <v>1437</v>
      </c>
      <c r="F1797" t="s">
        <v>14</v>
      </c>
      <c r="G1797" t="s">
        <v>15</v>
      </c>
      <c r="H1797" t="s">
        <v>293</v>
      </c>
      <c r="I1797" s="6">
        <v>229</v>
      </c>
      <c r="J1797" s="6">
        <v>1208</v>
      </c>
      <c r="K1797" t="s">
        <v>294</v>
      </c>
      <c r="L1797" t="s">
        <v>26</v>
      </c>
    </row>
    <row r="1798" spans="1:12" x14ac:dyDescent="0.5">
      <c r="A1798" s="2">
        <v>46111</v>
      </c>
      <c r="B1798" s="3" t="s">
        <v>568</v>
      </c>
      <c r="C1798" s="3" t="s">
        <v>315</v>
      </c>
      <c r="D1798" s="3" t="s">
        <v>316</v>
      </c>
      <c r="E1798" s="4">
        <v>34771</v>
      </c>
      <c r="F1798" s="3" t="s">
        <v>14</v>
      </c>
      <c r="G1798" s="3" t="s">
        <v>15</v>
      </c>
      <c r="H1798" s="3" t="s">
        <v>24</v>
      </c>
      <c r="I1798" s="4">
        <v>5552</v>
      </c>
      <c r="J1798" s="4">
        <v>29219</v>
      </c>
      <c r="K1798" s="3" t="s">
        <v>25</v>
      </c>
      <c r="L1798" s="3" t="s">
        <v>26</v>
      </c>
    </row>
    <row r="1799" spans="1:12" x14ac:dyDescent="0.5">
      <c r="A1799" s="5">
        <v>46111</v>
      </c>
      <c r="B1799" t="s">
        <v>568</v>
      </c>
      <c r="C1799" t="s">
        <v>335</v>
      </c>
      <c r="D1799" t="s">
        <v>336</v>
      </c>
      <c r="E1799" s="6">
        <v>61991</v>
      </c>
      <c r="F1799" t="s">
        <v>14</v>
      </c>
      <c r="G1799" t="s">
        <v>15</v>
      </c>
      <c r="H1799" t="s">
        <v>24</v>
      </c>
      <c r="I1799" s="6">
        <v>9898</v>
      </c>
      <c r="J1799" s="6">
        <v>52093</v>
      </c>
      <c r="K1799" t="s">
        <v>25</v>
      </c>
      <c r="L1799" t="s">
        <v>26</v>
      </c>
    </row>
    <row r="1800" spans="1:12" x14ac:dyDescent="0.5">
      <c r="A1800" s="2">
        <v>46111</v>
      </c>
      <c r="B1800" s="3" t="s">
        <v>568</v>
      </c>
      <c r="C1800" s="3" t="s">
        <v>279</v>
      </c>
      <c r="D1800" s="3" t="s">
        <v>280</v>
      </c>
      <c r="E1800" s="4">
        <v>103350</v>
      </c>
      <c r="F1800" s="3" t="s">
        <v>14</v>
      </c>
      <c r="G1800" s="3" t="s">
        <v>15</v>
      </c>
      <c r="H1800" s="3" t="s">
        <v>24</v>
      </c>
      <c r="I1800" s="4">
        <v>16501</v>
      </c>
      <c r="J1800" s="4">
        <v>86849</v>
      </c>
      <c r="K1800" s="3" t="s">
        <v>25</v>
      </c>
      <c r="L1800" s="3" t="s">
        <v>26</v>
      </c>
    </row>
    <row r="1801" spans="1:12" x14ac:dyDescent="0.5">
      <c r="A1801" s="5">
        <v>46111</v>
      </c>
      <c r="B1801" t="s">
        <v>568</v>
      </c>
      <c r="C1801" t="s">
        <v>261</v>
      </c>
      <c r="D1801" t="s">
        <v>262</v>
      </c>
      <c r="E1801" s="6">
        <v>115202</v>
      </c>
      <c r="F1801" t="s">
        <v>14</v>
      </c>
      <c r="G1801" t="s">
        <v>15</v>
      </c>
      <c r="H1801" t="s">
        <v>24</v>
      </c>
      <c r="I1801" s="6">
        <v>18394</v>
      </c>
      <c r="J1801" s="6">
        <v>96808</v>
      </c>
      <c r="K1801" t="s">
        <v>25</v>
      </c>
      <c r="L1801" t="s">
        <v>26</v>
      </c>
    </row>
    <row r="1802" spans="1:12" x14ac:dyDescent="0.5">
      <c r="A1802" s="2">
        <v>46111</v>
      </c>
      <c r="B1802" s="3" t="s">
        <v>568</v>
      </c>
      <c r="C1802" s="3" t="s">
        <v>261</v>
      </c>
      <c r="D1802" s="3" t="s">
        <v>262</v>
      </c>
      <c r="E1802" s="4">
        <v>115202</v>
      </c>
      <c r="F1802" s="3" t="s">
        <v>14</v>
      </c>
      <c r="G1802" s="3" t="s">
        <v>15</v>
      </c>
      <c r="H1802" s="3" t="s">
        <v>24</v>
      </c>
      <c r="I1802" s="4">
        <v>18394</v>
      </c>
      <c r="J1802" s="4">
        <v>96808</v>
      </c>
      <c r="K1802" s="3" t="s">
        <v>25</v>
      </c>
      <c r="L1802" s="3" t="s">
        <v>26</v>
      </c>
    </row>
    <row r="1803" spans="1:12" x14ac:dyDescent="0.5">
      <c r="A1803" s="5">
        <v>46111</v>
      </c>
      <c r="B1803" t="s">
        <v>568</v>
      </c>
      <c r="C1803" t="s">
        <v>261</v>
      </c>
      <c r="D1803" t="s">
        <v>262</v>
      </c>
      <c r="E1803" s="6">
        <v>144002</v>
      </c>
      <c r="F1803" t="s">
        <v>14</v>
      </c>
      <c r="G1803" t="s">
        <v>15</v>
      </c>
      <c r="H1803" t="s">
        <v>24</v>
      </c>
      <c r="I1803" s="6">
        <v>22992</v>
      </c>
      <c r="J1803" s="6">
        <v>121010</v>
      </c>
      <c r="K1803" t="s">
        <v>25</v>
      </c>
      <c r="L1803" t="s">
        <v>26</v>
      </c>
    </row>
    <row r="1804" spans="1:12" x14ac:dyDescent="0.5">
      <c r="A1804" s="2">
        <v>46111</v>
      </c>
      <c r="B1804" s="3" t="s">
        <v>568</v>
      </c>
      <c r="C1804" s="3" t="s">
        <v>335</v>
      </c>
      <c r="D1804" s="3" t="s">
        <v>336</v>
      </c>
      <c r="E1804" s="4">
        <v>149804</v>
      </c>
      <c r="F1804" s="3" t="s">
        <v>14</v>
      </c>
      <c r="G1804" s="3" t="s">
        <v>15</v>
      </c>
      <c r="H1804" s="3" t="s">
        <v>24</v>
      </c>
      <c r="I1804" s="4">
        <v>23918</v>
      </c>
      <c r="J1804" s="4">
        <v>125886</v>
      </c>
      <c r="K1804" s="3" t="s">
        <v>25</v>
      </c>
      <c r="L1804" s="3" t="s">
        <v>26</v>
      </c>
    </row>
    <row r="1805" spans="1:12" x14ac:dyDescent="0.5">
      <c r="A1805" s="5">
        <v>46111</v>
      </c>
      <c r="B1805" t="s">
        <v>568</v>
      </c>
      <c r="C1805" t="s">
        <v>639</v>
      </c>
      <c r="D1805" t="s">
        <v>665</v>
      </c>
      <c r="E1805" s="6">
        <v>237700</v>
      </c>
      <c r="F1805" t="s">
        <v>14</v>
      </c>
      <c r="G1805" t="s">
        <v>15</v>
      </c>
      <c r="H1805" t="s">
        <v>24</v>
      </c>
      <c r="I1805" s="6">
        <v>37952</v>
      </c>
      <c r="J1805" s="6">
        <v>199748</v>
      </c>
      <c r="K1805" t="s">
        <v>25</v>
      </c>
      <c r="L1805" t="s">
        <v>26</v>
      </c>
    </row>
    <row r="1806" spans="1:12" x14ac:dyDescent="0.5">
      <c r="A1806" s="2">
        <v>46111</v>
      </c>
      <c r="B1806" s="3" t="s">
        <v>568</v>
      </c>
      <c r="C1806" s="3" t="s">
        <v>337</v>
      </c>
      <c r="D1806" s="3" t="s">
        <v>338</v>
      </c>
      <c r="E1806" s="4">
        <v>298345</v>
      </c>
      <c r="F1806" s="3" t="s">
        <v>14</v>
      </c>
      <c r="G1806" s="3" t="s">
        <v>15</v>
      </c>
      <c r="H1806" s="3" t="s">
        <v>293</v>
      </c>
      <c r="I1806" s="4">
        <v>47635</v>
      </c>
      <c r="J1806" s="4">
        <v>250710</v>
      </c>
      <c r="K1806" s="3" t="s">
        <v>294</v>
      </c>
      <c r="L1806" s="3" t="s">
        <v>26</v>
      </c>
    </row>
    <row r="1807" spans="1:12" x14ac:dyDescent="0.5">
      <c r="A1807" s="5">
        <v>46111</v>
      </c>
      <c r="B1807" t="s">
        <v>568</v>
      </c>
      <c r="C1807" t="s">
        <v>640</v>
      </c>
      <c r="D1807" t="s">
        <v>661</v>
      </c>
      <c r="E1807" s="6">
        <v>443944</v>
      </c>
      <c r="F1807" t="s">
        <v>14</v>
      </c>
      <c r="G1807" t="s">
        <v>15</v>
      </c>
      <c r="H1807" t="s">
        <v>24</v>
      </c>
      <c r="I1807" s="6">
        <v>70882</v>
      </c>
      <c r="J1807" s="6">
        <v>373062</v>
      </c>
      <c r="K1807" t="s">
        <v>25</v>
      </c>
      <c r="L1807" t="s">
        <v>26</v>
      </c>
    </row>
    <row r="1808" spans="1:12" x14ac:dyDescent="0.5">
      <c r="A1808" s="2">
        <v>46111</v>
      </c>
      <c r="B1808" s="3" t="s">
        <v>568</v>
      </c>
      <c r="C1808" s="3" t="s">
        <v>247</v>
      </c>
      <c r="D1808" s="3" t="s">
        <v>248</v>
      </c>
      <c r="E1808" s="4">
        <v>738295</v>
      </c>
      <c r="F1808" s="3" t="s">
        <v>14</v>
      </c>
      <c r="G1808" s="3" t="s">
        <v>15</v>
      </c>
      <c r="H1808" s="3" t="s">
        <v>24</v>
      </c>
      <c r="I1808" s="4">
        <v>117879</v>
      </c>
      <c r="J1808" s="4">
        <v>620416</v>
      </c>
      <c r="K1808" s="3" t="s">
        <v>25</v>
      </c>
      <c r="L1808" s="3" t="s">
        <v>26</v>
      </c>
    </row>
    <row r="1809" spans="1:12" x14ac:dyDescent="0.5">
      <c r="A1809" s="5">
        <v>46111</v>
      </c>
      <c r="B1809" t="s">
        <v>560</v>
      </c>
      <c r="C1809" t="s">
        <v>395</v>
      </c>
      <c r="D1809" t="s">
        <v>668</v>
      </c>
      <c r="E1809" s="6">
        <v>25000</v>
      </c>
      <c r="F1809" t="s">
        <v>41</v>
      </c>
      <c r="G1809" t="s">
        <v>15</v>
      </c>
      <c r="H1809" t="s">
        <v>66</v>
      </c>
      <c r="I1809" s="6">
        <v>0</v>
      </c>
      <c r="J1809" s="6">
        <v>25000</v>
      </c>
      <c r="K1809" t="s">
        <v>67</v>
      </c>
      <c r="L1809" t="s">
        <v>68</v>
      </c>
    </row>
    <row r="1810" spans="1:12" x14ac:dyDescent="0.5">
      <c r="A1810" s="2">
        <v>46111</v>
      </c>
      <c r="B1810" s="3" t="s">
        <v>560</v>
      </c>
      <c r="C1810" s="3" t="s">
        <v>389</v>
      </c>
      <c r="D1810" s="3" t="s">
        <v>668</v>
      </c>
      <c r="E1810" s="4">
        <v>25000</v>
      </c>
      <c r="F1810" s="3" t="s">
        <v>41</v>
      </c>
      <c r="G1810" s="3" t="s">
        <v>15</v>
      </c>
      <c r="H1810" s="3" t="s">
        <v>66</v>
      </c>
      <c r="I1810" s="4">
        <v>0</v>
      </c>
      <c r="J1810" s="4">
        <v>25000</v>
      </c>
      <c r="K1810" s="3" t="s">
        <v>67</v>
      </c>
      <c r="L1810" s="3" t="s">
        <v>68</v>
      </c>
    </row>
    <row r="1811" spans="1:12" x14ac:dyDescent="0.5">
      <c r="A1811" s="5">
        <v>46111</v>
      </c>
      <c r="B1811" t="s">
        <v>568</v>
      </c>
      <c r="C1811" t="s">
        <v>345</v>
      </c>
      <c r="D1811" t="s">
        <v>346</v>
      </c>
      <c r="E1811" s="6">
        <v>9996</v>
      </c>
      <c r="F1811" t="s">
        <v>14</v>
      </c>
      <c r="G1811" t="s">
        <v>15</v>
      </c>
      <c r="H1811" t="s">
        <v>347</v>
      </c>
      <c r="I1811" s="6">
        <v>1596</v>
      </c>
      <c r="J1811" s="6">
        <v>8400</v>
      </c>
      <c r="K1811" t="s">
        <v>348</v>
      </c>
      <c r="L1811" t="s">
        <v>22</v>
      </c>
    </row>
  </sheetData>
  <autoFilter ref="A1:L1181" xr:uid="{00000000-0009-0000-0000-000000000000}">
    <sortState xmlns:xlrd2="http://schemas.microsoft.com/office/spreadsheetml/2017/richdata2" ref="A2:L1811">
      <sortCondition descending="1" ref="A1:A118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pane xSplit="1" ySplit="1" topLeftCell="B2" activePane="bottomRight" state="frozen"/>
      <selection pane="topRight"/>
      <selection pane="bottomLeft"/>
      <selection pane="bottomRight" activeCell="K26" sqref="K26"/>
    </sheetView>
  </sheetViews>
  <sheetFormatPr baseColWidth="10" defaultColWidth="8.9375" defaultRowHeight="14.35" x14ac:dyDescent="0.5"/>
  <cols>
    <col min="1" max="1" width="14" customWidth="1"/>
    <col min="2" max="2" width="14.1171875" bestFit="1" customWidth="1"/>
    <col min="3" max="3" width="9.8203125" bestFit="1" customWidth="1"/>
    <col min="4" max="4" width="13.05859375" bestFit="1" customWidth="1"/>
    <col min="5" max="5" width="8.8203125" bestFit="1" customWidth="1"/>
    <col min="6" max="6" width="18.3515625" bestFit="1" customWidth="1"/>
    <col min="7" max="7" width="9.3515625" bestFit="1" customWidth="1"/>
    <col min="8" max="8" width="8.8203125" bestFit="1" customWidth="1"/>
    <col min="9" max="9" width="10.41015625" bestFit="1" customWidth="1"/>
    <col min="10" max="10" width="9.8203125" bestFit="1" customWidth="1"/>
    <col min="11" max="11" width="16" customWidth="1"/>
  </cols>
  <sheetData>
    <row r="1" spans="1:11" ht="32" customHeight="1" x14ac:dyDescent="0.5">
      <c r="A1" s="1" t="s">
        <v>1</v>
      </c>
      <c r="B1" s="7" t="s">
        <v>365</v>
      </c>
      <c r="C1" s="7" t="s">
        <v>366</v>
      </c>
      <c r="D1" s="7" t="s">
        <v>367</v>
      </c>
      <c r="E1" s="7" t="s">
        <v>368</v>
      </c>
      <c r="F1" s="7" t="s">
        <v>369</v>
      </c>
      <c r="G1" s="7" t="s">
        <v>370</v>
      </c>
      <c r="H1" s="7" t="s">
        <v>371</v>
      </c>
      <c r="I1" s="7" t="s">
        <v>372</v>
      </c>
      <c r="J1" s="7" t="s">
        <v>373</v>
      </c>
      <c r="K1" s="1" t="s">
        <v>374</v>
      </c>
    </row>
    <row r="2" spans="1:11" x14ac:dyDescent="0.5">
      <c r="A2" s="8" t="s">
        <v>69</v>
      </c>
      <c r="B2" s="4">
        <v>3542555</v>
      </c>
      <c r="C2" s="4">
        <v>1601559</v>
      </c>
      <c r="D2" s="4">
        <v>1770166</v>
      </c>
      <c r="E2" s="4"/>
      <c r="F2" s="4">
        <v>1270508</v>
      </c>
      <c r="G2" s="4">
        <v>509471</v>
      </c>
      <c r="H2" s="4">
        <v>87948</v>
      </c>
      <c r="I2" s="4">
        <v>4193</v>
      </c>
      <c r="J2" s="4">
        <v>33442</v>
      </c>
      <c r="K2" s="9">
        <f t="shared" ref="K2:K15" si="0">+SUM(B2:J2)</f>
        <v>8819842</v>
      </c>
    </row>
    <row r="3" spans="1:11" x14ac:dyDescent="0.5">
      <c r="A3" s="10" t="s">
        <v>90</v>
      </c>
      <c r="B3" s="6"/>
      <c r="C3" s="6">
        <v>8151421</v>
      </c>
      <c r="D3" s="6"/>
      <c r="E3" s="6"/>
      <c r="F3" s="6"/>
      <c r="G3" s="6"/>
      <c r="H3" s="6"/>
      <c r="I3" s="6"/>
      <c r="J3" s="6">
        <v>1055433</v>
      </c>
      <c r="K3" s="9">
        <f t="shared" si="0"/>
        <v>9206854</v>
      </c>
    </row>
    <row r="4" spans="1:11" x14ac:dyDescent="0.5">
      <c r="A4" s="8" t="s">
        <v>96</v>
      </c>
      <c r="B4" s="4">
        <v>2102400</v>
      </c>
      <c r="C4" s="4">
        <v>5416208</v>
      </c>
      <c r="D4" s="4">
        <v>1046705</v>
      </c>
      <c r="E4" s="4">
        <v>390000</v>
      </c>
      <c r="F4" s="4">
        <v>930769</v>
      </c>
      <c r="G4" s="4">
        <v>609405</v>
      </c>
      <c r="H4" s="4">
        <v>95154</v>
      </c>
      <c r="I4" s="4">
        <v>54420</v>
      </c>
      <c r="J4" s="4">
        <v>1684643</v>
      </c>
      <c r="K4" s="9">
        <f t="shared" si="0"/>
        <v>12329704</v>
      </c>
    </row>
    <row r="5" spans="1:11" x14ac:dyDescent="0.5">
      <c r="A5" s="10" t="s">
        <v>115</v>
      </c>
      <c r="B5" s="6">
        <v>5468426</v>
      </c>
      <c r="C5" s="6">
        <v>5180655</v>
      </c>
      <c r="D5" s="6">
        <v>2267053</v>
      </c>
      <c r="E5" s="6">
        <v>520000</v>
      </c>
      <c r="F5" s="6">
        <v>1289353</v>
      </c>
      <c r="G5" s="6">
        <v>241080</v>
      </c>
      <c r="H5" s="6">
        <v>91292</v>
      </c>
      <c r="I5" s="6">
        <v>19531</v>
      </c>
      <c r="J5" s="6">
        <v>2028841</v>
      </c>
      <c r="K5" s="9">
        <f t="shared" si="0"/>
        <v>17106231</v>
      </c>
    </row>
    <row r="6" spans="1:11" x14ac:dyDescent="0.5">
      <c r="A6" s="8" t="s">
        <v>131</v>
      </c>
      <c r="B6" s="4">
        <v>5975278</v>
      </c>
      <c r="C6" s="4">
        <v>5397366</v>
      </c>
      <c r="D6" s="4">
        <v>2207267</v>
      </c>
      <c r="E6" s="4">
        <v>1714271</v>
      </c>
      <c r="F6" s="4">
        <v>1123685</v>
      </c>
      <c r="G6" s="4">
        <v>1055463</v>
      </c>
      <c r="H6" s="4">
        <v>111775</v>
      </c>
      <c r="I6" s="4">
        <v>30158</v>
      </c>
      <c r="J6" s="4">
        <v>1781383</v>
      </c>
      <c r="K6" s="9">
        <f t="shared" si="0"/>
        <v>19396646</v>
      </c>
    </row>
    <row r="7" spans="1:11" x14ac:dyDescent="0.5">
      <c r="A7" s="10" t="s">
        <v>151</v>
      </c>
      <c r="B7" s="6">
        <v>6802920</v>
      </c>
      <c r="C7" s="6">
        <v>9673034</v>
      </c>
      <c r="D7" s="6">
        <v>2662253</v>
      </c>
      <c r="E7" s="6">
        <v>588922</v>
      </c>
      <c r="F7" s="6">
        <v>1513352</v>
      </c>
      <c r="G7" s="6">
        <v>741769</v>
      </c>
      <c r="H7" s="6">
        <v>140638</v>
      </c>
      <c r="I7" s="6">
        <v>22967</v>
      </c>
      <c r="J7" s="6">
        <v>1585026</v>
      </c>
      <c r="K7" s="9">
        <f t="shared" si="0"/>
        <v>23730881</v>
      </c>
    </row>
    <row r="8" spans="1:11" x14ac:dyDescent="0.5">
      <c r="A8" s="8" t="s">
        <v>164</v>
      </c>
      <c r="B8" s="4">
        <v>4501491</v>
      </c>
      <c r="C8" s="4">
        <v>3772466</v>
      </c>
      <c r="D8" s="4">
        <v>2780933</v>
      </c>
      <c r="E8" s="4">
        <v>25000</v>
      </c>
      <c r="F8" s="4">
        <v>1619437</v>
      </c>
      <c r="G8" s="4">
        <v>1143524</v>
      </c>
      <c r="H8" s="4">
        <v>155377</v>
      </c>
      <c r="I8" s="4">
        <v>44407</v>
      </c>
      <c r="J8" s="4">
        <v>1895184</v>
      </c>
      <c r="K8" s="9">
        <f t="shared" si="0"/>
        <v>15937819</v>
      </c>
    </row>
    <row r="9" spans="1:11" x14ac:dyDescent="0.5">
      <c r="A9" s="10" t="s">
        <v>174</v>
      </c>
      <c r="B9" s="6">
        <v>4124880</v>
      </c>
      <c r="C9" s="6">
        <v>6412311</v>
      </c>
      <c r="D9" s="6">
        <v>2621844</v>
      </c>
      <c r="E9" s="6">
        <v>645002</v>
      </c>
      <c r="F9" s="6">
        <v>1357282</v>
      </c>
      <c r="G9" s="6">
        <v>931670</v>
      </c>
      <c r="H9" s="6">
        <v>127385</v>
      </c>
      <c r="I9" s="6">
        <v>5979</v>
      </c>
      <c r="J9" s="6">
        <v>2347740</v>
      </c>
      <c r="K9" s="9">
        <f t="shared" si="0"/>
        <v>18574093</v>
      </c>
    </row>
    <row r="10" spans="1:11" x14ac:dyDescent="0.5">
      <c r="A10" s="8" t="s">
        <v>192</v>
      </c>
      <c r="B10" s="4">
        <v>4137176</v>
      </c>
      <c r="C10" s="4">
        <v>11662962</v>
      </c>
      <c r="D10" s="4">
        <v>2640613</v>
      </c>
      <c r="E10" s="4">
        <v>1006036</v>
      </c>
      <c r="F10" s="4">
        <v>1235007</v>
      </c>
      <c r="G10" s="4">
        <v>623561</v>
      </c>
      <c r="H10" s="4">
        <v>178648</v>
      </c>
      <c r="I10" s="4">
        <v>26828</v>
      </c>
      <c r="J10" s="4">
        <v>1936260</v>
      </c>
      <c r="K10" s="9">
        <f t="shared" si="0"/>
        <v>23447091</v>
      </c>
    </row>
    <row r="11" spans="1:11" x14ac:dyDescent="0.5">
      <c r="A11" s="10" t="s">
        <v>203</v>
      </c>
      <c r="B11" s="6">
        <v>4387607</v>
      </c>
      <c r="C11" s="6">
        <v>3998259</v>
      </c>
      <c r="D11" s="6">
        <v>57867500</v>
      </c>
      <c r="E11" s="6"/>
      <c r="F11" s="6">
        <v>1649247</v>
      </c>
      <c r="G11" s="6">
        <v>758966</v>
      </c>
      <c r="H11" s="6">
        <v>98038</v>
      </c>
      <c r="I11" s="6">
        <v>31928</v>
      </c>
      <c r="J11" s="6">
        <v>1395392</v>
      </c>
      <c r="K11" s="9">
        <f t="shared" si="0"/>
        <v>70186937</v>
      </c>
    </row>
    <row r="12" spans="1:11" x14ac:dyDescent="0.5">
      <c r="A12" s="8" t="s">
        <v>218</v>
      </c>
      <c r="B12" s="4">
        <v>4365818</v>
      </c>
      <c r="C12" s="4">
        <v>6611057</v>
      </c>
      <c r="D12" s="4">
        <v>7065137</v>
      </c>
      <c r="E12" s="4">
        <v>545002</v>
      </c>
      <c r="F12" s="4">
        <v>1561367</v>
      </c>
      <c r="G12" s="4">
        <v>448323</v>
      </c>
      <c r="H12" s="4">
        <v>113459</v>
      </c>
      <c r="I12" s="4">
        <v>54812</v>
      </c>
      <c r="J12" s="4">
        <v>2034764</v>
      </c>
      <c r="K12" s="9">
        <f t="shared" si="0"/>
        <v>22799739</v>
      </c>
    </row>
    <row r="13" spans="1:11" x14ac:dyDescent="0.5">
      <c r="A13" s="10" t="s">
        <v>232</v>
      </c>
      <c r="B13" s="6">
        <v>5443210</v>
      </c>
      <c r="C13" s="6">
        <v>7162631</v>
      </c>
      <c r="D13" s="6">
        <v>6270337</v>
      </c>
      <c r="E13" s="6">
        <v>514794</v>
      </c>
      <c r="F13" s="6">
        <v>1168034</v>
      </c>
      <c r="G13" s="6">
        <v>2269081</v>
      </c>
      <c r="H13" s="6">
        <v>570128</v>
      </c>
      <c r="I13" s="6">
        <v>2492</v>
      </c>
      <c r="J13" s="6">
        <v>2278363</v>
      </c>
      <c r="K13" s="9">
        <f t="shared" si="0"/>
        <v>25679070</v>
      </c>
    </row>
    <row r="14" spans="1:11" x14ac:dyDescent="0.5">
      <c r="A14" s="8" t="s">
        <v>552</v>
      </c>
      <c r="B14" s="4">
        <v>5578871</v>
      </c>
      <c r="C14" s="4">
        <v>9849594</v>
      </c>
      <c r="D14" s="4">
        <v>5849410</v>
      </c>
      <c r="E14" s="4">
        <v>551261</v>
      </c>
      <c r="F14" s="4">
        <v>1833190</v>
      </c>
      <c r="G14" s="4">
        <v>827746</v>
      </c>
      <c r="H14" s="4">
        <v>559074</v>
      </c>
      <c r="I14" s="4"/>
      <c r="J14" s="4">
        <v>2425979</v>
      </c>
      <c r="K14" s="9">
        <f t="shared" si="0"/>
        <v>27475125</v>
      </c>
    </row>
    <row r="15" spans="1:11" x14ac:dyDescent="0.5">
      <c r="A15" s="10" t="s">
        <v>560</v>
      </c>
      <c r="B15" s="6">
        <v>1287402</v>
      </c>
      <c r="C15" s="6">
        <v>8745073</v>
      </c>
      <c r="D15" s="6">
        <v>3652697</v>
      </c>
      <c r="E15" s="6">
        <v>605767</v>
      </c>
      <c r="F15" s="6">
        <v>871065</v>
      </c>
      <c r="G15" s="6">
        <v>719473</v>
      </c>
      <c r="H15" s="6">
        <v>467200</v>
      </c>
      <c r="I15" s="6"/>
      <c r="J15" s="6">
        <v>2147617</v>
      </c>
      <c r="K15" s="9">
        <f t="shared" si="0"/>
        <v>18496294</v>
      </c>
    </row>
    <row r="16" spans="1:11" x14ac:dyDescent="0.5">
      <c r="A16" s="8" t="s">
        <v>568</v>
      </c>
      <c r="B16" s="4">
        <v>7592596</v>
      </c>
      <c r="C16" s="4">
        <v>853701</v>
      </c>
      <c r="D16" s="4">
        <v>3683962</v>
      </c>
      <c r="E16" s="4"/>
      <c r="F16" s="4">
        <v>977940</v>
      </c>
      <c r="G16" s="4">
        <v>2081341</v>
      </c>
      <c r="H16" s="4">
        <v>593130</v>
      </c>
      <c r="I16" s="4"/>
      <c r="J16" s="4">
        <v>1926212</v>
      </c>
      <c r="K16" s="9">
        <f>+SUM(B16:J16)</f>
        <v>17708882</v>
      </c>
    </row>
    <row r="17" spans="1:11" x14ac:dyDescent="0.5">
      <c r="A17" s="11" t="s">
        <v>375</v>
      </c>
      <c r="B17" s="12">
        <f>+SUM(B2:B16)</f>
        <v>65310630</v>
      </c>
      <c r="C17" s="12">
        <f t="shared" ref="C17:J17" si="1">+SUM(C2:C16)</f>
        <v>94488297</v>
      </c>
      <c r="D17" s="12">
        <f t="shared" si="1"/>
        <v>102385877</v>
      </c>
      <c r="E17" s="12">
        <f t="shared" si="1"/>
        <v>7106055</v>
      </c>
      <c r="F17" s="12">
        <f t="shared" si="1"/>
        <v>18400236</v>
      </c>
      <c r="G17" s="12">
        <f t="shared" si="1"/>
        <v>12960873</v>
      </c>
      <c r="H17" s="12">
        <f t="shared" si="1"/>
        <v>3389246</v>
      </c>
      <c r="I17" s="12">
        <f t="shared" si="1"/>
        <v>297715</v>
      </c>
      <c r="J17" s="12">
        <f t="shared" si="1"/>
        <v>26556279</v>
      </c>
      <c r="K17" s="12">
        <f>+SUM(B17:J17)</f>
        <v>330895208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5"/>
  <sheetViews>
    <sheetView topLeftCell="B1" workbookViewId="0">
      <pane ySplit="1" topLeftCell="A2" activePane="bottomLeft" state="frozen"/>
      <selection pane="bottomLeft" activeCell="B2" sqref="B2:M1811"/>
    </sheetView>
  </sheetViews>
  <sheetFormatPr baseColWidth="10" defaultColWidth="8.9375" defaultRowHeight="14.35" x14ac:dyDescent="0.5"/>
  <cols>
    <col min="1" max="2" width="12" customWidth="1"/>
    <col min="3" max="3" width="55" customWidth="1"/>
    <col min="4" max="4" width="14" customWidth="1"/>
    <col min="5" max="5" width="71.29296875" bestFit="1" customWidth="1"/>
    <col min="6" max="6" width="18.17578125" bestFit="1" customWidth="1"/>
    <col min="7" max="7" width="21.234375" bestFit="1" customWidth="1"/>
    <col min="8" max="8" width="17.41015625" bestFit="1" customWidth="1"/>
  </cols>
  <sheetData>
    <row r="1" spans="1:8" x14ac:dyDescent="0.5">
      <c r="A1" s="13" t="s">
        <v>0</v>
      </c>
      <c r="B1" s="13" t="s">
        <v>1</v>
      </c>
      <c r="C1" s="13" t="s">
        <v>2</v>
      </c>
      <c r="D1" s="13" t="s">
        <v>4</v>
      </c>
      <c r="E1" s="13" t="s">
        <v>376</v>
      </c>
      <c r="F1" s="15" t="s">
        <v>7</v>
      </c>
      <c r="G1" s="13" t="s">
        <v>542</v>
      </c>
      <c r="H1" s="13" t="s">
        <v>11</v>
      </c>
    </row>
    <row r="2" spans="1:8" x14ac:dyDescent="0.5">
      <c r="A2" s="5">
        <v>45323</v>
      </c>
      <c r="B2" t="s">
        <v>12</v>
      </c>
      <c r="C2" t="s">
        <v>377</v>
      </c>
      <c r="D2" s="6">
        <v>100000</v>
      </c>
      <c r="G2">
        <f>+_xlfn.XLOOKUP(F2,Listas!$B:$B,Listas!$A:$A,0,0)</f>
        <v>0</v>
      </c>
      <c r="H2">
        <f>+_xlfn.XLOOKUP(F2,Listas!$B:$B,Listas!$C:$C,0,0)</f>
        <v>0</v>
      </c>
    </row>
    <row r="3" spans="1:8" x14ac:dyDescent="0.5">
      <c r="A3" s="5">
        <v>45323</v>
      </c>
      <c r="B3" t="s">
        <v>12</v>
      </c>
      <c r="C3" t="s">
        <v>378</v>
      </c>
      <c r="D3" s="6">
        <v>7880</v>
      </c>
      <c r="G3">
        <f>+_xlfn.XLOOKUP(F3,Listas!$B:$B,Listas!$A:$A,0,0)</f>
        <v>0</v>
      </c>
      <c r="H3">
        <f>+_xlfn.XLOOKUP(F3,Listas!$B:$B,Listas!$C:$C,0,0)</f>
        <v>0</v>
      </c>
    </row>
    <row r="4" spans="1:8" x14ac:dyDescent="0.5">
      <c r="A4" s="5">
        <v>45324</v>
      </c>
      <c r="B4" t="s">
        <v>12</v>
      </c>
      <c r="C4" t="s">
        <v>379</v>
      </c>
      <c r="D4" s="6">
        <v>400000</v>
      </c>
      <c r="G4">
        <f>+_xlfn.XLOOKUP(F4,Listas!$B:$B,Listas!$A:$A,0,0)</f>
        <v>0</v>
      </c>
      <c r="H4">
        <f>+_xlfn.XLOOKUP(F4,Listas!$B:$B,Listas!$C:$C,0,0)</f>
        <v>0</v>
      </c>
    </row>
    <row r="5" spans="1:8" x14ac:dyDescent="0.5">
      <c r="A5" s="5">
        <v>45328</v>
      </c>
      <c r="B5" t="s">
        <v>12</v>
      </c>
      <c r="C5" t="s">
        <v>381</v>
      </c>
      <c r="D5" s="6">
        <v>53550</v>
      </c>
      <c r="G5">
        <f>+_xlfn.XLOOKUP(F5,Listas!$B:$B,Listas!$A:$A,0,0)</f>
        <v>0</v>
      </c>
      <c r="H5">
        <f>+_xlfn.XLOOKUP(F5,Listas!$B:$B,Listas!$C:$C,0,0)</f>
        <v>0</v>
      </c>
    </row>
    <row r="6" spans="1:8" x14ac:dyDescent="0.5">
      <c r="A6" s="5">
        <v>45328</v>
      </c>
      <c r="B6" t="s">
        <v>12</v>
      </c>
      <c r="C6" t="s">
        <v>382</v>
      </c>
      <c r="D6" s="6">
        <v>5960</v>
      </c>
      <c r="G6">
        <f>+_xlfn.XLOOKUP(F6,Listas!$B:$B,Listas!$A:$A,0,0)</f>
        <v>0</v>
      </c>
      <c r="H6">
        <f>+_xlfn.XLOOKUP(F6,Listas!$B:$B,Listas!$C:$C,0,0)</f>
        <v>0</v>
      </c>
    </row>
    <row r="7" spans="1:8" x14ac:dyDescent="0.5">
      <c r="A7" s="5">
        <v>45328</v>
      </c>
      <c r="B7" t="s">
        <v>12</v>
      </c>
      <c r="C7" t="s">
        <v>383</v>
      </c>
      <c r="D7" s="6">
        <v>99979</v>
      </c>
      <c r="G7">
        <f>+_xlfn.XLOOKUP(F7,Listas!$B:$B,Listas!$A:$A,0,0)</f>
        <v>0</v>
      </c>
      <c r="H7">
        <f>+_xlfn.XLOOKUP(F7,Listas!$B:$B,Listas!$C:$C,0,0)</f>
        <v>0</v>
      </c>
    </row>
    <row r="8" spans="1:8" x14ac:dyDescent="0.5">
      <c r="A8" s="5">
        <v>45330</v>
      </c>
      <c r="B8" t="s">
        <v>12</v>
      </c>
      <c r="C8" t="s">
        <v>384</v>
      </c>
      <c r="D8" s="6">
        <v>36736</v>
      </c>
      <c r="G8">
        <f>+_xlfn.XLOOKUP(F8,Listas!$B:$B,Listas!$A:$A,0,0)</f>
        <v>0</v>
      </c>
      <c r="H8">
        <f>+_xlfn.XLOOKUP(F8,Listas!$B:$B,Listas!$C:$C,0,0)</f>
        <v>0</v>
      </c>
    </row>
    <row r="9" spans="1:8" x14ac:dyDescent="0.5">
      <c r="A9" s="5">
        <v>45330</v>
      </c>
      <c r="B9" t="s">
        <v>12</v>
      </c>
      <c r="C9" t="s">
        <v>384</v>
      </c>
      <c r="D9" s="6">
        <v>55104</v>
      </c>
      <c r="G9">
        <f>+_xlfn.XLOOKUP(F9,Listas!$B:$B,Listas!$A:$A,0,0)</f>
        <v>0</v>
      </c>
      <c r="H9">
        <f>+_xlfn.XLOOKUP(F9,Listas!$B:$B,Listas!$C:$C,0,0)</f>
        <v>0</v>
      </c>
    </row>
    <row r="10" spans="1:8" x14ac:dyDescent="0.5">
      <c r="A10" s="5">
        <v>45344</v>
      </c>
      <c r="B10" t="s">
        <v>12</v>
      </c>
      <c r="C10" t="s">
        <v>386</v>
      </c>
      <c r="D10" s="6">
        <v>1400</v>
      </c>
      <c r="G10">
        <f>+_xlfn.XLOOKUP(F10,Listas!$B:$B,Listas!$A:$A,0,0)</f>
        <v>0</v>
      </c>
      <c r="H10">
        <f>+_xlfn.XLOOKUP(F10,Listas!$B:$B,Listas!$C:$C,0,0)</f>
        <v>0</v>
      </c>
    </row>
    <row r="11" spans="1:8" x14ac:dyDescent="0.5">
      <c r="A11" s="5">
        <v>45344</v>
      </c>
      <c r="B11" t="s">
        <v>12</v>
      </c>
      <c r="C11" t="s">
        <v>387</v>
      </c>
      <c r="D11" s="6">
        <v>16250</v>
      </c>
      <c r="G11">
        <f>+_xlfn.XLOOKUP(F11,Listas!$B:$B,Listas!$A:$A,0,0)</f>
        <v>0</v>
      </c>
      <c r="H11">
        <f>+_xlfn.XLOOKUP(F11,Listas!$B:$B,Listas!$C:$C,0,0)</f>
        <v>0</v>
      </c>
    </row>
    <row r="12" spans="1:8" x14ac:dyDescent="0.5">
      <c r="A12" s="5">
        <v>45345</v>
      </c>
      <c r="B12" t="s">
        <v>12</v>
      </c>
      <c r="C12" t="s">
        <v>388</v>
      </c>
      <c r="D12" s="6">
        <v>250000</v>
      </c>
      <c r="G12">
        <f>+_xlfn.XLOOKUP(F12,Listas!$B:$B,Listas!$A:$A,0,0)</f>
        <v>0</v>
      </c>
      <c r="H12">
        <f>+_xlfn.XLOOKUP(F12,Listas!$B:$B,Listas!$C:$C,0,0)</f>
        <v>0</v>
      </c>
    </row>
    <row r="13" spans="1:8" x14ac:dyDescent="0.5">
      <c r="A13" s="5">
        <v>45348</v>
      </c>
      <c r="B13" t="s">
        <v>12</v>
      </c>
      <c r="C13" t="s">
        <v>389</v>
      </c>
      <c r="D13" s="6">
        <v>200000</v>
      </c>
      <c r="G13">
        <f>+_xlfn.XLOOKUP(F13,Listas!$B:$B,Listas!$A:$A,0,0)</f>
        <v>0</v>
      </c>
      <c r="H13">
        <f>+_xlfn.XLOOKUP(F13,Listas!$B:$B,Listas!$C:$C,0,0)</f>
        <v>0</v>
      </c>
    </row>
    <row r="14" spans="1:8" x14ac:dyDescent="0.5">
      <c r="A14" s="5">
        <v>45348</v>
      </c>
      <c r="B14" t="s">
        <v>12</v>
      </c>
      <c r="C14" t="s">
        <v>390</v>
      </c>
      <c r="D14" s="6">
        <v>5970</v>
      </c>
      <c r="G14">
        <f>+_xlfn.XLOOKUP(F14,Listas!$B:$B,Listas!$A:$A,0,0)</f>
        <v>0</v>
      </c>
      <c r="H14">
        <f>+_xlfn.XLOOKUP(F14,Listas!$B:$B,Listas!$C:$C,0,0)</f>
        <v>0</v>
      </c>
    </row>
    <row r="15" spans="1:8" x14ac:dyDescent="0.5">
      <c r="A15" s="5">
        <v>45350</v>
      </c>
      <c r="B15" t="s">
        <v>12</v>
      </c>
      <c r="C15" t="s">
        <v>391</v>
      </c>
      <c r="D15" s="6">
        <v>18343</v>
      </c>
      <c r="G15">
        <f>+_xlfn.XLOOKUP(F15,Listas!$B:$B,Listas!$A:$A,0,0)</f>
        <v>0</v>
      </c>
      <c r="H15">
        <f>+_xlfn.XLOOKUP(F15,Listas!$B:$B,Listas!$C:$C,0,0)</f>
        <v>0</v>
      </c>
    </row>
    <row r="16" spans="1:8" x14ac:dyDescent="0.5">
      <c r="A16" s="5">
        <v>45350</v>
      </c>
      <c r="B16" t="s">
        <v>12</v>
      </c>
      <c r="C16" t="s">
        <v>392</v>
      </c>
      <c r="D16" s="6">
        <v>8830</v>
      </c>
      <c r="G16">
        <f>+_xlfn.XLOOKUP(F16,Listas!$B:$B,Listas!$A:$A,0,0)</f>
        <v>0</v>
      </c>
      <c r="H16">
        <f>+_xlfn.XLOOKUP(F16,Listas!$B:$B,Listas!$C:$C,0,0)</f>
        <v>0</v>
      </c>
    </row>
    <row r="17" spans="1:8" x14ac:dyDescent="0.5">
      <c r="A17" s="5">
        <v>45351</v>
      </c>
      <c r="B17" t="s">
        <v>12</v>
      </c>
      <c r="C17" t="s">
        <v>393</v>
      </c>
      <c r="D17" s="6">
        <v>1500</v>
      </c>
      <c r="G17">
        <f>+_xlfn.XLOOKUP(F17,Listas!$B:$B,Listas!$A:$A,0,0)</f>
        <v>0</v>
      </c>
      <c r="H17">
        <f>+_xlfn.XLOOKUP(F17,Listas!$B:$B,Listas!$C:$C,0,0)</f>
        <v>0</v>
      </c>
    </row>
    <row r="18" spans="1:8" x14ac:dyDescent="0.5">
      <c r="A18" s="5">
        <v>45659</v>
      </c>
      <c r="B18" t="s">
        <v>69</v>
      </c>
      <c r="C18" t="s">
        <v>394</v>
      </c>
      <c r="D18" s="6">
        <v>150000</v>
      </c>
      <c r="G18">
        <f>+_xlfn.XLOOKUP(F18,Listas!$B:$B,Listas!$A:$A,0,0)</f>
        <v>0</v>
      </c>
      <c r="H18">
        <f>+_xlfn.XLOOKUP(F18,Listas!$B:$B,Listas!$C:$C,0,0)</f>
        <v>0</v>
      </c>
    </row>
    <row r="19" spans="1:8" x14ac:dyDescent="0.5">
      <c r="A19" s="5">
        <v>45659</v>
      </c>
      <c r="B19" t="s">
        <v>69</v>
      </c>
      <c r="C19" t="s">
        <v>394</v>
      </c>
      <c r="D19" s="6">
        <v>18000</v>
      </c>
      <c r="G19">
        <f>+_xlfn.XLOOKUP(F19,Listas!$B:$B,Listas!$A:$A,0,0)</f>
        <v>0</v>
      </c>
      <c r="H19">
        <f>+_xlfn.XLOOKUP(F19,Listas!$B:$B,Listas!$C:$C,0,0)</f>
        <v>0</v>
      </c>
    </row>
    <row r="20" spans="1:8" x14ac:dyDescent="0.5">
      <c r="A20" s="5">
        <v>45659</v>
      </c>
      <c r="B20" t="s">
        <v>69</v>
      </c>
      <c r="C20" t="s">
        <v>395</v>
      </c>
      <c r="D20" s="6">
        <v>180000</v>
      </c>
      <c r="G20">
        <f>+_xlfn.XLOOKUP(F20,Listas!$B:$B,Listas!$A:$A,0,0)</f>
        <v>0</v>
      </c>
      <c r="H20">
        <f>+_xlfn.XLOOKUP(F20,Listas!$B:$B,Listas!$C:$C,0,0)</f>
        <v>0</v>
      </c>
    </row>
    <row r="21" spans="1:8" x14ac:dyDescent="0.5">
      <c r="A21" s="5">
        <v>45659</v>
      </c>
      <c r="B21" t="s">
        <v>69</v>
      </c>
      <c r="C21" t="s">
        <v>389</v>
      </c>
      <c r="D21" s="6">
        <v>250000</v>
      </c>
      <c r="G21">
        <f>+_xlfn.XLOOKUP(F21,Listas!$B:$B,Listas!$A:$A,0,0)</f>
        <v>0</v>
      </c>
      <c r="H21">
        <f>+_xlfn.XLOOKUP(F21,Listas!$B:$B,Listas!$C:$C,0,0)</f>
        <v>0</v>
      </c>
    </row>
    <row r="22" spans="1:8" x14ac:dyDescent="0.5">
      <c r="A22" s="5">
        <v>45659</v>
      </c>
      <c r="B22" t="s">
        <v>69</v>
      </c>
      <c r="C22" t="s">
        <v>396</v>
      </c>
      <c r="D22" s="6">
        <v>3776</v>
      </c>
      <c r="G22">
        <f>+_xlfn.XLOOKUP(F22,Listas!$B:$B,Listas!$A:$A,0,0)</f>
        <v>0</v>
      </c>
      <c r="H22">
        <f>+_xlfn.XLOOKUP(F22,Listas!$B:$B,Listas!$C:$C,0,0)</f>
        <v>0</v>
      </c>
    </row>
    <row r="23" spans="1:8" x14ac:dyDescent="0.5">
      <c r="A23" s="5">
        <v>45659</v>
      </c>
      <c r="B23" t="s">
        <v>69</v>
      </c>
      <c r="C23" t="s">
        <v>397</v>
      </c>
      <c r="D23" s="6">
        <v>41995</v>
      </c>
      <c r="E23" t="s">
        <v>398</v>
      </c>
      <c r="G23">
        <f>+_xlfn.XLOOKUP(F23,Listas!$B:$B,Listas!$A:$A,0,0)</f>
        <v>0</v>
      </c>
      <c r="H23">
        <f>+_xlfn.XLOOKUP(F23,Listas!$B:$B,Listas!$C:$C,0,0)</f>
        <v>0</v>
      </c>
    </row>
    <row r="24" spans="1:8" x14ac:dyDescent="0.5">
      <c r="A24" s="5">
        <v>45663</v>
      </c>
      <c r="B24" t="s">
        <v>69</v>
      </c>
      <c r="C24" t="s">
        <v>379</v>
      </c>
      <c r="D24" s="6">
        <v>145000</v>
      </c>
      <c r="G24">
        <f>+_xlfn.XLOOKUP(F24,Listas!$B:$B,Listas!$A:$A,0,0)</f>
        <v>0</v>
      </c>
      <c r="H24">
        <f>+_xlfn.XLOOKUP(F24,Listas!$B:$B,Listas!$C:$C,0,0)</f>
        <v>0</v>
      </c>
    </row>
    <row r="25" spans="1:8" x14ac:dyDescent="0.5">
      <c r="A25" s="5">
        <v>45663</v>
      </c>
      <c r="B25" t="s">
        <v>69</v>
      </c>
      <c r="C25" t="s">
        <v>400</v>
      </c>
      <c r="D25" s="6">
        <v>28380</v>
      </c>
      <c r="G25">
        <f>+_xlfn.XLOOKUP(F25,Listas!$B:$B,Listas!$A:$A,0,0)</f>
        <v>0</v>
      </c>
      <c r="H25">
        <f>+_xlfn.XLOOKUP(F25,Listas!$B:$B,Listas!$C:$C,0,0)</f>
        <v>0</v>
      </c>
    </row>
    <row r="26" spans="1:8" x14ac:dyDescent="0.5">
      <c r="A26" s="5">
        <v>45663</v>
      </c>
      <c r="B26" t="s">
        <v>69</v>
      </c>
      <c r="C26" t="s">
        <v>379</v>
      </c>
      <c r="D26" s="6">
        <v>540000</v>
      </c>
      <c r="G26">
        <f>+_xlfn.XLOOKUP(F26,Listas!$B:$B,Listas!$A:$A,0,0)</f>
        <v>0</v>
      </c>
      <c r="H26">
        <f>+_xlfn.XLOOKUP(F26,Listas!$B:$B,Listas!$C:$C,0,0)</f>
        <v>0</v>
      </c>
    </row>
    <row r="27" spans="1:8" x14ac:dyDescent="0.5">
      <c r="A27" s="5">
        <v>45666</v>
      </c>
      <c r="B27" t="s">
        <v>69</v>
      </c>
      <c r="C27" t="s">
        <v>402</v>
      </c>
      <c r="D27" s="6">
        <v>9221</v>
      </c>
      <c r="G27">
        <f>+_xlfn.XLOOKUP(F27,Listas!$B:$B,Listas!$A:$A,0,0)</f>
        <v>0</v>
      </c>
      <c r="H27">
        <f>+_xlfn.XLOOKUP(F27,Listas!$B:$B,Listas!$C:$C,0,0)</f>
        <v>0</v>
      </c>
    </row>
    <row r="28" spans="1:8" x14ac:dyDescent="0.5">
      <c r="A28" s="5">
        <v>45671</v>
      </c>
      <c r="B28" t="s">
        <v>69</v>
      </c>
      <c r="C28" t="s">
        <v>383</v>
      </c>
      <c r="D28" s="6">
        <v>107656</v>
      </c>
      <c r="G28">
        <f>+_xlfn.XLOOKUP(F28,Listas!$B:$B,Listas!$A:$A,0,0)</f>
        <v>0</v>
      </c>
      <c r="H28">
        <f>+_xlfn.XLOOKUP(F28,Listas!$B:$B,Listas!$C:$C,0,0)</f>
        <v>0</v>
      </c>
    </row>
    <row r="29" spans="1:8" x14ac:dyDescent="0.5">
      <c r="A29" s="5">
        <v>45671</v>
      </c>
      <c r="B29" t="s">
        <v>69</v>
      </c>
      <c r="C29" t="s">
        <v>378</v>
      </c>
      <c r="D29" s="6">
        <v>10940</v>
      </c>
      <c r="G29">
        <f>+_xlfn.XLOOKUP(F29,Listas!$B:$B,Listas!$A:$A,0,0)</f>
        <v>0</v>
      </c>
      <c r="H29">
        <f>+_xlfn.XLOOKUP(F29,Listas!$B:$B,Listas!$C:$C,0,0)</f>
        <v>0</v>
      </c>
    </row>
    <row r="30" spans="1:8" x14ac:dyDescent="0.5">
      <c r="A30" s="5">
        <v>45671</v>
      </c>
      <c r="B30" t="s">
        <v>69</v>
      </c>
      <c r="C30" t="s">
        <v>403</v>
      </c>
      <c r="D30" s="6">
        <v>45654</v>
      </c>
      <c r="G30">
        <f>+_xlfn.XLOOKUP(F30,Listas!$B:$B,Listas!$A:$A,0,0)</f>
        <v>0</v>
      </c>
      <c r="H30">
        <f>+_xlfn.XLOOKUP(F30,Listas!$B:$B,Listas!$C:$C,0,0)</f>
        <v>0</v>
      </c>
    </row>
    <row r="31" spans="1:8" x14ac:dyDescent="0.5">
      <c r="A31" s="5">
        <v>45679</v>
      </c>
      <c r="B31" t="s">
        <v>69</v>
      </c>
      <c r="C31" t="s">
        <v>404</v>
      </c>
      <c r="D31" s="6">
        <v>105160</v>
      </c>
      <c r="G31">
        <f>+_xlfn.XLOOKUP(F31,Listas!$B:$B,Listas!$A:$A,0,0)</f>
        <v>0</v>
      </c>
      <c r="H31">
        <f>+_xlfn.XLOOKUP(F31,Listas!$B:$B,Listas!$C:$C,0,0)</f>
        <v>0</v>
      </c>
    </row>
    <row r="32" spans="1:8" x14ac:dyDescent="0.5">
      <c r="A32" s="5">
        <v>45679</v>
      </c>
      <c r="B32" t="s">
        <v>69</v>
      </c>
      <c r="C32" t="s">
        <v>378</v>
      </c>
      <c r="D32" s="6">
        <v>19606</v>
      </c>
      <c r="G32">
        <f>+_xlfn.XLOOKUP(F32,Listas!$B:$B,Listas!$A:$A,0,0)</f>
        <v>0</v>
      </c>
      <c r="H32">
        <f>+_xlfn.XLOOKUP(F32,Listas!$B:$B,Listas!$C:$C,0,0)</f>
        <v>0</v>
      </c>
    </row>
    <row r="33" spans="1:8" x14ac:dyDescent="0.5">
      <c r="A33" s="5">
        <v>45684</v>
      </c>
      <c r="B33" t="s">
        <v>69</v>
      </c>
      <c r="C33" t="s">
        <v>378</v>
      </c>
      <c r="D33" s="6">
        <v>23154</v>
      </c>
      <c r="G33">
        <f>+_xlfn.XLOOKUP(F33,Listas!$B:$B,Listas!$A:$A,0,0)</f>
        <v>0</v>
      </c>
      <c r="H33">
        <f>+_xlfn.XLOOKUP(F33,Listas!$B:$B,Listas!$C:$C,0,0)</f>
        <v>0</v>
      </c>
    </row>
    <row r="34" spans="1:8" x14ac:dyDescent="0.5">
      <c r="A34" s="5">
        <v>45685</v>
      </c>
      <c r="B34" t="s">
        <v>69</v>
      </c>
      <c r="C34" t="s">
        <v>383</v>
      </c>
      <c r="D34" s="6">
        <v>24900</v>
      </c>
      <c r="G34">
        <f>+_xlfn.XLOOKUP(F34,Listas!$B:$B,Listas!$A:$A,0,0)</f>
        <v>0</v>
      </c>
      <c r="H34">
        <f>+_xlfn.XLOOKUP(F34,Listas!$B:$B,Listas!$C:$C,0,0)</f>
        <v>0</v>
      </c>
    </row>
    <row r="35" spans="1:8" x14ac:dyDescent="0.5">
      <c r="A35" s="5">
        <v>45685</v>
      </c>
      <c r="B35" t="s">
        <v>69</v>
      </c>
      <c r="C35" t="s">
        <v>405</v>
      </c>
      <c r="D35" s="6">
        <v>58850</v>
      </c>
      <c r="G35">
        <f>+_xlfn.XLOOKUP(F35,Listas!$B:$B,Listas!$A:$A,0,0)</f>
        <v>0</v>
      </c>
      <c r="H35">
        <f>+_xlfn.XLOOKUP(F35,Listas!$B:$B,Listas!$C:$C,0,0)</f>
        <v>0</v>
      </c>
    </row>
    <row r="36" spans="1:8" x14ac:dyDescent="0.5">
      <c r="A36" s="5">
        <v>45719</v>
      </c>
      <c r="B36" t="s">
        <v>96</v>
      </c>
      <c r="C36" t="s">
        <v>407</v>
      </c>
      <c r="D36" s="6">
        <v>65000</v>
      </c>
      <c r="G36">
        <f>+_xlfn.XLOOKUP(F36,Listas!$B:$B,Listas!$A:$A,0,0)</f>
        <v>0</v>
      </c>
      <c r="H36">
        <f>+_xlfn.XLOOKUP(F36,Listas!$B:$B,Listas!$C:$C,0,0)</f>
        <v>0</v>
      </c>
    </row>
    <row r="37" spans="1:8" x14ac:dyDescent="0.5">
      <c r="A37" s="5">
        <v>45719</v>
      </c>
      <c r="B37" t="s">
        <v>96</v>
      </c>
      <c r="C37" t="s">
        <v>408</v>
      </c>
      <c r="D37" s="6">
        <v>916300</v>
      </c>
      <c r="G37">
        <f>+_xlfn.XLOOKUP(F37,Listas!$B:$B,Listas!$A:$A,0,0)</f>
        <v>0</v>
      </c>
      <c r="H37">
        <f>+_xlfn.XLOOKUP(F37,Listas!$B:$B,Listas!$C:$C,0,0)</f>
        <v>0</v>
      </c>
    </row>
    <row r="38" spans="1:8" x14ac:dyDescent="0.5">
      <c r="A38" s="5">
        <v>45721</v>
      </c>
      <c r="B38" t="s">
        <v>96</v>
      </c>
      <c r="C38" t="s">
        <v>409</v>
      </c>
      <c r="D38" s="6">
        <v>73300</v>
      </c>
      <c r="G38">
        <f>+_xlfn.XLOOKUP(F38,Listas!$B:$B,Listas!$A:$A,0,0)</f>
        <v>0</v>
      </c>
      <c r="H38">
        <f>+_xlfn.XLOOKUP(F38,Listas!$B:$B,Listas!$C:$C,0,0)</f>
        <v>0</v>
      </c>
    </row>
    <row r="39" spans="1:8" x14ac:dyDescent="0.5">
      <c r="A39" s="5">
        <v>45723</v>
      </c>
      <c r="B39" t="s">
        <v>96</v>
      </c>
      <c r="C39" t="s">
        <v>410</v>
      </c>
      <c r="D39" s="6">
        <v>113371</v>
      </c>
      <c r="G39">
        <f>+_xlfn.XLOOKUP(F39,Listas!$B:$B,Listas!$A:$A,0,0)</f>
        <v>0</v>
      </c>
      <c r="H39">
        <f>+_xlfn.XLOOKUP(F39,Listas!$B:$B,Listas!$C:$C,0,0)</f>
        <v>0</v>
      </c>
    </row>
    <row r="40" spans="1:8" x14ac:dyDescent="0.5">
      <c r="A40" s="5">
        <v>45723</v>
      </c>
      <c r="B40" t="s">
        <v>96</v>
      </c>
      <c r="C40" t="s">
        <v>378</v>
      </c>
      <c r="D40" s="6">
        <v>44828</v>
      </c>
      <c r="G40">
        <f>+_xlfn.XLOOKUP(F40,Listas!$B:$B,Listas!$A:$A,0,0)</f>
        <v>0</v>
      </c>
      <c r="H40">
        <f>+_xlfn.XLOOKUP(F40,Listas!$B:$B,Listas!$C:$C,0,0)</f>
        <v>0</v>
      </c>
    </row>
    <row r="41" spans="1:8" x14ac:dyDescent="0.5">
      <c r="A41" s="5">
        <v>45726</v>
      </c>
      <c r="B41" t="s">
        <v>96</v>
      </c>
      <c r="C41" t="s">
        <v>392</v>
      </c>
      <c r="D41" s="6">
        <v>179980</v>
      </c>
      <c r="G41">
        <f>+_xlfn.XLOOKUP(F41,Listas!$B:$B,Listas!$A:$A,0,0)</f>
        <v>0</v>
      </c>
      <c r="H41">
        <f>+_xlfn.XLOOKUP(F41,Listas!$B:$B,Listas!$C:$C,0,0)</f>
        <v>0</v>
      </c>
    </row>
    <row r="42" spans="1:8" x14ac:dyDescent="0.5">
      <c r="A42" s="5">
        <v>45726</v>
      </c>
      <c r="B42" t="s">
        <v>96</v>
      </c>
      <c r="C42" t="s">
        <v>378</v>
      </c>
      <c r="D42" s="6">
        <v>25182</v>
      </c>
      <c r="G42">
        <f>+_xlfn.XLOOKUP(F42,Listas!$B:$B,Listas!$A:$A,0,0)</f>
        <v>0</v>
      </c>
      <c r="H42">
        <f>+_xlfn.XLOOKUP(F42,Listas!$B:$B,Listas!$C:$C,0,0)</f>
        <v>0</v>
      </c>
    </row>
    <row r="43" spans="1:8" x14ac:dyDescent="0.5">
      <c r="A43" s="5">
        <v>45726</v>
      </c>
      <c r="B43" t="s">
        <v>96</v>
      </c>
      <c r="C43" t="s">
        <v>411</v>
      </c>
      <c r="D43" s="6">
        <v>55000</v>
      </c>
      <c r="G43">
        <f>+_xlfn.XLOOKUP(F43,Listas!$B:$B,Listas!$A:$A,0,0)</f>
        <v>0</v>
      </c>
      <c r="H43">
        <f>+_xlfn.XLOOKUP(F43,Listas!$B:$B,Listas!$C:$C,0,0)</f>
        <v>0</v>
      </c>
    </row>
    <row r="44" spans="1:8" x14ac:dyDescent="0.5">
      <c r="A44" s="5">
        <v>45726</v>
      </c>
      <c r="B44" t="s">
        <v>96</v>
      </c>
      <c r="C44" t="s">
        <v>412</v>
      </c>
      <c r="D44" s="6">
        <v>60000</v>
      </c>
      <c r="G44">
        <f>+_xlfn.XLOOKUP(F44,Listas!$B:$B,Listas!$A:$A,0,0)</f>
        <v>0</v>
      </c>
      <c r="H44">
        <f>+_xlfn.XLOOKUP(F44,Listas!$B:$B,Listas!$C:$C,0,0)</f>
        <v>0</v>
      </c>
    </row>
    <row r="45" spans="1:8" x14ac:dyDescent="0.5">
      <c r="A45" s="5">
        <v>45730</v>
      </c>
      <c r="B45" t="s">
        <v>96</v>
      </c>
      <c r="C45" t="s">
        <v>414</v>
      </c>
      <c r="D45" s="6">
        <v>261042</v>
      </c>
      <c r="G45">
        <f>+_xlfn.XLOOKUP(F45,Listas!$B:$B,Listas!$A:$A,0,0)</f>
        <v>0</v>
      </c>
      <c r="H45">
        <f>+_xlfn.XLOOKUP(F45,Listas!$B:$B,Listas!$C:$C,0,0)</f>
        <v>0</v>
      </c>
    </row>
    <row r="46" spans="1:8" x14ac:dyDescent="0.5">
      <c r="A46" s="5">
        <v>45736</v>
      </c>
      <c r="B46" t="s">
        <v>96</v>
      </c>
      <c r="C46" t="s">
        <v>415</v>
      </c>
      <c r="D46" s="6">
        <v>166478</v>
      </c>
      <c r="G46">
        <f>+_xlfn.XLOOKUP(F46,Listas!$B:$B,Listas!$A:$A,0,0)</f>
        <v>0</v>
      </c>
      <c r="H46">
        <f>+_xlfn.XLOOKUP(F46,Listas!$B:$B,Listas!$C:$C,0,0)</f>
        <v>0</v>
      </c>
    </row>
    <row r="47" spans="1:8" x14ac:dyDescent="0.5">
      <c r="A47" s="5">
        <v>45737</v>
      </c>
      <c r="B47" t="s">
        <v>96</v>
      </c>
      <c r="C47" t="s">
        <v>378</v>
      </c>
      <c r="D47" s="6">
        <v>77298</v>
      </c>
      <c r="G47">
        <f>+_xlfn.XLOOKUP(F47,Listas!$B:$B,Listas!$A:$A,0,0)</f>
        <v>0</v>
      </c>
      <c r="H47">
        <f>+_xlfn.XLOOKUP(F47,Listas!$B:$B,Listas!$C:$C,0,0)</f>
        <v>0</v>
      </c>
    </row>
    <row r="48" spans="1:8" x14ac:dyDescent="0.5">
      <c r="A48" s="5">
        <v>45740</v>
      </c>
      <c r="B48" t="s">
        <v>96</v>
      </c>
      <c r="C48" t="s">
        <v>417</v>
      </c>
      <c r="D48" s="6">
        <v>15939</v>
      </c>
      <c r="G48">
        <f>+_xlfn.XLOOKUP(F48,Listas!$B:$B,Listas!$A:$A,0,0)</f>
        <v>0</v>
      </c>
      <c r="H48">
        <f>+_xlfn.XLOOKUP(F48,Listas!$B:$B,Listas!$C:$C,0,0)</f>
        <v>0</v>
      </c>
    </row>
    <row r="49" spans="1:8" x14ac:dyDescent="0.5">
      <c r="A49" s="5">
        <v>45741</v>
      </c>
      <c r="B49" t="s">
        <v>96</v>
      </c>
      <c r="C49" t="s">
        <v>418</v>
      </c>
      <c r="D49" s="6">
        <v>61500</v>
      </c>
      <c r="G49">
        <f>+_xlfn.XLOOKUP(F49,Listas!$B:$B,Listas!$A:$A,0,0)</f>
        <v>0</v>
      </c>
      <c r="H49">
        <f>+_xlfn.XLOOKUP(F49,Listas!$B:$B,Listas!$C:$C,0,0)</f>
        <v>0</v>
      </c>
    </row>
    <row r="50" spans="1:8" x14ac:dyDescent="0.5">
      <c r="A50" s="5">
        <v>45742</v>
      </c>
      <c r="B50" t="s">
        <v>96</v>
      </c>
      <c r="C50" t="s">
        <v>419</v>
      </c>
      <c r="D50" s="6">
        <v>24758</v>
      </c>
      <c r="G50">
        <f>+_xlfn.XLOOKUP(F50,Listas!$B:$B,Listas!$A:$A,0,0)</f>
        <v>0</v>
      </c>
      <c r="H50">
        <f>+_xlfn.XLOOKUP(F50,Listas!$B:$B,Listas!$C:$C,0,0)</f>
        <v>0</v>
      </c>
    </row>
    <row r="51" spans="1:8" x14ac:dyDescent="0.5">
      <c r="A51" s="5">
        <v>45747</v>
      </c>
      <c r="B51" t="s">
        <v>96</v>
      </c>
      <c r="C51" t="s">
        <v>421</v>
      </c>
      <c r="D51" s="6">
        <v>26840</v>
      </c>
      <c r="G51">
        <f>+_xlfn.XLOOKUP(F51,Listas!$B:$B,Listas!$A:$A,0,0)</f>
        <v>0</v>
      </c>
      <c r="H51">
        <f>+_xlfn.XLOOKUP(F51,Listas!$B:$B,Listas!$C:$C,0,0)</f>
        <v>0</v>
      </c>
    </row>
    <row r="52" spans="1:8" x14ac:dyDescent="0.5">
      <c r="A52" s="5">
        <v>45747</v>
      </c>
      <c r="B52" t="s">
        <v>96</v>
      </c>
      <c r="C52" t="s">
        <v>422</v>
      </c>
      <c r="D52" s="6">
        <v>44000</v>
      </c>
      <c r="G52">
        <f>+_xlfn.XLOOKUP(F52,Listas!$B:$B,Listas!$A:$A,0,0)</f>
        <v>0</v>
      </c>
      <c r="H52">
        <f>+_xlfn.XLOOKUP(F52,Listas!$B:$B,Listas!$C:$C,0,0)</f>
        <v>0</v>
      </c>
    </row>
    <row r="53" spans="1:8" x14ac:dyDescent="0.5">
      <c r="A53" s="5">
        <v>45748</v>
      </c>
      <c r="B53" t="s">
        <v>115</v>
      </c>
      <c r="C53" t="s">
        <v>389</v>
      </c>
      <c r="D53" s="6">
        <v>150000</v>
      </c>
      <c r="G53">
        <f>+_xlfn.XLOOKUP(F53,Listas!$B:$B,Listas!$A:$A,0,0)</f>
        <v>0</v>
      </c>
      <c r="H53">
        <f>+_xlfn.XLOOKUP(F53,Listas!$B:$B,Listas!$C:$C,0,0)</f>
        <v>0</v>
      </c>
    </row>
    <row r="54" spans="1:8" x14ac:dyDescent="0.5">
      <c r="A54" s="5">
        <v>45748</v>
      </c>
      <c r="B54" t="s">
        <v>115</v>
      </c>
      <c r="C54" t="s">
        <v>389</v>
      </c>
      <c r="D54" s="6">
        <v>15460</v>
      </c>
      <c r="G54">
        <f>+_xlfn.XLOOKUP(F54,Listas!$B:$B,Listas!$A:$A,0,0)</f>
        <v>0</v>
      </c>
      <c r="H54">
        <f>+_xlfn.XLOOKUP(F54,Listas!$B:$B,Listas!$C:$C,0,0)</f>
        <v>0</v>
      </c>
    </row>
    <row r="55" spans="1:8" x14ac:dyDescent="0.5">
      <c r="A55" s="5">
        <v>45748</v>
      </c>
      <c r="B55" t="s">
        <v>115</v>
      </c>
      <c r="C55" t="s">
        <v>423</v>
      </c>
      <c r="D55" s="6">
        <v>198047</v>
      </c>
      <c r="G55">
        <f>+_xlfn.XLOOKUP(F55,Listas!$B:$B,Listas!$A:$A,0,0)</f>
        <v>0</v>
      </c>
      <c r="H55">
        <f>+_xlfn.XLOOKUP(F55,Listas!$B:$B,Listas!$C:$C,0,0)</f>
        <v>0</v>
      </c>
    </row>
    <row r="56" spans="1:8" x14ac:dyDescent="0.5">
      <c r="A56" s="5">
        <v>45748</v>
      </c>
      <c r="B56" t="s">
        <v>115</v>
      </c>
      <c r="C56" t="s">
        <v>395</v>
      </c>
      <c r="D56" s="6">
        <v>30000</v>
      </c>
      <c r="G56">
        <f>+_xlfn.XLOOKUP(F56,Listas!$B:$B,Listas!$A:$A,0,0)</f>
        <v>0</v>
      </c>
      <c r="H56">
        <f>+_xlfn.XLOOKUP(F56,Listas!$B:$B,Listas!$C:$C,0,0)</f>
        <v>0</v>
      </c>
    </row>
    <row r="57" spans="1:8" x14ac:dyDescent="0.5">
      <c r="A57" s="5">
        <v>45748</v>
      </c>
      <c r="B57" t="s">
        <v>115</v>
      </c>
      <c r="C57" t="s">
        <v>395</v>
      </c>
      <c r="D57" s="6">
        <v>48551</v>
      </c>
      <c r="G57">
        <f>+_xlfn.XLOOKUP(F57,Listas!$B:$B,Listas!$A:$A,0,0)</f>
        <v>0</v>
      </c>
      <c r="H57">
        <f>+_xlfn.XLOOKUP(F57,Listas!$B:$B,Listas!$C:$C,0,0)</f>
        <v>0</v>
      </c>
    </row>
    <row r="58" spans="1:8" x14ac:dyDescent="0.5">
      <c r="A58" s="5">
        <v>45748</v>
      </c>
      <c r="B58" t="s">
        <v>115</v>
      </c>
      <c r="C58" t="s">
        <v>424</v>
      </c>
      <c r="D58" s="6">
        <v>60000</v>
      </c>
      <c r="G58">
        <f>+_xlfn.XLOOKUP(F58,Listas!$B:$B,Listas!$A:$A,0,0)</f>
        <v>0</v>
      </c>
      <c r="H58">
        <f>+_xlfn.XLOOKUP(F58,Listas!$B:$B,Listas!$C:$C,0,0)</f>
        <v>0</v>
      </c>
    </row>
    <row r="59" spans="1:8" x14ac:dyDescent="0.5">
      <c r="A59" s="5">
        <v>45749</v>
      </c>
      <c r="B59" t="s">
        <v>115</v>
      </c>
      <c r="C59" t="s">
        <v>425</v>
      </c>
      <c r="D59" s="6">
        <v>100000</v>
      </c>
      <c r="G59">
        <f>+_xlfn.XLOOKUP(F59,Listas!$B:$B,Listas!$A:$A,0,0)</f>
        <v>0</v>
      </c>
      <c r="H59">
        <f>+_xlfn.XLOOKUP(F59,Listas!$B:$B,Listas!$C:$C,0,0)</f>
        <v>0</v>
      </c>
    </row>
    <row r="60" spans="1:8" x14ac:dyDescent="0.5">
      <c r="A60" s="5">
        <v>45749</v>
      </c>
      <c r="B60" t="s">
        <v>115</v>
      </c>
      <c r="C60" t="s">
        <v>426</v>
      </c>
      <c r="D60" s="6">
        <v>105000</v>
      </c>
      <c r="G60">
        <f>+_xlfn.XLOOKUP(F60,Listas!$B:$B,Listas!$A:$A,0,0)</f>
        <v>0</v>
      </c>
      <c r="H60">
        <f>+_xlfn.XLOOKUP(F60,Listas!$B:$B,Listas!$C:$C,0,0)</f>
        <v>0</v>
      </c>
    </row>
    <row r="61" spans="1:8" x14ac:dyDescent="0.5">
      <c r="A61" s="5">
        <v>45749</v>
      </c>
      <c r="B61" t="s">
        <v>115</v>
      </c>
      <c r="C61" t="s">
        <v>378</v>
      </c>
      <c r="D61" s="6">
        <v>19593</v>
      </c>
      <c r="G61">
        <f>+_xlfn.XLOOKUP(F61,Listas!$B:$B,Listas!$A:$A,0,0)</f>
        <v>0</v>
      </c>
      <c r="H61">
        <f>+_xlfn.XLOOKUP(F61,Listas!$B:$B,Listas!$C:$C,0,0)</f>
        <v>0</v>
      </c>
    </row>
    <row r="62" spans="1:8" x14ac:dyDescent="0.5">
      <c r="A62" s="5">
        <v>45749</v>
      </c>
      <c r="B62" t="s">
        <v>115</v>
      </c>
      <c r="C62" t="s">
        <v>426</v>
      </c>
      <c r="D62" s="6">
        <v>19698</v>
      </c>
      <c r="G62">
        <f>+_xlfn.XLOOKUP(F62,Listas!$B:$B,Listas!$A:$A,0,0)</f>
        <v>0</v>
      </c>
      <c r="H62">
        <f>+_xlfn.XLOOKUP(F62,Listas!$B:$B,Listas!$C:$C,0,0)</f>
        <v>0</v>
      </c>
    </row>
    <row r="63" spans="1:8" x14ac:dyDescent="0.5">
      <c r="A63" s="5">
        <v>45749</v>
      </c>
      <c r="B63" t="s">
        <v>115</v>
      </c>
      <c r="C63" t="s">
        <v>427</v>
      </c>
      <c r="D63" s="6">
        <v>384750</v>
      </c>
      <c r="G63">
        <f>+_xlfn.XLOOKUP(F63,Listas!$B:$B,Listas!$A:$A,0,0)</f>
        <v>0</v>
      </c>
      <c r="H63">
        <f>+_xlfn.XLOOKUP(F63,Listas!$B:$B,Listas!$C:$C,0,0)</f>
        <v>0</v>
      </c>
    </row>
    <row r="64" spans="1:8" x14ac:dyDescent="0.5">
      <c r="A64" s="5">
        <v>45749</v>
      </c>
      <c r="B64" t="s">
        <v>115</v>
      </c>
      <c r="C64" t="s">
        <v>428</v>
      </c>
      <c r="D64" s="6">
        <v>70000</v>
      </c>
      <c r="G64">
        <f>+_xlfn.XLOOKUP(F64,Listas!$B:$B,Listas!$A:$A,0,0)</f>
        <v>0</v>
      </c>
      <c r="H64">
        <f>+_xlfn.XLOOKUP(F64,Listas!$B:$B,Listas!$C:$C,0,0)</f>
        <v>0</v>
      </c>
    </row>
    <row r="65" spans="1:8" x14ac:dyDescent="0.5">
      <c r="A65" s="5">
        <v>45751</v>
      </c>
      <c r="B65" t="s">
        <v>115</v>
      </c>
      <c r="C65" t="s">
        <v>394</v>
      </c>
      <c r="D65" s="6">
        <v>18000</v>
      </c>
      <c r="G65">
        <f>+_xlfn.XLOOKUP(F65,Listas!$B:$B,Listas!$A:$A,0,0)</f>
        <v>0</v>
      </c>
      <c r="H65">
        <f>+_xlfn.XLOOKUP(F65,Listas!$B:$B,Listas!$C:$C,0,0)</f>
        <v>0</v>
      </c>
    </row>
    <row r="66" spans="1:8" x14ac:dyDescent="0.5">
      <c r="A66" s="5">
        <v>45751</v>
      </c>
      <c r="B66" t="s">
        <v>115</v>
      </c>
      <c r="C66" t="s">
        <v>429</v>
      </c>
      <c r="D66" s="6">
        <v>6444</v>
      </c>
      <c r="G66">
        <f>+_xlfn.XLOOKUP(F66,Listas!$B:$B,Listas!$A:$A,0,0)</f>
        <v>0</v>
      </c>
      <c r="H66">
        <f>+_xlfn.XLOOKUP(F66,Listas!$B:$B,Listas!$C:$C,0,0)</f>
        <v>0</v>
      </c>
    </row>
    <row r="67" spans="1:8" x14ac:dyDescent="0.5">
      <c r="A67" s="5">
        <v>45756</v>
      </c>
      <c r="B67" t="s">
        <v>115</v>
      </c>
      <c r="C67" t="s">
        <v>430</v>
      </c>
      <c r="D67" s="6">
        <v>20980</v>
      </c>
      <c r="G67">
        <f>+_xlfn.XLOOKUP(F67,Listas!$B:$B,Listas!$A:$A,0,0)</f>
        <v>0</v>
      </c>
      <c r="H67">
        <f>+_xlfn.XLOOKUP(F67,Listas!$B:$B,Listas!$C:$C,0,0)</f>
        <v>0</v>
      </c>
    </row>
    <row r="68" spans="1:8" x14ac:dyDescent="0.5">
      <c r="A68" s="5">
        <v>45757</v>
      </c>
      <c r="B68" t="s">
        <v>115</v>
      </c>
      <c r="C68" t="s">
        <v>431</v>
      </c>
      <c r="D68" s="6">
        <v>48720</v>
      </c>
      <c r="G68">
        <f>+_xlfn.XLOOKUP(F68,Listas!$B:$B,Listas!$A:$A,0,0)</f>
        <v>0</v>
      </c>
      <c r="H68">
        <f>+_xlfn.XLOOKUP(F68,Listas!$B:$B,Listas!$C:$C,0,0)</f>
        <v>0</v>
      </c>
    </row>
    <row r="69" spans="1:8" x14ac:dyDescent="0.5">
      <c r="A69" s="5">
        <v>45758</v>
      </c>
      <c r="B69" t="s">
        <v>115</v>
      </c>
      <c r="C69" t="s">
        <v>378</v>
      </c>
      <c r="D69" s="6">
        <v>39186</v>
      </c>
      <c r="G69">
        <f>+_xlfn.XLOOKUP(F69,Listas!$B:$B,Listas!$A:$A,0,0)</f>
        <v>0</v>
      </c>
      <c r="H69">
        <f>+_xlfn.XLOOKUP(F69,Listas!$B:$B,Listas!$C:$C,0,0)</f>
        <v>0</v>
      </c>
    </row>
    <row r="70" spans="1:8" x14ac:dyDescent="0.5">
      <c r="A70" s="5">
        <v>45758</v>
      </c>
      <c r="B70" t="s">
        <v>115</v>
      </c>
      <c r="C70" t="s">
        <v>432</v>
      </c>
      <c r="D70" s="6">
        <v>4460</v>
      </c>
      <c r="G70">
        <f>+_xlfn.XLOOKUP(F70,Listas!$B:$B,Listas!$A:$A,0,0)</f>
        <v>0</v>
      </c>
      <c r="H70">
        <f>+_xlfn.XLOOKUP(F70,Listas!$B:$B,Listas!$C:$C,0,0)</f>
        <v>0</v>
      </c>
    </row>
    <row r="71" spans="1:8" x14ac:dyDescent="0.5">
      <c r="A71" s="5">
        <v>45762</v>
      </c>
      <c r="B71" t="s">
        <v>115</v>
      </c>
      <c r="C71" t="s">
        <v>421</v>
      </c>
      <c r="D71" s="6">
        <v>42130</v>
      </c>
      <c r="G71">
        <f>+_xlfn.XLOOKUP(F71,Listas!$B:$B,Listas!$A:$A,0,0)</f>
        <v>0</v>
      </c>
      <c r="H71">
        <f>+_xlfn.XLOOKUP(F71,Listas!$B:$B,Listas!$C:$C,0,0)</f>
        <v>0</v>
      </c>
    </row>
    <row r="72" spans="1:8" x14ac:dyDescent="0.5">
      <c r="A72" s="5">
        <v>45771</v>
      </c>
      <c r="B72" t="s">
        <v>115</v>
      </c>
      <c r="C72" t="s">
        <v>378</v>
      </c>
      <c r="D72" s="6">
        <v>15567</v>
      </c>
      <c r="G72">
        <f>+_xlfn.XLOOKUP(F72,Listas!$B:$B,Listas!$A:$A,0,0)</f>
        <v>0</v>
      </c>
      <c r="H72">
        <f>+_xlfn.XLOOKUP(F72,Listas!$B:$B,Listas!$C:$C,0,0)</f>
        <v>0</v>
      </c>
    </row>
    <row r="73" spans="1:8" x14ac:dyDescent="0.5">
      <c r="A73" s="5">
        <v>45771</v>
      </c>
      <c r="B73" t="s">
        <v>115</v>
      </c>
      <c r="C73" t="s">
        <v>433</v>
      </c>
      <c r="D73" s="6">
        <v>25620</v>
      </c>
      <c r="G73">
        <f>+_xlfn.XLOOKUP(F73,Listas!$B:$B,Listas!$A:$A,0,0)</f>
        <v>0</v>
      </c>
      <c r="H73">
        <f>+_xlfn.XLOOKUP(F73,Listas!$B:$B,Listas!$C:$C,0,0)</f>
        <v>0</v>
      </c>
    </row>
    <row r="74" spans="1:8" x14ac:dyDescent="0.5">
      <c r="A74" s="5">
        <v>45771</v>
      </c>
      <c r="B74" t="s">
        <v>115</v>
      </c>
      <c r="C74" t="s">
        <v>378</v>
      </c>
      <c r="D74" s="6">
        <v>4874</v>
      </c>
      <c r="G74">
        <f>+_xlfn.XLOOKUP(F74,Listas!$B:$B,Listas!$A:$A,0,0)</f>
        <v>0</v>
      </c>
      <c r="H74">
        <f>+_xlfn.XLOOKUP(F74,Listas!$B:$B,Listas!$C:$C,0,0)</f>
        <v>0</v>
      </c>
    </row>
    <row r="75" spans="1:8" x14ac:dyDescent="0.5">
      <c r="A75" s="5">
        <v>45772</v>
      </c>
      <c r="B75" t="s">
        <v>115</v>
      </c>
      <c r="C75" t="s">
        <v>434</v>
      </c>
      <c r="D75" s="6">
        <v>2640</v>
      </c>
      <c r="G75">
        <f>+_xlfn.XLOOKUP(F75,Listas!$B:$B,Listas!$A:$A,0,0)</f>
        <v>0</v>
      </c>
      <c r="H75">
        <f>+_xlfn.XLOOKUP(F75,Listas!$B:$B,Listas!$C:$C,0,0)</f>
        <v>0</v>
      </c>
    </row>
    <row r="76" spans="1:8" x14ac:dyDescent="0.5">
      <c r="A76" s="5">
        <v>45776</v>
      </c>
      <c r="B76" t="s">
        <v>115</v>
      </c>
      <c r="C76" t="s">
        <v>378</v>
      </c>
      <c r="D76" s="6">
        <v>19000</v>
      </c>
      <c r="G76">
        <f>+_xlfn.XLOOKUP(F76,Listas!$B:$B,Listas!$A:$A,0,0)</f>
        <v>0</v>
      </c>
      <c r="H76">
        <f>+_xlfn.XLOOKUP(F76,Listas!$B:$B,Listas!$C:$C,0,0)</f>
        <v>0</v>
      </c>
    </row>
    <row r="77" spans="1:8" x14ac:dyDescent="0.5">
      <c r="A77" s="5">
        <v>45779</v>
      </c>
      <c r="B77" t="s">
        <v>131</v>
      </c>
      <c r="C77" t="s">
        <v>425</v>
      </c>
      <c r="D77" s="6">
        <v>100000</v>
      </c>
      <c r="G77">
        <f>+_xlfn.XLOOKUP(F77,Listas!$B:$B,Listas!$A:$A,0,0)</f>
        <v>0</v>
      </c>
      <c r="H77">
        <f>+_xlfn.XLOOKUP(F77,Listas!$B:$B,Listas!$C:$C,0,0)</f>
        <v>0</v>
      </c>
    </row>
    <row r="78" spans="1:8" x14ac:dyDescent="0.5">
      <c r="A78" s="5">
        <v>45779</v>
      </c>
      <c r="B78" t="s">
        <v>131</v>
      </c>
      <c r="C78" t="s">
        <v>427</v>
      </c>
      <c r="D78" s="6">
        <v>438615</v>
      </c>
      <c r="G78">
        <f>+_xlfn.XLOOKUP(F78,Listas!$B:$B,Listas!$A:$A,0,0)</f>
        <v>0</v>
      </c>
      <c r="H78">
        <f>+_xlfn.XLOOKUP(F78,Listas!$B:$B,Listas!$C:$C,0,0)</f>
        <v>0</v>
      </c>
    </row>
    <row r="79" spans="1:8" x14ac:dyDescent="0.5">
      <c r="A79" s="5">
        <v>45779</v>
      </c>
      <c r="B79" t="s">
        <v>131</v>
      </c>
      <c r="C79" t="s">
        <v>427</v>
      </c>
      <c r="D79" s="6">
        <v>74385</v>
      </c>
      <c r="G79">
        <f>+_xlfn.XLOOKUP(F79,Listas!$B:$B,Listas!$A:$A,0,0)</f>
        <v>0</v>
      </c>
      <c r="H79">
        <f>+_xlfn.XLOOKUP(F79,Listas!$B:$B,Listas!$C:$C,0,0)</f>
        <v>0</v>
      </c>
    </row>
    <row r="80" spans="1:8" x14ac:dyDescent="0.5">
      <c r="A80" s="5">
        <v>45782</v>
      </c>
      <c r="B80" t="s">
        <v>131</v>
      </c>
      <c r="C80" t="s">
        <v>394</v>
      </c>
      <c r="D80" s="6">
        <v>18000</v>
      </c>
      <c r="G80">
        <f>+_xlfn.XLOOKUP(F80,Listas!$B:$B,Listas!$A:$A,0,0)</f>
        <v>0</v>
      </c>
      <c r="H80">
        <f>+_xlfn.XLOOKUP(F80,Listas!$B:$B,Listas!$C:$C,0,0)</f>
        <v>0</v>
      </c>
    </row>
    <row r="81" spans="1:8" x14ac:dyDescent="0.5">
      <c r="A81" s="5">
        <v>45783</v>
      </c>
      <c r="B81" t="s">
        <v>131</v>
      </c>
      <c r="C81" t="s">
        <v>435</v>
      </c>
      <c r="D81" s="6">
        <v>92880</v>
      </c>
      <c r="G81">
        <f>+_xlfn.XLOOKUP(F81,Listas!$B:$B,Listas!$A:$A,0,0)</f>
        <v>0</v>
      </c>
      <c r="H81">
        <f>+_xlfn.XLOOKUP(F81,Listas!$B:$B,Listas!$C:$C,0,0)</f>
        <v>0</v>
      </c>
    </row>
    <row r="82" spans="1:8" x14ac:dyDescent="0.5">
      <c r="A82" s="5">
        <v>45784</v>
      </c>
      <c r="B82" t="s">
        <v>131</v>
      </c>
      <c r="C82" t="s">
        <v>436</v>
      </c>
      <c r="D82" s="6">
        <v>33620</v>
      </c>
      <c r="G82">
        <f>+_xlfn.XLOOKUP(F82,Listas!$B:$B,Listas!$A:$A,0,0)</f>
        <v>0</v>
      </c>
      <c r="H82">
        <f>+_xlfn.XLOOKUP(F82,Listas!$B:$B,Listas!$C:$C,0,0)</f>
        <v>0</v>
      </c>
    </row>
    <row r="83" spans="1:8" x14ac:dyDescent="0.5">
      <c r="A83" s="5">
        <v>45785</v>
      </c>
      <c r="B83" t="s">
        <v>131</v>
      </c>
      <c r="C83" t="s">
        <v>437</v>
      </c>
      <c r="D83" s="6">
        <v>34000</v>
      </c>
      <c r="G83">
        <f>+_xlfn.XLOOKUP(F83,Listas!$B:$B,Listas!$A:$A,0,0)</f>
        <v>0</v>
      </c>
      <c r="H83">
        <f>+_xlfn.XLOOKUP(F83,Listas!$B:$B,Listas!$C:$C,0,0)</f>
        <v>0</v>
      </c>
    </row>
    <row r="84" spans="1:8" x14ac:dyDescent="0.5">
      <c r="A84" s="5">
        <v>45789</v>
      </c>
      <c r="B84" t="s">
        <v>131</v>
      </c>
      <c r="C84" t="s">
        <v>430</v>
      </c>
      <c r="D84" s="6">
        <v>21980</v>
      </c>
      <c r="G84">
        <f>+_xlfn.XLOOKUP(F84,Listas!$B:$B,Listas!$A:$A,0,0)</f>
        <v>0</v>
      </c>
      <c r="H84">
        <f>+_xlfn.XLOOKUP(F84,Listas!$B:$B,Listas!$C:$C,0,0)</f>
        <v>0</v>
      </c>
    </row>
    <row r="85" spans="1:8" x14ac:dyDescent="0.5">
      <c r="A85" s="5">
        <v>45789</v>
      </c>
      <c r="B85" t="s">
        <v>131</v>
      </c>
      <c r="C85" t="s">
        <v>378</v>
      </c>
      <c r="D85" s="6">
        <v>31200</v>
      </c>
      <c r="G85">
        <f>+_xlfn.XLOOKUP(F85,Listas!$B:$B,Listas!$A:$A,0,0)</f>
        <v>0</v>
      </c>
      <c r="H85">
        <f>+_xlfn.XLOOKUP(F85,Listas!$B:$B,Listas!$C:$C,0,0)</f>
        <v>0</v>
      </c>
    </row>
    <row r="86" spans="1:8" x14ac:dyDescent="0.5">
      <c r="A86" s="5">
        <v>45790</v>
      </c>
      <c r="B86" t="s">
        <v>131</v>
      </c>
      <c r="C86" t="s">
        <v>427</v>
      </c>
      <c r="D86" s="6">
        <v>17217</v>
      </c>
      <c r="G86">
        <f>+_xlfn.XLOOKUP(F86,Listas!$B:$B,Listas!$A:$A,0,0)</f>
        <v>0</v>
      </c>
      <c r="H86">
        <f>+_xlfn.XLOOKUP(F86,Listas!$B:$B,Listas!$C:$C,0,0)</f>
        <v>0</v>
      </c>
    </row>
    <row r="87" spans="1:8" x14ac:dyDescent="0.5">
      <c r="A87" s="5">
        <v>45792</v>
      </c>
      <c r="B87" t="s">
        <v>131</v>
      </c>
      <c r="C87" t="s">
        <v>438</v>
      </c>
      <c r="D87" s="6">
        <v>247253</v>
      </c>
      <c r="G87">
        <f>+_xlfn.XLOOKUP(F87,Listas!$B:$B,Listas!$A:$A,0,0)</f>
        <v>0</v>
      </c>
      <c r="H87">
        <f>+_xlfn.XLOOKUP(F87,Listas!$B:$B,Listas!$C:$C,0,0)</f>
        <v>0</v>
      </c>
    </row>
    <row r="88" spans="1:8" x14ac:dyDescent="0.5">
      <c r="A88" s="5">
        <v>45792</v>
      </c>
      <c r="B88" t="s">
        <v>131</v>
      </c>
      <c r="C88" t="s">
        <v>439</v>
      </c>
      <c r="D88" s="6">
        <v>88495</v>
      </c>
      <c r="G88">
        <f>+_xlfn.XLOOKUP(F88,Listas!$B:$B,Listas!$A:$A,0,0)</f>
        <v>0</v>
      </c>
      <c r="H88">
        <f>+_xlfn.XLOOKUP(F88,Listas!$B:$B,Listas!$C:$C,0,0)</f>
        <v>0</v>
      </c>
    </row>
    <row r="89" spans="1:8" x14ac:dyDescent="0.5">
      <c r="A89" s="5">
        <v>45796</v>
      </c>
      <c r="B89" t="s">
        <v>131</v>
      </c>
      <c r="C89" t="s">
        <v>440</v>
      </c>
      <c r="D89" s="6">
        <v>34200</v>
      </c>
      <c r="G89">
        <f>+_xlfn.XLOOKUP(F89,Listas!$B:$B,Listas!$A:$A,0,0)</f>
        <v>0</v>
      </c>
      <c r="H89">
        <f>+_xlfn.XLOOKUP(F89,Listas!$B:$B,Listas!$C:$C,0,0)</f>
        <v>0</v>
      </c>
    </row>
    <row r="90" spans="1:8" x14ac:dyDescent="0.5">
      <c r="A90" s="5">
        <v>45797</v>
      </c>
      <c r="B90" t="s">
        <v>131</v>
      </c>
      <c r="C90" t="s">
        <v>441</v>
      </c>
      <c r="D90" s="6">
        <v>62940</v>
      </c>
      <c r="G90">
        <f>+_xlfn.XLOOKUP(F90,Listas!$B:$B,Listas!$A:$A,0,0)</f>
        <v>0</v>
      </c>
      <c r="H90">
        <f>+_xlfn.XLOOKUP(F90,Listas!$B:$B,Listas!$C:$C,0,0)</f>
        <v>0</v>
      </c>
    </row>
    <row r="91" spans="1:8" x14ac:dyDescent="0.5">
      <c r="A91" s="5">
        <v>45804</v>
      </c>
      <c r="B91" t="s">
        <v>131</v>
      </c>
      <c r="C91" t="s">
        <v>378</v>
      </c>
      <c r="D91" s="6">
        <v>28860</v>
      </c>
      <c r="G91">
        <f>+_xlfn.XLOOKUP(F91,Listas!$B:$B,Listas!$A:$A,0,0)</f>
        <v>0</v>
      </c>
      <c r="H91">
        <f>+_xlfn.XLOOKUP(F91,Listas!$B:$B,Listas!$C:$C,0,0)</f>
        <v>0</v>
      </c>
    </row>
    <row r="92" spans="1:8" x14ac:dyDescent="0.5">
      <c r="A92" s="5">
        <v>45804</v>
      </c>
      <c r="B92" t="s">
        <v>131</v>
      </c>
      <c r="C92" t="s">
        <v>433</v>
      </c>
      <c r="D92" s="6">
        <v>41070</v>
      </c>
      <c r="G92">
        <f>+_xlfn.XLOOKUP(F92,Listas!$B:$B,Listas!$A:$A,0,0)</f>
        <v>0</v>
      </c>
      <c r="H92">
        <f>+_xlfn.XLOOKUP(F92,Listas!$B:$B,Listas!$C:$C,0,0)</f>
        <v>0</v>
      </c>
    </row>
    <row r="93" spans="1:8" x14ac:dyDescent="0.5">
      <c r="A93" s="5">
        <v>45805</v>
      </c>
      <c r="B93" t="s">
        <v>131</v>
      </c>
      <c r="C93" t="s">
        <v>433</v>
      </c>
      <c r="D93" s="6">
        <v>5000</v>
      </c>
      <c r="G93">
        <f>+_xlfn.XLOOKUP(F93,Listas!$B:$B,Listas!$A:$A,0,0)</f>
        <v>0</v>
      </c>
      <c r="H93">
        <f>+_xlfn.XLOOKUP(F93,Listas!$B:$B,Listas!$C:$C,0,0)</f>
        <v>0</v>
      </c>
    </row>
    <row r="94" spans="1:8" x14ac:dyDescent="0.5">
      <c r="A94" s="5">
        <v>45807</v>
      </c>
      <c r="B94" t="s">
        <v>131</v>
      </c>
      <c r="C94" t="s">
        <v>442</v>
      </c>
      <c r="D94" s="6">
        <v>119890</v>
      </c>
      <c r="G94">
        <f>+_xlfn.XLOOKUP(F94,Listas!$B:$B,Listas!$A:$A,0,0)</f>
        <v>0</v>
      </c>
      <c r="H94">
        <f>+_xlfn.XLOOKUP(F94,Listas!$B:$B,Listas!$C:$C,0,0)</f>
        <v>0</v>
      </c>
    </row>
    <row r="95" spans="1:8" x14ac:dyDescent="0.5">
      <c r="A95" s="5">
        <v>45810</v>
      </c>
      <c r="B95" t="s">
        <v>151</v>
      </c>
      <c r="C95" t="s">
        <v>437</v>
      </c>
      <c r="D95" s="6">
        <v>100000</v>
      </c>
      <c r="G95">
        <f>+_xlfn.XLOOKUP(F95,Listas!$B:$B,Listas!$A:$A,0,0)</f>
        <v>0</v>
      </c>
      <c r="H95">
        <f>+_xlfn.XLOOKUP(F95,Listas!$B:$B,Listas!$C:$C,0,0)</f>
        <v>0</v>
      </c>
    </row>
    <row r="96" spans="1:8" x14ac:dyDescent="0.5">
      <c r="A96" s="5">
        <v>45810</v>
      </c>
      <c r="B96" t="s">
        <v>151</v>
      </c>
      <c r="C96" t="s">
        <v>394</v>
      </c>
      <c r="D96" s="6">
        <v>18000</v>
      </c>
      <c r="G96">
        <f>+_xlfn.XLOOKUP(F96,Listas!$B:$B,Listas!$A:$A,0,0)</f>
        <v>0</v>
      </c>
      <c r="H96">
        <f>+_xlfn.XLOOKUP(F96,Listas!$B:$B,Listas!$C:$C,0,0)</f>
        <v>0</v>
      </c>
    </row>
    <row r="97" spans="1:8" x14ac:dyDescent="0.5">
      <c r="A97" s="5">
        <v>45810</v>
      </c>
      <c r="B97" t="s">
        <v>151</v>
      </c>
      <c r="C97" t="s">
        <v>427</v>
      </c>
      <c r="D97" s="6">
        <v>539233</v>
      </c>
      <c r="G97">
        <f>+_xlfn.XLOOKUP(F97,Listas!$B:$B,Listas!$A:$A,0,0)</f>
        <v>0</v>
      </c>
      <c r="H97">
        <f>+_xlfn.XLOOKUP(F97,Listas!$B:$B,Listas!$C:$C,0,0)</f>
        <v>0</v>
      </c>
    </row>
    <row r="98" spans="1:8" x14ac:dyDescent="0.5">
      <c r="A98" s="5">
        <v>45818</v>
      </c>
      <c r="B98" t="s">
        <v>151</v>
      </c>
      <c r="C98" t="s">
        <v>444</v>
      </c>
      <c r="D98" s="6">
        <v>3000</v>
      </c>
      <c r="G98">
        <f>+_xlfn.XLOOKUP(F98,Listas!$B:$B,Listas!$A:$A,0,0)</f>
        <v>0</v>
      </c>
      <c r="H98">
        <f>+_xlfn.XLOOKUP(F98,Listas!$B:$B,Listas!$C:$C,0,0)</f>
        <v>0</v>
      </c>
    </row>
    <row r="99" spans="1:8" x14ac:dyDescent="0.5">
      <c r="A99" s="5">
        <v>45818</v>
      </c>
      <c r="B99" t="s">
        <v>151</v>
      </c>
      <c r="C99" t="s">
        <v>378</v>
      </c>
      <c r="D99" s="6">
        <v>42000</v>
      </c>
      <c r="G99">
        <f>+_xlfn.XLOOKUP(F99,Listas!$B:$B,Listas!$A:$A,0,0)</f>
        <v>0</v>
      </c>
      <c r="H99">
        <f>+_xlfn.XLOOKUP(F99,Listas!$B:$B,Listas!$C:$C,0,0)</f>
        <v>0</v>
      </c>
    </row>
    <row r="100" spans="1:8" x14ac:dyDescent="0.5">
      <c r="A100" s="5">
        <v>45818</v>
      </c>
      <c r="B100" t="s">
        <v>151</v>
      </c>
      <c r="C100" t="s">
        <v>445</v>
      </c>
      <c r="D100" s="6">
        <v>89218</v>
      </c>
      <c r="G100">
        <f>+_xlfn.XLOOKUP(F100,Listas!$B:$B,Listas!$A:$A,0,0)</f>
        <v>0</v>
      </c>
      <c r="H100">
        <f>+_xlfn.XLOOKUP(F100,Listas!$B:$B,Listas!$C:$C,0,0)</f>
        <v>0</v>
      </c>
    </row>
    <row r="101" spans="1:8" x14ac:dyDescent="0.5">
      <c r="A101" s="5">
        <v>45819</v>
      </c>
      <c r="B101" t="s">
        <v>151</v>
      </c>
      <c r="C101" t="s">
        <v>438</v>
      </c>
      <c r="D101" s="6">
        <v>248828</v>
      </c>
      <c r="G101">
        <f>+_xlfn.XLOOKUP(F101,Listas!$B:$B,Listas!$A:$A,0,0)</f>
        <v>0</v>
      </c>
      <c r="H101">
        <f>+_xlfn.XLOOKUP(F101,Listas!$B:$B,Listas!$C:$C,0,0)</f>
        <v>0</v>
      </c>
    </row>
    <row r="102" spans="1:8" x14ac:dyDescent="0.5">
      <c r="A102" s="5">
        <v>45824</v>
      </c>
      <c r="B102" t="s">
        <v>151</v>
      </c>
      <c r="C102" t="s">
        <v>424</v>
      </c>
      <c r="D102" s="6">
        <v>42730</v>
      </c>
      <c r="G102">
        <f>+_xlfn.XLOOKUP(F102,Listas!$B:$B,Listas!$A:$A,0,0)</f>
        <v>0</v>
      </c>
      <c r="H102">
        <f>+_xlfn.XLOOKUP(F102,Listas!$B:$B,Listas!$C:$C,0,0)</f>
        <v>0</v>
      </c>
    </row>
    <row r="103" spans="1:8" x14ac:dyDescent="0.5">
      <c r="A103" s="5">
        <v>45827</v>
      </c>
      <c r="B103" t="s">
        <v>151</v>
      </c>
      <c r="C103" t="s">
        <v>378</v>
      </c>
      <c r="D103" s="6">
        <v>35000</v>
      </c>
      <c r="G103">
        <f>+_xlfn.XLOOKUP(F103,Listas!$B:$B,Listas!$A:$A,0,0)</f>
        <v>0</v>
      </c>
      <c r="H103">
        <f>+_xlfn.XLOOKUP(F103,Listas!$B:$B,Listas!$C:$C,0,0)</f>
        <v>0</v>
      </c>
    </row>
    <row r="104" spans="1:8" x14ac:dyDescent="0.5">
      <c r="A104" s="5">
        <v>45827</v>
      </c>
      <c r="B104" t="s">
        <v>151</v>
      </c>
      <c r="C104" t="s">
        <v>446</v>
      </c>
      <c r="D104" s="6">
        <v>50565</v>
      </c>
      <c r="G104">
        <f>+_xlfn.XLOOKUP(F104,Listas!$B:$B,Listas!$A:$A,0,0)</f>
        <v>0</v>
      </c>
      <c r="H104">
        <f>+_xlfn.XLOOKUP(F104,Listas!$B:$B,Listas!$C:$C,0,0)</f>
        <v>0</v>
      </c>
    </row>
    <row r="105" spans="1:8" x14ac:dyDescent="0.5">
      <c r="A105" s="5">
        <v>45835</v>
      </c>
      <c r="B105" t="s">
        <v>151</v>
      </c>
      <c r="C105" t="s">
        <v>448</v>
      </c>
      <c r="D105" s="6">
        <v>1890</v>
      </c>
      <c r="G105">
        <f>+_xlfn.XLOOKUP(F105,Listas!$B:$B,Listas!$A:$A,0,0)</f>
        <v>0</v>
      </c>
      <c r="H105">
        <f>+_xlfn.XLOOKUP(F105,Listas!$B:$B,Listas!$C:$C,0,0)</f>
        <v>0</v>
      </c>
    </row>
    <row r="106" spans="1:8" x14ac:dyDescent="0.5">
      <c r="A106" s="5">
        <v>45835</v>
      </c>
      <c r="B106" t="s">
        <v>151</v>
      </c>
      <c r="C106" t="s">
        <v>449</v>
      </c>
      <c r="D106" s="6">
        <v>28954</v>
      </c>
      <c r="G106">
        <f>+_xlfn.XLOOKUP(F106,Listas!$B:$B,Listas!$A:$A,0,0)</f>
        <v>0</v>
      </c>
      <c r="H106">
        <f>+_xlfn.XLOOKUP(F106,Listas!$B:$B,Listas!$C:$C,0,0)</f>
        <v>0</v>
      </c>
    </row>
    <row r="107" spans="1:8" x14ac:dyDescent="0.5">
      <c r="A107" s="5">
        <v>45838</v>
      </c>
      <c r="B107" t="s">
        <v>151</v>
      </c>
      <c r="C107" t="s">
        <v>450</v>
      </c>
      <c r="D107" s="6">
        <v>212968</v>
      </c>
      <c r="G107">
        <f>+_xlfn.XLOOKUP(F107,Listas!$B:$B,Listas!$A:$A,0,0)</f>
        <v>0</v>
      </c>
      <c r="H107">
        <f>+_xlfn.XLOOKUP(F107,Listas!$B:$B,Listas!$C:$C,0,0)</f>
        <v>0</v>
      </c>
    </row>
    <row r="108" spans="1:8" x14ac:dyDescent="0.5">
      <c r="A108" s="5">
        <v>45839</v>
      </c>
      <c r="B108" t="s">
        <v>164</v>
      </c>
      <c r="C108" t="s">
        <v>395</v>
      </c>
      <c r="D108" s="6">
        <v>100000</v>
      </c>
      <c r="G108">
        <f>+_xlfn.XLOOKUP(F108,Listas!$B:$B,Listas!$A:$A,0,0)</f>
        <v>0</v>
      </c>
      <c r="H108">
        <f>+_xlfn.XLOOKUP(F108,Listas!$B:$B,Listas!$C:$C,0,0)</f>
        <v>0</v>
      </c>
    </row>
    <row r="109" spans="1:8" x14ac:dyDescent="0.5">
      <c r="A109" s="5">
        <v>45839</v>
      </c>
      <c r="B109" t="s">
        <v>164</v>
      </c>
      <c r="C109" t="s">
        <v>437</v>
      </c>
      <c r="D109" s="6">
        <v>100000</v>
      </c>
      <c r="G109">
        <f>+_xlfn.XLOOKUP(F109,Listas!$B:$B,Listas!$A:$A,0,0)</f>
        <v>0</v>
      </c>
      <c r="H109">
        <f>+_xlfn.XLOOKUP(F109,Listas!$B:$B,Listas!$C:$C,0,0)</f>
        <v>0</v>
      </c>
    </row>
    <row r="110" spans="1:8" x14ac:dyDescent="0.5">
      <c r="A110" s="5">
        <v>45839</v>
      </c>
      <c r="B110" t="s">
        <v>164</v>
      </c>
      <c r="C110" t="s">
        <v>451</v>
      </c>
      <c r="D110" s="6">
        <v>140000</v>
      </c>
      <c r="G110">
        <f>+_xlfn.XLOOKUP(F110,Listas!$B:$B,Listas!$A:$A,0,0)</f>
        <v>0</v>
      </c>
      <c r="H110">
        <f>+_xlfn.XLOOKUP(F110,Listas!$B:$B,Listas!$C:$C,0,0)</f>
        <v>0</v>
      </c>
    </row>
    <row r="111" spans="1:8" x14ac:dyDescent="0.5">
      <c r="A111" s="5">
        <v>45839</v>
      </c>
      <c r="B111" t="s">
        <v>164</v>
      </c>
      <c r="C111" t="s">
        <v>415</v>
      </c>
      <c r="D111" s="6">
        <v>164850</v>
      </c>
      <c r="G111">
        <f>+_xlfn.XLOOKUP(F111,Listas!$B:$B,Listas!$A:$A,0,0)</f>
        <v>0</v>
      </c>
      <c r="H111">
        <f>+_xlfn.XLOOKUP(F111,Listas!$B:$B,Listas!$C:$C,0,0)</f>
        <v>0</v>
      </c>
    </row>
    <row r="112" spans="1:8" x14ac:dyDescent="0.5">
      <c r="A112" s="5">
        <v>45839</v>
      </c>
      <c r="B112" t="s">
        <v>164</v>
      </c>
      <c r="C112" t="s">
        <v>452</v>
      </c>
      <c r="D112" s="6">
        <v>20393</v>
      </c>
      <c r="G112">
        <f>+_xlfn.XLOOKUP(F112,Listas!$B:$B,Listas!$A:$A,0,0)</f>
        <v>0</v>
      </c>
      <c r="H112">
        <f>+_xlfn.XLOOKUP(F112,Listas!$B:$B,Listas!$C:$C,0,0)</f>
        <v>0</v>
      </c>
    </row>
    <row r="113" spans="1:8" x14ac:dyDescent="0.5">
      <c r="A113" s="5">
        <v>45839</v>
      </c>
      <c r="B113" t="s">
        <v>164</v>
      </c>
      <c r="C113" t="s">
        <v>453</v>
      </c>
      <c r="D113" s="6">
        <v>377915</v>
      </c>
      <c r="G113">
        <f>+_xlfn.XLOOKUP(F113,Listas!$B:$B,Listas!$A:$A,0,0)</f>
        <v>0</v>
      </c>
      <c r="H113">
        <f>+_xlfn.XLOOKUP(F113,Listas!$B:$B,Listas!$C:$C,0,0)</f>
        <v>0</v>
      </c>
    </row>
    <row r="114" spans="1:8" x14ac:dyDescent="0.5">
      <c r="A114" s="5">
        <v>45839</v>
      </c>
      <c r="B114" t="s">
        <v>164</v>
      </c>
      <c r="C114" t="s">
        <v>454</v>
      </c>
      <c r="D114" s="6">
        <v>384750</v>
      </c>
      <c r="G114">
        <f>+_xlfn.XLOOKUP(F114,Listas!$B:$B,Listas!$A:$A,0,0)</f>
        <v>0</v>
      </c>
      <c r="H114">
        <f>+_xlfn.XLOOKUP(F114,Listas!$B:$B,Listas!$C:$C,0,0)</f>
        <v>0</v>
      </c>
    </row>
    <row r="115" spans="1:8" x14ac:dyDescent="0.5">
      <c r="A115" s="5">
        <v>45840</v>
      </c>
      <c r="B115" t="s">
        <v>164</v>
      </c>
      <c r="C115" t="s">
        <v>455</v>
      </c>
      <c r="D115" s="6">
        <v>50000</v>
      </c>
      <c r="G115">
        <f>+_xlfn.XLOOKUP(F115,Listas!$B:$B,Listas!$A:$A,0,0)</f>
        <v>0</v>
      </c>
      <c r="H115">
        <f>+_xlfn.XLOOKUP(F115,Listas!$B:$B,Listas!$C:$C,0,0)</f>
        <v>0</v>
      </c>
    </row>
    <row r="116" spans="1:8" x14ac:dyDescent="0.5">
      <c r="A116" s="5">
        <v>45842</v>
      </c>
      <c r="B116" t="s">
        <v>164</v>
      </c>
      <c r="C116" t="s">
        <v>394</v>
      </c>
      <c r="D116" s="6">
        <v>18000</v>
      </c>
      <c r="G116">
        <f>+_xlfn.XLOOKUP(F116,Listas!$B:$B,Listas!$A:$A,0,0)</f>
        <v>0</v>
      </c>
      <c r="H116">
        <f>+_xlfn.XLOOKUP(F116,Listas!$B:$B,Listas!$C:$C,0,0)</f>
        <v>0</v>
      </c>
    </row>
    <row r="117" spans="1:8" x14ac:dyDescent="0.5">
      <c r="A117" s="5">
        <v>45845</v>
      </c>
      <c r="B117" t="s">
        <v>164</v>
      </c>
      <c r="C117" t="s">
        <v>438</v>
      </c>
      <c r="D117" s="6">
        <v>246737</v>
      </c>
      <c r="G117">
        <f>+_xlfn.XLOOKUP(F117,Listas!$B:$B,Listas!$A:$A,0,0)</f>
        <v>0</v>
      </c>
      <c r="H117">
        <f>+_xlfn.XLOOKUP(F117,Listas!$B:$B,Listas!$C:$C,0,0)</f>
        <v>0</v>
      </c>
    </row>
    <row r="118" spans="1:8" x14ac:dyDescent="0.5">
      <c r="A118" s="5">
        <v>45845</v>
      </c>
      <c r="B118" t="s">
        <v>164</v>
      </c>
      <c r="C118" t="s">
        <v>378</v>
      </c>
      <c r="D118" s="6">
        <v>42000</v>
      </c>
      <c r="G118">
        <f>+_xlfn.XLOOKUP(F118,Listas!$B:$B,Listas!$A:$A,0,0)</f>
        <v>0</v>
      </c>
      <c r="H118">
        <f>+_xlfn.XLOOKUP(F118,Listas!$B:$B,Listas!$C:$C,0,0)</f>
        <v>0</v>
      </c>
    </row>
    <row r="119" spans="1:8" x14ac:dyDescent="0.5">
      <c r="A119" s="5">
        <v>45845</v>
      </c>
      <c r="B119" t="s">
        <v>164</v>
      </c>
      <c r="C119" t="s">
        <v>456</v>
      </c>
      <c r="D119" s="6">
        <v>54672</v>
      </c>
      <c r="G119">
        <f>+_xlfn.XLOOKUP(F119,Listas!$B:$B,Listas!$A:$A,0,0)</f>
        <v>0</v>
      </c>
      <c r="H119">
        <f>+_xlfn.XLOOKUP(F119,Listas!$B:$B,Listas!$C:$C,0,0)</f>
        <v>0</v>
      </c>
    </row>
    <row r="120" spans="1:8" x14ac:dyDescent="0.5">
      <c r="A120" s="5">
        <v>45848</v>
      </c>
      <c r="B120" t="s">
        <v>164</v>
      </c>
      <c r="C120" t="s">
        <v>457</v>
      </c>
      <c r="D120" s="6">
        <v>15960</v>
      </c>
      <c r="G120">
        <f>+_xlfn.XLOOKUP(F120,Listas!$B:$B,Listas!$A:$A,0,0)</f>
        <v>0</v>
      </c>
      <c r="H120">
        <f>+_xlfn.XLOOKUP(F120,Listas!$B:$B,Listas!$C:$C,0,0)</f>
        <v>0</v>
      </c>
    </row>
    <row r="121" spans="1:8" x14ac:dyDescent="0.5">
      <c r="A121" s="5">
        <v>45853</v>
      </c>
      <c r="B121" t="s">
        <v>164</v>
      </c>
      <c r="C121" t="s">
        <v>458</v>
      </c>
      <c r="D121" s="6">
        <v>108000</v>
      </c>
      <c r="G121">
        <f>+_xlfn.XLOOKUP(F121,Listas!$B:$B,Listas!$A:$A,0,0)</f>
        <v>0</v>
      </c>
      <c r="H121">
        <f>+_xlfn.XLOOKUP(F121,Listas!$B:$B,Listas!$C:$C,0,0)</f>
        <v>0</v>
      </c>
    </row>
    <row r="122" spans="1:8" x14ac:dyDescent="0.5">
      <c r="A122" s="5">
        <v>45853</v>
      </c>
      <c r="B122" t="s">
        <v>164</v>
      </c>
      <c r="C122" t="s">
        <v>445</v>
      </c>
      <c r="D122" s="6">
        <v>120000</v>
      </c>
      <c r="G122">
        <f>+_xlfn.XLOOKUP(F122,Listas!$B:$B,Listas!$A:$A,0,0)</f>
        <v>0</v>
      </c>
      <c r="H122">
        <f>+_xlfn.XLOOKUP(F122,Listas!$B:$B,Listas!$C:$C,0,0)</f>
        <v>0</v>
      </c>
    </row>
    <row r="123" spans="1:8" x14ac:dyDescent="0.5">
      <c r="A123" s="5">
        <v>45855</v>
      </c>
      <c r="B123" t="s">
        <v>164</v>
      </c>
      <c r="C123" t="s">
        <v>454</v>
      </c>
      <c r="D123" s="6">
        <v>150000</v>
      </c>
      <c r="G123">
        <f>+_xlfn.XLOOKUP(F123,Listas!$B:$B,Listas!$A:$A,0,0)</f>
        <v>0</v>
      </c>
      <c r="H123">
        <f>+_xlfn.XLOOKUP(F123,Listas!$B:$B,Listas!$C:$C,0,0)</f>
        <v>0</v>
      </c>
    </row>
    <row r="124" spans="1:8" x14ac:dyDescent="0.5">
      <c r="A124" s="5">
        <v>45855</v>
      </c>
      <c r="B124" t="s">
        <v>164</v>
      </c>
      <c r="C124" t="s">
        <v>397</v>
      </c>
      <c r="D124" s="6">
        <v>36146</v>
      </c>
      <c r="E124" t="s">
        <v>398</v>
      </c>
      <c r="G124">
        <f>+_xlfn.XLOOKUP(F124,Listas!$B:$B,Listas!$A:$A,0,0)</f>
        <v>0</v>
      </c>
      <c r="H124">
        <f>+_xlfn.XLOOKUP(F124,Listas!$B:$B,Listas!$C:$C,0,0)</f>
        <v>0</v>
      </c>
    </row>
    <row r="125" spans="1:8" x14ac:dyDescent="0.5">
      <c r="A125" s="5">
        <v>45856</v>
      </c>
      <c r="B125" t="s">
        <v>164</v>
      </c>
      <c r="C125" t="s">
        <v>430</v>
      </c>
      <c r="D125" s="6">
        <v>19970</v>
      </c>
      <c r="G125">
        <f>+_xlfn.XLOOKUP(F125,Listas!$B:$B,Listas!$A:$A,0,0)</f>
        <v>0</v>
      </c>
      <c r="H125">
        <f>+_xlfn.XLOOKUP(F125,Listas!$B:$B,Listas!$C:$C,0,0)</f>
        <v>0</v>
      </c>
    </row>
    <row r="126" spans="1:8" x14ac:dyDescent="0.5">
      <c r="A126" s="5">
        <v>45859</v>
      </c>
      <c r="B126" t="s">
        <v>164</v>
      </c>
      <c r="C126" t="s">
        <v>459</v>
      </c>
      <c r="D126" s="6">
        <v>7990</v>
      </c>
      <c r="G126">
        <f>+_xlfn.XLOOKUP(F126,Listas!$B:$B,Listas!$A:$A,0,0)</f>
        <v>0</v>
      </c>
      <c r="H126">
        <f>+_xlfn.XLOOKUP(F126,Listas!$B:$B,Listas!$C:$C,0,0)</f>
        <v>0</v>
      </c>
    </row>
    <row r="127" spans="1:8" x14ac:dyDescent="0.5">
      <c r="A127" s="5">
        <v>45861</v>
      </c>
      <c r="B127" t="s">
        <v>164</v>
      </c>
      <c r="C127" t="s">
        <v>460</v>
      </c>
      <c r="D127" s="6">
        <v>2500</v>
      </c>
      <c r="G127">
        <f>+_xlfn.XLOOKUP(F127,Listas!$B:$B,Listas!$A:$A,0,0)</f>
        <v>0</v>
      </c>
      <c r="H127">
        <f>+_xlfn.XLOOKUP(F127,Listas!$B:$B,Listas!$C:$C,0,0)</f>
        <v>0</v>
      </c>
    </row>
    <row r="128" spans="1:8" x14ac:dyDescent="0.5">
      <c r="A128" s="5">
        <v>45863</v>
      </c>
      <c r="B128" t="s">
        <v>164</v>
      </c>
      <c r="C128" t="s">
        <v>430</v>
      </c>
      <c r="D128" s="6">
        <v>32740</v>
      </c>
      <c r="G128">
        <f>+_xlfn.XLOOKUP(F128,Listas!$B:$B,Listas!$A:$A,0,0)</f>
        <v>0</v>
      </c>
      <c r="H128">
        <f>+_xlfn.XLOOKUP(F128,Listas!$B:$B,Listas!$C:$C,0,0)</f>
        <v>0</v>
      </c>
    </row>
    <row r="129" spans="1:8" x14ac:dyDescent="0.5">
      <c r="A129" s="5">
        <v>45863</v>
      </c>
      <c r="B129" t="s">
        <v>164</v>
      </c>
      <c r="C129" t="s">
        <v>430</v>
      </c>
      <c r="D129" s="6">
        <v>32740</v>
      </c>
      <c r="G129">
        <f>+_xlfn.XLOOKUP(F129,Listas!$B:$B,Listas!$A:$A,0,0)</f>
        <v>0</v>
      </c>
      <c r="H129">
        <f>+_xlfn.XLOOKUP(F129,Listas!$B:$B,Listas!$C:$C,0,0)</f>
        <v>0</v>
      </c>
    </row>
    <row r="130" spans="1:8" x14ac:dyDescent="0.5">
      <c r="A130" s="5">
        <v>45863</v>
      </c>
      <c r="B130" t="s">
        <v>164</v>
      </c>
      <c r="C130" t="s">
        <v>461</v>
      </c>
      <c r="D130" s="6">
        <v>63000</v>
      </c>
      <c r="G130">
        <f>+_xlfn.XLOOKUP(F130,Listas!$B:$B,Listas!$A:$A,0,0)</f>
        <v>0</v>
      </c>
      <c r="H130">
        <f>+_xlfn.XLOOKUP(F130,Listas!$B:$B,Listas!$C:$C,0,0)</f>
        <v>0</v>
      </c>
    </row>
    <row r="131" spans="1:8" x14ac:dyDescent="0.5">
      <c r="A131" s="5">
        <v>45866</v>
      </c>
      <c r="B131" t="s">
        <v>164</v>
      </c>
      <c r="C131" t="s">
        <v>432</v>
      </c>
      <c r="D131" s="6">
        <v>2680</v>
      </c>
      <c r="G131">
        <f>+_xlfn.XLOOKUP(F131,Listas!$B:$B,Listas!$A:$A,0,0)</f>
        <v>0</v>
      </c>
      <c r="H131">
        <f>+_xlfn.XLOOKUP(F131,Listas!$B:$B,Listas!$C:$C,0,0)</f>
        <v>0</v>
      </c>
    </row>
    <row r="132" spans="1:8" x14ac:dyDescent="0.5">
      <c r="A132" s="5">
        <v>45869</v>
      </c>
      <c r="B132" t="s">
        <v>164</v>
      </c>
      <c r="C132" t="s">
        <v>455</v>
      </c>
      <c r="D132" s="6">
        <v>100000</v>
      </c>
      <c r="G132">
        <f>+_xlfn.XLOOKUP(F132,Listas!$B:$B,Listas!$A:$A,0,0)</f>
        <v>0</v>
      </c>
      <c r="H132">
        <f>+_xlfn.XLOOKUP(F132,Listas!$B:$B,Listas!$C:$C,0,0)</f>
        <v>0</v>
      </c>
    </row>
    <row r="133" spans="1:8" x14ac:dyDescent="0.5">
      <c r="A133" s="5">
        <v>45869</v>
      </c>
      <c r="B133" t="s">
        <v>164</v>
      </c>
      <c r="C133" t="s">
        <v>462</v>
      </c>
      <c r="D133" s="6">
        <v>143844</v>
      </c>
      <c r="G133">
        <f>+_xlfn.XLOOKUP(F133,Listas!$B:$B,Listas!$A:$A,0,0)</f>
        <v>0</v>
      </c>
      <c r="H133">
        <f>+_xlfn.XLOOKUP(F133,Listas!$B:$B,Listas!$C:$C,0,0)</f>
        <v>0</v>
      </c>
    </row>
    <row r="134" spans="1:8" x14ac:dyDescent="0.5">
      <c r="A134" s="5">
        <v>45869</v>
      </c>
      <c r="B134" t="s">
        <v>164</v>
      </c>
      <c r="C134" t="s">
        <v>454</v>
      </c>
      <c r="D134" s="6">
        <v>363000</v>
      </c>
      <c r="G134">
        <f>+_xlfn.XLOOKUP(F134,Listas!$B:$B,Listas!$A:$A,0,0)</f>
        <v>0</v>
      </c>
      <c r="H134">
        <f>+_xlfn.XLOOKUP(F134,Listas!$B:$B,Listas!$C:$C,0,0)</f>
        <v>0</v>
      </c>
    </row>
    <row r="135" spans="1:8" x14ac:dyDescent="0.5">
      <c r="A135" s="5">
        <v>45869</v>
      </c>
      <c r="B135" t="s">
        <v>164</v>
      </c>
      <c r="C135" t="s">
        <v>463</v>
      </c>
      <c r="D135" s="6">
        <v>55942</v>
      </c>
      <c r="G135">
        <f>+_xlfn.XLOOKUP(F135,Listas!$B:$B,Listas!$A:$A,0,0)</f>
        <v>0</v>
      </c>
      <c r="H135">
        <f>+_xlfn.XLOOKUP(F135,Listas!$B:$B,Listas!$C:$C,0,0)</f>
        <v>0</v>
      </c>
    </row>
    <row r="136" spans="1:8" x14ac:dyDescent="0.5">
      <c r="A136" s="5">
        <v>45869</v>
      </c>
      <c r="B136" t="s">
        <v>164</v>
      </c>
      <c r="C136" t="s">
        <v>464</v>
      </c>
      <c r="D136" s="6">
        <v>85670</v>
      </c>
      <c r="G136">
        <f>+_xlfn.XLOOKUP(F136,Listas!$B:$B,Listas!$A:$A,0,0)</f>
        <v>0</v>
      </c>
      <c r="H136">
        <f>+_xlfn.XLOOKUP(F136,Listas!$B:$B,Listas!$C:$C,0,0)</f>
        <v>0</v>
      </c>
    </row>
    <row r="137" spans="1:8" x14ac:dyDescent="0.5">
      <c r="A137" s="5">
        <v>45873</v>
      </c>
      <c r="B137" t="s">
        <v>174</v>
      </c>
      <c r="C137" t="s">
        <v>430</v>
      </c>
      <c r="D137" s="6">
        <v>57650</v>
      </c>
      <c r="G137">
        <f>+_xlfn.XLOOKUP(F137,Listas!$B:$B,Listas!$A:$A,0,0)</f>
        <v>0</v>
      </c>
      <c r="H137">
        <f>+_xlfn.XLOOKUP(F137,Listas!$B:$B,Listas!$C:$C,0,0)</f>
        <v>0</v>
      </c>
    </row>
    <row r="138" spans="1:8" x14ac:dyDescent="0.5">
      <c r="A138" s="5">
        <v>45874</v>
      </c>
      <c r="B138" t="s">
        <v>174</v>
      </c>
      <c r="C138" t="s">
        <v>465</v>
      </c>
      <c r="D138" s="6">
        <v>15000</v>
      </c>
      <c r="G138">
        <f>+_xlfn.XLOOKUP(F138,Listas!$B:$B,Listas!$A:$A,0,0)</f>
        <v>0</v>
      </c>
      <c r="H138">
        <f>+_xlfn.XLOOKUP(F138,Listas!$B:$B,Listas!$C:$C,0,0)</f>
        <v>0</v>
      </c>
    </row>
    <row r="139" spans="1:8" x14ac:dyDescent="0.5">
      <c r="A139" s="5">
        <v>45877</v>
      </c>
      <c r="B139" t="s">
        <v>174</v>
      </c>
      <c r="C139" t="s">
        <v>394</v>
      </c>
      <c r="D139" s="6">
        <v>18000</v>
      </c>
      <c r="G139">
        <f>+_xlfn.XLOOKUP(F139,Listas!$B:$B,Listas!$A:$A,0,0)</f>
        <v>0</v>
      </c>
      <c r="H139">
        <f>+_xlfn.XLOOKUP(F139,Listas!$B:$B,Listas!$C:$C,0,0)</f>
        <v>0</v>
      </c>
    </row>
    <row r="140" spans="1:8" x14ac:dyDescent="0.5">
      <c r="A140" s="5">
        <v>45877</v>
      </c>
      <c r="B140" t="s">
        <v>174</v>
      </c>
      <c r="C140" t="s">
        <v>467</v>
      </c>
      <c r="D140" s="6">
        <v>25490</v>
      </c>
      <c r="E140" t="s">
        <v>468</v>
      </c>
      <c r="G140">
        <f>+_xlfn.XLOOKUP(F140,Listas!$B:$B,Listas!$A:$A,0,0)</f>
        <v>0</v>
      </c>
      <c r="H140">
        <f>+_xlfn.XLOOKUP(F140,Listas!$B:$B,Listas!$C:$C,0,0)</f>
        <v>0</v>
      </c>
    </row>
    <row r="141" spans="1:8" x14ac:dyDescent="0.5">
      <c r="A141" s="5">
        <v>45880</v>
      </c>
      <c r="B141" t="s">
        <v>174</v>
      </c>
      <c r="C141" t="s">
        <v>438</v>
      </c>
      <c r="D141" s="6">
        <v>252631</v>
      </c>
      <c r="G141">
        <f>+_xlfn.XLOOKUP(F141,Listas!$B:$B,Listas!$A:$A,0,0)</f>
        <v>0</v>
      </c>
      <c r="H141">
        <f>+_xlfn.XLOOKUP(F141,Listas!$B:$B,Listas!$C:$C,0,0)</f>
        <v>0</v>
      </c>
    </row>
    <row r="142" spans="1:8" x14ac:dyDescent="0.5">
      <c r="A142" s="5">
        <v>45883</v>
      </c>
      <c r="B142" t="s">
        <v>174</v>
      </c>
      <c r="C142" t="s">
        <v>378</v>
      </c>
      <c r="D142" s="6">
        <v>58000</v>
      </c>
      <c r="G142">
        <f>+_xlfn.XLOOKUP(F142,Listas!$B:$B,Listas!$A:$A,0,0)</f>
        <v>0</v>
      </c>
      <c r="H142">
        <f>+_xlfn.XLOOKUP(F142,Listas!$B:$B,Listas!$C:$C,0,0)</f>
        <v>0</v>
      </c>
    </row>
    <row r="143" spans="1:8" x14ac:dyDescent="0.5">
      <c r="A143" s="5">
        <v>45895</v>
      </c>
      <c r="B143" t="s">
        <v>174</v>
      </c>
      <c r="C143" t="s">
        <v>469</v>
      </c>
      <c r="D143" s="6">
        <v>2000</v>
      </c>
      <c r="G143">
        <f>+_xlfn.XLOOKUP(F143,Listas!$B:$B,Listas!$A:$A,0,0)</f>
        <v>0</v>
      </c>
      <c r="H143">
        <f>+_xlfn.XLOOKUP(F143,Listas!$B:$B,Listas!$C:$C,0,0)</f>
        <v>0</v>
      </c>
    </row>
    <row r="144" spans="1:8" x14ac:dyDescent="0.5">
      <c r="A144" s="5">
        <v>45895</v>
      </c>
      <c r="B144" t="s">
        <v>174</v>
      </c>
      <c r="C144" t="s">
        <v>436</v>
      </c>
      <c r="D144" s="6">
        <v>30055</v>
      </c>
      <c r="G144">
        <f>+_xlfn.XLOOKUP(F144,Listas!$B:$B,Listas!$A:$A,0,0)</f>
        <v>0</v>
      </c>
      <c r="H144">
        <f>+_xlfn.XLOOKUP(F144,Listas!$B:$B,Listas!$C:$C,0,0)</f>
        <v>0</v>
      </c>
    </row>
    <row r="145" spans="1:8" x14ac:dyDescent="0.5">
      <c r="A145" s="5">
        <v>45896</v>
      </c>
      <c r="B145" t="s">
        <v>174</v>
      </c>
      <c r="C145" t="s">
        <v>470</v>
      </c>
      <c r="D145" s="6">
        <v>10000</v>
      </c>
      <c r="G145">
        <f>+_xlfn.XLOOKUP(F145,Listas!$B:$B,Listas!$A:$A,0,0)</f>
        <v>0</v>
      </c>
      <c r="H145">
        <f>+_xlfn.XLOOKUP(F145,Listas!$B:$B,Listas!$C:$C,0,0)</f>
        <v>0</v>
      </c>
    </row>
    <row r="146" spans="1:8" x14ac:dyDescent="0.5">
      <c r="A146" s="5">
        <v>45897</v>
      </c>
      <c r="B146" t="s">
        <v>174</v>
      </c>
      <c r="C146" t="s">
        <v>378</v>
      </c>
      <c r="D146" s="6">
        <v>3000</v>
      </c>
      <c r="G146">
        <f>+_xlfn.XLOOKUP(F146,Listas!$B:$B,Listas!$A:$A,0,0)</f>
        <v>0</v>
      </c>
      <c r="H146">
        <f>+_xlfn.XLOOKUP(F146,Listas!$B:$B,Listas!$C:$C,0,0)</f>
        <v>0</v>
      </c>
    </row>
    <row r="147" spans="1:8" x14ac:dyDescent="0.5">
      <c r="A147" s="5">
        <v>45897</v>
      </c>
      <c r="B147" t="s">
        <v>174</v>
      </c>
      <c r="C147" t="s">
        <v>379</v>
      </c>
      <c r="D147" s="6">
        <v>340000</v>
      </c>
      <c r="G147">
        <f>+_xlfn.XLOOKUP(F147,Listas!$B:$B,Listas!$A:$A,0,0)</f>
        <v>0</v>
      </c>
      <c r="H147">
        <f>+_xlfn.XLOOKUP(F147,Listas!$B:$B,Listas!$C:$C,0,0)</f>
        <v>0</v>
      </c>
    </row>
    <row r="148" spans="1:8" x14ac:dyDescent="0.5">
      <c r="A148" s="5">
        <v>45897</v>
      </c>
      <c r="B148" t="s">
        <v>174</v>
      </c>
      <c r="C148" t="s">
        <v>378</v>
      </c>
      <c r="D148" s="6">
        <v>9000</v>
      </c>
      <c r="G148">
        <f>+_xlfn.XLOOKUP(F148,Listas!$B:$B,Listas!$A:$A,0,0)</f>
        <v>0</v>
      </c>
      <c r="H148">
        <f>+_xlfn.XLOOKUP(F148,Listas!$B:$B,Listas!$C:$C,0,0)</f>
        <v>0</v>
      </c>
    </row>
    <row r="149" spans="1:8" x14ac:dyDescent="0.5">
      <c r="A149" s="5">
        <v>45901</v>
      </c>
      <c r="B149" t="s">
        <v>192</v>
      </c>
      <c r="C149" t="s">
        <v>395</v>
      </c>
      <c r="D149" s="6">
        <v>146975</v>
      </c>
      <c r="G149">
        <f>+_xlfn.XLOOKUP(F149,Listas!$B:$B,Listas!$A:$A,0,0)</f>
        <v>0</v>
      </c>
      <c r="H149">
        <f>+_xlfn.XLOOKUP(F149,Listas!$B:$B,Listas!$C:$C,0,0)</f>
        <v>0</v>
      </c>
    </row>
    <row r="150" spans="1:8" x14ac:dyDescent="0.5">
      <c r="A150" s="5">
        <v>45901</v>
      </c>
      <c r="B150" t="s">
        <v>192</v>
      </c>
      <c r="C150" t="s">
        <v>455</v>
      </c>
      <c r="D150" s="6">
        <v>299735</v>
      </c>
      <c r="G150">
        <f>+_xlfn.XLOOKUP(F150,Listas!$B:$B,Listas!$A:$A,0,0)</f>
        <v>0</v>
      </c>
      <c r="H150">
        <f>+_xlfn.XLOOKUP(F150,Listas!$B:$B,Listas!$C:$C,0,0)</f>
        <v>0</v>
      </c>
    </row>
    <row r="151" spans="1:8" x14ac:dyDescent="0.5">
      <c r="A151" s="5">
        <v>45901</v>
      </c>
      <c r="B151" t="s">
        <v>192</v>
      </c>
      <c r="C151" t="s">
        <v>454</v>
      </c>
      <c r="D151" s="6">
        <v>513000</v>
      </c>
      <c r="G151">
        <f>+_xlfn.XLOOKUP(F151,Listas!$B:$B,Listas!$A:$A,0,0)</f>
        <v>0</v>
      </c>
      <c r="H151">
        <f>+_xlfn.XLOOKUP(F151,Listas!$B:$B,Listas!$C:$C,0,0)</f>
        <v>0</v>
      </c>
    </row>
    <row r="152" spans="1:8" x14ac:dyDescent="0.5">
      <c r="A152" s="5">
        <v>45902</v>
      </c>
      <c r="B152" t="s">
        <v>192</v>
      </c>
      <c r="C152" t="s">
        <v>394</v>
      </c>
      <c r="D152" s="6">
        <v>18000</v>
      </c>
      <c r="G152">
        <f>+_xlfn.XLOOKUP(F152,Listas!$B:$B,Listas!$A:$A,0,0)</f>
        <v>0</v>
      </c>
      <c r="H152">
        <f>+_xlfn.XLOOKUP(F152,Listas!$B:$B,Listas!$C:$C,0,0)</f>
        <v>0</v>
      </c>
    </row>
    <row r="153" spans="1:8" x14ac:dyDescent="0.5">
      <c r="A153" s="5">
        <v>45902</v>
      </c>
      <c r="B153" t="s">
        <v>192</v>
      </c>
      <c r="C153" t="s">
        <v>378</v>
      </c>
      <c r="D153" s="6">
        <v>35000</v>
      </c>
      <c r="G153">
        <f>+_xlfn.XLOOKUP(F153,Listas!$B:$B,Listas!$A:$A,0,0)</f>
        <v>0</v>
      </c>
      <c r="H153">
        <f>+_xlfn.XLOOKUP(F153,Listas!$B:$B,Listas!$C:$C,0,0)</f>
        <v>0</v>
      </c>
    </row>
    <row r="154" spans="1:8" x14ac:dyDescent="0.5">
      <c r="A154" s="5">
        <v>45902</v>
      </c>
      <c r="B154" t="s">
        <v>192</v>
      </c>
      <c r="C154" t="s">
        <v>448</v>
      </c>
      <c r="D154" s="6">
        <v>36806</v>
      </c>
      <c r="G154">
        <f>+_xlfn.XLOOKUP(F154,Listas!$B:$B,Listas!$A:$A,0,0)</f>
        <v>0</v>
      </c>
      <c r="H154">
        <f>+_xlfn.XLOOKUP(F154,Listas!$B:$B,Listas!$C:$C,0,0)</f>
        <v>0</v>
      </c>
    </row>
    <row r="155" spans="1:8" x14ac:dyDescent="0.5">
      <c r="A155" s="5">
        <v>45904</v>
      </c>
      <c r="B155" t="s">
        <v>192</v>
      </c>
      <c r="C155" t="s">
        <v>471</v>
      </c>
      <c r="D155" s="6">
        <v>275761</v>
      </c>
      <c r="G155">
        <f>+_xlfn.XLOOKUP(F155,Listas!$B:$B,Listas!$A:$A,0,0)</f>
        <v>0</v>
      </c>
      <c r="H155">
        <f>+_xlfn.XLOOKUP(F155,Listas!$B:$B,Listas!$C:$C,0,0)</f>
        <v>0</v>
      </c>
    </row>
    <row r="156" spans="1:8" x14ac:dyDescent="0.5">
      <c r="A156" s="5">
        <v>45905</v>
      </c>
      <c r="B156" t="s">
        <v>192</v>
      </c>
      <c r="C156" t="s">
        <v>472</v>
      </c>
      <c r="D156" s="6">
        <v>129187</v>
      </c>
      <c r="G156">
        <f>+_xlfn.XLOOKUP(F156,Listas!$B:$B,Listas!$A:$A,0,0)</f>
        <v>0</v>
      </c>
      <c r="H156">
        <f>+_xlfn.XLOOKUP(F156,Listas!$B:$B,Listas!$C:$C,0,0)</f>
        <v>0</v>
      </c>
    </row>
    <row r="157" spans="1:8" x14ac:dyDescent="0.5">
      <c r="A157" s="5">
        <v>45908</v>
      </c>
      <c r="B157" t="s">
        <v>192</v>
      </c>
      <c r="C157" t="s">
        <v>438</v>
      </c>
      <c r="D157" s="6">
        <v>253929</v>
      </c>
      <c r="G157">
        <f>+_xlfn.XLOOKUP(F157,Listas!$B:$B,Listas!$A:$A,0,0)</f>
        <v>0</v>
      </c>
      <c r="H157">
        <f>+_xlfn.XLOOKUP(F157,Listas!$B:$B,Listas!$C:$C,0,0)</f>
        <v>0</v>
      </c>
    </row>
    <row r="158" spans="1:8" x14ac:dyDescent="0.5">
      <c r="A158" s="5">
        <v>45908</v>
      </c>
      <c r="B158" t="s">
        <v>192</v>
      </c>
      <c r="C158" t="s">
        <v>473</v>
      </c>
      <c r="D158" s="6">
        <v>69345</v>
      </c>
      <c r="G158">
        <f>+_xlfn.XLOOKUP(F158,Listas!$B:$B,Listas!$A:$A,0,0)</f>
        <v>0</v>
      </c>
      <c r="H158">
        <f>+_xlfn.XLOOKUP(F158,Listas!$B:$B,Listas!$C:$C,0,0)</f>
        <v>0</v>
      </c>
    </row>
    <row r="159" spans="1:8" x14ac:dyDescent="0.5">
      <c r="A159" s="5">
        <v>45911</v>
      </c>
      <c r="B159" t="s">
        <v>192</v>
      </c>
      <c r="C159" t="s">
        <v>474</v>
      </c>
      <c r="D159" s="6">
        <v>75000</v>
      </c>
      <c r="G159">
        <f>+_xlfn.XLOOKUP(F159,Listas!$B:$B,Listas!$A:$A,0,0)</f>
        <v>0</v>
      </c>
      <c r="H159">
        <f>+_xlfn.XLOOKUP(F159,Listas!$B:$B,Listas!$C:$C,0,0)</f>
        <v>0</v>
      </c>
    </row>
    <row r="160" spans="1:8" x14ac:dyDescent="0.5">
      <c r="A160" s="5">
        <v>45915</v>
      </c>
      <c r="B160" t="s">
        <v>192</v>
      </c>
      <c r="C160" t="s">
        <v>475</v>
      </c>
      <c r="D160" s="6">
        <v>114383</v>
      </c>
      <c r="G160">
        <f>+_xlfn.XLOOKUP(F160,Listas!$B:$B,Listas!$A:$A,0,0)</f>
        <v>0</v>
      </c>
      <c r="H160">
        <f>+_xlfn.XLOOKUP(F160,Listas!$B:$B,Listas!$C:$C,0,0)</f>
        <v>0</v>
      </c>
    </row>
    <row r="161" spans="1:8" x14ac:dyDescent="0.5">
      <c r="A161" s="5">
        <v>45917</v>
      </c>
      <c r="B161" t="s">
        <v>192</v>
      </c>
      <c r="C161" t="s">
        <v>476</v>
      </c>
      <c r="D161" s="6">
        <v>9996</v>
      </c>
      <c r="G161">
        <f>+_xlfn.XLOOKUP(F161,Listas!$B:$B,Listas!$A:$A,0,0)</f>
        <v>0</v>
      </c>
      <c r="H161">
        <f>+_xlfn.XLOOKUP(F161,Listas!$B:$B,Listas!$C:$C,0,0)</f>
        <v>0</v>
      </c>
    </row>
    <row r="162" spans="1:8" x14ac:dyDescent="0.5">
      <c r="A162" s="5">
        <v>45925</v>
      </c>
      <c r="B162" t="s">
        <v>192</v>
      </c>
      <c r="C162" t="s">
        <v>474</v>
      </c>
      <c r="D162" s="6">
        <v>44980</v>
      </c>
      <c r="G162">
        <f>+_xlfn.XLOOKUP(F162,Listas!$B:$B,Listas!$A:$A,0,0)</f>
        <v>0</v>
      </c>
      <c r="H162">
        <f>+_xlfn.XLOOKUP(F162,Listas!$B:$B,Listas!$C:$C,0,0)</f>
        <v>0</v>
      </c>
    </row>
    <row r="163" spans="1:8" x14ac:dyDescent="0.5">
      <c r="A163" s="5">
        <v>45925</v>
      </c>
      <c r="B163" t="s">
        <v>192</v>
      </c>
      <c r="C163" t="s">
        <v>474</v>
      </c>
      <c r="D163" s="6">
        <v>75000</v>
      </c>
      <c r="G163">
        <f>+_xlfn.XLOOKUP(F163,Listas!$B:$B,Listas!$A:$A,0,0)</f>
        <v>0</v>
      </c>
      <c r="H163">
        <f>+_xlfn.XLOOKUP(F163,Listas!$B:$B,Listas!$C:$C,0,0)</f>
        <v>0</v>
      </c>
    </row>
    <row r="164" spans="1:8" x14ac:dyDescent="0.5">
      <c r="A164" s="5">
        <v>45929</v>
      </c>
      <c r="B164" t="s">
        <v>192</v>
      </c>
      <c r="C164" t="s">
        <v>378</v>
      </c>
      <c r="D164" s="6">
        <v>77000</v>
      </c>
      <c r="G164">
        <f>+_xlfn.XLOOKUP(F164,Listas!$B:$B,Listas!$A:$A,0,0)</f>
        <v>0</v>
      </c>
      <c r="H164">
        <f>+_xlfn.XLOOKUP(F164,Listas!$B:$B,Listas!$C:$C,0,0)</f>
        <v>0</v>
      </c>
    </row>
    <row r="165" spans="1:8" x14ac:dyDescent="0.5">
      <c r="A165" s="5">
        <v>45929</v>
      </c>
      <c r="B165" t="s">
        <v>192</v>
      </c>
      <c r="C165" t="s">
        <v>479</v>
      </c>
      <c r="D165" s="6">
        <v>95200</v>
      </c>
      <c r="G165">
        <f>+_xlfn.XLOOKUP(F165,Listas!$B:$B,Listas!$A:$A,0,0)</f>
        <v>0</v>
      </c>
      <c r="H165">
        <f>+_xlfn.XLOOKUP(F165,Listas!$B:$B,Listas!$C:$C,0,0)</f>
        <v>0</v>
      </c>
    </row>
    <row r="166" spans="1:8" x14ac:dyDescent="0.5">
      <c r="A166" s="5">
        <v>45930</v>
      </c>
      <c r="B166" t="s">
        <v>192</v>
      </c>
      <c r="C166" t="s">
        <v>480</v>
      </c>
      <c r="D166" s="6">
        <v>100000</v>
      </c>
      <c r="G166">
        <f>+_xlfn.XLOOKUP(F166,Listas!$B:$B,Listas!$A:$A,0,0)</f>
        <v>0</v>
      </c>
      <c r="H166">
        <f>+_xlfn.XLOOKUP(F166,Listas!$B:$B,Listas!$C:$C,0,0)</f>
        <v>0</v>
      </c>
    </row>
    <row r="167" spans="1:8" x14ac:dyDescent="0.5">
      <c r="A167" s="5">
        <v>45931</v>
      </c>
      <c r="B167" t="s">
        <v>203</v>
      </c>
      <c r="C167" t="s">
        <v>481</v>
      </c>
      <c r="D167" s="6">
        <v>100000</v>
      </c>
      <c r="G167">
        <f>+_xlfn.XLOOKUP(F167,Listas!$B:$B,Listas!$A:$A,0,0)</f>
        <v>0</v>
      </c>
      <c r="H167">
        <f>+_xlfn.XLOOKUP(F167,Listas!$B:$B,Listas!$C:$C,0,0)</f>
        <v>0</v>
      </c>
    </row>
    <row r="168" spans="1:8" x14ac:dyDescent="0.5">
      <c r="A168" s="5">
        <v>45931</v>
      </c>
      <c r="B168" t="s">
        <v>203</v>
      </c>
      <c r="C168" t="s">
        <v>482</v>
      </c>
      <c r="D168" s="6">
        <v>157510</v>
      </c>
      <c r="G168">
        <f>+_xlfn.XLOOKUP(F168,Listas!$B:$B,Listas!$A:$A,0,0)</f>
        <v>0</v>
      </c>
      <c r="H168">
        <f>+_xlfn.XLOOKUP(F168,Listas!$B:$B,Listas!$C:$C,0,0)</f>
        <v>0</v>
      </c>
    </row>
    <row r="169" spans="1:8" x14ac:dyDescent="0.5">
      <c r="A169" s="5">
        <v>45931</v>
      </c>
      <c r="B169" t="s">
        <v>203</v>
      </c>
      <c r="C169" t="s">
        <v>455</v>
      </c>
      <c r="D169" s="6">
        <v>300000</v>
      </c>
      <c r="G169">
        <f>+_xlfn.XLOOKUP(F169,Listas!$B:$B,Listas!$A:$A,0,0)</f>
        <v>0</v>
      </c>
      <c r="H169">
        <f>+_xlfn.XLOOKUP(F169,Listas!$B:$B,Listas!$C:$C,0,0)</f>
        <v>0</v>
      </c>
    </row>
    <row r="170" spans="1:8" x14ac:dyDescent="0.5">
      <c r="A170" s="5">
        <v>45931</v>
      </c>
      <c r="B170" t="s">
        <v>203</v>
      </c>
      <c r="C170" t="s">
        <v>454</v>
      </c>
      <c r="D170" s="6">
        <v>513000</v>
      </c>
      <c r="G170">
        <f>+_xlfn.XLOOKUP(F170,Listas!$B:$B,Listas!$A:$A,0,0)</f>
        <v>0</v>
      </c>
      <c r="H170">
        <f>+_xlfn.XLOOKUP(F170,Listas!$B:$B,Listas!$C:$C,0,0)</f>
        <v>0</v>
      </c>
    </row>
    <row r="171" spans="1:8" x14ac:dyDescent="0.5">
      <c r="A171" s="5">
        <v>45932</v>
      </c>
      <c r="B171" t="s">
        <v>203</v>
      </c>
      <c r="C171" t="s">
        <v>395</v>
      </c>
      <c r="D171" s="6">
        <v>44092</v>
      </c>
      <c r="G171">
        <f>+_xlfn.XLOOKUP(F171,Listas!$B:$B,Listas!$A:$A,0,0)</f>
        <v>0</v>
      </c>
      <c r="H171">
        <f>+_xlfn.XLOOKUP(F171,Listas!$B:$B,Listas!$C:$C,0,0)</f>
        <v>0</v>
      </c>
    </row>
    <row r="172" spans="1:8" x14ac:dyDescent="0.5">
      <c r="A172" s="5">
        <v>45936</v>
      </c>
      <c r="B172" t="s">
        <v>203</v>
      </c>
      <c r="C172" t="s">
        <v>483</v>
      </c>
      <c r="D172" s="6">
        <v>95200</v>
      </c>
      <c r="G172">
        <f>+_xlfn.XLOOKUP(F172,Listas!$B:$B,Listas!$A:$A,0,0)</f>
        <v>0</v>
      </c>
      <c r="H172">
        <f>+_xlfn.XLOOKUP(F172,Listas!$B:$B,Listas!$C:$C,0,0)</f>
        <v>0</v>
      </c>
    </row>
    <row r="173" spans="1:8" x14ac:dyDescent="0.5">
      <c r="A173" s="5">
        <v>45938</v>
      </c>
      <c r="B173" t="s">
        <v>203</v>
      </c>
      <c r="C173" t="s">
        <v>438</v>
      </c>
      <c r="D173" s="6">
        <v>259102</v>
      </c>
      <c r="G173">
        <f>+_xlfn.XLOOKUP(F173,Listas!$B:$B,Listas!$A:$A,0,0)</f>
        <v>0</v>
      </c>
      <c r="H173">
        <f>+_xlfn.XLOOKUP(F173,Listas!$B:$B,Listas!$C:$C,0,0)</f>
        <v>0</v>
      </c>
    </row>
    <row r="174" spans="1:8" x14ac:dyDescent="0.5">
      <c r="A174" s="5">
        <v>45939</v>
      </c>
      <c r="B174" t="s">
        <v>203</v>
      </c>
      <c r="C174" t="s">
        <v>484</v>
      </c>
      <c r="D174" s="6">
        <v>26157</v>
      </c>
      <c r="G174">
        <f>+_xlfn.XLOOKUP(F174,Listas!$B:$B,Listas!$A:$A,0,0)</f>
        <v>0</v>
      </c>
      <c r="H174">
        <f>+_xlfn.XLOOKUP(F174,Listas!$B:$B,Listas!$C:$C,0,0)</f>
        <v>0</v>
      </c>
    </row>
    <row r="175" spans="1:8" x14ac:dyDescent="0.5">
      <c r="A175" s="5">
        <v>45943</v>
      </c>
      <c r="B175" t="s">
        <v>203</v>
      </c>
      <c r="C175" t="s">
        <v>453</v>
      </c>
      <c r="D175" s="6">
        <v>113140</v>
      </c>
      <c r="G175">
        <f>+_xlfn.XLOOKUP(F175,Listas!$B:$B,Listas!$A:$A,0,0)</f>
        <v>0</v>
      </c>
      <c r="H175">
        <f>+_xlfn.XLOOKUP(F175,Listas!$B:$B,Listas!$C:$C,0,0)</f>
        <v>0</v>
      </c>
    </row>
    <row r="176" spans="1:8" x14ac:dyDescent="0.5">
      <c r="A176" s="5">
        <v>45946</v>
      </c>
      <c r="B176" t="s">
        <v>203</v>
      </c>
      <c r="C176" t="s">
        <v>485</v>
      </c>
      <c r="D176" s="6">
        <v>100000</v>
      </c>
      <c r="G176">
        <f>+_xlfn.XLOOKUP(F176,Listas!$B:$B,Listas!$A:$A,0,0)</f>
        <v>0</v>
      </c>
      <c r="H176">
        <f>+_xlfn.XLOOKUP(F176,Listas!$B:$B,Listas!$C:$C,0,0)</f>
        <v>0</v>
      </c>
    </row>
    <row r="177" spans="1:8" x14ac:dyDescent="0.5">
      <c r="A177" s="5">
        <v>45950</v>
      </c>
      <c r="B177" t="s">
        <v>203</v>
      </c>
      <c r="C177" t="s">
        <v>486</v>
      </c>
      <c r="D177" s="6">
        <v>103350</v>
      </c>
      <c r="G177">
        <f>+_xlfn.XLOOKUP(F177,Listas!$B:$B,Listas!$A:$A,0,0)</f>
        <v>0</v>
      </c>
      <c r="H177">
        <f>+_xlfn.XLOOKUP(F177,Listas!$B:$B,Listas!$C:$C,0,0)</f>
        <v>0</v>
      </c>
    </row>
    <row r="178" spans="1:8" x14ac:dyDescent="0.5">
      <c r="A178" s="5">
        <v>45950</v>
      </c>
      <c r="B178" t="s">
        <v>203</v>
      </c>
      <c r="C178" t="s">
        <v>487</v>
      </c>
      <c r="D178" s="6">
        <v>1100</v>
      </c>
      <c r="G178">
        <f>+_xlfn.XLOOKUP(F178,Listas!$B:$B,Listas!$A:$A,0,0)</f>
        <v>0</v>
      </c>
      <c r="H178">
        <f>+_xlfn.XLOOKUP(F178,Listas!$B:$B,Listas!$C:$C,0,0)</f>
        <v>0</v>
      </c>
    </row>
    <row r="179" spans="1:8" x14ac:dyDescent="0.5">
      <c r="A179" s="5">
        <v>45951</v>
      </c>
      <c r="B179" t="s">
        <v>203</v>
      </c>
      <c r="C179" t="s">
        <v>378</v>
      </c>
      <c r="D179" s="6">
        <v>21000</v>
      </c>
      <c r="G179">
        <f>+_xlfn.XLOOKUP(F179,Listas!$B:$B,Listas!$A:$A,0,0)</f>
        <v>0</v>
      </c>
      <c r="H179">
        <f>+_xlfn.XLOOKUP(F179,Listas!$B:$B,Listas!$C:$C,0,0)</f>
        <v>0</v>
      </c>
    </row>
    <row r="180" spans="1:8" x14ac:dyDescent="0.5">
      <c r="A180" s="5">
        <v>45952</v>
      </c>
      <c r="B180" t="s">
        <v>203</v>
      </c>
      <c r="C180" t="s">
        <v>488</v>
      </c>
      <c r="D180" s="6">
        <v>145000</v>
      </c>
      <c r="G180">
        <f>+_xlfn.XLOOKUP(F180,Listas!$B:$B,Listas!$A:$A,0,0)</f>
        <v>0</v>
      </c>
      <c r="H180">
        <f>+_xlfn.XLOOKUP(F180,Listas!$B:$B,Listas!$C:$C,0,0)</f>
        <v>0</v>
      </c>
    </row>
    <row r="181" spans="1:8" x14ac:dyDescent="0.5">
      <c r="A181" s="5">
        <v>45952</v>
      </c>
      <c r="B181" t="s">
        <v>203</v>
      </c>
      <c r="C181" t="s">
        <v>489</v>
      </c>
      <c r="D181" s="6">
        <v>42828</v>
      </c>
      <c r="G181">
        <f>+_xlfn.XLOOKUP(F181,Listas!$B:$B,Listas!$A:$A,0,0)</f>
        <v>0</v>
      </c>
      <c r="H181">
        <f>+_xlfn.XLOOKUP(F181,Listas!$B:$B,Listas!$C:$C,0,0)</f>
        <v>0</v>
      </c>
    </row>
    <row r="182" spans="1:8" x14ac:dyDescent="0.5">
      <c r="A182" s="5">
        <v>45952</v>
      </c>
      <c r="B182" t="s">
        <v>203</v>
      </c>
      <c r="C182" t="s">
        <v>490</v>
      </c>
      <c r="D182" s="6">
        <v>44980</v>
      </c>
      <c r="G182">
        <f>+_xlfn.XLOOKUP(F182,Listas!$B:$B,Listas!$A:$A,0,0)</f>
        <v>0</v>
      </c>
      <c r="H182">
        <f>+_xlfn.XLOOKUP(F182,Listas!$B:$B,Listas!$C:$C,0,0)</f>
        <v>0</v>
      </c>
    </row>
    <row r="183" spans="1:8" x14ac:dyDescent="0.5">
      <c r="A183" s="5">
        <v>45954</v>
      </c>
      <c r="B183" t="s">
        <v>203</v>
      </c>
      <c r="C183" t="s">
        <v>491</v>
      </c>
      <c r="D183" s="6">
        <v>133821</v>
      </c>
      <c r="G183">
        <f>+_xlfn.XLOOKUP(F183,Listas!$B:$B,Listas!$A:$A,0,0)</f>
        <v>0</v>
      </c>
      <c r="H183">
        <f>+_xlfn.XLOOKUP(F183,Listas!$B:$B,Listas!$C:$C,0,0)</f>
        <v>0</v>
      </c>
    </row>
    <row r="184" spans="1:8" x14ac:dyDescent="0.5">
      <c r="A184" s="5">
        <v>45957</v>
      </c>
      <c r="B184" t="s">
        <v>203</v>
      </c>
      <c r="C184" t="s">
        <v>492</v>
      </c>
      <c r="D184" s="6">
        <v>159390</v>
      </c>
      <c r="G184">
        <f>+_xlfn.XLOOKUP(F184,Listas!$B:$B,Listas!$A:$A,0,0)</f>
        <v>0</v>
      </c>
      <c r="H184">
        <f>+_xlfn.XLOOKUP(F184,Listas!$B:$B,Listas!$C:$C,0,0)</f>
        <v>0</v>
      </c>
    </row>
    <row r="185" spans="1:8" x14ac:dyDescent="0.5">
      <c r="A185" s="5">
        <v>45958</v>
      </c>
      <c r="B185" t="s">
        <v>203</v>
      </c>
      <c r="C185" t="s">
        <v>493</v>
      </c>
      <c r="D185" s="6">
        <v>7000</v>
      </c>
      <c r="G185">
        <f>+_xlfn.XLOOKUP(F185,Listas!$B:$B,Listas!$A:$A,0,0)</f>
        <v>0</v>
      </c>
      <c r="H185">
        <f>+_xlfn.XLOOKUP(F185,Listas!$B:$B,Listas!$C:$C,0,0)</f>
        <v>0</v>
      </c>
    </row>
    <row r="186" spans="1:8" x14ac:dyDescent="0.5">
      <c r="A186" s="5">
        <v>45959</v>
      </c>
      <c r="B186" t="s">
        <v>203</v>
      </c>
      <c r="C186" t="s">
        <v>494</v>
      </c>
      <c r="D186" s="6">
        <v>154343</v>
      </c>
      <c r="G186">
        <f>+_xlfn.XLOOKUP(F186,Listas!$B:$B,Listas!$A:$A,0,0)</f>
        <v>0</v>
      </c>
      <c r="H186">
        <f>+_xlfn.XLOOKUP(F186,Listas!$B:$B,Listas!$C:$C,0,0)</f>
        <v>0</v>
      </c>
    </row>
    <row r="187" spans="1:8" x14ac:dyDescent="0.5">
      <c r="A187" s="5">
        <v>45960</v>
      </c>
      <c r="B187" t="s">
        <v>203</v>
      </c>
      <c r="C187" t="s">
        <v>480</v>
      </c>
      <c r="D187" s="6">
        <v>100000</v>
      </c>
      <c r="G187">
        <f>+_xlfn.XLOOKUP(F187,Listas!$B:$B,Listas!$A:$A,0,0)</f>
        <v>0</v>
      </c>
      <c r="H187">
        <f>+_xlfn.XLOOKUP(F187,Listas!$B:$B,Listas!$C:$C,0,0)</f>
        <v>0</v>
      </c>
    </row>
    <row r="188" spans="1:8" x14ac:dyDescent="0.5">
      <c r="A188" s="5">
        <v>45960</v>
      </c>
      <c r="B188" t="s">
        <v>203</v>
      </c>
      <c r="C188" t="s">
        <v>481</v>
      </c>
      <c r="D188" s="6">
        <v>100000</v>
      </c>
      <c r="G188">
        <f>+_xlfn.XLOOKUP(F188,Listas!$B:$B,Listas!$A:$A,0,0)</f>
        <v>0</v>
      </c>
      <c r="H188">
        <f>+_xlfn.XLOOKUP(F188,Listas!$B:$B,Listas!$C:$C,0,0)</f>
        <v>0</v>
      </c>
    </row>
    <row r="189" spans="1:8" x14ac:dyDescent="0.5">
      <c r="A189" s="5">
        <v>45960</v>
      </c>
      <c r="B189" t="s">
        <v>203</v>
      </c>
      <c r="C189" t="s">
        <v>495</v>
      </c>
      <c r="D189" s="6">
        <v>299250</v>
      </c>
      <c r="G189">
        <f>+_xlfn.XLOOKUP(F189,Listas!$B:$B,Listas!$A:$A,0,0)</f>
        <v>0</v>
      </c>
      <c r="H189">
        <f>+_xlfn.XLOOKUP(F189,Listas!$B:$B,Listas!$C:$C,0,0)</f>
        <v>0</v>
      </c>
    </row>
    <row r="190" spans="1:8" x14ac:dyDescent="0.5">
      <c r="A190" s="5">
        <v>45960</v>
      </c>
      <c r="B190" t="s">
        <v>203</v>
      </c>
      <c r="C190" t="s">
        <v>496</v>
      </c>
      <c r="D190" s="6">
        <v>325834</v>
      </c>
      <c r="G190">
        <f>+_xlfn.XLOOKUP(F190,Listas!$B:$B,Listas!$A:$A,0,0)</f>
        <v>0</v>
      </c>
      <c r="H190">
        <f>+_xlfn.XLOOKUP(F190,Listas!$B:$B,Listas!$C:$C,0,0)</f>
        <v>0</v>
      </c>
    </row>
    <row r="191" spans="1:8" x14ac:dyDescent="0.5">
      <c r="A191" s="5">
        <v>45960</v>
      </c>
      <c r="B191" t="s">
        <v>203</v>
      </c>
      <c r="C191" t="s">
        <v>455</v>
      </c>
      <c r="D191" s="6">
        <v>352295</v>
      </c>
      <c r="G191">
        <f>+_xlfn.XLOOKUP(F191,Listas!$B:$B,Listas!$A:$A,0,0)</f>
        <v>0</v>
      </c>
      <c r="H191">
        <f>+_xlfn.XLOOKUP(F191,Listas!$B:$B,Listas!$C:$C,0,0)</f>
        <v>0</v>
      </c>
    </row>
    <row r="192" spans="1:8" x14ac:dyDescent="0.5">
      <c r="A192" s="5">
        <v>45960</v>
      </c>
      <c r="B192" t="s">
        <v>203</v>
      </c>
      <c r="C192" t="s">
        <v>395</v>
      </c>
      <c r="D192" s="6">
        <v>75937</v>
      </c>
      <c r="G192">
        <f>+_xlfn.XLOOKUP(F192,Listas!$B:$B,Listas!$A:$A,0,0)</f>
        <v>0</v>
      </c>
      <c r="H192">
        <f>+_xlfn.XLOOKUP(F192,Listas!$B:$B,Listas!$C:$C,0,0)</f>
        <v>0</v>
      </c>
    </row>
    <row r="193" spans="1:8" x14ac:dyDescent="0.5">
      <c r="A193" s="5">
        <v>45967</v>
      </c>
      <c r="B193" t="s">
        <v>218</v>
      </c>
      <c r="C193" t="s">
        <v>498</v>
      </c>
      <c r="D193" s="6">
        <v>10060</v>
      </c>
      <c r="G193">
        <f>+_xlfn.XLOOKUP(F193,Listas!$B:$B,Listas!$A:$A,0,0)</f>
        <v>0</v>
      </c>
      <c r="H193">
        <f>+_xlfn.XLOOKUP(F193,Listas!$B:$B,Listas!$C:$C,0,0)</f>
        <v>0</v>
      </c>
    </row>
    <row r="194" spans="1:8" x14ac:dyDescent="0.5">
      <c r="A194" s="5">
        <v>45975</v>
      </c>
      <c r="B194" t="s">
        <v>218</v>
      </c>
      <c r="C194" t="s">
        <v>394</v>
      </c>
      <c r="D194" s="6">
        <v>18000</v>
      </c>
      <c r="G194">
        <f>+_xlfn.XLOOKUP(F194,Listas!$B:$B,Listas!$A:$A,0,0)</f>
        <v>0</v>
      </c>
      <c r="H194">
        <f>+_xlfn.XLOOKUP(F194,Listas!$B:$B,Listas!$C:$C,0,0)</f>
        <v>0</v>
      </c>
    </row>
    <row r="195" spans="1:8" x14ac:dyDescent="0.5">
      <c r="A195" s="5">
        <v>45978</v>
      </c>
      <c r="B195" t="s">
        <v>218</v>
      </c>
      <c r="C195" t="s">
        <v>499</v>
      </c>
      <c r="D195" s="6">
        <v>17710</v>
      </c>
      <c r="G195">
        <f>+_xlfn.XLOOKUP(F195,Listas!$B:$B,Listas!$A:$A,0,0)</f>
        <v>0</v>
      </c>
      <c r="H195">
        <f>+_xlfn.XLOOKUP(F195,Listas!$B:$B,Listas!$C:$C,0,0)</f>
        <v>0</v>
      </c>
    </row>
    <row r="196" spans="1:8" x14ac:dyDescent="0.5">
      <c r="A196" s="5">
        <v>45978</v>
      </c>
      <c r="B196" t="s">
        <v>218</v>
      </c>
      <c r="C196" t="s">
        <v>498</v>
      </c>
      <c r="D196" s="6">
        <v>25710</v>
      </c>
      <c r="G196">
        <f>+_xlfn.XLOOKUP(F196,Listas!$B:$B,Listas!$A:$A,0,0)</f>
        <v>0</v>
      </c>
      <c r="H196">
        <f>+_xlfn.XLOOKUP(F196,Listas!$B:$B,Listas!$C:$C,0,0)</f>
        <v>0</v>
      </c>
    </row>
    <row r="197" spans="1:8" x14ac:dyDescent="0.5">
      <c r="A197" s="5">
        <v>45979</v>
      </c>
      <c r="B197" t="s">
        <v>218</v>
      </c>
      <c r="C197" t="s">
        <v>455</v>
      </c>
      <c r="D197" s="6">
        <v>50000</v>
      </c>
      <c r="G197">
        <f>+_xlfn.XLOOKUP(F197,Listas!$B:$B,Listas!$A:$A,0,0)</f>
        <v>0</v>
      </c>
      <c r="H197">
        <f>+_xlfn.XLOOKUP(F197,Listas!$B:$B,Listas!$C:$C,0,0)</f>
        <v>0</v>
      </c>
    </row>
    <row r="198" spans="1:8" x14ac:dyDescent="0.5">
      <c r="A198" s="5">
        <v>45979</v>
      </c>
      <c r="B198" t="s">
        <v>218</v>
      </c>
      <c r="C198" t="s">
        <v>500</v>
      </c>
      <c r="D198" s="6">
        <v>6870</v>
      </c>
      <c r="G198">
        <f>+_xlfn.XLOOKUP(F198,Listas!$B:$B,Listas!$A:$A,0,0)</f>
        <v>0</v>
      </c>
      <c r="H198">
        <f>+_xlfn.XLOOKUP(F198,Listas!$B:$B,Listas!$C:$C,0,0)</f>
        <v>0</v>
      </c>
    </row>
    <row r="199" spans="1:8" x14ac:dyDescent="0.5">
      <c r="A199" s="5">
        <v>45979</v>
      </c>
      <c r="B199" t="s">
        <v>218</v>
      </c>
      <c r="C199" t="s">
        <v>501</v>
      </c>
      <c r="D199" s="6">
        <v>6970</v>
      </c>
      <c r="G199">
        <f>+_xlfn.XLOOKUP(F199,Listas!$B:$B,Listas!$A:$A,0,0)</f>
        <v>0</v>
      </c>
      <c r="H199">
        <f>+_xlfn.XLOOKUP(F199,Listas!$B:$B,Listas!$C:$C,0,0)</f>
        <v>0</v>
      </c>
    </row>
    <row r="200" spans="1:8" x14ac:dyDescent="0.5">
      <c r="A200" s="5">
        <v>45980</v>
      </c>
      <c r="B200" t="s">
        <v>218</v>
      </c>
      <c r="C200" t="s">
        <v>502</v>
      </c>
      <c r="D200" s="6">
        <v>63177</v>
      </c>
      <c r="G200">
        <f>+_xlfn.XLOOKUP(F200,Listas!$B:$B,Listas!$A:$A,0,0)</f>
        <v>0</v>
      </c>
      <c r="H200">
        <f>+_xlfn.XLOOKUP(F200,Listas!$B:$B,Listas!$C:$C,0,0)</f>
        <v>0</v>
      </c>
    </row>
    <row r="201" spans="1:8" x14ac:dyDescent="0.5">
      <c r="A201" s="5">
        <v>45986</v>
      </c>
      <c r="B201" t="s">
        <v>218</v>
      </c>
      <c r="C201" t="s">
        <v>504</v>
      </c>
      <c r="D201" s="6">
        <v>10800</v>
      </c>
      <c r="G201">
        <f>+_xlfn.XLOOKUP(F201,Listas!$B:$B,Listas!$A:$A,0,0)</f>
        <v>0</v>
      </c>
      <c r="H201">
        <f>+_xlfn.XLOOKUP(F201,Listas!$B:$B,Listas!$C:$C,0,0)</f>
        <v>0</v>
      </c>
    </row>
    <row r="202" spans="1:8" x14ac:dyDescent="0.5">
      <c r="A202" s="5">
        <v>45986</v>
      </c>
      <c r="B202" t="s">
        <v>218</v>
      </c>
      <c r="C202" t="s">
        <v>467</v>
      </c>
      <c r="D202" s="6">
        <v>25490</v>
      </c>
      <c r="E202" t="s">
        <v>468</v>
      </c>
      <c r="G202">
        <f>+_xlfn.XLOOKUP(F202,Listas!$B:$B,Listas!$A:$A,0,0)</f>
        <v>0</v>
      </c>
      <c r="H202">
        <f>+_xlfn.XLOOKUP(F202,Listas!$B:$B,Listas!$C:$C,0,0)</f>
        <v>0</v>
      </c>
    </row>
    <row r="203" spans="1:8" x14ac:dyDescent="0.5">
      <c r="A203" s="5">
        <v>45988</v>
      </c>
      <c r="B203" t="s">
        <v>218</v>
      </c>
      <c r="C203" t="s">
        <v>505</v>
      </c>
      <c r="D203" s="6">
        <v>60020</v>
      </c>
      <c r="G203">
        <f>+_xlfn.XLOOKUP(F203,Listas!$B:$B,Listas!$A:$A,0,0)</f>
        <v>0</v>
      </c>
      <c r="H203">
        <f>+_xlfn.XLOOKUP(F203,Listas!$B:$B,Listas!$C:$C,0,0)</f>
        <v>0</v>
      </c>
    </row>
    <row r="204" spans="1:8" x14ac:dyDescent="0.5">
      <c r="A204" s="5">
        <v>45993</v>
      </c>
      <c r="B204" t="s">
        <v>232</v>
      </c>
      <c r="C204" t="s">
        <v>480</v>
      </c>
      <c r="D204" s="6">
        <v>100000</v>
      </c>
      <c r="G204">
        <f>+_xlfn.XLOOKUP(F204,Listas!$B:$B,Listas!$A:$A,0,0)</f>
        <v>0</v>
      </c>
      <c r="H204">
        <f>+_xlfn.XLOOKUP(F204,Listas!$B:$B,Listas!$C:$C,0,0)</f>
        <v>0</v>
      </c>
    </row>
    <row r="205" spans="1:8" x14ac:dyDescent="0.5">
      <c r="A205" s="5">
        <v>45993</v>
      </c>
      <c r="B205" t="s">
        <v>232</v>
      </c>
      <c r="C205" t="s">
        <v>507</v>
      </c>
      <c r="D205" s="6">
        <v>161878</v>
      </c>
      <c r="G205">
        <f>+_xlfn.XLOOKUP(F205,Listas!$B:$B,Listas!$A:$A,0,0)</f>
        <v>0</v>
      </c>
      <c r="H205">
        <f>+_xlfn.XLOOKUP(F205,Listas!$B:$B,Listas!$C:$C,0,0)</f>
        <v>0</v>
      </c>
    </row>
    <row r="206" spans="1:8" x14ac:dyDescent="0.5">
      <c r="A206" s="5">
        <v>45993</v>
      </c>
      <c r="B206" t="s">
        <v>232</v>
      </c>
      <c r="C206" t="s">
        <v>481</v>
      </c>
      <c r="D206" s="6">
        <v>22042</v>
      </c>
      <c r="G206">
        <f>+_xlfn.XLOOKUP(F206,Listas!$B:$B,Listas!$A:$A,0,0)</f>
        <v>0</v>
      </c>
      <c r="H206">
        <f>+_xlfn.XLOOKUP(F206,Listas!$B:$B,Listas!$C:$C,0,0)</f>
        <v>0</v>
      </c>
    </row>
    <row r="207" spans="1:8" x14ac:dyDescent="0.5">
      <c r="A207" s="5">
        <v>45993</v>
      </c>
      <c r="B207" t="s">
        <v>232</v>
      </c>
      <c r="C207" t="s">
        <v>455</v>
      </c>
      <c r="D207" s="6">
        <v>402295</v>
      </c>
      <c r="G207">
        <f>+_xlfn.XLOOKUP(F207,Listas!$B:$B,Listas!$A:$A,0,0)</f>
        <v>0</v>
      </c>
      <c r="H207">
        <f>+_xlfn.XLOOKUP(F207,Listas!$B:$B,Listas!$C:$C,0,0)</f>
        <v>0</v>
      </c>
    </row>
    <row r="208" spans="1:8" x14ac:dyDescent="0.5">
      <c r="A208" s="5">
        <v>45993</v>
      </c>
      <c r="B208" t="s">
        <v>232</v>
      </c>
      <c r="C208" t="s">
        <v>481</v>
      </c>
      <c r="D208" s="6">
        <v>450366</v>
      </c>
      <c r="G208">
        <f>+_xlfn.XLOOKUP(F208,Listas!$B:$B,Listas!$A:$A,0,0)</f>
        <v>0</v>
      </c>
      <c r="H208">
        <f>+_xlfn.XLOOKUP(F208,Listas!$B:$B,Listas!$C:$C,0,0)</f>
        <v>0</v>
      </c>
    </row>
    <row r="209" spans="1:8" x14ac:dyDescent="0.5">
      <c r="A209" s="5">
        <v>45993</v>
      </c>
      <c r="B209" t="s">
        <v>232</v>
      </c>
      <c r="C209" t="s">
        <v>495</v>
      </c>
      <c r="D209" s="6">
        <v>575167</v>
      </c>
      <c r="G209">
        <f>+_xlfn.XLOOKUP(F209,Listas!$B:$B,Listas!$A:$A,0,0)</f>
        <v>0</v>
      </c>
      <c r="H209">
        <f>+_xlfn.XLOOKUP(F209,Listas!$B:$B,Listas!$C:$C,0,0)</f>
        <v>0</v>
      </c>
    </row>
    <row r="210" spans="1:8" x14ac:dyDescent="0.5">
      <c r="A210" s="5">
        <v>45993</v>
      </c>
      <c r="B210" t="s">
        <v>232</v>
      </c>
      <c r="C210" t="s">
        <v>508</v>
      </c>
      <c r="D210" s="6">
        <v>75000</v>
      </c>
      <c r="E210" t="s">
        <v>509</v>
      </c>
      <c r="G210">
        <f>+_xlfn.XLOOKUP(F210,Listas!$B:$B,Listas!$A:$A,0,0)</f>
        <v>0</v>
      </c>
      <c r="H210">
        <f>+_xlfn.XLOOKUP(F210,Listas!$B:$B,Listas!$C:$C,0,0)</f>
        <v>0</v>
      </c>
    </row>
    <row r="211" spans="1:8" x14ac:dyDescent="0.5">
      <c r="A211" s="5">
        <v>45995</v>
      </c>
      <c r="B211" t="s">
        <v>232</v>
      </c>
      <c r="C211" t="s">
        <v>433</v>
      </c>
      <c r="D211" s="6">
        <v>22600</v>
      </c>
      <c r="G211">
        <f>+_xlfn.XLOOKUP(F211,Listas!$B:$B,Listas!$A:$A,0,0)</f>
        <v>0</v>
      </c>
      <c r="H211">
        <f>+_xlfn.XLOOKUP(F211,Listas!$B:$B,Listas!$C:$C,0,0)</f>
        <v>0</v>
      </c>
    </row>
    <row r="212" spans="1:8" x14ac:dyDescent="0.5">
      <c r="A212" s="5">
        <v>46001</v>
      </c>
      <c r="B212" t="s">
        <v>232</v>
      </c>
      <c r="C212" t="s">
        <v>510</v>
      </c>
      <c r="D212" s="6">
        <v>50000</v>
      </c>
      <c r="E212" t="s">
        <v>511</v>
      </c>
      <c r="G212">
        <f>+_xlfn.XLOOKUP(F212,Listas!$B:$B,Listas!$A:$A,0,0)</f>
        <v>0</v>
      </c>
      <c r="H212">
        <f>+_xlfn.XLOOKUP(F212,Listas!$B:$B,Listas!$C:$C,0,0)</f>
        <v>0</v>
      </c>
    </row>
    <row r="213" spans="1:8" x14ac:dyDescent="0.5">
      <c r="A213" s="5">
        <v>46008</v>
      </c>
      <c r="B213" t="s">
        <v>232</v>
      </c>
      <c r="C213" t="s">
        <v>441</v>
      </c>
      <c r="D213" s="6">
        <v>27962</v>
      </c>
      <c r="G213">
        <f>+_xlfn.XLOOKUP(F213,Listas!$B:$B,Listas!$A:$A,0,0)</f>
        <v>0</v>
      </c>
      <c r="H213">
        <f>+_xlfn.XLOOKUP(F213,Listas!$B:$B,Listas!$C:$C,0,0)</f>
        <v>0</v>
      </c>
    </row>
    <row r="214" spans="1:8" x14ac:dyDescent="0.5">
      <c r="A214" s="5">
        <v>46008</v>
      </c>
      <c r="B214" t="s">
        <v>232</v>
      </c>
      <c r="C214" t="s">
        <v>512</v>
      </c>
      <c r="D214" s="6">
        <v>56440</v>
      </c>
      <c r="G214">
        <f>+_xlfn.XLOOKUP(F214,Listas!$B:$B,Listas!$A:$A,0,0)</f>
        <v>0</v>
      </c>
      <c r="H214">
        <f>+_xlfn.XLOOKUP(F214,Listas!$B:$B,Listas!$C:$C,0,0)</f>
        <v>0</v>
      </c>
    </row>
    <row r="215" spans="1:8" x14ac:dyDescent="0.5">
      <c r="A215" s="5">
        <v>46009</v>
      </c>
      <c r="B215" t="s">
        <v>232</v>
      </c>
      <c r="C215" t="s">
        <v>513</v>
      </c>
      <c r="D215" s="6">
        <v>21410</v>
      </c>
      <c r="G215">
        <f>+_xlfn.XLOOKUP(F215,Listas!$B:$B,Listas!$A:$A,0,0)</f>
        <v>0</v>
      </c>
      <c r="H215">
        <f>+_xlfn.XLOOKUP(F215,Listas!$B:$B,Listas!$C:$C,0,0)</f>
        <v>0</v>
      </c>
    </row>
    <row r="216" spans="1:8" x14ac:dyDescent="0.5">
      <c r="A216" s="5">
        <v>46010</v>
      </c>
      <c r="B216" t="s">
        <v>232</v>
      </c>
      <c r="C216" t="s">
        <v>514</v>
      </c>
      <c r="D216" s="6">
        <v>214500</v>
      </c>
      <c r="G216">
        <f>+_xlfn.XLOOKUP(F216,Listas!$B:$B,Listas!$A:$A,0,0)</f>
        <v>0</v>
      </c>
      <c r="H216">
        <f>+_xlfn.XLOOKUP(F216,Listas!$B:$B,Listas!$C:$C,0,0)</f>
        <v>0</v>
      </c>
    </row>
    <row r="217" spans="1:8" x14ac:dyDescent="0.5">
      <c r="A217" s="5">
        <v>46013</v>
      </c>
      <c r="B217" t="s">
        <v>232</v>
      </c>
      <c r="C217" t="s">
        <v>515</v>
      </c>
      <c r="D217" s="6">
        <v>3600</v>
      </c>
      <c r="G217">
        <f>+_xlfn.XLOOKUP(F217,Listas!$B:$B,Listas!$A:$A,0,0)</f>
        <v>0</v>
      </c>
      <c r="H217">
        <f>+_xlfn.XLOOKUP(F217,Listas!$B:$B,Listas!$C:$C,0,0)</f>
        <v>0</v>
      </c>
    </row>
    <row r="218" spans="1:8" x14ac:dyDescent="0.5">
      <c r="A218" s="5">
        <v>46021</v>
      </c>
      <c r="B218" t="s">
        <v>232</v>
      </c>
      <c r="C218" t="s">
        <v>507</v>
      </c>
      <c r="D218" s="6">
        <v>73114</v>
      </c>
      <c r="G218">
        <f>+_xlfn.XLOOKUP(F218,Listas!$B:$B,Listas!$A:$A,0,0)</f>
        <v>0</v>
      </c>
      <c r="H218">
        <f>+_xlfn.XLOOKUP(F218,Listas!$B:$B,Listas!$C:$C,0,0)</f>
        <v>0</v>
      </c>
    </row>
    <row r="219" spans="1:8" x14ac:dyDescent="0.5">
      <c r="A219" s="5">
        <v>46024</v>
      </c>
      <c r="B219" t="s">
        <v>552</v>
      </c>
      <c r="C219" t="s">
        <v>480</v>
      </c>
      <c r="D219" s="6">
        <v>100000</v>
      </c>
      <c r="G219">
        <f>+_xlfn.XLOOKUP(F219,Listas!$B:$B,Listas!$A:$A,0,0)</f>
        <v>0</v>
      </c>
      <c r="H219">
        <f>+_xlfn.XLOOKUP(F219,Listas!$B:$B,Listas!$C:$C,0,0)</f>
        <v>0</v>
      </c>
    </row>
    <row r="220" spans="1:8" x14ac:dyDescent="0.5">
      <c r="A220" s="5">
        <v>46024</v>
      </c>
      <c r="B220" t="s">
        <v>552</v>
      </c>
      <c r="C220" t="s">
        <v>581</v>
      </c>
      <c r="D220" s="6">
        <v>100000</v>
      </c>
      <c r="G220">
        <f>+_xlfn.XLOOKUP(F220,Listas!$B:$B,Listas!$A:$A,0,0)</f>
        <v>0</v>
      </c>
      <c r="H220">
        <f>+_xlfn.XLOOKUP(F220,Listas!$B:$B,Listas!$C:$C,0,0)</f>
        <v>0</v>
      </c>
    </row>
    <row r="221" spans="1:8" x14ac:dyDescent="0.5">
      <c r="A221" s="5">
        <v>46024</v>
      </c>
      <c r="B221" t="s">
        <v>552</v>
      </c>
      <c r="C221" t="s">
        <v>581</v>
      </c>
      <c r="D221" s="6">
        <v>100000</v>
      </c>
      <c r="G221">
        <f>+_xlfn.XLOOKUP(F221,Listas!$B:$B,Listas!$A:$A,0,0)</f>
        <v>0</v>
      </c>
      <c r="H221">
        <f>+_xlfn.XLOOKUP(F221,Listas!$B:$B,Listas!$C:$C,0,0)</f>
        <v>0</v>
      </c>
    </row>
    <row r="222" spans="1:8" x14ac:dyDescent="0.5">
      <c r="A222" s="5">
        <v>46024</v>
      </c>
      <c r="B222" t="s">
        <v>552</v>
      </c>
      <c r="C222" t="s">
        <v>481</v>
      </c>
      <c r="D222" s="6">
        <v>200000</v>
      </c>
      <c r="G222">
        <f>+_xlfn.XLOOKUP(F222,Listas!$B:$B,Listas!$A:$A,0,0)</f>
        <v>0</v>
      </c>
      <c r="H222">
        <f>+_xlfn.XLOOKUP(F222,Listas!$B:$B,Listas!$C:$C,0,0)</f>
        <v>0</v>
      </c>
    </row>
    <row r="223" spans="1:8" x14ac:dyDescent="0.5">
      <c r="A223" s="5">
        <v>46024</v>
      </c>
      <c r="B223" t="s">
        <v>552</v>
      </c>
      <c r="C223" t="s">
        <v>480</v>
      </c>
      <c r="D223" s="6">
        <v>25000</v>
      </c>
      <c r="G223">
        <f>+_xlfn.XLOOKUP(F223,Listas!$B:$B,Listas!$A:$A,0,0)</f>
        <v>0</v>
      </c>
      <c r="H223">
        <f>+_xlfn.XLOOKUP(F223,Listas!$B:$B,Listas!$C:$C,0,0)</f>
        <v>0</v>
      </c>
    </row>
    <row r="224" spans="1:8" x14ac:dyDescent="0.5">
      <c r="A224" s="5">
        <v>46024</v>
      </c>
      <c r="B224" t="s">
        <v>552</v>
      </c>
      <c r="C224" t="s">
        <v>582</v>
      </c>
      <c r="D224" s="6">
        <v>35000</v>
      </c>
      <c r="G224">
        <f>+_xlfn.XLOOKUP(F224,Listas!$B:$B,Listas!$A:$A,0,0)</f>
        <v>0</v>
      </c>
      <c r="H224">
        <f>+_xlfn.XLOOKUP(F224,Listas!$B:$B,Listas!$C:$C,0,0)</f>
        <v>0</v>
      </c>
    </row>
    <row r="225" spans="1:8" x14ac:dyDescent="0.5">
      <c r="A225" s="5">
        <v>46024</v>
      </c>
      <c r="B225" t="s">
        <v>552</v>
      </c>
      <c r="C225" t="s">
        <v>430</v>
      </c>
      <c r="D225" s="6">
        <v>416940</v>
      </c>
      <c r="G225">
        <f>+_xlfn.XLOOKUP(F225,Listas!$B:$B,Listas!$A:$A,0,0)</f>
        <v>0</v>
      </c>
      <c r="H225">
        <f>+_xlfn.XLOOKUP(F225,Listas!$B:$B,Listas!$C:$C,0,0)</f>
        <v>0</v>
      </c>
    </row>
    <row r="226" spans="1:8" x14ac:dyDescent="0.5">
      <c r="A226" s="5">
        <v>46024</v>
      </c>
      <c r="B226" t="s">
        <v>552</v>
      </c>
      <c r="C226" t="s">
        <v>455</v>
      </c>
      <c r="D226" s="6">
        <v>45230</v>
      </c>
      <c r="G226">
        <f>+_xlfn.XLOOKUP(F226,Listas!$B:$B,Listas!$A:$A,0,0)</f>
        <v>0</v>
      </c>
      <c r="H226">
        <f>+_xlfn.XLOOKUP(F226,Listas!$B:$B,Listas!$C:$C,0,0)</f>
        <v>0</v>
      </c>
    </row>
    <row r="227" spans="1:8" x14ac:dyDescent="0.5">
      <c r="A227" s="5">
        <v>46024</v>
      </c>
      <c r="B227" t="s">
        <v>552</v>
      </c>
      <c r="C227" t="s">
        <v>583</v>
      </c>
      <c r="D227" s="6">
        <v>50000</v>
      </c>
      <c r="G227">
        <f>+_xlfn.XLOOKUP(F227,Listas!$B:$B,Listas!$A:$A,0,0)</f>
        <v>0</v>
      </c>
      <c r="H227">
        <f>+_xlfn.XLOOKUP(F227,Listas!$B:$B,Listas!$C:$C,0,0)</f>
        <v>0</v>
      </c>
    </row>
    <row r="228" spans="1:8" x14ac:dyDescent="0.5">
      <c r="A228" s="5">
        <v>46024</v>
      </c>
      <c r="B228" t="s">
        <v>552</v>
      </c>
      <c r="C228" t="s">
        <v>481</v>
      </c>
      <c r="D228" s="6">
        <v>540439</v>
      </c>
      <c r="G228">
        <f>+_xlfn.XLOOKUP(F228,Listas!$B:$B,Listas!$A:$A,0,0)</f>
        <v>0</v>
      </c>
      <c r="H228">
        <f>+_xlfn.XLOOKUP(F228,Listas!$B:$B,Listas!$C:$C,0,0)</f>
        <v>0</v>
      </c>
    </row>
    <row r="229" spans="1:8" x14ac:dyDescent="0.5">
      <c r="A229" s="5">
        <v>46024</v>
      </c>
      <c r="B229" t="s">
        <v>552</v>
      </c>
      <c r="C229" t="s">
        <v>395</v>
      </c>
      <c r="D229" s="6">
        <v>58790</v>
      </c>
      <c r="G229">
        <f>+_xlfn.XLOOKUP(F229,Listas!$B:$B,Listas!$A:$A,0,0)</f>
        <v>0</v>
      </c>
      <c r="H229">
        <f>+_xlfn.XLOOKUP(F229,Listas!$B:$B,Listas!$C:$C,0,0)</f>
        <v>0</v>
      </c>
    </row>
    <row r="230" spans="1:8" x14ac:dyDescent="0.5">
      <c r="A230" s="5">
        <v>46024</v>
      </c>
      <c r="B230" t="s">
        <v>552</v>
      </c>
      <c r="C230" t="s">
        <v>584</v>
      </c>
      <c r="D230" s="6">
        <v>93089</v>
      </c>
      <c r="G230">
        <f>+_xlfn.XLOOKUP(F230,Listas!$B:$B,Listas!$A:$A,0,0)</f>
        <v>0</v>
      </c>
      <c r="H230">
        <f>+_xlfn.XLOOKUP(F230,Listas!$B:$B,Listas!$C:$C,0,0)</f>
        <v>0</v>
      </c>
    </row>
    <row r="231" spans="1:8" x14ac:dyDescent="0.5">
      <c r="A231" s="5">
        <v>46027</v>
      </c>
      <c r="B231" t="s">
        <v>552</v>
      </c>
      <c r="C231" t="s">
        <v>585</v>
      </c>
      <c r="D231" s="6">
        <v>200000</v>
      </c>
      <c r="G231">
        <f>+_xlfn.XLOOKUP(F231,Listas!$B:$B,Listas!$A:$A,0,0)</f>
        <v>0</v>
      </c>
      <c r="H231">
        <f>+_xlfn.XLOOKUP(F231,Listas!$B:$B,Listas!$C:$C,0,0)</f>
        <v>0</v>
      </c>
    </row>
    <row r="232" spans="1:8" x14ac:dyDescent="0.5">
      <c r="A232" s="5">
        <v>46027</v>
      </c>
      <c r="B232" t="s">
        <v>552</v>
      </c>
      <c r="C232" t="s">
        <v>586</v>
      </c>
      <c r="D232" s="6">
        <v>412752</v>
      </c>
      <c r="G232">
        <f>+_xlfn.XLOOKUP(F232,Listas!$B:$B,Listas!$A:$A,0,0)</f>
        <v>0</v>
      </c>
      <c r="H232">
        <f>+_xlfn.XLOOKUP(F232,Listas!$B:$B,Listas!$C:$C,0,0)</f>
        <v>0</v>
      </c>
    </row>
    <row r="233" spans="1:8" x14ac:dyDescent="0.5">
      <c r="A233" s="5">
        <v>46028</v>
      </c>
      <c r="B233" t="s">
        <v>552</v>
      </c>
      <c r="C233" t="s">
        <v>587</v>
      </c>
      <c r="D233" s="6">
        <v>104280</v>
      </c>
      <c r="G233">
        <f>+_xlfn.XLOOKUP(F233,Listas!$B:$B,Listas!$A:$A,0,0)</f>
        <v>0</v>
      </c>
      <c r="H233">
        <f>+_xlfn.XLOOKUP(F233,Listas!$B:$B,Listas!$C:$C,0,0)</f>
        <v>0</v>
      </c>
    </row>
    <row r="234" spans="1:8" x14ac:dyDescent="0.5">
      <c r="A234" s="5">
        <v>46028</v>
      </c>
      <c r="B234" t="s">
        <v>552</v>
      </c>
      <c r="C234" t="s">
        <v>588</v>
      </c>
      <c r="D234" s="6">
        <v>12100</v>
      </c>
      <c r="G234">
        <f>+_xlfn.XLOOKUP(F234,Listas!$B:$B,Listas!$A:$A,0,0)</f>
        <v>0</v>
      </c>
      <c r="H234">
        <f>+_xlfn.XLOOKUP(F234,Listas!$B:$B,Listas!$C:$C,0,0)</f>
        <v>0</v>
      </c>
    </row>
    <row r="235" spans="1:8" x14ac:dyDescent="0.5">
      <c r="A235" s="5">
        <v>46028</v>
      </c>
      <c r="B235" t="s">
        <v>552</v>
      </c>
      <c r="C235" t="s">
        <v>587</v>
      </c>
      <c r="D235" s="6">
        <v>425700</v>
      </c>
      <c r="G235">
        <f>+_xlfn.XLOOKUP(F235,Listas!$B:$B,Listas!$A:$A,0,0)</f>
        <v>0</v>
      </c>
      <c r="H235">
        <f>+_xlfn.XLOOKUP(F235,Listas!$B:$B,Listas!$C:$C,0,0)</f>
        <v>0</v>
      </c>
    </row>
    <row r="236" spans="1:8" x14ac:dyDescent="0.5">
      <c r="A236" s="5">
        <v>46029</v>
      </c>
      <c r="B236" t="s">
        <v>552</v>
      </c>
      <c r="C236" t="s">
        <v>589</v>
      </c>
      <c r="D236" s="6">
        <v>18150</v>
      </c>
      <c r="G236">
        <f>+_xlfn.XLOOKUP(F236,Listas!$B:$B,Listas!$A:$A,0,0)</f>
        <v>0</v>
      </c>
      <c r="H236">
        <f>+_xlfn.XLOOKUP(F236,Listas!$B:$B,Listas!$C:$C,0,0)</f>
        <v>0</v>
      </c>
    </row>
    <row r="237" spans="1:8" x14ac:dyDescent="0.5">
      <c r="A237" s="5">
        <v>46029</v>
      </c>
      <c r="B237" t="s">
        <v>552</v>
      </c>
      <c r="C237" t="s">
        <v>590</v>
      </c>
      <c r="D237" s="6">
        <v>2070</v>
      </c>
      <c r="G237">
        <f>+_xlfn.XLOOKUP(F237,Listas!$B:$B,Listas!$A:$A,0,0)</f>
        <v>0</v>
      </c>
      <c r="H237">
        <f>+_xlfn.XLOOKUP(F237,Listas!$B:$B,Listas!$C:$C,0,0)</f>
        <v>0</v>
      </c>
    </row>
    <row r="238" spans="1:8" x14ac:dyDescent="0.5">
      <c r="A238" s="5">
        <v>46030</v>
      </c>
      <c r="B238" t="s">
        <v>552</v>
      </c>
      <c r="C238" t="s">
        <v>591</v>
      </c>
      <c r="D238" s="6">
        <v>18390</v>
      </c>
      <c r="G238">
        <f>+_xlfn.XLOOKUP(F238,Listas!$B:$B,Listas!$A:$A,0,0)</f>
        <v>0</v>
      </c>
      <c r="H238">
        <f>+_xlfn.XLOOKUP(F238,Listas!$B:$B,Listas!$C:$C,0,0)</f>
        <v>0</v>
      </c>
    </row>
    <row r="239" spans="1:8" x14ac:dyDescent="0.5">
      <c r="A239" s="5">
        <v>46030</v>
      </c>
      <c r="B239" t="s">
        <v>552</v>
      </c>
      <c r="C239" t="s">
        <v>433</v>
      </c>
      <c r="D239" s="6">
        <v>32123</v>
      </c>
      <c r="G239">
        <f>+_xlfn.XLOOKUP(F239,Listas!$B:$B,Listas!$A:$A,0,0)</f>
        <v>0</v>
      </c>
      <c r="H239">
        <f>+_xlfn.XLOOKUP(F239,Listas!$B:$B,Listas!$C:$C,0,0)</f>
        <v>0</v>
      </c>
    </row>
    <row r="240" spans="1:8" x14ac:dyDescent="0.5">
      <c r="A240" s="5">
        <v>46031</v>
      </c>
      <c r="B240" t="s">
        <v>552</v>
      </c>
      <c r="C240" t="s">
        <v>474</v>
      </c>
      <c r="D240" s="6">
        <v>250000</v>
      </c>
      <c r="G240">
        <f>+_xlfn.XLOOKUP(F240,Listas!$B:$B,Listas!$A:$A,0,0)</f>
        <v>0</v>
      </c>
      <c r="H240">
        <f>+_xlfn.XLOOKUP(F240,Listas!$B:$B,Listas!$C:$C,0,0)</f>
        <v>0</v>
      </c>
    </row>
    <row r="241" spans="1:8" x14ac:dyDescent="0.5">
      <c r="A241" s="5">
        <v>46031</v>
      </c>
      <c r="B241" t="s">
        <v>552</v>
      </c>
      <c r="C241" t="s">
        <v>594</v>
      </c>
      <c r="D241" s="6">
        <v>5000</v>
      </c>
      <c r="G241">
        <f>+_xlfn.XLOOKUP(F241,Listas!$B:$B,Listas!$A:$A,0,0)</f>
        <v>0</v>
      </c>
      <c r="H241">
        <f>+_xlfn.XLOOKUP(F241,Listas!$B:$B,Listas!$C:$C,0,0)</f>
        <v>0</v>
      </c>
    </row>
    <row r="242" spans="1:8" x14ac:dyDescent="0.5">
      <c r="A242" s="5">
        <v>46037</v>
      </c>
      <c r="B242" t="s">
        <v>552</v>
      </c>
      <c r="C242" t="s">
        <v>595</v>
      </c>
      <c r="D242" s="6">
        <v>64450</v>
      </c>
      <c r="G242">
        <f>+_xlfn.XLOOKUP(F242,Listas!$B:$B,Listas!$A:$A,0,0)</f>
        <v>0</v>
      </c>
      <c r="H242">
        <f>+_xlfn.XLOOKUP(F242,Listas!$B:$B,Listas!$C:$C,0,0)</f>
        <v>0</v>
      </c>
    </row>
    <row r="243" spans="1:8" x14ac:dyDescent="0.5">
      <c r="A243" s="5">
        <v>46037</v>
      </c>
      <c r="B243" t="s">
        <v>552</v>
      </c>
      <c r="C243" t="s">
        <v>596</v>
      </c>
      <c r="D243" s="6">
        <v>743750</v>
      </c>
      <c r="E243" t="s">
        <v>597</v>
      </c>
      <c r="G243">
        <f>+_xlfn.XLOOKUP(F243,Listas!$B:$B,Listas!$A:$A,0,0)</f>
        <v>0</v>
      </c>
      <c r="H243">
        <f>+_xlfn.XLOOKUP(F243,Listas!$B:$B,Listas!$C:$C,0,0)</f>
        <v>0</v>
      </c>
    </row>
    <row r="244" spans="1:8" x14ac:dyDescent="0.5">
      <c r="A244" s="5">
        <v>46038</v>
      </c>
      <c r="B244" t="s">
        <v>552</v>
      </c>
      <c r="C244" t="s">
        <v>598</v>
      </c>
      <c r="D244" s="6">
        <v>1850</v>
      </c>
      <c r="G244">
        <f>+_xlfn.XLOOKUP(F244,Listas!$B:$B,Listas!$A:$A,0,0)</f>
        <v>0</v>
      </c>
      <c r="H244">
        <f>+_xlfn.XLOOKUP(F244,Listas!$B:$B,Listas!$C:$C,0,0)</f>
        <v>0</v>
      </c>
    </row>
    <row r="245" spans="1:8" x14ac:dyDescent="0.5">
      <c r="A245" s="5">
        <v>46038</v>
      </c>
      <c r="B245" t="s">
        <v>552</v>
      </c>
      <c r="C245" t="s">
        <v>599</v>
      </c>
      <c r="D245" s="6">
        <v>69751</v>
      </c>
      <c r="G245">
        <f>+_xlfn.XLOOKUP(F245,Listas!$B:$B,Listas!$A:$A,0,0)</f>
        <v>0</v>
      </c>
      <c r="H245">
        <f>+_xlfn.XLOOKUP(F245,Listas!$B:$B,Listas!$C:$C,0,0)</f>
        <v>0</v>
      </c>
    </row>
    <row r="246" spans="1:8" x14ac:dyDescent="0.5">
      <c r="A246" s="5">
        <v>46038</v>
      </c>
      <c r="B246" t="s">
        <v>552</v>
      </c>
      <c r="C246" t="s">
        <v>600</v>
      </c>
      <c r="D246" s="6">
        <v>72885</v>
      </c>
      <c r="G246">
        <f>+_xlfn.XLOOKUP(F246,Listas!$B:$B,Listas!$A:$A,0,0)</f>
        <v>0</v>
      </c>
      <c r="H246">
        <f>+_xlfn.XLOOKUP(F246,Listas!$B:$B,Listas!$C:$C,0,0)</f>
        <v>0</v>
      </c>
    </row>
    <row r="247" spans="1:8" x14ac:dyDescent="0.5">
      <c r="A247" s="5">
        <v>46041</v>
      </c>
      <c r="B247" t="s">
        <v>552</v>
      </c>
      <c r="C247" t="s">
        <v>601</v>
      </c>
      <c r="D247" s="6">
        <v>37400</v>
      </c>
      <c r="G247">
        <f>+_xlfn.XLOOKUP(F247,Listas!$B:$B,Listas!$A:$A,0,0)</f>
        <v>0</v>
      </c>
      <c r="H247">
        <f>+_xlfn.XLOOKUP(F247,Listas!$B:$B,Listas!$C:$C,0,0)</f>
        <v>0</v>
      </c>
    </row>
    <row r="248" spans="1:8" x14ac:dyDescent="0.5">
      <c r="A248" s="5">
        <v>46042</v>
      </c>
      <c r="B248" t="s">
        <v>552</v>
      </c>
      <c r="C248" t="s">
        <v>602</v>
      </c>
      <c r="D248" s="6">
        <v>13599</v>
      </c>
      <c r="G248">
        <f>+_xlfn.XLOOKUP(F248,Listas!$B:$B,Listas!$A:$A,0,0)</f>
        <v>0</v>
      </c>
      <c r="H248">
        <f>+_xlfn.XLOOKUP(F248,Listas!$B:$B,Listas!$C:$C,0,0)</f>
        <v>0</v>
      </c>
    </row>
    <row r="249" spans="1:8" x14ac:dyDescent="0.5">
      <c r="A249" s="5">
        <v>46042</v>
      </c>
      <c r="B249" t="s">
        <v>552</v>
      </c>
      <c r="C249" t="s">
        <v>603</v>
      </c>
      <c r="D249" s="6">
        <v>300000</v>
      </c>
      <c r="G249">
        <f>+_xlfn.XLOOKUP(F249,Listas!$B:$B,Listas!$A:$A,0,0)</f>
        <v>0</v>
      </c>
      <c r="H249">
        <f>+_xlfn.XLOOKUP(F249,Listas!$B:$B,Listas!$C:$C,0,0)</f>
        <v>0</v>
      </c>
    </row>
    <row r="250" spans="1:8" x14ac:dyDescent="0.5">
      <c r="A250" s="5">
        <v>46042</v>
      </c>
      <c r="B250" t="s">
        <v>552</v>
      </c>
      <c r="C250" t="s">
        <v>599</v>
      </c>
      <c r="D250" s="6">
        <v>63217</v>
      </c>
      <c r="G250">
        <f>+_xlfn.XLOOKUP(F250,Listas!$B:$B,Listas!$A:$A,0,0)</f>
        <v>0</v>
      </c>
      <c r="H250">
        <f>+_xlfn.XLOOKUP(F250,Listas!$B:$B,Listas!$C:$C,0,0)</f>
        <v>0</v>
      </c>
    </row>
    <row r="251" spans="1:8" x14ac:dyDescent="0.5">
      <c r="A251" s="5">
        <v>46043</v>
      </c>
      <c r="B251" t="s">
        <v>552</v>
      </c>
      <c r="C251" t="s">
        <v>604</v>
      </c>
      <c r="D251" s="6">
        <v>214500</v>
      </c>
      <c r="G251">
        <f>+_xlfn.XLOOKUP(F251,Listas!$B:$B,Listas!$A:$A,0,0)</f>
        <v>0</v>
      </c>
      <c r="H251">
        <f>+_xlfn.XLOOKUP(F251,Listas!$B:$B,Listas!$C:$C,0,0)</f>
        <v>0</v>
      </c>
    </row>
    <row r="252" spans="1:8" x14ac:dyDescent="0.5">
      <c r="A252" s="5">
        <v>46043</v>
      </c>
      <c r="B252" t="s">
        <v>552</v>
      </c>
      <c r="C252" t="s">
        <v>605</v>
      </c>
      <c r="D252" s="6">
        <v>25380</v>
      </c>
      <c r="G252">
        <f>+_xlfn.XLOOKUP(F252,Listas!$B:$B,Listas!$A:$A,0,0)</f>
        <v>0</v>
      </c>
      <c r="H252">
        <f>+_xlfn.XLOOKUP(F252,Listas!$B:$B,Listas!$C:$C,0,0)</f>
        <v>0</v>
      </c>
    </row>
    <row r="253" spans="1:8" x14ac:dyDescent="0.5">
      <c r="A253" s="5">
        <v>46044</v>
      </c>
      <c r="B253" t="s">
        <v>552</v>
      </c>
      <c r="C253" t="s">
        <v>606</v>
      </c>
      <c r="D253" s="6">
        <v>19990</v>
      </c>
      <c r="G253">
        <f>+_xlfn.XLOOKUP(F253,Listas!$B:$B,Listas!$A:$A,0,0)</f>
        <v>0</v>
      </c>
      <c r="H253">
        <f>+_xlfn.XLOOKUP(F253,Listas!$B:$B,Listas!$C:$C,0,0)</f>
        <v>0</v>
      </c>
    </row>
    <row r="254" spans="1:8" x14ac:dyDescent="0.5">
      <c r="A254" s="5">
        <v>46044</v>
      </c>
      <c r="B254" t="s">
        <v>552</v>
      </c>
      <c r="C254" t="s">
        <v>607</v>
      </c>
      <c r="D254" s="6">
        <v>4800</v>
      </c>
      <c r="G254">
        <f>+_xlfn.XLOOKUP(F254,Listas!$B:$B,Listas!$A:$A,0,0)</f>
        <v>0</v>
      </c>
      <c r="H254">
        <f>+_xlfn.XLOOKUP(F254,Listas!$B:$B,Listas!$C:$C,0,0)</f>
        <v>0</v>
      </c>
    </row>
    <row r="255" spans="1:8" x14ac:dyDescent="0.5">
      <c r="A255" s="5">
        <v>46055</v>
      </c>
      <c r="B255" t="s">
        <v>560</v>
      </c>
      <c r="C255" t="s">
        <v>582</v>
      </c>
      <c r="D255" s="6">
        <v>100000</v>
      </c>
      <c r="G255">
        <f>+_xlfn.XLOOKUP(F255,Listas!$B:$B,Listas!$A:$A,0,0)</f>
        <v>0</v>
      </c>
      <c r="H255">
        <f>+_xlfn.XLOOKUP(F255,Listas!$B:$B,Listas!$C:$C,0,0)</f>
        <v>0</v>
      </c>
    </row>
    <row r="256" spans="1:8" x14ac:dyDescent="0.5">
      <c r="A256" s="5">
        <v>46055</v>
      </c>
      <c r="B256" t="s">
        <v>560</v>
      </c>
      <c r="C256" t="s">
        <v>583</v>
      </c>
      <c r="D256" s="6">
        <v>100000</v>
      </c>
      <c r="G256">
        <f>+_xlfn.XLOOKUP(F256,Listas!$B:$B,Listas!$A:$A,0,0)</f>
        <v>0</v>
      </c>
      <c r="H256">
        <f>+_xlfn.XLOOKUP(F256,Listas!$B:$B,Listas!$C:$C,0,0)</f>
        <v>0</v>
      </c>
    </row>
    <row r="257" spans="1:8" x14ac:dyDescent="0.5">
      <c r="A257" s="5">
        <v>46055</v>
      </c>
      <c r="B257" t="s">
        <v>560</v>
      </c>
      <c r="C257" t="s">
        <v>581</v>
      </c>
      <c r="D257" s="6">
        <v>135000</v>
      </c>
      <c r="G257">
        <f>+_xlfn.XLOOKUP(F257,Listas!$B:$B,Listas!$A:$A,0,0)</f>
        <v>0</v>
      </c>
      <c r="H257">
        <f>+_xlfn.XLOOKUP(F257,Listas!$B:$B,Listas!$C:$C,0,0)</f>
        <v>0</v>
      </c>
    </row>
    <row r="258" spans="1:8" x14ac:dyDescent="0.5">
      <c r="A258" s="5">
        <v>46055</v>
      </c>
      <c r="B258" t="s">
        <v>560</v>
      </c>
      <c r="C258" t="s">
        <v>608</v>
      </c>
      <c r="D258" s="6">
        <v>25650</v>
      </c>
      <c r="G258">
        <f>+_xlfn.XLOOKUP(F258,Listas!$B:$B,Listas!$A:$A,0,0)</f>
        <v>0</v>
      </c>
      <c r="H258">
        <f>+_xlfn.XLOOKUP(F258,Listas!$B:$B,Listas!$C:$C,0,0)</f>
        <v>0</v>
      </c>
    </row>
    <row r="259" spans="1:8" x14ac:dyDescent="0.5">
      <c r="A259" s="5">
        <v>46055</v>
      </c>
      <c r="B259" t="s">
        <v>560</v>
      </c>
      <c r="C259" t="s">
        <v>480</v>
      </c>
      <c r="D259" s="6">
        <v>53438</v>
      </c>
      <c r="G259">
        <f>+_xlfn.XLOOKUP(F259,Listas!$B:$B,Listas!$A:$A,0,0)</f>
        <v>0</v>
      </c>
      <c r="H259">
        <f>+_xlfn.XLOOKUP(F259,Listas!$B:$B,Listas!$C:$C,0,0)</f>
        <v>0</v>
      </c>
    </row>
    <row r="260" spans="1:8" x14ac:dyDescent="0.5">
      <c r="A260" s="5">
        <v>46055</v>
      </c>
      <c r="B260" t="s">
        <v>560</v>
      </c>
      <c r="C260" t="s">
        <v>481</v>
      </c>
      <c r="D260" s="6">
        <v>650655</v>
      </c>
      <c r="G260">
        <f>+_xlfn.XLOOKUP(F260,Listas!$B:$B,Listas!$A:$A,0,0)</f>
        <v>0</v>
      </c>
      <c r="H260">
        <f>+_xlfn.XLOOKUP(F260,Listas!$B:$B,Listas!$C:$C,0,0)</f>
        <v>0</v>
      </c>
    </row>
    <row r="261" spans="1:8" x14ac:dyDescent="0.5">
      <c r="A261" s="5">
        <v>46055</v>
      </c>
      <c r="B261" t="s">
        <v>560</v>
      </c>
      <c r="C261" t="s">
        <v>609</v>
      </c>
      <c r="D261" s="6">
        <v>67065</v>
      </c>
      <c r="G261">
        <f>+_xlfn.XLOOKUP(F261,Listas!$B:$B,Listas!$A:$A,0,0)</f>
        <v>0</v>
      </c>
      <c r="H261">
        <f>+_xlfn.XLOOKUP(F261,Listas!$B:$B,Listas!$C:$C,0,0)</f>
        <v>0</v>
      </c>
    </row>
    <row r="262" spans="1:8" x14ac:dyDescent="0.5">
      <c r="A262" s="5">
        <v>46055</v>
      </c>
      <c r="B262" t="s">
        <v>560</v>
      </c>
      <c r="C262" t="s">
        <v>584</v>
      </c>
      <c r="D262" s="6">
        <v>90135</v>
      </c>
      <c r="G262">
        <f>+_xlfn.XLOOKUP(F262,Listas!$B:$B,Listas!$A:$A,0,0)</f>
        <v>0</v>
      </c>
      <c r="H262">
        <f>+_xlfn.XLOOKUP(F262,Listas!$B:$B,Listas!$C:$C,0,0)</f>
        <v>0</v>
      </c>
    </row>
    <row r="263" spans="1:8" x14ac:dyDescent="0.5">
      <c r="A263" s="5">
        <v>46056</v>
      </c>
      <c r="B263" t="s">
        <v>560</v>
      </c>
      <c r="C263" t="s">
        <v>610</v>
      </c>
      <c r="D263" s="6">
        <v>25650</v>
      </c>
      <c r="G263">
        <f>+_xlfn.XLOOKUP(F263,Listas!$B:$B,Listas!$A:$A,0,0)</f>
        <v>0</v>
      </c>
      <c r="H263">
        <f>+_xlfn.XLOOKUP(F263,Listas!$B:$B,Listas!$C:$C,0,0)</f>
        <v>0</v>
      </c>
    </row>
    <row r="264" spans="1:8" x14ac:dyDescent="0.5">
      <c r="A264" s="5">
        <v>46057</v>
      </c>
      <c r="B264" t="s">
        <v>560</v>
      </c>
      <c r="C264" t="s">
        <v>596</v>
      </c>
      <c r="D264" s="6">
        <v>743750</v>
      </c>
      <c r="E264" t="s">
        <v>597</v>
      </c>
      <c r="G264">
        <f>+_xlfn.XLOOKUP(F264,Listas!$B:$B,Listas!$A:$A,0,0)</f>
        <v>0</v>
      </c>
      <c r="H264">
        <f>+_xlfn.XLOOKUP(F264,Listas!$B:$B,Listas!$C:$C,0,0)</f>
        <v>0</v>
      </c>
    </row>
    <row r="265" spans="1:8" x14ac:dyDescent="0.5">
      <c r="A265" s="5">
        <v>46063</v>
      </c>
      <c r="B265" t="s">
        <v>560</v>
      </c>
      <c r="C265" t="s">
        <v>594</v>
      </c>
      <c r="D265" s="6">
        <v>5000</v>
      </c>
      <c r="G265">
        <f>+_xlfn.XLOOKUP(F265,Listas!$B:$B,Listas!$A:$A,0,0)</f>
        <v>0</v>
      </c>
      <c r="H265">
        <f>+_xlfn.XLOOKUP(F265,Listas!$B:$B,Listas!$C:$C,0,0)</f>
        <v>0</v>
      </c>
    </row>
    <row r="266" spans="1:8" x14ac:dyDescent="0.5">
      <c r="A266" s="5">
        <v>46073</v>
      </c>
      <c r="B266" t="s">
        <v>560</v>
      </c>
      <c r="C266" t="s">
        <v>498</v>
      </c>
      <c r="D266" s="6">
        <v>4170</v>
      </c>
      <c r="G266">
        <f>+_xlfn.XLOOKUP(F266,Listas!$B:$B,Listas!$A:$A,0,0)</f>
        <v>0</v>
      </c>
      <c r="H266">
        <f>+_xlfn.XLOOKUP(F266,Listas!$B:$B,Listas!$C:$C,0,0)</f>
        <v>0</v>
      </c>
    </row>
    <row r="267" spans="1:8" x14ac:dyDescent="0.5">
      <c r="A267" s="5">
        <v>46078</v>
      </c>
      <c r="B267" t="s">
        <v>560</v>
      </c>
      <c r="C267" t="s">
        <v>430</v>
      </c>
      <c r="D267" s="6">
        <v>15930</v>
      </c>
      <c r="G267">
        <f>+_xlfn.XLOOKUP(F267,Listas!$B:$B,Listas!$A:$A,0,0)</f>
        <v>0</v>
      </c>
      <c r="H267">
        <f>+_xlfn.XLOOKUP(F267,Listas!$B:$B,Listas!$C:$C,0,0)</f>
        <v>0</v>
      </c>
    </row>
    <row r="268" spans="1:8" x14ac:dyDescent="0.5">
      <c r="A268" s="5">
        <v>46078</v>
      </c>
      <c r="B268" t="s">
        <v>560</v>
      </c>
      <c r="C268" t="s">
        <v>612</v>
      </c>
      <c r="D268" s="6">
        <v>45839</v>
      </c>
      <c r="G268">
        <f>+_xlfn.XLOOKUP(F268,Listas!$B:$B,Listas!$A:$A,0,0)</f>
        <v>0</v>
      </c>
      <c r="H268">
        <f>+_xlfn.XLOOKUP(F268,Listas!$B:$B,Listas!$C:$C,0,0)</f>
        <v>0</v>
      </c>
    </row>
    <row r="269" spans="1:8" x14ac:dyDescent="0.5">
      <c r="A269" s="5">
        <v>46079</v>
      </c>
      <c r="B269" t="s">
        <v>560</v>
      </c>
      <c r="C269" t="s">
        <v>613</v>
      </c>
      <c r="D269" s="6">
        <v>39024</v>
      </c>
      <c r="G269">
        <f>+_xlfn.XLOOKUP(F269,Listas!$B:$B,Listas!$A:$A,0,0)</f>
        <v>0</v>
      </c>
      <c r="H269">
        <f>+_xlfn.XLOOKUP(F269,Listas!$B:$B,Listas!$C:$C,0,0)</f>
        <v>0</v>
      </c>
    </row>
    <row r="270" spans="1:8" x14ac:dyDescent="0.5">
      <c r="A270" s="5">
        <v>46079</v>
      </c>
      <c r="B270" t="s">
        <v>560</v>
      </c>
      <c r="C270" t="s">
        <v>614</v>
      </c>
      <c r="D270" s="6">
        <v>5681</v>
      </c>
      <c r="G270">
        <f>+_xlfn.XLOOKUP(F270,Listas!$B:$B,Listas!$A:$A,0,0)</f>
        <v>0</v>
      </c>
      <c r="H270">
        <f>+_xlfn.XLOOKUP(F270,Listas!$B:$B,Listas!$C:$C,0,0)</f>
        <v>0</v>
      </c>
    </row>
    <row r="271" spans="1:8" x14ac:dyDescent="0.5">
      <c r="A271" s="5">
        <v>46079</v>
      </c>
      <c r="B271" t="s">
        <v>560</v>
      </c>
      <c r="C271" t="s">
        <v>615</v>
      </c>
      <c r="D271" s="6">
        <v>700</v>
      </c>
      <c r="G271">
        <f>+_xlfn.XLOOKUP(F271,Listas!$B:$B,Listas!$A:$A,0,0)</f>
        <v>0</v>
      </c>
      <c r="H271">
        <f>+_xlfn.XLOOKUP(F271,Listas!$B:$B,Listas!$C:$C,0,0)</f>
        <v>0</v>
      </c>
    </row>
    <row r="272" spans="1:8" x14ac:dyDescent="0.5">
      <c r="A272" s="5">
        <v>46083</v>
      </c>
      <c r="B272" t="s">
        <v>568</v>
      </c>
      <c r="C272" t="s">
        <v>481</v>
      </c>
      <c r="D272" s="6">
        <v>100000</v>
      </c>
      <c r="G272">
        <f>+_xlfn.XLOOKUP(F272,Listas!$B:$B,Listas!$A:$A,0,0)</f>
        <v>0</v>
      </c>
      <c r="H272">
        <f>+_xlfn.XLOOKUP(F272,Listas!$B:$B,Listas!$C:$C,0,0)</f>
        <v>0</v>
      </c>
    </row>
    <row r="273" spans="1:8" x14ac:dyDescent="0.5">
      <c r="A273" s="5">
        <v>46083</v>
      </c>
      <c r="B273" t="s">
        <v>568</v>
      </c>
      <c r="C273" t="s">
        <v>608</v>
      </c>
      <c r="D273" s="6">
        <v>100000</v>
      </c>
      <c r="G273">
        <f>+_xlfn.XLOOKUP(F273,Listas!$B:$B,Listas!$A:$A,0,0)</f>
        <v>0</v>
      </c>
      <c r="H273">
        <f>+_xlfn.XLOOKUP(F273,Listas!$B:$B,Listas!$C:$C,0,0)</f>
        <v>0</v>
      </c>
    </row>
    <row r="274" spans="1:8" x14ac:dyDescent="0.5">
      <c r="A274" s="5">
        <v>46083</v>
      </c>
      <c r="B274" t="s">
        <v>568</v>
      </c>
      <c r="C274" t="s">
        <v>610</v>
      </c>
      <c r="D274" s="6">
        <v>100000</v>
      </c>
      <c r="G274">
        <f>+_xlfn.XLOOKUP(F274,Listas!$B:$B,Listas!$A:$A,0,0)</f>
        <v>0</v>
      </c>
      <c r="H274">
        <f>+_xlfn.XLOOKUP(F274,Listas!$B:$B,Listas!$C:$C,0,0)</f>
        <v>0</v>
      </c>
    </row>
    <row r="275" spans="1:8" x14ac:dyDescent="0.5">
      <c r="A275" s="5">
        <v>46083</v>
      </c>
      <c r="B275" t="s">
        <v>568</v>
      </c>
      <c r="C275" t="s">
        <v>583</v>
      </c>
      <c r="D275" s="6">
        <v>152321</v>
      </c>
      <c r="G275">
        <f>+_xlfn.XLOOKUP(F275,Listas!$B:$B,Listas!$A:$A,0,0)</f>
        <v>0</v>
      </c>
      <c r="H275">
        <f>+_xlfn.XLOOKUP(F275,Listas!$B:$B,Listas!$C:$C,0,0)</f>
        <v>0</v>
      </c>
    </row>
    <row r="276" spans="1:8" x14ac:dyDescent="0.5">
      <c r="A276" s="5">
        <v>46083</v>
      </c>
      <c r="B276" t="s">
        <v>568</v>
      </c>
      <c r="C276" t="s">
        <v>480</v>
      </c>
      <c r="D276" s="6">
        <v>160313</v>
      </c>
      <c r="G276">
        <f>+_xlfn.XLOOKUP(F276,Listas!$B:$B,Listas!$A:$A,0,0)</f>
        <v>0</v>
      </c>
      <c r="H276">
        <f>+_xlfn.XLOOKUP(F276,Listas!$B:$B,Listas!$C:$C,0,0)</f>
        <v>0</v>
      </c>
    </row>
    <row r="277" spans="1:8" x14ac:dyDescent="0.5">
      <c r="A277" s="5">
        <v>46083</v>
      </c>
      <c r="B277" t="s">
        <v>568</v>
      </c>
      <c r="C277" t="s">
        <v>481</v>
      </c>
      <c r="D277" s="6">
        <v>550655</v>
      </c>
      <c r="G277">
        <f>+_xlfn.XLOOKUP(F277,Listas!$B:$B,Listas!$A:$A,0,0)</f>
        <v>0</v>
      </c>
      <c r="H277">
        <f>+_xlfn.XLOOKUP(F277,Listas!$B:$B,Listas!$C:$C,0,0)</f>
        <v>0</v>
      </c>
    </row>
    <row r="278" spans="1:8" x14ac:dyDescent="0.5">
      <c r="A278" s="5">
        <v>46083</v>
      </c>
      <c r="B278" t="s">
        <v>568</v>
      </c>
      <c r="C278" t="s">
        <v>584</v>
      </c>
      <c r="D278" s="6">
        <v>93223</v>
      </c>
      <c r="G278">
        <f>+_xlfn.XLOOKUP(F278,Listas!$B:$B,Listas!$A:$A,0,0)</f>
        <v>0</v>
      </c>
      <c r="H278">
        <f>+_xlfn.XLOOKUP(F278,Listas!$B:$B,Listas!$C:$C,0,0)</f>
        <v>0</v>
      </c>
    </row>
    <row r="279" spans="1:8" x14ac:dyDescent="0.5">
      <c r="A279" s="5">
        <v>46084</v>
      </c>
      <c r="B279" t="s">
        <v>568</v>
      </c>
      <c r="C279" t="s">
        <v>582</v>
      </c>
      <c r="D279" s="6">
        <v>149467</v>
      </c>
      <c r="G279">
        <f>+_xlfn.XLOOKUP(F279,Listas!$B:$B,Listas!$A:$A,0,0)</f>
        <v>0</v>
      </c>
      <c r="H279">
        <f>+_xlfn.XLOOKUP(F279,Listas!$B:$B,Listas!$C:$C,0,0)</f>
        <v>0</v>
      </c>
    </row>
    <row r="280" spans="1:8" x14ac:dyDescent="0.5">
      <c r="A280" s="5">
        <v>46085</v>
      </c>
      <c r="B280" t="s">
        <v>568</v>
      </c>
      <c r="C280" t="s">
        <v>609</v>
      </c>
      <c r="D280" s="6">
        <v>106666</v>
      </c>
      <c r="G280">
        <f>+_xlfn.XLOOKUP(F280,Listas!$B:$B,Listas!$A:$A,0,0)</f>
        <v>0</v>
      </c>
      <c r="H280">
        <f>+_xlfn.XLOOKUP(F280,Listas!$B:$B,Listas!$C:$C,0,0)</f>
        <v>0</v>
      </c>
    </row>
    <row r="281" spans="1:8" x14ac:dyDescent="0.5">
      <c r="A281" s="5">
        <v>46085</v>
      </c>
      <c r="B281" t="s">
        <v>568</v>
      </c>
      <c r="C281" t="s">
        <v>602</v>
      </c>
      <c r="D281" s="6">
        <v>8500</v>
      </c>
      <c r="G281">
        <f>+_xlfn.XLOOKUP(F281,Listas!$B:$B,Listas!$A:$A,0,0)</f>
        <v>0</v>
      </c>
      <c r="H281">
        <f>+_xlfn.XLOOKUP(F281,Listas!$B:$B,Listas!$C:$C,0,0)</f>
        <v>0</v>
      </c>
    </row>
    <row r="282" spans="1:8" x14ac:dyDescent="0.5">
      <c r="A282" s="5">
        <v>46087</v>
      </c>
      <c r="B282" t="s">
        <v>568</v>
      </c>
      <c r="C282" t="s">
        <v>616</v>
      </c>
      <c r="D282" s="6">
        <v>700</v>
      </c>
      <c r="G282">
        <f>+_xlfn.XLOOKUP(F282,Listas!$B:$B,Listas!$A:$A,0,0)</f>
        <v>0</v>
      </c>
      <c r="H282">
        <f>+_xlfn.XLOOKUP(F282,Listas!$B:$B,Listas!$C:$C,0,0)</f>
        <v>0</v>
      </c>
    </row>
    <row r="283" spans="1:8" x14ac:dyDescent="0.5">
      <c r="A283" s="5">
        <v>46091</v>
      </c>
      <c r="B283" t="s">
        <v>568</v>
      </c>
      <c r="C283" t="s">
        <v>619</v>
      </c>
      <c r="D283" s="6">
        <v>17990</v>
      </c>
      <c r="G283">
        <f>+_xlfn.XLOOKUP(F283,Listas!$B:$B,Listas!$A:$A,0,0)</f>
        <v>0</v>
      </c>
      <c r="H283">
        <f>+_xlfn.XLOOKUP(F283,Listas!$B:$B,Listas!$C:$C,0,0)</f>
        <v>0</v>
      </c>
    </row>
    <row r="284" spans="1:8" x14ac:dyDescent="0.5">
      <c r="A284" s="5">
        <v>46091</v>
      </c>
      <c r="B284" t="s">
        <v>568</v>
      </c>
      <c r="C284" t="s">
        <v>498</v>
      </c>
      <c r="D284" s="6">
        <v>2590</v>
      </c>
      <c r="G284">
        <f>+_xlfn.XLOOKUP(F284,Listas!$B:$B,Listas!$A:$A,0,0)</f>
        <v>0</v>
      </c>
      <c r="H284">
        <f>+_xlfn.XLOOKUP(F284,Listas!$B:$B,Listas!$C:$C,0,0)</f>
        <v>0</v>
      </c>
    </row>
    <row r="285" spans="1:8" x14ac:dyDescent="0.5">
      <c r="A285" s="5">
        <v>46092</v>
      </c>
      <c r="B285" t="s">
        <v>568</v>
      </c>
      <c r="C285" t="s">
        <v>620</v>
      </c>
      <c r="D285" s="6">
        <v>10990</v>
      </c>
      <c r="G285">
        <f>+_xlfn.XLOOKUP(F285,Listas!$B:$B,Listas!$A:$A,0,0)</f>
        <v>0</v>
      </c>
      <c r="H285">
        <f>+_xlfn.XLOOKUP(F285,Listas!$B:$B,Listas!$C:$C,0,0)</f>
        <v>0</v>
      </c>
    </row>
    <row r="286" spans="1:8" x14ac:dyDescent="0.5">
      <c r="A286" s="5">
        <v>46092</v>
      </c>
      <c r="B286" t="s">
        <v>568</v>
      </c>
      <c r="C286" t="s">
        <v>621</v>
      </c>
      <c r="D286" s="6">
        <v>11980</v>
      </c>
      <c r="G286">
        <f>+_xlfn.XLOOKUP(F286,Listas!$B:$B,Listas!$A:$A,0,0)</f>
        <v>0</v>
      </c>
      <c r="H286">
        <f>+_xlfn.XLOOKUP(F286,Listas!$B:$B,Listas!$C:$C,0,0)</f>
        <v>0</v>
      </c>
    </row>
    <row r="287" spans="1:8" x14ac:dyDescent="0.5">
      <c r="A287" s="5">
        <v>46092</v>
      </c>
      <c r="B287" t="s">
        <v>568</v>
      </c>
      <c r="C287" t="s">
        <v>622</v>
      </c>
      <c r="D287" s="6">
        <v>24000</v>
      </c>
      <c r="G287">
        <f>+_xlfn.XLOOKUP(F287,Listas!$B:$B,Listas!$A:$A,0,0)</f>
        <v>0</v>
      </c>
      <c r="H287">
        <f>+_xlfn.XLOOKUP(F287,Listas!$B:$B,Listas!$C:$C,0,0)</f>
        <v>0</v>
      </c>
    </row>
    <row r="288" spans="1:8" x14ac:dyDescent="0.5">
      <c r="A288" s="5">
        <v>46093</v>
      </c>
      <c r="B288" t="s">
        <v>568</v>
      </c>
      <c r="C288" t="s">
        <v>623</v>
      </c>
      <c r="D288" s="6">
        <v>599970</v>
      </c>
      <c r="E288" t="s">
        <v>624</v>
      </c>
      <c r="G288">
        <f>+_xlfn.XLOOKUP(F288,Listas!$B:$B,Listas!$A:$A,0,0)</f>
        <v>0</v>
      </c>
      <c r="H288">
        <f>+_xlfn.XLOOKUP(F288,Listas!$B:$B,Listas!$C:$C,0,0)</f>
        <v>0</v>
      </c>
    </row>
    <row r="289" spans="1:8" x14ac:dyDescent="0.5">
      <c r="A289" s="5">
        <v>46094</v>
      </c>
      <c r="B289" t="s">
        <v>568</v>
      </c>
      <c r="C289" t="s">
        <v>625</v>
      </c>
      <c r="D289" s="6">
        <v>11640</v>
      </c>
      <c r="G289">
        <f>+_xlfn.XLOOKUP(F289,Listas!$B:$B,Listas!$A:$A,0,0)</f>
        <v>0</v>
      </c>
      <c r="H289">
        <f>+_xlfn.XLOOKUP(F289,Listas!$B:$B,Listas!$C:$C,0,0)</f>
        <v>0</v>
      </c>
    </row>
    <row r="290" spans="1:8" x14ac:dyDescent="0.5">
      <c r="A290" s="5">
        <v>46094</v>
      </c>
      <c r="B290" t="s">
        <v>568</v>
      </c>
      <c r="C290" t="s">
        <v>601</v>
      </c>
      <c r="D290" s="6">
        <v>67910</v>
      </c>
      <c r="G290">
        <f>+_xlfn.XLOOKUP(F290,Listas!$B:$B,Listas!$A:$A,0,0)</f>
        <v>0</v>
      </c>
      <c r="H290">
        <f>+_xlfn.XLOOKUP(F290,Listas!$B:$B,Listas!$C:$C,0,0)</f>
        <v>0</v>
      </c>
    </row>
    <row r="291" spans="1:8" x14ac:dyDescent="0.5">
      <c r="A291" s="5">
        <v>46097</v>
      </c>
      <c r="B291" t="s">
        <v>568</v>
      </c>
      <c r="C291" t="s">
        <v>623</v>
      </c>
      <c r="D291" s="6">
        <v>124949</v>
      </c>
      <c r="E291" t="s">
        <v>624</v>
      </c>
      <c r="G291">
        <f>+_xlfn.XLOOKUP(F291,Listas!$B:$B,Listas!$A:$A,0,0)</f>
        <v>0</v>
      </c>
      <c r="H291">
        <f>+_xlfn.XLOOKUP(F291,Listas!$B:$B,Listas!$C:$C,0,0)</f>
        <v>0</v>
      </c>
    </row>
    <row r="292" spans="1:8" x14ac:dyDescent="0.5">
      <c r="A292" s="5">
        <v>46098</v>
      </c>
      <c r="B292" t="s">
        <v>568</v>
      </c>
      <c r="C292" t="s">
        <v>626</v>
      </c>
      <c r="D292" s="6">
        <v>64100</v>
      </c>
      <c r="G292">
        <f>+_xlfn.XLOOKUP(F292,Listas!$B:$B,Listas!$A:$A,0,0)</f>
        <v>0</v>
      </c>
      <c r="H292">
        <f>+_xlfn.XLOOKUP(F292,Listas!$B:$B,Listas!$C:$C,0,0)</f>
        <v>0</v>
      </c>
    </row>
    <row r="293" spans="1:8" x14ac:dyDescent="0.5">
      <c r="A293" s="5">
        <v>46099</v>
      </c>
      <c r="B293" t="s">
        <v>568</v>
      </c>
      <c r="C293" t="s">
        <v>627</v>
      </c>
      <c r="D293" s="6">
        <v>10600</v>
      </c>
      <c r="G293">
        <f>+_xlfn.XLOOKUP(F293,Listas!$B:$B,Listas!$A:$A,0,0)</f>
        <v>0</v>
      </c>
      <c r="H293">
        <f>+_xlfn.XLOOKUP(F293,Listas!$B:$B,Listas!$C:$C,0,0)</f>
        <v>0</v>
      </c>
    </row>
    <row r="294" spans="1:8" x14ac:dyDescent="0.5">
      <c r="A294" s="5">
        <v>46099</v>
      </c>
      <c r="B294" t="s">
        <v>568</v>
      </c>
      <c r="C294" t="s">
        <v>628</v>
      </c>
      <c r="D294" s="6">
        <v>21001</v>
      </c>
      <c r="G294">
        <f>+_xlfn.XLOOKUP(F294,Listas!$B:$B,Listas!$A:$A,0,0)</f>
        <v>0</v>
      </c>
      <c r="H294">
        <f>+_xlfn.XLOOKUP(F294,Listas!$B:$B,Listas!$C:$C,0,0)</f>
        <v>0</v>
      </c>
    </row>
    <row r="295" spans="1:8" x14ac:dyDescent="0.5">
      <c r="A295" s="5">
        <v>46100</v>
      </c>
      <c r="B295" t="s">
        <v>568</v>
      </c>
      <c r="C295" t="s">
        <v>631</v>
      </c>
      <c r="D295" s="6">
        <v>51930</v>
      </c>
      <c r="G295">
        <f>+_xlfn.XLOOKUP(F295,Listas!$B:$B,Listas!$A:$A,0,0)</f>
        <v>0</v>
      </c>
      <c r="H295">
        <f>+_xlfn.XLOOKUP(F295,Listas!$B:$B,Listas!$C:$C,0,0)</f>
        <v>0</v>
      </c>
    </row>
    <row r="296" spans="1:8" x14ac:dyDescent="0.5">
      <c r="A296" s="5">
        <v>46105</v>
      </c>
      <c r="B296" t="s">
        <v>568</v>
      </c>
      <c r="C296" t="s">
        <v>633</v>
      </c>
      <c r="D296" s="6">
        <v>30200</v>
      </c>
      <c r="G296">
        <f>+_xlfn.XLOOKUP(F296,Listas!$B:$B,Listas!$A:$A,0,0)</f>
        <v>0</v>
      </c>
      <c r="H296">
        <f>+_xlfn.XLOOKUP(F296,Listas!$B:$B,Listas!$C:$C,0,0)</f>
        <v>0</v>
      </c>
    </row>
    <row r="297" spans="1:8" x14ac:dyDescent="0.5">
      <c r="A297" s="5">
        <v>46106</v>
      </c>
      <c r="B297" t="s">
        <v>568</v>
      </c>
      <c r="C297" t="s">
        <v>379</v>
      </c>
      <c r="D297" s="6">
        <v>250000</v>
      </c>
      <c r="G297">
        <f>+_xlfn.XLOOKUP(F297,Listas!$B:$B,Listas!$A:$A,0,0)</f>
        <v>0</v>
      </c>
      <c r="H297">
        <f>+_xlfn.XLOOKUP(F297,Listas!$B:$B,Listas!$C:$C,0,0)</f>
        <v>0</v>
      </c>
    </row>
    <row r="298" spans="1:8" x14ac:dyDescent="0.5">
      <c r="A298" s="5">
        <v>46106</v>
      </c>
      <c r="B298" t="s">
        <v>568</v>
      </c>
      <c r="C298" t="s">
        <v>622</v>
      </c>
      <c r="D298" s="6">
        <v>4000</v>
      </c>
      <c r="G298">
        <f>+_xlfn.XLOOKUP(F298,Listas!$B:$B,Listas!$A:$A,0,0)</f>
        <v>0</v>
      </c>
      <c r="H298">
        <f>+_xlfn.XLOOKUP(F298,Listas!$B:$B,Listas!$C:$C,0,0)</f>
        <v>0</v>
      </c>
    </row>
    <row r="299" spans="1:8" x14ac:dyDescent="0.5">
      <c r="A299" s="5">
        <v>46106</v>
      </c>
      <c r="B299" t="s">
        <v>568</v>
      </c>
      <c r="C299" t="s">
        <v>635</v>
      </c>
      <c r="D299" s="6">
        <v>4800</v>
      </c>
      <c r="G299">
        <f>+_xlfn.XLOOKUP(F299,Listas!$B:$B,Listas!$A:$A,0,0)</f>
        <v>0</v>
      </c>
      <c r="H299">
        <f>+_xlfn.XLOOKUP(F299,Listas!$B:$B,Listas!$C:$C,0,0)</f>
        <v>0</v>
      </c>
    </row>
    <row r="300" spans="1:8" x14ac:dyDescent="0.5">
      <c r="A300" s="5">
        <v>46106</v>
      </c>
      <c r="B300" t="s">
        <v>568</v>
      </c>
      <c r="C300" t="s">
        <v>636</v>
      </c>
      <c r="D300" s="6">
        <v>500000</v>
      </c>
      <c r="G300">
        <f>+_xlfn.XLOOKUP(F300,Listas!$B:$B,Listas!$A:$A,0,0)</f>
        <v>0</v>
      </c>
      <c r="H300">
        <f>+_xlfn.XLOOKUP(F300,Listas!$B:$B,Listas!$C:$C,0,0)</f>
        <v>0</v>
      </c>
    </row>
    <row r="301" spans="1:8" x14ac:dyDescent="0.5">
      <c r="A301" s="5">
        <v>46107</v>
      </c>
      <c r="B301" t="s">
        <v>568</v>
      </c>
      <c r="C301" t="s">
        <v>637</v>
      </c>
      <c r="D301" s="6">
        <v>100000</v>
      </c>
      <c r="G301">
        <f>+_xlfn.XLOOKUP(F301,Listas!$B:$B,Listas!$A:$A,0,0)</f>
        <v>0</v>
      </c>
      <c r="H301">
        <f>+_xlfn.XLOOKUP(F301,Listas!$B:$B,Listas!$C:$C,0,0)</f>
        <v>0</v>
      </c>
    </row>
    <row r="302" spans="1:8" x14ac:dyDescent="0.5">
      <c r="A302" s="5">
        <v>46107</v>
      </c>
      <c r="B302" t="s">
        <v>568</v>
      </c>
      <c r="C302" t="s">
        <v>638</v>
      </c>
      <c r="D302" s="6">
        <v>42000</v>
      </c>
      <c r="G302">
        <f>+_xlfn.XLOOKUP(F302,Listas!$B:$B,Listas!$A:$A,0,0)</f>
        <v>0</v>
      </c>
      <c r="H302">
        <f>+_xlfn.XLOOKUP(F302,Listas!$B:$B,Listas!$C:$C,0,0)</f>
        <v>0</v>
      </c>
    </row>
    <row r="303" spans="1:8" x14ac:dyDescent="0.5">
      <c r="A303" s="5">
        <v>46108</v>
      </c>
      <c r="B303" t="s">
        <v>568</v>
      </c>
      <c r="C303" t="s">
        <v>474</v>
      </c>
      <c r="D303" s="6">
        <v>110000</v>
      </c>
      <c r="G303">
        <f>+_xlfn.XLOOKUP(F303,Listas!$B:$B,Listas!$A:$A,0,0)</f>
        <v>0</v>
      </c>
      <c r="H303">
        <f>+_xlfn.XLOOKUP(F303,Listas!$B:$B,Listas!$C:$C,0,0)</f>
        <v>0</v>
      </c>
    </row>
    <row r="304" spans="1:8" x14ac:dyDescent="0.5">
      <c r="A304" s="5">
        <v>46111</v>
      </c>
      <c r="B304" t="s">
        <v>568</v>
      </c>
      <c r="C304" t="s">
        <v>395</v>
      </c>
      <c r="D304" s="6">
        <v>25000</v>
      </c>
      <c r="G304">
        <f>+_xlfn.XLOOKUP(F304,Listas!$B:$B,Listas!$A:$A,0,0)</f>
        <v>0</v>
      </c>
      <c r="H304">
        <f>+_xlfn.XLOOKUP(F304,Listas!$B:$B,Listas!$C:$C,0,0)</f>
        <v>0</v>
      </c>
    </row>
    <row r="305" spans="1:8" x14ac:dyDescent="0.5">
      <c r="A305" s="5">
        <v>46111</v>
      </c>
      <c r="B305" t="s">
        <v>568</v>
      </c>
      <c r="C305" t="s">
        <v>389</v>
      </c>
      <c r="D305" s="6">
        <v>25000</v>
      </c>
      <c r="G305">
        <f>+_xlfn.XLOOKUP(F305,Listas!$B:$B,Listas!$A:$A,0,0)</f>
        <v>0</v>
      </c>
      <c r="H305">
        <f>+_xlfn.XLOOKUP(F305,Listas!$B:$B,Listas!$C:$C,0,0)</f>
        <v>0</v>
      </c>
    </row>
  </sheetData>
  <autoFilter ref="A1:H305" xr:uid="{00000000-0009-0000-0000-000002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E79466-2DED-4900-8278-3F231EA9D7F4}">
          <x14:formula1>
            <xm:f>Listas!$B$2:$B$40</xm:f>
          </x14:formula1>
          <xm:sqref>F305 F275 F280:F303 F2:F272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37E4-25BF-41E1-BDC5-30DA7BA95DC2}">
  <dimension ref="A1:C48"/>
  <sheetViews>
    <sheetView workbookViewId="0">
      <selection activeCell="B3" sqref="B3"/>
    </sheetView>
  </sheetViews>
  <sheetFormatPr baseColWidth="10" defaultRowHeight="14.35" x14ac:dyDescent="0.5"/>
  <cols>
    <col min="2" max="2" width="28.76171875" bestFit="1" customWidth="1"/>
  </cols>
  <sheetData>
    <row r="1" spans="1:3" x14ac:dyDescent="0.5">
      <c r="A1" s="14" t="s">
        <v>542</v>
      </c>
      <c r="B1" s="14" t="s">
        <v>543</v>
      </c>
      <c r="C1" s="14" t="s">
        <v>11</v>
      </c>
    </row>
    <row r="2" spans="1:3" x14ac:dyDescent="0.5">
      <c r="A2" t="s">
        <v>25</v>
      </c>
      <c r="B2" t="s">
        <v>24</v>
      </c>
      <c r="C2" t="s">
        <v>26</v>
      </c>
    </row>
    <row r="3" spans="1:3" x14ac:dyDescent="0.5">
      <c r="A3" t="s">
        <v>294</v>
      </c>
      <c r="B3" t="s">
        <v>293</v>
      </c>
      <c r="C3" t="s">
        <v>26</v>
      </c>
    </row>
    <row r="4" spans="1:3" x14ac:dyDescent="0.5">
      <c r="A4" t="s">
        <v>322</v>
      </c>
      <c r="B4" t="s">
        <v>321</v>
      </c>
      <c r="C4" t="s">
        <v>26</v>
      </c>
    </row>
    <row r="5" spans="1:3" x14ac:dyDescent="0.5">
      <c r="A5" t="s">
        <v>67</v>
      </c>
      <c r="B5" t="s">
        <v>66</v>
      </c>
      <c r="C5" t="s">
        <v>68</v>
      </c>
    </row>
    <row r="6" spans="1:3" x14ac:dyDescent="0.5">
      <c r="A6" t="s">
        <v>256</v>
      </c>
      <c r="B6" t="s">
        <v>255</v>
      </c>
      <c r="C6" t="s">
        <v>68</v>
      </c>
    </row>
    <row r="7" spans="1:3" x14ac:dyDescent="0.5">
      <c r="A7" t="s">
        <v>268</v>
      </c>
      <c r="B7" t="s">
        <v>267</v>
      </c>
      <c r="C7" t="s">
        <v>68</v>
      </c>
    </row>
    <row r="8" spans="1:3" x14ac:dyDescent="0.5">
      <c r="A8" t="s">
        <v>516</v>
      </c>
      <c r="B8" t="s">
        <v>517</v>
      </c>
      <c r="C8" t="s">
        <v>68</v>
      </c>
    </row>
    <row r="9" spans="1:3" x14ac:dyDescent="0.5">
      <c r="A9" t="s">
        <v>518</v>
      </c>
      <c r="B9" t="s">
        <v>519</v>
      </c>
      <c r="C9" t="s">
        <v>68</v>
      </c>
    </row>
    <row r="10" spans="1:3" x14ac:dyDescent="0.5">
      <c r="A10" t="s">
        <v>120</v>
      </c>
      <c r="B10" t="s">
        <v>119</v>
      </c>
      <c r="C10" t="s">
        <v>48</v>
      </c>
    </row>
    <row r="11" spans="1:3" x14ac:dyDescent="0.5">
      <c r="A11" t="s">
        <v>520</v>
      </c>
      <c r="B11" t="s">
        <v>544</v>
      </c>
      <c r="C11" t="s">
        <v>48</v>
      </c>
    </row>
    <row r="12" spans="1:3" x14ac:dyDescent="0.5">
      <c r="A12" t="s">
        <v>245</v>
      </c>
      <c r="B12" t="s">
        <v>244</v>
      </c>
      <c r="C12" t="s">
        <v>48</v>
      </c>
    </row>
    <row r="13" spans="1:3" x14ac:dyDescent="0.5">
      <c r="A13" t="s">
        <v>521</v>
      </c>
      <c r="B13" t="s">
        <v>545</v>
      </c>
      <c r="C13" t="s">
        <v>48</v>
      </c>
    </row>
    <row r="14" spans="1:3" x14ac:dyDescent="0.5">
      <c r="A14" t="s">
        <v>58</v>
      </c>
      <c r="B14" t="s">
        <v>57</v>
      </c>
      <c r="C14" t="s">
        <v>48</v>
      </c>
    </row>
    <row r="15" spans="1:3" x14ac:dyDescent="0.5">
      <c r="A15" t="s">
        <v>47</v>
      </c>
      <c r="B15" t="s">
        <v>46</v>
      </c>
      <c r="C15" t="s">
        <v>48</v>
      </c>
    </row>
    <row r="16" spans="1:3" x14ac:dyDescent="0.5">
      <c r="A16" t="s">
        <v>302</v>
      </c>
      <c r="B16" t="s">
        <v>301</v>
      </c>
      <c r="C16" t="s">
        <v>48</v>
      </c>
    </row>
    <row r="17" spans="1:3" x14ac:dyDescent="0.5">
      <c r="A17" t="s">
        <v>213</v>
      </c>
      <c r="B17" t="s">
        <v>212</v>
      </c>
      <c r="C17" t="s">
        <v>48</v>
      </c>
    </row>
    <row r="18" spans="1:3" x14ac:dyDescent="0.5">
      <c r="A18" t="s">
        <v>231</v>
      </c>
      <c r="B18" t="s">
        <v>230</v>
      </c>
      <c r="C18" t="s">
        <v>48</v>
      </c>
    </row>
    <row r="19" spans="1:3" x14ac:dyDescent="0.5">
      <c r="A19" t="s">
        <v>356</v>
      </c>
      <c r="B19" t="s">
        <v>355</v>
      </c>
      <c r="C19" t="s">
        <v>48</v>
      </c>
    </row>
    <row r="20" spans="1:3" x14ac:dyDescent="0.5">
      <c r="A20" t="s">
        <v>143</v>
      </c>
      <c r="B20" t="s">
        <v>522</v>
      </c>
      <c r="C20" t="s">
        <v>144</v>
      </c>
    </row>
    <row r="21" spans="1:3" x14ac:dyDescent="0.5">
      <c r="A21" t="s">
        <v>523</v>
      </c>
      <c r="B21" t="s">
        <v>524</v>
      </c>
      <c r="C21" t="s">
        <v>144</v>
      </c>
    </row>
    <row r="22" spans="1:3" x14ac:dyDescent="0.5">
      <c r="A22" t="s">
        <v>525</v>
      </c>
      <c r="B22" t="s">
        <v>526</v>
      </c>
      <c r="C22" t="s">
        <v>144</v>
      </c>
    </row>
    <row r="23" spans="1:3" x14ac:dyDescent="0.5">
      <c r="A23" t="s">
        <v>527</v>
      </c>
      <c r="B23" t="s">
        <v>528</v>
      </c>
      <c r="C23" t="s">
        <v>144</v>
      </c>
    </row>
    <row r="24" spans="1:3" x14ac:dyDescent="0.5">
      <c r="A24" t="s">
        <v>308</v>
      </c>
      <c r="B24" t="s">
        <v>307</v>
      </c>
      <c r="C24" t="s">
        <v>144</v>
      </c>
    </row>
    <row r="25" spans="1:3" x14ac:dyDescent="0.5">
      <c r="A25" t="s">
        <v>17</v>
      </c>
      <c r="B25" t="s">
        <v>16</v>
      </c>
      <c r="C25" t="s">
        <v>18</v>
      </c>
    </row>
    <row r="26" spans="1:3" x14ac:dyDescent="0.5">
      <c r="A26" t="s">
        <v>529</v>
      </c>
      <c r="B26" t="s">
        <v>546</v>
      </c>
      <c r="C26" t="s">
        <v>18</v>
      </c>
    </row>
    <row r="27" spans="1:3" x14ac:dyDescent="0.5">
      <c r="A27" t="s">
        <v>34</v>
      </c>
      <c r="B27" t="s">
        <v>33</v>
      </c>
      <c r="C27" t="s">
        <v>35</v>
      </c>
    </row>
    <row r="28" spans="1:3" x14ac:dyDescent="0.5">
      <c r="A28" t="s">
        <v>530</v>
      </c>
      <c r="B28" t="s">
        <v>547</v>
      </c>
      <c r="C28" t="s">
        <v>35</v>
      </c>
    </row>
    <row r="29" spans="1:3" x14ac:dyDescent="0.5">
      <c r="A29" t="s">
        <v>531</v>
      </c>
      <c r="B29" t="s">
        <v>548</v>
      </c>
      <c r="C29" t="s">
        <v>35</v>
      </c>
    </row>
    <row r="30" spans="1:3" x14ac:dyDescent="0.5">
      <c r="A30" t="s">
        <v>21</v>
      </c>
      <c r="B30" t="s">
        <v>20</v>
      </c>
      <c r="C30" t="s">
        <v>22</v>
      </c>
    </row>
    <row r="31" spans="1:3" x14ac:dyDescent="0.5">
      <c r="A31" t="s">
        <v>348</v>
      </c>
      <c r="B31" t="s">
        <v>347</v>
      </c>
      <c r="C31" t="s">
        <v>22</v>
      </c>
    </row>
    <row r="32" spans="1:3" x14ac:dyDescent="0.5">
      <c r="A32" t="s">
        <v>63</v>
      </c>
      <c r="B32" t="s">
        <v>62</v>
      </c>
      <c r="C32" t="s">
        <v>22</v>
      </c>
    </row>
    <row r="33" spans="1:3" x14ac:dyDescent="0.5">
      <c r="A33" t="s">
        <v>110</v>
      </c>
      <c r="B33" t="s">
        <v>109</v>
      </c>
      <c r="C33" t="s">
        <v>30</v>
      </c>
    </row>
    <row r="34" spans="1:3" x14ac:dyDescent="0.5">
      <c r="A34" t="s">
        <v>29</v>
      </c>
      <c r="B34" t="s">
        <v>28</v>
      </c>
      <c r="C34" t="s">
        <v>30</v>
      </c>
    </row>
    <row r="35" spans="1:3" x14ac:dyDescent="0.5">
      <c r="A35" t="s">
        <v>532</v>
      </c>
      <c r="B35" t="s">
        <v>549</v>
      </c>
      <c r="C35" t="s">
        <v>30</v>
      </c>
    </row>
    <row r="36" spans="1:3" x14ac:dyDescent="0.5">
      <c r="A36" t="s">
        <v>43</v>
      </c>
      <c r="B36" t="s">
        <v>42</v>
      </c>
      <c r="C36" t="s">
        <v>44</v>
      </c>
    </row>
    <row r="37" spans="1:3" x14ac:dyDescent="0.5">
      <c r="A37" t="s">
        <v>536</v>
      </c>
      <c r="B37" t="s">
        <v>550</v>
      </c>
      <c r="C37" t="s">
        <v>44</v>
      </c>
    </row>
    <row r="38" spans="1:3" x14ac:dyDescent="0.5">
      <c r="A38" t="s">
        <v>538</v>
      </c>
      <c r="B38" t="s">
        <v>551</v>
      </c>
      <c r="C38" t="s">
        <v>44</v>
      </c>
    </row>
    <row r="39" spans="1:3" x14ac:dyDescent="0.5">
      <c r="A39" t="s">
        <v>75</v>
      </c>
      <c r="B39" t="s">
        <v>74</v>
      </c>
      <c r="C39" t="s">
        <v>44</v>
      </c>
    </row>
    <row r="40" spans="1:3" x14ac:dyDescent="0.5">
      <c r="A40" t="s">
        <v>135</v>
      </c>
      <c r="B40" t="s">
        <v>134</v>
      </c>
      <c r="C40" t="s">
        <v>44</v>
      </c>
    </row>
    <row r="42" spans="1:3" x14ac:dyDescent="0.5">
      <c r="A42" t="s">
        <v>532</v>
      </c>
      <c r="B42" t="s">
        <v>533</v>
      </c>
    </row>
    <row r="43" spans="1:3" x14ac:dyDescent="0.5">
      <c r="A43" t="s">
        <v>44</v>
      </c>
      <c r="B43" t="s">
        <v>534</v>
      </c>
    </row>
    <row r="44" spans="1:3" x14ac:dyDescent="0.5">
      <c r="A44" t="s">
        <v>43</v>
      </c>
      <c r="B44" t="s">
        <v>535</v>
      </c>
    </row>
    <row r="45" spans="1:3" x14ac:dyDescent="0.5">
      <c r="A45" t="s">
        <v>536</v>
      </c>
      <c r="B45" t="s">
        <v>537</v>
      </c>
    </row>
    <row r="46" spans="1:3" x14ac:dyDescent="0.5">
      <c r="A46" t="s">
        <v>538</v>
      </c>
      <c r="B46" t="s">
        <v>539</v>
      </c>
    </row>
    <row r="47" spans="1:3" x14ac:dyDescent="0.5">
      <c r="A47" t="s">
        <v>75</v>
      </c>
      <c r="B47" t="s">
        <v>540</v>
      </c>
    </row>
    <row r="48" spans="1:3" x14ac:dyDescent="0.5">
      <c r="A48" t="s">
        <v>135</v>
      </c>
      <c r="B48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EGRESOS 2025</vt:lpstr>
      <vt:lpstr>Resumen</vt:lpstr>
      <vt:lpstr>Pendientes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Pablo Tort</cp:lastModifiedBy>
  <dcterms:created xsi:type="dcterms:W3CDTF">2026-05-26T16:06:28Z</dcterms:created>
  <dcterms:modified xsi:type="dcterms:W3CDTF">2026-05-28T21:54:02Z</dcterms:modified>
</cp:coreProperties>
</file>