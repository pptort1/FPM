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1. INGRESOS" sheetId="1" state="visible" r:id="rId1"/>
    <sheet xmlns:r="http://schemas.openxmlformats.org/officeDocument/2006/relationships" name="2. EGRESOS" sheetId="2" state="visible" r:id="rId2"/>
    <sheet xmlns:r="http://schemas.openxmlformats.org/officeDocument/2006/relationships" name="3. Flujo de Caja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PLAN_CUENTAS" sheetId="5" state="visible" r:id="rId5"/>
    <sheet xmlns:r="http://schemas.openxmlformats.org/officeDocument/2006/relationships" name="CCs" sheetId="6" state="visible" r:id="rId6"/>
    <sheet xmlns:r="http://schemas.openxmlformats.org/officeDocument/2006/relationships" name="CANALES" sheetId="7" state="visible" r:id="rId7"/>
    <sheet xmlns:r="http://schemas.openxmlformats.org/officeDocument/2006/relationships" name="PROVEEDORES" sheetId="8" state="visible" r:id="rId8"/>
  </sheets>
  <definedNames>
    <definedName name="_xlnm._FilterDatabase" localSheetId="0" hidden="1">'1. INGRESOS'!$A$1:$K$7248</definedName>
    <definedName name="_xlnm._FilterDatabase" localSheetId="7" hidden="1">'PROVEEDORES'!$A$1:$E$42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_ &quot;$&quot;* #,##0_ ;_ &quot;$&quot;* \-#,##0_ ;_ &quot;$&quot;* &quot;-&quot;_ ;_ @_ "/>
  </numFmts>
  <fonts count="2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i val="1"/>
      <color rgb="FF777777"/>
      <sz val="10"/>
    </font>
    <font>
      <name val="Calibri"/>
      <family val="2"/>
      <b val="1"/>
      <color rgb="FF0E1F36"/>
      <sz val="14"/>
    </font>
    <font>
      <name val="Calibri"/>
      <family val="2"/>
      <i val="1"/>
      <color rgb="FF777777"/>
      <sz val="9"/>
    </font>
    <font>
      <name val="Calibri"/>
      <family val="2"/>
      <color rgb="FF555555"/>
      <sz val="9"/>
    </font>
    <font>
      <name val="Calibri"/>
      <family val="2"/>
      <color rgb="FF000000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0E1F36"/>
      <sz val="11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color rgb="FF000000"/>
      <sz val="10"/>
    </font>
    <font>
      <name val="Calibri"/>
      <family val="2"/>
      <b val="1"/>
      <color rgb="FF1F4E79"/>
      <sz val="9"/>
    </font>
    <font>
      <name val="Calibri"/>
      <family val="2"/>
      <color rgb="FF888888"/>
      <sz val="9"/>
    </font>
    <font>
      <name val="Calibri"/>
      <family val="2"/>
      <b val="1"/>
      <color rgb="FF000000"/>
      <sz val="10"/>
    </font>
    <font>
      <name val="Calibri"/>
      <family val="2"/>
      <b val="1"/>
      <color rgb="FFE8572A"/>
      <sz val="10"/>
    </font>
    <font>
      <name val="Calibri"/>
      <family val="2"/>
      <b val="1"/>
      <color theme="0"/>
      <sz val="13"/>
    </font>
    <font>
      <name val="Calibri"/>
      <family val="2"/>
      <b val="1"/>
      <color theme="0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18">
    <fill>
      <patternFill/>
    </fill>
    <fill>
      <patternFill patternType="gray125"/>
    </fill>
    <fill>
      <patternFill patternType="solid">
        <fgColor rgb="FF0E1F3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572A"/>
      </patternFill>
    </fill>
    <fill>
      <patternFill patternType="solid">
        <fgColor rgb="FF2E7D32"/>
      </patternFill>
    </fill>
    <fill>
      <patternFill patternType="solid">
        <fgColor rgb="FF388E3C"/>
      </patternFill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0E1F36"/>
      </patternFill>
    </fill>
    <fill>
      <patternFill patternType="solid">
        <fgColor rgb="FF0E1F36"/>
      </patternFill>
    </fill>
    <fill>
      <patternFill patternType="solid">
        <fgColor rgb="FF1A3050"/>
      </patternFill>
    </fill>
    <fill>
      <patternFill patternType="solid">
        <fgColor rgb="FFE8572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theme="6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CC4400"/>
      </left>
      <right style="thin">
        <color rgb="FFCC4400"/>
      </right>
      <top style="thin">
        <color rgb="FFCC4400"/>
      </top>
      <bottom style="thin">
        <color rgb="FFCC4400"/>
      </bottom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2">
    <xf numFmtId="0" fontId="23" fillId="0" borderId="0"/>
    <xf numFmtId="42" fontId="23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3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3" fontId="8" fillId="3" borderId="2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3" fontId="8" fillId="4" borderId="2" applyAlignment="1" pivotButton="0" quotePrefix="0" xfId="0">
      <alignment horizontal="right" vertical="center"/>
    </xf>
    <xf numFmtId="3" fontId="9" fillId="5" borderId="4" applyAlignment="1" pivotButton="0" quotePrefix="0" xfId="0">
      <alignment horizontal="right" vertical="center"/>
    </xf>
    <xf numFmtId="0" fontId="0" fillId="6" borderId="0" pivotButton="0" quotePrefix="0" xfId="0"/>
    <xf numFmtId="3" fontId="9" fillId="7" borderId="5" applyAlignment="1" pivotButton="0" quotePrefix="0" xfId="0">
      <alignment horizontal="right" vertical="center"/>
    </xf>
    <xf numFmtId="3" fontId="10" fillId="8" borderId="6" applyAlignment="1" pivotButton="0" quotePrefix="0" xfId="0">
      <alignment horizontal="right" vertical="center"/>
    </xf>
    <xf numFmtId="164" fontId="11" fillId="9" borderId="7" applyAlignment="1" pivotButton="0" quotePrefix="0" xfId="0">
      <alignment horizontal="right" vertical="center"/>
    </xf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4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3" fontId="9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3" fillId="10" borderId="0" applyAlignment="1" pivotButton="0" quotePrefix="0" xfId="0">
      <alignment horizontal="center" vertical="center" wrapText="1"/>
    </xf>
    <xf numFmtId="0" fontId="12" fillId="0" borderId="0" pivotButton="0" quotePrefix="0" xfId="0"/>
    <xf numFmtId="14" fontId="0" fillId="0" borderId="0" pivotButton="0" quotePrefix="0" xfId="0"/>
    <xf numFmtId="3" fontId="0" fillId="0" borderId="0" pivotButton="0" quotePrefix="0" xfId="0"/>
    <xf numFmtId="0" fontId="9" fillId="7" borderId="0" applyAlignment="1" pivotButton="0" quotePrefix="0" xfId="0">
      <alignment horizontal="left" vertical="center"/>
    </xf>
    <xf numFmtId="0" fontId="14" fillId="11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14" fillId="11" borderId="0" pivotButton="0" quotePrefix="0" xfId="0"/>
    <xf numFmtId="0" fontId="16" fillId="14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center" vertical="center"/>
    </xf>
    <xf numFmtId="0" fontId="18" fillId="14" borderId="0" pivotButton="0" quotePrefix="0" xfId="0"/>
    <xf numFmtId="0" fontId="17" fillId="14" borderId="0" pivotButton="0" quotePrefix="0" xfId="0"/>
    <xf numFmtId="3" fontId="0" fillId="14" borderId="0" pivotButton="0" quotePrefix="0" xfId="0"/>
    <xf numFmtId="3" fontId="19" fillId="15" borderId="0" pivotButton="0" quotePrefix="0" xfId="0"/>
    <xf numFmtId="0" fontId="16" fillId="16" borderId="0" applyAlignment="1" pivotButton="0" quotePrefix="0" xfId="0">
      <alignment horizontal="left" vertical="center" indent="1"/>
    </xf>
    <xf numFmtId="0" fontId="17" fillId="16" borderId="0" applyAlignment="1" pivotButton="0" quotePrefix="0" xfId="0">
      <alignment horizontal="center" vertical="center"/>
    </xf>
    <xf numFmtId="0" fontId="18" fillId="16" borderId="0" pivotButton="0" quotePrefix="0" xfId="0"/>
    <xf numFmtId="0" fontId="17" fillId="16" borderId="0" pivotButton="0" quotePrefix="0" xfId="0"/>
    <xf numFmtId="3" fontId="0" fillId="16" borderId="0" pivotButton="0" quotePrefix="0" xfId="0"/>
    <xf numFmtId="0" fontId="16" fillId="14" borderId="0" applyAlignment="1" pivotButton="0" quotePrefix="0" xfId="0">
      <alignment horizontal="left" vertical="center" indent="1"/>
    </xf>
    <xf numFmtId="164" fontId="0" fillId="14" borderId="0" pivotButton="0" quotePrefix="0" xfId="0"/>
    <xf numFmtId="164" fontId="19" fillId="15" borderId="0" pivotButton="0" quotePrefix="0" xfId="0"/>
    <xf numFmtId="164" fontId="0" fillId="16" borderId="0" pivotButton="0" quotePrefix="0" xfId="0"/>
    <xf numFmtId="0" fontId="16" fillId="16" borderId="0" applyAlignment="1" pivotButton="0" quotePrefix="0" xfId="0">
      <alignment horizontal="left" vertical="center"/>
    </xf>
    <xf numFmtId="0" fontId="20" fillId="12" borderId="0" pivotButton="0" quotePrefix="0" xfId="0"/>
    <xf numFmtId="0" fontId="22" fillId="12" borderId="0" applyAlignment="1" pivotButton="0" quotePrefix="0" xfId="0">
      <alignment horizontal="left" vertical="center"/>
    </xf>
    <xf numFmtId="0" fontId="1" fillId="17" borderId="8" applyAlignment="1" pivotButton="0" quotePrefix="0" xfId="0">
      <alignment horizontal="center" vertical="center"/>
    </xf>
    <xf numFmtId="165" fontId="0" fillId="0" borderId="0" pivotButton="0" quotePrefix="0" xfId="1"/>
    <xf numFmtId="165" fontId="0" fillId="0" borderId="0" pivotButton="0" quotePrefix="0" xfId="0"/>
    <xf numFmtId="165" fontId="0" fillId="0" borderId="0" pivotButton="0" quotePrefix="0" xfId="1"/>
    <xf numFmtId="0" fontId="0" fillId="0" borderId="0" applyAlignment="1" pivotButton="0" quotePrefix="0" xfId="0">
      <alignment wrapText="1"/>
    </xf>
    <xf numFmtId="0" fontId="9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9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left" vertical="center"/>
    </xf>
    <xf numFmtId="165" fontId="0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Moneda [0]" xfId="1" builtinId="7"/>
  </cellStyles>
  <dxfs count="17">
    <dxf>
      <fill>
        <patternFill patternType="solid">
          <fgColor rgb="FFFFF9C4"/>
        </patternFill>
      </fill>
    </dxf>
    <dxf>
      <numFmt numFmtId="0" formatCode="General"/>
      <fill>
        <patternFill patternType="solid">
          <fgColor indexed="64"/>
          <bgColor rgb="FFD6E4F0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0" formatCode="General"/>
      <fill>
        <patternFill patternType="solid">
          <fgColor indexed="64"/>
          <bgColor rgb="FFD6E4F0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D6E4F0"/>
        </patternFill>
      </fill>
      <alignment horizontal="right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3" formatCode="#,##0"/>
      <fill>
        <patternFill patternType="solid">
          <fgColor indexed="64"/>
          <bgColor rgb="FFD6E4F0"/>
        </patternFill>
      </fill>
      <alignment horizontal="right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0" formatCode="General"/>
      <fill>
        <patternFill patternType="solid">
          <fgColor indexed="64"/>
          <bgColor rgb="FFD6E4F0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solid">
          <fgColor indexed="64"/>
          <bgColor rgb="FFF5F5F5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solid">
          <fgColor indexed="64"/>
          <bgColor rgb="FFF5F5F5"/>
        </patternFill>
      </fill>
      <alignment horizontal="right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solid">
          <fgColor indexed="64"/>
          <bgColor rgb="FFF5F5F5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solid">
          <fgColor indexed="64"/>
          <bgColor rgb="FFF5F5F5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 patternType="solid">
          <fgColor indexed="64"/>
          <bgColor rgb="FFF5F5F5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9" formatCode="dd/mm/yyyy"/>
      <fill>
        <patternFill patternType="solid">
          <fgColor indexed="64"/>
          <bgColor rgb="FFF5F5F5"/>
        </patternFill>
      </fill>
      <alignment horizontal="center" vertic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top style="thin">
          <color rgb="FF999999"/>
        </top>
        <bottom style="thin">
          <color rgb="FFCCCCCC"/>
        </bottom>
      </border>
    </dxf>
    <dxf>
      <fill>
        <patternFill patternType="solid">
          <fgColor indexed="64"/>
          <bgColor rgb="FFD6E4F0"/>
        </patternFill>
      </fill>
      <alignment horizontal="center" vertical="center"/>
    </dxf>
    <dxf>
      <border outline="0">
        <bottom style="thin">
          <color rgb="FF999999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0E1F36"/>
        </patternFill>
      </fill>
      <alignment horizontal="center" vertical="center"/>
      <border outline="0">
        <left style="thin">
          <color rgb="FF999999"/>
        </left>
        <right style="thin">
          <color rgb="FF999999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a1" displayName="Tabla1" ref="A1:L500" headerRowCount="1" totalsRowShown="0" headerRowDxfId="16" dataDxfId="14" headerRowBorderDxfId="15" tableBorderDxfId="13" totalsRowBorderDxfId="12">
  <autoFilter ref="A1:L500"/>
  <tableColumns count="12">
    <tableColumn id="1" name="Fecha Pago" dataDxfId="11"/>
    <tableColumn id="2" name="Mes Devengo" dataDxfId="10"/>
    <tableColumn id="4" name="Descripcion" dataDxfId="9"/>
    <tableColumn id="3" name="Proveedor" dataDxfId="8"/>
    <tableColumn id="5" name="Monto Total" dataDxfId="7" dataCellStyle="Moneda [0]"/>
    <tableColumn id="6" name="Tipo Doc" dataDxfId="6"/>
    <tableColumn id="12" name="Forma Pago"/>
    <tableColumn id="10" name="Nombre Cuenta" dataDxfId="5">
      <calculatedColumnFormula>IFERROR(INDEX(PLAN_CUENTAS!$B$2:$B$439,MATCH(K2,PLAN_CUENTAS!$A$2:$A$439,0)),"")</calculatedColumnFormula>
    </tableColumn>
    <tableColumn id="7" name="IVA" dataDxfId="4">
      <calculatedColumnFormula>IF(F2="F",ROUND(E2*0.19/1.19,0),0)</calculatedColumnFormula>
    </tableColumn>
    <tableColumn id="8" name="Monto Neto" dataDxfId="3">
      <calculatedColumnFormula>IF(E2="","",E2-I2)</calculatedColumnFormula>
    </tableColumn>
    <tableColumn id="9" name="Cuenta" dataDxfId="2">
      <calculatedColumnFormula>+_xlfn.XLOOKUP(Tabla1[[#This Row],[Nombre Cuenta]],PLAN_CUENTAS!$B$2:$B$100,PLAN_CUENTAS!$A$2:$A$100,0,0)</calculatedColumnFormula>
    </tableColumn>
    <tableColumn id="11" name="CC" dataDxfId="1">
      <calculatedColumnFormula>+_xlfn.XLOOKUP(Tabla1[[#This Row],[Nombre Cuenta]],PLAN_CUENTAS!$B$2:$B$100,PLAN_CUENTAS!$C$2:$C$100,0,0)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E8572A"/>
    <outlinePr summaryBelow="1" summaryRight="1"/>
    <pageSetUpPr/>
  </sheetPr>
  <dimension ref="A1:K7248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I1" sqref="I1:I1048576"/>
    </sheetView>
  </sheetViews>
  <sheetFormatPr baseColWidth="10" defaultColWidth="8.88671875" defaultRowHeight="14.4"/>
  <cols>
    <col width="12" customWidth="1" style="65" min="1" max="1"/>
    <col width="13" customWidth="1" style="65" min="2" max="2"/>
    <col width="28" customWidth="1" style="65" min="3" max="3"/>
    <col width="32" customWidth="1" style="65" min="4" max="4"/>
    <col width="14" customWidth="1" style="65" min="5" max="5"/>
    <col width="10" customWidth="1" style="65" min="6" max="6"/>
    <col width="13" customWidth="1" style="65" min="7" max="7"/>
    <col width="14" customWidth="1" style="65" min="8" max="8"/>
    <col width="10" customWidth="1" style="65" min="9" max="9"/>
    <col width="28" customWidth="1" style="65" min="10" max="10"/>
    <col width="12" customWidth="1" style="65" min="11" max="11"/>
  </cols>
  <sheetData>
    <row r="1" ht="22.05" customHeight="1" s="65">
      <c r="A1" s="31" t="inlineStr">
        <is>
          <t>Fecha</t>
        </is>
      </c>
      <c r="B1" s="31" t="inlineStr">
        <is>
          <t>Mes Devengo</t>
        </is>
      </c>
      <c r="C1" s="31" t="inlineStr">
        <is>
          <t>Cliente</t>
        </is>
      </c>
      <c r="D1" s="31" t="inlineStr">
        <is>
          <t>Descripcion</t>
        </is>
      </c>
      <c r="E1" s="31" t="inlineStr">
        <is>
          <t>Monto Total</t>
        </is>
      </c>
      <c r="F1" s="31" t="inlineStr">
        <is>
          <t>Tipo Doc</t>
        </is>
      </c>
      <c r="G1" s="31" t="inlineStr">
        <is>
          <t>IVA</t>
        </is>
      </c>
      <c r="H1" s="31" t="inlineStr">
        <is>
          <t>Monto Neto</t>
        </is>
      </c>
      <c r="I1" s="31" t="inlineStr">
        <is>
          <t>Cuenta</t>
        </is>
      </c>
      <c r="J1" s="31" t="inlineStr">
        <is>
          <t>Nombre Cuenta</t>
        </is>
      </c>
      <c r="K1" s="31" t="inlineStr">
        <is>
          <t>Canal</t>
        </is>
      </c>
    </row>
    <row r="2">
      <c r="A2" s="33" t="n">
        <v>45658</v>
      </c>
      <c r="B2" t="inlineStr">
        <is>
          <t>2025-01</t>
        </is>
      </c>
      <c r="C2" t="inlineStr">
        <is>
          <t>Rebeca Uribe Fridman</t>
        </is>
      </c>
      <c r="D2" t="inlineStr">
        <is>
          <t>CANELÉ TRADICIONAL</t>
        </is>
      </c>
      <c r="E2" s="34" t="n">
        <v>23790</v>
      </c>
      <c r="F2" t="inlineStr">
        <is>
          <t>B</t>
        </is>
      </c>
      <c r="G2" s="34" t="n">
        <v>3798</v>
      </c>
      <c r="H2" s="34" t="n">
        <v>19992</v>
      </c>
      <c r="I2" t="inlineStr">
        <is>
          <t>3.2</t>
        </is>
      </c>
      <c r="J2" t="inlineStr">
        <is>
          <t>Ventas Personas (B2C)</t>
        </is>
      </c>
      <c r="K2" t="inlineStr">
        <is>
          <t>CH2</t>
        </is>
      </c>
    </row>
    <row r="3">
      <c r="A3" s="33" t="n">
        <v>45659</v>
      </c>
      <c r="B3" t="inlineStr">
        <is>
          <t>2025-01</t>
        </is>
      </c>
      <c r="C3" t="inlineStr">
        <is>
          <t>GALVEZ Y HEUSSER SPA</t>
        </is>
      </c>
      <c r="D3" t="inlineStr">
        <is>
          <t>HORECA CATERING</t>
        </is>
      </c>
      <c r="E3" s="34" t="n">
        <v>71035</v>
      </c>
      <c r="F3" t="inlineStr">
        <is>
          <t>F</t>
        </is>
      </c>
      <c r="G3" s="34" t="n">
        <v>11342</v>
      </c>
      <c r="H3" s="34" t="n">
        <v>59693</v>
      </c>
      <c r="I3" t="inlineStr">
        <is>
          <t>3.1</t>
        </is>
      </c>
      <c r="J3" t="inlineStr">
        <is>
          <t>Ventas HoReCa</t>
        </is>
      </c>
      <c r="K3" t="inlineStr">
        <is>
          <t>CH1</t>
        </is>
      </c>
    </row>
    <row r="4">
      <c r="A4" s="33" t="n">
        <v>45659</v>
      </c>
      <c r="B4" t="inlineStr">
        <is>
          <t>2025-01</t>
        </is>
      </c>
      <c r="C4" t="inlineStr">
        <is>
          <t>HUERTO SUR LIMITADA</t>
        </is>
      </c>
      <c r="D4" t="inlineStr">
        <is>
          <t>HORECA CAFETERIA</t>
        </is>
      </c>
      <c r="E4" s="34" t="n">
        <v>89589</v>
      </c>
      <c r="F4" t="inlineStr">
        <is>
          <t>F</t>
        </is>
      </c>
      <c r="G4" s="34" t="n">
        <v>14304</v>
      </c>
      <c r="H4" s="34" t="n">
        <v>75285</v>
      </c>
      <c r="I4" t="inlineStr">
        <is>
          <t>3.1</t>
        </is>
      </c>
      <c r="J4" t="inlineStr">
        <is>
          <t>Ventas HoReCa</t>
        </is>
      </c>
      <c r="K4" t="inlineStr">
        <is>
          <t>CH1</t>
        </is>
      </c>
    </row>
    <row r="5">
      <c r="A5" s="33" t="n">
        <v>45659</v>
      </c>
      <c r="B5" t="inlineStr">
        <is>
          <t>2025-01</t>
        </is>
      </c>
      <c r="C5" t="inlineStr">
        <is>
          <t>Sin cliente</t>
        </is>
      </c>
      <c r="D5" t="inlineStr">
        <is>
          <t>CANELÉ TRADICIONAL</t>
        </is>
      </c>
      <c r="E5" s="34" t="n">
        <v>11120</v>
      </c>
      <c r="F5" t="inlineStr">
        <is>
          <t>B</t>
        </is>
      </c>
      <c r="G5" s="34" t="n">
        <v>1775</v>
      </c>
      <c r="H5" s="34" t="n">
        <v>9345</v>
      </c>
      <c r="I5" t="inlineStr">
        <is>
          <t>3.2</t>
        </is>
      </c>
      <c r="J5" t="inlineStr">
        <is>
          <t>Ventas Personas (B2C)</t>
        </is>
      </c>
      <c r="K5" t="inlineStr">
        <is>
          <t>CH2</t>
        </is>
      </c>
    </row>
    <row r="6">
      <c r="A6" s="33" t="n">
        <v>45659</v>
      </c>
      <c r="B6" t="inlineStr">
        <is>
          <t>2025-01</t>
        </is>
      </c>
      <c r="C6" t="inlineStr">
        <is>
          <t>CAFÉ UNDER SPA</t>
        </is>
      </c>
      <c r="D6" t="inlineStr">
        <is>
          <t>HORECA CAFETERIA</t>
        </is>
      </c>
      <c r="E6" s="34" t="n">
        <v>63990</v>
      </c>
      <c r="F6" t="inlineStr">
        <is>
          <t>F</t>
        </is>
      </c>
      <c r="G6" s="34" t="n">
        <v>10217</v>
      </c>
      <c r="H6" s="34" t="n">
        <v>53773</v>
      </c>
      <c r="I6" t="inlineStr">
        <is>
          <t>3.1</t>
        </is>
      </c>
      <c r="J6" t="inlineStr">
        <is>
          <t>Ventas HoReCa</t>
        </is>
      </c>
      <c r="K6" t="inlineStr">
        <is>
          <t>CH1</t>
        </is>
      </c>
    </row>
    <row r="7">
      <c r="A7" s="33" t="n">
        <v>45659</v>
      </c>
      <c r="B7" t="inlineStr">
        <is>
          <t>2025-01</t>
        </is>
      </c>
      <c r="C7" t="inlineStr">
        <is>
          <t>Carolina Rivera</t>
        </is>
      </c>
      <c r="D7" t="inlineStr">
        <is>
          <t>PACKS GOURMET</t>
        </is>
      </c>
      <c r="E7" s="34" t="n">
        <v>24786</v>
      </c>
      <c r="F7" t="inlineStr">
        <is>
          <t>B</t>
        </is>
      </c>
      <c r="G7" s="34" t="n">
        <v>3957</v>
      </c>
      <c r="H7" s="34" t="n">
        <v>20829</v>
      </c>
      <c r="I7" t="inlineStr">
        <is>
          <t>3.2</t>
        </is>
      </c>
      <c r="J7" t="inlineStr">
        <is>
          <t>Ventas Personas (B2C)</t>
        </is>
      </c>
      <c r="K7" t="inlineStr">
        <is>
          <t>CH2</t>
        </is>
      </c>
    </row>
    <row r="8">
      <c r="A8" s="33" t="n">
        <v>45659</v>
      </c>
      <c r="B8" t="inlineStr">
        <is>
          <t>2025-01</t>
        </is>
      </c>
      <c r="C8" t="inlineStr">
        <is>
          <t>Santa María spa</t>
        </is>
      </c>
      <c r="D8" t="inlineStr">
        <is>
          <t>HORECA CAFETERIA</t>
        </is>
      </c>
      <c r="E8" s="34" t="n">
        <v>178711</v>
      </c>
      <c r="F8" t="inlineStr">
        <is>
          <t>F</t>
        </is>
      </c>
      <c r="G8" s="34" t="n">
        <v>28534</v>
      </c>
      <c r="H8" s="34" t="n">
        <v>150177</v>
      </c>
      <c r="I8" t="inlineStr">
        <is>
          <t>3.1</t>
        </is>
      </c>
      <c r="J8" t="inlineStr">
        <is>
          <t>Ventas HoReCa</t>
        </is>
      </c>
      <c r="K8" t="inlineStr">
        <is>
          <t>CH1</t>
        </is>
      </c>
    </row>
    <row r="9">
      <c r="A9" s="33" t="n">
        <v>45659</v>
      </c>
      <c r="B9" t="inlineStr">
        <is>
          <t>2025-01</t>
        </is>
      </c>
      <c r="C9" t="inlineStr">
        <is>
          <t>Nicole Stefanic</t>
        </is>
      </c>
      <c r="D9" t="inlineStr">
        <is>
          <t>CANELE SIN AZUCAR</t>
        </is>
      </c>
      <c r="E9" s="34" t="n">
        <v>28289</v>
      </c>
      <c r="F9" t="inlineStr">
        <is>
          <t>B</t>
        </is>
      </c>
      <c r="G9" s="34" t="n">
        <v>4517</v>
      </c>
      <c r="H9" s="34" t="n">
        <v>23772</v>
      </c>
      <c r="I9" t="inlineStr">
        <is>
          <t>3.2</t>
        </is>
      </c>
      <c r="J9" t="inlineStr">
        <is>
          <t>Ventas Personas (B2C)</t>
        </is>
      </c>
      <c r="K9" t="inlineStr">
        <is>
          <t>CH2</t>
        </is>
      </c>
    </row>
    <row r="10">
      <c r="A10" s="33" t="n">
        <v>45659</v>
      </c>
      <c r="B10" t="inlineStr">
        <is>
          <t>2025-01</t>
        </is>
      </c>
      <c r="C10" t="inlineStr">
        <is>
          <t>Candelaria Mackay</t>
        </is>
      </c>
      <c r="D10" t="inlineStr">
        <is>
          <t>PACKS GOURMET</t>
        </is>
      </c>
      <c r="E10" s="34" t="n">
        <v>21705</v>
      </c>
      <c r="F10" t="inlineStr">
        <is>
          <t>B</t>
        </is>
      </c>
      <c r="G10" s="34" t="n">
        <v>3466</v>
      </c>
      <c r="H10" s="34" t="n">
        <v>18239</v>
      </c>
      <c r="I10" t="inlineStr">
        <is>
          <t>3.2</t>
        </is>
      </c>
      <c r="J10" t="inlineStr">
        <is>
          <t>Ventas Personas (B2C)</t>
        </is>
      </c>
      <c r="K10" t="inlineStr">
        <is>
          <t>CH2</t>
        </is>
      </c>
    </row>
    <row r="11">
      <c r="A11" s="33" t="n">
        <v>45659</v>
      </c>
      <c r="B11" t="inlineStr">
        <is>
          <t>2025-01</t>
        </is>
      </c>
      <c r="C11" t="inlineStr">
        <is>
          <t>Sin cliente</t>
        </is>
      </c>
      <c r="D11" t="inlineStr">
        <is>
          <t>CANELÉ TRADICIONAL</t>
        </is>
      </c>
      <c r="E11" s="34" t="n">
        <v>13900</v>
      </c>
      <c r="F11" t="inlineStr">
        <is>
          <t>B</t>
        </is>
      </c>
      <c r="G11" s="34" t="n">
        <v>2219</v>
      </c>
      <c r="H11" s="34" t="n">
        <v>11681</v>
      </c>
      <c r="I11" t="inlineStr">
        <is>
          <t>3.2</t>
        </is>
      </c>
      <c r="J11" t="inlineStr">
        <is>
          <t>Ventas Personas (B2C)</t>
        </is>
      </c>
      <c r="K11" t="inlineStr">
        <is>
          <t>CH2</t>
        </is>
      </c>
    </row>
    <row r="12">
      <c r="A12" s="33" t="n">
        <v>45660</v>
      </c>
      <c r="B12" t="inlineStr">
        <is>
          <t>2025-01</t>
        </is>
      </c>
      <c r="C12" t="inlineStr">
        <is>
          <t>Belén Pérez Silva</t>
        </is>
      </c>
      <c r="D12" t="inlineStr">
        <is>
          <t>CANELÉ TRADICIONAL</t>
        </is>
      </c>
      <c r="E12" s="34" t="n">
        <v>17890</v>
      </c>
      <c r="F12" t="inlineStr">
        <is>
          <t>B</t>
        </is>
      </c>
      <c r="G12" s="34" t="n">
        <v>2856</v>
      </c>
      <c r="H12" s="34" t="n">
        <v>15034</v>
      </c>
      <c r="I12" t="inlineStr">
        <is>
          <t>3.2</t>
        </is>
      </c>
      <c r="J12" t="inlineStr">
        <is>
          <t>Ventas Personas (B2C)</t>
        </is>
      </c>
      <c r="K12" t="inlineStr">
        <is>
          <t>CH2</t>
        </is>
      </c>
    </row>
    <row r="13">
      <c r="A13" s="33" t="n">
        <v>45660</v>
      </c>
      <c r="B13" t="inlineStr">
        <is>
          <t>2025-01</t>
        </is>
      </c>
      <c r="C13" t="inlineStr">
        <is>
          <t>Antonio Maino</t>
        </is>
      </c>
      <c r="D13" t="inlineStr">
        <is>
          <t>CANELÉ TRADICIONAL</t>
        </is>
      </c>
      <c r="E13" s="34" t="n">
        <v>17890</v>
      </c>
      <c r="F13" t="inlineStr">
        <is>
          <t>B</t>
        </is>
      </c>
      <c r="G13" s="34" t="n">
        <v>2856</v>
      </c>
      <c r="H13" s="34" t="n">
        <v>15034</v>
      </c>
      <c r="I13" t="inlineStr">
        <is>
          <t>3.2</t>
        </is>
      </c>
      <c r="J13" t="inlineStr">
        <is>
          <t>Ventas Personas (B2C)</t>
        </is>
      </c>
      <c r="K13" t="inlineStr">
        <is>
          <t>CH2</t>
        </is>
      </c>
    </row>
    <row r="14">
      <c r="A14" s="33" t="n">
        <v>45660</v>
      </c>
      <c r="B14" t="inlineStr">
        <is>
          <t>2025-01</t>
        </is>
      </c>
      <c r="C14" t="inlineStr">
        <is>
          <t>Víctor Sanhueza</t>
        </is>
      </c>
      <c r="D14" t="inlineStr">
        <is>
          <t>Petit Tradicional</t>
        </is>
      </c>
      <c r="E14" s="34" t="n">
        <v>45700</v>
      </c>
      <c r="F14" t="inlineStr">
        <is>
          <t>B</t>
        </is>
      </c>
      <c r="G14" s="34" t="n">
        <v>7297</v>
      </c>
      <c r="H14" s="34" t="n">
        <v>38403</v>
      </c>
      <c r="I14" t="inlineStr">
        <is>
          <t>3.2</t>
        </is>
      </c>
      <c r="J14" t="inlineStr">
        <is>
          <t>Ventas Personas (B2C)</t>
        </is>
      </c>
      <c r="K14" t="inlineStr">
        <is>
          <t>CH2</t>
        </is>
      </c>
    </row>
    <row r="15">
      <c r="A15" s="33" t="n">
        <v>45660</v>
      </c>
      <c r="B15" t="inlineStr">
        <is>
          <t>2025-01</t>
        </is>
      </c>
      <c r="C15" t="inlineStr">
        <is>
          <t>VILAS BANQUETERIAS SPA</t>
        </is>
      </c>
      <c r="D15" t="inlineStr">
        <is>
          <t>HORECA CATERING</t>
        </is>
      </c>
      <c r="E15" s="34" t="n">
        <v>226758</v>
      </c>
      <c r="F15" t="inlineStr">
        <is>
          <t>F</t>
        </is>
      </c>
      <c r="G15" s="34" t="n">
        <v>36205</v>
      </c>
      <c r="H15" s="34" t="n">
        <v>190553</v>
      </c>
      <c r="I15" t="inlineStr">
        <is>
          <t>3.1</t>
        </is>
      </c>
      <c r="J15" t="inlineStr">
        <is>
          <t>Ventas HoReCa</t>
        </is>
      </c>
      <c r="K15" t="inlineStr">
        <is>
          <t>CH1</t>
        </is>
      </c>
    </row>
    <row r="16">
      <c r="A16" s="33" t="n">
        <v>45660</v>
      </c>
      <c r="B16" t="inlineStr">
        <is>
          <t>2025-01</t>
        </is>
      </c>
      <c r="C16" t="inlineStr">
        <is>
          <t>Sin cliente</t>
        </is>
      </c>
      <c r="D16" t="inlineStr">
        <is>
          <t>Delicatessen</t>
        </is>
      </c>
      <c r="E16" s="34" t="n">
        <v>32800</v>
      </c>
      <c r="F16" t="inlineStr">
        <is>
          <t>B</t>
        </is>
      </c>
      <c r="G16" s="34" t="n">
        <v>5237</v>
      </c>
      <c r="H16" s="34" t="n">
        <v>27563</v>
      </c>
      <c r="I16" t="inlineStr">
        <is>
          <t>3.2</t>
        </is>
      </c>
      <c r="J16" t="inlineStr">
        <is>
          <t>Ventas Personas (B2C)</t>
        </is>
      </c>
      <c r="K16" t="inlineStr">
        <is>
          <t>CH2</t>
        </is>
      </c>
    </row>
    <row r="17">
      <c r="A17" s="33" t="n">
        <v>45660</v>
      </c>
      <c r="B17" t="inlineStr">
        <is>
          <t>2025-01</t>
        </is>
      </c>
      <c r="C17" t="inlineStr">
        <is>
          <t>Sin cliente</t>
        </is>
      </c>
      <c r="D17" t="inlineStr">
        <is>
          <t>Mix Sabores</t>
        </is>
      </c>
      <c r="E17" s="34" t="n">
        <v>22800</v>
      </c>
      <c r="F17" t="inlineStr">
        <is>
          <t>B</t>
        </is>
      </c>
      <c r="G17" s="34" t="n">
        <v>3640</v>
      </c>
      <c r="H17" s="34" t="n">
        <v>19160</v>
      </c>
      <c r="I17" t="inlineStr">
        <is>
          <t>3.2</t>
        </is>
      </c>
      <c r="J17" t="inlineStr">
        <is>
          <t>Ventas Personas (B2C)</t>
        </is>
      </c>
      <c r="K17" t="inlineStr">
        <is>
          <t>CH2</t>
        </is>
      </c>
    </row>
    <row r="18">
      <c r="A18" s="33" t="n">
        <v>45660</v>
      </c>
      <c r="B18" t="inlineStr">
        <is>
          <t>2025-01</t>
        </is>
      </c>
      <c r="C18" t="inlineStr">
        <is>
          <t>Sin cliente</t>
        </is>
      </c>
      <c r="D18" t="inlineStr">
        <is>
          <t>PLATAFORMAS RAP-PEYA-UBER-GOOD</t>
        </is>
      </c>
      <c r="E18" s="34" t="n">
        <v>24948</v>
      </c>
      <c r="F18" t="inlineStr">
        <is>
          <t>B</t>
        </is>
      </c>
      <c r="G18" s="34" t="n">
        <v>3983</v>
      </c>
      <c r="H18" s="34" t="n">
        <v>20965</v>
      </c>
      <c r="I18" t="inlineStr">
        <is>
          <t>3.6</t>
        </is>
      </c>
      <c r="J18" t="inlineStr">
        <is>
          <t>Ventas Delivery Apps</t>
        </is>
      </c>
      <c r="K18" t="inlineStr">
        <is>
          <t>CH3</t>
        </is>
      </c>
    </row>
    <row r="19">
      <c r="A19" s="33" t="n">
        <v>45660</v>
      </c>
      <c r="B19" t="inlineStr">
        <is>
          <t>2025-01</t>
        </is>
      </c>
      <c r="C19" t="inlineStr">
        <is>
          <t>Sin cliente</t>
        </is>
      </c>
      <c r="D19" t="inlineStr">
        <is>
          <t>Delicatessen</t>
        </is>
      </c>
      <c r="E19" s="34" t="n">
        <v>35780</v>
      </c>
      <c r="F19" t="inlineStr">
        <is>
          <t>B</t>
        </is>
      </c>
      <c r="G19" s="34" t="n">
        <v>5713</v>
      </c>
      <c r="H19" s="34" t="n">
        <v>30067</v>
      </c>
      <c r="I19" t="inlineStr">
        <is>
          <t>3.2</t>
        </is>
      </c>
      <c r="J19" t="inlineStr">
        <is>
          <t>Ventas Personas (B2C)</t>
        </is>
      </c>
      <c r="K19" t="inlineStr">
        <is>
          <t>CH2</t>
        </is>
      </c>
    </row>
    <row r="20">
      <c r="A20" s="33" t="n">
        <v>45660</v>
      </c>
      <c r="B20" t="inlineStr">
        <is>
          <t>2025-01</t>
        </is>
      </c>
      <c r="C20" t="inlineStr">
        <is>
          <t>Fernanda Jorquera Olivares</t>
        </is>
      </c>
      <c r="D20" t="inlineStr">
        <is>
          <t>CANELÉ TRADICIONAL</t>
        </is>
      </c>
      <c r="E20" s="34" t="n">
        <v>23790</v>
      </c>
      <c r="F20" t="inlineStr">
        <is>
          <t>B</t>
        </is>
      </c>
      <c r="G20" s="34" t="n">
        <v>3798</v>
      </c>
      <c r="H20" s="34" t="n">
        <v>19992</v>
      </c>
      <c r="I20" t="inlineStr">
        <is>
          <t>3.2</t>
        </is>
      </c>
      <c r="J20" t="inlineStr">
        <is>
          <t>Ventas Personas (B2C)</t>
        </is>
      </c>
      <c r="K20" t="inlineStr">
        <is>
          <t>CH2</t>
        </is>
      </c>
    </row>
    <row r="21">
      <c r="A21" s="33" t="n">
        <v>45661</v>
      </c>
      <c r="B21" t="inlineStr">
        <is>
          <t>2025-01</t>
        </is>
      </c>
      <c r="C21" t="inlineStr">
        <is>
          <t>Paulina Vivanco</t>
        </is>
      </c>
      <c r="D21" t="inlineStr">
        <is>
          <t>Petit Tradicional</t>
        </is>
      </c>
      <c r="E21" s="34" t="n">
        <v>38110</v>
      </c>
      <c r="F21" t="inlineStr">
        <is>
          <t>B</t>
        </is>
      </c>
      <c r="G21" s="34" t="n">
        <v>6085</v>
      </c>
      <c r="H21" s="34" t="n">
        <v>32025</v>
      </c>
      <c r="I21" t="inlineStr">
        <is>
          <t>3.2</t>
        </is>
      </c>
      <c r="J21" t="inlineStr">
        <is>
          <t>Ventas Personas (B2C)</t>
        </is>
      </c>
      <c r="K21" t="inlineStr">
        <is>
          <t>CH2</t>
        </is>
      </c>
    </row>
    <row r="22">
      <c r="A22" s="33" t="n">
        <v>45661</v>
      </c>
      <c r="B22" t="inlineStr">
        <is>
          <t>2025-01</t>
        </is>
      </c>
      <c r="C22" t="inlineStr">
        <is>
          <t>Sin cliente</t>
        </is>
      </c>
      <c r="D22" t="inlineStr">
        <is>
          <t>CANELÉ TRADICIONAL</t>
        </is>
      </c>
      <c r="E22" s="34" t="n">
        <v>19800</v>
      </c>
      <c r="F22" t="inlineStr">
        <is>
          <t>B</t>
        </is>
      </c>
      <c r="G22" s="34" t="n">
        <v>3161</v>
      </c>
      <c r="H22" s="34" t="n">
        <v>16639</v>
      </c>
      <c r="I22" t="inlineStr">
        <is>
          <t>3.2</t>
        </is>
      </c>
      <c r="J22" t="inlineStr">
        <is>
          <t>Ventas Personas (B2C)</t>
        </is>
      </c>
      <c r="K22" t="inlineStr">
        <is>
          <t>CH2</t>
        </is>
      </c>
    </row>
    <row r="23">
      <c r="A23" s="33" t="n">
        <v>45661</v>
      </c>
      <c r="B23" t="inlineStr">
        <is>
          <t>2025-01</t>
        </is>
      </c>
      <c r="C23" t="inlineStr">
        <is>
          <t>Sin cliente</t>
        </is>
      </c>
      <c r="D23" t="inlineStr">
        <is>
          <t>CANELÉ TRADICIONAL</t>
        </is>
      </c>
      <c r="E23" s="34" t="n">
        <v>19800</v>
      </c>
      <c r="F23" t="inlineStr">
        <is>
          <t>B</t>
        </is>
      </c>
      <c r="G23" s="34" t="n">
        <v>3161</v>
      </c>
      <c r="H23" s="34" t="n">
        <v>16639</v>
      </c>
      <c r="I23" t="inlineStr">
        <is>
          <t>3.2</t>
        </is>
      </c>
      <c r="J23" t="inlineStr">
        <is>
          <t>Ventas Personas (B2C)</t>
        </is>
      </c>
      <c r="K23" t="inlineStr">
        <is>
          <t>CH2</t>
        </is>
      </c>
    </row>
    <row r="24">
      <c r="A24" s="33" t="n">
        <v>45661</v>
      </c>
      <c r="B24" t="inlineStr">
        <is>
          <t>2025-01</t>
        </is>
      </c>
      <c r="C24" t="inlineStr">
        <is>
          <t>Sin cliente</t>
        </is>
      </c>
      <c r="D24" t="inlineStr">
        <is>
          <t>Edición Navidad</t>
        </is>
      </c>
      <c r="E24" s="34" t="n">
        <v>29800</v>
      </c>
      <c r="F24" t="inlineStr">
        <is>
          <t>B</t>
        </is>
      </c>
      <c r="G24" s="34" t="n">
        <v>4758</v>
      </c>
      <c r="H24" s="34" t="n">
        <v>25042</v>
      </c>
      <c r="I24" t="inlineStr">
        <is>
          <t>3.2</t>
        </is>
      </c>
      <c r="J24" t="inlineStr">
        <is>
          <t>Ventas Personas (B2C)</t>
        </is>
      </c>
      <c r="K24" t="inlineStr">
        <is>
          <t>CH2</t>
        </is>
      </c>
    </row>
    <row r="25">
      <c r="A25" s="33" t="n">
        <v>45662</v>
      </c>
      <c r="B25" t="inlineStr">
        <is>
          <t>2025-01</t>
        </is>
      </c>
      <c r="C25" t="inlineStr">
        <is>
          <t>Alfredo Liu</t>
        </is>
      </c>
      <c r="D25" t="inlineStr">
        <is>
          <t>CANELÉ TRADICIONAL</t>
        </is>
      </c>
      <c r="E25" s="34" t="n">
        <v>30809</v>
      </c>
      <c r="F25" t="inlineStr">
        <is>
          <t>B</t>
        </is>
      </c>
      <c r="G25" s="34" t="n">
        <v>4919</v>
      </c>
      <c r="H25" s="34" t="n">
        <v>25890</v>
      </c>
      <c r="I25" t="inlineStr">
        <is>
          <t>3.2</t>
        </is>
      </c>
      <c r="J25" t="inlineStr">
        <is>
          <t>Ventas Personas (B2C)</t>
        </is>
      </c>
      <c r="K25" t="inlineStr">
        <is>
          <t>CH2</t>
        </is>
      </c>
    </row>
    <row r="26">
      <c r="A26" s="33" t="n">
        <v>45663</v>
      </c>
      <c r="B26" t="inlineStr">
        <is>
          <t>2025-01</t>
        </is>
      </c>
      <c r="C26" t="inlineStr">
        <is>
          <t>INVERSIONES Y ASESORIAS RAVAL LIMITADA</t>
        </is>
      </c>
      <c r="D26" t="inlineStr">
        <is>
          <t>HORECA CAFETERIA</t>
        </is>
      </c>
      <c r="E26" s="34" t="n">
        <v>120780</v>
      </c>
      <c r="F26" t="inlineStr">
        <is>
          <t>F</t>
        </is>
      </c>
      <c r="G26" s="34" t="n">
        <v>19284</v>
      </c>
      <c r="H26" s="34" t="n">
        <v>101496</v>
      </c>
      <c r="I26" t="inlineStr">
        <is>
          <t>3.1</t>
        </is>
      </c>
      <c r="J26" t="inlineStr">
        <is>
          <t>Ventas HoReCa</t>
        </is>
      </c>
      <c r="K26" t="inlineStr">
        <is>
          <t>CH1</t>
        </is>
      </c>
    </row>
    <row r="27">
      <c r="A27" s="33" t="n">
        <v>45663</v>
      </c>
      <c r="B27" t="inlineStr">
        <is>
          <t>2025-01</t>
        </is>
      </c>
      <c r="C27" t="inlineStr">
        <is>
          <t>POMPON SPA</t>
        </is>
      </c>
      <c r="D27" t="inlineStr">
        <is>
          <t>HORECA CAFETERIA</t>
        </is>
      </c>
      <c r="E27" s="34" t="n">
        <v>175350</v>
      </c>
      <c r="F27" t="inlineStr">
        <is>
          <t>F</t>
        </is>
      </c>
      <c r="G27" s="34" t="n">
        <v>27997</v>
      </c>
      <c r="H27" s="34" t="n">
        <v>147353</v>
      </c>
      <c r="I27" t="inlineStr">
        <is>
          <t>3.1</t>
        </is>
      </c>
      <c r="J27" t="inlineStr">
        <is>
          <t>Ventas HoReCa</t>
        </is>
      </c>
      <c r="K27" t="inlineStr">
        <is>
          <t>CH1</t>
        </is>
      </c>
    </row>
    <row r="28">
      <c r="A28" s="33" t="n">
        <v>45663</v>
      </c>
      <c r="B28" t="inlineStr">
        <is>
          <t>2025-01</t>
        </is>
      </c>
      <c r="C28" t="inlineStr">
        <is>
          <t>INVERSIONES Y ASESORIAS RAVAL LIMITADA</t>
        </is>
      </c>
      <c r="D28" t="inlineStr">
        <is>
          <t>HORECA CAFETERIA</t>
        </is>
      </c>
      <c r="E28" s="34" t="n">
        <v>-120780</v>
      </c>
      <c r="F28" t="inlineStr">
        <is>
          <t>NC</t>
        </is>
      </c>
      <c r="G28" s="34" t="n">
        <v>-19284</v>
      </c>
      <c r="H28" s="34" t="n">
        <v>-101496</v>
      </c>
      <c r="I28" t="inlineStr">
        <is>
          <t>3.2</t>
        </is>
      </c>
      <c r="J28" t="inlineStr">
        <is>
          <t>Ventas Personas (B2C)</t>
        </is>
      </c>
      <c r="K28" t="inlineStr">
        <is>
          <t>CH2</t>
        </is>
      </c>
    </row>
    <row r="29">
      <c r="A29" s="33" t="n">
        <v>45663</v>
      </c>
      <c r="B29" t="inlineStr">
        <is>
          <t>2025-01</t>
        </is>
      </c>
      <c r="C29" t="inlineStr">
        <is>
          <t>INVERSIONES Y ASESORIAS RAVAL LIMITADA</t>
        </is>
      </c>
      <c r="D29" t="inlineStr">
        <is>
          <t>HORECA CAFETERIA</t>
        </is>
      </c>
      <c r="E29" s="34" t="n">
        <v>67980</v>
      </c>
      <c r="F29" t="inlineStr">
        <is>
          <t>F</t>
        </is>
      </c>
      <c r="G29" s="34" t="n">
        <v>10854</v>
      </c>
      <c r="H29" s="34" t="n">
        <v>57126</v>
      </c>
      <c r="I29" t="inlineStr">
        <is>
          <t>3.1</t>
        </is>
      </c>
      <c r="J29" t="inlineStr">
        <is>
          <t>Ventas HoReCa</t>
        </is>
      </c>
      <c r="K29" t="inlineStr">
        <is>
          <t>CH1</t>
        </is>
      </c>
    </row>
    <row r="30">
      <c r="A30" s="33" t="n">
        <v>45663</v>
      </c>
      <c r="B30" t="inlineStr">
        <is>
          <t>2025-01</t>
        </is>
      </c>
      <c r="C30" t="inlineStr">
        <is>
          <t>D&amp;S SERVICIOS DE ALIMENTACIÓN SpA</t>
        </is>
      </c>
      <c r="D30" t="inlineStr">
        <is>
          <t xml:space="preserve">THE COFFEE STORE </t>
        </is>
      </c>
      <c r="E30" s="34" t="n">
        <v>37977</v>
      </c>
      <c r="F30" t="inlineStr">
        <is>
          <t>F</t>
        </is>
      </c>
      <c r="G30" s="34" t="n">
        <v>6064</v>
      </c>
      <c r="H30" s="34" t="n">
        <v>31913</v>
      </c>
      <c r="I30" t="inlineStr">
        <is>
          <t>3.1</t>
        </is>
      </c>
      <c r="J30" t="inlineStr">
        <is>
          <t>Ventas HoReCa</t>
        </is>
      </c>
      <c r="K30" t="inlineStr">
        <is>
          <t>CH1</t>
        </is>
      </c>
    </row>
    <row r="31">
      <c r="A31" s="33" t="n">
        <v>45663</v>
      </c>
      <c r="B31" t="inlineStr">
        <is>
          <t>2025-01</t>
        </is>
      </c>
      <c r="C31" t="inlineStr">
        <is>
          <t>BLUE OAK COFFE SPA</t>
        </is>
      </c>
      <c r="D31" t="inlineStr">
        <is>
          <t>HORECA CAFETERIA</t>
        </is>
      </c>
      <c r="E31" s="34" t="n">
        <v>63500</v>
      </c>
      <c r="F31" t="inlineStr">
        <is>
          <t>F</t>
        </is>
      </c>
      <c r="G31" s="34" t="n">
        <v>10139</v>
      </c>
      <c r="H31" s="34" t="n">
        <v>53361</v>
      </c>
      <c r="I31" t="inlineStr">
        <is>
          <t>3.1</t>
        </is>
      </c>
      <c r="J31" t="inlineStr">
        <is>
          <t>Ventas HoReCa</t>
        </is>
      </c>
      <c r="K31" t="inlineStr">
        <is>
          <t>CH1</t>
        </is>
      </c>
    </row>
    <row r="32">
      <c r="A32" s="33" t="n">
        <v>45663</v>
      </c>
      <c r="B32" t="inlineStr">
        <is>
          <t>2025-01</t>
        </is>
      </c>
      <c r="C32" t="inlineStr">
        <is>
          <t>BLUE OAK COFFE SPA</t>
        </is>
      </c>
      <c r="D32" t="inlineStr">
        <is>
          <t>HORECA CAFETERIA</t>
        </is>
      </c>
      <c r="E32" s="34" t="n">
        <v>63500</v>
      </c>
      <c r="F32" t="inlineStr">
        <is>
          <t>F</t>
        </is>
      </c>
      <c r="G32" s="34" t="n">
        <v>10139</v>
      </c>
      <c r="H32" s="34" t="n">
        <v>53361</v>
      </c>
      <c r="I32" t="inlineStr">
        <is>
          <t>3.1</t>
        </is>
      </c>
      <c r="J32" t="inlineStr">
        <is>
          <t>Ventas HoReCa</t>
        </is>
      </c>
      <c r="K32" t="inlineStr">
        <is>
          <t>CH1</t>
        </is>
      </c>
    </row>
    <row r="33">
      <c r="A33" s="33" t="n">
        <v>45663</v>
      </c>
      <c r="B33" t="inlineStr">
        <is>
          <t>2025-01</t>
        </is>
      </c>
      <c r="C33" t="inlineStr">
        <is>
          <t>BLUE OAK COFFE SPA</t>
        </is>
      </c>
      <c r="D33" t="inlineStr">
        <is>
          <t>HORECA CAFETERIA</t>
        </is>
      </c>
      <c r="E33" s="34" t="n">
        <v>63500</v>
      </c>
      <c r="F33" t="inlineStr">
        <is>
          <t>F</t>
        </is>
      </c>
      <c r="G33" s="34" t="n">
        <v>10139</v>
      </c>
      <c r="H33" s="34" t="n">
        <v>53361</v>
      </c>
      <c r="I33" t="inlineStr">
        <is>
          <t>3.1</t>
        </is>
      </c>
      <c r="J33" t="inlineStr">
        <is>
          <t>Ventas HoReCa</t>
        </is>
      </c>
      <c r="K33" t="inlineStr">
        <is>
          <t>CH1</t>
        </is>
      </c>
    </row>
    <row r="34">
      <c r="A34" s="33" t="n">
        <v>45663</v>
      </c>
      <c r="B34" t="inlineStr">
        <is>
          <t>2025-01</t>
        </is>
      </c>
      <c r="C34" t="inlineStr">
        <is>
          <t>BUSTORF LARSEN Y COMPANIA LIMITADA</t>
        </is>
      </c>
      <c r="D34" t="inlineStr">
        <is>
          <t>HORECA CAFETERIA</t>
        </is>
      </c>
      <c r="E34" s="34" t="n">
        <v>64990</v>
      </c>
      <c r="F34" t="inlineStr">
        <is>
          <t>F</t>
        </is>
      </c>
      <c r="G34" s="34" t="n">
        <v>10377</v>
      </c>
      <c r="H34" s="34" t="n">
        <v>54613</v>
      </c>
      <c r="I34" t="inlineStr">
        <is>
          <t>3.1</t>
        </is>
      </c>
      <c r="J34" t="inlineStr">
        <is>
          <t>Ventas HoReCa</t>
        </is>
      </c>
      <c r="K34" t="inlineStr">
        <is>
          <t>CH1</t>
        </is>
      </c>
    </row>
    <row r="35">
      <c r="A35" s="33" t="n">
        <v>45663</v>
      </c>
      <c r="B35" t="inlineStr">
        <is>
          <t>2025-01</t>
        </is>
      </c>
      <c r="C35" t="inlineStr">
        <is>
          <t>CAFETERÍA ALTURA LIMITADA</t>
        </is>
      </c>
      <c r="D35" t="inlineStr">
        <is>
          <t>HORECA CAFETERIA</t>
        </is>
      </c>
      <c r="E35" s="34" t="n">
        <v>78870</v>
      </c>
      <c r="F35" t="inlineStr">
        <is>
          <t>F</t>
        </is>
      </c>
      <c r="G35" s="34" t="n">
        <v>12593</v>
      </c>
      <c r="H35" s="34" t="n">
        <v>66277</v>
      </c>
      <c r="I35" t="inlineStr">
        <is>
          <t>3.1</t>
        </is>
      </c>
      <c r="J35" t="inlineStr">
        <is>
          <t>Ventas HoReCa</t>
        </is>
      </c>
      <c r="K35" t="inlineStr">
        <is>
          <t>CH1</t>
        </is>
      </c>
    </row>
    <row r="36">
      <c r="A36" s="33" t="n">
        <v>45663</v>
      </c>
      <c r="B36" t="inlineStr">
        <is>
          <t>2025-01</t>
        </is>
      </c>
      <c r="C36" t="inlineStr">
        <is>
          <t>INVERSIONES Y COMERCIALIZADORA FED LIMITADA</t>
        </is>
      </c>
      <c r="D36" t="inlineStr">
        <is>
          <t>HORECA CAFETERIA</t>
        </is>
      </c>
      <c r="E36" s="34" t="n">
        <v>132297</v>
      </c>
      <c r="F36" t="inlineStr">
        <is>
          <t>F</t>
        </is>
      </c>
      <c r="G36" s="34" t="n">
        <v>21123</v>
      </c>
      <c r="H36" s="34" t="n">
        <v>111174</v>
      </c>
      <c r="I36" t="inlineStr">
        <is>
          <t>3.1</t>
        </is>
      </c>
      <c r="J36" t="inlineStr">
        <is>
          <t>Ventas HoReCa</t>
        </is>
      </c>
      <c r="K36" t="inlineStr">
        <is>
          <t>CH1</t>
        </is>
      </c>
    </row>
    <row r="37">
      <c r="A37" s="33" t="n">
        <v>45663</v>
      </c>
      <c r="B37" t="inlineStr">
        <is>
          <t>2025-01</t>
        </is>
      </c>
      <c r="C37" t="inlineStr">
        <is>
          <t>INVERSIONES Y COMERCIALIZADORA FED LIMITADA</t>
        </is>
      </c>
      <c r="D37" t="inlineStr">
        <is>
          <t>HORECA CAFETERIA</t>
        </is>
      </c>
      <c r="E37" s="34" t="n">
        <v>104830</v>
      </c>
      <c r="F37" t="inlineStr">
        <is>
          <t>F</t>
        </is>
      </c>
      <c r="G37" s="34" t="n">
        <v>16738</v>
      </c>
      <c r="H37" s="34" t="n">
        <v>88092</v>
      </c>
      <c r="I37" t="inlineStr">
        <is>
          <t>3.1</t>
        </is>
      </c>
      <c r="J37" t="inlineStr">
        <is>
          <t>Ventas HoReCa</t>
        </is>
      </c>
      <c r="K37" t="inlineStr">
        <is>
          <t>CH1</t>
        </is>
      </c>
    </row>
    <row r="38">
      <c r="A38" s="33" t="n">
        <v>45663</v>
      </c>
      <c r="B38" t="inlineStr">
        <is>
          <t>2025-01</t>
        </is>
      </c>
      <c r="C38" t="inlineStr">
        <is>
          <t>Sin cliente</t>
        </is>
      </c>
      <c r="D38" t="inlineStr">
        <is>
          <t>Rellenos</t>
        </is>
      </c>
      <c r="E38" s="34" t="n">
        <v>21900</v>
      </c>
      <c r="F38" t="inlineStr">
        <is>
          <t>B</t>
        </is>
      </c>
      <c r="G38" s="34" t="n">
        <v>3497</v>
      </c>
      <c r="H38" s="34" t="n">
        <v>18403</v>
      </c>
      <c r="I38" t="inlineStr">
        <is>
          <t>3.2</t>
        </is>
      </c>
      <c r="J38" t="inlineStr">
        <is>
          <t>Ventas Personas (B2C)</t>
        </is>
      </c>
      <c r="K38" t="inlineStr">
        <is>
          <t>CH2</t>
        </is>
      </c>
    </row>
    <row r="39">
      <c r="A39" s="33" t="n">
        <v>45663</v>
      </c>
      <c r="B39" t="inlineStr">
        <is>
          <t>2025-01</t>
        </is>
      </c>
      <c r="C39" t="inlineStr">
        <is>
          <t>Leticia Medina</t>
        </is>
      </c>
      <c r="D39" t="inlineStr">
        <is>
          <t>CANELÉ TRADICIONAL</t>
        </is>
      </c>
      <c r="E39" s="34" t="n">
        <v>15499</v>
      </c>
      <c r="F39" t="inlineStr">
        <is>
          <t>B</t>
        </is>
      </c>
      <c r="G39" s="34" t="n">
        <v>2475</v>
      </c>
      <c r="H39" s="34" t="n">
        <v>13024</v>
      </c>
      <c r="I39" t="inlineStr">
        <is>
          <t>3.2</t>
        </is>
      </c>
      <c r="J39" t="inlineStr">
        <is>
          <t>Ventas Personas (B2C)</t>
        </is>
      </c>
      <c r="K39" t="inlineStr">
        <is>
          <t>CH2</t>
        </is>
      </c>
    </row>
    <row r="40">
      <c r="A40" s="33" t="n">
        <v>45664</v>
      </c>
      <c r="B40" t="inlineStr">
        <is>
          <t>2025-01</t>
        </is>
      </c>
      <c r="C40" t="inlineStr">
        <is>
          <t>Gisela Awad</t>
        </is>
      </c>
      <c r="D40" t="inlineStr">
        <is>
          <t>Delicatessen</t>
        </is>
      </c>
      <c r="E40" s="34" t="n">
        <v>42690</v>
      </c>
      <c r="F40" t="inlineStr">
        <is>
          <t>B</t>
        </is>
      </c>
      <c r="G40" s="34" t="n">
        <v>6816</v>
      </c>
      <c r="H40" s="34" t="n">
        <v>35874</v>
      </c>
      <c r="I40" t="inlineStr">
        <is>
          <t>3.2</t>
        </is>
      </c>
      <c r="J40" t="inlineStr">
        <is>
          <t>Ventas Personas (B2C)</t>
        </is>
      </c>
      <c r="K40" t="inlineStr">
        <is>
          <t>CH2</t>
        </is>
      </c>
    </row>
    <row r="41">
      <c r="A41" s="33" t="n">
        <v>45664</v>
      </c>
      <c r="B41" t="inlineStr">
        <is>
          <t>2025-01</t>
        </is>
      </c>
      <c r="C41" t="inlineStr">
        <is>
          <t>carla vilches carrasco</t>
        </is>
      </c>
      <c r="D41" t="inlineStr">
        <is>
          <t>Rellenos</t>
        </is>
      </c>
      <c r="E41" s="34" t="n">
        <v>26890</v>
      </c>
      <c r="F41" t="inlineStr">
        <is>
          <t>B</t>
        </is>
      </c>
      <c r="G41" s="34" t="n">
        <v>4293</v>
      </c>
      <c r="H41" s="34" t="n">
        <v>22597</v>
      </c>
      <c r="I41" t="inlineStr">
        <is>
          <t>3.2</t>
        </is>
      </c>
      <c r="J41" t="inlineStr">
        <is>
          <t>Ventas Personas (B2C)</t>
        </is>
      </c>
      <c r="K41" t="inlineStr">
        <is>
          <t>CH2</t>
        </is>
      </c>
    </row>
    <row r="42">
      <c r="A42" s="33" t="n">
        <v>45664</v>
      </c>
      <c r="B42" t="inlineStr">
        <is>
          <t>2025-01</t>
        </is>
      </c>
      <c r="C42" t="inlineStr">
        <is>
          <t>Sin cliente</t>
        </is>
      </c>
      <c r="D42" t="inlineStr">
        <is>
          <t>CANELÉ TRADICIONAL</t>
        </is>
      </c>
      <c r="E42" s="34" t="n">
        <v>13900</v>
      </c>
      <c r="F42" t="inlineStr">
        <is>
          <t>B</t>
        </is>
      </c>
      <c r="G42" s="34" t="n">
        <v>2219</v>
      </c>
      <c r="H42" s="34" t="n">
        <v>11681</v>
      </c>
      <c r="I42" t="inlineStr">
        <is>
          <t>3.2</t>
        </is>
      </c>
      <c r="J42" t="inlineStr">
        <is>
          <t>Ventas Personas (B2C)</t>
        </is>
      </c>
      <c r="K42" t="inlineStr">
        <is>
          <t>CH2</t>
        </is>
      </c>
    </row>
    <row r="43">
      <c r="A43" s="33" t="n">
        <v>45664</v>
      </c>
      <c r="B43" t="inlineStr">
        <is>
          <t>2025-01</t>
        </is>
      </c>
      <c r="C43" t="inlineStr">
        <is>
          <t>Guido Vargas</t>
        </is>
      </c>
      <c r="D43" t="inlineStr">
        <is>
          <t>CANELÉ TRADICIONAL</t>
        </is>
      </c>
      <c r="E43" s="34" t="n">
        <v>23390</v>
      </c>
      <c r="F43" t="inlineStr">
        <is>
          <t>B</t>
        </is>
      </c>
      <c r="G43" s="34" t="n">
        <v>3735</v>
      </c>
      <c r="H43" s="34" t="n">
        <v>19655</v>
      </c>
      <c r="I43" t="inlineStr">
        <is>
          <t>3.2</t>
        </is>
      </c>
      <c r="J43" t="inlineStr">
        <is>
          <t>Ventas Personas (B2C)</t>
        </is>
      </c>
      <c r="K43" t="inlineStr">
        <is>
          <t>CH2</t>
        </is>
      </c>
    </row>
    <row r="44">
      <c r="A44" s="33" t="n">
        <v>45664</v>
      </c>
      <c r="B44" t="inlineStr">
        <is>
          <t>2025-01</t>
        </is>
      </c>
      <c r="C44" t="inlineStr">
        <is>
          <t>SOCIEDAD COMERCIAL JOSEFINA SPA</t>
        </is>
      </c>
      <c r="D44" t="inlineStr">
        <is>
          <t>HORECA CAFETERIA</t>
        </is>
      </c>
      <c r="E44" s="34" t="n">
        <v>30000</v>
      </c>
      <c r="F44" t="inlineStr">
        <is>
          <t>F</t>
        </is>
      </c>
      <c r="G44" s="34" t="n">
        <v>4790</v>
      </c>
      <c r="H44" s="34" t="n">
        <v>25210</v>
      </c>
      <c r="I44" t="inlineStr">
        <is>
          <t>3.1</t>
        </is>
      </c>
      <c r="J44" t="inlineStr">
        <is>
          <t>Ventas HoReCa</t>
        </is>
      </c>
      <c r="K44" t="inlineStr">
        <is>
          <t>CH1</t>
        </is>
      </c>
    </row>
    <row r="45">
      <c r="A45" s="33" t="n">
        <v>45664</v>
      </c>
      <c r="B45" t="inlineStr">
        <is>
          <t>2025-01</t>
        </is>
      </c>
      <c r="C45" t="inlineStr">
        <is>
          <t>Sin cliente</t>
        </is>
      </c>
      <c r="D45" t="inlineStr">
        <is>
          <t>CANELÉ TRADICIONAL</t>
        </is>
      </c>
      <c r="E45" s="34" t="n">
        <v>18800</v>
      </c>
      <c r="F45" t="inlineStr">
        <is>
          <t>B</t>
        </is>
      </c>
      <c r="G45" s="34" t="n">
        <v>3002</v>
      </c>
      <c r="H45" s="34" t="n">
        <v>15798</v>
      </c>
      <c r="I45" t="inlineStr">
        <is>
          <t>3.2</t>
        </is>
      </c>
      <c r="J45" t="inlineStr">
        <is>
          <t>Ventas Personas (B2C)</t>
        </is>
      </c>
      <c r="K45" t="inlineStr">
        <is>
          <t>CH2</t>
        </is>
      </c>
    </row>
    <row r="46">
      <c r="A46" s="33" t="n">
        <v>45665</v>
      </c>
      <c r="B46" t="inlineStr">
        <is>
          <t>2025-01</t>
        </is>
      </c>
      <c r="C46" t="inlineStr">
        <is>
          <t>Clark Veloso Valenzuela</t>
        </is>
      </c>
      <c r="D46" t="inlineStr">
        <is>
          <t>HORECA CAFETERIA</t>
        </is>
      </c>
      <c r="E46" s="34" t="n">
        <v>64990</v>
      </c>
      <c r="F46" t="inlineStr">
        <is>
          <t>F</t>
        </is>
      </c>
      <c r="G46" s="34" t="n">
        <v>10377</v>
      </c>
      <c r="H46" s="34" t="n">
        <v>54613</v>
      </c>
      <c r="I46" t="inlineStr">
        <is>
          <t>3.1</t>
        </is>
      </c>
      <c r="J46" t="inlineStr">
        <is>
          <t>Ventas HoReCa</t>
        </is>
      </c>
      <c r="K46" t="inlineStr">
        <is>
          <t>CH1</t>
        </is>
      </c>
    </row>
    <row r="47">
      <c r="A47" s="33" t="n">
        <v>45665</v>
      </c>
      <c r="B47" t="inlineStr">
        <is>
          <t>2025-01</t>
        </is>
      </c>
      <c r="C47" t="inlineStr">
        <is>
          <t>CAFETERIA THE ELEPHANT COFFEE LIMITADA</t>
        </is>
      </c>
      <c r="D47" t="inlineStr">
        <is>
          <t>HORECA CAFETERIA</t>
        </is>
      </c>
      <c r="E47" s="34" t="n">
        <v>137940</v>
      </c>
      <c r="F47" t="inlineStr">
        <is>
          <t>F</t>
        </is>
      </c>
      <c r="G47" s="34" t="n">
        <v>22024</v>
      </c>
      <c r="H47" s="34" t="n">
        <v>115916</v>
      </c>
      <c r="I47" t="inlineStr">
        <is>
          <t>3.1</t>
        </is>
      </c>
      <c r="J47" t="inlineStr">
        <is>
          <t>Ventas HoReCa</t>
        </is>
      </c>
      <c r="K47" t="inlineStr">
        <is>
          <t>CH1</t>
        </is>
      </c>
    </row>
    <row r="48">
      <c r="A48" s="33" t="n">
        <v>45665</v>
      </c>
      <c r="B48" t="inlineStr">
        <is>
          <t>2025-01</t>
        </is>
      </c>
      <c r="C48" t="inlineStr">
        <is>
          <t>CAFE DIARIO ENCOMENDEROS SPA</t>
        </is>
      </c>
      <c r="D48" t="inlineStr">
        <is>
          <t>HORECA CAFETERIA</t>
        </is>
      </c>
      <c r="E48" s="34" t="n">
        <v>58611</v>
      </c>
      <c r="F48" t="inlineStr">
        <is>
          <t>F</t>
        </is>
      </c>
      <c r="G48" s="34" t="n">
        <v>9358</v>
      </c>
      <c r="H48" s="34" t="n">
        <v>49253</v>
      </c>
      <c r="I48" t="inlineStr">
        <is>
          <t>3.1</t>
        </is>
      </c>
      <c r="J48" t="inlineStr">
        <is>
          <t>Ventas HoReCa</t>
        </is>
      </c>
      <c r="K48" t="inlineStr">
        <is>
          <t>CH1</t>
        </is>
      </c>
    </row>
    <row r="49">
      <c r="A49" s="33" t="n">
        <v>45665</v>
      </c>
      <c r="B49" t="inlineStr">
        <is>
          <t>2025-01</t>
        </is>
      </c>
      <c r="C49" t="inlineStr">
        <is>
          <t>Nicolas Salgado</t>
        </is>
      </c>
      <c r="D49" t="inlineStr">
        <is>
          <t>CANELÉ TRADICIONAL</t>
        </is>
      </c>
      <c r="E49" s="34" t="n">
        <v>27789</v>
      </c>
      <c r="F49" t="inlineStr">
        <is>
          <t>B</t>
        </is>
      </c>
      <c r="G49" s="34" t="n">
        <v>4437</v>
      </c>
      <c r="H49" s="34" t="n">
        <v>23352</v>
      </c>
      <c r="I49" t="inlineStr">
        <is>
          <t>3.2</t>
        </is>
      </c>
      <c r="J49" t="inlineStr">
        <is>
          <t>Ventas Personas (B2C)</t>
        </is>
      </c>
      <c r="K49" t="inlineStr">
        <is>
          <t>CH2</t>
        </is>
      </c>
    </row>
    <row r="50">
      <c r="A50" s="33" t="n">
        <v>45665</v>
      </c>
      <c r="B50" t="inlineStr">
        <is>
          <t>2025-01</t>
        </is>
      </c>
      <c r="C50" t="inlineStr">
        <is>
          <t>Sin cliente</t>
        </is>
      </c>
      <c r="D50" t="inlineStr">
        <is>
          <t>PLATAFORMAS RAP-PEYA-UBER-GOOD</t>
        </is>
      </c>
      <c r="E50" s="34" t="n">
        <v>62028</v>
      </c>
      <c r="F50" t="inlineStr">
        <is>
          <t>B</t>
        </is>
      </c>
      <c r="G50" s="34" t="n">
        <v>9904</v>
      </c>
      <c r="H50" s="34" t="n">
        <v>52124</v>
      </c>
      <c r="I50" t="inlineStr">
        <is>
          <t>3.6</t>
        </is>
      </c>
      <c r="J50" t="inlineStr">
        <is>
          <t>Ventas Delivery Apps</t>
        </is>
      </c>
      <c r="K50" t="inlineStr">
        <is>
          <t>CH3</t>
        </is>
      </c>
    </row>
    <row r="51">
      <c r="A51" s="33" t="n">
        <v>45665</v>
      </c>
      <c r="B51" t="inlineStr">
        <is>
          <t>2025-01</t>
        </is>
      </c>
      <c r="C51" t="inlineStr">
        <is>
          <t>Sin cliente</t>
        </is>
      </c>
      <c r="D51" t="inlineStr">
        <is>
          <t>Rellenos</t>
        </is>
      </c>
      <c r="E51" s="34" t="n">
        <v>28900</v>
      </c>
      <c r="F51" t="inlineStr">
        <is>
          <t>B</t>
        </is>
      </c>
      <c r="G51" s="34" t="n">
        <v>4614</v>
      </c>
      <c r="H51" s="34" t="n">
        <v>24286</v>
      </c>
      <c r="I51" t="inlineStr">
        <is>
          <t>3.2</t>
        </is>
      </c>
      <c r="J51" t="inlineStr">
        <is>
          <t>Ventas Personas (B2C)</t>
        </is>
      </c>
      <c r="K51" t="inlineStr">
        <is>
          <t>CH2</t>
        </is>
      </c>
    </row>
    <row r="52">
      <c r="A52" s="33" t="n">
        <v>45665</v>
      </c>
      <c r="B52" t="inlineStr">
        <is>
          <t>2025-01</t>
        </is>
      </c>
      <c r="C52" t="inlineStr">
        <is>
          <t>Sin cliente</t>
        </is>
      </c>
      <c r="D52" t="inlineStr">
        <is>
          <t>CANELÉ TRADICIONAL</t>
        </is>
      </c>
      <c r="E52" s="34" t="n">
        <v>31800</v>
      </c>
      <c r="F52" t="inlineStr">
        <is>
          <t>B</t>
        </is>
      </c>
      <c r="G52" s="34" t="n">
        <v>5077</v>
      </c>
      <c r="H52" s="34" t="n">
        <v>26723</v>
      </c>
      <c r="I52" t="inlineStr">
        <is>
          <t>3.2</t>
        </is>
      </c>
      <c r="J52" t="inlineStr">
        <is>
          <t>Ventas Personas (B2C)</t>
        </is>
      </c>
      <c r="K52" t="inlineStr">
        <is>
          <t>CH2</t>
        </is>
      </c>
    </row>
    <row r="53">
      <c r="A53" s="33" t="n">
        <v>45665</v>
      </c>
      <c r="B53" t="inlineStr">
        <is>
          <t>2025-01</t>
        </is>
      </c>
      <c r="C53" t="inlineStr">
        <is>
          <t>Renata Alessio Meriggio</t>
        </is>
      </c>
      <c r="D53" t="inlineStr">
        <is>
          <t>CANELÉ TRADICIONAL</t>
        </is>
      </c>
      <c r="E53" s="34" t="n">
        <v>23790</v>
      </c>
      <c r="F53" t="inlineStr">
        <is>
          <t>B</t>
        </is>
      </c>
      <c r="G53" s="34" t="n">
        <v>3798</v>
      </c>
      <c r="H53" s="34" t="n">
        <v>19992</v>
      </c>
      <c r="I53" t="inlineStr">
        <is>
          <t>3.2</t>
        </is>
      </c>
      <c r="J53" t="inlineStr">
        <is>
          <t>Ventas Personas (B2C)</t>
        </is>
      </c>
      <c r="K53" t="inlineStr">
        <is>
          <t>CH2</t>
        </is>
      </c>
    </row>
    <row r="54">
      <c r="A54" s="33" t="n">
        <v>45666</v>
      </c>
      <c r="B54" t="inlineStr">
        <is>
          <t>2025-01</t>
        </is>
      </c>
      <c r="C54" t="inlineStr">
        <is>
          <t>POMPON SPA</t>
        </is>
      </c>
      <c r="D54" t="inlineStr">
        <is>
          <t>HORECA CAFETERIA</t>
        </is>
      </c>
      <c r="E54" s="34" t="n">
        <v>134470</v>
      </c>
      <c r="F54" t="inlineStr">
        <is>
          <t>F</t>
        </is>
      </c>
      <c r="G54" s="34" t="n">
        <v>21470</v>
      </c>
      <c r="H54" s="34" t="n">
        <v>113000</v>
      </c>
      <c r="I54" t="inlineStr">
        <is>
          <t>3.1</t>
        </is>
      </c>
      <c r="J54" t="inlineStr">
        <is>
          <t>Ventas HoReCa</t>
        </is>
      </c>
      <c r="K54" t="inlineStr">
        <is>
          <t>CH1</t>
        </is>
      </c>
    </row>
    <row r="55">
      <c r="A55" s="33" t="n">
        <v>45666</v>
      </c>
      <c r="B55" t="inlineStr">
        <is>
          <t>2025-01</t>
        </is>
      </c>
      <c r="C55" t="inlineStr">
        <is>
          <t>CAFÉ UNDER SPA</t>
        </is>
      </c>
      <c r="D55" t="inlineStr">
        <is>
          <t>HORECA CAFETERIA</t>
        </is>
      </c>
      <c r="E55" s="34" t="n">
        <v>63990</v>
      </c>
      <c r="F55" t="inlineStr">
        <is>
          <t>F</t>
        </is>
      </c>
      <c r="G55" s="34" t="n">
        <v>10217</v>
      </c>
      <c r="H55" s="34" t="n">
        <v>53773</v>
      </c>
      <c r="I55" t="inlineStr">
        <is>
          <t>3.1</t>
        </is>
      </c>
      <c r="J55" t="inlineStr">
        <is>
          <t>Ventas HoReCa</t>
        </is>
      </c>
      <c r="K55" t="inlineStr">
        <is>
          <t>CH1</t>
        </is>
      </c>
    </row>
    <row r="56">
      <c r="A56" s="33" t="n">
        <v>45666</v>
      </c>
      <c r="B56" t="inlineStr">
        <is>
          <t>2025-01</t>
        </is>
      </c>
      <c r="C56" t="inlineStr">
        <is>
          <t>Café del Parque SpA</t>
        </is>
      </c>
      <c r="D56" t="inlineStr">
        <is>
          <t>HORECA CAFETERIA</t>
        </is>
      </c>
      <c r="E56" s="34" t="n">
        <v>37548</v>
      </c>
      <c r="F56" t="inlineStr">
        <is>
          <t>F</t>
        </is>
      </c>
      <c r="G56" s="34" t="n">
        <v>5995</v>
      </c>
      <c r="H56" s="34" t="n">
        <v>31553</v>
      </c>
      <c r="I56" t="inlineStr">
        <is>
          <t>3.1</t>
        </is>
      </c>
      <c r="J56" t="inlineStr">
        <is>
          <t>Ventas HoReCa</t>
        </is>
      </c>
      <c r="K56" t="inlineStr">
        <is>
          <t>CH1</t>
        </is>
      </c>
    </row>
    <row r="57">
      <c r="A57" s="33" t="n">
        <v>45666</v>
      </c>
      <c r="B57" t="inlineStr">
        <is>
          <t>2025-01</t>
        </is>
      </c>
      <c r="C57" t="inlineStr">
        <is>
          <t>Sin cliente</t>
        </is>
      </c>
      <c r="D57" t="inlineStr">
        <is>
          <t>PLATAFORMAS RAP-PEYA-UBER-GOOD</t>
        </is>
      </c>
      <c r="E57" s="34" t="n">
        <v>16680</v>
      </c>
      <c r="F57" t="inlineStr">
        <is>
          <t>B</t>
        </is>
      </c>
      <c r="G57" s="34" t="n">
        <v>2663</v>
      </c>
      <c r="H57" s="34" t="n">
        <v>14017</v>
      </c>
      <c r="I57" t="inlineStr">
        <is>
          <t>3.6</t>
        </is>
      </c>
      <c r="J57" t="inlineStr">
        <is>
          <t>Ventas Delivery Apps</t>
        </is>
      </c>
      <c r="K57" t="inlineStr">
        <is>
          <t>CH3</t>
        </is>
      </c>
    </row>
    <row r="58">
      <c r="A58" s="33" t="n">
        <v>45666</v>
      </c>
      <c r="B58" t="inlineStr">
        <is>
          <t>2025-01</t>
        </is>
      </c>
      <c r="C58" t="inlineStr">
        <is>
          <t>Sin cliente</t>
        </is>
      </c>
      <c r="D58" t="inlineStr">
        <is>
          <t>Petit Tradicional</t>
        </is>
      </c>
      <c r="E58" s="34" t="n">
        <v>10800</v>
      </c>
      <c r="F58" t="inlineStr">
        <is>
          <t>B</t>
        </is>
      </c>
      <c r="G58" s="34" t="n">
        <v>1724</v>
      </c>
      <c r="H58" s="34" t="n">
        <v>9076</v>
      </c>
      <c r="I58" t="inlineStr">
        <is>
          <t>3.2</t>
        </is>
      </c>
      <c r="J58" t="inlineStr">
        <is>
          <t>Ventas Personas (B2C)</t>
        </is>
      </c>
      <c r="K58" t="inlineStr">
        <is>
          <t>CH2</t>
        </is>
      </c>
    </row>
    <row r="59">
      <c r="A59" s="33" t="n">
        <v>45666</v>
      </c>
      <c r="B59" t="inlineStr">
        <is>
          <t>2025-01</t>
        </is>
      </c>
      <c r="C59" t="inlineStr">
        <is>
          <t>Sin cliente</t>
        </is>
      </c>
      <c r="D59" t="inlineStr">
        <is>
          <t>CANELÉ TRADICIONAL</t>
        </is>
      </c>
      <c r="E59" s="34" t="n">
        <v>5000</v>
      </c>
      <c r="F59" t="inlineStr">
        <is>
          <t>B</t>
        </is>
      </c>
      <c r="G59" s="34" t="n">
        <v>798</v>
      </c>
      <c r="H59" s="34" t="n">
        <v>4202</v>
      </c>
      <c r="I59" t="inlineStr">
        <is>
          <t>3.2</t>
        </is>
      </c>
      <c r="J59" t="inlineStr">
        <is>
          <t>Ventas Personas (B2C)</t>
        </is>
      </c>
      <c r="K59" t="inlineStr">
        <is>
          <t>CH2</t>
        </is>
      </c>
    </row>
    <row r="60">
      <c r="A60" s="33" t="n">
        <v>45666</v>
      </c>
      <c r="B60" t="inlineStr">
        <is>
          <t>2025-01</t>
        </is>
      </c>
      <c r="C60" t="inlineStr">
        <is>
          <t>GALVEZ Y HEUSSER SPA</t>
        </is>
      </c>
      <c r="D60" t="inlineStr">
        <is>
          <t>HORECA CATERING</t>
        </is>
      </c>
      <c r="E60" s="34" t="n">
        <v>138190</v>
      </c>
      <c r="F60" t="inlineStr">
        <is>
          <t>F</t>
        </is>
      </c>
      <c r="G60" s="34" t="n">
        <v>22064</v>
      </c>
      <c r="H60" s="34" t="n">
        <v>116126</v>
      </c>
      <c r="I60" t="inlineStr">
        <is>
          <t>3.1</t>
        </is>
      </c>
      <c r="J60" t="inlineStr">
        <is>
          <t>Ventas HoReCa</t>
        </is>
      </c>
      <c r="K60" t="inlineStr">
        <is>
          <t>CH1</t>
        </is>
      </c>
    </row>
    <row r="61">
      <c r="A61" s="33" t="n">
        <v>45666</v>
      </c>
      <c r="B61" t="inlineStr">
        <is>
          <t>2025-01</t>
        </is>
      </c>
      <c r="C61" t="inlineStr">
        <is>
          <t>Fernanda Mayo</t>
        </is>
      </c>
      <c r="D61" t="inlineStr">
        <is>
          <t>Petit Tradicional</t>
        </is>
      </c>
      <c r="E61" s="34" t="n">
        <v>10800</v>
      </c>
      <c r="F61" t="inlineStr">
        <is>
          <t>B</t>
        </is>
      </c>
      <c r="G61" s="34" t="n">
        <v>1724</v>
      </c>
      <c r="H61" s="34" t="n">
        <v>9076</v>
      </c>
      <c r="I61" t="inlineStr">
        <is>
          <t>3.2</t>
        </is>
      </c>
      <c r="J61" t="inlineStr">
        <is>
          <t>Ventas Personas (B2C)</t>
        </is>
      </c>
      <c r="K61" t="inlineStr">
        <is>
          <t>CH2</t>
        </is>
      </c>
    </row>
    <row r="62">
      <c r="A62" s="33" t="n">
        <v>45666</v>
      </c>
      <c r="B62" t="inlineStr">
        <is>
          <t>2025-01</t>
        </is>
      </c>
      <c r="C62" t="inlineStr">
        <is>
          <t>Eva Rekus</t>
        </is>
      </c>
      <c r="D62" t="inlineStr">
        <is>
          <t>Delicatessen</t>
        </is>
      </c>
      <c r="E62" s="34" t="n">
        <v>51700</v>
      </c>
      <c r="F62" t="inlineStr">
        <is>
          <t>B</t>
        </is>
      </c>
      <c r="G62" s="34" t="n">
        <v>8255</v>
      </c>
      <c r="H62" s="34" t="n">
        <v>43445</v>
      </c>
      <c r="I62" t="inlineStr">
        <is>
          <t>3.2</t>
        </is>
      </c>
      <c r="J62" t="inlineStr">
        <is>
          <t>Ventas Personas (B2C)</t>
        </is>
      </c>
      <c r="K62" t="inlineStr">
        <is>
          <t>CH2</t>
        </is>
      </c>
    </row>
    <row r="63">
      <c r="A63" s="33" t="n">
        <v>45666</v>
      </c>
      <c r="B63" t="inlineStr">
        <is>
          <t>2025-01</t>
        </is>
      </c>
      <c r="C63" t="inlineStr">
        <is>
          <t>Café Santos SpA</t>
        </is>
      </c>
      <c r="D63" t="inlineStr">
        <is>
          <t xml:space="preserve">THE COFFEE STORE </t>
        </is>
      </c>
      <c r="E63" s="34" t="n">
        <v>37977</v>
      </c>
      <c r="F63" t="inlineStr">
        <is>
          <t>F</t>
        </is>
      </c>
      <c r="G63" s="34" t="n">
        <v>6064</v>
      </c>
      <c r="H63" s="34" t="n">
        <v>31913</v>
      </c>
      <c r="I63" t="inlineStr">
        <is>
          <t>3.1</t>
        </is>
      </c>
      <c r="J63" t="inlineStr">
        <is>
          <t>Ventas HoReCa</t>
        </is>
      </c>
      <c r="K63" t="inlineStr">
        <is>
          <t>CH1</t>
        </is>
      </c>
    </row>
    <row r="64">
      <c r="A64" s="33" t="n">
        <v>45666</v>
      </c>
      <c r="B64" t="inlineStr">
        <is>
          <t>2025-01</t>
        </is>
      </c>
      <c r="C64" t="inlineStr">
        <is>
          <t>Luz Kerestegian</t>
        </is>
      </c>
      <c r="D64" t="inlineStr">
        <is>
          <t>Delicatessen</t>
        </is>
      </c>
      <c r="E64" s="34" t="n">
        <v>27879</v>
      </c>
      <c r="F64" t="inlineStr">
        <is>
          <t>B</t>
        </is>
      </c>
      <c r="G64" s="34" t="n">
        <v>4451</v>
      </c>
      <c r="H64" s="34" t="n">
        <v>23428</v>
      </c>
      <c r="I64" t="inlineStr">
        <is>
          <t>3.2</t>
        </is>
      </c>
      <c r="J64" t="inlineStr">
        <is>
          <t>Ventas Personas (B2C)</t>
        </is>
      </c>
      <c r="K64" t="inlineStr">
        <is>
          <t>CH2</t>
        </is>
      </c>
    </row>
    <row r="65">
      <c r="A65" s="33" t="n">
        <v>45666</v>
      </c>
      <c r="B65" t="inlineStr">
        <is>
          <t>2025-01</t>
        </is>
      </c>
      <c r="C65" t="inlineStr">
        <is>
          <t>Sin cliente</t>
        </is>
      </c>
      <c r="D65" t="inlineStr">
        <is>
          <t>CANELE SIN AZUCAR</t>
        </is>
      </c>
      <c r="E65" s="34" t="n">
        <v>59100</v>
      </c>
      <c r="F65" t="inlineStr">
        <is>
          <t>B</t>
        </is>
      </c>
      <c r="G65" s="34" t="n">
        <v>9436</v>
      </c>
      <c r="H65" s="34" t="n">
        <v>49664</v>
      </c>
      <c r="I65" t="inlineStr">
        <is>
          <t>3.2</t>
        </is>
      </c>
      <c r="J65" t="inlineStr">
        <is>
          <t>Ventas Personas (B2C)</t>
        </is>
      </c>
      <c r="K65" t="inlineStr">
        <is>
          <t>CH2</t>
        </is>
      </c>
    </row>
    <row r="66">
      <c r="A66" s="33" t="n">
        <v>45666</v>
      </c>
      <c r="B66" t="inlineStr">
        <is>
          <t>2025-01</t>
        </is>
      </c>
      <c r="C66" t="inlineStr">
        <is>
          <t>Sin cliente</t>
        </is>
      </c>
      <c r="D66" t="inlineStr">
        <is>
          <t>PLATAFORMAS RAP-PEYA-UBER-GOOD</t>
        </is>
      </c>
      <c r="E66" s="34" t="n">
        <v>23760</v>
      </c>
      <c r="F66" t="inlineStr">
        <is>
          <t>B</t>
        </is>
      </c>
      <c r="G66" s="34" t="n">
        <v>3794</v>
      </c>
      <c r="H66" s="34" t="n">
        <v>19966</v>
      </c>
      <c r="I66" t="inlineStr">
        <is>
          <t>3.6</t>
        </is>
      </c>
      <c r="J66" t="inlineStr">
        <is>
          <t>Ventas Delivery Apps</t>
        </is>
      </c>
      <c r="K66" t="inlineStr">
        <is>
          <t>CH3</t>
        </is>
      </c>
    </row>
    <row r="67">
      <c r="A67" s="33" t="n">
        <v>45666</v>
      </c>
      <c r="B67" t="inlineStr">
        <is>
          <t>2025-01</t>
        </is>
      </c>
      <c r="C67" t="inlineStr">
        <is>
          <t>Sin cliente</t>
        </is>
      </c>
      <c r="D67" t="inlineStr">
        <is>
          <t>CANELÉ TRADICIONAL</t>
        </is>
      </c>
      <c r="E67" s="34" t="n">
        <v>13900</v>
      </c>
      <c r="F67" t="inlineStr">
        <is>
          <t>B</t>
        </is>
      </c>
      <c r="G67" s="34" t="n">
        <v>2219</v>
      </c>
      <c r="H67" s="34" t="n">
        <v>11681</v>
      </c>
      <c r="I67" t="inlineStr">
        <is>
          <t>3.2</t>
        </is>
      </c>
      <c r="J67" t="inlineStr">
        <is>
          <t>Ventas Personas (B2C)</t>
        </is>
      </c>
      <c r="K67" t="inlineStr">
        <is>
          <t>CH2</t>
        </is>
      </c>
    </row>
    <row r="68">
      <c r="A68" s="33" t="n">
        <v>45666</v>
      </c>
      <c r="B68" t="inlineStr">
        <is>
          <t>2025-01</t>
        </is>
      </c>
      <c r="C68" t="inlineStr">
        <is>
          <t>Leopoldo Altamirano</t>
        </is>
      </c>
      <c r="D68" t="inlineStr">
        <is>
          <t>Mix Sabores</t>
        </is>
      </c>
      <c r="E68" s="34" t="n">
        <v>26820</v>
      </c>
      <c r="F68" t="inlineStr">
        <is>
          <t>B</t>
        </is>
      </c>
      <c r="G68" s="34" t="n">
        <v>4282</v>
      </c>
      <c r="H68" s="34" t="n">
        <v>22538</v>
      </c>
      <c r="I68" t="inlineStr">
        <is>
          <t>3.2</t>
        </is>
      </c>
      <c r="J68" t="inlineStr">
        <is>
          <t>Ventas Personas (B2C)</t>
        </is>
      </c>
      <c r="K68" t="inlineStr">
        <is>
          <t>CH2</t>
        </is>
      </c>
    </row>
    <row r="69">
      <c r="A69" s="33" t="n">
        <v>45667</v>
      </c>
      <c r="B69" t="inlineStr">
        <is>
          <t>2025-01</t>
        </is>
      </c>
      <c r="C69" t="inlineStr">
        <is>
          <t>BEMVINDO CAFE</t>
        </is>
      </c>
      <c r="D69" t="inlineStr">
        <is>
          <t>HORECA CAFETERIA</t>
        </is>
      </c>
      <c r="E69" s="34" t="n">
        <v>36426</v>
      </c>
      <c r="F69" t="inlineStr">
        <is>
          <t>F</t>
        </is>
      </c>
      <c r="G69" s="34" t="n">
        <v>5816</v>
      </c>
      <c r="H69" s="34" t="n">
        <v>30610</v>
      </c>
      <c r="I69" t="inlineStr">
        <is>
          <t>3.1</t>
        </is>
      </c>
      <c r="J69" t="inlineStr">
        <is>
          <t>Ventas HoReCa</t>
        </is>
      </c>
      <c r="K69" t="inlineStr">
        <is>
          <t>CH1</t>
        </is>
      </c>
    </row>
    <row r="70">
      <c r="A70" s="33" t="n">
        <v>45667</v>
      </c>
      <c r="B70" t="inlineStr">
        <is>
          <t>2025-01</t>
        </is>
      </c>
      <c r="C70" t="inlineStr">
        <is>
          <t>HUERTO SUR LIMITADA</t>
        </is>
      </c>
      <c r="D70" t="inlineStr">
        <is>
          <t>HORECA CAFETERIA</t>
        </is>
      </c>
      <c r="E70" s="34" t="n">
        <v>117790</v>
      </c>
      <c r="F70" t="inlineStr">
        <is>
          <t>F</t>
        </is>
      </c>
      <c r="G70" s="34" t="n">
        <v>18807</v>
      </c>
      <c r="H70" s="34" t="n">
        <v>98983</v>
      </c>
      <c r="I70" t="inlineStr">
        <is>
          <t>3.1</t>
        </is>
      </c>
      <c r="J70" t="inlineStr">
        <is>
          <t>Ventas HoReCa</t>
        </is>
      </c>
      <c r="K70" t="inlineStr">
        <is>
          <t>CH1</t>
        </is>
      </c>
    </row>
    <row r="71">
      <c r="A71" s="33" t="n">
        <v>45667</v>
      </c>
      <c r="B71" t="inlineStr">
        <is>
          <t>2025-01</t>
        </is>
      </c>
      <c r="C71" t="inlineStr">
        <is>
          <t>Carolina Carrasco</t>
        </is>
      </c>
      <c r="D71" t="inlineStr">
        <is>
          <t>CANELÉ TRADICIONAL</t>
        </is>
      </c>
      <c r="E71" s="34" t="n">
        <v>27199</v>
      </c>
      <c r="F71" t="inlineStr">
        <is>
          <t>B</t>
        </is>
      </c>
      <c r="G71" s="34" t="n">
        <v>4343</v>
      </c>
      <c r="H71" s="34" t="n">
        <v>22856</v>
      </c>
      <c r="I71" t="inlineStr">
        <is>
          <t>3.2</t>
        </is>
      </c>
      <c r="J71" t="inlineStr">
        <is>
          <t>Ventas Personas (B2C)</t>
        </is>
      </c>
      <c r="K71" t="inlineStr">
        <is>
          <t>CH2</t>
        </is>
      </c>
    </row>
    <row r="72">
      <c r="A72" s="33" t="n">
        <v>45667</v>
      </c>
      <c r="B72" t="inlineStr">
        <is>
          <t>2025-01</t>
        </is>
      </c>
      <c r="C72" t="inlineStr">
        <is>
          <t>Eduardo Benedetto</t>
        </is>
      </c>
      <c r="D72" t="inlineStr">
        <is>
          <t>Delicatessen</t>
        </is>
      </c>
      <c r="E72" s="34" t="n">
        <v>64679</v>
      </c>
      <c r="F72" t="inlineStr">
        <is>
          <t>B</t>
        </is>
      </c>
      <c r="G72" s="34" t="n">
        <v>10327</v>
      </c>
      <c r="H72" s="34" t="n">
        <v>54352</v>
      </c>
      <c r="I72" t="inlineStr">
        <is>
          <t>3.2</t>
        </is>
      </c>
      <c r="J72" t="inlineStr">
        <is>
          <t>Ventas Personas (B2C)</t>
        </is>
      </c>
      <c r="K72" t="inlineStr">
        <is>
          <t>CH2</t>
        </is>
      </c>
    </row>
    <row r="73">
      <c r="A73" s="33" t="n">
        <v>45667</v>
      </c>
      <c r="B73" t="inlineStr">
        <is>
          <t>2025-01</t>
        </is>
      </c>
      <c r="C73" t="inlineStr">
        <is>
          <t>Anderson Miguel Gomez Quiroz</t>
        </is>
      </c>
      <c r="D73" t="inlineStr">
        <is>
          <t>CANELE SIN AZUCAR</t>
        </is>
      </c>
      <c r="E73" s="34" t="n">
        <v>32470</v>
      </c>
      <c r="F73" t="inlineStr">
        <is>
          <t>B</t>
        </is>
      </c>
      <c r="G73" s="34" t="n">
        <v>5184</v>
      </c>
      <c r="H73" s="34" t="n">
        <v>27286</v>
      </c>
      <c r="I73" t="inlineStr">
        <is>
          <t>3.2</t>
        </is>
      </c>
      <c r="J73" t="inlineStr">
        <is>
          <t>Ventas Personas (B2C)</t>
        </is>
      </c>
      <c r="K73" t="inlineStr">
        <is>
          <t>CH2</t>
        </is>
      </c>
    </row>
    <row r="74">
      <c r="A74" s="33" t="n">
        <v>45667</v>
      </c>
      <c r="B74" t="inlineStr">
        <is>
          <t>2025-01</t>
        </is>
      </c>
      <c r="C74" t="inlineStr">
        <is>
          <t>Heidi Mejias</t>
        </is>
      </c>
      <c r="D74" t="inlineStr">
        <is>
          <t>CANELE SIN AZUCAR</t>
        </is>
      </c>
      <c r="E74" s="34" t="n">
        <v>12300</v>
      </c>
      <c r="F74" t="inlineStr">
        <is>
          <t>B</t>
        </is>
      </c>
      <c r="G74" s="34" t="n">
        <v>1964</v>
      </c>
      <c r="H74" s="34" t="n">
        <v>10336</v>
      </c>
      <c r="I74" t="inlineStr">
        <is>
          <t>3.2</t>
        </is>
      </c>
      <c r="J74" t="inlineStr">
        <is>
          <t>Ventas Personas (B2C)</t>
        </is>
      </c>
      <c r="K74" t="inlineStr">
        <is>
          <t>CH2</t>
        </is>
      </c>
    </row>
    <row r="75">
      <c r="A75" s="33" t="n">
        <v>45667</v>
      </c>
      <c r="B75" t="inlineStr">
        <is>
          <t>2025-01</t>
        </is>
      </c>
      <c r="C75" t="inlineStr">
        <is>
          <t>Sin cliente</t>
        </is>
      </c>
      <c r="D75" t="inlineStr">
        <is>
          <t>PLATAFORMAS RAP-PEYA-UBER-GOOD</t>
        </is>
      </c>
      <c r="E75" s="34" t="n">
        <v>23760</v>
      </c>
      <c r="F75" t="inlineStr">
        <is>
          <t>B</t>
        </is>
      </c>
      <c r="G75" s="34" t="n">
        <v>3794</v>
      </c>
      <c r="H75" s="34" t="n">
        <v>19966</v>
      </c>
      <c r="I75" t="inlineStr">
        <is>
          <t>3.6</t>
        </is>
      </c>
      <c r="J75" t="inlineStr">
        <is>
          <t>Ventas Delivery Apps</t>
        </is>
      </c>
      <c r="K75" t="inlineStr">
        <is>
          <t>CH3</t>
        </is>
      </c>
    </row>
    <row r="76">
      <c r="A76" s="33" t="n">
        <v>45667</v>
      </c>
      <c r="B76" t="inlineStr">
        <is>
          <t>2025-01</t>
        </is>
      </c>
      <c r="C76" t="inlineStr">
        <is>
          <t>Sin cliente</t>
        </is>
      </c>
      <c r="D76" t="inlineStr">
        <is>
          <t>CANELÉ TRADICIONAL</t>
        </is>
      </c>
      <c r="E76" s="34" t="n">
        <v>13900</v>
      </c>
      <c r="F76" t="inlineStr">
        <is>
          <t>B</t>
        </is>
      </c>
      <c r="G76" s="34" t="n">
        <v>2219</v>
      </c>
      <c r="H76" s="34" t="n">
        <v>11681</v>
      </c>
      <c r="I76" t="inlineStr">
        <is>
          <t>3.2</t>
        </is>
      </c>
      <c r="J76" t="inlineStr">
        <is>
          <t>Ventas Personas (B2C)</t>
        </is>
      </c>
      <c r="K76" t="inlineStr">
        <is>
          <t>CH2</t>
        </is>
      </c>
    </row>
    <row r="77">
      <c r="A77" s="33" t="n">
        <v>45668</v>
      </c>
      <c r="B77" t="inlineStr">
        <is>
          <t>2025-01</t>
        </is>
      </c>
      <c r="C77" t="inlineStr">
        <is>
          <t>Sin cliente</t>
        </is>
      </c>
      <c r="D77" t="inlineStr">
        <is>
          <t>CANELÉ TRADICIONAL</t>
        </is>
      </c>
      <c r="E77" s="34" t="n">
        <v>19800</v>
      </c>
      <c r="F77" t="inlineStr">
        <is>
          <t>B</t>
        </is>
      </c>
      <c r="G77" s="34" t="n">
        <v>3161</v>
      </c>
      <c r="H77" s="34" t="n">
        <v>16639</v>
      </c>
      <c r="I77" t="inlineStr">
        <is>
          <t>3.2</t>
        </is>
      </c>
      <c r="J77" t="inlineStr">
        <is>
          <t>Ventas Personas (B2C)</t>
        </is>
      </c>
      <c r="K77" t="inlineStr">
        <is>
          <t>CH2</t>
        </is>
      </c>
    </row>
    <row r="78">
      <c r="A78" s="33" t="n">
        <v>45668</v>
      </c>
      <c r="B78" t="inlineStr">
        <is>
          <t>2025-01</t>
        </is>
      </c>
      <c r="C78" t="inlineStr">
        <is>
          <t>Sin cliente</t>
        </is>
      </c>
      <c r="D78" t="inlineStr">
        <is>
          <t>CANELÉ TRADICIONAL</t>
        </is>
      </c>
      <c r="E78" s="34" t="n">
        <v>25800</v>
      </c>
      <c r="F78" t="inlineStr">
        <is>
          <t>B</t>
        </is>
      </c>
      <c r="G78" s="34" t="n">
        <v>4119</v>
      </c>
      <c r="H78" s="34" t="n">
        <v>21681</v>
      </c>
      <c r="I78" t="inlineStr">
        <is>
          <t>3.2</t>
        </is>
      </c>
      <c r="J78" t="inlineStr">
        <is>
          <t>Ventas Personas (B2C)</t>
        </is>
      </c>
      <c r="K78" t="inlineStr">
        <is>
          <t>CH2</t>
        </is>
      </c>
    </row>
    <row r="79">
      <c r="A79" s="33" t="n">
        <v>45668</v>
      </c>
      <c r="B79" t="inlineStr">
        <is>
          <t>2025-01</t>
        </is>
      </c>
      <c r="C79" t="inlineStr">
        <is>
          <t>Sin cliente</t>
        </is>
      </c>
      <c r="D79" t="inlineStr">
        <is>
          <t>CANELÉ TRADICIONAL</t>
        </is>
      </c>
      <c r="E79" s="34" t="n">
        <v>19800</v>
      </c>
      <c r="F79" t="inlineStr">
        <is>
          <t>B</t>
        </is>
      </c>
      <c r="G79" s="34" t="n">
        <v>3161</v>
      </c>
      <c r="H79" s="34" t="n">
        <v>16639</v>
      </c>
      <c r="I79" t="inlineStr">
        <is>
          <t>3.2</t>
        </is>
      </c>
      <c r="J79" t="inlineStr">
        <is>
          <t>Ventas Personas (B2C)</t>
        </is>
      </c>
      <c r="K79" t="inlineStr">
        <is>
          <t>CH2</t>
        </is>
      </c>
    </row>
    <row r="80">
      <c r="A80" s="33" t="n">
        <v>45668</v>
      </c>
      <c r="B80" t="inlineStr">
        <is>
          <t>2025-01</t>
        </is>
      </c>
      <c r="C80" t="inlineStr">
        <is>
          <t>Sandra Montoya</t>
        </is>
      </c>
      <c r="D80" t="inlineStr">
        <is>
          <t>CANELÉ TRADICIONAL</t>
        </is>
      </c>
      <c r="E80" s="34" t="n">
        <v>20889</v>
      </c>
      <c r="F80" t="inlineStr">
        <is>
          <t>B</t>
        </is>
      </c>
      <c r="G80" s="34" t="n">
        <v>3335</v>
      </c>
      <c r="H80" s="34" t="n">
        <v>17554</v>
      </c>
      <c r="I80" t="inlineStr">
        <is>
          <t>3.2</t>
        </is>
      </c>
      <c r="J80" t="inlineStr">
        <is>
          <t>Ventas Personas (B2C)</t>
        </is>
      </c>
      <c r="K80" t="inlineStr">
        <is>
          <t>CH2</t>
        </is>
      </c>
    </row>
    <row r="81">
      <c r="A81" s="33" t="n">
        <v>45668</v>
      </c>
      <c r="B81" t="inlineStr">
        <is>
          <t>2025-01</t>
        </is>
      </c>
      <c r="C81" t="inlineStr">
        <is>
          <t>Sin cliente</t>
        </is>
      </c>
      <c r="D81" t="inlineStr">
        <is>
          <t>CANELE SIN AZUCAR</t>
        </is>
      </c>
      <c r="E81" s="34" t="n">
        <v>20890</v>
      </c>
      <c r="F81" t="inlineStr">
        <is>
          <t>B</t>
        </is>
      </c>
      <c r="G81" s="34" t="n">
        <v>3335</v>
      </c>
      <c r="H81" s="34" t="n">
        <v>17555</v>
      </c>
      <c r="I81" t="inlineStr">
        <is>
          <t>3.2</t>
        </is>
      </c>
      <c r="J81" t="inlineStr">
        <is>
          <t>Ventas Personas (B2C)</t>
        </is>
      </c>
      <c r="K81" t="inlineStr">
        <is>
          <t>CH2</t>
        </is>
      </c>
    </row>
    <row r="82">
      <c r="A82" s="33" t="n">
        <v>45668</v>
      </c>
      <c r="B82" t="inlineStr">
        <is>
          <t>2025-01</t>
        </is>
      </c>
      <c r="C82" t="inlineStr">
        <is>
          <t>Andrea Paz Martínez</t>
        </is>
      </c>
      <c r="D82" t="inlineStr">
        <is>
          <t>Edición Navidad</t>
        </is>
      </c>
      <c r="E82" s="34" t="n">
        <v>18890</v>
      </c>
      <c r="F82" t="inlineStr">
        <is>
          <t>B</t>
        </is>
      </c>
      <c r="G82" s="34" t="n">
        <v>3016</v>
      </c>
      <c r="H82" s="34" t="n">
        <v>15874</v>
      </c>
      <c r="I82" t="inlineStr">
        <is>
          <t>3.2</t>
        </is>
      </c>
      <c r="J82" t="inlineStr">
        <is>
          <t>Ventas Personas (B2C)</t>
        </is>
      </c>
      <c r="K82" t="inlineStr">
        <is>
          <t>CH2</t>
        </is>
      </c>
    </row>
    <row r="83">
      <c r="A83" s="33" t="n">
        <v>45668</v>
      </c>
      <c r="B83" t="inlineStr">
        <is>
          <t>2025-01</t>
        </is>
      </c>
      <c r="C83" t="inlineStr">
        <is>
          <t>Sin cliente</t>
        </is>
      </c>
      <c r="D83" t="inlineStr">
        <is>
          <t>Delicatessen</t>
        </is>
      </c>
      <c r="E83" s="34" t="n">
        <v>7990</v>
      </c>
      <c r="F83" t="inlineStr">
        <is>
          <t>B</t>
        </is>
      </c>
      <c r="G83" s="34" t="n">
        <v>1276</v>
      </c>
      <c r="H83" s="34" t="n">
        <v>6714</v>
      </c>
      <c r="I83" t="inlineStr">
        <is>
          <t>3.2</t>
        </is>
      </c>
      <c r="J83" t="inlineStr">
        <is>
          <t>Ventas Personas (B2C)</t>
        </is>
      </c>
      <c r="K83" t="inlineStr">
        <is>
          <t>CH2</t>
        </is>
      </c>
    </row>
    <row r="84">
      <c r="A84" s="33" t="n">
        <v>45668</v>
      </c>
      <c r="B84" t="inlineStr">
        <is>
          <t>2025-01</t>
        </is>
      </c>
      <c r="C84" t="inlineStr">
        <is>
          <t>Sin cliente</t>
        </is>
      </c>
      <c r="D84" t="inlineStr">
        <is>
          <t>CANELÉ TRADICIONAL</t>
        </is>
      </c>
      <c r="E84" s="34" t="n">
        <v>19800</v>
      </c>
      <c r="F84" t="inlineStr">
        <is>
          <t>B</t>
        </is>
      </c>
      <c r="G84" s="34" t="n">
        <v>3161</v>
      </c>
      <c r="H84" s="34" t="n">
        <v>16639</v>
      </c>
      <c r="I84" t="inlineStr">
        <is>
          <t>3.2</t>
        </is>
      </c>
      <c r="J84" t="inlineStr">
        <is>
          <t>Ventas Personas (B2C)</t>
        </is>
      </c>
      <c r="K84" t="inlineStr">
        <is>
          <t>CH2</t>
        </is>
      </c>
    </row>
    <row r="85">
      <c r="A85" s="33" t="n">
        <v>45668</v>
      </c>
      <c r="B85" t="inlineStr">
        <is>
          <t>2025-01</t>
        </is>
      </c>
      <c r="C85" t="inlineStr">
        <is>
          <t>Sin cliente</t>
        </is>
      </c>
      <c r="D85" t="inlineStr">
        <is>
          <t>Delicatessen</t>
        </is>
      </c>
      <c r="E85" s="34" t="n">
        <v>26790</v>
      </c>
      <c r="F85" t="inlineStr">
        <is>
          <t>B</t>
        </is>
      </c>
      <c r="G85" s="34" t="n">
        <v>4277</v>
      </c>
      <c r="H85" s="34" t="n">
        <v>22513</v>
      </c>
      <c r="I85" t="inlineStr">
        <is>
          <t>3.2</t>
        </is>
      </c>
      <c r="J85" t="inlineStr">
        <is>
          <t>Ventas Personas (B2C)</t>
        </is>
      </c>
      <c r="K85" t="inlineStr">
        <is>
          <t>CH2</t>
        </is>
      </c>
    </row>
    <row r="86">
      <c r="A86" s="33" t="n">
        <v>45668</v>
      </c>
      <c r="B86" t="inlineStr">
        <is>
          <t>2025-01</t>
        </is>
      </c>
      <c r="C86" t="inlineStr">
        <is>
          <t>Sin cliente</t>
        </is>
      </c>
      <c r="D86" t="inlineStr">
        <is>
          <t>CANELÉ TRADICIONAL</t>
        </is>
      </c>
      <c r="E86" s="34" t="n">
        <v>13900</v>
      </c>
      <c r="F86" t="inlineStr">
        <is>
          <t>B</t>
        </is>
      </c>
      <c r="G86" s="34" t="n">
        <v>2219</v>
      </c>
      <c r="H86" s="34" t="n">
        <v>11681</v>
      </c>
      <c r="I86" t="inlineStr">
        <is>
          <t>3.2</t>
        </is>
      </c>
      <c r="J86" t="inlineStr">
        <is>
          <t>Ventas Personas (B2C)</t>
        </is>
      </c>
      <c r="K86" t="inlineStr">
        <is>
          <t>CH2</t>
        </is>
      </c>
    </row>
    <row r="87">
      <c r="A87" s="33" t="n">
        <v>45670</v>
      </c>
      <c r="B87" t="inlineStr">
        <is>
          <t>2025-01</t>
        </is>
      </c>
      <c r="C87" t="inlineStr">
        <is>
          <t>POMPON SPA</t>
        </is>
      </c>
      <c r="D87" t="inlineStr">
        <is>
          <t>HORECA CAFETERIA</t>
        </is>
      </c>
      <c r="E87" s="34" t="n">
        <v>89670</v>
      </c>
      <c r="F87" t="inlineStr">
        <is>
          <t>F</t>
        </is>
      </c>
      <c r="G87" s="34" t="n">
        <v>14317</v>
      </c>
      <c r="H87" s="34" t="n">
        <v>75353</v>
      </c>
      <c r="I87" t="inlineStr">
        <is>
          <t>3.1</t>
        </is>
      </c>
      <c r="J87" t="inlineStr">
        <is>
          <t>Ventas HoReCa</t>
        </is>
      </c>
      <c r="K87" t="inlineStr">
        <is>
          <t>CH1</t>
        </is>
      </c>
    </row>
    <row r="88">
      <c r="A88" s="33" t="n">
        <v>45670</v>
      </c>
      <c r="B88" t="inlineStr">
        <is>
          <t>2025-01</t>
        </is>
      </c>
      <c r="C88" t="inlineStr">
        <is>
          <t>CAFETERÍAS MISTER SPA</t>
        </is>
      </c>
      <c r="D88" t="inlineStr">
        <is>
          <t>HORECA CAFETERIA</t>
        </is>
      </c>
      <c r="E88" s="34" t="n">
        <v>63990</v>
      </c>
      <c r="F88" t="inlineStr">
        <is>
          <t>F</t>
        </is>
      </c>
      <c r="G88" s="34" t="n">
        <v>10217</v>
      </c>
      <c r="H88" s="34" t="n">
        <v>53773</v>
      </c>
      <c r="I88" t="inlineStr">
        <is>
          <t>3.1</t>
        </is>
      </c>
      <c r="J88" t="inlineStr">
        <is>
          <t>Ventas HoReCa</t>
        </is>
      </c>
      <c r="K88" t="inlineStr">
        <is>
          <t>CH1</t>
        </is>
      </c>
    </row>
    <row r="89">
      <c r="A89" s="33" t="n">
        <v>45670</v>
      </c>
      <c r="B89" t="inlineStr">
        <is>
          <t>2025-01</t>
        </is>
      </c>
      <c r="C89" t="inlineStr">
        <is>
          <t>INVERSIONES Y ASESORIAS RAVAL LIMITADA</t>
        </is>
      </c>
      <c r="D89" t="inlineStr">
        <is>
          <t>HORECA CAFETERIA</t>
        </is>
      </c>
      <c r="E89" s="34" t="n">
        <v>63990</v>
      </c>
      <c r="F89" t="inlineStr">
        <is>
          <t>F</t>
        </is>
      </c>
      <c r="G89" s="34" t="n">
        <v>10217</v>
      </c>
      <c r="H89" s="34" t="n">
        <v>53773</v>
      </c>
      <c r="I89" t="inlineStr">
        <is>
          <t>3.1</t>
        </is>
      </c>
      <c r="J89" t="inlineStr">
        <is>
          <t>Ventas HoReCa</t>
        </is>
      </c>
      <c r="K89" t="inlineStr">
        <is>
          <t>CH1</t>
        </is>
      </c>
    </row>
    <row r="90">
      <c r="A90" s="33" t="n">
        <v>45670</v>
      </c>
      <c r="B90" t="inlineStr">
        <is>
          <t>2025-01</t>
        </is>
      </c>
      <c r="C90" t="inlineStr">
        <is>
          <t>INVERSIONES Y ASESORIAS RAVAL LIMITADA</t>
        </is>
      </c>
      <c r="D90" t="inlineStr">
        <is>
          <t>HORECA CAFETERIA</t>
        </is>
      </c>
      <c r="E90" s="34" t="n">
        <v>-63990</v>
      </c>
      <c r="F90" t="inlineStr">
        <is>
          <t>NC</t>
        </is>
      </c>
      <c r="G90" s="34" t="n">
        <v>-10217</v>
      </c>
      <c r="H90" s="34" t="n">
        <v>-53773</v>
      </c>
      <c r="I90" t="inlineStr">
        <is>
          <t>3.2</t>
        </is>
      </c>
      <c r="J90" t="inlineStr">
        <is>
          <t>Ventas Personas (B2C)</t>
        </is>
      </c>
      <c r="K90" t="inlineStr">
        <is>
          <t>CH2</t>
        </is>
      </c>
    </row>
    <row r="91">
      <c r="A91" s="33" t="n">
        <v>45670</v>
      </c>
      <c r="B91" t="inlineStr">
        <is>
          <t>2025-01</t>
        </is>
      </c>
      <c r="C91" t="inlineStr">
        <is>
          <t>INVERSIONES Y ASESORIAS RAVAL LIMITADA</t>
        </is>
      </c>
      <c r="D91" t="inlineStr">
        <is>
          <t>HORECA CAFETERIA</t>
        </is>
      </c>
      <c r="E91" s="34" t="n">
        <v>67980</v>
      </c>
      <c r="F91" t="inlineStr">
        <is>
          <t>F</t>
        </is>
      </c>
      <c r="G91" s="34" t="n">
        <v>10854</v>
      </c>
      <c r="H91" s="34" t="n">
        <v>57126</v>
      </c>
      <c r="I91" t="inlineStr">
        <is>
          <t>3.1</t>
        </is>
      </c>
      <c r="J91" t="inlineStr">
        <is>
          <t>Ventas HoReCa</t>
        </is>
      </c>
      <c r="K91" t="inlineStr">
        <is>
          <t>CH1</t>
        </is>
      </c>
    </row>
    <row r="92">
      <c r="A92" s="33" t="n">
        <v>45670</v>
      </c>
      <c r="B92" t="inlineStr">
        <is>
          <t>2025-01</t>
        </is>
      </c>
      <c r="C92" t="inlineStr">
        <is>
          <t>INVERSIONES Y COMERCIALIZADORA FED LIMITADA</t>
        </is>
      </c>
      <c r="D92" t="inlineStr">
        <is>
          <t>HORECA CAFETERIA</t>
        </is>
      </c>
      <c r="E92" s="34" t="n">
        <v>79869</v>
      </c>
      <c r="F92" t="inlineStr">
        <is>
          <t>F</t>
        </is>
      </c>
      <c r="G92" s="34" t="n">
        <v>12752</v>
      </c>
      <c r="H92" s="34" t="n">
        <v>67117</v>
      </c>
      <c r="I92" t="inlineStr">
        <is>
          <t>3.1</t>
        </is>
      </c>
      <c r="J92" t="inlineStr">
        <is>
          <t>Ventas HoReCa</t>
        </is>
      </c>
      <c r="K92" t="inlineStr">
        <is>
          <t>CH1</t>
        </is>
      </c>
    </row>
    <row r="93">
      <c r="A93" s="33" t="n">
        <v>45670</v>
      </c>
      <c r="B93" t="inlineStr">
        <is>
          <t>2025-01</t>
        </is>
      </c>
      <c r="C93" t="inlineStr">
        <is>
          <t>INVERSIONES Y COMERCIALIZADORA FED LIMITADA</t>
        </is>
      </c>
      <c r="D93" t="inlineStr">
        <is>
          <t>HORECA CAFETERIA</t>
        </is>
      </c>
      <c r="E93" s="34" t="n">
        <v>182217</v>
      </c>
      <c r="F93" t="inlineStr">
        <is>
          <t>F</t>
        </is>
      </c>
      <c r="G93" s="34" t="n">
        <v>29093</v>
      </c>
      <c r="H93" s="34" t="n">
        <v>153124</v>
      </c>
      <c r="I93" t="inlineStr">
        <is>
          <t>3.1</t>
        </is>
      </c>
      <c r="J93" t="inlineStr">
        <is>
          <t>Ventas HoReCa</t>
        </is>
      </c>
      <c r="K93" t="inlineStr">
        <is>
          <t>CH1</t>
        </is>
      </c>
    </row>
    <row r="94">
      <c r="A94" s="33" t="n">
        <v>45670</v>
      </c>
      <c r="B94" t="inlineStr">
        <is>
          <t>2025-01</t>
        </is>
      </c>
      <c r="C94" t="inlineStr">
        <is>
          <t>CAFETERÍA ALTURA LIMITADA</t>
        </is>
      </c>
      <c r="D94" t="inlineStr">
        <is>
          <t>HORECA CAFETERIA</t>
        </is>
      </c>
      <c r="E94" s="34" t="n">
        <v>78870</v>
      </c>
      <c r="F94" t="inlineStr">
        <is>
          <t>F</t>
        </is>
      </c>
      <c r="G94" s="34" t="n">
        <v>12593</v>
      </c>
      <c r="H94" s="34" t="n">
        <v>66277</v>
      </c>
      <c r="I94" t="inlineStr">
        <is>
          <t>3.1</t>
        </is>
      </c>
      <c r="J94" t="inlineStr">
        <is>
          <t>Ventas HoReCa</t>
        </is>
      </c>
      <c r="K94" t="inlineStr">
        <is>
          <t>CH1</t>
        </is>
      </c>
    </row>
    <row r="95">
      <c r="A95" s="33" t="n">
        <v>45670</v>
      </c>
      <c r="B95" t="inlineStr">
        <is>
          <t>2025-01</t>
        </is>
      </c>
      <c r="C95" t="inlineStr">
        <is>
          <t>Sin cliente</t>
        </is>
      </c>
      <c r="D95" t="inlineStr">
        <is>
          <t>Petit Crunchy</t>
        </is>
      </c>
      <c r="E95" s="34" t="n">
        <v>30890</v>
      </c>
      <c r="F95" t="inlineStr">
        <is>
          <t>B</t>
        </is>
      </c>
      <c r="G95" s="34" t="n">
        <v>4932</v>
      </c>
      <c r="H95" s="34" t="n">
        <v>25958</v>
      </c>
      <c r="I95" t="inlineStr">
        <is>
          <t>3.2</t>
        </is>
      </c>
      <c r="J95" t="inlineStr">
        <is>
          <t>Ventas Personas (B2C)</t>
        </is>
      </c>
      <c r="K95" t="inlineStr">
        <is>
          <t>CH2</t>
        </is>
      </c>
    </row>
    <row r="96">
      <c r="A96" s="33" t="n">
        <v>45670</v>
      </c>
      <c r="B96" t="inlineStr">
        <is>
          <t>2025-01</t>
        </is>
      </c>
      <c r="C96" t="inlineStr">
        <is>
          <t>Cristobal Court</t>
        </is>
      </c>
      <c r="D96" t="inlineStr">
        <is>
          <t>Rellenos</t>
        </is>
      </c>
      <c r="E96" s="34" t="n">
        <v>23700</v>
      </c>
      <c r="F96" t="inlineStr">
        <is>
          <t>B</t>
        </is>
      </c>
      <c r="G96" s="34" t="n">
        <v>3784</v>
      </c>
      <c r="H96" s="34" t="n">
        <v>19916</v>
      </c>
      <c r="I96" t="inlineStr">
        <is>
          <t>3.2</t>
        </is>
      </c>
      <c r="J96" t="inlineStr">
        <is>
          <t>Ventas Personas (B2C)</t>
        </is>
      </c>
      <c r="K96" t="inlineStr">
        <is>
          <t>CH2</t>
        </is>
      </c>
    </row>
    <row r="97">
      <c r="A97" s="33" t="n">
        <v>45670</v>
      </c>
      <c r="B97" t="inlineStr">
        <is>
          <t>2025-01</t>
        </is>
      </c>
      <c r="C97" t="inlineStr">
        <is>
          <t>Sin cliente</t>
        </is>
      </c>
      <c r="D97" t="inlineStr">
        <is>
          <t>CANELÉ TRADICIONAL</t>
        </is>
      </c>
      <c r="E97" s="34" t="n">
        <v>13900</v>
      </c>
      <c r="F97" t="inlineStr">
        <is>
          <t>B</t>
        </is>
      </c>
      <c r="G97" s="34" t="n">
        <v>2219</v>
      </c>
      <c r="H97" s="34" t="n">
        <v>11681</v>
      </c>
      <c r="I97" t="inlineStr">
        <is>
          <t>3.2</t>
        </is>
      </c>
      <c r="J97" t="inlineStr">
        <is>
          <t>Ventas Personas (B2C)</t>
        </is>
      </c>
      <c r="K97" t="inlineStr">
        <is>
          <t>CH2</t>
        </is>
      </c>
    </row>
    <row r="98">
      <c r="A98" s="33" t="n">
        <v>45670</v>
      </c>
      <c r="B98" t="inlineStr">
        <is>
          <t>2025-01</t>
        </is>
      </c>
      <c r="C98" t="inlineStr">
        <is>
          <t>Sin cliente</t>
        </is>
      </c>
      <c r="D98" t="inlineStr">
        <is>
          <t>CANELÉ TRADICIONAL</t>
        </is>
      </c>
      <c r="E98" s="34" t="n">
        <v>43600</v>
      </c>
      <c r="F98" t="inlineStr">
        <is>
          <t>B</t>
        </is>
      </c>
      <c r="G98" s="34" t="n">
        <v>6961</v>
      </c>
      <c r="H98" s="34" t="n">
        <v>36639</v>
      </c>
      <c r="I98" t="inlineStr">
        <is>
          <t>3.2</t>
        </is>
      </c>
      <c r="J98" t="inlineStr">
        <is>
          <t>Ventas Personas (B2C)</t>
        </is>
      </c>
      <c r="K98" t="inlineStr">
        <is>
          <t>CH2</t>
        </is>
      </c>
    </row>
    <row r="99">
      <c r="A99" s="33" t="n">
        <v>45670</v>
      </c>
      <c r="B99" t="inlineStr">
        <is>
          <t>2025-01</t>
        </is>
      </c>
      <c r="C99" t="inlineStr">
        <is>
          <t>Manuel Vasquez</t>
        </is>
      </c>
      <c r="D99" t="inlineStr">
        <is>
          <t>CANELE SIN AZUCAR</t>
        </is>
      </c>
      <c r="E99" s="34" t="n">
        <v>24300</v>
      </c>
      <c r="F99" t="inlineStr">
        <is>
          <t>B</t>
        </is>
      </c>
      <c r="G99" s="34" t="n">
        <v>3880</v>
      </c>
      <c r="H99" s="34" t="n">
        <v>20420</v>
      </c>
      <c r="I99" t="inlineStr">
        <is>
          <t>3.2</t>
        </is>
      </c>
      <c r="J99" t="inlineStr">
        <is>
          <t>Ventas Personas (B2C)</t>
        </is>
      </c>
      <c r="K99" t="inlineStr">
        <is>
          <t>CH2</t>
        </is>
      </c>
    </row>
    <row r="100">
      <c r="A100" s="33" t="n">
        <v>45671</v>
      </c>
      <c r="B100" t="inlineStr">
        <is>
          <t>2025-01</t>
        </is>
      </c>
      <c r="C100" t="inlineStr">
        <is>
          <t>Marcelo Olivares</t>
        </is>
      </c>
      <c r="D100" t="inlineStr">
        <is>
          <t>CANELÉ TRADICIONAL</t>
        </is>
      </c>
      <c r="E100" s="34" t="n">
        <v>17890</v>
      </c>
      <c r="F100" t="inlineStr">
        <is>
          <t>B</t>
        </is>
      </c>
      <c r="G100" s="34" t="n">
        <v>2856</v>
      </c>
      <c r="H100" s="34" t="n">
        <v>15034</v>
      </c>
      <c r="I100" t="inlineStr">
        <is>
          <t>3.2</t>
        </is>
      </c>
      <c r="J100" t="inlineStr">
        <is>
          <t>Ventas Personas (B2C)</t>
        </is>
      </c>
      <c r="K100" t="inlineStr">
        <is>
          <t>CH2</t>
        </is>
      </c>
    </row>
    <row r="101">
      <c r="A101" s="33" t="n">
        <v>45671</v>
      </c>
      <c r="B101" t="inlineStr">
        <is>
          <t>2025-01</t>
        </is>
      </c>
      <c r="C101" t="inlineStr">
        <is>
          <t>Loreto Moya</t>
        </is>
      </c>
      <c r="D101" t="inlineStr">
        <is>
          <t>Petit Tradicional</t>
        </is>
      </c>
      <c r="E101" s="34" t="n">
        <v>14790</v>
      </c>
      <c r="F101" t="inlineStr">
        <is>
          <t>B</t>
        </is>
      </c>
      <c r="G101" s="34" t="n">
        <v>2361</v>
      </c>
      <c r="H101" s="34" t="n">
        <v>12429</v>
      </c>
      <c r="I101" t="inlineStr">
        <is>
          <t>3.2</t>
        </is>
      </c>
      <c r="J101" t="inlineStr">
        <is>
          <t>Ventas Personas (B2C)</t>
        </is>
      </c>
      <c r="K101" t="inlineStr">
        <is>
          <t>CH2</t>
        </is>
      </c>
    </row>
    <row r="102">
      <c r="A102" s="33" t="n">
        <v>45671</v>
      </c>
      <c r="B102" t="inlineStr">
        <is>
          <t>2025-01</t>
        </is>
      </c>
      <c r="C102" t="inlineStr">
        <is>
          <t>OH SOME SPA</t>
        </is>
      </c>
      <c r="D102" t="inlineStr">
        <is>
          <t>HORECA CAFETERIA</t>
        </is>
      </c>
      <c r="E102" s="34" t="n">
        <v>116790</v>
      </c>
      <c r="F102" t="inlineStr">
        <is>
          <t>F</t>
        </is>
      </c>
      <c r="G102" s="34" t="n">
        <v>18647</v>
      </c>
      <c r="H102" s="34" t="n">
        <v>98143</v>
      </c>
      <c r="I102" t="inlineStr">
        <is>
          <t>3.1</t>
        </is>
      </c>
      <c r="J102" t="inlineStr">
        <is>
          <t>Ventas HoReCa</t>
        </is>
      </c>
      <c r="K102" t="inlineStr">
        <is>
          <t>CH1</t>
        </is>
      </c>
    </row>
    <row r="103">
      <c r="A103" s="33" t="n">
        <v>45671</v>
      </c>
      <c r="B103" t="inlineStr">
        <is>
          <t>2025-01</t>
        </is>
      </c>
      <c r="C103" t="inlineStr">
        <is>
          <t>Okinawa Spa</t>
        </is>
      </c>
      <c r="D103" t="inlineStr">
        <is>
          <t>HORECA CAFETERIA</t>
        </is>
      </c>
      <c r="E103" s="34" t="n">
        <v>63990</v>
      </c>
      <c r="F103" t="inlineStr">
        <is>
          <t>F</t>
        </is>
      </c>
      <c r="G103" s="34" t="n">
        <v>10217</v>
      </c>
      <c r="H103" s="34" t="n">
        <v>53773</v>
      </c>
      <c r="I103" t="inlineStr">
        <is>
          <t>3.1</t>
        </is>
      </c>
      <c r="J103" t="inlineStr">
        <is>
          <t>Ventas HoReCa</t>
        </is>
      </c>
      <c r="K103" t="inlineStr">
        <is>
          <t>CH1</t>
        </is>
      </c>
    </row>
    <row r="104">
      <c r="A104" s="33" t="n">
        <v>45671</v>
      </c>
      <c r="B104" t="inlineStr">
        <is>
          <t>2025-01</t>
        </is>
      </c>
      <c r="C104" t="inlineStr">
        <is>
          <t>Constanza Lavin</t>
        </is>
      </c>
      <c r="D104" t="inlineStr">
        <is>
          <t>CANELÉ TRADICIONAL</t>
        </is>
      </c>
      <c r="E104" s="34" t="n">
        <v>21809</v>
      </c>
      <c r="F104" t="inlineStr">
        <is>
          <t>B</t>
        </is>
      </c>
      <c r="G104" s="34" t="n">
        <v>3482</v>
      </c>
      <c r="H104" s="34" t="n">
        <v>18327</v>
      </c>
      <c r="I104" t="inlineStr">
        <is>
          <t>3.2</t>
        </is>
      </c>
      <c r="J104" t="inlineStr">
        <is>
          <t>Ventas Personas (B2C)</t>
        </is>
      </c>
      <c r="K104" t="inlineStr">
        <is>
          <t>CH2</t>
        </is>
      </c>
    </row>
    <row r="105">
      <c r="A105" s="33" t="n">
        <v>45671</v>
      </c>
      <c r="B105" t="inlineStr">
        <is>
          <t>2025-01</t>
        </is>
      </c>
      <c r="C105" t="inlineStr">
        <is>
          <t>Sin cliente</t>
        </is>
      </c>
      <c r="D105" t="inlineStr">
        <is>
          <t>CANELÉ TRADICIONAL</t>
        </is>
      </c>
      <c r="E105" s="34" t="n">
        <v>19800</v>
      </c>
      <c r="F105" t="inlineStr">
        <is>
          <t>B</t>
        </is>
      </c>
      <c r="G105" s="34" t="n">
        <v>3161</v>
      </c>
      <c r="H105" s="34" t="n">
        <v>16639</v>
      </c>
      <c r="I105" t="inlineStr">
        <is>
          <t>3.2</t>
        </is>
      </c>
      <c r="J105" t="inlineStr">
        <is>
          <t>Ventas Personas (B2C)</t>
        </is>
      </c>
      <c r="K105" t="inlineStr">
        <is>
          <t>CH2</t>
        </is>
      </c>
    </row>
    <row r="106">
      <c r="A106" s="33" t="n">
        <v>45671</v>
      </c>
      <c r="B106" t="inlineStr">
        <is>
          <t>2025-01</t>
        </is>
      </c>
      <c r="C106" t="inlineStr">
        <is>
          <t>Gloria Segui andrade</t>
        </is>
      </c>
      <c r="D106" t="inlineStr">
        <is>
          <t>CANELE SIN AZUCAR</t>
        </is>
      </c>
      <c r="E106" s="34" t="n">
        <v>31270</v>
      </c>
      <c r="F106" t="inlineStr">
        <is>
          <t>B</t>
        </is>
      </c>
      <c r="G106" s="34" t="n">
        <v>4993</v>
      </c>
      <c r="H106" s="34" t="n">
        <v>26277</v>
      </c>
      <c r="I106" t="inlineStr">
        <is>
          <t>3.2</t>
        </is>
      </c>
      <c r="J106" t="inlineStr">
        <is>
          <t>Ventas Personas (B2C)</t>
        </is>
      </c>
      <c r="K106" t="inlineStr">
        <is>
          <t>CH2</t>
        </is>
      </c>
    </row>
    <row r="107">
      <c r="A107" s="33" t="n">
        <v>45671</v>
      </c>
      <c r="B107" t="inlineStr">
        <is>
          <t>2025-01</t>
        </is>
      </c>
      <c r="C107" t="inlineStr">
        <is>
          <t>Sin cliente</t>
        </is>
      </c>
      <c r="D107" t="inlineStr">
        <is>
          <t>CANELÉ TRADICIONAL</t>
        </is>
      </c>
      <c r="E107" s="34" t="n">
        <v>5000</v>
      </c>
      <c r="F107" t="inlineStr">
        <is>
          <t>B</t>
        </is>
      </c>
      <c r="G107" s="34" t="n">
        <v>798</v>
      </c>
      <c r="H107" s="34" t="n">
        <v>4202</v>
      </c>
      <c r="I107" t="inlineStr">
        <is>
          <t>3.2</t>
        </is>
      </c>
      <c r="J107" t="inlineStr">
        <is>
          <t>Ventas Personas (B2C)</t>
        </is>
      </c>
      <c r="K107" t="inlineStr">
        <is>
          <t>CH2</t>
        </is>
      </c>
    </row>
    <row r="108">
      <c r="A108" s="33" t="n">
        <v>45671</v>
      </c>
      <c r="B108" t="inlineStr">
        <is>
          <t>2025-01</t>
        </is>
      </c>
      <c r="C108" t="inlineStr">
        <is>
          <t>DONA Benadof Zamorano</t>
        </is>
      </c>
      <c r="D108" t="inlineStr">
        <is>
          <t>CANELÉ TRADICIONAL</t>
        </is>
      </c>
      <c r="E108" s="34" t="n">
        <v>18890</v>
      </c>
      <c r="F108" t="inlineStr">
        <is>
          <t>B</t>
        </is>
      </c>
      <c r="G108" s="34" t="n">
        <v>3016</v>
      </c>
      <c r="H108" s="34" t="n">
        <v>15874</v>
      </c>
      <c r="I108" t="inlineStr">
        <is>
          <t>3.2</t>
        </is>
      </c>
      <c r="J108" t="inlineStr">
        <is>
          <t>Ventas Personas (B2C)</t>
        </is>
      </c>
      <c r="K108" t="inlineStr">
        <is>
          <t>CH2</t>
        </is>
      </c>
    </row>
    <row r="109">
      <c r="A109" s="33" t="n">
        <v>45671</v>
      </c>
      <c r="B109" t="inlineStr">
        <is>
          <t>2025-01</t>
        </is>
      </c>
      <c r="C109" t="inlineStr">
        <is>
          <t>Luz Kerestegian</t>
        </is>
      </c>
      <c r="D109" t="inlineStr">
        <is>
          <t>Delicatessen</t>
        </is>
      </c>
      <c r="E109" s="34" t="n">
        <v>22779</v>
      </c>
      <c r="F109" t="inlineStr">
        <is>
          <t>B</t>
        </is>
      </c>
      <c r="G109" s="34" t="n">
        <v>3637</v>
      </c>
      <c r="H109" s="34" t="n">
        <v>19142</v>
      </c>
      <c r="I109" t="inlineStr">
        <is>
          <t>3.2</t>
        </is>
      </c>
      <c r="J109" t="inlineStr">
        <is>
          <t>Ventas Personas (B2C)</t>
        </is>
      </c>
      <c r="K109" t="inlineStr">
        <is>
          <t>CH2</t>
        </is>
      </c>
    </row>
    <row r="110">
      <c r="A110" s="33" t="n">
        <v>45671</v>
      </c>
      <c r="B110" t="inlineStr">
        <is>
          <t>2025-01</t>
        </is>
      </c>
      <c r="C110" t="inlineStr">
        <is>
          <t>Sin cliente</t>
        </is>
      </c>
      <c r="D110" t="inlineStr">
        <is>
          <t>CANELÉ TRADICIONAL</t>
        </is>
      </c>
      <c r="E110" s="34" t="n">
        <v>19800</v>
      </c>
      <c r="F110" t="inlineStr">
        <is>
          <t>B</t>
        </is>
      </c>
      <c r="G110" s="34" t="n">
        <v>3161</v>
      </c>
      <c r="H110" s="34" t="n">
        <v>16639</v>
      </c>
      <c r="I110" t="inlineStr">
        <is>
          <t>3.2</t>
        </is>
      </c>
      <c r="J110" t="inlineStr">
        <is>
          <t>Ventas Personas (B2C)</t>
        </is>
      </c>
      <c r="K110" t="inlineStr">
        <is>
          <t>CH2</t>
        </is>
      </c>
    </row>
    <row r="111">
      <c r="A111" s="33" t="n">
        <v>45671</v>
      </c>
      <c r="B111" t="inlineStr">
        <is>
          <t>2025-01</t>
        </is>
      </c>
      <c r="C111" t="inlineStr">
        <is>
          <t>Lorenzo Vega</t>
        </is>
      </c>
      <c r="D111" t="inlineStr">
        <is>
          <t>Edición Navidad</t>
        </is>
      </c>
      <c r="E111" s="34" t="n">
        <v>18890</v>
      </c>
      <c r="F111" t="inlineStr">
        <is>
          <t>B</t>
        </is>
      </c>
      <c r="G111" s="34" t="n">
        <v>3016</v>
      </c>
      <c r="H111" s="34" t="n">
        <v>15874</v>
      </c>
      <c r="I111" t="inlineStr">
        <is>
          <t>3.2</t>
        </is>
      </c>
      <c r="J111" t="inlineStr">
        <is>
          <t>Ventas Personas (B2C)</t>
        </is>
      </c>
      <c r="K111" t="inlineStr">
        <is>
          <t>CH2</t>
        </is>
      </c>
    </row>
    <row r="112">
      <c r="A112" s="33" t="n">
        <v>45672</v>
      </c>
      <c r="B112" t="inlineStr">
        <is>
          <t>2025-01</t>
        </is>
      </c>
      <c r="C112" t="inlineStr">
        <is>
          <t>COMERCIAL GRALÚN SPA</t>
        </is>
      </c>
      <c r="D112" t="inlineStr">
        <is>
          <t>HORECA CATERING</t>
        </is>
      </c>
      <c r="E112" s="34" t="n">
        <v>70035</v>
      </c>
      <c r="F112" t="inlineStr">
        <is>
          <t>F</t>
        </is>
      </c>
      <c r="G112" s="34" t="n">
        <v>11182</v>
      </c>
      <c r="H112" s="34" t="n">
        <v>58853</v>
      </c>
      <c r="I112" t="inlineStr">
        <is>
          <t>3.1</t>
        </is>
      </c>
      <c r="J112" t="inlineStr">
        <is>
          <t>Ventas HoReCa</t>
        </is>
      </c>
      <c r="K112" t="inlineStr">
        <is>
          <t>CH1</t>
        </is>
      </c>
    </row>
    <row r="113">
      <c r="A113" s="33" t="n">
        <v>45672</v>
      </c>
      <c r="B113" t="inlineStr">
        <is>
          <t>2025-01</t>
        </is>
      </c>
      <c r="C113" t="inlineStr">
        <is>
          <t>BLUE OAK COFFE SPA</t>
        </is>
      </c>
      <c r="D113" t="inlineStr">
        <is>
          <t>HORECA CAFETERIA</t>
        </is>
      </c>
      <c r="E113" s="34" t="n">
        <v>30394</v>
      </c>
      <c r="F113" t="inlineStr">
        <is>
          <t>F</t>
        </is>
      </c>
      <c r="G113" s="34" t="n">
        <v>4853</v>
      </c>
      <c r="H113" s="34" t="n">
        <v>25541</v>
      </c>
      <c r="I113" t="inlineStr">
        <is>
          <t>3.1</t>
        </is>
      </c>
      <c r="J113" t="inlineStr">
        <is>
          <t>Ventas HoReCa</t>
        </is>
      </c>
      <c r="K113" t="inlineStr">
        <is>
          <t>CH1</t>
        </is>
      </c>
    </row>
    <row r="114">
      <c r="A114" s="33" t="n">
        <v>45672</v>
      </c>
      <c r="B114" t="inlineStr">
        <is>
          <t>2025-01</t>
        </is>
      </c>
      <c r="C114" t="inlineStr">
        <is>
          <t>CAFE DIARIO ENCOMENDEROS SPA</t>
        </is>
      </c>
      <c r="D114" t="inlineStr">
        <is>
          <t>HORECA CAFETERIA</t>
        </is>
      </c>
      <c r="E114" s="34" t="n">
        <v>58611</v>
      </c>
      <c r="F114" t="inlineStr">
        <is>
          <t>F</t>
        </is>
      </c>
      <c r="G114" s="34" t="n">
        <v>9358</v>
      </c>
      <c r="H114" s="34" t="n">
        <v>49253</v>
      </c>
      <c r="I114" t="inlineStr">
        <is>
          <t>3.1</t>
        </is>
      </c>
      <c r="J114" t="inlineStr">
        <is>
          <t>Ventas HoReCa</t>
        </is>
      </c>
      <c r="K114" t="inlineStr">
        <is>
          <t>CH1</t>
        </is>
      </c>
    </row>
    <row r="115">
      <c r="A115" s="33" t="n">
        <v>45672</v>
      </c>
      <c r="B115" t="inlineStr">
        <is>
          <t>2025-01</t>
        </is>
      </c>
      <c r="C115" t="inlineStr">
        <is>
          <t>Monica Kleinkopf</t>
        </is>
      </c>
      <c r="D115" t="inlineStr">
        <is>
          <t>PACKS GOURMET</t>
        </is>
      </c>
      <c r="E115" s="34" t="n">
        <v>35736</v>
      </c>
      <c r="F115" t="inlineStr">
        <is>
          <t>B</t>
        </is>
      </c>
      <c r="G115" s="34" t="n">
        <v>5706</v>
      </c>
      <c r="H115" s="34" t="n">
        <v>30030</v>
      </c>
      <c r="I115" t="inlineStr">
        <is>
          <t>3.2</t>
        </is>
      </c>
      <c r="J115" t="inlineStr">
        <is>
          <t>Ventas Personas (B2C)</t>
        </is>
      </c>
      <c r="K115" t="inlineStr">
        <is>
          <t>CH2</t>
        </is>
      </c>
    </row>
    <row r="116">
      <c r="A116" s="33" t="n">
        <v>45672</v>
      </c>
      <c r="B116" t="inlineStr">
        <is>
          <t>2025-01</t>
        </is>
      </c>
      <c r="C116" t="inlineStr">
        <is>
          <t>Catalina Goic</t>
        </is>
      </c>
      <c r="D116" t="inlineStr">
        <is>
          <t>CANELÉ TRADICIONAL</t>
        </is>
      </c>
      <c r="E116" s="34" t="n">
        <v>20099</v>
      </c>
      <c r="F116" t="inlineStr">
        <is>
          <t>B</t>
        </is>
      </c>
      <c r="G116" s="34" t="n">
        <v>3209</v>
      </c>
      <c r="H116" s="34" t="n">
        <v>16890</v>
      </c>
      <c r="I116" t="inlineStr">
        <is>
          <t>3.2</t>
        </is>
      </c>
      <c r="J116" t="inlineStr">
        <is>
          <t>Ventas Personas (B2C)</t>
        </is>
      </c>
      <c r="K116" t="inlineStr">
        <is>
          <t>CH2</t>
        </is>
      </c>
    </row>
    <row r="117">
      <c r="A117" s="33" t="n">
        <v>45672</v>
      </c>
      <c r="B117" t="inlineStr">
        <is>
          <t>2025-01</t>
        </is>
      </c>
      <c r="C117" t="inlineStr">
        <is>
          <t>Maria Jose Bruna Alvarez</t>
        </is>
      </c>
      <c r="D117" t="inlineStr">
        <is>
          <t>Mix Sabores</t>
        </is>
      </c>
      <c r="E117" s="34" t="n">
        <v>46440</v>
      </c>
      <c r="F117" t="inlineStr">
        <is>
          <t>B</t>
        </is>
      </c>
      <c r="G117" s="34" t="n">
        <v>7415</v>
      </c>
      <c r="H117" s="34" t="n">
        <v>39025</v>
      </c>
      <c r="I117" t="inlineStr">
        <is>
          <t>3.2</t>
        </is>
      </c>
      <c r="J117" t="inlineStr">
        <is>
          <t>Ventas Personas (B2C)</t>
        </is>
      </c>
      <c r="K117" t="inlineStr">
        <is>
          <t>CH2</t>
        </is>
      </c>
    </row>
    <row r="118">
      <c r="A118" s="33" t="n">
        <v>45672</v>
      </c>
      <c r="B118" t="inlineStr">
        <is>
          <t>2025-01</t>
        </is>
      </c>
      <c r="C118" t="inlineStr">
        <is>
          <t>Sin cliente</t>
        </is>
      </c>
      <c r="D118" t="inlineStr">
        <is>
          <t>CANELÉ TRADICIONAL</t>
        </is>
      </c>
      <c r="E118" s="34" t="n">
        <v>23790</v>
      </c>
      <c r="F118" t="inlineStr">
        <is>
          <t>B</t>
        </is>
      </c>
      <c r="G118" s="34" t="n">
        <v>3798</v>
      </c>
      <c r="H118" s="34" t="n">
        <v>19992</v>
      </c>
      <c r="I118" t="inlineStr">
        <is>
          <t>3.2</t>
        </is>
      </c>
      <c r="J118" t="inlineStr">
        <is>
          <t>Ventas Personas (B2C)</t>
        </is>
      </c>
      <c r="K118" t="inlineStr">
        <is>
          <t>CH2</t>
        </is>
      </c>
    </row>
    <row r="119">
      <c r="A119" s="33" t="n">
        <v>45672</v>
      </c>
      <c r="B119" t="inlineStr">
        <is>
          <t>2025-01</t>
        </is>
      </c>
      <c r="C119" t="inlineStr">
        <is>
          <t>Nicole Stefanic</t>
        </is>
      </c>
      <c r="D119" t="inlineStr">
        <is>
          <t>CANELÉ TRADICIONAL</t>
        </is>
      </c>
      <c r="E119" s="34" t="n">
        <v>20890</v>
      </c>
      <c r="F119" t="inlineStr">
        <is>
          <t>B</t>
        </is>
      </c>
      <c r="G119" s="34" t="n">
        <v>3335</v>
      </c>
      <c r="H119" s="34" t="n">
        <v>17555</v>
      </c>
      <c r="I119" t="inlineStr">
        <is>
          <t>3.2</t>
        </is>
      </c>
      <c r="J119" t="inlineStr">
        <is>
          <t>Ventas Personas (B2C)</t>
        </is>
      </c>
      <c r="K119" t="inlineStr">
        <is>
          <t>CH2</t>
        </is>
      </c>
    </row>
    <row r="120">
      <c r="A120" s="33" t="n">
        <v>45672</v>
      </c>
      <c r="B120" t="inlineStr">
        <is>
          <t>2025-01</t>
        </is>
      </c>
      <c r="C120" t="inlineStr">
        <is>
          <t>Nicole Stefanic</t>
        </is>
      </c>
      <c r="D120" t="inlineStr">
        <is>
          <t>CANELE SIN AZUCAR</t>
        </is>
      </c>
      <c r="E120" s="34" t="n">
        <v>28289</v>
      </c>
      <c r="F120" t="inlineStr">
        <is>
          <t>B</t>
        </is>
      </c>
      <c r="G120" s="34" t="n">
        <v>4517</v>
      </c>
      <c r="H120" s="34" t="n">
        <v>23772</v>
      </c>
      <c r="I120" t="inlineStr">
        <is>
          <t>3.2</t>
        </is>
      </c>
      <c r="J120" t="inlineStr">
        <is>
          <t>Ventas Personas (B2C)</t>
        </is>
      </c>
      <c r="K120" t="inlineStr">
        <is>
          <t>CH2</t>
        </is>
      </c>
    </row>
    <row r="121">
      <c r="A121" s="33" t="n">
        <v>45672</v>
      </c>
      <c r="B121" t="inlineStr">
        <is>
          <t>2025-01</t>
        </is>
      </c>
      <c r="C121" t="inlineStr">
        <is>
          <t>Sin cliente</t>
        </is>
      </c>
      <c r="D121" t="inlineStr">
        <is>
          <t>Petit Tradicional</t>
        </is>
      </c>
      <c r="E121" s="34" t="n">
        <v>21600</v>
      </c>
      <c r="F121" t="inlineStr">
        <is>
          <t>B</t>
        </is>
      </c>
      <c r="G121" s="34" t="n">
        <v>3449</v>
      </c>
      <c r="H121" s="34" t="n">
        <v>18151</v>
      </c>
      <c r="I121" t="inlineStr">
        <is>
          <t>3.2</t>
        </is>
      </c>
      <c r="J121" t="inlineStr">
        <is>
          <t>Ventas Personas (B2C)</t>
        </is>
      </c>
      <c r="K121" t="inlineStr">
        <is>
          <t>CH2</t>
        </is>
      </c>
    </row>
    <row r="122">
      <c r="A122" s="33" t="n">
        <v>45672</v>
      </c>
      <c r="B122" t="inlineStr">
        <is>
          <t>2025-01</t>
        </is>
      </c>
      <c r="C122" t="inlineStr">
        <is>
          <t>Sin cliente</t>
        </is>
      </c>
      <c r="D122" t="inlineStr">
        <is>
          <t>Delicatessen</t>
        </is>
      </c>
      <c r="E122" s="34" t="n">
        <v>34700</v>
      </c>
      <c r="F122" t="inlineStr">
        <is>
          <t>B</t>
        </is>
      </c>
      <c r="G122" s="34" t="n">
        <v>5540</v>
      </c>
      <c r="H122" s="34" t="n">
        <v>29160</v>
      </c>
      <c r="I122" t="inlineStr">
        <is>
          <t>3.2</t>
        </is>
      </c>
      <c r="J122" t="inlineStr">
        <is>
          <t>Ventas Personas (B2C)</t>
        </is>
      </c>
      <c r="K122" t="inlineStr">
        <is>
          <t>CH2</t>
        </is>
      </c>
    </row>
    <row r="123">
      <c r="A123" s="33" t="n">
        <v>45672</v>
      </c>
      <c r="B123" t="inlineStr">
        <is>
          <t>2025-01</t>
        </is>
      </c>
      <c r="C123" t="inlineStr">
        <is>
          <t>Liliana Rojas</t>
        </is>
      </c>
      <c r="D123" t="inlineStr">
        <is>
          <t>Petit Tradicional</t>
        </is>
      </c>
      <c r="E123" s="34" t="n">
        <v>28090</v>
      </c>
      <c r="F123" t="inlineStr">
        <is>
          <t>B</t>
        </is>
      </c>
      <c r="G123" s="34" t="n">
        <v>4485</v>
      </c>
      <c r="H123" s="34" t="n">
        <v>23605</v>
      </c>
      <c r="I123" t="inlineStr">
        <is>
          <t>3.2</t>
        </is>
      </c>
      <c r="J123" t="inlineStr">
        <is>
          <t>Ventas Personas (B2C)</t>
        </is>
      </c>
      <c r="K123" t="inlineStr">
        <is>
          <t>CH2</t>
        </is>
      </c>
    </row>
    <row r="124">
      <c r="A124" s="33" t="n">
        <v>45672</v>
      </c>
      <c r="B124" t="inlineStr">
        <is>
          <t>2025-01</t>
        </is>
      </c>
      <c r="C124" t="inlineStr">
        <is>
          <t>Sin cliente</t>
        </is>
      </c>
      <c r="D124" t="inlineStr">
        <is>
          <t>CANELÉ TRADICIONAL</t>
        </is>
      </c>
      <c r="E124" s="34" t="n">
        <v>21890</v>
      </c>
      <c r="F124" t="inlineStr">
        <is>
          <t>B</t>
        </is>
      </c>
      <c r="G124" s="34" t="n">
        <v>3495</v>
      </c>
      <c r="H124" s="34" t="n">
        <v>18395</v>
      </c>
      <c r="I124" t="inlineStr">
        <is>
          <t>3.2</t>
        </is>
      </c>
      <c r="J124" t="inlineStr">
        <is>
          <t>Ventas Personas (B2C)</t>
        </is>
      </c>
      <c r="K124" t="inlineStr">
        <is>
          <t>CH2</t>
        </is>
      </c>
    </row>
    <row r="125">
      <c r="A125" s="33" t="n">
        <v>45672</v>
      </c>
      <c r="B125" t="inlineStr">
        <is>
          <t>2025-01</t>
        </is>
      </c>
      <c r="C125" t="inlineStr">
        <is>
          <t>Sin cliente</t>
        </is>
      </c>
      <c r="D125" t="inlineStr">
        <is>
          <t>CANELÉ TRADICIONAL</t>
        </is>
      </c>
      <c r="E125" s="34" t="n">
        <v>19800</v>
      </c>
      <c r="F125" t="inlineStr">
        <is>
          <t>B</t>
        </is>
      </c>
      <c r="G125" s="34" t="n">
        <v>3161</v>
      </c>
      <c r="H125" s="34" t="n">
        <v>16639</v>
      </c>
      <c r="I125" t="inlineStr">
        <is>
          <t>3.2</t>
        </is>
      </c>
      <c r="J125" t="inlineStr">
        <is>
          <t>Ventas Personas (B2C)</t>
        </is>
      </c>
      <c r="K125" t="inlineStr">
        <is>
          <t>CH2</t>
        </is>
      </c>
    </row>
    <row r="126">
      <c r="A126" s="33" t="n">
        <v>45672</v>
      </c>
      <c r="B126" t="inlineStr">
        <is>
          <t>2025-01</t>
        </is>
      </c>
      <c r="C126" t="inlineStr">
        <is>
          <t>Sin cliente</t>
        </is>
      </c>
      <c r="D126" t="inlineStr">
        <is>
          <t>PLATAFORMAS RAP-PEYA-UBER-GOOD</t>
        </is>
      </c>
      <c r="E126" s="34" t="n">
        <v>30000</v>
      </c>
      <c r="F126" t="inlineStr">
        <is>
          <t>B</t>
        </is>
      </c>
      <c r="G126" s="34" t="n">
        <v>4790</v>
      </c>
      <c r="H126" s="34" t="n">
        <v>25210</v>
      </c>
      <c r="I126" t="inlineStr">
        <is>
          <t>3.6</t>
        </is>
      </c>
      <c r="J126" t="inlineStr">
        <is>
          <t>Ventas Delivery Apps</t>
        </is>
      </c>
      <c r="K126" t="inlineStr">
        <is>
          <t>CH3</t>
        </is>
      </c>
    </row>
    <row r="127">
      <c r="A127" s="33" t="n">
        <v>45673</v>
      </c>
      <c r="B127" t="inlineStr">
        <is>
          <t>2025-01</t>
        </is>
      </c>
      <c r="C127" t="inlineStr">
        <is>
          <t>Jaime Correa</t>
        </is>
      </c>
      <c r="D127" t="inlineStr">
        <is>
          <t>CANELE SIN AZUCAR</t>
        </is>
      </c>
      <c r="E127" s="34" t="n">
        <v>20890</v>
      </c>
      <c r="F127" t="inlineStr">
        <is>
          <t>B</t>
        </is>
      </c>
      <c r="G127" s="34" t="n">
        <v>3335</v>
      </c>
      <c r="H127" s="34" t="n">
        <v>17555</v>
      </c>
      <c r="I127" t="inlineStr">
        <is>
          <t>3.2</t>
        </is>
      </c>
      <c r="J127" t="inlineStr">
        <is>
          <t>Ventas Personas (B2C)</t>
        </is>
      </c>
      <c r="K127" t="inlineStr">
        <is>
          <t>CH2</t>
        </is>
      </c>
    </row>
    <row r="128">
      <c r="A128" s="33" t="n">
        <v>45673</v>
      </c>
      <c r="B128" t="inlineStr">
        <is>
          <t>2025-01</t>
        </is>
      </c>
      <c r="C128" t="inlineStr">
        <is>
          <t>VILAS BANQUETERIAS SPA</t>
        </is>
      </c>
      <c r="D128" t="inlineStr">
        <is>
          <t>HORECA CATERING</t>
        </is>
      </c>
      <c r="E128" s="34" t="n">
        <v>130130</v>
      </c>
      <c r="F128" t="inlineStr">
        <is>
          <t>F</t>
        </is>
      </c>
      <c r="G128" s="34" t="n">
        <v>20777</v>
      </c>
      <c r="H128" s="34" t="n">
        <v>109353</v>
      </c>
      <c r="I128" t="inlineStr">
        <is>
          <t>3.1</t>
        </is>
      </c>
      <c r="J128" t="inlineStr">
        <is>
          <t>Ventas HoReCa</t>
        </is>
      </c>
      <c r="K128" t="inlineStr">
        <is>
          <t>CH1</t>
        </is>
      </c>
    </row>
    <row r="129">
      <c r="A129" s="33" t="n">
        <v>45673</v>
      </c>
      <c r="B129" t="inlineStr">
        <is>
          <t>2025-01</t>
        </is>
      </c>
      <c r="C129" t="inlineStr">
        <is>
          <t>Café Popular SpA</t>
        </is>
      </c>
      <c r="D129" t="inlineStr">
        <is>
          <t>HORECA CAFETERIA</t>
        </is>
      </c>
      <c r="E129" s="34" t="n">
        <v>178711</v>
      </c>
      <c r="F129" t="inlineStr">
        <is>
          <t>F</t>
        </is>
      </c>
      <c r="G129" s="34" t="n">
        <v>28534</v>
      </c>
      <c r="H129" s="34" t="n">
        <v>150177</v>
      </c>
      <c r="I129" t="inlineStr">
        <is>
          <t>3.1</t>
        </is>
      </c>
      <c r="J129" t="inlineStr">
        <is>
          <t>Ventas HoReCa</t>
        </is>
      </c>
      <c r="K129" t="inlineStr">
        <is>
          <t>CH1</t>
        </is>
      </c>
    </row>
    <row r="130">
      <c r="A130" s="33" t="n">
        <v>45673</v>
      </c>
      <c r="B130" t="inlineStr">
        <is>
          <t>2025-01</t>
        </is>
      </c>
      <c r="C130" t="inlineStr">
        <is>
          <t>BUSTORF LARSEN Y COMPANIA LIMITADA</t>
        </is>
      </c>
      <c r="D130" t="inlineStr">
        <is>
          <t>HORECA CAFETERIA</t>
        </is>
      </c>
      <c r="E130" s="34" t="n">
        <v>64990</v>
      </c>
      <c r="F130" t="inlineStr">
        <is>
          <t>F</t>
        </is>
      </c>
      <c r="G130" s="34" t="n">
        <v>10377</v>
      </c>
      <c r="H130" s="34" t="n">
        <v>54613</v>
      </c>
      <c r="I130" t="inlineStr">
        <is>
          <t>3.1</t>
        </is>
      </c>
      <c r="J130" t="inlineStr">
        <is>
          <t>Ventas HoReCa</t>
        </is>
      </c>
      <c r="K130" t="inlineStr">
        <is>
          <t>CH1</t>
        </is>
      </c>
    </row>
    <row r="131">
      <c r="A131" s="33" t="n">
        <v>45673</v>
      </c>
      <c r="B131" t="inlineStr">
        <is>
          <t>2025-01</t>
        </is>
      </c>
      <c r="C131" t="inlineStr">
        <is>
          <t>POMPON SPA</t>
        </is>
      </c>
      <c r="D131" t="inlineStr">
        <is>
          <t>HORECA CAFETERIA</t>
        </is>
      </c>
      <c r="E131" s="34" t="n">
        <v>177310</v>
      </c>
      <c r="F131" t="inlineStr">
        <is>
          <t>F</t>
        </is>
      </c>
      <c r="G131" s="34" t="n">
        <v>28310</v>
      </c>
      <c r="H131" s="34" t="n">
        <v>149000</v>
      </c>
      <c r="I131" t="inlineStr">
        <is>
          <t>3.1</t>
        </is>
      </c>
      <c r="J131" t="inlineStr">
        <is>
          <t>Ventas HoReCa</t>
        </is>
      </c>
      <c r="K131" t="inlineStr">
        <is>
          <t>CH1</t>
        </is>
      </c>
    </row>
    <row r="132">
      <c r="A132" s="33" t="n">
        <v>45673</v>
      </c>
      <c r="B132" t="inlineStr">
        <is>
          <t>2025-01</t>
        </is>
      </c>
      <c r="C132" t="inlineStr">
        <is>
          <t>CAFÉ UNDER SPA</t>
        </is>
      </c>
      <c r="D132" t="inlineStr">
        <is>
          <t>HORECA CAFETERIA</t>
        </is>
      </c>
      <c r="E132" s="34" t="n">
        <v>63990</v>
      </c>
      <c r="F132" t="inlineStr">
        <is>
          <t>F</t>
        </is>
      </c>
      <c r="G132" s="34" t="n">
        <v>10217</v>
      </c>
      <c r="H132" s="34" t="n">
        <v>53773</v>
      </c>
      <c r="I132" t="inlineStr">
        <is>
          <t>3.1</t>
        </is>
      </c>
      <c r="J132" t="inlineStr">
        <is>
          <t>Ventas HoReCa</t>
        </is>
      </c>
      <c r="K132" t="inlineStr">
        <is>
          <t>CH1</t>
        </is>
      </c>
    </row>
    <row r="133">
      <c r="A133" s="33" t="n">
        <v>45673</v>
      </c>
      <c r="B133" t="inlineStr">
        <is>
          <t>2025-01</t>
        </is>
      </c>
      <c r="C133" t="inlineStr">
        <is>
          <t>BAZÁN Y MUSSO SPA</t>
        </is>
      </c>
      <c r="D133" t="inlineStr">
        <is>
          <t>HORECA CAFETERIA</t>
        </is>
      </c>
      <c r="E133" s="34" t="n">
        <v>80000</v>
      </c>
      <c r="F133" t="inlineStr">
        <is>
          <t>F</t>
        </is>
      </c>
      <c r="G133" s="34" t="n">
        <v>12773</v>
      </c>
      <c r="H133" s="34" t="n">
        <v>67227</v>
      </c>
      <c r="I133" t="inlineStr">
        <is>
          <t>3.1</t>
        </is>
      </c>
      <c r="J133" t="inlineStr">
        <is>
          <t>Ventas HoReCa</t>
        </is>
      </c>
      <c r="K133" t="inlineStr">
        <is>
          <t>CH1</t>
        </is>
      </c>
    </row>
    <row r="134">
      <c r="A134" s="33" t="n">
        <v>45673</v>
      </c>
      <c r="B134" t="inlineStr">
        <is>
          <t>2025-01</t>
        </is>
      </c>
      <c r="C134" t="inlineStr">
        <is>
          <t>Eduardo Jose Spencer Eckart Spa</t>
        </is>
      </c>
      <c r="D134" t="inlineStr">
        <is>
          <t>HORECA CAFETERIA</t>
        </is>
      </c>
      <c r="E134" s="34" t="n">
        <v>63990</v>
      </c>
      <c r="F134" t="inlineStr">
        <is>
          <t>F</t>
        </is>
      </c>
      <c r="G134" s="34" t="n">
        <v>10217</v>
      </c>
      <c r="H134" s="34" t="n">
        <v>53773</v>
      </c>
      <c r="I134" t="inlineStr">
        <is>
          <t>3.1</t>
        </is>
      </c>
      <c r="J134" t="inlineStr">
        <is>
          <t>Ventas HoReCa</t>
        </is>
      </c>
      <c r="K134" t="inlineStr">
        <is>
          <t>CH1</t>
        </is>
      </c>
    </row>
    <row r="135">
      <c r="A135" s="33" t="n">
        <v>45673</v>
      </c>
      <c r="B135" t="inlineStr">
        <is>
          <t>2025-01</t>
        </is>
      </c>
      <c r="C135" t="inlineStr">
        <is>
          <t>Enderson Amaya Vargas</t>
        </is>
      </c>
      <c r="D135" t="inlineStr">
        <is>
          <t>Delicatessen</t>
        </is>
      </c>
      <c r="E135" s="34" t="n">
        <v>38879</v>
      </c>
      <c r="F135" t="inlineStr">
        <is>
          <t>B</t>
        </is>
      </c>
      <c r="G135" s="34" t="n">
        <v>6208</v>
      </c>
      <c r="H135" s="34" t="n">
        <v>32671</v>
      </c>
      <c r="I135" t="inlineStr">
        <is>
          <t>3.2</t>
        </is>
      </c>
      <c r="J135" t="inlineStr">
        <is>
          <t>Ventas Personas (B2C)</t>
        </is>
      </c>
      <c r="K135" t="inlineStr">
        <is>
          <t>CH2</t>
        </is>
      </c>
    </row>
    <row r="136">
      <c r="A136" s="33" t="n">
        <v>45673</v>
      </c>
      <c r="B136" t="inlineStr">
        <is>
          <t>2025-01</t>
        </is>
      </c>
      <c r="C136" t="inlineStr">
        <is>
          <t>Erika Sagredo</t>
        </is>
      </c>
      <c r="D136" t="inlineStr">
        <is>
          <t>Rellenos</t>
        </is>
      </c>
      <c r="E136" s="34" t="n">
        <v>21900</v>
      </c>
      <c r="F136" t="inlineStr">
        <is>
          <t>B</t>
        </is>
      </c>
      <c r="G136" s="34" t="n">
        <v>3497</v>
      </c>
      <c r="H136" s="34" t="n">
        <v>18403</v>
      </c>
      <c r="I136" t="inlineStr">
        <is>
          <t>3.2</t>
        </is>
      </c>
      <c r="J136" t="inlineStr">
        <is>
          <t>Ventas Personas (B2C)</t>
        </is>
      </c>
      <c r="K136" t="inlineStr">
        <is>
          <t>CH2</t>
        </is>
      </c>
    </row>
    <row r="137">
      <c r="A137" s="33" t="n">
        <v>45673</v>
      </c>
      <c r="B137" t="inlineStr">
        <is>
          <t>2025-01</t>
        </is>
      </c>
      <c r="C137" t="inlineStr">
        <is>
          <t>Sin cliente</t>
        </is>
      </c>
      <c r="D137" t="inlineStr">
        <is>
          <t>PLATAFORMAS RAP-PEYA-UBER-GOOD</t>
        </is>
      </c>
      <c r="E137" s="34" t="n">
        <v>47400</v>
      </c>
      <c r="F137" t="inlineStr">
        <is>
          <t>B</t>
        </is>
      </c>
      <c r="G137" s="34" t="n">
        <v>7568</v>
      </c>
      <c r="H137" s="34" t="n">
        <v>39832</v>
      </c>
      <c r="I137" t="inlineStr">
        <is>
          <t>3.6</t>
        </is>
      </c>
      <c r="J137" t="inlineStr">
        <is>
          <t>Ventas Delivery Apps</t>
        </is>
      </c>
      <c r="K137" t="inlineStr">
        <is>
          <t>CH3</t>
        </is>
      </c>
    </row>
    <row r="138">
      <c r="A138" s="33" t="n">
        <v>45673</v>
      </c>
      <c r="B138" t="inlineStr">
        <is>
          <t>2025-01</t>
        </is>
      </c>
      <c r="C138" t="inlineStr">
        <is>
          <t>Patricio Sutto</t>
        </is>
      </c>
      <c r="D138" t="inlineStr">
        <is>
          <t>CANELÉ TRADICIONAL</t>
        </is>
      </c>
      <c r="E138" s="34" t="n">
        <v>22890</v>
      </c>
      <c r="F138" t="inlineStr">
        <is>
          <t>B</t>
        </is>
      </c>
      <c r="G138" s="34" t="n">
        <v>3655</v>
      </c>
      <c r="H138" s="34" t="n">
        <v>19235</v>
      </c>
      <c r="I138" t="inlineStr">
        <is>
          <t>3.2</t>
        </is>
      </c>
      <c r="J138" t="inlineStr">
        <is>
          <t>Ventas Personas (B2C)</t>
        </is>
      </c>
      <c r="K138" t="inlineStr">
        <is>
          <t>CH2</t>
        </is>
      </c>
    </row>
    <row r="139">
      <c r="A139" s="33" t="n">
        <v>45673</v>
      </c>
      <c r="B139" t="inlineStr">
        <is>
          <t>2025-01</t>
        </is>
      </c>
      <c r="C139" t="inlineStr">
        <is>
          <t>Sin cliente</t>
        </is>
      </c>
      <c r="D139" t="inlineStr">
        <is>
          <t>PLATAFORMAS RAP-PEYA-UBER-GOOD</t>
        </is>
      </c>
      <c r="E139" s="34" t="n">
        <v>54588</v>
      </c>
      <c r="F139" t="inlineStr">
        <is>
          <t>B</t>
        </is>
      </c>
      <c r="G139" s="34" t="n">
        <v>8716</v>
      </c>
      <c r="H139" s="34" t="n">
        <v>45872</v>
      </c>
      <c r="I139" t="inlineStr">
        <is>
          <t>3.6</t>
        </is>
      </c>
      <c r="J139" t="inlineStr">
        <is>
          <t>Ventas Delivery Apps</t>
        </is>
      </c>
      <c r="K139" t="inlineStr">
        <is>
          <t>CH3</t>
        </is>
      </c>
    </row>
    <row r="140">
      <c r="A140" s="33" t="n">
        <v>45673</v>
      </c>
      <c r="B140" t="inlineStr">
        <is>
          <t>2025-01</t>
        </is>
      </c>
      <c r="C140" t="inlineStr">
        <is>
          <t>Maria Angela Gomez</t>
        </is>
      </c>
      <c r="D140" t="inlineStr">
        <is>
          <t>Delicatessen</t>
        </is>
      </c>
      <c r="E140" s="34" t="n">
        <v>59680</v>
      </c>
      <c r="F140" t="inlineStr">
        <is>
          <t>B</t>
        </is>
      </c>
      <c r="G140" s="34" t="n">
        <v>9529</v>
      </c>
      <c r="H140" s="34" t="n">
        <v>50151</v>
      </c>
      <c r="I140" t="inlineStr">
        <is>
          <t>3.2</t>
        </is>
      </c>
      <c r="J140" t="inlineStr">
        <is>
          <t>Ventas Personas (B2C)</t>
        </is>
      </c>
      <c r="K140" t="inlineStr">
        <is>
          <t>CH2</t>
        </is>
      </c>
    </row>
    <row r="141">
      <c r="A141" s="33" t="n">
        <v>45673</v>
      </c>
      <c r="B141" t="inlineStr">
        <is>
          <t>2025-01</t>
        </is>
      </c>
      <c r="C141" t="inlineStr">
        <is>
          <t>Sin cliente</t>
        </is>
      </c>
      <c r="D141" t="inlineStr">
        <is>
          <t>REGION METROPOLITANA</t>
        </is>
      </c>
      <c r="E141" s="34" t="n">
        <v>4990</v>
      </c>
      <c r="F141" t="inlineStr">
        <is>
          <t>B</t>
        </is>
      </c>
      <c r="G141" s="34" t="n">
        <v>797</v>
      </c>
      <c r="H141" s="34" t="n">
        <v>4193</v>
      </c>
      <c r="I141" t="inlineStr">
        <is>
          <t>3.2</t>
        </is>
      </c>
      <c r="J141" t="inlineStr">
        <is>
          <t>Ventas Personas (B2C)</t>
        </is>
      </c>
      <c r="K141" t="inlineStr">
        <is>
          <t>CH2</t>
        </is>
      </c>
    </row>
    <row r="142">
      <c r="A142" s="33" t="n">
        <v>45673</v>
      </c>
      <c r="B142" t="inlineStr">
        <is>
          <t>2025-01</t>
        </is>
      </c>
      <c r="C142" t="inlineStr">
        <is>
          <t>Gabriel Uteau Cubillos</t>
        </is>
      </c>
      <c r="D142" t="inlineStr">
        <is>
          <t>Rellenos</t>
        </is>
      </c>
      <c r="E142" s="34" t="n">
        <v>32889</v>
      </c>
      <c r="F142" t="inlineStr">
        <is>
          <t>B</t>
        </is>
      </c>
      <c r="G142" s="34" t="n">
        <v>5251</v>
      </c>
      <c r="H142" s="34" t="n">
        <v>27638</v>
      </c>
      <c r="I142" t="inlineStr">
        <is>
          <t>3.2</t>
        </is>
      </c>
      <c r="J142" t="inlineStr">
        <is>
          <t>Ventas Personas (B2C)</t>
        </is>
      </c>
      <c r="K142" t="inlineStr">
        <is>
          <t>CH2</t>
        </is>
      </c>
    </row>
    <row r="143">
      <c r="A143" s="33" t="n">
        <v>45674</v>
      </c>
      <c r="B143" t="inlineStr">
        <is>
          <t>2025-01</t>
        </is>
      </c>
      <c r="C143" t="inlineStr">
        <is>
          <t>Arman Pedinian Girardi</t>
        </is>
      </c>
      <c r="D143" t="inlineStr">
        <is>
          <t>Mix Sabores</t>
        </is>
      </c>
      <c r="E143" s="34" t="n">
        <v>13260</v>
      </c>
      <c r="F143" t="inlineStr">
        <is>
          <t>B</t>
        </is>
      </c>
      <c r="G143" s="34" t="n">
        <v>2117</v>
      </c>
      <c r="H143" s="34" t="n">
        <v>11143</v>
      </c>
      <c r="I143" t="inlineStr">
        <is>
          <t>3.2</t>
        </is>
      </c>
      <c r="J143" t="inlineStr">
        <is>
          <t>Ventas Personas (B2C)</t>
        </is>
      </c>
      <c r="K143" t="inlineStr">
        <is>
          <t>CH2</t>
        </is>
      </c>
    </row>
    <row r="144">
      <c r="A144" s="33" t="n">
        <v>45674</v>
      </c>
      <c r="B144" t="inlineStr">
        <is>
          <t>2025-01</t>
        </is>
      </c>
      <c r="C144" t="inlineStr">
        <is>
          <t>Felipe Fuenzalida</t>
        </is>
      </c>
      <c r="D144" t="inlineStr">
        <is>
          <t>CANELE SIN AZUCAR</t>
        </is>
      </c>
      <c r="E144" s="34" t="n">
        <v>30800</v>
      </c>
      <c r="F144" t="inlineStr">
        <is>
          <t>B</t>
        </is>
      </c>
      <c r="G144" s="34" t="n">
        <v>4918</v>
      </c>
      <c r="H144" s="34" t="n">
        <v>25882</v>
      </c>
      <c r="I144" t="inlineStr">
        <is>
          <t>3.2</t>
        </is>
      </c>
      <c r="J144" t="inlineStr">
        <is>
          <t>Ventas Personas (B2C)</t>
        </is>
      </c>
      <c r="K144" t="inlineStr">
        <is>
          <t>CH2</t>
        </is>
      </c>
    </row>
    <row r="145">
      <c r="A145" s="33" t="n">
        <v>45674</v>
      </c>
      <c r="B145" t="inlineStr">
        <is>
          <t>2025-01</t>
        </is>
      </c>
      <c r="C145" t="inlineStr">
        <is>
          <t>GOOD LIFE SPA</t>
        </is>
      </c>
      <c r="D145" t="inlineStr">
        <is>
          <t>HORECA CAFETERIA</t>
        </is>
      </c>
      <c r="E145" s="34" t="n">
        <v>149726</v>
      </c>
      <c r="F145" t="inlineStr">
        <is>
          <t>F</t>
        </is>
      </c>
      <c r="G145" s="34" t="n">
        <v>23906</v>
      </c>
      <c r="H145" s="34" t="n">
        <v>125820</v>
      </c>
      <c r="I145" t="inlineStr">
        <is>
          <t>3.1</t>
        </is>
      </c>
      <c r="J145" t="inlineStr">
        <is>
          <t>Ventas HoReCa</t>
        </is>
      </c>
      <c r="K145" t="inlineStr">
        <is>
          <t>CH1</t>
        </is>
      </c>
    </row>
    <row r="146">
      <c r="A146" s="33" t="n">
        <v>45674</v>
      </c>
      <c r="B146" t="inlineStr">
        <is>
          <t>2025-01</t>
        </is>
      </c>
      <c r="C146" t="inlineStr">
        <is>
          <t>BLUE OAK COFFE SPA</t>
        </is>
      </c>
      <c r="D146" t="inlineStr">
        <is>
          <t>HORECA CAFETERIA</t>
        </is>
      </c>
      <c r="E146" s="34" t="n">
        <v>128440</v>
      </c>
      <c r="F146" t="inlineStr">
        <is>
          <t>F</t>
        </is>
      </c>
      <c r="G146" s="34" t="n">
        <v>20507</v>
      </c>
      <c r="H146" s="34" t="n">
        <v>107933</v>
      </c>
      <c r="I146" t="inlineStr">
        <is>
          <t>3.1</t>
        </is>
      </c>
      <c r="J146" t="inlineStr">
        <is>
          <t>Ventas HoReCa</t>
        </is>
      </c>
      <c r="K146" t="inlineStr">
        <is>
          <t>CH1</t>
        </is>
      </c>
    </row>
    <row r="147">
      <c r="A147" s="33" t="n">
        <v>45674</v>
      </c>
      <c r="B147" t="inlineStr">
        <is>
          <t>2025-01</t>
        </is>
      </c>
      <c r="C147" t="inlineStr">
        <is>
          <t>Katherine Ramirez</t>
        </is>
      </c>
      <c r="D147" t="inlineStr">
        <is>
          <t>Petit Tradicional</t>
        </is>
      </c>
      <c r="E147" s="34" t="n">
        <v>10800</v>
      </c>
      <c r="F147" t="inlineStr">
        <is>
          <t>B</t>
        </is>
      </c>
      <c r="G147" s="34" t="n">
        <v>1724</v>
      </c>
      <c r="H147" s="34" t="n">
        <v>9076</v>
      </c>
      <c r="I147" t="inlineStr">
        <is>
          <t>3.2</t>
        </is>
      </c>
      <c r="J147" t="inlineStr">
        <is>
          <t>Ventas Personas (B2C)</t>
        </is>
      </c>
      <c r="K147" t="inlineStr">
        <is>
          <t>CH2</t>
        </is>
      </c>
    </row>
    <row r="148">
      <c r="A148" s="33" t="n">
        <v>45674</v>
      </c>
      <c r="B148" t="inlineStr">
        <is>
          <t>2025-01</t>
        </is>
      </c>
      <c r="C148" t="inlineStr">
        <is>
          <t>Sin cliente</t>
        </is>
      </c>
      <c r="D148" t="inlineStr">
        <is>
          <t>CANELÉ TRADICIONAL</t>
        </is>
      </c>
      <c r="E148" s="34" t="n">
        <v>31700</v>
      </c>
      <c r="F148" t="inlineStr">
        <is>
          <t>B</t>
        </is>
      </c>
      <c r="G148" s="34" t="n">
        <v>5061</v>
      </c>
      <c r="H148" s="34" t="n">
        <v>26639</v>
      </c>
      <c r="I148" t="inlineStr">
        <is>
          <t>3.2</t>
        </is>
      </c>
      <c r="J148" t="inlineStr">
        <is>
          <t>Ventas Personas (B2C)</t>
        </is>
      </c>
      <c r="K148" t="inlineStr">
        <is>
          <t>CH2</t>
        </is>
      </c>
    </row>
    <row r="149">
      <c r="A149" s="33" t="n">
        <v>45674</v>
      </c>
      <c r="B149" t="inlineStr">
        <is>
          <t>2025-01</t>
        </is>
      </c>
      <c r="C149" t="inlineStr">
        <is>
          <t>Sin cliente</t>
        </is>
      </c>
      <c r="D149" t="inlineStr">
        <is>
          <t>PLATAFORMAS RAP-PEYA-UBER-GOOD</t>
        </is>
      </c>
      <c r="E149" s="34" t="n">
        <v>16680</v>
      </c>
      <c r="F149" t="inlineStr">
        <is>
          <t>B</t>
        </is>
      </c>
      <c r="G149" s="34" t="n">
        <v>2663</v>
      </c>
      <c r="H149" s="34" t="n">
        <v>14017</v>
      </c>
      <c r="I149" t="inlineStr">
        <is>
          <t>3.6</t>
        </is>
      </c>
      <c r="J149" t="inlineStr">
        <is>
          <t>Ventas Delivery Apps</t>
        </is>
      </c>
      <c r="K149" t="inlineStr">
        <is>
          <t>CH3</t>
        </is>
      </c>
    </row>
    <row r="150">
      <c r="A150" s="33" t="n">
        <v>45674</v>
      </c>
      <c r="B150" t="inlineStr">
        <is>
          <t>2025-01</t>
        </is>
      </c>
      <c r="C150" t="inlineStr">
        <is>
          <t>Sin cliente</t>
        </is>
      </c>
      <c r="D150" t="inlineStr">
        <is>
          <t>CANELÉ TRADICIONAL</t>
        </is>
      </c>
      <c r="E150" s="34" t="n">
        <v>19800</v>
      </c>
      <c r="F150" t="inlineStr">
        <is>
          <t>B</t>
        </is>
      </c>
      <c r="G150" s="34" t="n">
        <v>3161</v>
      </c>
      <c r="H150" s="34" t="n">
        <v>16639</v>
      </c>
      <c r="I150" t="inlineStr">
        <is>
          <t>3.2</t>
        </is>
      </c>
      <c r="J150" t="inlineStr">
        <is>
          <t>Ventas Personas (B2C)</t>
        </is>
      </c>
      <c r="K150" t="inlineStr">
        <is>
          <t>CH2</t>
        </is>
      </c>
    </row>
    <row r="151">
      <c r="A151" s="33" t="n">
        <v>45674</v>
      </c>
      <c r="B151" t="inlineStr">
        <is>
          <t>2025-01</t>
        </is>
      </c>
      <c r="C151" t="inlineStr">
        <is>
          <t>Sin cliente</t>
        </is>
      </c>
      <c r="D151" t="inlineStr">
        <is>
          <t>Delicatessen</t>
        </is>
      </c>
      <c r="E151" s="34" t="n">
        <v>7990</v>
      </c>
      <c r="F151" t="inlineStr">
        <is>
          <t>B</t>
        </is>
      </c>
      <c r="G151" s="34" t="n">
        <v>1276</v>
      </c>
      <c r="H151" s="34" t="n">
        <v>6714</v>
      </c>
      <c r="I151" t="inlineStr">
        <is>
          <t>3.2</t>
        </is>
      </c>
      <c r="J151" t="inlineStr">
        <is>
          <t>Ventas Personas (B2C)</t>
        </is>
      </c>
      <c r="K151" t="inlineStr">
        <is>
          <t>CH2</t>
        </is>
      </c>
    </row>
    <row r="152">
      <c r="A152" s="33" t="n">
        <v>45674</v>
      </c>
      <c r="B152" t="inlineStr">
        <is>
          <t>2025-01</t>
        </is>
      </c>
      <c r="C152" t="inlineStr">
        <is>
          <t>Paula Correa</t>
        </is>
      </c>
      <c r="D152" t="inlineStr">
        <is>
          <t>Petit Crunchy</t>
        </is>
      </c>
      <c r="E152" s="34" t="n">
        <v>23310</v>
      </c>
      <c r="F152" t="inlineStr">
        <is>
          <t>B</t>
        </is>
      </c>
      <c r="G152" s="34" t="n">
        <v>3722</v>
      </c>
      <c r="H152" s="34" t="n">
        <v>19588</v>
      </c>
      <c r="I152" t="inlineStr">
        <is>
          <t>3.2</t>
        </is>
      </c>
      <c r="J152" t="inlineStr">
        <is>
          <t>Ventas Personas (B2C)</t>
        </is>
      </c>
      <c r="K152" t="inlineStr">
        <is>
          <t>CH2</t>
        </is>
      </c>
    </row>
    <row r="153">
      <c r="A153" s="33" t="n">
        <v>45674</v>
      </c>
      <c r="B153" t="inlineStr">
        <is>
          <t>2025-01</t>
        </is>
      </c>
      <c r="C153" t="inlineStr">
        <is>
          <t>Josefina Muñoz</t>
        </is>
      </c>
      <c r="D153" t="inlineStr">
        <is>
          <t>CANELÉ TRADICIONAL</t>
        </is>
      </c>
      <c r="E153" s="34" t="n">
        <v>17900</v>
      </c>
      <c r="F153" t="inlineStr">
        <is>
          <t>B</t>
        </is>
      </c>
      <c r="G153" s="34" t="n">
        <v>2858</v>
      </c>
      <c r="H153" s="34" t="n">
        <v>15042</v>
      </c>
      <c r="I153" t="inlineStr">
        <is>
          <t>3.2</t>
        </is>
      </c>
      <c r="J153" t="inlineStr">
        <is>
          <t>Ventas Personas (B2C)</t>
        </is>
      </c>
      <c r="K153" t="inlineStr">
        <is>
          <t>CH2</t>
        </is>
      </c>
    </row>
    <row r="154">
      <c r="A154" s="33" t="n">
        <v>45674</v>
      </c>
      <c r="B154" t="inlineStr">
        <is>
          <t>2025-01</t>
        </is>
      </c>
      <c r="C154" t="inlineStr">
        <is>
          <t>Rocío Armesto</t>
        </is>
      </c>
      <c r="D154" t="inlineStr">
        <is>
          <t>Petit Crunchy</t>
        </is>
      </c>
      <c r="E154" s="34" t="n">
        <v>29690</v>
      </c>
      <c r="F154" t="inlineStr">
        <is>
          <t>B</t>
        </is>
      </c>
      <c r="G154" s="34" t="n">
        <v>4740</v>
      </c>
      <c r="H154" s="34" t="n">
        <v>24950</v>
      </c>
      <c r="I154" t="inlineStr">
        <is>
          <t>3.2</t>
        </is>
      </c>
      <c r="J154" t="inlineStr">
        <is>
          <t>Ventas Personas (B2C)</t>
        </is>
      </c>
      <c r="K154" t="inlineStr">
        <is>
          <t>CH2</t>
        </is>
      </c>
    </row>
    <row r="155">
      <c r="A155" s="33" t="n">
        <v>45675</v>
      </c>
      <c r="B155" t="inlineStr">
        <is>
          <t>2025-01</t>
        </is>
      </c>
      <c r="C155" t="inlineStr">
        <is>
          <t>Martin Elorza Aiquel</t>
        </is>
      </c>
      <c r="D155" t="inlineStr">
        <is>
          <t>Delicatessen</t>
        </is>
      </c>
      <c r="E155" s="34" t="n">
        <v>44679</v>
      </c>
      <c r="F155" t="inlineStr">
        <is>
          <t>B</t>
        </is>
      </c>
      <c r="G155" s="34" t="n">
        <v>7134</v>
      </c>
      <c r="H155" s="34" t="n">
        <v>37545</v>
      </c>
      <c r="I155" t="inlineStr">
        <is>
          <t>3.2</t>
        </is>
      </c>
      <c r="J155" t="inlineStr">
        <is>
          <t>Ventas Personas (B2C)</t>
        </is>
      </c>
      <c r="K155" t="inlineStr">
        <is>
          <t>CH2</t>
        </is>
      </c>
    </row>
    <row r="156">
      <c r="A156" s="33" t="n">
        <v>45675</v>
      </c>
      <c r="B156" t="inlineStr">
        <is>
          <t>2025-01</t>
        </is>
      </c>
      <c r="C156" t="inlineStr">
        <is>
          <t>Felipe Giacaman</t>
        </is>
      </c>
      <c r="D156" t="inlineStr">
        <is>
          <t>CANELÉ TRADICIONAL</t>
        </is>
      </c>
      <c r="E156" s="34" t="n">
        <v>17900</v>
      </c>
      <c r="F156" t="inlineStr">
        <is>
          <t>B</t>
        </is>
      </c>
      <c r="G156" s="34" t="n">
        <v>2858</v>
      </c>
      <c r="H156" s="34" t="n">
        <v>15042</v>
      </c>
      <c r="I156" t="inlineStr">
        <is>
          <t>3.2</t>
        </is>
      </c>
      <c r="J156" t="inlineStr">
        <is>
          <t>Ventas Personas (B2C)</t>
        </is>
      </c>
      <c r="K156" t="inlineStr">
        <is>
          <t>CH2</t>
        </is>
      </c>
    </row>
    <row r="157">
      <c r="A157" s="33" t="n">
        <v>45675</v>
      </c>
      <c r="B157" t="inlineStr">
        <is>
          <t>2025-01</t>
        </is>
      </c>
      <c r="C157" t="inlineStr">
        <is>
          <t>Nieves Valdes</t>
        </is>
      </c>
      <c r="D157" t="inlineStr">
        <is>
          <t>CANELÉ TRADICIONAL</t>
        </is>
      </c>
      <c r="E157" s="34" t="n">
        <v>27199</v>
      </c>
      <c r="F157" t="inlineStr">
        <is>
          <t>B</t>
        </is>
      </c>
      <c r="G157" s="34" t="n">
        <v>4343</v>
      </c>
      <c r="H157" s="34" t="n">
        <v>22856</v>
      </c>
      <c r="I157" t="inlineStr">
        <is>
          <t>3.2</t>
        </is>
      </c>
      <c r="J157" t="inlineStr">
        <is>
          <t>Ventas Personas (B2C)</t>
        </is>
      </c>
      <c r="K157" t="inlineStr">
        <is>
          <t>CH2</t>
        </is>
      </c>
    </row>
    <row r="158">
      <c r="A158" s="33" t="n">
        <v>45675</v>
      </c>
      <c r="B158" t="inlineStr">
        <is>
          <t>2025-01</t>
        </is>
      </c>
      <c r="C158" t="inlineStr">
        <is>
          <t>Sin cliente</t>
        </is>
      </c>
      <c r="D158" t="inlineStr">
        <is>
          <t>PLATAFORMAS RAP-PEYA-UBER-GOOD</t>
        </is>
      </c>
      <c r="E158" s="34" t="n">
        <v>30000</v>
      </c>
      <c r="F158" t="inlineStr">
        <is>
          <t>B</t>
        </is>
      </c>
      <c r="G158" s="34" t="n">
        <v>4790</v>
      </c>
      <c r="H158" s="34" t="n">
        <v>25210</v>
      </c>
      <c r="I158" t="inlineStr">
        <is>
          <t>3.6</t>
        </is>
      </c>
      <c r="J158" t="inlineStr">
        <is>
          <t>Ventas Delivery Apps</t>
        </is>
      </c>
      <c r="K158" t="inlineStr">
        <is>
          <t>CH3</t>
        </is>
      </c>
    </row>
    <row r="159">
      <c r="A159" s="33" t="n">
        <v>45676</v>
      </c>
      <c r="B159" t="inlineStr">
        <is>
          <t>2025-01</t>
        </is>
      </c>
      <c r="C159" t="inlineStr">
        <is>
          <t>Gonzalo Rojas Godoy</t>
        </is>
      </c>
      <c r="D159" t="inlineStr">
        <is>
          <t>CANELÉ TRADICIONAL</t>
        </is>
      </c>
      <c r="E159" s="34" t="n">
        <v>22890</v>
      </c>
      <c r="F159" t="inlineStr">
        <is>
          <t>B</t>
        </is>
      </c>
      <c r="G159" s="34" t="n">
        <v>3655</v>
      </c>
      <c r="H159" s="34" t="n">
        <v>19235</v>
      </c>
      <c r="I159" t="inlineStr">
        <is>
          <t>3.2</t>
        </is>
      </c>
      <c r="J159" t="inlineStr">
        <is>
          <t>Ventas Personas (B2C)</t>
        </is>
      </c>
      <c r="K159" t="inlineStr">
        <is>
          <t>CH2</t>
        </is>
      </c>
    </row>
    <row r="160">
      <c r="A160" s="33" t="n">
        <v>45677</v>
      </c>
      <c r="B160" t="inlineStr">
        <is>
          <t>2025-01</t>
        </is>
      </c>
      <c r="C160" t="inlineStr">
        <is>
          <t>Gonzalo Silva</t>
        </is>
      </c>
      <c r="D160" t="inlineStr">
        <is>
          <t>Mix Sabores</t>
        </is>
      </c>
      <c r="E160" s="34" t="n">
        <v>33790</v>
      </c>
      <c r="F160" t="inlineStr">
        <is>
          <t>B</t>
        </is>
      </c>
      <c r="G160" s="34" t="n">
        <v>5395</v>
      </c>
      <c r="H160" s="34" t="n">
        <v>28395</v>
      </c>
      <c r="I160" t="inlineStr">
        <is>
          <t>3.2</t>
        </is>
      </c>
      <c r="J160" t="inlineStr">
        <is>
          <t>Ventas Personas (B2C)</t>
        </is>
      </c>
      <c r="K160" t="inlineStr">
        <is>
          <t>CH2</t>
        </is>
      </c>
    </row>
    <row r="161">
      <c r="A161" s="33" t="n">
        <v>45677</v>
      </c>
      <c r="B161" t="inlineStr">
        <is>
          <t>2025-01</t>
        </is>
      </c>
      <c r="C161" t="inlineStr">
        <is>
          <t>Sociedad de inversiones solari y acuña spa</t>
        </is>
      </c>
      <c r="D161" t="inlineStr">
        <is>
          <t>HORECA CAFETERIA</t>
        </is>
      </c>
      <c r="E161" s="34" t="n">
        <v>110682</v>
      </c>
      <c r="F161" t="inlineStr">
        <is>
          <t>F</t>
        </is>
      </c>
      <c r="G161" s="34" t="n">
        <v>17672</v>
      </c>
      <c r="H161" s="34" t="n">
        <v>93010</v>
      </c>
      <c r="I161" t="inlineStr">
        <is>
          <t>3.1</t>
        </is>
      </c>
      <c r="J161" t="inlineStr">
        <is>
          <t>Ventas HoReCa</t>
        </is>
      </c>
      <c r="K161" t="inlineStr">
        <is>
          <t>CH1</t>
        </is>
      </c>
    </row>
    <row r="162">
      <c r="A162" s="33" t="n">
        <v>45677</v>
      </c>
      <c r="B162" t="inlineStr">
        <is>
          <t>2025-01</t>
        </is>
      </c>
      <c r="C162" t="inlineStr">
        <is>
          <t>CAFE DIARIO ENCOMENDEROS SPA</t>
        </is>
      </c>
      <c r="D162" t="inlineStr">
        <is>
          <t>HORECA CAFETERIA</t>
        </is>
      </c>
      <c r="E162" s="34" t="n">
        <v>58611</v>
      </c>
      <c r="F162" t="inlineStr">
        <is>
          <t>F</t>
        </is>
      </c>
      <c r="G162" s="34" t="n">
        <v>9358</v>
      </c>
      <c r="H162" s="34" t="n">
        <v>49253</v>
      </c>
      <c r="I162" t="inlineStr">
        <is>
          <t>3.1</t>
        </is>
      </c>
      <c r="J162" t="inlineStr">
        <is>
          <t>Ventas HoReCa</t>
        </is>
      </c>
      <c r="K162" t="inlineStr">
        <is>
          <t>CH1</t>
        </is>
      </c>
    </row>
    <row r="163">
      <c r="A163" s="33" t="n">
        <v>45677</v>
      </c>
      <c r="B163" t="inlineStr">
        <is>
          <t>2025-01</t>
        </is>
      </c>
      <c r="C163" t="inlineStr">
        <is>
          <t>POMPON SPA</t>
        </is>
      </c>
      <c r="D163" t="inlineStr">
        <is>
          <t>HORECA CAFETERIA</t>
        </is>
      </c>
      <c r="E163" s="34" t="n">
        <v>89670</v>
      </c>
      <c r="F163" t="inlineStr">
        <is>
          <t>F</t>
        </is>
      </c>
      <c r="G163" s="34" t="n">
        <v>14317</v>
      </c>
      <c r="H163" s="34" t="n">
        <v>75353</v>
      </c>
      <c r="I163" t="inlineStr">
        <is>
          <t>3.1</t>
        </is>
      </c>
      <c r="J163" t="inlineStr">
        <is>
          <t>Ventas HoReCa</t>
        </is>
      </c>
      <c r="K163" t="inlineStr">
        <is>
          <t>CH1</t>
        </is>
      </c>
    </row>
    <row r="164">
      <c r="A164" s="33" t="n">
        <v>45677</v>
      </c>
      <c r="B164" t="inlineStr">
        <is>
          <t>2025-01</t>
        </is>
      </c>
      <c r="C164" t="inlineStr">
        <is>
          <t>INVERSIONES Y ASESORIAS RAVAL LIMITADA</t>
        </is>
      </c>
      <c r="D164" t="inlineStr">
        <is>
          <t>HORECA CAFETERIA</t>
        </is>
      </c>
      <c r="E164" s="34" t="n">
        <v>67980</v>
      </c>
      <c r="F164" t="inlineStr">
        <is>
          <t>F</t>
        </is>
      </c>
      <c r="G164" s="34" t="n">
        <v>10854</v>
      </c>
      <c r="H164" s="34" t="n">
        <v>57126</v>
      </c>
      <c r="I164" t="inlineStr">
        <is>
          <t>3.1</t>
        </is>
      </c>
      <c r="J164" t="inlineStr">
        <is>
          <t>Ventas HoReCa</t>
        </is>
      </c>
      <c r="K164" t="inlineStr">
        <is>
          <t>CH1</t>
        </is>
      </c>
    </row>
    <row r="165">
      <c r="A165" s="33" t="n">
        <v>45677</v>
      </c>
      <c r="B165" t="inlineStr">
        <is>
          <t>2025-01</t>
        </is>
      </c>
      <c r="C165" t="inlineStr">
        <is>
          <t>Susana Moreno Guerrero</t>
        </is>
      </c>
      <c r="D165" t="inlineStr">
        <is>
          <t>CANELÉ TRADICIONAL</t>
        </is>
      </c>
      <c r="E165" s="34" t="n">
        <v>20809</v>
      </c>
      <c r="F165" t="inlineStr">
        <is>
          <t>B</t>
        </is>
      </c>
      <c r="G165" s="34" t="n">
        <v>3322</v>
      </c>
      <c r="H165" s="34" t="n">
        <v>17487</v>
      </c>
      <c r="I165" t="inlineStr">
        <is>
          <t>3.2</t>
        </is>
      </c>
      <c r="J165" t="inlineStr">
        <is>
          <t>Ventas Personas (B2C)</t>
        </is>
      </c>
      <c r="K165" t="inlineStr">
        <is>
          <t>CH2</t>
        </is>
      </c>
    </row>
    <row r="166">
      <c r="A166" s="33" t="n">
        <v>45677</v>
      </c>
      <c r="B166" t="inlineStr">
        <is>
          <t>2025-01</t>
        </is>
      </c>
      <c r="C166" t="inlineStr">
        <is>
          <t>CAFETERÍA ALTURA LIMITADA</t>
        </is>
      </c>
      <c r="D166" t="inlineStr">
        <is>
          <t>HORECA CAFETERIA</t>
        </is>
      </c>
      <c r="E166" s="34" t="n">
        <v>53910</v>
      </c>
      <c r="F166" t="inlineStr">
        <is>
          <t>F</t>
        </is>
      </c>
      <c r="G166" s="34" t="n">
        <v>8607</v>
      </c>
      <c r="H166" s="34" t="n">
        <v>45303</v>
      </c>
      <c r="I166" t="inlineStr">
        <is>
          <t>3.1</t>
        </is>
      </c>
      <c r="J166" t="inlineStr">
        <is>
          <t>Ventas HoReCa</t>
        </is>
      </c>
      <c r="K166" t="inlineStr">
        <is>
          <t>CH1</t>
        </is>
      </c>
    </row>
    <row r="167">
      <c r="A167" s="33" t="n">
        <v>45677</v>
      </c>
      <c r="B167" t="inlineStr">
        <is>
          <t>2025-01</t>
        </is>
      </c>
      <c r="C167" t="inlineStr">
        <is>
          <t>INVERSIONES Y COMERCIALIZADORA FED LIMITADA</t>
        </is>
      </c>
      <c r="D167" t="inlineStr">
        <is>
          <t>HORECA CAFETERIA</t>
        </is>
      </c>
      <c r="E167" s="34" t="n">
        <v>79869</v>
      </c>
      <c r="F167" t="inlineStr">
        <is>
          <t>F</t>
        </is>
      </c>
      <c r="G167" s="34" t="n">
        <v>12752</v>
      </c>
      <c r="H167" s="34" t="n">
        <v>67117</v>
      </c>
      <c r="I167" t="inlineStr">
        <is>
          <t>3.1</t>
        </is>
      </c>
      <c r="J167" t="inlineStr">
        <is>
          <t>Ventas HoReCa</t>
        </is>
      </c>
      <c r="K167" t="inlineStr">
        <is>
          <t>CH1</t>
        </is>
      </c>
    </row>
    <row r="168">
      <c r="A168" s="33" t="n">
        <v>45677</v>
      </c>
      <c r="B168" t="inlineStr">
        <is>
          <t>2025-01</t>
        </is>
      </c>
      <c r="C168" t="inlineStr">
        <is>
          <t>INVERSIONES Y COMERCIALIZADORA FED LIMITADA</t>
        </is>
      </c>
      <c r="D168" t="inlineStr">
        <is>
          <t>HORECA CAFETERIA</t>
        </is>
      </c>
      <c r="E168" s="34" t="n">
        <v>132297</v>
      </c>
      <c r="F168" t="inlineStr">
        <is>
          <t>F</t>
        </is>
      </c>
      <c r="G168" s="34" t="n">
        <v>21123</v>
      </c>
      <c r="H168" s="34" t="n">
        <v>111174</v>
      </c>
      <c r="I168" t="inlineStr">
        <is>
          <t>3.1</t>
        </is>
      </c>
      <c r="J168" t="inlineStr">
        <is>
          <t>Ventas HoReCa</t>
        </is>
      </c>
      <c r="K168" t="inlineStr">
        <is>
          <t>CH1</t>
        </is>
      </c>
    </row>
    <row r="169">
      <c r="A169" s="33" t="n">
        <v>45677</v>
      </c>
      <c r="B169" t="inlineStr">
        <is>
          <t>2025-01</t>
        </is>
      </c>
      <c r="C169" t="inlineStr">
        <is>
          <t>RICO SPA</t>
        </is>
      </c>
      <c r="D169" t="inlineStr">
        <is>
          <t>CANELÉ TRADICIONAL</t>
        </is>
      </c>
      <c r="E169" s="34" t="n">
        <v>82140</v>
      </c>
      <c r="F169" t="inlineStr">
        <is>
          <t>F</t>
        </is>
      </c>
      <c r="G169" s="34" t="n">
        <v>13115</v>
      </c>
      <c r="H169" s="34" t="n">
        <v>69025</v>
      </c>
      <c r="I169" t="inlineStr">
        <is>
          <t>3.1</t>
        </is>
      </c>
      <c r="J169" t="inlineStr">
        <is>
          <t>Ventas HoReCa</t>
        </is>
      </c>
      <c r="K169" t="inlineStr">
        <is>
          <t>CH1</t>
        </is>
      </c>
    </row>
    <row r="170">
      <c r="A170" s="33" t="n">
        <v>45677</v>
      </c>
      <c r="B170" t="inlineStr">
        <is>
          <t>2025-01</t>
        </is>
      </c>
      <c r="C170" t="inlineStr">
        <is>
          <t>Sin cliente</t>
        </is>
      </c>
      <c r="D170" t="inlineStr">
        <is>
          <t>CANELÉ TRADICIONAL</t>
        </is>
      </c>
      <c r="E170" s="34" t="n">
        <v>24700</v>
      </c>
      <c r="F170" t="inlineStr">
        <is>
          <t>B</t>
        </is>
      </c>
      <c r="G170" s="34" t="n">
        <v>3944</v>
      </c>
      <c r="H170" s="34" t="n">
        <v>20756</v>
      </c>
      <c r="I170" t="inlineStr">
        <is>
          <t>3.2</t>
        </is>
      </c>
      <c r="J170" t="inlineStr">
        <is>
          <t>Ventas Personas (B2C)</t>
        </is>
      </c>
      <c r="K170" t="inlineStr">
        <is>
          <t>CH2</t>
        </is>
      </c>
    </row>
    <row r="171">
      <c r="A171" s="33" t="n">
        <v>45677</v>
      </c>
      <c r="B171" t="inlineStr">
        <is>
          <t>2025-01</t>
        </is>
      </c>
      <c r="C171" t="inlineStr">
        <is>
          <t>Maria Jose Grez</t>
        </is>
      </c>
      <c r="D171" t="inlineStr">
        <is>
          <t>CANELÉ TRADICIONAL</t>
        </is>
      </c>
      <c r="E171" s="34" t="n">
        <v>-24700</v>
      </c>
      <c r="F171" t="inlineStr">
        <is>
          <t>NC</t>
        </is>
      </c>
      <c r="G171" s="34" t="n">
        <v>-3944</v>
      </c>
      <c r="H171" s="34" t="n">
        <v>-20756</v>
      </c>
      <c r="I171" t="inlineStr">
        <is>
          <t>3.2</t>
        </is>
      </c>
      <c r="J171" t="inlineStr">
        <is>
          <t>Ventas Personas (B2C)</t>
        </is>
      </c>
      <c r="K171" t="inlineStr">
        <is>
          <t>CH2</t>
        </is>
      </c>
    </row>
    <row r="172">
      <c r="A172" s="33" t="n">
        <v>45677</v>
      </c>
      <c r="B172" t="inlineStr">
        <is>
          <t>2025-01</t>
        </is>
      </c>
      <c r="C172" t="inlineStr">
        <is>
          <t>Sin cliente</t>
        </is>
      </c>
      <c r="D172" t="inlineStr">
        <is>
          <t>CANELÉ TRADICIONAL</t>
        </is>
      </c>
      <c r="E172" s="34" t="n">
        <v>13300</v>
      </c>
      <c r="F172" t="inlineStr">
        <is>
          <t>B</t>
        </is>
      </c>
      <c r="G172" s="34" t="n">
        <v>2124</v>
      </c>
      <c r="H172" s="34" t="n">
        <v>11176</v>
      </c>
      <c r="I172" t="inlineStr">
        <is>
          <t>3.2</t>
        </is>
      </c>
      <c r="J172" t="inlineStr">
        <is>
          <t>Ventas Personas (B2C)</t>
        </is>
      </c>
      <c r="K172" t="inlineStr">
        <is>
          <t>CH2</t>
        </is>
      </c>
    </row>
    <row r="173">
      <c r="A173" s="33" t="n">
        <v>45677</v>
      </c>
      <c r="B173" t="inlineStr">
        <is>
          <t>2025-01</t>
        </is>
      </c>
      <c r="C173" t="inlineStr">
        <is>
          <t>nicole trewhela</t>
        </is>
      </c>
      <c r="D173" t="inlineStr">
        <is>
          <t>CANELÉ TRADICIONAL</t>
        </is>
      </c>
      <c r="E173" s="34" t="n">
        <v>17900</v>
      </c>
      <c r="F173" t="inlineStr">
        <is>
          <t>B</t>
        </is>
      </c>
      <c r="G173" s="34" t="n">
        <v>2858</v>
      </c>
      <c r="H173" s="34" t="n">
        <v>15042</v>
      </c>
      <c r="I173" t="inlineStr">
        <is>
          <t>3.2</t>
        </is>
      </c>
      <c r="J173" t="inlineStr">
        <is>
          <t>Ventas Personas (B2C)</t>
        </is>
      </c>
      <c r="K173" t="inlineStr">
        <is>
          <t>CH2</t>
        </is>
      </c>
    </row>
    <row r="174">
      <c r="A174" s="33" t="n">
        <v>45678</v>
      </c>
      <c r="B174" t="inlineStr">
        <is>
          <t>2025-01</t>
        </is>
      </c>
      <c r="C174" t="inlineStr">
        <is>
          <t>Sin cliente</t>
        </is>
      </c>
      <c r="D174" t="inlineStr">
        <is>
          <t>PLATAFORMAS RAP-PEYA-UBER-GOOD</t>
        </is>
      </c>
      <c r="E174" s="34" t="n">
        <v>48840</v>
      </c>
      <c r="F174" t="inlineStr">
        <is>
          <t>B</t>
        </is>
      </c>
      <c r="G174" s="34" t="n">
        <v>7798</v>
      </c>
      <c r="H174" s="34" t="n">
        <v>41042</v>
      </c>
      <c r="I174" t="inlineStr">
        <is>
          <t>3.6</t>
        </is>
      </c>
      <c r="J174" t="inlineStr">
        <is>
          <t>Ventas Delivery Apps</t>
        </is>
      </c>
      <c r="K174" t="inlineStr">
        <is>
          <t>CH3</t>
        </is>
      </c>
    </row>
    <row r="175">
      <c r="A175" s="33" t="n">
        <v>45678</v>
      </c>
      <c r="B175" t="inlineStr">
        <is>
          <t>2025-01</t>
        </is>
      </c>
      <c r="C175" t="inlineStr">
        <is>
          <t>CAFETERÍAS MISTER SPA</t>
        </is>
      </c>
      <c r="D175" t="inlineStr">
        <is>
          <t>HORECA CAFETERIA</t>
        </is>
      </c>
      <c r="E175" s="34" t="n">
        <v>33990</v>
      </c>
      <c r="F175" t="inlineStr">
        <is>
          <t>F</t>
        </is>
      </c>
      <c r="G175" s="34" t="n">
        <v>5427</v>
      </c>
      <c r="H175" s="34" t="n">
        <v>28563</v>
      </c>
      <c r="I175" t="inlineStr">
        <is>
          <t>3.1</t>
        </is>
      </c>
      <c r="J175" t="inlineStr">
        <is>
          <t>Ventas HoReCa</t>
        </is>
      </c>
      <c r="K175" t="inlineStr">
        <is>
          <t>CH1</t>
        </is>
      </c>
    </row>
    <row r="176">
      <c r="A176" s="33" t="n">
        <v>45678</v>
      </c>
      <c r="B176" t="inlineStr">
        <is>
          <t>2025-01</t>
        </is>
      </c>
      <c r="C176" t="inlineStr">
        <is>
          <t>Santa María spa</t>
        </is>
      </c>
      <c r="D176" t="inlineStr">
        <is>
          <t>HORECA CAFETERIA</t>
        </is>
      </c>
      <c r="E176" s="34" t="n">
        <v>178711</v>
      </c>
      <c r="F176" t="inlineStr">
        <is>
          <t>F</t>
        </is>
      </c>
      <c r="G176" s="34" t="n">
        <v>28534</v>
      </c>
      <c r="H176" s="34" t="n">
        <v>150177</v>
      </c>
      <c r="I176" t="inlineStr">
        <is>
          <t>3.1</t>
        </is>
      </c>
      <c r="J176" t="inlineStr">
        <is>
          <t>Ventas HoReCa</t>
        </is>
      </c>
      <c r="K176" t="inlineStr">
        <is>
          <t>CH1</t>
        </is>
      </c>
    </row>
    <row r="177">
      <c r="A177" s="33" t="n">
        <v>45678</v>
      </c>
      <c r="B177" t="inlineStr">
        <is>
          <t>2025-01</t>
        </is>
      </c>
      <c r="C177" t="inlineStr">
        <is>
          <t>OPA SPA</t>
        </is>
      </c>
      <c r="D177" t="inlineStr">
        <is>
          <t>HORECA CAFETERIA</t>
        </is>
      </c>
      <c r="E177" s="34" t="n">
        <v>60000</v>
      </c>
      <c r="F177" t="inlineStr">
        <is>
          <t>F</t>
        </is>
      </c>
      <c r="G177" s="34" t="n">
        <v>9580</v>
      </c>
      <c r="H177" s="34" t="n">
        <v>50420</v>
      </c>
      <c r="I177" t="inlineStr">
        <is>
          <t>3.1</t>
        </is>
      </c>
      <c r="J177" t="inlineStr">
        <is>
          <t>Ventas HoReCa</t>
        </is>
      </c>
      <c r="K177" t="inlineStr">
        <is>
          <t>CH1</t>
        </is>
      </c>
    </row>
    <row r="178">
      <c r="A178" s="33" t="n">
        <v>45678</v>
      </c>
      <c r="B178" t="inlineStr">
        <is>
          <t>2025-01</t>
        </is>
      </c>
      <c r="C178" t="inlineStr">
        <is>
          <t>Sin cliente</t>
        </is>
      </c>
      <c r="D178" t="inlineStr">
        <is>
          <t>PLATAFORMAS RAP-PEYA-UBER-GOOD</t>
        </is>
      </c>
      <c r="E178" s="34" t="n">
        <v>24948</v>
      </c>
      <c r="F178" t="inlineStr">
        <is>
          <t>B</t>
        </is>
      </c>
      <c r="G178" s="34" t="n">
        <v>3983</v>
      </c>
      <c r="H178" s="34" t="n">
        <v>20965</v>
      </c>
      <c r="I178" t="inlineStr">
        <is>
          <t>3.6</t>
        </is>
      </c>
      <c r="J178" t="inlineStr">
        <is>
          <t>Ventas Delivery Apps</t>
        </is>
      </c>
      <c r="K178" t="inlineStr">
        <is>
          <t>CH3</t>
        </is>
      </c>
    </row>
    <row r="179">
      <c r="A179" s="33" t="n">
        <v>45678</v>
      </c>
      <c r="B179" t="inlineStr">
        <is>
          <t>2025-01</t>
        </is>
      </c>
      <c r="C179" t="inlineStr">
        <is>
          <t>Sin cliente</t>
        </is>
      </c>
      <c r="D179" t="inlineStr">
        <is>
          <t>CANELÉ TRADICIONAL</t>
        </is>
      </c>
      <c r="E179" s="34" t="n">
        <v>13900</v>
      </c>
      <c r="F179" t="inlineStr">
        <is>
          <t>B</t>
        </is>
      </c>
      <c r="G179" s="34" t="n">
        <v>2219</v>
      </c>
      <c r="H179" s="34" t="n">
        <v>11681</v>
      </c>
      <c r="I179" t="inlineStr">
        <is>
          <t>3.2</t>
        </is>
      </c>
      <c r="J179" t="inlineStr">
        <is>
          <t>Ventas Personas (B2C)</t>
        </is>
      </c>
      <c r="K179" t="inlineStr">
        <is>
          <t>CH2</t>
        </is>
      </c>
    </row>
    <row r="180">
      <c r="A180" s="33" t="n">
        <v>45678</v>
      </c>
      <c r="B180" t="inlineStr">
        <is>
          <t>2025-01</t>
        </is>
      </c>
      <c r="C180" t="inlineStr">
        <is>
          <t>Cristian Morales</t>
        </is>
      </c>
      <c r="D180" t="inlineStr">
        <is>
          <t>Petit Tradicional</t>
        </is>
      </c>
      <c r="E180" s="34" t="n">
        <v>14790</v>
      </c>
      <c r="F180" t="inlineStr">
        <is>
          <t>B</t>
        </is>
      </c>
      <c r="G180" s="34" t="n">
        <v>2361</v>
      </c>
      <c r="H180" s="34" t="n">
        <v>12429</v>
      </c>
      <c r="I180" t="inlineStr">
        <is>
          <t>3.2</t>
        </is>
      </c>
      <c r="J180" t="inlineStr">
        <is>
          <t>Ventas Personas (B2C)</t>
        </is>
      </c>
      <c r="K180" t="inlineStr">
        <is>
          <t>CH2</t>
        </is>
      </c>
    </row>
    <row r="181">
      <c r="A181" s="33" t="n">
        <v>45679</v>
      </c>
      <c r="B181" t="inlineStr">
        <is>
          <t>2025-01</t>
        </is>
      </c>
      <c r="C181" t="inlineStr">
        <is>
          <t>Okinawa Spa</t>
        </is>
      </c>
      <c r="D181" t="inlineStr">
        <is>
          <t>HORECA CAFETERIA</t>
        </is>
      </c>
      <c r="E181" s="34" t="n">
        <v>90884</v>
      </c>
      <c r="F181" t="inlineStr">
        <is>
          <t>F</t>
        </is>
      </c>
      <c r="G181" s="34" t="n">
        <v>14511</v>
      </c>
      <c r="H181" s="34" t="n">
        <v>76373</v>
      </c>
      <c r="I181" t="inlineStr">
        <is>
          <t>3.1</t>
        </is>
      </c>
      <c r="J181" t="inlineStr">
        <is>
          <t>Ventas HoReCa</t>
        </is>
      </c>
      <c r="K181" t="inlineStr">
        <is>
          <t>CH1</t>
        </is>
      </c>
    </row>
    <row r="182">
      <c r="A182" s="33" t="n">
        <v>45679</v>
      </c>
      <c r="B182" t="inlineStr">
        <is>
          <t>2025-01</t>
        </is>
      </c>
      <c r="C182" t="inlineStr">
        <is>
          <t>BLUE OAK COFFE SPA</t>
        </is>
      </c>
      <c r="D182" t="inlineStr">
        <is>
          <t>HORECA CAFETERIA</t>
        </is>
      </c>
      <c r="E182" s="34" t="n">
        <v>90394</v>
      </c>
      <c r="F182" t="inlineStr">
        <is>
          <t>F</t>
        </is>
      </c>
      <c r="G182" s="34" t="n">
        <v>14433</v>
      </c>
      <c r="H182" s="34" t="n">
        <v>75961</v>
      </c>
      <c r="I182" t="inlineStr">
        <is>
          <t>3.1</t>
        </is>
      </c>
      <c r="J182" t="inlineStr">
        <is>
          <t>Ventas HoReCa</t>
        </is>
      </c>
      <c r="K182" t="inlineStr">
        <is>
          <t>CH1</t>
        </is>
      </c>
    </row>
    <row r="183">
      <c r="A183" s="33" t="n">
        <v>45679</v>
      </c>
      <c r="B183" t="inlineStr">
        <is>
          <t>2025-01</t>
        </is>
      </c>
      <c r="C183" t="inlineStr">
        <is>
          <t>CUATROTRESTRES CAFÉ SPA</t>
        </is>
      </c>
      <c r="D183" t="inlineStr">
        <is>
          <t>HORECA CAFETERIA</t>
        </is>
      </c>
      <c r="E183" s="34" t="n">
        <v>149726</v>
      </c>
      <c r="F183" t="inlineStr">
        <is>
          <t>F</t>
        </is>
      </c>
      <c r="G183" s="34" t="n">
        <v>23906</v>
      </c>
      <c r="H183" s="34" t="n">
        <v>125820</v>
      </c>
      <c r="I183" t="inlineStr">
        <is>
          <t>3.1</t>
        </is>
      </c>
      <c r="J183" t="inlineStr">
        <is>
          <t>Ventas HoReCa</t>
        </is>
      </c>
      <c r="K183" t="inlineStr">
        <is>
          <t>CH1</t>
        </is>
      </c>
    </row>
    <row r="184">
      <c r="A184" s="33" t="n">
        <v>45679</v>
      </c>
      <c r="B184" t="inlineStr">
        <is>
          <t>2025-01</t>
        </is>
      </c>
      <c r="C184" t="inlineStr">
        <is>
          <t>BLUE OAK COFFE SPA</t>
        </is>
      </c>
      <c r="D184" t="inlineStr">
        <is>
          <t>HORECA CAFETERIA</t>
        </is>
      </c>
      <c r="E184" s="34" t="n">
        <v>149726</v>
      </c>
      <c r="F184" t="inlineStr">
        <is>
          <t>F</t>
        </is>
      </c>
      <c r="G184" s="34" t="n">
        <v>23906</v>
      </c>
      <c r="H184" s="34" t="n">
        <v>125820</v>
      </c>
      <c r="I184" t="inlineStr">
        <is>
          <t>3.1</t>
        </is>
      </c>
      <c r="J184" t="inlineStr">
        <is>
          <t>Ventas HoReCa</t>
        </is>
      </c>
      <c r="K184" t="inlineStr">
        <is>
          <t>CH1</t>
        </is>
      </c>
    </row>
    <row r="185">
      <c r="A185" s="33" t="n">
        <v>45679</v>
      </c>
      <c r="B185" t="inlineStr">
        <is>
          <t>2025-01</t>
        </is>
      </c>
      <c r="C185" t="inlineStr">
        <is>
          <t>Inversiones Nagua SPA</t>
        </is>
      </c>
      <c r="D185" t="inlineStr">
        <is>
          <t>HORECA CAFETERIA</t>
        </is>
      </c>
      <c r="E185" s="34" t="n">
        <v>63990</v>
      </c>
      <c r="F185" t="inlineStr">
        <is>
          <t>F</t>
        </is>
      </c>
      <c r="G185" s="34" t="n">
        <v>10217</v>
      </c>
      <c r="H185" s="34" t="n">
        <v>53773</v>
      </c>
      <c r="I185" t="inlineStr">
        <is>
          <t>3.1</t>
        </is>
      </c>
      <c r="J185" t="inlineStr">
        <is>
          <t>Ventas HoReCa</t>
        </is>
      </c>
      <c r="K185" t="inlineStr">
        <is>
          <t>CH1</t>
        </is>
      </c>
    </row>
    <row r="186">
      <c r="A186" s="33" t="n">
        <v>45679</v>
      </c>
      <c r="B186" t="inlineStr">
        <is>
          <t>2025-01</t>
        </is>
      </c>
      <c r="C186" t="inlineStr">
        <is>
          <t>Elvira Martinez</t>
        </is>
      </c>
      <c r="D186" t="inlineStr">
        <is>
          <t>CANELÉ TRADICIONAL</t>
        </is>
      </c>
      <c r="E186" s="34" t="n">
        <v>21810</v>
      </c>
      <c r="F186" t="inlineStr">
        <is>
          <t>B</t>
        </is>
      </c>
      <c r="G186" s="34" t="n">
        <v>3482</v>
      </c>
      <c r="H186" s="34" t="n">
        <v>18328</v>
      </c>
      <c r="I186" t="inlineStr">
        <is>
          <t>3.2</t>
        </is>
      </c>
      <c r="J186" t="inlineStr">
        <is>
          <t>Ventas Personas (B2C)</t>
        </is>
      </c>
      <c r="K186" t="inlineStr">
        <is>
          <t>CH2</t>
        </is>
      </c>
    </row>
    <row r="187">
      <c r="A187" s="33" t="n">
        <v>45679</v>
      </c>
      <c r="B187" t="inlineStr">
        <is>
          <t>2025-01</t>
        </is>
      </c>
      <c r="C187" t="inlineStr">
        <is>
          <t>Maria Gabriela Correa</t>
        </is>
      </c>
      <c r="D187" t="inlineStr">
        <is>
          <t>Petit Tradicional</t>
        </is>
      </c>
      <c r="E187" s="34" t="n">
        <v>18810</v>
      </c>
      <c r="F187" t="inlineStr">
        <is>
          <t>B</t>
        </is>
      </c>
      <c r="G187" s="34" t="n">
        <v>3003</v>
      </c>
      <c r="H187" s="34" t="n">
        <v>15807</v>
      </c>
      <c r="I187" t="inlineStr">
        <is>
          <t>3.2</t>
        </is>
      </c>
      <c r="J187" t="inlineStr">
        <is>
          <t>Ventas Personas (B2C)</t>
        </is>
      </c>
      <c r="K187" t="inlineStr">
        <is>
          <t>CH2</t>
        </is>
      </c>
    </row>
    <row r="188">
      <c r="A188" s="33" t="n">
        <v>45679</v>
      </c>
      <c r="B188" t="inlineStr">
        <is>
          <t>2025-01</t>
        </is>
      </c>
      <c r="C188" t="inlineStr">
        <is>
          <t>sixto maldonado</t>
        </is>
      </c>
      <c r="D188" t="inlineStr">
        <is>
          <t>CANELÉ TRADICIONAL</t>
        </is>
      </c>
      <c r="E188" s="34" t="n">
        <v>52500</v>
      </c>
      <c r="F188" t="inlineStr">
        <is>
          <t>B</t>
        </is>
      </c>
      <c r="G188" s="34" t="n">
        <v>8382</v>
      </c>
      <c r="H188" s="34" t="n">
        <v>44118</v>
      </c>
      <c r="I188" t="inlineStr">
        <is>
          <t>3.2</t>
        </is>
      </c>
      <c r="J188" t="inlineStr">
        <is>
          <t>Ventas Personas (B2C)</t>
        </is>
      </c>
      <c r="K188" t="inlineStr">
        <is>
          <t>CH2</t>
        </is>
      </c>
    </row>
    <row r="189">
      <c r="A189" s="33" t="n">
        <v>45679</v>
      </c>
      <c r="B189" t="inlineStr">
        <is>
          <t>2025-01</t>
        </is>
      </c>
      <c r="C189" t="inlineStr">
        <is>
          <t>Natalia Alejandra Vega Rios</t>
        </is>
      </c>
      <c r="D189" t="inlineStr">
        <is>
          <t>CANELE SIN AZUCAR</t>
        </is>
      </c>
      <c r="E189" s="34" t="n">
        <v>20890</v>
      </c>
      <c r="F189" t="inlineStr">
        <is>
          <t>B</t>
        </is>
      </c>
      <c r="G189" s="34" t="n">
        <v>3335</v>
      </c>
      <c r="H189" s="34" t="n">
        <v>17555</v>
      </c>
      <c r="I189" t="inlineStr">
        <is>
          <t>3.2</t>
        </is>
      </c>
      <c r="J189" t="inlineStr">
        <is>
          <t>Ventas Personas (B2C)</t>
        </is>
      </c>
      <c r="K189" t="inlineStr">
        <is>
          <t>CH2</t>
        </is>
      </c>
    </row>
    <row r="190">
      <c r="A190" s="33" t="n">
        <v>45679</v>
      </c>
      <c r="B190" t="inlineStr">
        <is>
          <t>2025-01</t>
        </is>
      </c>
      <c r="C190" t="inlineStr">
        <is>
          <t>Sin cliente</t>
        </is>
      </c>
      <c r="D190" t="inlineStr">
        <is>
          <t>CANELÉ TRADICIONAL</t>
        </is>
      </c>
      <c r="E190" s="34" t="n">
        <v>5000</v>
      </c>
      <c r="F190" t="inlineStr">
        <is>
          <t>B</t>
        </is>
      </c>
      <c r="G190" s="34" t="n">
        <v>798</v>
      </c>
      <c r="H190" s="34" t="n">
        <v>4202</v>
      </c>
      <c r="I190" t="inlineStr">
        <is>
          <t>3.2</t>
        </is>
      </c>
      <c r="J190" t="inlineStr">
        <is>
          <t>Ventas Personas (B2C)</t>
        </is>
      </c>
      <c r="K190" t="inlineStr">
        <is>
          <t>CH2</t>
        </is>
      </c>
    </row>
    <row r="191">
      <c r="A191" s="33" t="n">
        <v>45679</v>
      </c>
      <c r="B191" t="inlineStr">
        <is>
          <t>2025-01</t>
        </is>
      </c>
      <c r="C191" t="inlineStr">
        <is>
          <t>catalina BRIEBA</t>
        </is>
      </c>
      <c r="D191" t="inlineStr">
        <is>
          <t>Petit Tradicional</t>
        </is>
      </c>
      <c r="E191" s="34" t="n">
        <v>22799</v>
      </c>
      <c r="F191" t="inlineStr">
        <is>
          <t>B</t>
        </is>
      </c>
      <c r="G191" s="34" t="n">
        <v>3640</v>
      </c>
      <c r="H191" s="34" t="n">
        <v>19159</v>
      </c>
      <c r="I191" t="inlineStr">
        <is>
          <t>3.2</t>
        </is>
      </c>
      <c r="J191" t="inlineStr">
        <is>
          <t>Ventas Personas (B2C)</t>
        </is>
      </c>
      <c r="K191" t="inlineStr">
        <is>
          <t>CH2</t>
        </is>
      </c>
    </row>
    <row r="192">
      <c r="A192" s="33" t="n">
        <v>45679</v>
      </c>
      <c r="B192" t="inlineStr">
        <is>
          <t>2025-01</t>
        </is>
      </c>
      <c r="C192" t="inlineStr">
        <is>
          <t>BAZÁN Y MUSSO SPA</t>
        </is>
      </c>
      <c r="D192" t="inlineStr">
        <is>
          <t>HORECA CAFETERIA</t>
        </is>
      </c>
      <c r="E192" s="34" t="n">
        <v>60000</v>
      </c>
      <c r="F192" t="inlineStr">
        <is>
          <t>F</t>
        </is>
      </c>
      <c r="G192" s="34" t="n">
        <v>9580</v>
      </c>
      <c r="H192" s="34" t="n">
        <v>50420</v>
      </c>
      <c r="I192" t="inlineStr">
        <is>
          <t>3.1</t>
        </is>
      </c>
      <c r="J192" t="inlineStr">
        <is>
          <t>Ventas HoReCa</t>
        </is>
      </c>
      <c r="K192" t="inlineStr">
        <is>
          <t>CH1</t>
        </is>
      </c>
    </row>
    <row r="193">
      <c r="A193" s="33" t="n">
        <v>45679</v>
      </c>
      <c r="B193" t="inlineStr">
        <is>
          <t>2025-01</t>
        </is>
      </c>
      <c r="C193" t="inlineStr">
        <is>
          <t>Sin cliente</t>
        </is>
      </c>
      <c r="D193" t="inlineStr">
        <is>
          <t>PLATAFORMAS RAP-PEYA-UBER-GOOD</t>
        </is>
      </c>
      <c r="E193" s="34" t="n">
        <v>24948</v>
      </c>
      <c r="F193" t="inlineStr">
        <is>
          <t>B</t>
        </is>
      </c>
      <c r="G193" s="34" t="n">
        <v>3983</v>
      </c>
      <c r="H193" s="34" t="n">
        <v>20965</v>
      </c>
      <c r="I193" t="inlineStr">
        <is>
          <t>3.6</t>
        </is>
      </c>
      <c r="J193" t="inlineStr">
        <is>
          <t>Ventas Delivery Apps</t>
        </is>
      </c>
      <c r="K193" t="inlineStr">
        <is>
          <t>CH3</t>
        </is>
      </c>
    </row>
    <row r="194">
      <c r="A194" s="33" t="n">
        <v>45679</v>
      </c>
      <c r="B194" t="inlineStr">
        <is>
          <t>2025-01</t>
        </is>
      </c>
      <c r="C194" t="inlineStr">
        <is>
          <t>Sin cliente</t>
        </is>
      </c>
      <c r="D194" t="inlineStr">
        <is>
          <t>CANELÉ TRADICIONAL</t>
        </is>
      </c>
      <c r="E194" s="34" t="n">
        <v>5000</v>
      </c>
      <c r="F194" t="inlineStr">
        <is>
          <t>B</t>
        </is>
      </c>
      <c r="G194" s="34" t="n">
        <v>798</v>
      </c>
      <c r="H194" s="34" t="n">
        <v>4202</v>
      </c>
      <c r="I194" t="inlineStr">
        <is>
          <t>3.2</t>
        </is>
      </c>
      <c r="J194" t="inlineStr">
        <is>
          <t>Ventas Personas (B2C)</t>
        </is>
      </c>
      <c r="K194" t="inlineStr">
        <is>
          <t>CH2</t>
        </is>
      </c>
    </row>
    <row r="195">
      <c r="A195" s="33" t="n">
        <v>45679</v>
      </c>
      <c r="B195" t="inlineStr">
        <is>
          <t>2025-01</t>
        </is>
      </c>
      <c r="C195" t="inlineStr">
        <is>
          <t>Zdenka Skorin</t>
        </is>
      </c>
      <c r="D195" t="inlineStr">
        <is>
          <t>CANELE SIN AZUCAR</t>
        </is>
      </c>
      <c r="E195" s="34" t="n">
        <v>26190</v>
      </c>
      <c r="F195" t="inlineStr">
        <is>
          <t>B</t>
        </is>
      </c>
      <c r="G195" s="34" t="n">
        <v>4182</v>
      </c>
      <c r="H195" s="34" t="n">
        <v>22008</v>
      </c>
      <c r="I195" t="inlineStr">
        <is>
          <t>3.2</t>
        </is>
      </c>
      <c r="J195" t="inlineStr">
        <is>
          <t>Ventas Personas (B2C)</t>
        </is>
      </c>
      <c r="K195" t="inlineStr">
        <is>
          <t>CH2</t>
        </is>
      </c>
    </row>
    <row r="196">
      <c r="A196" s="33" t="n">
        <v>45679</v>
      </c>
      <c r="B196" t="inlineStr">
        <is>
          <t>2025-01</t>
        </is>
      </c>
      <c r="C196" t="inlineStr">
        <is>
          <t>Carolina Castillo</t>
        </is>
      </c>
      <c r="D196" t="inlineStr">
        <is>
          <t>Petit Tradicional</t>
        </is>
      </c>
      <c r="E196" s="34" t="n">
        <v>26590</v>
      </c>
      <c r="F196" t="inlineStr">
        <is>
          <t>B</t>
        </is>
      </c>
      <c r="G196" s="34" t="n">
        <v>4245</v>
      </c>
      <c r="H196" s="34" t="n">
        <v>22345</v>
      </c>
      <c r="I196" t="inlineStr">
        <is>
          <t>3.2</t>
        </is>
      </c>
      <c r="J196" t="inlineStr">
        <is>
          <t>Ventas Personas (B2C)</t>
        </is>
      </c>
      <c r="K196" t="inlineStr">
        <is>
          <t>CH2</t>
        </is>
      </c>
    </row>
    <row r="197">
      <c r="A197" s="33" t="n">
        <v>45680</v>
      </c>
      <c r="B197" t="inlineStr">
        <is>
          <t>2025-01</t>
        </is>
      </c>
      <c r="C197" t="inlineStr">
        <is>
          <t>CAFETERIA THE ELEPHANT COFFEE LIMITADA</t>
        </is>
      </c>
      <c r="D197" t="inlineStr">
        <is>
          <t>HORECA CAFETERIA</t>
        </is>
      </c>
      <c r="E197" s="34" t="n">
        <v>137940</v>
      </c>
      <c r="F197" t="inlineStr">
        <is>
          <t>F</t>
        </is>
      </c>
      <c r="G197" s="34" t="n">
        <v>22024</v>
      </c>
      <c r="H197" s="34" t="n">
        <v>115916</v>
      </c>
      <c r="I197" t="inlineStr">
        <is>
          <t>3.1</t>
        </is>
      </c>
      <c r="J197" t="inlineStr">
        <is>
          <t>Ventas HoReCa</t>
        </is>
      </c>
      <c r="K197" t="inlineStr">
        <is>
          <t>CH1</t>
        </is>
      </c>
    </row>
    <row r="198">
      <c r="A198" s="33" t="n">
        <v>45680</v>
      </c>
      <c r="B198" t="inlineStr">
        <is>
          <t>2025-01</t>
        </is>
      </c>
      <c r="C198" t="inlineStr">
        <is>
          <t>Café del Parque SpA</t>
        </is>
      </c>
      <c r="D198" t="inlineStr">
        <is>
          <t>HORECA CAFETERIA</t>
        </is>
      </c>
      <c r="E198" s="34" t="n">
        <v>37548</v>
      </c>
      <c r="F198" t="inlineStr">
        <is>
          <t>F</t>
        </is>
      </c>
      <c r="G198" s="34" t="n">
        <v>5995</v>
      </c>
      <c r="H198" s="34" t="n">
        <v>31553</v>
      </c>
      <c r="I198" t="inlineStr">
        <is>
          <t>3.1</t>
        </is>
      </c>
      <c r="J198" t="inlineStr">
        <is>
          <t>Ventas HoReCa</t>
        </is>
      </c>
      <c r="K198" t="inlineStr">
        <is>
          <t>CH1</t>
        </is>
      </c>
    </row>
    <row r="199">
      <c r="A199" s="33" t="n">
        <v>45680</v>
      </c>
      <c r="B199" t="inlineStr">
        <is>
          <t>2025-01</t>
        </is>
      </c>
      <c r="C199" t="inlineStr">
        <is>
          <t>Carolina Águila</t>
        </is>
      </c>
      <c r="D199" t="inlineStr">
        <is>
          <t>Petit Crunchy</t>
        </is>
      </c>
      <c r="E199" s="34" t="n">
        <v>27300</v>
      </c>
      <c r="F199" t="inlineStr">
        <is>
          <t>B</t>
        </is>
      </c>
      <c r="G199" s="34" t="n">
        <v>4359</v>
      </c>
      <c r="H199" s="34" t="n">
        <v>22941</v>
      </c>
      <c r="I199" t="inlineStr">
        <is>
          <t>3.2</t>
        </is>
      </c>
      <c r="J199" t="inlineStr">
        <is>
          <t>Ventas Personas (B2C)</t>
        </is>
      </c>
      <c r="K199" t="inlineStr">
        <is>
          <t>CH2</t>
        </is>
      </c>
    </row>
    <row r="200">
      <c r="A200" s="33" t="n">
        <v>45680</v>
      </c>
      <c r="B200" t="inlineStr">
        <is>
          <t>2025-01</t>
        </is>
      </c>
      <c r="C200" t="inlineStr">
        <is>
          <t>Carolina Águila</t>
        </is>
      </c>
      <c r="D200" t="inlineStr">
        <is>
          <t>CANELÉ TRADICIONAL</t>
        </is>
      </c>
      <c r="E200" s="34" t="n">
        <v>19889</v>
      </c>
      <c r="F200" t="inlineStr">
        <is>
          <t>B</t>
        </is>
      </c>
      <c r="G200" s="34" t="n">
        <v>3176</v>
      </c>
      <c r="H200" s="34" t="n">
        <v>16713</v>
      </c>
      <c r="I200" t="inlineStr">
        <is>
          <t>3.2</t>
        </is>
      </c>
      <c r="J200" t="inlineStr">
        <is>
          <t>Ventas Personas (B2C)</t>
        </is>
      </c>
      <c r="K200" t="inlineStr">
        <is>
          <t>CH2</t>
        </is>
      </c>
    </row>
    <row r="201">
      <c r="A201" s="33" t="n">
        <v>45680</v>
      </c>
      <c r="B201" t="inlineStr">
        <is>
          <t>2025-01</t>
        </is>
      </c>
      <c r="C201" t="inlineStr">
        <is>
          <t>Ji Hye Yoon</t>
        </is>
      </c>
      <c r="D201" t="inlineStr">
        <is>
          <t>Rellenos</t>
        </is>
      </c>
      <c r="E201" s="34" t="n">
        <v>26010</v>
      </c>
      <c r="F201" t="inlineStr">
        <is>
          <t>B</t>
        </is>
      </c>
      <c r="G201" s="34" t="n">
        <v>4153</v>
      </c>
      <c r="H201" s="34" t="n">
        <v>21857</v>
      </c>
      <c r="I201" t="inlineStr">
        <is>
          <t>3.2</t>
        </is>
      </c>
      <c r="J201" t="inlineStr">
        <is>
          <t>Ventas Personas (B2C)</t>
        </is>
      </c>
      <c r="K201" t="inlineStr">
        <is>
          <t>CH2</t>
        </is>
      </c>
    </row>
    <row r="202">
      <c r="A202" s="33" t="n">
        <v>45680</v>
      </c>
      <c r="B202" t="inlineStr">
        <is>
          <t>2025-01</t>
        </is>
      </c>
      <c r="C202" t="inlineStr">
        <is>
          <t>CAFÉ UNDER SPA</t>
        </is>
      </c>
      <c r="D202" t="inlineStr">
        <is>
          <t>HORECA CAFETERIA</t>
        </is>
      </c>
      <c r="E202" s="34" t="n">
        <v>63990</v>
      </c>
      <c r="F202" t="inlineStr">
        <is>
          <t>F</t>
        </is>
      </c>
      <c r="G202" s="34" t="n">
        <v>10217</v>
      </c>
      <c r="H202" s="34" t="n">
        <v>53773</v>
      </c>
      <c r="I202" t="inlineStr">
        <is>
          <t>3.1</t>
        </is>
      </c>
      <c r="J202" t="inlineStr">
        <is>
          <t>Ventas HoReCa</t>
        </is>
      </c>
      <c r="K202" t="inlineStr">
        <is>
          <t>CH1</t>
        </is>
      </c>
    </row>
    <row r="203">
      <c r="A203" s="33" t="n">
        <v>45680</v>
      </c>
      <c r="B203" t="inlineStr">
        <is>
          <t>2025-01</t>
        </is>
      </c>
      <c r="C203" t="inlineStr">
        <is>
          <t>B KOFI SPA</t>
        </is>
      </c>
      <c r="D203" t="inlineStr">
        <is>
          <t>HORECA CAFETERIA</t>
        </is>
      </c>
      <c r="E203" s="34" t="n">
        <v>107600</v>
      </c>
      <c r="F203" t="inlineStr">
        <is>
          <t>F</t>
        </is>
      </c>
      <c r="G203" s="34" t="n">
        <v>17180</v>
      </c>
      <c r="H203" s="34" t="n">
        <v>90420</v>
      </c>
      <c r="I203" t="inlineStr">
        <is>
          <t>3.1</t>
        </is>
      </c>
      <c r="J203" t="inlineStr">
        <is>
          <t>Ventas HoReCa</t>
        </is>
      </c>
      <c r="K203" t="inlineStr">
        <is>
          <t>CH1</t>
        </is>
      </c>
    </row>
    <row r="204">
      <c r="A204" s="33" t="n">
        <v>45680</v>
      </c>
      <c r="B204" t="inlineStr">
        <is>
          <t>2025-01</t>
        </is>
      </c>
      <c r="C204" t="inlineStr">
        <is>
          <t>Sin cliente</t>
        </is>
      </c>
      <c r="D204" t="inlineStr">
        <is>
          <t>PLATAFORMAS RAP-PEYA-UBER-GOOD</t>
        </is>
      </c>
      <c r="E204" s="34" t="n">
        <v>8340</v>
      </c>
      <c r="F204" t="inlineStr">
        <is>
          <t>B</t>
        </is>
      </c>
      <c r="G204" s="34" t="n">
        <v>1332</v>
      </c>
      <c r="H204" s="34" t="n">
        <v>7008</v>
      </c>
      <c r="I204" t="inlineStr">
        <is>
          <t>3.6</t>
        </is>
      </c>
      <c r="J204" t="inlineStr">
        <is>
          <t>Ventas Delivery Apps</t>
        </is>
      </c>
      <c r="K204" t="inlineStr">
        <is>
          <t>CH3</t>
        </is>
      </c>
    </row>
    <row r="205">
      <c r="A205" s="33" t="n">
        <v>45680</v>
      </c>
      <c r="B205" t="inlineStr">
        <is>
          <t>2025-01</t>
        </is>
      </c>
      <c r="C205" t="inlineStr">
        <is>
          <t>Clara Loyola Bilbao</t>
        </is>
      </c>
      <c r="D205" t="inlineStr">
        <is>
          <t>CANELE SIN AZUCAR</t>
        </is>
      </c>
      <c r="E205" s="34" t="n">
        <v>26900</v>
      </c>
      <c r="F205" t="inlineStr">
        <is>
          <t>B</t>
        </is>
      </c>
      <c r="G205" s="34" t="n">
        <v>4295</v>
      </c>
      <c r="H205" s="34" t="n">
        <v>22605</v>
      </c>
      <c r="I205" t="inlineStr">
        <is>
          <t>3.2</t>
        </is>
      </c>
      <c r="J205" t="inlineStr">
        <is>
          <t>Ventas Personas (B2C)</t>
        </is>
      </c>
      <c r="K205" t="inlineStr">
        <is>
          <t>CH2</t>
        </is>
      </c>
    </row>
    <row r="206">
      <c r="A206" s="33" t="n">
        <v>45680</v>
      </c>
      <c r="B206" t="inlineStr">
        <is>
          <t>2025-01</t>
        </is>
      </c>
      <c r="C206" t="inlineStr">
        <is>
          <t>Sin cliente</t>
        </is>
      </c>
      <c r="D206" t="inlineStr">
        <is>
          <t>CANELÉ TRADICIONAL</t>
        </is>
      </c>
      <c r="E206" s="34" t="n">
        <v>25011</v>
      </c>
      <c r="F206" t="inlineStr">
        <is>
          <t>B</t>
        </is>
      </c>
      <c r="G206" s="34" t="n">
        <v>3993</v>
      </c>
      <c r="H206" s="34" t="n">
        <v>21018</v>
      </c>
      <c r="I206" t="inlineStr">
        <is>
          <t>3.2</t>
        </is>
      </c>
      <c r="J206" t="inlineStr">
        <is>
          <t>Ventas Personas (B2C)</t>
        </is>
      </c>
      <c r="K206" t="inlineStr">
        <is>
          <t>CH2</t>
        </is>
      </c>
    </row>
    <row r="207">
      <c r="A207" s="33" t="n">
        <v>45680</v>
      </c>
      <c r="B207" t="inlineStr">
        <is>
          <t>2025-01</t>
        </is>
      </c>
      <c r="C207" t="inlineStr">
        <is>
          <t>colomba tamayo</t>
        </is>
      </c>
      <c r="D207" t="inlineStr">
        <is>
          <t>CANELÉ TRADICIONAL</t>
        </is>
      </c>
      <c r="E207" s="34" t="n">
        <v>35800</v>
      </c>
      <c r="F207" t="inlineStr">
        <is>
          <t>B</t>
        </is>
      </c>
      <c r="G207" s="34" t="n">
        <v>5716</v>
      </c>
      <c r="H207" s="34" t="n">
        <v>30084</v>
      </c>
      <c r="I207" t="inlineStr">
        <is>
          <t>3.2</t>
        </is>
      </c>
      <c r="J207" t="inlineStr">
        <is>
          <t>Ventas Personas (B2C)</t>
        </is>
      </c>
      <c r="K207" t="inlineStr">
        <is>
          <t>CH2</t>
        </is>
      </c>
    </row>
    <row r="208">
      <c r="A208" s="33" t="n">
        <v>45680</v>
      </c>
      <c r="B208" t="inlineStr">
        <is>
          <t>2025-01</t>
        </is>
      </c>
      <c r="C208" t="inlineStr">
        <is>
          <t>Sin cliente</t>
        </is>
      </c>
      <c r="D208" t="inlineStr">
        <is>
          <t>Delicatessen</t>
        </is>
      </c>
      <c r="E208" s="34" t="n">
        <v>22700</v>
      </c>
      <c r="F208" t="inlineStr">
        <is>
          <t>B</t>
        </is>
      </c>
      <c r="G208" s="34" t="n">
        <v>3624</v>
      </c>
      <c r="H208" s="34" t="n">
        <v>19076</v>
      </c>
      <c r="I208" t="inlineStr">
        <is>
          <t>3.2</t>
        </is>
      </c>
      <c r="J208" t="inlineStr">
        <is>
          <t>Ventas Personas (B2C)</t>
        </is>
      </c>
      <c r="K208" t="inlineStr">
        <is>
          <t>CH2</t>
        </is>
      </c>
    </row>
    <row r="209">
      <c r="A209" s="33" t="n">
        <v>45680</v>
      </c>
      <c r="B209" t="inlineStr">
        <is>
          <t>2025-01</t>
        </is>
      </c>
      <c r="C209" t="inlineStr">
        <is>
          <t>RATIO COFFEE COMPANY SPA</t>
        </is>
      </c>
      <c r="D209" t="inlineStr">
        <is>
          <t>HORECA CAFETERIA</t>
        </is>
      </c>
      <c r="E209" s="34" t="n">
        <v>179710</v>
      </c>
      <c r="F209" t="inlineStr">
        <is>
          <t>F</t>
        </is>
      </c>
      <c r="G209" s="34" t="n">
        <v>28693</v>
      </c>
      <c r="H209" s="34" t="n">
        <v>151017</v>
      </c>
      <c r="I209" t="inlineStr">
        <is>
          <t>3.1</t>
        </is>
      </c>
      <c r="J209" t="inlineStr">
        <is>
          <t>Ventas HoReCa</t>
        </is>
      </c>
      <c r="K209" t="inlineStr">
        <is>
          <t>CH1</t>
        </is>
      </c>
    </row>
    <row r="210">
      <c r="A210" s="33" t="n">
        <v>45680</v>
      </c>
      <c r="B210" t="inlineStr">
        <is>
          <t>2025-01</t>
        </is>
      </c>
      <c r="C210" t="inlineStr">
        <is>
          <t>Sin cliente</t>
        </is>
      </c>
      <c r="D210" t="inlineStr">
        <is>
          <t>PLATAFORMAS RAP-PEYA-UBER-GOOD</t>
        </is>
      </c>
      <c r="E210" s="34" t="n">
        <v>33360</v>
      </c>
      <c r="F210" t="inlineStr">
        <is>
          <t>B</t>
        </is>
      </c>
      <c r="G210" s="34" t="n">
        <v>5326</v>
      </c>
      <c r="H210" s="34" t="n">
        <v>28034</v>
      </c>
      <c r="I210" t="inlineStr">
        <is>
          <t>3.6</t>
        </is>
      </c>
      <c r="J210" t="inlineStr">
        <is>
          <t>Ventas Delivery Apps</t>
        </is>
      </c>
      <c r="K210" t="inlineStr">
        <is>
          <t>CH3</t>
        </is>
      </c>
    </row>
    <row r="211">
      <c r="A211" s="33" t="n">
        <v>45680</v>
      </c>
      <c r="B211" t="inlineStr">
        <is>
          <t>2025-01</t>
        </is>
      </c>
      <c r="C211" t="inlineStr">
        <is>
          <t>Benjamin ORTIZ</t>
        </is>
      </c>
      <c r="D211" t="inlineStr">
        <is>
          <t>Mix Sabores</t>
        </is>
      </c>
      <c r="E211" s="34" t="n">
        <v>25510</v>
      </c>
      <c r="F211" t="inlineStr">
        <is>
          <t>B</t>
        </is>
      </c>
      <c r="G211" s="34" t="n">
        <v>4073</v>
      </c>
      <c r="H211" s="34" t="n">
        <v>21437</v>
      </c>
      <c r="I211" t="inlineStr">
        <is>
          <t>3.2</t>
        </is>
      </c>
      <c r="J211" t="inlineStr">
        <is>
          <t>Ventas Personas (B2C)</t>
        </is>
      </c>
      <c r="K211" t="inlineStr">
        <is>
          <t>CH2</t>
        </is>
      </c>
    </row>
    <row r="212">
      <c r="A212" s="33" t="n">
        <v>45680</v>
      </c>
      <c r="B212" t="inlineStr">
        <is>
          <t>2025-01</t>
        </is>
      </c>
      <c r="C212" t="inlineStr">
        <is>
          <t>Florencia Belmar</t>
        </is>
      </c>
      <c r="D212" t="inlineStr">
        <is>
          <t>CANELÉ TRADICIONAL</t>
        </is>
      </c>
      <c r="E212" s="34" t="n">
        <v>13900</v>
      </c>
      <c r="F212" t="inlineStr">
        <is>
          <t>B</t>
        </is>
      </c>
      <c r="G212" s="34" t="n">
        <v>2219</v>
      </c>
      <c r="H212" s="34" t="n">
        <v>11681</v>
      </c>
      <c r="I212" t="inlineStr">
        <is>
          <t>3.2</t>
        </is>
      </c>
      <c r="J212" t="inlineStr">
        <is>
          <t>Ventas Personas (B2C)</t>
        </is>
      </c>
      <c r="K212" t="inlineStr">
        <is>
          <t>CH2</t>
        </is>
      </c>
    </row>
    <row r="213">
      <c r="A213" s="33" t="n">
        <v>45681</v>
      </c>
      <c r="B213" t="inlineStr">
        <is>
          <t>2025-01</t>
        </is>
      </c>
      <c r="C213" t="inlineStr">
        <is>
          <t>Marcelo Olivares</t>
        </is>
      </c>
      <c r="D213" t="inlineStr">
        <is>
          <t>CANELÉ TRADICIONAL</t>
        </is>
      </c>
      <c r="E213" s="34" t="n">
        <v>18890</v>
      </c>
      <c r="F213" t="inlineStr">
        <is>
          <t>B</t>
        </is>
      </c>
      <c r="G213" s="34" t="n">
        <v>3016</v>
      </c>
      <c r="H213" s="34" t="n">
        <v>15874</v>
      </c>
      <c r="I213" t="inlineStr">
        <is>
          <t>3.2</t>
        </is>
      </c>
      <c r="J213" t="inlineStr">
        <is>
          <t>Ventas Personas (B2C)</t>
        </is>
      </c>
      <c r="K213" t="inlineStr">
        <is>
          <t>CH2</t>
        </is>
      </c>
    </row>
    <row r="214">
      <c r="A214" s="33" t="n">
        <v>45681</v>
      </c>
      <c r="B214" t="inlineStr">
        <is>
          <t>2025-01</t>
        </is>
      </c>
      <c r="C214" t="inlineStr">
        <is>
          <t>angeles bezanilla</t>
        </is>
      </c>
      <c r="D214" t="inlineStr">
        <is>
          <t>CANELÉ TRADICIONAL</t>
        </is>
      </c>
      <c r="E214" s="34" t="n">
        <v>21890</v>
      </c>
      <c r="F214" t="inlineStr">
        <is>
          <t>B</t>
        </is>
      </c>
      <c r="G214" s="34" t="n">
        <v>3495</v>
      </c>
      <c r="H214" s="34" t="n">
        <v>18395</v>
      </c>
      <c r="I214" t="inlineStr">
        <is>
          <t>3.2</t>
        </is>
      </c>
      <c r="J214" t="inlineStr">
        <is>
          <t>Ventas Personas (B2C)</t>
        </is>
      </c>
      <c r="K214" t="inlineStr">
        <is>
          <t>CH2</t>
        </is>
      </c>
    </row>
    <row r="215">
      <c r="A215" s="33" t="n">
        <v>45681</v>
      </c>
      <c r="B215" t="inlineStr">
        <is>
          <t>2025-01</t>
        </is>
      </c>
      <c r="C215" t="inlineStr">
        <is>
          <t>DIEGO VARGAS BANQUETERIA Y EVENTOS SPA</t>
        </is>
      </c>
      <c r="D215" t="inlineStr">
        <is>
          <t>HORECA CATERING</t>
        </is>
      </c>
      <c r="E215" s="34" t="n">
        <v>250130</v>
      </c>
      <c r="F215" t="inlineStr">
        <is>
          <t>F</t>
        </is>
      </c>
      <c r="G215" s="34" t="n">
        <v>39937</v>
      </c>
      <c r="H215" s="34" t="n">
        <v>210193</v>
      </c>
      <c r="I215" t="inlineStr">
        <is>
          <t>3.1</t>
        </is>
      </c>
      <c r="J215" t="inlineStr">
        <is>
          <t>Ventas HoReCa</t>
        </is>
      </c>
      <c r="K215" t="inlineStr">
        <is>
          <t>CH1</t>
        </is>
      </c>
    </row>
    <row r="216">
      <c r="A216" s="33" t="n">
        <v>45681</v>
      </c>
      <c r="B216" t="inlineStr">
        <is>
          <t>2025-01</t>
        </is>
      </c>
      <c r="C216" t="inlineStr">
        <is>
          <t>VILAS BANQUETERIAS SPA</t>
        </is>
      </c>
      <c r="D216" t="inlineStr">
        <is>
          <t>HORECA CATERING</t>
        </is>
      </c>
      <c r="E216" s="34" t="n">
        <v>130130</v>
      </c>
      <c r="F216" t="inlineStr">
        <is>
          <t>F</t>
        </is>
      </c>
      <c r="G216" s="34" t="n">
        <v>20777</v>
      </c>
      <c r="H216" s="34" t="n">
        <v>109353</v>
      </c>
      <c r="I216" t="inlineStr">
        <is>
          <t>3.1</t>
        </is>
      </c>
      <c r="J216" t="inlineStr">
        <is>
          <t>Ventas HoReCa</t>
        </is>
      </c>
      <c r="K216" t="inlineStr">
        <is>
          <t>CH1</t>
        </is>
      </c>
    </row>
    <row r="217">
      <c r="A217" s="33" t="n">
        <v>45681</v>
      </c>
      <c r="B217" t="inlineStr">
        <is>
          <t>2025-01</t>
        </is>
      </c>
      <c r="C217" t="inlineStr">
        <is>
          <t>DIEGO VARGAS BANQUETERIA Y EVENTOS SPA</t>
        </is>
      </c>
      <c r="D217" t="inlineStr">
        <is>
          <t>HORECA CATERING</t>
        </is>
      </c>
      <c r="E217" s="34" t="n">
        <v>54145</v>
      </c>
      <c r="F217" t="inlineStr">
        <is>
          <t>F</t>
        </is>
      </c>
      <c r="G217" s="34" t="n">
        <v>8645</v>
      </c>
      <c r="H217" s="34" t="n">
        <v>45500</v>
      </c>
      <c r="I217" t="inlineStr">
        <is>
          <t>3.1</t>
        </is>
      </c>
      <c r="J217" t="inlineStr">
        <is>
          <t>Ventas HoReCa</t>
        </is>
      </c>
      <c r="K217" t="inlineStr">
        <is>
          <t>CH1</t>
        </is>
      </c>
    </row>
    <row r="218">
      <c r="A218" s="33" t="n">
        <v>45681</v>
      </c>
      <c r="B218" t="inlineStr">
        <is>
          <t>2025-01</t>
        </is>
      </c>
      <c r="C218" t="inlineStr">
        <is>
          <t>Clark Veloso Valenzuela</t>
        </is>
      </c>
      <c r="D218" t="inlineStr">
        <is>
          <t>HORECA CAFETERIA</t>
        </is>
      </c>
      <c r="E218" s="34" t="n">
        <v>64990</v>
      </c>
      <c r="F218" t="inlineStr">
        <is>
          <t>F</t>
        </is>
      </c>
      <c r="G218" s="34" t="n">
        <v>10377</v>
      </c>
      <c r="H218" s="34" t="n">
        <v>54613</v>
      </c>
      <c r="I218" t="inlineStr">
        <is>
          <t>3.1</t>
        </is>
      </c>
      <c r="J218" t="inlineStr">
        <is>
          <t>Ventas HoReCa</t>
        </is>
      </c>
      <c r="K218" t="inlineStr">
        <is>
          <t>CH1</t>
        </is>
      </c>
    </row>
    <row r="219">
      <c r="A219" s="33" t="n">
        <v>45681</v>
      </c>
      <c r="B219" t="inlineStr">
        <is>
          <t>2025-01</t>
        </is>
      </c>
      <c r="C219" t="inlineStr">
        <is>
          <t>POMPON SPA</t>
        </is>
      </c>
      <c r="D219" t="inlineStr">
        <is>
          <t>HORECA CAFETERIA</t>
        </is>
      </c>
      <c r="E219" s="34" t="n">
        <v>177310</v>
      </c>
      <c r="F219" t="inlineStr">
        <is>
          <t>F</t>
        </is>
      </c>
      <c r="G219" s="34" t="n">
        <v>28310</v>
      </c>
      <c r="H219" s="34" t="n">
        <v>149000</v>
      </c>
      <c r="I219" t="inlineStr">
        <is>
          <t>3.1</t>
        </is>
      </c>
      <c r="J219" t="inlineStr">
        <is>
          <t>Ventas HoReCa</t>
        </is>
      </c>
      <c r="K219" t="inlineStr">
        <is>
          <t>CH1</t>
        </is>
      </c>
    </row>
    <row r="220">
      <c r="A220" s="33" t="n">
        <v>45681</v>
      </c>
      <c r="B220" t="inlineStr">
        <is>
          <t>2025-01</t>
        </is>
      </c>
      <c r="C220" t="inlineStr">
        <is>
          <t>GALVEZ Y HEUSSER SPA</t>
        </is>
      </c>
      <c r="D220" t="inlineStr">
        <is>
          <t>HORECA CATERING</t>
        </is>
      </c>
      <c r="E220" s="34" t="n">
        <v>57826</v>
      </c>
      <c r="F220" t="inlineStr">
        <is>
          <t>F</t>
        </is>
      </c>
      <c r="G220" s="34" t="n">
        <v>9233</v>
      </c>
      <c r="H220" s="34" t="n">
        <v>48593</v>
      </c>
      <c r="I220" t="inlineStr">
        <is>
          <t>3.1</t>
        </is>
      </c>
      <c r="J220" t="inlineStr">
        <is>
          <t>Ventas HoReCa</t>
        </is>
      </c>
      <c r="K220" t="inlineStr">
        <is>
          <t>CH1</t>
        </is>
      </c>
    </row>
    <row r="221">
      <c r="A221" s="33" t="n">
        <v>45681</v>
      </c>
      <c r="B221" t="inlineStr">
        <is>
          <t>2025-01</t>
        </is>
      </c>
      <c r="C221" t="inlineStr">
        <is>
          <t>Francisca Swett</t>
        </is>
      </c>
      <c r="D221" t="inlineStr">
        <is>
          <t>CANELÉ TRADICIONAL</t>
        </is>
      </c>
      <c r="E221" s="34" t="n">
        <v>18299</v>
      </c>
      <c r="F221" t="inlineStr">
        <is>
          <t>B</t>
        </is>
      </c>
      <c r="G221" s="34" t="n">
        <v>2922</v>
      </c>
      <c r="H221" s="34" t="n">
        <v>15377</v>
      </c>
      <c r="I221" t="inlineStr">
        <is>
          <t>3.2</t>
        </is>
      </c>
      <c r="J221" t="inlineStr">
        <is>
          <t>Ventas Personas (B2C)</t>
        </is>
      </c>
      <c r="K221" t="inlineStr">
        <is>
          <t>CH2</t>
        </is>
      </c>
    </row>
    <row r="222">
      <c r="A222" s="33" t="n">
        <v>45681</v>
      </c>
      <c r="B222" t="inlineStr">
        <is>
          <t>2025-01</t>
        </is>
      </c>
      <c r="C222" t="inlineStr">
        <is>
          <t>Diego Jara Cardenas</t>
        </is>
      </c>
      <c r="D222" t="inlineStr">
        <is>
          <t>CANELÉ TRADICIONAL</t>
        </is>
      </c>
      <c r="E222" s="34" t="n">
        <v>22890</v>
      </c>
      <c r="F222" t="inlineStr">
        <is>
          <t>B</t>
        </is>
      </c>
      <c r="G222" s="34" t="n">
        <v>3655</v>
      </c>
      <c r="H222" s="34" t="n">
        <v>19235</v>
      </c>
      <c r="I222" t="inlineStr">
        <is>
          <t>3.2</t>
        </is>
      </c>
      <c r="J222" t="inlineStr">
        <is>
          <t>Ventas Personas (B2C)</t>
        </is>
      </c>
      <c r="K222" t="inlineStr">
        <is>
          <t>CH2</t>
        </is>
      </c>
    </row>
    <row r="223">
      <c r="A223" s="33" t="n">
        <v>45681</v>
      </c>
      <c r="B223" t="inlineStr">
        <is>
          <t>2025-01</t>
        </is>
      </c>
      <c r="C223" t="inlineStr">
        <is>
          <t>Valentina Herrera</t>
        </is>
      </c>
      <c r="D223" t="inlineStr">
        <is>
          <t>CANELÉ TRADICIONAL</t>
        </is>
      </c>
      <c r="E223" s="34" t="n">
        <v>15900</v>
      </c>
      <c r="F223" t="inlineStr">
        <is>
          <t>B</t>
        </is>
      </c>
      <c r="G223" s="34" t="n">
        <v>2539</v>
      </c>
      <c r="H223" s="34" t="n">
        <v>13361</v>
      </c>
      <c r="I223" t="inlineStr">
        <is>
          <t>3.2</t>
        </is>
      </c>
      <c r="J223" t="inlineStr">
        <is>
          <t>Ventas Personas (B2C)</t>
        </is>
      </c>
      <c r="K223" t="inlineStr">
        <is>
          <t>CH2</t>
        </is>
      </c>
    </row>
    <row r="224">
      <c r="A224" s="33" t="n">
        <v>45681</v>
      </c>
      <c r="B224" t="inlineStr">
        <is>
          <t>2025-01</t>
        </is>
      </c>
      <c r="C224" t="inlineStr">
        <is>
          <t>Claudia Bejarano</t>
        </is>
      </c>
      <c r="D224" t="inlineStr">
        <is>
          <t>Rellenos</t>
        </is>
      </c>
      <c r="E224" s="34" t="n">
        <v>21900</v>
      </c>
      <c r="F224" t="inlineStr">
        <is>
          <t>B</t>
        </is>
      </c>
      <c r="G224" s="34" t="n">
        <v>3497</v>
      </c>
      <c r="H224" s="34" t="n">
        <v>18403</v>
      </c>
      <c r="I224" t="inlineStr">
        <is>
          <t>3.2</t>
        </is>
      </c>
      <c r="J224" t="inlineStr">
        <is>
          <t>Ventas Personas (B2C)</t>
        </is>
      </c>
      <c r="K224" t="inlineStr">
        <is>
          <t>CH2</t>
        </is>
      </c>
    </row>
    <row r="225">
      <c r="A225" s="33" t="n">
        <v>45681</v>
      </c>
      <c r="B225" t="inlineStr">
        <is>
          <t>2025-01</t>
        </is>
      </c>
      <c r="C225" t="inlineStr">
        <is>
          <t>Carolina Soto</t>
        </is>
      </c>
      <c r="D225" t="inlineStr">
        <is>
          <t>CANELÉ TRADICIONAL</t>
        </is>
      </c>
      <c r="E225" s="34" t="n">
        <v>25810</v>
      </c>
      <c r="F225" t="inlineStr">
        <is>
          <t>B</t>
        </is>
      </c>
      <c r="G225" s="34" t="n">
        <v>4121</v>
      </c>
      <c r="H225" s="34" t="n">
        <v>21689</v>
      </c>
      <c r="I225" t="inlineStr">
        <is>
          <t>3.2</t>
        </is>
      </c>
      <c r="J225" t="inlineStr">
        <is>
          <t>Ventas Personas (B2C)</t>
        </is>
      </c>
      <c r="K225" t="inlineStr">
        <is>
          <t>CH2</t>
        </is>
      </c>
    </row>
    <row r="226">
      <c r="A226" s="33" t="n">
        <v>45681</v>
      </c>
      <c r="B226" t="inlineStr">
        <is>
          <t>2025-01</t>
        </is>
      </c>
      <c r="C226" t="inlineStr">
        <is>
          <t>Sin cliente</t>
        </is>
      </c>
      <c r="D226" t="inlineStr">
        <is>
          <t>Delicatessen</t>
        </is>
      </c>
      <c r="E226" s="34" t="n">
        <v>11900</v>
      </c>
      <c r="F226" t="inlineStr">
        <is>
          <t>B</t>
        </is>
      </c>
      <c r="G226" s="34" t="n">
        <v>1900</v>
      </c>
      <c r="H226" s="34" t="n">
        <v>10000</v>
      </c>
      <c r="I226" t="inlineStr">
        <is>
          <t>3.2</t>
        </is>
      </c>
      <c r="J226" t="inlineStr">
        <is>
          <t>Ventas Personas (B2C)</t>
        </is>
      </c>
      <c r="K226" t="inlineStr">
        <is>
          <t>CH2</t>
        </is>
      </c>
    </row>
    <row r="227">
      <c r="A227" s="33" t="n">
        <v>45681</v>
      </c>
      <c r="B227" t="inlineStr">
        <is>
          <t>2025-01</t>
        </is>
      </c>
      <c r="C227" t="inlineStr">
        <is>
          <t>Sin cliente</t>
        </is>
      </c>
      <c r="D227" t="inlineStr">
        <is>
          <t>PLATAFORMAS RAP-PEYA-UBER-GOOD</t>
        </is>
      </c>
      <c r="E227" s="34" t="n">
        <v>23760</v>
      </c>
      <c r="F227" t="inlineStr">
        <is>
          <t>B</t>
        </is>
      </c>
      <c r="G227" s="34" t="n">
        <v>3794</v>
      </c>
      <c r="H227" s="34" t="n">
        <v>19966</v>
      </c>
      <c r="I227" t="inlineStr">
        <is>
          <t>3.6</t>
        </is>
      </c>
      <c r="J227" t="inlineStr">
        <is>
          <t>Ventas Delivery Apps</t>
        </is>
      </c>
      <c r="K227" t="inlineStr">
        <is>
          <t>CH3</t>
        </is>
      </c>
    </row>
    <row r="228">
      <c r="A228" s="33" t="n">
        <v>45681</v>
      </c>
      <c r="B228" t="inlineStr">
        <is>
          <t>2025-01</t>
        </is>
      </c>
      <c r="C228" t="inlineStr">
        <is>
          <t>Sin cliente</t>
        </is>
      </c>
      <c r="D228" t="inlineStr">
        <is>
          <t>PLATAFORMAS RAP-PEYA-UBER-GOOD</t>
        </is>
      </c>
      <c r="E228" s="34" t="n">
        <v>24955</v>
      </c>
      <c r="F228" t="inlineStr">
        <is>
          <t>B</t>
        </is>
      </c>
      <c r="G228" s="34" t="n">
        <v>3984</v>
      </c>
      <c r="H228" s="34" t="n">
        <v>20971</v>
      </c>
      <c r="I228" t="inlineStr">
        <is>
          <t>3.6</t>
        </is>
      </c>
      <c r="J228" t="inlineStr">
        <is>
          <t>Ventas Delivery Apps</t>
        </is>
      </c>
      <c r="K228" t="inlineStr">
        <is>
          <t>CH3</t>
        </is>
      </c>
    </row>
    <row r="229">
      <c r="A229" s="33" t="n">
        <v>45681</v>
      </c>
      <c r="B229" t="inlineStr">
        <is>
          <t>2025-01</t>
        </is>
      </c>
      <c r="C229" t="inlineStr">
        <is>
          <t>Sin cliente</t>
        </is>
      </c>
      <c r="D229" t="inlineStr">
        <is>
          <t>Mix Sabores</t>
        </is>
      </c>
      <c r="E229" s="34" t="n">
        <v>53520</v>
      </c>
      <c r="F229" t="inlineStr">
        <is>
          <t>B</t>
        </is>
      </c>
      <c r="G229" s="34" t="n">
        <v>8545</v>
      </c>
      <c r="H229" s="34" t="n">
        <v>44975</v>
      </c>
      <c r="I229" t="inlineStr">
        <is>
          <t>3.2</t>
        </is>
      </c>
      <c r="J229" t="inlineStr">
        <is>
          <t>Ventas Personas (B2C)</t>
        </is>
      </c>
      <c r="K229" t="inlineStr">
        <is>
          <t>CH2</t>
        </is>
      </c>
    </row>
    <row r="230">
      <c r="A230" s="33" t="n">
        <v>45682</v>
      </c>
      <c r="B230" t="inlineStr">
        <is>
          <t>2025-01</t>
        </is>
      </c>
      <c r="C230" t="inlineStr">
        <is>
          <t>Maria Jose Bruna Alvarez</t>
        </is>
      </c>
      <c r="D230" t="inlineStr">
        <is>
          <t>Delicatessen</t>
        </is>
      </c>
      <c r="E230" s="34" t="n">
        <v>56790</v>
      </c>
      <c r="F230" t="inlineStr">
        <is>
          <t>B</t>
        </is>
      </c>
      <c r="G230" s="34" t="n">
        <v>9067</v>
      </c>
      <c r="H230" s="34" t="n">
        <v>47723</v>
      </c>
      <c r="I230" t="inlineStr">
        <is>
          <t>3.2</t>
        </is>
      </c>
      <c r="J230" t="inlineStr">
        <is>
          <t>Ventas Personas (B2C)</t>
        </is>
      </c>
      <c r="K230" t="inlineStr">
        <is>
          <t>CH2</t>
        </is>
      </c>
    </row>
    <row r="231">
      <c r="A231" s="33" t="n">
        <v>45682</v>
      </c>
      <c r="B231" t="inlineStr">
        <is>
          <t>2025-01</t>
        </is>
      </c>
      <c r="C231" t="inlineStr">
        <is>
          <t>CAFE DIARIO ENCOMENDEROS SPA</t>
        </is>
      </c>
      <c r="D231" t="inlineStr">
        <is>
          <t>HORECA CAFETERIA</t>
        </is>
      </c>
      <c r="E231" s="34" t="n">
        <v>82830</v>
      </c>
      <c r="F231" t="inlineStr">
        <is>
          <t>F</t>
        </is>
      </c>
      <c r="G231" s="34" t="n">
        <v>13225</v>
      </c>
      <c r="H231" s="34" t="n">
        <v>69605</v>
      </c>
      <c r="I231" t="inlineStr">
        <is>
          <t>3.1</t>
        </is>
      </c>
      <c r="J231" t="inlineStr">
        <is>
          <t>Ventas HoReCa</t>
        </is>
      </c>
      <c r="K231" t="inlineStr">
        <is>
          <t>CH1</t>
        </is>
      </c>
    </row>
    <row r="232">
      <c r="A232" s="33" t="n">
        <v>45682</v>
      </c>
      <c r="B232" t="inlineStr">
        <is>
          <t>2025-01</t>
        </is>
      </c>
      <c r="C232" t="inlineStr">
        <is>
          <t>Sin cliente</t>
        </is>
      </c>
      <c r="D232" t="inlineStr">
        <is>
          <t>Edición Navidad</t>
        </is>
      </c>
      <c r="E232" s="34" t="n">
        <v>30800</v>
      </c>
      <c r="F232" t="inlineStr">
        <is>
          <t>B</t>
        </is>
      </c>
      <c r="G232" s="34" t="n">
        <v>4918</v>
      </c>
      <c r="H232" s="34" t="n">
        <v>25882</v>
      </c>
      <c r="I232" t="inlineStr">
        <is>
          <t>3.2</t>
        </is>
      </c>
      <c r="J232" t="inlineStr">
        <is>
          <t>Ventas Personas (B2C)</t>
        </is>
      </c>
      <c r="K232" t="inlineStr">
        <is>
          <t>CH2</t>
        </is>
      </c>
    </row>
    <row r="233">
      <c r="A233" s="33" t="n">
        <v>45682</v>
      </c>
      <c r="B233" t="inlineStr">
        <is>
          <t>2025-01</t>
        </is>
      </c>
      <c r="C233" t="inlineStr">
        <is>
          <t>Sin cliente</t>
        </is>
      </c>
      <c r="D233" t="inlineStr">
        <is>
          <t>CANELÉ TRADICIONAL</t>
        </is>
      </c>
      <c r="E233" s="34" t="n">
        <v>13900</v>
      </c>
      <c r="F233" t="inlineStr">
        <is>
          <t>B</t>
        </is>
      </c>
      <c r="G233" s="34" t="n">
        <v>2219</v>
      </c>
      <c r="H233" s="34" t="n">
        <v>11681</v>
      </c>
      <c r="I233" t="inlineStr">
        <is>
          <t>3.2</t>
        </is>
      </c>
      <c r="J233" t="inlineStr">
        <is>
          <t>Ventas Personas (B2C)</t>
        </is>
      </c>
      <c r="K233" t="inlineStr">
        <is>
          <t>CH2</t>
        </is>
      </c>
    </row>
    <row r="234">
      <c r="A234" s="33" t="n">
        <v>45682</v>
      </c>
      <c r="B234" t="inlineStr">
        <is>
          <t>2025-01</t>
        </is>
      </c>
      <c r="C234" t="inlineStr">
        <is>
          <t>Sin cliente</t>
        </is>
      </c>
      <c r="D234" t="inlineStr">
        <is>
          <t>PLATAFORMAS RAP-PEYA-UBER-GOOD</t>
        </is>
      </c>
      <c r="E234" s="34" t="n">
        <v>23760</v>
      </c>
      <c r="F234" t="inlineStr">
        <is>
          <t>B</t>
        </is>
      </c>
      <c r="G234" s="34" t="n">
        <v>3794</v>
      </c>
      <c r="H234" s="34" t="n">
        <v>19966</v>
      </c>
      <c r="I234" t="inlineStr">
        <is>
          <t>3.6</t>
        </is>
      </c>
      <c r="J234" t="inlineStr">
        <is>
          <t>Ventas Delivery Apps</t>
        </is>
      </c>
      <c r="K234" t="inlineStr">
        <is>
          <t>CH3</t>
        </is>
      </c>
    </row>
    <row r="235">
      <c r="A235" s="33" t="n">
        <v>45682</v>
      </c>
      <c r="B235" t="inlineStr">
        <is>
          <t>2025-01</t>
        </is>
      </c>
      <c r="C235" t="inlineStr">
        <is>
          <t>Sin cliente</t>
        </is>
      </c>
      <c r="D235" t="inlineStr">
        <is>
          <t>PLATAFORMAS RAP-PEYA-UBER-GOOD</t>
        </is>
      </c>
      <c r="E235" s="34" t="n">
        <v>25920</v>
      </c>
      <c r="F235" t="inlineStr">
        <is>
          <t>B</t>
        </is>
      </c>
      <c r="G235" s="34" t="n">
        <v>4138</v>
      </c>
      <c r="H235" s="34" t="n">
        <v>21782</v>
      </c>
      <c r="I235" t="inlineStr">
        <is>
          <t>3.6</t>
        </is>
      </c>
      <c r="J235" t="inlineStr">
        <is>
          <t>Ventas Delivery Apps</t>
        </is>
      </c>
      <c r="K235" t="inlineStr">
        <is>
          <t>CH3</t>
        </is>
      </c>
    </row>
    <row r="236">
      <c r="A236" s="33" t="n">
        <v>45682</v>
      </c>
      <c r="B236" t="inlineStr">
        <is>
          <t>2025-01</t>
        </is>
      </c>
      <c r="C236" t="inlineStr">
        <is>
          <t>Nikita Pompei</t>
        </is>
      </c>
      <c r="D236" t="inlineStr">
        <is>
          <t>CANELÉ TRADICIONAL</t>
        </is>
      </c>
      <c r="E236" s="34" t="n">
        <v>24790</v>
      </c>
      <c r="F236" t="inlineStr">
        <is>
          <t>B</t>
        </is>
      </c>
      <c r="G236" s="34" t="n">
        <v>3958</v>
      </c>
      <c r="H236" s="34" t="n">
        <v>20832</v>
      </c>
      <c r="I236" t="inlineStr">
        <is>
          <t>3.2</t>
        </is>
      </c>
      <c r="J236" t="inlineStr">
        <is>
          <t>Ventas Personas (B2C)</t>
        </is>
      </c>
      <c r="K236" t="inlineStr">
        <is>
          <t>CH2</t>
        </is>
      </c>
    </row>
    <row r="237">
      <c r="A237" s="33" t="n">
        <v>45682</v>
      </c>
      <c r="B237" t="inlineStr">
        <is>
          <t>2025-01</t>
        </is>
      </c>
      <c r="C237" t="inlineStr">
        <is>
          <t>Elisa Prati Balbi</t>
        </is>
      </c>
      <c r="D237" t="inlineStr">
        <is>
          <t>Pack Mon Amour</t>
        </is>
      </c>
      <c r="E237" s="34" t="n">
        <v>38992</v>
      </c>
      <c r="F237" t="inlineStr">
        <is>
          <t>B</t>
        </is>
      </c>
      <c r="G237" s="34" t="n">
        <v>6226</v>
      </c>
      <c r="H237" s="34" t="n">
        <v>32766</v>
      </c>
      <c r="I237" t="inlineStr">
        <is>
          <t>3.2</t>
        </is>
      </c>
      <c r="J237" t="inlineStr">
        <is>
          <t>Ventas Personas (B2C)</t>
        </is>
      </c>
      <c r="K237" t="inlineStr">
        <is>
          <t>CH2</t>
        </is>
      </c>
    </row>
    <row r="238">
      <c r="A238" s="33" t="n">
        <v>45683</v>
      </c>
      <c r="B238" t="inlineStr">
        <is>
          <t>2025-01</t>
        </is>
      </c>
      <c r="C238" t="inlineStr">
        <is>
          <t>Rosario Urzua</t>
        </is>
      </c>
      <c r="D238" t="inlineStr">
        <is>
          <t>CANELÉ TRADICIONAL</t>
        </is>
      </c>
      <c r="E238" s="34" t="n">
        <v>20890</v>
      </c>
      <c r="F238" t="inlineStr">
        <is>
          <t>B</t>
        </is>
      </c>
      <c r="G238" s="34" t="n">
        <v>3335</v>
      </c>
      <c r="H238" s="34" t="n">
        <v>17555</v>
      </c>
      <c r="I238" t="inlineStr">
        <is>
          <t>3.2</t>
        </is>
      </c>
      <c r="J238" t="inlineStr">
        <is>
          <t>Ventas Personas (B2C)</t>
        </is>
      </c>
      <c r="K238" t="inlineStr">
        <is>
          <t>CH2</t>
        </is>
      </c>
    </row>
    <row r="239">
      <c r="A239" s="33" t="n">
        <v>45683</v>
      </c>
      <c r="B239" t="inlineStr">
        <is>
          <t>2025-01</t>
        </is>
      </c>
      <c r="C239" t="inlineStr">
        <is>
          <t>Marcela Santos</t>
        </is>
      </c>
      <c r="D239" t="inlineStr">
        <is>
          <t>CANELÉ TRADICIONAL</t>
        </is>
      </c>
      <c r="E239" s="34" t="n">
        <v>26820</v>
      </c>
      <c r="F239" t="inlineStr">
        <is>
          <t>B</t>
        </is>
      </c>
      <c r="G239" s="34" t="n">
        <v>4282</v>
      </c>
      <c r="H239" s="34" t="n">
        <v>22538</v>
      </c>
      <c r="I239" t="inlineStr">
        <is>
          <t>3.2</t>
        </is>
      </c>
      <c r="J239" t="inlineStr">
        <is>
          <t>Ventas Personas (B2C)</t>
        </is>
      </c>
      <c r="K239" t="inlineStr">
        <is>
          <t>CH2</t>
        </is>
      </c>
    </row>
    <row r="240">
      <c r="A240" s="33" t="n">
        <v>45684</v>
      </c>
      <c r="B240" t="inlineStr">
        <is>
          <t>2025-01</t>
        </is>
      </c>
      <c r="C240" t="inlineStr">
        <is>
          <t>Susana Moreno Guerrero</t>
        </is>
      </c>
      <c r="D240" t="inlineStr">
        <is>
          <t>CANELÉ TRADICIONAL</t>
        </is>
      </c>
      <c r="E240" s="34" t="n">
        <v>18889</v>
      </c>
      <c r="F240" t="inlineStr">
        <is>
          <t>B</t>
        </is>
      </c>
      <c r="G240" s="34" t="n">
        <v>3016</v>
      </c>
      <c r="H240" s="34" t="n">
        <v>15873</v>
      </c>
      <c r="I240" t="inlineStr">
        <is>
          <t>3.2</t>
        </is>
      </c>
      <c r="J240" t="inlineStr">
        <is>
          <t>Ventas Personas (B2C)</t>
        </is>
      </c>
      <c r="K240" t="inlineStr">
        <is>
          <t>CH2</t>
        </is>
      </c>
    </row>
    <row r="241">
      <c r="A241" s="33" t="n">
        <v>45684</v>
      </c>
      <c r="B241" t="inlineStr">
        <is>
          <t>2025-01</t>
        </is>
      </c>
      <c r="C241" t="inlineStr">
        <is>
          <t>INVERSIONES Y ASESORIAS RAVAL LIMITADA</t>
        </is>
      </c>
      <c r="D241" t="inlineStr">
        <is>
          <t>HORECA CAFETERIA</t>
        </is>
      </c>
      <c r="E241" s="34" t="n">
        <v>67980</v>
      </c>
      <c r="F241" t="inlineStr">
        <is>
          <t>F</t>
        </is>
      </c>
      <c r="G241" s="34" t="n">
        <v>10854</v>
      </c>
      <c r="H241" s="34" t="n">
        <v>57126</v>
      </c>
      <c r="I241" t="inlineStr">
        <is>
          <t>3.1</t>
        </is>
      </c>
      <c r="J241" t="inlineStr">
        <is>
          <t>Ventas HoReCa</t>
        </is>
      </c>
      <c r="K241" t="inlineStr">
        <is>
          <t>CH1</t>
        </is>
      </c>
    </row>
    <row r="242">
      <c r="A242" s="33" t="n">
        <v>45684</v>
      </c>
      <c r="B242" t="inlineStr">
        <is>
          <t>2025-01</t>
        </is>
      </c>
      <c r="C242" t="inlineStr">
        <is>
          <t>POMPON SPA</t>
        </is>
      </c>
      <c r="D242" t="inlineStr">
        <is>
          <t>HORECA CAFETERIA</t>
        </is>
      </c>
      <c r="E242" s="34" t="n">
        <v>89670</v>
      </c>
      <c r="F242" t="inlineStr">
        <is>
          <t>F</t>
        </is>
      </c>
      <c r="G242" s="34" t="n">
        <v>14317</v>
      </c>
      <c r="H242" s="34" t="n">
        <v>75353</v>
      </c>
      <c r="I242" t="inlineStr">
        <is>
          <t>3.1</t>
        </is>
      </c>
      <c r="J242" t="inlineStr">
        <is>
          <t>Ventas HoReCa</t>
        </is>
      </c>
      <c r="K242" t="inlineStr">
        <is>
          <t>CH1</t>
        </is>
      </c>
    </row>
    <row r="243">
      <c r="A243" s="33" t="n">
        <v>45684</v>
      </c>
      <c r="B243" t="inlineStr">
        <is>
          <t>2025-01</t>
        </is>
      </c>
      <c r="C243" t="inlineStr">
        <is>
          <t>CAFETERÍA ALTURA LIMITADA</t>
        </is>
      </c>
      <c r="D243" t="inlineStr">
        <is>
          <t>HORECA CAFETERIA</t>
        </is>
      </c>
      <c r="E243" s="34" t="n">
        <v>78870</v>
      </c>
      <c r="F243" t="inlineStr">
        <is>
          <t>F</t>
        </is>
      </c>
      <c r="G243" s="34" t="n">
        <v>12593</v>
      </c>
      <c r="H243" s="34" t="n">
        <v>66277</v>
      </c>
      <c r="I243" t="inlineStr">
        <is>
          <t>3.1</t>
        </is>
      </c>
      <c r="J243" t="inlineStr">
        <is>
          <t>Ventas HoReCa</t>
        </is>
      </c>
      <c r="K243" t="inlineStr">
        <is>
          <t>CH1</t>
        </is>
      </c>
    </row>
    <row r="244">
      <c r="A244" s="33" t="n">
        <v>45684</v>
      </c>
      <c r="B244" t="inlineStr">
        <is>
          <t>2025-01</t>
        </is>
      </c>
      <c r="C244" t="inlineStr">
        <is>
          <t>INVERSIONES Y COMERCIALIZADORA FED LIMITADA</t>
        </is>
      </c>
      <c r="D244" t="inlineStr">
        <is>
          <t>HORECA CAFETERIA</t>
        </is>
      </c>
      <c r="E244" s="34" t="n">
        <v>104830</v>
      </c>
      <c r="F244" t="inlineStr">
        <is>
          <t>F</t>
        </is>
      </c>
      <c r="G244" s="34" t="n">
        <v>16738</v>
      </c>
      <c r="H244" s="34" t="n">
        <v>88092</v>
      </c>
      <c r="I244" t="inlineStr">
        <is>
          <t>3.1</t>
        </is>
      </c>
      <c r="J244" t="inlineStr">
        <is>
          <t>Ventas HoReCa</t>
        </is>
      </c>
      <c r="K244" t="inlineStr">
        <is>
          <t>CH1</t>
        </is>
      </c>
    </row>
    <row r="245">
      <c r="A245" s="33" t="n">
        <v>45684</v>
      </c>
      <c r="B245" t="inlineStr">
        <is>
          <t>2025-01</t>
        </is>
      </c>
      <c r="C245" t="inlineStr">
        <is>
          <t>INVERSIONES Y COMERCIALIZADORA FED LIMITADA</t>
        </is>
      </c>
      <c r="D245" t="inlineStr">
        <is>
          <t>HORECA CAFETERIA</t>
        </is>
      </c>
      <c r="E245" s="34" t="n">
        <v>157257</v>
      </c>
      <c r="F245" t="inlineStr">
        <is>
          <t>F</t>
        </is>
      </c>
      <c r="G245" s="34" t="n">
        <v>25108</v>
      </c>
      <c r="H245" s="34" t="n">
        <v>132149</v>
      </c>
      <c r="I245" t="inlineStr">
        <is>
          <t>3.1</t>
        </is>
      </c>
      <c r="J245" t="inlineStr">
        <is>
          <t>Ventas HoReCa</t>
        </is>
      </c>
      <c r="K245" t="inlineStr">
        <is>
          <t>CH1</t>
        </is>
      </c>
    </row>
    <row r="246">
      <c r="A246" s="33" t="n">
        <v>45684</v>
      </c>
      <c r="B246" t="inlineStr">
        <is>
          <t>2025-01</t>
        </is>
      </c>
      <c r="C246" t="inlineStr">
        <is>
          <t>Lorena Diethelm Guallar</t>
        </is>
      </c>
      <c r="D246" t="inlineStr">
        <is>
          <t>Rellenos</t>
        </is>
      </c>
      <c r="E246" s="34" t="n">
        <v>29999</v>
      </c>
      <c r="F246" t="inlineStr">
        <is>
          <t>B</t>
        </is>
      </c>
      <c r="G246" s="34" t="n">
        <v>4790</v>
      </c>
      <c r="H246" s="34" t="n">
        <v>25209</v>
      </c>
      <c r="I246" t="inlineStr">
        <is>
          <t>3.2</t>
        </is>
      </c>
      <c r="J246" t="inlineStr">
        <is>
          <t>Ventas Personas (B2C)</t>
        </is>
      </c>
      <c r="K246" t="inlineStr">
        <is>
          <t>CH2</t>
        </is>
      </c>
    </row>
    <row r="247">
      <c r="A247" s="33" t="n">
        <v>45684</v>
      </c>
      <c r="B247" t="inlineStr">
        <is>
          <t>2025-01</t>
        </is>
      </c>
      <c r="C247" t="inlineStr">
        <is>
          <t>Sin cliente</t>
        </is>
      </c>
      <c r="D247" t="inlineStr">
        <is>
          <t>CANELÉ TRADICIONAL</t>
        </is>
      </c>
      <c r="E247" s="34" t="n">
        <v>19800</v>
      </c>
      <c r="F247" t="inlineStr">
        <is>
          <t>B</t>
        </is>
      </c>
      <c r="G247" s="34" t="n">
        <v>3161</v>
      </c>
      <c r="H247" s="34" t="n">
        <v>16639</v>
      </c>
      <c r="I247" t="inlineStr">
        <is>
          <t>3.2</t>
        </is>
      </c>
      <c r="J247" t="inlineStr">
        <is>
          <t>Ventas Personas (B2C)</t>
        </is>
      </c>
      <c r="K247" t="inlineStr">
        <is>
          <t>CH2</t>
        </is>
      </c>
    </row>
    <row r="248">
      <c r="A248" s="33" t="n">
        <v>45684</v>
      </c>
      <c r="B248" t="inlineStr">
        <is>
          <t>2025-01</t>
        </is>
      </c>
      <c r="C248" t="inlineStr">
        <is>
          <t>Sin cliente</t>
        </is>
      </c>
      <c r="D248" t="inlineStr">
        <is>
          <t>Delicatessen</t>
        </is>
      </c>
      <c r="E248" s="34" t="n">
        <v>4900</v>
      </c>
      <c r="F248" t="inlineStr">
        <is>
          <t>B</t>
        </is>
      </c>
      <c r="G248" s="34" t="n">
        <v>782</v>
      </c>
      <c r="H248" s="34" t="n">
        <v>4118</v>
      </c>
      <c r="I248" t="inlineStr">
        <is>
          <t>3.2</t>
        </is>
      </c>
      <c r="J248" t="inlineStr">
        <is>
          <t>Ventas Personas (B2C)</t>
        </is>
      </c>
      <c r="K248" t="inlineStr">
        <is>
          <t>CH2</t>
        </is>
      </c>
    </row>
    <row r="249">
      <c r="A249" s="33" t="n">
        <v>45684</v>
      </c>
      <c r="B249" t="inlineStr">
        <is>
          <t>2025-01</t>
        </is>
      </c>
      <c r="C249" t="inlineStr">
        <is>
          <t>Ximena Ahumada Ahumada</t>
        </is>
      </c>
      <c r="D249" t="inlineStr">
        <is>
          <t>Petit Crunchy</t>
        </is>
      </c>
      <c r="E249" s="34" t="n">
        <v>11800</v>
      </c>
      <c r="F249" t="inlineStr">
        <is>
          <t>B</t>
        </is>
      </c>
      <c r="G249" s="34" t="n">
        <v>1884</v>
      </c>
      <c r="H249" s="34" t="n">
        <v>9916</v>
      </c>
      <c r="I249" t="inlineStr">
        <is>
          <t>3.2</t>
        </is>
      </c>
      <c r="J249" t="inlineStr">
        <is>
          <t>Ventas Personas (B2C)</t>
        </is>
      </c>
      <c r="K249" t="inlineStr">
        <is>
          <t>CH2</t>
        </is>
      </c>
    </row>
    <row r="250">
      <c r="A250" s="33" t="n">
        <v>45684</v>
      </c>
      <c r="B250" t="inlineStr">
        <is>
          <t>2025-01</t>
        </is>
      </c>
      <c r="C250" t="inlineStr">
        <is>
          <t>FERNANDO CASTRO GARCIA</t>
        </is>
      </c>
      <c r="D250" t="inlineStr">
        <is>
          <t>PACKS GOURMET</t>
        </is>
      </c>
      <c r="E250" s="34" t="n">
        <v>30413</v>
      </c>
      <c r="F250" t="inlineStr">
        <is>
          <t>B</t>
        </is>
      </c>
      <c r="G250" s="34" t="n">
        <v>4856</v>
      </c>
      <c r="H250" s="34" t="n">
        <v>25557</v>
      </c>
      <c r="I250" t="inlineStr">
        <is>
          <t>3.2</t>
        </is>
      </c>
      <c r="J250" t="inlineStr">
        <is>
          <t>Ventas Personas (B2C)</t>
        </is>
      </c>
      <c r="K250" t="inlineStr">
        <is>
          <t>CH2</t>
        </is>
      </c>
    </row>
    <row r="251">
      <c r="A251" s="33" t="n">
        <v>45684</v>
      </c>
      <c r="B251" t="inlineStr">
        <is>
          <t>2025-01</t>
        </is>
      </c>
      <c r="C251" t="inlineStr">
        <is>
          <t>Leticia Medina</t>
        </is>
      </c>
      <c r="D251" t="inlineStr">
        <is>
          <t>CANELÉ TRADICIONAL</t>
        </is>
      </c>
      <c r="E251" s="34" t="n">
        <v>18890</v>
      </c>
      <c r="F251" t="inlineStr">
        <is>
          <t>B</t>
        </is>
      </c>
      <c r="G251" s="34" t="n">
        <v>3016</v>
      </c>
      <c r="H251" s="34" t="n">
        <v>15874</v>
      </c>
      <c r="I251" t="inlineStr">
        <is>
          <t>3.2</t>
        </is>
      </c>
      <c r="J251" t="inlineStr">
        <is>
          <t>Ventas Personas (B2C)</t>
        </is>
      </c>
      <c r="K251" t="inlineStr">
        <is>
          <t>CH2</t>
        </is>
      </c>
    </row>
    <row r="252">
      <c r="A252" s="33" t="n">
        <v>45684</v>
      </c>
      <c r="B252" t="inlineStr">
        <is>
          <t>2025-01</t>
        </is>
      </c>
      <c r="C252" t="inlineStr">
        <is>
          <t>Lorena Dupuy</t>
        </is>
      </c>
      <c r="D252" t="inlineStr">
        <is>
          <t>Petit Crunchy</t>
        </is>
      </c>
      <c r="E252" s="34" t="n">
        <v>42690</v>
      </c>
      <c r="F252" t="inlineStr">
        <is>
          <t>B</t>
        </is>
      </c>
      <c r="G252" s="34" t="n">
        <v>6816</v>
      </c>
      <c r="H252" s="34" t="n">
        <v>35874</v>
      </c>
      <c r="I252" t="inlineStr">
        <is>
          <t>3.2</t>
        </is>
      </c>
      <c r="J252" t="inlineStr">
        <is>
          <t>Ventas Personas (B2C)</t>
        </is>
      </c>
      <c r="K252" t="inlineStr">
        <is>
          <t>CH2</t>
        </is>
      </c>
    </row>
    <row r="253">
      <c r="A253" s="33" t="n">
        <v>45685</v>
      </c>
      <c r="B253" t="inlineStr">
        <is>
          <t>2025-01</t>
        </is>
      </c>
      <c r="C253" t="inlineStr">
        <is>
          <t>Ximena Ahumada Ahumada</t>
        </is>
      </c>
      <c r="D253" t="inlineStr">
        <is>
          <t>REGION METROPOLITANA</t>
        </is>
      </c>
      <c r="E253" s="34" t="n">
        <v>3990</v>
      </c>
      <c r="F253" t="inlineStr">
        <is>
          <t>B</t>
        </is>
      </c>
      <c r="G253" s="34" t="n">
        <v>637</v>
      </c>
      <c r="H253" s="34" t="n">
        <v>3353</v>
      </c>
      <c r="I253" t="inlineStr">
        <is>
          <t>3.2</t>
        </is>
      </c>
      <c r="J253" t="inlineStr">
        <is>
          <t>Ventas Personas (B2C)</t>
        </is>
      </c>
      <c r="K253" t="inlineStr">
        <is>
          <t>CH2</t>
        </is>
      </c>
    </row>
    <row r="254">
      <c r="A254" s="33" t="n">
        <v>45685</v>
      </c>
      <c r="B254" t="inlineStr">
        <is>
          <t>2025-01</t>
        </is>
      </c>
      <c r="C254" t="inlineStr">
        <is>
          <t>Cristian Márquez Alarcón</t>
        </is>
      </c>
      <c r="D254" t="inlineStr">
        <is>
          <t>CANELÉ TRADICIONAL</t>
        </is>
      </c>
      <c r="E254" s="34" t="n">
        <v>24790</v>
      </c>
      <c r="F254" t="inlineStr">
        <is>
          <t>B</t>
        </is>
      </c>
      <c r="G254" s="34" t="n">
        <v>3958</v>
      </c>
      <c r="H254" s="34" t="n">
        <v>20832</v>
      </c>
      <c r="I254" t="inlineStr">
        <is>
          <t>3.2</t>
        </is>
      </c>
      <c r="J254" t="inlineStr">
        <is>
          <t>Ventas Personas (B2C)</t>
        </is>
      </c>
      <c r="K254" t="inlineStr">
        <is>
          <t>CH2</t>
        </is>
      </c>
    </row>
    <row r="255">
      <c r="A255" s="33" t="n">
        <v>45685</v>
      </c>
      <c r="B255" t="inlineStr">
        <is>
          <t>2025-01</t>
        </is>
      </c>
      <c r="C255" t="inlineStr">
        <is>
          <t>MIGUEL GONZÁLEZ</t>
        </is>
      </c>
      <c r="D255" t="inlineStr">
        <is>
          <t>Mix Sabores</t>
        </is>
      </c>
      <c r="E255" s="34" t="n">
        <v>27790</v>
      </c>
      <c r="F255" t="inlineStr">
        <is>
          <t>B</t>
        </is>
      </c>
      <c r="G255" s="34" t="n">
        <v>4437</v>
      </c>
      <c r="H255" s="34" t="n">
        <v>23353</v>
      </c>
      <c r="I255" t="inlineStr">
        <is>
          <t>3.2</t>
        </is>
      </c>
      <c r="J255" t="inlineStr">
        <is>
          <t>Ventas Personas (B2C)</t>
        </is>
      </c>
      <c r="K255" t="inlineStr">
        <is>
          <t>CH2</t>
        </is>
      </c>
    </row>
    <row r="256">
      <c r="A256" s="33" t="n">
        <v>45685</v>
      </c>
      <c r="B256" t="inlineStr">
        <is>
          <t>2025-01</t>
        </is>
      </c>
      <c r="C256" t="inlineStr">
        <is>
          <t>Leyla Abraham</t>
        </is>
      </c>
      <c r="D256" t="inlineStr">
        <is>
          <t>Petit Crunchy</t>
        </is>
      </c>
      <c r="E256" s="34" t="n">
        <v>14789</v>
      </c>
      <c r="F256" t="inlineStr">
        <is>
          <t>B</t>
        </is>
      </c>
      <c r="G256" s="34" t="n">
        <v>2361</v>
      </c>
      <c r="H256" s="34" t="n">
        <v>12428</v>
      </c>
      <c r="I256" t="inlineStr">
        <is>
          <t>3.2</t>
        </is>
      </c>
      <c r="J256" t="inlineStr">
        <is>
          <t>Ventas Personas (B2C)</t>
        </is>
      </c>
      <c r="K256" t="inlineStr">
        <is>
          <t>CH2</t>
        </is>
      </c>
    </row>
    <row r="257">
      <c r="A257" s="33" t="n">
        <v>45685</v>
      </c>
      <c r="B257" t="inlineStr">
        <is>
          <t>2025-01</t>
        </is>
      </c>
      <c r="C257" t="inlineStr">
        <is>
          <t>Carlos Court</t>
        </is>
      </c>
      <c r="D257" t="inlineStr">
        <is>
          <t>PACKS GOURMET</t>
        </is>
      </c>
      <c r="E257" s="34" t="n">
        <v>25786</v>
      </c>
      <c r="F257" t="inlineStr">
        <is>
          <t>B</t>
        </is>
      </c>
      <c r="G257" s="34" t="n">
        <v>4117</v>
      </c>
      <c r="H257" s="34" t="n">
        <v>21669</v>
      </c>
      <c r="I257" t="inlineStr">
        <is>
          <t>3.2</t>
        </is>
      </c>
      <c r="J257" t="inlineStr">
        <is>
          <t>Ventas Personas (B2C)</t>
        </is>
      </c>
      <c r="K257" t="inlineStr">
        <is>
          <t>CH2</t>
        </is>
      </c>
    </row>
    <row r="258">
      <c r="A258" s="33" t="n">
        <v>45685</v>
      </c>
      <c r="B258" t="inlineStr">
        <is>
          <t>2025-01</t>
        </is>
      </c>
      <c r="C258" t="inlineStr">
        <is>
          <t>Sin cliente</t>
        </is>
      </c>
      <c r="D258" t="inlineStr">
        <is>
          <t>PLATAFORMAS RAP-PEYA-UBER-GOOD</t>
        </is>
      </c>
      <c r="E258" s="34" t="n">
        <v>16680</v>
      </c>
      <c r="F258" t="inlineStr">
        <is>
          <t>B</t>
        </is>
      </c>
      <c r="G258" s="34" t="n">
        <v>2663</v>
      </c>
      <c r="H258" s="34" t="n">
        <v>14017</v>
      </c>
      <c r="I258" t="inlineStr">
        <is>
          <t>3.6</t>
        </is>
      </c>
      <c r="J258" t="inlineStr">
        <is>
          <t>Ventas Delivery Apps</t>
        </is>
      </c>
      <c r="K258" t="inlineStr">
        <is>
          <t>CH3</t>
        </is>
      </c>
    </row>
    <row r="259">
      <c r="A259" s="33" t="n">
        <v>45685</v>
      </c>
      <c r="B259" t="inlineStr">
        <is>
          <t>2025-01</t>
        </is>
      </c>
      <c r="C259" t="inlineStr">
        <is>
          <t>Sin cliente</t>
        </is>
      </c>
      <c r="D259" t="inlineStr">
        <is>
          <t>CANELE SIN AZUCAR</t>
        </is>
      </c>
      <c r="E259" s="34" t="n">
        <v>12300</v>
      </c>
      <c r="F259" t="inlineStr">
        <is>
          <t>B</t>
        </is>
      </c>
      <c r="G259" s="34" t="n">
        <v>1964</v>
      </c>
      <c r="H259" s="34" t="n">
        <v>10336</v>
      </c>
      <c r="I259" t="inlineStr">
        <is>
          <t>3.2</t>
        </is>
      </c>
      <c r="J259" t="inlineStr">
        <is>
          <t>Ventas Personas (B2C)</t>
        </is>
      </c>
      <c r="K259" t="inlineStr">
        <is>
          <t>CH2</t>
        </is>
      </c>
    </row>
    <row r="260">
      <c r="A260" s="33" t="n">
        <v>45685</v>
      </c>
      <c r="B260" t="inlineStr">
        <is>
          <t>2025-01</t>
        </is>
      </c>
      <c r="C260" t="inlineStr">
        <is>
          <t>Raimundo Martinez</t>
        </is>
      </c>
      <c r="D260" t="inlineStr">
        <is>
          <t>Petit Tradicional</t>
        </is>
      </c>
      <c r="E260" s="34" t="n">
        <v>25890</v>
      </c>
      <c r="F260" t="inlineStr">
        <is>
          <t>B</t>
        </is>
      </c>
      <c r="G260" s="34" t="n">
        <v>4134</v>
      </c>
      <c r="H260" s="34" t="n">
        <v>21756</v>
      </c>
      <c r="I260" t="inlineStr">
        <is>
          <t>3.2</t>
        </is>
      </c>
      <c r="J260" t="inlineStr">
        <is>
          <t>Ventas Personas (B2C)</t>
        </is>
      </c>
      <c r="K260" t="inlineStr">
        <is>
          <t>CH2</t>
        </is>
      </c>
    </row>
    <row r="261">
      <c r="A261" s="33" t="n">
        <v>45685</v>
      </c>
      <c r="B261" t="inlineStr">
        <is>
          <t>2025-01</t>
        </is>
      </c>
      <c r="C261" t="inlineStr">
        <is>
          <t>RATIO COFFEE COMPANY SPA</t>
        </is>
      </c>
      <c r="D261" t="inlineStr">
        <is>
          <t>HORECA CAFETERIA</t>
        </is>
      </c>
      <c r="E261" s="34" t="n">
        <v>179710</v>
      </c>
      <c r="F261" t="inlineStr">
        <is>
          <t>F</t>
        </is>
      </c>
      <c r="G261" s="34" t="n">
        <v>28693</v>
      </c>
      <c r="H261" s="34" t="n">
        <v>151017</v>
      </c>
      <c r="I261" t="inlineStr">
        <is>
          <t>3.1</t>
        </is>
      </c>
      <c r="J261" t="inlineStr">
        <is>
          <t>Ventas HoReCa</t>
        </is>
      </c>
      <c r="K261" t="inlineStr">
        <is>
          <t>CH1</t>
        </is>
      </c>
    </row>
    <row r="262">
      <c r="A262" s="33" t="n">
        <v>45685</v>
      </c>
      <c r="B262" t="inlineStr">
        <is>
          <t>2025-01</t>
        </is>
      </c>
      <c r="C262" t="inlineStr">
        <is>
          <t>Felipe Leppe Ravanales</t>
        </is>
      </c>
      <c r="D262" t="inlineStr">
        <is>
          <t>CANELÉ TRADICIONAL</t>
        </is>
      </c>
      <c r="E262" s="34" t="n">
        <v>37790</v>
      </c>
      <c r="F262" t="inlineStr">
        <is>
          <t>B</t>
        </is>
      </c>
      <c r="G262" s="34" t="n">
        <v>6034</v>
      </c>
      <c r="H262" s="34" t="n">
        <v>31756</v>
      </c>
      <c r="I262" t="inlineStr">
        <is>
          <t>3.2</t>
        </is>
      </c>
      <c r="J262" t="inlineStr">
        <is>
          <t>Ventas Personas (B2C)</t>
        </is>
      </c>
      <c r="K262" t="inlineStr">
        <is>
          <t>CH2</t>
        </is>
      </c>
    </row>
    <row r="263">
      <c r="A263" s="33" t="n">
        <v>45686</v>
      </c>
      <c r="B263" t="inlineStr">
        <is>
          <t>2025-01</t>
        </is>
      </c>
      <c r="C263" t="inlineStr">
        <is>
          <t>Maria Paz Robin</t>
        </is>
      </c>
      <c r="D263" t="inlineStr">
        <is>
          <t>Delicatessen</t>
        </is>
      </c>
      <c r="E263" s="34" t="n">
        <v>50782</v>
      </c>
      <c r="F263" t="inlineStr">
        <is>
          <t>B</t>
        </is>
      </c>
      <c r="G263" s="34" t="n">
        <v>8108</v>
      </c>
      <c r="H263" s="34" t="n">
        <v>42674</v>
      </c>
      <c r="I263" t="inlineStr">
        <is>
          <t>3.2</t>
        </is>
      </c>
      <c r="J263" t="inlineStr">
        <is>
          <t>Ventas Personas (B2C)</t>
        </is>
      </c>
      <c r="K263" t="inlineStr">
        <is>
          <t>CH2</t>
        </is>
      </c>
    </row>
    <row r="264">
      <c r="A264" s="33" t="n">
        <v>45686</v>
      </c>
      <c r="B264" t="inlineStr">
        <is>
          <t>2025-01</t>
        </is>
      </c>
      <c r="C264" t="inlineStr">
        <is>
          <t>Sin cliente</t>
        </is>
      </c>
      <c r="D264" t="inlineStr">
        <is>
          <t>CANELÉ TRADICIONAL</t>
        </is>
      </c>
      <c r="E264" s="34" t="n">
        <v>13900</v>
      </c>
      <c r="F264" t="inlineStr">
        <is>
          <t>B</t>
        </is>
      </c>
      <c r="G264" s="34" t="n">
        <v>2219</v>
      </c>
      <c r="H264" s="34" t="n">
        <v>11681</v>
      </c>
      <c r="I264" t="inlineStr">
        <is>
          <t>3.2</t>
        </is>
      </c>
      <c r="J264" t="inlineStr">
        <is>
          <t>Ventas Personas (B2C)</t>
        </is>
      </c>
      <c r="K264" t="inlineStr">
        <is>
          <t>CH2</t>
        </is>
      </c>
    </row>
    <row r="265">
      <c r="A265" s="33" t="n">
        <v>45686</v>
      </c>
      <c r="B265" t="inlineStr">
        <is>
          <t>2025-01</t>
        </is>
      </c>
      <c r="C265" t="inlineStr">
        <is>
          <t>Sin cliente</t>
        </is>
      </c>
      <c r="D265" t="inlineStr">
        <is>
          <t>CANELÉ TRADICIONAL</t>
        </is>
      </c>
      <c r="E265" s="34" t="n">
        <v>19800</v>
      </c>
      <c r="F265" t="inlineStr">
        <is>
          <t>B</t>
        </is>
      </c>
      <c r="G265" s="34" t="n">
        <v>3161</v>
      </c>
      <c r="H265" s="34" t="n">
        <v>16639</v>
      </c>
      <c r="I265" t="inlineStr">
        <is>
          <t>3.2</t>
        </is>
      </c>
      <c r="J265" t="inlineStr">
        <is>
          <t>Ventas Personas (B2C)</t>
        </is>
      </c>
      <c r="K265" t="inlineStr">
        <is>
          <t>CH2</t>
        </is>
      </c>
    </row>
    <row r="266">
      <c r="A266" s="33" t="n">
        <v>45686</v>
      </c>
      <c r="B266" t="inlineStr">
        <is>
          <t>2025-01</t>
        </is>
      </c>
      <c r="C266" t="inlineStr">
        <is>
          <t>barbara momberg</t>
        </is>
      </c>
      <c r="D266" t="inlineStr">
        <is>
          <t>Rellenos</t>
        </is>
      </c>
      <c r="E266" s="34" t="n">
        <v>24889</v>
      </c>
      <c r="F266" t="inlineStr">
        <is>
          <t>B</t>
        </is>
      </c>
      <c r="G266" s="34" t="n">
        <v>3974</v>
      </c>
      <c r="H266" s="34" t="n">
        <v>20915</v>
      </c>
      <c r="I266" t="inlineStr">
        <is>
          <t>3.2</t>
        </is>
      </c>
      <c r="J266" t="inlineStr">
        <is>
          <t>Ventas Personas (B2C)</t>
        </is>
      </c>
      <c r="K266" t="inlineStr">
        <is>
          <t>CH2</t>
        </is>
      </c>
    </row>
    <row r="267">
      <c r="A267" s="33" t="n">
        <v>45686</v>
      </c>
      <c r="B267" t="inlineStr">
        <is>
          <t>2025-01</t>
        </is>
      </c>
      <c r="C267" t="inlineStr">
        <is>
          <t>Ivana Sulentic</t>
        </is>
      </c>
      <c r="D267" t="inlineStr">
        <is>
          <t>Mix Sabores</t>
        </is>
      </c>
      <c r="E267" s="34" t="n">
        <v>29800</v>
      </c>
      <c r="F267" t="inlineStr">
        <is>
          <t>B</t>
        </is>
      </c>
      <c r="G267" s="34" t="n">
        <v>4758</v>
      </c>
      <c r="H267" s="34" t="n">
        <v>25042</v>
      </c>
      <c r="I267" t="inlineStr">
        <is>
          <t>3.2</t>
        </is>
      </c>
      <c r="J267" t="inlineStr">
        <is>
          <t>Ventas Personas (B2C)</t>
        </is>
      </c>
      <c r="K267" t="inlineStr">
        <is>
          <t>CH2</t>
        </is>
      </c>
    </row>
    <row r="268">
      <c r="A268" s="33" t="n">
        <v>45686</v>
      </c>
      <c r="B268" t="inlineStr">
        <is>
          <t>2025-01</t>
        </is>
      </c>
      <c r="C268" t="inlineStr">
        <is>
          <t>Sin cliente</t>
        </is>
      </c>
      <c r="D268" t="inlineStr">
        <is>
          <t>Mix Sabores</t>
        </is>
      </c>
      <c r="E268" s="34" t="n">
        <v>21900</v>
      </c>
      <c r="F268" t="inlineStr">
        <is>
          <t>B</t>
        </is>
      </c>
      <c r="G268" s="34" t="n">
        <v>3497</v>
      </c>
      <c r="H268" s="34" t="n">
        <v>18403</v>
      </c>
      <c r="I268" t="inlineStr">
        <is>
          <t>3.2</t>
        </is>
      </c>
      <c r="J268" t="inlineStr">
        <is>
          <t>Ventas Personas (B2C)</t>
        </is>
      </c>
      <c r="K268" t="inlineStr">
        <is>
          <t>CH2</t>
        </is>
      </c>
    </row>
    <row r="269">
      <c r="A269" s="33" t="n">
        <v>45686</v>
      </c>
      <c r="B269" t="inlineStr">
        <is>
          <t>2025-01</t>
        </is>
      </c>
      <c r="C269" t="inlineStr">
        <is>
          <t>Sin cliente</t>
        </is>
      </c>
      <c r="D269" t="inlineStr">
        <is>
          <t>Mix Sabores</t>
        </is>
      </c>
      <c r="E269" s="34" t="n">
        <v>25800</v>
      </c>
      <c r="F269" t="inlineStr">
        <is>
          <t>B</t>
        </is>
      </c>
      <c r="G269" s="34" t="n">
        <v>4119</v>
      </c>
      <c r="H269" s="34" t="n">
        <v>21681</v>
      </c>
      <c r="I269" t="inlineStr">
        <is>
          <t>3.2</t>
        </is>
      </c>
      <c r="J269" t="inlineStr">
        <is>
          <t>Ventas Personas (B2C)</t>
        </is>
      </c>
      <c r="K269" t="inlineStr">
        <is>
          <t>CH2</t>
        </is>
      </c>
    </row>
    <row r="270">
      <c r="A270" s="33" t="n">
        <v>45686</v>
      </c>
      <c r="B270" t="inlineStr">
        <is>
          <t>2025-01</t>
        </is>
      </c>
      <c r="C270" t="inlineStr">
        <is>
          <t>Nicol Rojas</t>
        </is>
      </c>
      <c r="D270" t="inlineStr">
        <is>
          <t>Petit Crunchy</t>
        </is>
      </c>
      <c r="E270" s="34" t="n">
        <v>59790</v>
      </c>
      <c r="F270" t="inlineStr">
        <is>
          <t>B</t>
        </is>
      </c>
      <c r="G270" s="34" t="n">
        <v>9546</v>
      </c>
      <c r="H270" s="34" t="n">
        <v>50244</v>
      </c>
      <c r="I270" t="inlineStr">
        <is>
          <t>3.2</t>
        </is>
      </c>
      <c r="J270" t="inlineStr">
        <is>
          <t>Ventas Personas (B2C)</t>
        </is>
      </c>
      <c r="K270" t="inlineStr">
        <is>
          <t>CH2</t>
        </is>
      </c>
    </row>
    <row r="271">
      <c r="A271" s="33" t="n">
        <v>45687</v>
      </c>
      <c r="B271" t="inlineStr">
        <is>
          <t>2025-01</t>
        </is>
      </c>
      <c r="C271" t="inlineStr">
        <is>
          <t>CAFÉ UNDER SPA</t>
        </is>
      </c>
      <c r="D271" t="inlineStr">
        <is>
          <t>HORECA CAFETERIA</t>
        </is>
      </c>
      <c r="E271" s="34" t="n">
        <v>63990</v>
      </c>
      <c r="F271" t="inlineStr">
        <is>
          <t>F</t>
        </is>
      </c>
      <c r="G271" s="34" t="n">
        <v>10217</v>
      </c>
      <c r="H271" s="34" t="n">
        <v>53773</v>
      </c>
      <c r="I271" t="inlineStr">
        <is>
          <t>3.1</t>
        </is>
      </c>
      <c r="J271" t="inlineStr">
        <is>
          <t>Ventas HoReCa</t>
        </is>
      </c>
      <c r="K271" t="inlineStr">
        <is>
          <t>CH1</t>
        </is>
      </c>
    </row>
    <row r="272">
      <c r="A272" s="33" t="n">
        <v>45687</v>
      </c>
      <c r="B272" t="inlineStr">
        <is>
          <t>2025-01</t>
        </is>
      </c>
      <c r="C272" t="inlineStr">
        <is>
          <t>VIEIRA Y VIEIRA SPA</t>
        </is>
      </c>
      <c r="D272" t="inlineStr">
        <is>
          <t>HORECA CATERING</t>
        </is>
      </c>
      <c r="E272" s="34" t="n">
        <v>353879</v>
      </c>
      <c r="F272" t="inlineStr">
        <is>
          <t>F</t>
        </is>
      </c>
      <c r="G272" s="34" t="n">
        <v>56502</v>
      </c>
      <c r="H272" s="34" t="n">
        <v>297377</v>
      </c>
      <c r="I272" t="inlineStr">
        <is>
          <t>3.1</t>
        </is>
      </c>
      <c r="J272" t="inlineStr">
        <is>
          <t>Ventas HoReCa</t>
        </is>
      </c>
      <c r="K272" t="inlineStr">
        <is>
          <t>CH1</t>
        </is>
      </c>
    </row>
    <row r="273">
      <c r="A273" s="33" t="n">
        <v>45687</v>
      </c>
      <c r="B273" t="inlineStr">
        <is>
          <t>2025-01</t>
        </is>
      </c>
      <c r="C273" t="inlineStr">
        <is>
          <t>DIEGO VARGAS BANQUETERIA Y EVENTOS SPA</t>
        </is>
      </c>
      <c r="D273" t="inlineStr">
        <is>
          <t>HORECA CATERING</t>
        </is>
      </c>
      <c r="E273" s="34" t="n">
        <v>250130</v>
      </c>
      <c r="F273" t="inlineStr">
        <is>
          <t>F</t>
        </is>
      </c>
      <c r="G273" s="34" t="n">
        <v>39937</v>
      </c>
      <c r="H273" s="34" t="n">
        <v>210193</v>
      </c>
      <c r="I273" t="inlineStr">
        <is>
          <t>3.1</t>
        </is>
      </c>
      <c r="J273" t="inlineStr">
        <is>
          <t>Ventas HoReCa</t>
        </is>
      </c>
      <c r="K273" t="inlineStr">
        <is>
          <t>CH1</t>
        </is>
      </c>
    </row>
    <row r="274">
      <c r="A274" s="33" t="n">
        <v>45687</v>
      </c>
      <c r="B274" t="inlineStr">
        <is>
          <t>2025-01</t>
        </is>
      </c>
      <c r="C274" t="inlineStr">
        <is>
          <t>GALVEZ Y HEUSSER SPA</t>
        </is>
      </c>
      <c r="D274" t="inlineStr">
        <is>
          <t>HORECA CATERING</t>
        </is>
      </c>
      <c r="E274" s="34" t="n">
        <v>106735</v>
      </c>
      <c r="F274" t="inlineStr">
        <is>
          <t>F</t>
        </is>
      </c>
      <c r="G274" s="34" t="n">
        <v>17042</v>
      </c>
      <c r="H274" s="34" t="n">
        <v>89693</v>
      </c>
      <c r="I274" t="inlineStr">
        <is>
          <t>3.1</t>
        </is>
      </c>
      <c r="J274" t="inlineStr">
        <is>
          <t>Ventas HoReCa</t>
        </is>
      </c>
      <c r="K274" t="inlineStr">
        <is>
          <t>CH1</t>
        </is>
      </c>
    </row>
    <row r="275">
      <c r="A275" s="33" t="n">
        <v>45687</v>
      </c>
      <c r="B275" t="inlineStr">
        <is>
          <t>2025-01</t>
        </is>
      </c>
      <c r="C275" t="inlineStr">
        <is>
          <t>POMPON SPA</t>
        </is>
      </c>
      <c r="D275" t="inlineStr">
        <is>
          <t>HORECA CAFETERIA</t>
        </is>
      </c>
      <c r="E275" s="34" t="n">
        <v>177310</v>
      </c>
      <c r="F275" t="inlineStr">
        <is>
          <t>F</t>
        </is>
      </c>
      <c r="G275" s="34" t="n">
        <v>28310</v>
      </c>
      <c r="H275" s="34" t="n">
        <v>149000</v>
      </c>
      <c r="I275" t="inlineStr">
        <is>
          <t>3.1</t>
        </is>
      </c>
      <c r="J275" t="inlineStr">
        <is>
          <t>Ventas HoReCa</t>
        </is>
      </c>
      <c r="K275" t="inlineStr">
        <is>
          <t>CH1</t>
        </is>
      </c>
    </row>
    <row r="276">
      <c r="A276" s="33" t="n">
        <v>45687</v>
      </c>
      <c r="B276" t="inlineStr">
        <is>
          <t>2025-01</t>
        </is>
      </c>
      <c r="C276" t="inlineStr">
        <is>
          <t>VILAS BANQUETERIAS SPA</t>
        </is>
      </c>
      <c r="D276" t="inlineStr">
        <is>
          <t>HORECA CATERING</t>
        </is>
      </c>
      <c r="E276" s="34" t="n">
        <v>103066</v>
      </c>
      <c r="F276" t="inlineStr">
        <is>
          <t>F</t>
        </is>
      </c>
      <c r="G276" s="34" t="n">
        <v>16456</v>
      </c>
      <c r="H276" s="34" t="n">
        <v>86610</v>
      </c>
      <c r="I276" t="inlineStr">
        <is>
          <t>3.1</t>
        </is>
      </c>
      <c r="J276" t="inlineStr">
        <is>
          <t>Ventas HoReCa</t>
        </is>
      </c>
      <c r="K276" t="inlineStr">
        <is>
          <t>CH1</t>
        </is>
      </c>
    </row>
    <row r="277">
      <c r="A277" s="33" t="n">
        <v>45687</v>
      </c>
      <c r="B277" t="inlineStr">
        <is>
          <t>2025-01</t>
        </is>
      </c>
      <c r="C277" t="inlineStr">
        <is>
          <t>Gabriela Gonzalez Toledo</t>
        </is>
      </c>
      <c r="D277" t="inlineStr">
        <is>
          <t>CANELE SIN AZUCAR</t>
        </is>
      </c>
      <c r="E277" s="34" t="n">
        <v>20790</v>
      </c>
      <c r="F277" t="inlineStr">
        <is>
          <t>B</t>
        </is>
      </c>
      <c r="G277" s="34" t="n">
        <v>3319</v>
      </c>
      <c r="H277" s="34" t="n">
        <v>17471</v>
      </c>
      <c r="I277" t="inlineStr">
        <is>
          <t>3.2</t>
        </is>
      </c>
      <c r="J277" t="inlineStr">
        <is>
          <t>Ventas Personas (B2C)</t>
        </is>
      </c>
      <c r="K277" t="inlineStr">
        <is>
          <t>CH2</t>
        </is>
      </c>
    </row>
    <row r="278">
      <c r="A278" s="33" t="n">
        <v>45687</v>
      </c>
      <c r="B278" t="inlineStr">
        <is>
          <t>2025-01</t>
        </is>
      </c>
      <c r="C278" t="inlineStr">
        <is>
          <t>Jesus Cesin</t>
        </is>
      </c>
      <c r="D278" t="inlineStr">
        <is>
          <t>CANELÉ TRADICIONAL</t>
        </is>
      </c>
      <c r="E278" s="34" t="n">
        <v>22540</v>
      </c>
      <c r="F278" t="inlineStr">
        <is>
          <t>B</t>
        </is>
      </c>
      <c r="G278" s="34" t="n">
        <v>3599</v>
      </c>
      <c r="H278" s="34" t="n">
        <v>18941</v>
      </c>
      <c r="I278" t="inlineStr">
        <is>
          <t>3.2</t>
        </is>
      </c>
      <c r="J278" t="inlineStr">
        <is>
          <t>Ventas Personas (B2C)</t>
        </is>
      </c>
      <c r="K278" t="inlineStr">
        <is>
          <t>CH2</t>
        </is>
      </c>
    </row>
    <row r="279">
      <c r="A279" s="33" t="n">
        <v>45687</v>
      </c>
      <c r="B279" t="inlineStr">
        <is>
          <t>2025-01</t>
        </is>
      </c>
      <c r="C279" t="inlineStr">
        <is>
          <t>Nicole Stefanic</t>
        </is>
      </c>
      <c r="D279" t="inlineStr">
        <is>
          <t>CANELÉ TRADICIONAL</t>
        </is>
      </c>
      <c r="E279" s="34" t="n">
        <v>44189</v>
      </c>
      <c r="F279" t="inlineStr">
        <is>
          <t>B</t>
        </is>
      </c>
      <c r="G279" s="34" t="n">
        <v>7055</v>
      </c>
      <c r="H279" s="34" t="n">
        <v>37134</v>
      </c>
      <c r="I279" t="inlineStr">
        <is>
          <t>3.2</t>
        </is>
      </c>
      <c r="J279" t="inlineStr">
        <is>
          <t>Ventas Personas (B2C)</t>
        </is>
      </c>
      <c r="K279" t="inlineStr">
        <is>
          <t>CH2</t>
        </is>
      </c>
    </row>
    <row r="280">
      <c r="A280" s="33" t="n">
        <v>45687</v>
      </c>
      <c r="B280" t="inlineStr">
        <is>
          <t>2025-01</t>
        </is>
      </c>
      <c r="C280" t="inlineStr">
        <is>
          <t>Felipe Leppe Ravanales</t>
        </is>
      </c>
      <c r="D280" t="inlineStr">
        <is>
          <t>Mix Sabores</t>
        </is>
      </c>
      <c r="E280" s="34" t="n">
        <v>63690</v>
      </c>
      <c r="F280" t="inlineStr">
        <is>
          <t>B</t>
        </is>
      </c>
      <c r="G280" s="34" t="n">
        <v>10169</v>
      </c>
      <c r="H280" s="34" t="n">
        <v>53521</v>
      </c>
      <c r="I280" t="inlineStr">
        <is>
          <t>3.2</t>
        </is>
      </c>
      <c r="J280" t="inlineStr">
        <is>
          <t>Ventas Personas (B2C)</t>
        </is>
      </c>
      <c r="K280" t="inlineStr">
        <is>
          <t>CH2</t>
        </is>
      </c>
    </row>
    <row r="281">
      <c r="A281" s="33" t="n">
        <v>45687</v>
      </c>
      <c r="B281" t="inlineStr">
        <is>
          <t>2025-01</t>
        </is>
      </c>
      <c r="C281" t="inlineStr">
        <is>
          <t>Sin cliente</t>
        </is>
      </c>
      <c r="D281" t="inlineStr">
        <is>
          <t>Petit Tradicional</t>
        </is>
      </c>
      <c r="E281" s="34" t="n">
        <v>10800</v>
      </c>
      <c r="F281" t="inlineStr">
        <is>
          <t>B</t>
        </is>
      </c>
      <c r="G281" s="34" t="n">
        <v>1724</v>
      </c>
      <c r="H281" s="34" t="n">
        <v>9076</v>
      </c>
      <c r="I281" t="inlineStr">
        <is>
          <t>3.2</t>
        </is>
      </c>
      <c r="J281" t="inlineStr">
        <is>
          <t>Ventas Personas (B2C)</t>
        </is>
      </c>
      <c r="K281" t="inlineStr">
        <is>
          <t>CH2</t>
        </is>
      </c>
    </row>
    <row r="282">
      <c r="A282" s="33" t="n">
        <v>45687</v>
      </c>
      <c r="B282" t="inlineStr">
        <is>
          <t>2025-01</t>
        </is>
      </c>
      <c r="C282" t="inlineStr">
        <is>
          <t>Sin cliente</t>
        </is>
      </c>
      <c r="D282" t="inlineStr">
        <is>
          <t>PLATAFORMAS RAP-PEYA-UBER-GOOD</t>
        </is>
      </c>
      <c r="E282" s="34" t="n">
        <v>32280</v>
      </c>
      <c r="F282" t="inlineStr">
        <is>
          <t>B</t>
        </is>
      </c>
      <c r="G282" s="34" t="n">
        <v>5154</v>
      </c>
      <c r="H282" s="34" t="n">
        <v>27126</v>
      </c>
      <c r="I282" t="inlineStr">
        <is>
          <t>3.6</t>
        </is>
      </c>
      <c r="J282" t="inlineStr">
        <is>
          <t>Ventas Delivery Apps</t>
        </is>
      </c>
      <c r="K282" t="inlineStr">
        <is>
          <t>CH3</t>
        </is>
      </c>
    </row>
    <row r="283">
      <c r="A283" s="33" t="n">
        <v>45687</v>
      </c>
      <c r="B283" t="inlineStr">
        <is>
          <t>2025-01</t>
        </is>
      </c>
      <c r="C283" t="inlineStr">
        <is>
          <t>Sin cliente</t>
        </is>
      </c>
      <c r="D283" t="inlineStr">
        <is>
          <t>CANELÉ TRADICIONAL</t>
        </is>
      </c>
      <c r="E283" s="34" t="n">
        <v>2500</v>
      </c>
      <c r="F283" t="inlineStr">
        <is>
          <t>B</t>
        </is>
      </c>
      <c r="G283" s="34" t="n">
        <v>399</v>
      </c>
      <c r="H283" s="34" t="n">
        <v>2101</v>
      </c>
      <c r="I283" t="inlineStr">
        <is>
          <t>3.2</t>
        </is>
      </c>
      <c r="J283" t="inlineStr">
        <is>
          <t>Ventas Personas (B2C)</t>
        </is>
      </c>
      <c r="K283" t="inlineStr">
        <is>
          <t>CH2</t>
        </is>
      </c>
    </row>
    <row r="284">
      <c r="A284" s="33" t="n">
        <v>45687</v>
      </c>
      <c r="B284" t="inlineStr">
        <is>
          <t>2025-01</t>
        </is>
      </c>
      <c r="C284" t="inlineStr">
        <is>
          <t>Sin cliente</t>
        </is>
      </c>
      <c r="D284" t="inlineStr">
        <is>
          <t>CANELÉ TRADICIONAL</t>
        </is>
      </c>
      <c r="E284" s="34" t="n">
        <v>2500</v>
      </c>
      <c r="F284" t="inlineStr">
        <is>
          <t>B</t>
        </is>
      </c>
      <c r="G284" s="34" t="n">
        <v>399</v>
      </c>
      <c r="H284" s="34" t="n">
        <v>2101</v>
      </c>
      <c r="I284" t="inlineStr">
        <is>
          <t>3.2</t>
        </is>
      </c>
      <c r="J284" t="inlineStr">
        <is>
          <t>Ventas Personas (B2C)</t>
        </is>
      </c>
      <c r="K284" t="inlineStr">
        <is>
          <t>CH2</t>
        </is>
      </c>
    </row>
    <row r="285">
      <c r="A285" s="33" t="n">
        <v>45687</v>
      </c>
      <c r="B285" t="inlineStr">
        <is>
          <t>2025-01</t>
        </is>
      </c>
      <c r="C285" t="inlineStr">
        <is>
          <t>Danilo Jara</t>
        </is>
      </c>
      <c r="D285" t="inlineStr">
        <is>
          <t>CANELÉ TRADICIONAL</t>
        </is>
      </c>
      <c r="E285" s="34" t="n">
        <v>10090</v>
      </c>
      <c r="F285" t="inlineStr">
        <is>
          <t>B</t>
        </is>
      </c>
      <c r="G285" s="34" t="n">
        <v>1611</v>
      </c>
      <c r="H285" s="34" t="n">
        <v>8479</v>
      </c>
      <c r="I285" t="inlineStr">
        <is>
          <t>3.2</t>
        </is>
      </c>
      <c r="J285" t="inlineStr">
        <is>
          <t>Ventas Personas (B2C)</t>
        </is>
      </c>
      <c r="K285" t="inlineStr">
        <is>
          <t>CH2</t>
        </is>
      </c>
    </row>
    <row r="286">
      <c r="A286" s="33" t="n">
        <v>45688</v>
      </c>
      <c r="B286" t="inlineStr">
        <is>
          <t>2025-01</t>
        </is>
      </c>
      <c r="C286" t="inlineStr">
        <is>
          <t>CAFE DIARIO ENCOMENDEROS SPA</t>
        </is>
      </c>
      <c r="D286" t="inlineStr">
        <is>
          <t>HORECA CAFETERIA</t>
        </is>
      </c>
      <c r="E286" s="34" t="n">
        <v>58611</v>
      </c>
      <c r="F286" t="inlineStr">
        <is>
          <t>F</t>
        </is>
      </c>
      <c r="G286" s="34" t="n">
        <v>9358</v>
      </c>
      <c r="H286" s="34" t="n">
        <v>49253</v>
      </c>
      <c r="I286" t="inlineStr">
        <is>
          <t>3.1</t>
        </is>
      </c>
      <c r="J286" t="inlineStr">
        <is>
          <t>Ventas HoReCa</t>
        </is>
      </c>
      <c r="K286" t="inlineStr">
        <is>
          <t>CH1</t>
        </is>
      </c>
    </row>
    <row r="287">
      <c r="A287" s="33" t="n">
        <v>45688</v>
      </c>
      <c r="B287" t="inlineStr">
        <is>
          <t>2025-01</t>
        </is>
      </c>
      <c r="C287" t="inlineStr">
        <is>
          <t>Daniela Zúñiga</t>
        </is>
      </c>
      <c r="D287" t="inlineStr">
        <is>
          <t>Edición Navidad</t>
        </is>
      </c>
      <c r="E287" s="34" t="n">
        <v>22799</v>
      </c>
      <c r="F287" t="inlineStr">
        <is>
          <t>B</t>
        </is>
      </c>
      <c r="G287" s="34" t="n">
        <v>3640</v>
      </c>
      <c r="H287" s="34" t="n">
        <v>19159</v>
      </c>
      <c r="I287" t="inlineStr">
        <is>
          <t>3.2</t>
        </is>
      </c>
      <c r="J287" t="inlineStr">
        <is>
          <t>Ventas Personas (B2C)</t>
        </is>
      </c>
      <c r="K287" t="inlineStr">
        <is>
          <t>CH2</t>
        </is>
      </c>
    </row>
    <row r="288">
      <c r="A288" s="33" t="n">
        <v>45688</v>
      </c>
      <c r="B288" t="inlineStr">
        <is>
          <t>2025-01</t>
        </is>
      </c>
      <c r="C288" t="inlineStr">
        <is>
          <t>Sin cliente</t>
        </is>
      </c>
      <c r="D288" t="inlineStr">
        <is>
          <t>PLATAFORMAS RAP-PEYA-UBER-GOOD</t>
        </is>
      </c>
      <c r="E288" s="34" t="n">
        <v>12960</v>
      </c>
      <c r="F288" t="inlineStr">
        <is>
          <t>B</t>
        </is>
      </c>
      <c r="G288" s="34" t="n">
        <v>2069</v>
      </c>
      <c r="H288" s="34" t="n">
        <v>10891</v>
      </c>
      <c r="I288" t="inlineStr">
        <is>
          <t>3.6</t>
        </is>
      </c>
      <c r="J288" t="inlineStr">
        <is>
          <t>Ventas Delivery Apps</t>
        </is>
      </c>
      <c r="K288" t="inlineStr">
        <is>
          <t>CH3</t>
        </is>
      </c>
    </row>
    <row r="289">
      <c r="A289" s="33" t="n">
        <v>45688</v>
      </c>
      <c r="B289" t="inlineStr">
        <is>
          <t>2025-01</t>
        </is>
      </c>
      <c r="C289" t="inlineStr">
        <is>
          <t>Sin cliente</t>
        </is>
      </c>
      <c r="D289" t="inlineStr">
        <is>
          <t>CANELÉ TRADICIONAL</t>
        </is>
      </c>
      <c r="E289" s="34" t="n">
        <v>16400</v>
      </c>
      <c r="F289" t="inlineStr">
        <is>
          <t>B</t>
        </is>
      </c>
      <c r="G289" s="34" t="n">
        <v>2618</v>
      </c>
      <c r="H289" s="34" t="n">
        <v>13782</v>
      </c>
      <c r="I289" t="inlineStr">
        <is>
          <t>3.2</t>
        </is>
      </c>
      <c r="J289" t="inlineStr">
        <is>
          <t>Ventas Personas (B2C)</t>
        </is>
      </c>
      <c r="K289" t="inlineStr">
        <is>
          <t>CH2</t>
        </is>
      </c>
    </row>
    <row r="290">
      <c r="A290" s="33" t="n">
        <v>45688</v>
      </c>
      <c r="B290" t="inlineStr">
        <is>
          <t>2025-01</t>
        </is>
      </c>
      <c r="C290" t="inlineStr">
        <is>
          <t>Natalia Aguilera Espinoza</t>
        </is>
      </c>
      <c r="D290" t="inlineStr">
        <is>
          <t>CANELÉ TRADICIONAL</t>
        </is>
      </c>
      <c r="E290" s="34" t="n">
        <v>19300</v>
      </c>
      <c r="F290" t="inlineStr">
        <is>
          <t>B</t>
        </is>
      </c>
      <c r="G290" s="34" t="n">
        <v>3082</v>
      </c>
      <c r="H290" s="34" t="n">
        <v>16218</v>
      </c>
      <c r="I290" t="inlineStr">
        <is>
          <t>3.2</t>
        </is>
      </c>
      <c r="J290" t="inlineStr">
        <is>
          <t>Ventas Personas (B2C)</t>
        </is>
      </c>
      <c r="K290" t="inlineStr">
        <is>
          <t>CH2</t>
        </is>
      </c>
    </row>
    <row r="291">
      <c r="A291" s="33" t="n">
        <v>45689</v>
      </c>
      <c r="B291" t="inlineStr">
        <is>
          <t>2025-02</t>
        </is>
      </c>
      <c r="C291" t="inlineStr">
        <is>
          <t>Jennifer Ruz</t>
        </is>
      </c>
      <c r="D291" t="inlineStr">
        <is>
          <t>Mix Sabores</t>
        </is>
      </c>
      <c r="E291" s="34" t="n">
        <v>29800</v>
      </c>
      <c r="F291" t="inlineStr">
        <is>
          <t>B</t>
        </is>
      </c>
      <c r="G291" s="34" t="n">
        <v>4758</v>
      </c>
      <c r="H291" s="34" t="n">
        <v>25042</v>
      </c>
      <c r="I291" t="inlineStr">
        <is>
          <t>3.2</t>
        </is>
      </c>
      <c r="J291" t="inlineStr">
        <is>
          <t>Ventas Personas (B2C)</t>
        </is>
      </c>
      <c r="K291" t="inlineStr">
        <is>
          <t>CH2</t>
        </is>
      </c>
    </row>
    <row r="292">
      <c r="A292" s="33" t="n">
        <v>45689</v>
      </c>
      <c r="B292" t="inlineStr">
        <is>
          <t>2025-02</t>
        </is>
      </c>
      <c r="C292" t="inlineStr">
        <is>
          <t>Benjamín Torres</t>
        </is>
      </c>
      <c r="D292" t="inlineStr">
        <is>
          <t>CANELÉ TRADICIONAL</t>
        </is>
      </c>
      <c r="E292" s="34" t="n">
        <v>26820</v>
      </c>
      <c r="F292" t="inlineStr">
        <is>
          <t>B</t>
        </is>
      </c>
      <c r="G292" s="34" t="n">
        <v>4282</v>
      </c>
      <c r="H292" s="34" t="n">
        <v>22538</v>
      </c>
      <c r="I292" t="inlineStr">
        <is>
          <t>3.2</t>
        </is>
      </c>
      <c r="J292" t="inlineStr">
        <is>
          <t>Ventas Personas (B2C)</t>
        </is>
      </c>
      <c r="K292" t="inlineStr">
        <is>
          <t>CH2</t>
        </is>
      </c>
    </row>
    <row r="293">
      <c r="A293" s="33" t="n">
        <v>45689</v>
      </c>
      <c r="B293" t="inlineStr">
        <is>
          <t>2025-02</t>
        </is>
      </c>
      <c r="C293" t="inlineStr">
        <is>
          <t>Sin cliente</t>
        </is>
      </c>
      <c r="D293" t="inlineStr">
        <is>
          <t>CANELÉ TRADICIONAL</t>
        </is>
      </c>
      <c r="E293" s="34" t="n">
        <v>19800</v>
      </c>
      <c r="F293" t="inlineStr">
        <is>
          <t>B</t>
        </is>
      </c>
      <c r="G293" s="34" t="n">
        <v>3161</v>
      </c>
      <c r="H293" s="34" t="n">
        <v>16639</v>
      </c>
      <c r="I293" t="inlineStr">
        <is>
          <t>3.2</t>
        </is>
      </c>
      <c r="J293" t="inlineStr">
        <is>
          <t>Ventas Personas (B2C)</t>
        </is>
      </c>
      <c r="K293" t="inlineStr">
        <is>
          <t>CH2</t>
        </is>
      </c>
    </row>
    <row r="294">
      <c r="A294" s="33" t="n">
        <v>45691</v>
      </c>
      <c r="B294" t="inlineStr">
        <is>
          <t>2025-02</t>
        </is>
      </c>
      <c r="C294" t="inlineStr">
        <is>
          <t>CAFE HAITI AHUMADA LTDA</t>
        </is>
      </c>
      <c r="D294" t="inlineStr">
        <is>
          <t>HORECA CAFETERIA</t>
        </is>
      </c>
      <c r="E294" s="34" t="n">
        <v>1241724</v>
      </c>
      <c r="F294" t="inlineStr">
        <is>
          <t>F</t>
        </is>
      </c>
      <c r="G294" s="34" t="n">
        <v>198258</v>
      </c>
      <c r="H294" s="34" t="n">
        <v>1043466</v>
      </c>
      <c r="I294" t="inlineStr">
        <is>
          <t>3.1</t>
        </is>
      </c>
      <c r="J294" t="inlineStr">
        <is>
          <t>Ventas HoReCa</t>
        </is>
      </c>
      <c r="K294" t="inlineStr">
        <is>
          <t>CH1</t>
        </is>
      </c>
    </row>
    <row r="295">
      <c r="A295" s="33" t="n">
        <v>45691</v>
      </c>
      <c r="B295" t="inlineStr">
        <is>
          <t>2025-02</t>
        </is>
      </c>
      <c r="C295" t="inlineStr">
        <is>
          <t>Kelly Velasquez</t>
        </is>
      </c>
      <c r="D295" t="inlineStr">
        <is>
          <t>Edición Navidad</t>
        </is>
      </c>
      <c r="E295" s="34" t="n">
        <v>31889</v>
      </c>
      <c r="F295" t="inlineStr">
        <is>
          <t>B</t>
        </is>
      </c>
      <c r="G295" s="34" t="n">
        <v>5092</v>
      </c>
      <c r="H295" s="34" t="n">
        <v>26797</v>
      </c>
      <c r="I295" t="inlineStr">
        <is>
          <t>3.2</t>
        </is>
      </c>
      <c r="J295" t="inlineStr">
        <is>
          <t>Ventas Personas (B2C)</t>
        </is>
      </c>
      <c r="K295" t="inlineStr">
        <is>
          <t>CH2</t>
        </is>
      </c>
    </row>
    <row r="296">
      <c r="A296" s="33" t="n">
        <v>45691</v>
      </c>
      <c r="B296" t="inlineStr">
        <is>
          <t>2025-02</t>
        </is>
      </c>
      <c r="C296" t="inlineStr">
        <is>
          <t>Sin cliente</t>
        </is>
      </c>
      <c r="D296" t="inlineStr">
        <is>
          <t>CANELÉ TRADICIONAL</t>
        </is>
      </c>
      <c r="E296" s="34" t="n">
        <v>18400</v>
      </c>
      <c r="F296" t="inlineStr">
        <is>
          <t>B</t>
        </is>
      </c>
      <c r="G296" s="34" t="n">
        <v>2938</v>
      </c>
      <c r="H296" s="34" t="n">
        <v>15462</v>
      </c>
      <c r="I296" t="inlineStr">
        <is>
          <t>3.2</t>
        </is>
      </c>
      <c r="J296" t="inlineStr">
        <is>
          <t>Ventas Personas (B2C)</t>
        </is>
      </c>
      <c r="K296" t="inlineStr">
        <is>
          <t>CH2</t>
        </is>
      </c>
    </row>
    <row r="297">
      <c r="A297" s="33" t="n">
        <v>45691</v>
      </c>
      <c r="B297" t="inlineStr">
        <is>
          <t>2025-02</t>
        </is>
      </c>
      <c r="C297" t="inlineStr">
        <is>
          <t>Sin cliente</t>
        </is>
      </c>
      <c r="D297" t="inlineStr">
        <is>
          <t>Delicatessen</t>
        </is>
      </c>
      <c r="E297" s="34" t="n">
        <v>54300</v>
      </c>
      <c r="F297" t="inlineStr">
        <is>
          <t>B</t>
        </is>
      </c>
      <c r="G297" s="34" t="n">
        <v>8670</v>
      </c>
      <c r="H297" s="34" t="n">
        <v>45630</v>
      </c>
      <c r="I297" t="inlineStr">
        <is>
          <t>3.2</t>
        </is>
      </c>
      <c r="J297" t="inlineStr">
        <is>
          <t>Ventas Personas (B2C)</t>
        </is>
      </c>
      <c r="K297" t="inlineStr">
        <is>
          <t>CH2</t>
        </is>
      </c>
    </row>
    <row r="298">
      <c r="A298" s="33" t="n">
        <v>45691</v>
      </c>
      <c r="B298" t="inlineStr">
        <is>
          <t>2025-02</t>
        </is>
      </c>
      <c r="C298" t="inlineStr">
        <is>
          <t>Manuel Vasquez</t>
        </is>
      </c>
      <c r="D298" t="inlineStr">
        <is>
          <t>Sin Azúcar</t>
        </is>
      </c>
      <c r="E298" s="34" t="n">
        <v>47190</v>
      </c>
      <c r="F298" t="inlineStr">
        <is>
          <t>B</t>
        </is>
      </c>
      <c r="G298" s="34" t="n">
        <v>7535</v>
      </c>
      <c r="H298" s="34" t="n">
        <v>39655</v>
      </c>
      <c r="I298" t="inlineStr">
        <is>
          <t>3.2</t>
        </is>
      </c>
      <c r="J298" t="inlineStr">
        <is>
          <t>Ventas Personas (B2C)</t>
        </is>
      </c>
      <c r="K298" t="inlineStr">
        <is>
          <t>CH2</t>
        </is>
      </c>
    </row>
    <row r="299">
      <c r="A299" s="33" t="n">
        <v>45691</v>
      </c>
      <c r="B299" t="inlineStr">
        <is>
          <t>2025-02</t>
        </is>
      </c>
      <c r="C299" t="inlineStr">
        <is>
          <t>PRODUCTORA DE EVENTOS AGDV SPA</t>
        </is>
      </c>
      <c r="D299" t="inlineStr">
        <is>
          <t>HORECA CATERING</t>
        </is>
      </c>
      <c r="E299" s="34" t="n">
        <v>37013</v>
      </c>
      <c r="F299" t="inlineStr">
        <is>
          <t>F</t>
        </is>
      </c>
      <c r="G299" s="34" t="n">
        <v>5910</v>
      </c>
      <c r="H299" s="34" t="n">
        <v>31103</v>
      </c>
      <c r="I299" t="inlineStr">
        <is>
          <t>3.1</t>
        </is>
      </c>
      <c r="J299" t="inlineStr">
        <is>
          <t>Ventas HoReCa</t>
        </is>
      </c>
      <c r="K299" t="inlineStr">
        <is>
          <t>CH1</t>
        </is>
      </c>
    </row>
    <row r="300">
      <c r="A300" s="33" t="n">
        <v>45691</v>
      </c>
      <c r="B300" t="inlineStr">
        <is>
          <t>2025-02</t>
        </is>
      </c>
      <c r="C300" t="inlineStr">
        <is>
          <t>Okinawa Spa</t>
        </is>
      </c>
      <c r="D300" t="inlineStr">
        <is>
          <t>HORECA CAFETERIA</t>
        </is>
      </c>
      <c r="E300" s="34" t="n">
        <v>153716</v>
      </c>
      <c r="F300" t="inlineStr">
        <is>
          <t>F</t>
        </is>
      </c>
      <c r="G300" s="34" t="n">
        <v>24543</v>
      </c>
      <c r="H300" s="34" t="n">
        <v>129173</v>
      </c>
      <c r="I300" t="inlineStr">
        <is>
          <t>3.1</t>
        </is>
      </c>
      <c r="J300" t="inlineStr">
        <is>
          <t>Ventas HoReCa</t>
        </is>
      </c>
      <c r="K300" t="inlineStr">
        <is>
          <t>CH1</t>
        </is>
      </c>
    </row>
    <row r="301">
      <c r="A301" s="33" t="n">
        <v>45691</v>
      </c>
      <c r="B301" t="inlineStr">
        <is>
          <t>2025-02</t>
        </is>
      </c>
      <c r="C301" t="inlineStr">
        <is>
          <t>Romina Pailahual</t>
        </is>
      </c>
      <c r="D301" t="inlineStr">
        <is>
          <t>CANELE SIN AZUCAR</t>
        </is>
      </c>
      <c r="E301" s="34" t="n">
        <v>42970</v>
      </c>
      <c r="F301" t="inlineStr">
        <is>
          <t>B</t>
        </is>
      </c>
      <c r="G301" s="34" t="n">
        <v>6861</v>
      </c>
      <c r="H301" s="34" t="n">
        <v>36109</v>
      </c>
      <c r="I301" t="inlineStr">
        <is>
          <t>3.2</t>
        </is>
      </c>
      <c r="J301" t="inlineStr">
        <is>
          <t>Ventas Personas (B2C)</t>
        </is>
      </c>
      <c r="K301" t="inlineStr">
        <is>
          <t>CH2</t>
        </is>
      </c>
    </row>
    <row r="302">
      <c r="A302" s="33" t="n">
        <v>45691</v>
      </c>
      <c r="B302" t="inlineStr">
        <is>
          <t>2025-02</t>
        </is>
      </c>
      <c r="C302" t="inlineStr">
        <is>
          <t>Iñaki Andonegui</t>
        </is>
      </c>
      <c r="D302" t="inlineStr">
        <is>
          <t>Petit Crunchy</t>
        </is>
      </c>
      <c r="E302" s="34" t="n">
        <v>41620</v>
      </c>
      <c r="F302" t="inlineStr">
        <is>
          <t>B</t>
        </is>
      </c>
      <c r="G302" s="34" t="n">
        <v>6645</v>
      </c>
      <c r="H302" s="34" t="n">
        <v>34975</v>
      </c>
      <c r="I302" t="inlineStr">
        <is>
          <t>3.2</t>
        </is>
      </c>
      <c r="J302" t="inlineStr">
        <is>
          <t>Ventas Personas (B2C)</t>
        </is>
      </c>
      <c r="K302" t="inlineStr">
        <is>
          <t>CH2</t>
        </is>
      </c>
    </row>
    <row r="303">
      <c r="A303" s="33" t="n">
        <v>45691</v>
      </c>
      <c r="B303" t="inlineStr">
        <is>
          <t>2025-02</t>
        </is>
      </c>
      <c r="C303" t="inlineStr">
        <is>
          <t>Daniela Pino</t>
        </is>
      </c>
      <c r="D303" t="inlineStr">
        <is>
          <t>CANELÉ TRADICIONAL</t>
        </is>
      </c>
      <c r="E303" s="34" t="n">
        <v>31690</v>
      </c>
      <c r="F303" t="inlineStr">
        <is>
          <t>B</t>
        </is>
      </c>
      <c r="G303" s="34" t="n">
        <v>5060</v>
      </c>
      <c r="H303" s="34" t="n">
        <v>26630</v>
      </c>
      <c r="I303" t="inlineStr">
        <is>
          <t>3.2</t>
        </is>
      </c>
      <c r="J303" t="inlineStr">
        <is>
          <t>Ventas Personas (B2C)</t>
        </is>
      </c>
      <c r="K303" t="inlineStr">
        <is>
          <t>CH2</t>
        </is>
      </c>
    </row>
    <row r="304">
      <c r="A304" s="33" t="n">
        <v>45691</v>
      </c>
      <c r="B304" t="inlineStr">
        <is>
          <t>2025-02</t>
        </is>
      </c>
      <c r="C304" t="inlineStr">
        <is>
          <t>CAFETERÍA ALTURA LIMITADA</t>
        </is>
      </c>
      <c r="D304" t="inlineStr">
        <is>
          <t>HORECA CAFETERIA</t>
        </is>
      </c>
      <c r="E304" s="34" t="n">
        <v>78870</v>
      </c>
      <c r="F304" t="inlineStr">
        <is>
          <t>F</t>
        </is>
      </c>
      <c r="G304" s="34" t="n">
        <v>12593</v>
      </c>
      <c r="H304" s="34" t="n">
        <v>66277</v>
      </c>
      <c r="I304" t="inlineStr">
        <is>
          <t>3.1</t>
        </is>
      </c>
      <c r="J304" t="inlineStr">
        <is>
          <t>Ventas HoReCa</t>
        </is>
      </c>
      <c r="K304" t="inlineStr">
        <is>
          <t>CH1</t>
        </is>
      </c>
    </row>
    <row r="305">
      <c r="A305" s="33" t="n">
        <v>45691</v>
      </c>
      <c r="B305" t="inlineStr">
        <is>
          <t>2025-02</t>
        </is>
      </c>
      <c r="C305" t="inlineStr">
        <is>
          <t>INVERSIONES Y COMERCIALIZADORA FED LIMITADA</t>
        </is>
      </c>
      <c r="D305" t="inlineStr">
        <is>
          <t>HORECA CAFETERIA</t>
        </is>
      </c>
      <c r="E305" s="34" t="n">
        <v>54910</v>
      </c>
      <c r="F305" t="inlineStr">
        <is>
          <t>F</t>
        </is>
      </c>
      <c r="G305" s="34" t="n">
        <v>8767</v>
      </c>
      <c r="H305" s="34" t="n">
        <v>46143</v>
      </c>
      <c r="I305" t="inlineStr">
        <is>
          <t>3.1</t>
        </is>
      </c>
      <c r="J305" t="inlineStr">
        <is>
          <t>Ventas HoReCa</t>
        </is>
      </c>
      <c r="K305" t="inlineStr">
        <is>
          <t>CH1</t>
        </is>
      </c>
    </row>
    <row r="306">
      <c r="A306" s="33" t="n">
        <v>45691</v>
      </c>
      <c r="B306" t="inlineStr">
        <is>
          <t>2025-02</t>
        </is>
      </c>
      <c r="C306" t="inlineStr">
        <is>
          <t>INVERSIONES Y COMERCIALIZADORA FED LIMITADA</t>
        </is>
      </c>
      <c r="D306" t="inlineStr">
        <is>
          <t>HORECA CAFETERIA</t>
        </is>
      </c>
      <c r="E306" s="34" t="n">
        <v>132297</v>
      </c>
      <c r="F306" t="inlineStr">
        <is>
          <t>F</t>
        </is>
      </c>
      <c r="G306" s="34" t="n">
        <v>21123</v>
      </c>
      <c r="H306" s="34" t="n">
        <v>111174</v>
      </c>
      <c r="I306" t="inlineStr">
        <is>
          <t>3.1</t>
        </is>
      </c>
      <c r="J306" t="inlineStr">
        <is>
          <t>Ventas HoReCa</t>
        </is>
      </c>
      <c r="K306" t="inlineStr">
        <is>
          <t>CH1</t>
        </is>
      </c>
    </row>
    <row r="307">
      <c r="A307" s="33" t="n">
        <v>45691</v>
      </c>
      <c r="B307" t="inlineStr">
        <is>
          <t>2025-02</t>
        </is>
      </c>
      <c r="C307" t="inlineStr">
        <is>
          <t>INVERSIONES Y ASESORIAS RAVAL LIMITADA</t>
        </is>
      </c>
      <c r="D307" t="inlineStr">
        <is>
          <t>HORECA CAFETERIA</t>
        </is>
      </c>
      <c r="E307" s="34" t="n">
        <v>67980</v>
      </c>
      <c r="F307" t="inlineStr">
        <is>
          <t>F</t>
        </is>
      </c>
      <c r="G307" s="34" t="n">
        <v>10854</v>
      </c>
      <c r="H307" s="34" t="n">
        <v>57126</v>
      </c>
      <c r="I307" t="inlineStr">
        <is>
          <t>3.1</t>
        </is>
      </c>
      <c r="J307" t="inlineStr">
        <is>
          <t>Ventas HoReCa</t>
        </is>
      </c>
      <c r="K307" t="inlineStr">
        <is>
          <t>CH1</t>
        </is>
      </c>
    </row>
    <row r="308">
      <c r="A308" s="33" t="n">
        <v>45691</v>
      </c>
      <c r="B308" t="inlineStr">
        <is>
          <t>2025-02</t>
        </is>
      </c>
      <c r="C308" t="inlineStr">
        <is>
          <t>Sin cliente</t>
        </is>
      </c>
      <c r="D308" t="inlineStr">
        <is>
          <t>PLATAFORMAS RAP-PEYA-UBER-GOOD</t>
        </is>
      </c>
      <c r="E308" s="34" t="n">
        <v>23760</v>
      </c>
      <c r="F308" t="inlineStr">
        <is>
          <t>B</t>
        </is>
      </c>
      <c r="G308" s="34" t="n">
        <v>3794</v>
      </c>
      <c r="H308" s="34" t="n">
        <v>19966</v>
      </c>
      <c r="I308" t="inlineStr">
        <is>
          <t>3.6</t>
        </is>
      </c>
      <c r="J308" t="inlineStr">
        <is>
          <t>Ventas Delivery Apps</t>
        </is>
      </c>
      <c r="K308" t="inlineStr">
        <is>
          <t>CH3</t>
        </is>
      </c>
    </row>
    <row r="309">
      <c r="A309" s="33" t="n">
        <v>45691</v>
      </c>
      <c r="B309" t="inlineStr">
        <is>
          <t>2025-02</t>
        </is>
      </c>
      <c r="C309" t="inlineStr">
        <is>
          <t>POMPON SPA</t>
        </is>
      </c>
      <c r="D309" t="inlineStr">
        <is>
          <t>HORECA CAFETERIA</t>
        </is>
      </c>
      <c r="E309" s="34" t="n">
        <v>46830</v>
      </c>
      <c r="F309" t="inlineStr">
        <is>
          <t>F</t>
        </is>
      </c>
      <c r="G309" s="34" t="n">
        <v>7477</v>
      </c>
      <c r="H309" s="34" t="n">
        <v>39353</v>
      </c>
      <c r="I309" t="inlineStr">
        <is>
          <t>3.1</t>
        </is>
      </c>
      <c r="J309" t="inlineStr">
        <is>
          <t>Ventas HoReCa</t>
        </is>
      </c>
      <c r="K309" t="inlineStr">
        <is>
          <t>CH1</t>
        </is>
      </c>
    </row>
    <row r="310">
      <c r="A310" s="33" t="n">
        <v>45691</v>
      </c>
      <c r="B310" t="inlineStr">
        <is>
          <t>2025-02</t>
        </is>
      </c>
      <c r="C310" t="inlineStr">
        <is>
          <t>Okinawa Spa</t>
        </is>
      </c>
      <c r="D310" t="inlineStr">
        <is>
          <t>HORECA CAFETERIA</t>
        </is>
      </c>
      <c r="E310" s="34" t="n">
        <v>-153716</v>
      </c>
      <c r="F310" t="inlineStr">
        <is>
          <t>NC</t>
        </is>
      </c>
      <c r="G310" s="34" t="n">
        <v>-24543</v>
      </c>
      <c r="H310" s="34" t="n">
        <v>-129173</v>
      </c>
      <c r="I310" t="inlineStr">
        <is>
          <t>3.2</t>
        </is>
      </c>
      <c r="J310" t="inlineStr">
        <is>
          <t>Ventas Personas (B2C)</t>
        </is>
      </c>
      <c r="K310" t="inlineStr">
        <is>
          <t>CH2</t>
        </is>
      </c>
    </row>
    <row r="311">
      <c r="A311" s="33" t="n">
        <v>45691</v>
      </c>
      <c r="B311" t="inlineStr">
        <is>
          <t>2025-02</t>
        </is>
      </c>
      <c r="C311" t="inlineStr">
        <is>
          <t>Okinawa Spa</t>
        </is>
      </c>
      <c r="D311" t="inlineStr">
        <is>
          <t>HORECA CAFETERIA</t>
        </is>
      </c>
      <c r="E311" s="34" t="n">
        <v>149726</v>
      </c>
      <c r="F311" t="inlineStr">
        <is>
          <t>F</t>
        </is>
      </c>
      <c r="G311" s="34" t="n">
        <v>23906</v>
      </c>
      <c r="H311" s="34" t="n">
        <v>125820</v>
      </c>
      <c r="I311" t="inlineStr">
        <is>
          <t>3.1</t>
        </is>
      </c>
      <c r="J311" t="inlineStr">
        <is>
          <t>Ventas HoReCa</t>
        </is>
      </c>
      <c r="K311" t="inlineStr">
        <is>
          <t>CH1</t>
        </is>
      </c>
    </row>
    <row r="312">
      <c r="A312" s="33" t="n">
        <v>45691</v>
      </c>
      <c r="B312" t="inlineStr">
        <is>
          <t>2025-02</t>
        </is>
      </c>
      <c r="C312" t="inlineStr">
        <is>
          <t>Sin cliente</t>
        </is>
      </c>
      <c r="D312" t="inlineStr">
        <is>
          <t>Sin Azúcar</t>
        </is>
      </c>
      <c r="E312" s="34" t="n">
        <v>16980</v>
      </c>
      <c r="F312" t="inlineStr">
        <is>
          <t>B</t>
        </is>
      </c>
      <c r="G312" s="34" t="n">
        <v>2711</v>
      </c>
      <c r="H312" s="34" t="n">
        <v>14269</v>
      </c>
      <c r="I312" t="inlineStr">
        <is>
          <t>3.2</t>
        </is>
      </c>
      <c r="J312" t="inlineStr">
        <is>
          <t>Ventas Personas (B2C)</t>
        </is>
      </c>
      <c r="K312" t="inlineStr">
        <is>
          <t>CH2</t>
        </is>
      </c>
    </row>
    <row r="313">
      <c r="A313" s="33" t="n">
        <v>45691</v>
      </c>
      <c r="B313" t="inlineStr">
        <is>
          <t>2025-02</t>
        </is>
      </c>
      <c r="C313" t="inlineStr">
        <is>
          <t>AMBROSIA RESTAURANT SPA</t>
        </is>
      </c>
      <c r="D313" t="inlineStr">
        <is>
          <t>HORECA CAFETERIA</t>
        </is>
      </c>
      <c r="E313" s="34" t="n">
        <v>269991</v>
      </c>
      <c r="F313" t="inlineStr">
        <is>
          <t>F</t>
        </is>
      </c>
      <c r="G313" s="34" t="n">
        <v>43108</v>
      </c>
      <c r="H313" s="34" t="n">
        <v>226883</v>
      </c>
      <c r="I313" t="inlineStr">
        <is>
          <t>3.1</t>
        </is>
      </c>
      <c r="J313" t="inlineStr">
        <is>
          <t>Ventas HoReCa</t>
        </is>
      </c>
      <c r="K313" t="inlineStr">
        <is>
          <t>CH1</t>
        </is>
      </c>
    </row>
    <row r="314">
      <c r="A314" s="33" t="n">
        <v>45691</v>
      </c>
      <c r="B314" t="inlineStr">
        <is>
          <t>2025-02</t>
        </is>
      </c>
      <c r="C314" t="inlineStr">
        <is>
          <t>the capital coffee spa</t>
        </is>
      </c>
      <c r="D314" t="inlineStr">
        <is>
          <t>HORECA CAFETERIA</t>
        </is>
      </c>
      <c r="E314" s="34" t="n">
        <v>231600</v>
      </c>
      <c r="F314" t="inlineStr">
        <is>
          <t>F</t>
        </is>
      </c>
      <c r="G314" s="34" t="n">
        <v>36978</v>
      </c>
      <c r="H314" s="34" t="n">
        <v>194622</v>
      </c>
      <c r="I314" t="inlineStr">
        <is>
          <t>3.1</t>
        </is>
      </c>
      <c r="J314" t="inlineStr">
        <is>
          <t>Ventas HoReCa</t>
        </is>
      </c>
      <c r="K314" t="inlineStr">
        <is>
          <t>CH1</t>
        </is>
      </c>
    </row>
    <row r="315">
      <c r="A315" s="33" t="n">
        <v>45691</v>
      </c>
      <c r="B315" t="inlineStr">
        <is>
          <t>2025-02</t>
        </is>
      </c>
      <c r="C315" t="inlineStr">
        <is>
          <t>Sin cliente</t>
        </is>
      </c>
      <c r="D315" t="inlineStr">
        <is>
          <t>Petit Tradicional</t>
        </is>
      </c>
      <c r="E315" s="34" t="n">
        <v>10800</v>
      </c>
      <c r="F315" t="inlineStr">
        <is>
          <t>B</t>
        </is>
      </c>
      <c r="G315" s="34" t="n">
        <v>1724</v>
      </c>
      <c r="H315" s="34" t="n">
        <v>9076</v>
      </c>
      <c r="I315" t="inlineStr">
        <is>
          <t>3.2</t>
        </is>
      </c>
      <c r="J315" t="inlineStr">
        <is>
          <t>Ventas Personas (B2C)</t>
        </is>
      </c>
      <c r="K315" t="inlineStr">
        <is>
          <t>CH2</t>
        </is>
      </c>
    </row>
    <row r="316">
      <c r="A316" s="33" t="n">
        <v>45691</v>
      </c>
      <c r="B316" t="inlineStr">
        <is>
          <t>2025-02</t>
        </is>
      </c>
      <c r="C316" t="inlineStr">
        <is>
          <t>Sin cliente</t>
        </is>
      </c>
      <c r="D316" t="inlineStr">
        <is>
          <t>CANELÉ TRADICIONAL</t>
        </is>
      </c>
      <c r="E316" s="34" t="n">
        <v>24700</v>
      </c>
      <c r="F316" t="inlineStr">
        <is>
          <t>B</t>
        </is>
      </c>
      <c r="G316" s="34" t="n">
        <v>3944</v>
      </c>
      <c r="H316" s="34" t="n">
        <v>20756</v>
      </c>
      <c r="I316" t="inlineStr">
        <is>
          <t>3.2</t>
        </is>
      </c>
      <c r="J316" t="inlineStr">
        <is>
          <t>Ventas Personas (B2C)</t>
        </is>
      </c>
      <c r="K316" t="inlineStr">
        <is>
          <t>CH2</t>
        </is>
      </c>
    </row>
    <row r="317">
      <c r="A317" s="33" t="n">
        <v>45691</v>
      </c>
      <c r="B317" t="inlineStr">
        <is>
          <t>2025-02</t>
        </is>
      </c>
      <c r="C317" t="inlineStr">
        <is>
          <t>Sin cliente</t>
        </is>
      </c>
      <c r="D317" t="inlineStr">
        <is>
          <t>PLATAFORMAS RAP-PEYA-UBER-GOOD</t>
        </is>
      </c>
      <c r="E317" s="34" t="n">
        <v>12540</v>
      </c>
      <c r="F317" t="inlineStr">
        <is>
          <t>B</t>
        </is>
      </c>
      <c r="G317" s="34" t="n">
        <v>2002</v>
      </c>
      <c r="H317" s="34" t="n">
        <v>10538</v>
      </c>
      <c r="I317" t="inlineStr">
        <is>
          <t>3.6</t>
        </is>
      </c>
      <c r="J317" t="inlineStr">
        <is>
          <t>Ventas Delivery Apps</t>
        </is>
      </c>
      <c r="K317" t="inlineStr">
        <is>
          <t>CH3</t>
        </is>
      </c>
    </row>
    <row r="318">
      <c r="A318" s="33" t="n">
        <v>45692</v>
      </c>
      <c r="B318" t="inlineStr">
        <is>
          <t>2025-02</t>
        </is>
      </c>
      <c r="C318" t="inlineStr">
        <is>
          <t>BUSTORF LARSEN Y COMPANIA LIMITADA</t>
        </is>
      </c>
      <c r="D318" t="inlineStr">
        <is>
          <t>HORECA CAFETERIA</t>
        </is>
      </c>
      <c r="E318" s="34" t="n">
        <v>64990</v>
      </c>
      <c r="F318" t="inlineStr">
        <is>
          <t>F</t>
        </is>
      </c>
      <c r="G318" s="34" t="n">
        <v>10377</v>
      </c>
      <c r="H318" s="34" t="n">
        <v>54613</v>
      </c>
      <c r="I318" t="inlineStr">
        <is>
          <t>3.1</t>
        </is>
      </c>
      <c r="J318" t="inlineStr">
        <is>
          <t>Ventas HoReCa</t>
        </is>
      </c>
      <c r="K318" t="inlineStr">
        <is>
          <t>CH1</t>
        </is>
      </c>
    </row>
    <row r="319">
      <c r="A319" s="33" t="n">
        <v>45692</v>
      </c>
      <c r="B319" t="inlineStr">
        <is>
          <t>2025-02</t>
        </is>
      </c>
      <c r="C319" t="inlineStr">
        <is>
          <t>Quintana&amp;Rivera SpA</t>
        </is>
      </c>
      <c r="D319" t="inlineStr">
        <is>
          <t>HORECA CAFETERIA</t>
        </is>
      </c>
      <c r="E319" s="34" t="n">
        <v>64990</v>
      </c>
      <c r="F319" t="inlineStr">
        <is>
          <t>F</t>
        </is>
      </c>
      <c r="G319" s="34" t="n">
        <v>10377</v>
      </c>
      <c r="H319" s="34" t="n">
        <v>54613</v>
      </c>
      <c r="I319" t="inlineStr">
        <is>
          <t>3.1</t>
        </is>
      </c>
      <c r="J319" t="inlineStr">
        <is>
          <t>Ventas HoReCa</t>
        </is>
      </c>
      <c r="K319" t="inlineStr">
        <is>
          <t>CH1</t>
        </is>
      </c>
    </row>
    <row r="320">
      <c r="A320" s="33" t="n">
        <v>45692</v>
      </c>
      <c r="B320" t="inlineStr">
        <is>
          <t>2025-02</t>
        </is>
      </c>
      <c r="C320" t="inlineStr">
        <is>
          <t>BAZÁN Y MUSSO SPA</t>
        </is>
      </c>
      <c r="D320" t="inlineStr">
        <is>
          <t>HORECA CAFETERIA</t>
        </is>
      </c>
      <c r="E320" s="34" t="n">
        <v>60000</v>
      </c>
      <c r="F320" t="inlineStr">
        <is>
          <t>F</t>
        </is>
      </c>
      <c r="G320" s="34" t="n">
        <v>9580</v>
      </c>
      <c r="H320" s="34" t="n">
        <v>50420</v>
      </c>
      <c r="I320" t="inlineStr">
        <is>
          <t>3.1</t>
        </is>
      </c>
      <c r="J320" t="inlineStr">
        <is>
          <t>Ventas HoReCa</t>
        </is>
      </c>
      <c r="K320" t="inlineStr">
        <is>
          <t>CH1</t>
        </is>
      </c>
    </row>
    <row r="321">
      <c r="A321" s="33" t="n">
        <v>45692</v>
      </c>
      <c r="B321" t="inlineStr">
        <is>
          <t>2025-02</t>
        </is>
      </c>
      <c r="C321" t="inlineStr">
        <is>
          <t>D&amp;S SERVICIOS DE ALIMENTACIÓN SpA</t>
        </is>
      </c>
      <c r="D321" t="inlineStr">
        <is>
          <t xml:space="preserve">THE COFFEE STORE </t>
        </is>
      </c>
      <c r="E321" s="34" t="n">
        <v>37977</v>
      </c>
      <c r="F321" t="inlineStr">
        <is>
          <t>F</t>
        </is>
      </c>
      <c r="G321" s="34" t="n">
        <v>6064</v>
      </c>
      <c r="H321" s="34" t="n">
        <v>31913</v>
      </c>
      <c r="I321" t="inlineStr">
        <is>
          <t>3.1</t>
        </is>
      </c>
      <c r="J321" t="inlineStr">
        <is>
          <t>Ventas HoReCa</t>
        </is>
      </c>
      <c r="K321" t="inlineStr">
        <is>
          <t>CH1</t>
        </is>
      </c>
    </row>
    <row r="322">
      <c r="A322" s="33" t="n">
        <v>45692</v>
      </c>
      <c r="B322" t="inlineStr">
        <is>
          <t>2025-02</t>
        </is>
      </c>
      <c r="C322" t="inlineStr">
        <is>
          <t>luz maria torm</t>
        </is>
      </c>
      <c r="D322" t="inlineStr">
        <is>
          <t>CANELÉ TRADICIONAL</t>
        </is>
      </c>
      <c r="E322" s="34" t="n">
        <v>26900</v>
      </c>
      <c r="F322" t="inlineStr">
        <is>
          <t>B</t>
        </is>
      </c>
      <c r="G322" s="34" t="n">
        <v>4295</v>
      </c>
      <c r="H322" s="34" t="n">
        <v>22605</v>
      </c>
      <c r="I322" t="inlineStr">
        <is>
          <t>3.2</t>
        </is>
      </c>
      <c r="J322" t="inlineStr">
        <is>
          <t>Ventas Personas (B2C)</t>
        </is>
      </c>
      <c r="K322" t="inlineStr">
        <is>
          <t>CH2</t>
        </is>
      </c>
    </row>
    <row r="323">
      <c r="A323" s="33" t="n">
        <v>45692</v>
      </c>
      <c r="B323" t="inlineStr">
        <is>
          <t>2025-02</t>
        </is>
      </c>
      <c r="C323" t="inlineStr">
        <is>
          <t>CLAUDIO FUENTES JARA</t>
        </is>
      </c>
      <c r="D323" t="inlineStr">
        <is>
          <t>CANELÉ TRADICIONAL</t>
        </is>
      </c>
      <c r="E323" s="34" t="n">
        <v>15900</v>
      </c>
      <c r="F323" t="inlineStr">
        <is>
          <t>B</t>
        </is>
      </c>
      <c r="G323" s="34" t="n">
        <v>2539</v>
      </c>
      <c r="H323" s="34" t="n">
        <v>13361</v>
      </c>
      <c r="I323" t="inlineStr">
        <is>
          <t>3.2</t>
        </is>
      </c>
      <c r="J323" t="inlineStr">
        <is>
          <t>Ventas Personas (B2C)</t>
        </is>
      </c>
      <c r="K323" t="inlineStr">
        <is>
          <t>CH2</t>
        </is>
      </c>
    </row>
    <row r="324">
      <c r="A324" s="33" t="n">
        <v>45692</v>
      </c>
      <c r="B324" t="inlineStr">
        <is>
          <t>2025-02</t>
        </is>
      </c>
      <c r="C324" t="inlineStr">
        <is>
          <t>Carolina Ubilla</t>
        </is>
      </c>
      <c r="D324" t="inlineStr">
        <is>
          <t>CANELÉ TRADICIONAL</t>
        </is>
      </c>
      <c r="E324" s="34" t="n">
        <v>18889</v>
      </c>
      <c r="F324" t="inlineStr">
        <is>
          <t>B</t>
        </is>
      </c>
      <c r="G324" s="34" t="n">
        <v>3016</v>
      </c>
      <c r="H324" s="34" t="n">
        <v>15873</v>
      </c>
      <c r="I324" t="inlineStr">
        <is>
          <t>3.2</t>
        </is>
      </c>
      <c r="J324" t="inlineStr">
        <is>
          <t>Ventas Personas (B2C)</t>
        </is>
      </c>
      <c r="K324" t="inlineStr">
        <is>
          <t>CH2</t>
        </is>
      </c>
    </row>
    <row r="325">
      <c r="A325" s="33" t="n">
        <v>45692</v>
      </c>
      <c r="B325" t="inlineStr">
        <is>
          <t>2025-02</t>
        </is>
      </c>
      <c r="C325" t="inlineStr">
        <is>
          <t>HUERTO SUR LIMITADA</t>
        </is>
      </c>
      <c r="D325" t="inlineStr">
        <is>
          <t>HORECA CAFETERIA</t>
        </is>
      </c>
      <c r="E325" s="34" t="n">
        <v>117790</v>
      </c>
      <c r="F325" t="inlineStr">
        <is>
          <t>F</t>
        </is>
      </c>
      <c r="G325" s="34" t="n">
        <v>18807</v>
      </c>
      <c r="H325" s="34" t="n">
        <v>98983</v>
      </c>
      <c r="I325" t="inlineStr">
        <is>
          <t>3.1</t>
        </is>
      </c>
      <c r="J325" t="inlineStr">
        <is>
          <t>Ventas HoReCa</t>
        </is>
      </c>
      <c r="K325" t="inlineStr">
        <is>
          <t>CH1</t>
        </is>
      </c>
    </row>
    <row r="326">
      <c r="A326" s="33" t="n">
        <v>45692</v>
      </c>
      <c r="B326" t="inlineStr">
        <is>
          <t>2025-02</t>
        </is>
      </c>
      <c r="C326" t="inlineStr">
        <is>
          <t>Sin cliente</t>
        </is>
      </c>
      <c r="D326" t="inlineStr">
        <is>
          <t>Petit Tradicional</t>
        </is>
      </c>
      <c r="E326" s="34" t="n">
        <v>10450</v>
      </c>
      <c r="F326" t="inlineStr">
        <is>
          <t>B</t>
        </is>
      </c>
      <c r="G326" s="34" t="n">
        <v>1668</v>
      </c>
      <c r="H326" s="34" t="n">
        <v>8782</v>
      </c>
      <c r="I326" t="inlineStr">
        <is>
          <t>3.2</t>
        </is>
      </c>
      <c r="J326" t="inlineStr">
        <is>
          <t>Ventas Personas (B2C)</t>
        </is>
      </c>
      <c r="K326" t="inlineStr">
        <is>
          <t>CH2</t>
        </is>
      </c>
    </row>
    <row r="327">
      <c r="A327" s="33" t="n">
        <v>45692</v>
      </c>
      <c r="B327" t="inlineStr">
        <is>
          <t>2025-02</t>
        </is>
      </c>
      <c r="C327" t="inlineStr">
        <is>
          <t>Sin cliente</t>
        </is>
      </c>
      <c r="D327" t="inlineStr">
        <is>
          <t>Petit Crunchy</t>
        </is>
      </c>
      <c r="E327" s="34" t="n">
        <v>11800</v>
      </c>
      <c r="F327" t="inlineStr">
        <is>
          <t>B</t>
        </is>
      </c>
      <c r="G327" s="34" t="n">
        <v>1884</v>
      </c>
      <c r="H327" s="34" t="n">
        <v>9916</v>
      </c>
      <c r="I327" t="inlineStr">
        <is>
          <t>3.2</t>
        </is>
      </c>
      <c r="J327" t="inlineStr">
        <is>
          <t>Ventas Personas (B2C)</t>
        </is>
      </c>
      <c r="K327" t="inlineStr">
        <is>
          <t>CH2</t>
        </is>
      </c>
    </row>
    <row r="328">
      <c r="A328" s="33" t="n">
        <v>45692</v>
      </c>
      <c r="B328" t="inlineStr">
        <is>
          <t>2025-02</t>
        </is>
      </c>
      <c r="C328" t="inlineStr">
        <is>
          <t>Sin cliente</t>
        </is>
      </c>
      <c r="D328" t="inlineStr">
        <is>
          <t>CANELÉ TRADICIONAL</t>
        </is>
      </c>
      <c r="E328" s="34" t="n">
        <v>19800</v>
      </c>
      <c r="F328" t="inlineStr">
        <is>
          <t>B</t>
        </is>
      </c>
      <c r="G328" s="34" t="n">
        <v>3161</v>
      </c>
      <c r="H328" s="34" t="n">
        <v>16639</v>
      </c>
      <c r="I328" t="inlineStr">
        <is>
          <t>3.2</t>
        </is>
      </c>
      <c r="J328" t="inlineStr">
        <is>
          <t>Ventas Personas (B2C)</t>
        </is>
      </c>
      <c r="K328" t="inlineStr">
        <is>
          <t>CH2</t>
        </is>
      </c>
    </row>
    <row r="329">
      <c r="A329" s="33" t="n">
        <v>45693</v>
      </c>
      <c r="B329" t="inlineStr">
        <is>
          <t>2025-02</t>
        </is>
      </c>
      <c r="C329" t="inlineStr">
        <is>
          <t>OPA SPA</t>
        </is>
      </c>
      <c r="D329" t="inlineStr">
        <is>
          <t>HORECA CAFETERIA</t>
        </is>
      </c>
      <c r="E329" s="34" t="n">
        <v>60000</v>
      </c>
      <c r="F329" t="inlineStr">
        <is>
          <t>F</t>
        </is>
      </c>
      <c r="G329" s="34" t="n">
        <v>9580</v>
      </c>
      <c r="H329" s="34" t="n">
        <v>50420</v>
      </c>
      <c r="I329" t="inlineStr">
        <is>
          <t>3.1</t>
        </is>
      </c>
      <c r="J329" t="inlineStr">
        <is>
          <t>Ventas HoReCa</t>
        </is>
      </c>
      <c r="K329" t="inlineStr">
        <is>
          <t>CH1</t>
        </is>
      </c>
    </row>
    <row r="330">
      <c r="A330" s="33" t="n">
        <v>45693</v>
      </c>
      <c r="B330" t="inlineStr">
        <is>
          <t>2025-02</t>
        </is>
      </c>
      <c r="C330" t="inlineStr">
        <is>
          <t>Nicolas PRIETO</t>
        </is>
      </c>
      <c r="D330" t="inlineStr">
        <is>
          <t>Rellenos</t>
        </is>
      </c>
      <c r="E330" s="34" t="n">
        <v>24700</v>
      </c>
      <c r="F330" t="inlineStr">
        <is>
          <t>B</t>
        </is>
      </c>
      <c r="G330" s="34" t="n">
        <v>3944</v>
      </c>
      <c r="H330" s="34" t="n">
        <v>20756</v>
      </c>
      <c r="I330" t="inlineStr">
        <is>
          <t>3.2</t>
        </is>
      </c>
      <c r="J330" t="inlineStr">
        <is>
          <t>Ventas Personas (B2C)</t>
        </is>
      </c>
      <c r="K330" t="inlineStr">
        <is>
          <t>CH2</t>
        </is>
      </c>
    </row>
    <row r="331">
      <c r="A331" s="33" t="n">
        <v>45693</v>
      </c>
      <c r="B331" t="inlineStr">
        <is>
          <t>2025-02</t>
        </is>
      </c>
      <c r="C331" t="inlineStr">
        <is>
          <t>Francisca Galaz Aguilar</t>
        </is>
      </c>
      <c r="D331" t="inlineStr">
        <is>
          <t>CANELÉ TRADICIONAL</t>
        </is>
      </c>
      <c r="E331" s="34" t="n">
        <v>32789</v>
      </c>
      <c r="F331" t="inlineStr">
        <is>
          <t>B</t>
        </is>
      </c>
      <c r="G331" s="34" t="n">
        <v>5235</v>
      </c>
      <c r="H331" s="34" t="n">
        <v>27554</v>
      </c>
      <c r="I331" t="inlineStr">
        <is>
          <t>3.2</t>
        </is>
      </c>
      <c r="J331" t="inlineStr">
        <is>
          <t>Ventas Personas (B2C)</t>
        </is>
      </c>
      <c r="K331" t="inlineStr">
        <is>
          <t>CH2</t>
        </is>
      </c>
    </row>
    <row r="332">
      <c r="A332" s="33" t="n">
        <v>45693</v>
      </c>
      <c r="B332" t="inlineStr">
        <is>
          <t>2025-02</t>
        </is>
      </c>
      <c r="C332" t="inlineStr">
        <is>
          <t>Sin cliente</t>
        </is>
      </c>
      <c r="D332" t="inlineStr">
        <is>
          <t>Productos Feria</t>
        </is>
      </c>
      <c r="E332" s="34" t="n">
        <v>9500</v>
      </c>
      <c r="F332" t="inlineStr">
        <is>
          <t>B</t>
        </is>
      </c>
      <c r="G332" s="34" t="n">
        <v>1517</v>
      </c>
      <c r="H332" s="34" t="n">
        <v>7983</v>
      </c>
      <c r="I332" t="inlineStr">
        <is>
          <t>3.5</t>
        </is>
      </c>
      <c r="J332" t="inlineStr">
        <is>
          <t>Ventas Ferias</t>
        </is>
      </c>
      <c r="K332" t="inlineStr">
        <is>
          <t>CH5</t>
        </is>
      </c>
    </row>
    <row r="333">
      <c r="A333" s="33" t="n">
        <v>45693</v>
      </c>
      <c r="B333" t="inlineStr">
        <is>
          <t>2025-02</t>
        </is>
      </c>
      <c r="C333" t="inlineStr">
        <is>
          <t>Sin cliente</t>
        </is>
      </c>
      <c r="D333" t="inlineStr">
        <is>
          <t>CANELÉ TRADICIONAL</t>
        </is>
      </c>
      <c r="E333" s="34" t="n">
        <v>21890</v>
      </c>
      <c r="F333" t="inlineStr">
        <is>
          <t>B</t>
        </is>
      </c>
      <c r="G333" s="34" t="n">
        <v>3495</v>
      </c>
      <c r="H333" s="34" t="n">
        <v>18395</v>
      </c>
      <c r="I333" t="inlineStr">
        <is>
          <t>3.2</t>
        </is>
      </c>
      <c r="J333" t="inlineStr">
        <is>
          <t>Ventas Personas (B2C)</t>
        </is>
      </c>
      <c r="K333" t="inlineStr">
        <is>
          <t>CH2</t>
        </is>
      </c>
    </row>
    <row r="334">
      <c r="A334" s="33" t="n">
        <v>45693</v>
      </c>
      <c r="B334" t="inlineStr">
        <is>
          <t>2025-02</t>
        </is>
      </c>
      <c r="C334" t="inlineStr">
        <is>
          <t>Sin cliente</t>
        </is>
      </c>
      <c r="D334" t="inlineStr">
        <is>
          <t>PLATAFORMAS RAP-PEYA-UBER-GOOD</t>
        </is>
      </c>
      <c r="E334" s="34" t="n">
        <v>12540</v>
      </c>
      <c r="F334" t="inlineStr">
        <is>
          <t>B</t>
        </is>
      </c>
      <c r="G334" s="34" t="n">
        <v>2002</v>
      </c>
      <c r="H334" s="34" t="n">
        <v>10538</v>
      </c>
      <c r="I334" t="inlineStr">
        <is>
          <t>3.6</t>
        </is>
      </c>
      <c r="J334" t="inlineStr">
        <is>
          <t>Ventas Delivery Apps</t>
        </is>
      </c>
      <c r="K334" t="inlineStr">
        <is>
          <t>CH3</t>
        </is>
      </c>
    </row>
    <row r="335">
      <c r="A335" s="33" t="n">
        <v>45693</v>
      </c>
      <c r="B335" t="inlineStr">
        <is>
          <t>2025-02</t>
        </is>
      </c>
      <c r="C335" t="inlineStr">
        <is>
          <t>Sin cliente</t>
        </is>
      </c>
      <c r="D335" t="inlineStr">
        <is>
          <t>PLATAFORMAS RAP-PEYA-UBER-GOOD</t>
        </is>
      </c>
      <c r="E335" s="34" t="n">
        <v>12540</v>
      </c>
      <c r="F335" t="inlineStr">
        <is>
          <t>B</t>
        </is>
      </c>
      <c r="G335" s="34" t="n">
        <v>2002</v>
      </c>
      <c r="H335" s="34" t="n">
        <v>10538</v>
      </c>
      <c r="I335" t="inlineStr">
        <is>
          <t>3.6</t>
        </is>
      </c>
      <c r="J335" t="inlineStr">
        <is>
          <t>Ventas Delivery Apps</t>
        </is>
      </c>
      <c r="K335" t="inlineStr">
        <is>
          <t>CH3</t>
        </is>
      </c>
    </row>
    <row r="336">
      <c r="A336" s="33" t="n">
        <v>45694</v>
      </c>
      <c r="B336" t="inlineStr">
        <is>
          <t>2025-02</t>
        </is>
      </c>
      <c r="C336" t="inlineStr">
        <is>
          <t>POMPON SPA</t>
        </is>
      </c>
      <c r="D336" t="inlineStr">
        <is>
          <t>HORECA CAFETERIA</t>
        </is>
      </c>
      <c r="E336" s="34" t="n">
        <v>91630</v>
      </c>
      <c r="F336" t="inlineStr">
        <is>
          <t>F</t>
        </is>
      </c>
      <c r="G336" s="34" t="n">
        <v>14630</v>
      </c>
      <c r="H336" s="34" t="n">
        <v>77000</v>
      </c>
      <c r="I336" t="inlineStr">
        <is>
          <t>3.1</t>
        </is>
      </c>
      <c r="J336" t="inlineStr">
        <is>
          <t>Ventas HoReCa</t>
        </is>
      </c>
      <c r="K336" t="inlineStr">
        <is>
          <t>CH1</t>
        </is>
      </c>
    </row>
    <row r="337">
      <c r="A337" s="33" t="n">
        <v>45694</v>
      </c>
      <c r="B337" t="inlineStr">
        <is>
          <t>2025-02</t>
        </is>
      </c>
      <c r="C337" t="inlineStr">
        <is>
          <t>CAFÉ UNDER SPA</t>
        </is>
      </c>
      <c r="D337" t="inlineStr">
        <is>
          <t>HORECA CAFETERIA</t>
        </is>
      </c>
      <c r="E337" s="34" t="n">
        <v>63990</v>
      </c>
      <c r="F337" t="inlineStr">
        <is>
          <t>F</t>
        </is>
      </c>
      <c r="G337" s="34" t="n">
        <v>10217</v>
      </c>
      <c r="H337" s="34" t="n">
        <v>53773</v>
      </c>
      <c r="I337" t="inlineStr">
        <is>
          <t>3.1</t>
        </is>
      </c>
      <c r="J337" t="inlineStr">
        <is>
          <t>Ventas HoReCa</t>
        </is>
      </c>
      <c r="K337" t="inlineStr">
        <is>
          <t>CH1</t>
        </is>
      </c>
    </row>
    <row r="338">
      <c r="A338" s="33" t="n">
        <v>45694</v>
      </c>
      <c r="B338" t="inlineStr">
        <is>
          <t>2025-02</t>
        </is>
      </c>
      <c r="C338" t="inlineStr">
        <is>
          <t>GALVEZ Y HEUSSER SPA</t>
        </is>
      </c>
      <c r="D338" t="inlineStr">
        <is>
          <t>HORECA CATERING</t>
        </is>
      </c>
      <c r="E338" s="34" t="n">
        <v>146371</v>
      </c>
      <c r="F338" t="inlineStr">
        <is>
          <t>F</t>
        </is>
      </c>
      <c r="G338" s="34" t="n">
        <v>23370</v>
      </c>
      <c r="H338" s="34" t="n">
        <v>123001</v>
      </c>
      <c r="I338" t="inlineStr">
        <is>
          <t>3.1</t>
        </is>
      </c>
      <c r="J338" t="inlineStr">
        <is>
          <t>Ventas HoReCa</t>
        </is>
      </c>
      <c r="K338" t="inlineStr">
        <is>
          <t>CH1</t>
        </is>
      </c>
    </row>
    <row r="339">
      <c r="A339" s="33" t="n">
        <v>45694</v>
      </c>
      <c r="B339" t="inlineStr">
        <is>
          <t>2025-02</t>
        </is>
      </c>
      <c r="C339" t="inlineStr">
        <is>
          <t>Julieta Rodríguez Valenzuela</t>
        </is>
      </c>
      <c r="D339" t="inlineStr">
        <is>
          <t>PACKS GOURMET</t>
        </is>
      </c>
      <c r="E339" s="34" t="n">
        <v>19800</v>
      </c>
      <c r="F339" t="inlineStr">
        <is>
          <t>B</t>
        </is>
      </c>
      <c r="G339" s="34" t="n">
        <v>3161</v>
      </c>
      <c r="H339" s="34" t="n">
        <v>16639</v>
      </c>
      <c r="I339" t="inlineStr">
        <is>
          <t>3.2</t>
        </is>
      </c>
      <c r="J339" t="inlineStr">
        <is>
          <t>Ventas Personas (B2C)</t>
        </is>
      </c>
      <c r="K339" t="inlineStr">
        <is>
          <t>CH2</t>
        </is>
      </c>
    </row>
    <row r="340">
      <c r="A340" s="33" t="n">
        <v>45694</v>
      </c>
      <c r="B340" t="inlineStr">
        <is>
          <t>2025-02</t>
        </is>
      </c>
      <c r="C340" t="inlineStr">
        <is>
          <t>Stephanie Vidal Acuña</t>
        </is>
      </c>
      <c r="D340" t="inlineStr">
        <is>
          <t>Petit Tradicional</t>
        </is>
      </c>
      <c r="E340" s="34" t="n">
        <v>37789</v>
      </c>
      <c r="F340" t="inlineStr">
        <is>
          <t>B</t>
        </is>
      </c>
      <c r="G340" s="34" t="n">
        <v>6034</v>
      </c>
      <c r="H340" s="34" t="n">
        <v>31755</v>
      </c>
      <c r="I340" t="inlineStr">
        <is>
          <t>3.2</t>
        </is>
      </c>
      <c r="J340" t="inlineStr">
        <is>
          <t>Ventas Personas (B2C)</t>
        </is>
      </c>
      <c r="K340" t="inlineStr">
        <is>
          <t>CH2</t>
        </is>
      </c>
    </row>
    <row r="341">
      <c r="A341" s="33" t="n">
        <v>45694</v>
      </c>
      <c r="B341" t="inlineStr">
        <is>
          <t>2025-02</t>
        </is>
      </c>
      <c r="C341" t="inlineStr">
        <is>
          <t>Sin cliente</t>
        </is>
      </c>
      <c r="D341" t="inlineStr">
        <is>
          <t>Mix Sabores</t>
        </is>
      </c>
      <c r="E341" s="34" t="n">
        <v>22800</v>
      </c>
      <c r="F341" t="inlineStr">
        <is>
          <t>B</t>
        </is>
      </c>
      <c r="G341" s="34" t="n">
        <v>3640</v>
      </c>
      <c r="H341" s="34" t="n">
        <v>19160</v>
      </c>
      <c r="I341" t="inlineStr">
        <is>
          <t>3.2</t>
        </is>
      </c>
      <c r="J341" t="inlineStr">
        <is>
          <t>Ventas Personas (B2C)</t>
        </is>
      </c>
      <c r="K341" t="inlineStr">
        <is>
          <t>CH2</t>
        </is>
      </c>
    </row>
    <row r="342">
      <c r="A342" s="33" t="n">
        <v>45694</v>
      </c>
      <c r="B342" t="inlineStr">
        <is>
          <t>2025-02</t>
        </is>
      </c>
      <c r="C342" t="inlineStr">
        <is>
          <t>Sin cliente</t>
        </is>
      </c>
      <c r="D342" t="inlineStr">
        <is>
          <t>CANELÉ TRADICIONAL</t>
        </is>
      </c>
      <c r="E342" s="34" t="n">
        <v>19800</v>
      </c>
      <c r="F342" t="inlineStr">
        <is>
          <t>B</t>
        </is>
      </c>
      <c r="G342" s="34" t="n">
        <v>3161</v>
      </c>
      <c r="H342" s="34" t="n">
        <v>16639</v>
      </c>
      <c r="I342" t="inlineStr">
        <is>
          <t>3.2</t>
        </is>
      </c>
      <c r="J342" t="inlineStr">
        <is>
          <t>Ventas Personas (B2C)</t>
        </is>
      </c>
      <c r="K342" t="inlineStr">
        <is>
          <t>CH2</t>
        </is>
      </c>
    </row>
    <row r="343">
      <c r="A343" s="33" t="n">
        <v>45694</v>
      </c>
      <c r="B343" t="inlineStr">
        <is>
          <t>2025-02</t>
        </is>
      </c>
      <c r="C343" t="inlineStr">
        <is>
          <t>Andrea Gallardo</t>
        </is>
      </c>
      <c r="D343" t="inlineStr">
        <is>
          <t>Rellenos</t>
        </is>
      </c>
      <c r="E343" s="34" t="n">
        <v>24889</v>
      </c>
      <c r="F343" t="inlineStr">
        <is>
          <t>B</t>
        </is>
      </c>
      <c r="G343" s="34" t="n">
        <v>3974</v>
      </c>
      <c r="H343" s="34" t="n">
        <v>20915</v>
      </c>
      <c r="I343" t="inlineStr">
        <is>
          <t>3.2</t>
        </is>
      </c>
      <c r="J343" t="inlineStr">
        <is>
          <t>Ventas Personas (B2C)</t>
        </is>
      </c>
      <c r="K343" t="inlineStr">
        <is>
          <t>CH2</t>
        </is>
      </c>
    </row>
    <row r="344">
      <c r="A344" s="33" t="n">
        <v>45694</v>
      </c>
      <c r="B344" t="inlineStr">
        <is>
          <t>2025-02</t>
        </is>
      </c>
      <c r="C344" t="inlineStr">
        <is>
          <t>Sin cliente</t>
        </is>
      </c>
      <c r="D344" t="inlineStr">
        <is>
          <t>CANELÉ TRADICIONAL</t>
        </is>
      </c>
      <c r="E344" s="34" t="n">
        <v>5000</v>
      </c>
      <c r="F344" t="inlineStr">
        <is>
          <t>B</t>
        </is>
      </c>
      <c r="G344" s="34" t="n">
        <v>798</v>
      </c>
      <c r="H344" s="34" t="n">
        <v>4202</v>
      </c>
      <c r="I344" t="inlineStr">
        <is>
          <t>3.2</t>
        </is>
      </c>
      <c r="J344" t="inlineStr">
        <is>
          <t>Ventas Personas (B2C)</t>
        </is>
      </c>
      <c r="K344" t="inlineStr">
        <is>
          <t>CH2</t>
        </is>
      </c>
    </row>
    <row r="345">
      <c r="A345" s="33" t="n">
        <v>45694</v>
      </c>
      <c r="B345" t="inlineStr">
        <is>
          <t>2025-02</t>
        </is>
      </c>
      <c r="C345" t="inlineStr">
        <is>
          <t>Sin cliente</t>
        </is>
      </c>
      <c r="D345" t="inlineStr">
        <is>
          <t>Delicatessen</t>
        </is>
      </c>
      <c r="E345" s="34" t="n">
        <v>27690</v>
      </c>
      <c r="F345" t="inlineStr">
        <is>
          <t>B</t>
        </is>
      </c>
      <c r="G345" s="34" t="n">
        <v>4421</v>
      </c>
      <c r="H345" s="34" t="n">
        <v>23269</v>
      </c>
      <c r="I345" t="inlineStr">
        <is>
          <t>3.2</t>
        </is>
      </c>
      <c r="J345" t="inlineStr">
        <is>
          <t>Ventas Personas (B2C)</t>
        </is>
      </c>
      <c r="K345" t="inlineStr">
        <is>
          <t>CH2</t>
        </is>
      </c>
    </row>
    <row r="346">
      <c r="A346" s="33" t="n">
        <v>45694</v>
      </c>
      <c r="B346" t="inlineStr">
        <is>
          <t>2025-02</t>
        </is>
      </c>
      <c r="C346" t="inlineStr">
        <is>
          <t>Hernan Sangüeza</t>
        </is>
      </c>
      <c r="D346" t="inlineStr">
        <is>
          <t>CANELE SIN AZUCAR</t>
        </is>
      </c>
      <c r="E346" s="34" t="n">
        <v>16900</v>
      </c>
      <c r="F346" t="inlineStr">
        <is>
          <t>B</t>
        </is>
      </c>
      <c r="G346" s="34" t="n">
        <v>2698</v>
      </c>
      <c r="H346" s="34" t="n">
        <v>14202</v>
      </c>
      <c r="I346" t="inlineStr">
        <is>
          <t>3.2</t>
        </is>
      </c>
      <c r="J346" t="inlineStr">
        <is>
          <t>Ventas Personas (B2C)</t>
        </is>
      </c>
      <c r="K346" t="inlineStr">
        <is>
          <t>CH2</t>
        </is>
      </c>
    </row>
    <row r="347">
      <c r="A347" s="33" t="n">
        <v>45694</v>
      </c>
      <c r="B347" t="inlineStr">
        <is>
          <t>2025-02</t>
        </is>
      </c>
      <c r="C347" t="inlineStr">
        <is>
          <t>José Tomás Ubilla</t>
        </is>
      </c>
      <c r="D347" t="inlineStr">
        <is>
          <t>PACKS GOURMET</t>
        </is>
      </c>
      <c r="E347" s="34" t="n">
        <v>24790</v>
      </c>
      <c r="F347" t="inlineStr">
        <is>
          <t>B</t>
        </is>
      </c>
      <c r="G347" s="34" t="n">
        <v>3958</v>
      </c>
      <c r="H347" s="34" t="n">
        <v>20832</v>
      </c>
      <c r="I347" t="inlineStr">
        <is>
          <t>3.2</t>
        </is>
      </c>
      <c r="J347" t="inlineStr">
        <is>
          <t>Ventas Personas (B2C)</t>
        </is>
      </c>
      <c r="K347" t="inlineStr">
        <is>
          <t>CH2</t>
        </is>
      </c>
    </row>
    <row r="348">
      <c r="A348" s="33" t="n">
        <v>45694</v>
      </c>
      <c r="B348" t="inlineStr">
        <is>
          <t>2025-02</t>
        </is>
      </c>
      <c r="C348" t="inlineStr">
        <is>
          <t>Nicol Rojas</t>
        </is>
      </c>
      <c r="D348" t="inlineStr">
        <is>
          <t>Delicatessen</t>
        </is>
      </c>
      <c r="E348" s="34" t="n">
        <v>31880</v>
      </c>
      <c r="F348" t="inlineStr">
        <is>
          <t>B</t>
        </is>
      </c>
      <c r="G348" s="34" t="n">
        <v>5090</v>
      </c>
      <c r="H348" s="34" t="n">
        <v>26790</v>
      </c>
      <c r="I348" t="inlineStr">
        <is>
          <t>3.2</t>
        </is>
      </c>
      <c r="J348" t="inlineStr">
        <is>
          <t>Ventas Personas (B2C)</t>
        </is>
      </c>
      <c r="K348" t="inlineStr">
        <is>
          <t>CH2</t>
        </is>
      </c>
    </row>
    <row r="349">
      <c r="A349" s="33" t="n">
        <v>45694</v>
      </c>
      <c r="B349" t="inlineStr">
        <is>
          <t>2025-02</t>
        </is>
      </c>
      <c r="C349" t="inlineStr">
        <is>
          <t>BLUE OAK COFFE SPA</t>
        </is>
      </c>
      <c r="D349" t="inlineStr">
        <is>
          <t>HORECA CAFETERIA</t>
        </is>
      </c>
      <c r="E349" s="34" t="n">
        <v>149726</v>
      </c>
      <c r="F349" t="inlineStr">
        <is>
          <t>F</t>
        </is>
      </c>
      <c r="G349" s="34" t="n">
        <v>23906</v>
      </c>
      <c r="H349" s="34" t="n">
        <v>125820</v>
      </c>
      <c r="I349" t="inlineStr">
        <is>
          <t>3.1</t>
        </is>
      </c>
      <c r="J349" t="inlineStr">
        <is>
          <t>Ventas HoReCa</t>
        </is>
      </c>
      <c r="K349" t="inlineStr">
        <is>
          <t>CH1</t>
        </is>
      </c>
    </row>
    <row r="350">
      <c r="A350" s="33" t="n">
        <v>45695</v>
      </c>
      <c r="B350" t="inlineStr">
        <is>
          <t>2025-02</t>
        </is>
      </c>
      <c r="C350" t="inlineStr">
        <is>
          <t>Antonia Woldarsky</t>
        </is>
      </c>
      <c r="D350" t="inlineStr">
        <is>
          <t>CANELÉ TRADICIONAL</t>
        </is>
      </c>
      <c r="E350" s="34" t="n">
        <v>62790</v>
      </c>
      <c r="F350" t="inlineStr">
        <is>
          <t>B</t>
        </is>
      </c>
      <c r="G350" s="34" t="n">
        <v>10025</v>
      </c>
      <c r="H350" s="34" t="n">
        <v>52765</v>
      </c>
      <c r="I350" t="inlineStr">
        <is>
          <t>3.2</t>
        </is>
      </c>
      <c r="J350" t="inlineStr">
        <is>
          <t>Ventas Personas (B2C)</t>
        </is>
      </c>
      <c r="K350" t="inlineStr">
        <is>
          <t>CH2</t>
        </is>
      </c>
    </row>
    <row r="351">
      <c r="A351" s="33" t="n">
        <v>45695</v>
      </c>
      <c r="B351" t="inlineStr">
        <is>
          <t>2025-02</t>
        </is>
      </c>
      <c r="C351" t="inlineStr">
        <is>
          <t>Sociedad de inversiones solari y acuña spa</t>
        </is>
      </c>
      <c r="D351" t="inlineStr">
        <is>
          <t>HORECA CAFETERIA</t>
        </is>
      </c>
      <c r="E351" s="34" t="n">
        <v>140682</v>
      </c>
      <c r="F351" t="inlineStr">
        <is>
          <t>F</t>
        </is>
      </c>
      <c r="G351" s="34" t="n">
        <v>22462</v>
      </c>
      <c r="H351" s="34" t="n">
        <v>118220</v>
      </c>
      <c r="I351" t="inlineStr">
        <is>
          <t>3.1</t>
        </is>
      </c>
      <c r="J351" t="inlineStr">
        <is>
          <t>Ventas HoReCa</t>
        </is>
      </c>
      <c r="K351" t="inlineStr">
        <is>
          <t>CH1</t>
        </is>
      </c>
    </row>
    <row r="352">
      <c r="A352" s="33" t="n">
        <v>45695</v>
      </c>
      <c r="B352" t="inlineStr">
        <is>
          <t>2025-02</t>
        </is>
      </c>
      <c r="C352" t="inlineStr">
        <is>
          <t>Myrna Gracia Manzano</t>
        </is>
      </c>
      <c r="D352" t="inlineStr">
        <is>
          <t>Petit Crunchy</t>
        </is>
      </c>
      <c r="E352" s="34" t="n">
        <v>68590</v>
      </c>
      <c r="F352" t="inlineStr">
        <is>
          <t>B</t>
        </is>
      </c>
      <c r="G352" s="34" t="n">
        <v>10951</v>
      </c>
      <c r="H352" s="34" t="n">
        <v>57639</v>
      </c>
      <c r="I352" t="inlineStr">
        <is>
          <t>3.2</t>
        </is>
      </c>
      <c r="J352" t="inlineStr">
        <is>
          <t>Ventas Personas (B2C)</t>
        </is>
      </c>
      <c r="K352" t="inlineStr">
        <is>
          <t>CH2</t>
        </is>
      </c>
    </row>
    <row r="353">
      <c r="A353" s="33" t="n">
        <v>45695</v>
      </c>
      <c r="B353" t="inlineStr">
        <is>
          <t>2025-02</t>
        </is>
      </c>
      <c r="C353" t="inlineStr">
        <is>
          <t>Camila Fantoni</t>
        </is>
      </c>
      <c r="D353" t="inlineStr">
        <is>
          <t>Petit Crunchy</t>
        </is>
      </c>
      <c r="E353" s="34" t="n">
        <v>26299</v>
      </c>
      <c r="F353" t="inlineStr">
        <is>
          <t>B</t>
        </is>
      </c>
      <c r="G353" s="34" t="n">
        <v>4199</v>
      </c>
      <c r="H353" s="34" t="n">
        <v>22100</v>
      </c>
      <c r="I353" t="inlineStr">
        <is>
          <t>3.2</t>
        </is>
      </c>
      <c r="J353" t="inlineStr">
        <is>
          <t>Ventas Personas (B2C)</t>
        </is>
      </c>
      <c r="K353" t="inlineStr">
        <is>
          <t>CH2</t>
        </is>
      </c>
    </row>
    <row r="354">
      <c r="A354" s="33" t="n">
        <v>45695</v>
      </c>
      <c r="B354" t="inlineStr">
        <is>
          <t>2025-02</t>
        </is>
      </c>
      <c r="C354" t="inlineStr">
        <is>
          <t>Sin cliente</t>
        </is>
      </c>
      <c r="D354" t="inlineStr">
        <is>
          <t>CANELÉ TRADICIONAL</t>
        </is>
      </c>
      <c r="E354" s="34" t="n">
        <v>13900</v>
      </c>
      <c r="F354" t="inlineStr">
        <is>
          <t>B</t>
        </is>
      </c>
      <c r="G354" s="34" t="n">
        <v>2219</v>
      </c>
      <c r="H354" s="34" t="n">
        <v>11681</v>
      </c>
      <c r="I354" t="inlineStr">
        <is>
          <t>3.2</t>
        </is>
      </c>
      <c r="J354" t="inlineStr">
        <is>
          <t>Ventas Personas (B2C)</t>
        </is>
      </c>
      <c r="K354" t="inlineStr">
        <is>
          <t>CH2</t>
        </is>
      </c>
    </row>
    <row r="355">
      <c r="A355" s="33" t="n">
        <v>45695</v>
      </c>
      <c r="B355" t="inlineStr">
        <is>
          <t>2025-02</t>
        </is>
      </c>
      <c r="C355" t="inlineStr">
        <is>
          <t>Sin cliente</t>
        </is>
      </c>
      <c r="D355" t="inlineStr">
        <is>
          <t>Delicatessen</t>
        </is>
      </c>
      <c r="E355" s="34" t="n">
        <v>7990</v>
      </c>
      <c r="F355" t="inlineStr">
        <is>
          <t>B</t>
        </is>
      </c>
      <c r="G355" s="34" t="n">
        <v>1276</v>
      </c>
      <c r="H355" s="34" t="n">
        <v>6714</v>
      </c>
      <c r="I355" t="inlineStr">
        <is>
          <t>3.2</t>
        </is>
      </c>
      <c r="J355" t="inlineStr">
        <is>
          <t>Ventas Personas (B2C)</t>
        </is>
      </c>
      <c r="K355" t="inlineStr">
        <is>
          <t>CH2</t>
        </is>
      </c>
    </row>
    <row r="356">
      <c r="A356" s="33" t="n">
        <v>45695</v>
      </c>
      <c r="B356" t="inlineStr">
        <is>
          <t>2025-02</t>
        </is>
      </c>
      <c r="C356" t="inlineStr">
        <is>
          <t>Sin cliente</t>
        </is>
      </c>
      <c r="D356" t="inlineStr">
        <is>
          <t>CANELÉ TRADICIONAL</t>
        </is>
      </c>
      <c r="E356" s="34" t="n">
        <v>20800</v>
      </c>
      <c r="F356" t="inlineStr">
        <is>
          <t>B</t>
        </is>
      </c>
      <c r="G356" s="34" t="n">
        <v>3321</v>
      </c>
      <c r="H356" s="34" t="n">
        <v>17479</v>
      </c>
      <c r="I356" t="inlineStr">
        <is>
          <t>3.2</t>
        </is>
      </c>
      <c r="J356" t="inlineStr">
        <is>
          <t>Ventas Personas (B2C)</t>
        </is>
      </c>
      <c r="K356" t="inlineStr">
        <is>
          <t>CH2</t>
        </is>
      </c>
    </row>
    <row r="357">
      <c r="A357" s="33" t="n">
        <v>45695</v>
      </c>
      <c r="B357" t="inlineStr">
        <is>
          <t>2025-02</t>
        </is>
      </c>
      <c r="C357" t="inlineStr">
        <is>
          <t>Sin cliente</t>
        </is>
      </c>
      <c r="D357" t="inlineStr">
        <is>
          <t>Delicatessen</t>
        </is>
      </c>
      <c r="E357" s="34" t="n">
        <v>32690</v>
      </c>
      <c r="F357" t="inlineStr">
        <is>
          <t>B</t>
        </is>
      </c>
      <c r="G357" s="34" t="n">
        <v>5219</v>
      </c>
      <c r="H357" s="34" t="n">
        <v>27471</v>
      </c>
      <c r="I357" t="inlineStr">
        <is>
          <t>3.2</t>
        </is>
      </c>
      <c r="J357" t="inlineStr">
        <is>
          <t>Ventas Personas (B2C)</t>
        </is>
      </c>
      <c r="K357" t="inlineStr">
        <is>
          <t>CH2</t>
        </is>
      </c>
    </row>
    <row r="358">
      <c r="A358" s="33" t="n">
        <v>45695</v>
      </c>
      <c r="B358" t="inlineStr">
        <is>
          <t>2025-02</t>
        </is>
      </c>
      <c r="C358" t="inlineStr">
        <is>
          <t>Sin cliente</t>
        </is>
      </c>
      <c r="D358" t="inlineStr">
        <is>
          <t>Petit Tradicional</t>
        </is>
      </c>
      <c r="E358" s="34" t="n">
        <v>25900</v>
      </c>
      <c r="F358" t="inlineStr">
        <is>
          <t>B</t>
        </is>
      </c>
      <c r="G358" s="34" t="n">
        <v>4135</v>
      </c>
      <c r="H358" s="34" t="n">
        <v>21765</v>
      </c>
      <c r="I358" t="inlineStr">
        <is>
          <t>3.2</t>
        </is>
      </c>
      <c r="J358" t="inlineStr">
        <is>
          <t>Ventas Personas (B2C)</t>
        </is>
      </c>
      <c r="K358" t="inlineStr">
        <is>
          <t>CH2</t>
        </is>
      </c>
    </row>
    <row r="359">
      <c r="A359" s="33" t="n">
        <v>45695</v>
      </c>
      <c r="B359" t="inlineStr">
        <is>
          <t>2025-02</t>
        </is>
      </c>
      <c r="C359" t="inlineStr">
        <is>
          <t>Mariana Santelices</t>
        </is>
      </c>
      <c r="D359" t="inlineStr">
        <is>
          <t>Petit Tradicional</t>
        </is>
      </c>
      <c r="E359" s="34" t="n">
        <v>15790</v>
      </c>
      <c r="F359" t="inlineStr">
        <is>
          <t>B</t>
        </is>
      </c>
      <c r="G359" s="34" t="n">
        <v>2521</v>
      </c>
      <c r="H359" s="34" t="n">
        <v>13269</v>
      </c>
      <c r="I359" t="inlineStr">
        <is>
          <t>3.2</t>
        </is>
      </c>
      <c r="J359" t="inlineStr">
        <is>
          <t>Ventas Personas (B2C)</t>
        </is>
      </c>
      <c r="K359" t="inlineStr">
        <is>
          <t>CH2</t>
        </is>
      </c>
    </row>
    <row r="360">
      <c r="A360" s="33" t="n">
        <v>45695</v>
      </c>
      <c r="B360" t="inlineStr">
        <is>
          <t>2025-02</t>
        </is>
      </c>
      <c r="C360" t="inlineStr">
        <is>
          <t>Sin cliente</t>
        </is>
      </c>
      <c r="D360" t="inlineStr">
        <is>
          <t>CANELÉ TRADICIONAL</t>
        </is>
      </c>
      <c r="E360" s="34" t="n">
        <v>18900</v>
      </c>
      <c r="F360" t="inlineStr">
        <is>
          <t>B</t>
        </is>
      </c>
      <c r="G360" s="34" t="n">
        <v>3018</v>
      </c>
      <c r="H360" s="34" t="n">
        <v>15882</v>
      </c>
      <c r="I360" t="inlineStr">
        <is>
          <t>3.2</t>
        </is>
      </c>
      <c r="J360" t="inlineStr">
        <is>
          <t>Ventas Personas (B2C)</t>
        </is>
      </c>
      <c r="K360" t="inlineStr">
        <is>
          <t>CH2</t>
        </is>
      </c>
    </row>
    <row r="361">
      <c r="A361" s="33" t="n">
        <v>45695</v>
      </c>
      <c r="B361" t="inlineStr">
        <is>
          <t>2025-02</t>
        </is>
      </c>
      <c r="C361" t="inlineStr">
        <is>
          <t>Patricia Hormazabal</t>
        </is>
      </c>
      <c r="D361" t="inlineStr">
        <is>
          <t>Petit Tradicional</t>
        </is>
      </c>
      <c r="E361" s="34" t="n">
        <v>31689</v>
      </c>
      <c r="F361" t="inlineStr">
        <is>
          <t>B</t>
        </is>
      </c>
      <c r="G361" s="34" t="n">
        <v>5060</v>
      </c>
      <c r="H361" s="34" t="n">
        <v>26629</v>
      </c>
      <c r="I361" t="inlineStr">
        <is>
          <t>3.2</t>
        </is>
      </c>
      <c r="J361" t="inlineStr">
        <is>
          <t>Ventas Personas (B2C)</t>
        </is>
      </c>
      <c r="K361" t="inlineStr">
        <is>
          <t>CH2</t>
        </is>
      </c>
    </row>
    <row r="362">
      <c r="A362" s="33" t="n">
        <v>45696</v>
      </c>
      <c r="B362" t="inlineStr">
        <is>
          <t>2025-02</t>
        </is>
      </c>
      <c r="C362" t="inlineStr">
        <is>
          <t>Lisseth Chavez</t>
        </is>
      </c>
      <c r="D362" t="inlineStr">
        <is>
          <t>CANELÉ TRADICIONAL</t>
        </is>
      </c>
      <c r="E362" s="34" t="n">
        <v>19800</v>
      </c>
      <c r="F362" t="inlineStr">
        <is>
          <t>B</t>
        </is>
      </c>
      <c r="G362" s="34" t="n">
        <v>3161</v>
      </c>
      <c r="H362" s="34" t="n">
        <v>16639</v>
      </c>
      <c r="I362" t="inlineStr">
        <is>
          <t>3.2</t>
        </is>
      </c>
      <c r="J362" t="inlineStr">
        <is>
          <t>Ventas Personas (B2C)</t>
        </is>
      </c>
      <c r="K362" t="inlineStr">
        <is>
          <t>CH2</t>
        </is>
      </c>
    </row>
    <row r="363">
      <c r="A363" s="33" t="n">
        <v>45696</v>
      </c>
      <c r="B363" t="inlineStr">
        <is>
          <t>2025-02</t>
        </is>
      </c>
      <c r="C363" t="inlineStr">
        <is>
          <t>Mariana Santelices</t>
        </is>
      </c>
      <c r="D363" t="inlineStr">
        <is>
          <t>PACKS GOURMET</t>
        </is>
      </c>
      <c r="E363" s="34" t="n">
        <v>26990</v>
      </c>
      <c r="F363" t="inlineStr">
        <is>
          <t>B</t>
        </is>
      </c>
      <c r="G363" s="34" t="n">
        <v>4309</v>
      </c>
      <c r="H363" s="34" t="n">
        <v>22681</v>
      </c>
      <c r="I363" t="inlineStr">
        <is>
          <t>3.2</t>
        </is>
      </c>
      <c r="J363" t="inlineStr">
        <is>
          <t>Ventas Personas (B2C)</t>
        </is>
      </c>
      <c r="K363" t="inlineStr">
        <is>
          <t>CH2</t>
        </is>
      </c>
    </row>
    <row r="364">
      <c r="A364" s="33" t="n">
        <v>45696</v>
      </c>
      <c r="B364" t="inlineStr">
        <is>
          <t>2025-02</t>
        </is>
      </c>
      <c r="C364" t="inlineStr">
        <is>
          <t>Sin cliente</t>
        </is>
      </c>
      <c r="D364" t="inlineStr">
        <is>
          <t>Petit Tradicional</t>
        </is>
      </c>
      <c r="E364" s="34" t="n">
        <v>20900</v>
      </c>
      <c r="F364" t="inlineStr">
        <is>
          <t>B</t>
        </is>
      </c>
      <c r="G364" s="34" t="n">
        <v>3337</v>
      </c>
      <c r="H364" s="34" t="n">
        <v>17563</v>
      </c>
      <c r="I364" t="inlineStr">
        <is>
          <t>3.2</t>
        </is>
      </c>
      <c r="J364" t="inlineStr">
        <is>
          <t>Ventas Personas (B2C)</t>
        </is>
      </c>
      <c r="K364" t="inlineStr">
        <is>
          <t>CH2</t>
        </is>
      </c>
    </row>
    <row r="365">
      <c r="A365" s="33" t="n">
        <v>45696</v>
      </c>
      <c r="B365" t="inlineStr">
        <is>
          <t>2025-02</t>
        </is>
      </c>
      <c r="C365" t="inlineStr">
        <is>
          <t>Sin cliente</t>
        </is>
      </c>
      <c r="D365" t="inlineStr">
        <is>
          <t>CANELÉ TRADICIONAL</t>
        </is>
      </c>
      <c r="E365" s="34" t="n">
        <v>19800</v>
      </c>
      <c r="F365" t="inlineStr">
        <is>
          <t>B</t>
        </is>
      </c>
      <c r="G365" s="34" t="n">
        <v>3161</v>
      </c>
      <c r="H365" s="34" t="n">
        <v>16639</v>
      </c>
      <c r="I365" t="inlineStr">
        <is>
          <t>3.2</t>
        </is>
      </c>
      <c r="J365" t="inlineStr">
        <is>
          <t>Ventas Personas (B2C)</t>
        </is>
      </c>
      <c r="K365" t="inlineStr">
        <is>
          <t>CH2</t>
        </is>
      </c>
    </row>
    <row r="366">
      <c r="A366" s="33" t="n">
        <v>45696</v>
      </c>
      <c r="B366" t="inlineStr">
        <is>
          <t>2025-02</t>
        </is>
      </c>
      <c r="C366" t="inlineStr">
        <is>
          <t>Constanza Parra</t>
        </is>
      </c>
      <c r="D366" t="inlineStr">
        <is>
          <t>Petit Crunchy</t>
        </is>
      </c>
      <c r="E366" s="34" t="n">
        <v>16790</v>
      </c>
      <c r="F366" t="inlineStr">
        <is>
          <t>B</t>
        </is>
      </c>
      <c r="G366" s="34" t="n">
        <v>2681</v>
      </c>
      <c r="H366" s="34" t="n">
        <v>14109</v>
      </c>
      <c r="I366" t="inlineStr">
        <is>
          <t>3.2</t>
        </is>
      </c>
      <c r="J366" t="inlineStr">
        <is>
          <t>Ventas Personas (B2C)</t>
        </is>
      </c>
      <c r="K366" t="inlineStr">
        <is>
          <t>CH2</t>
        </is>
      </c>
    </row>
    <row r="367">
      <c r="A367" s="33" t="n">
        <v>45696</v>
      </c>
      <c r="B367" t="inlineStr">
        <is>
          <t>2025-02</t>
        </is>
      </c>
      <c r="C367" t="inlineStr">
        <is>
          <t>Sin cliente</t>
        </is>
      </c>
      <c r="D367" t="inlineStr">
        <is>
          <t>CANELÉ TRADICIONAL</t>
        </is>
      </c>
      <c r="E367" s="34" t="n">
        <v>13900</v>
      </c>
      <c r="F367" t="inlineStr">
        <is>
          <t>B</t>
        </is>
      </c>
      <c r="G367" s="34" t="n">
        <v>2219</v>
      </c>
      <c r="H367" s="34" t="n">
        <v>11681</v>
      </c>
      <c r="I367" t="inlineStr">
        <is>
          <t>3.2</t>
        </is>
      </c>
      <c r="J367" t="inlineStr">
        <is>
          <t>Ventas Personas (B2C)</t>
        </is>
      </c>
      <c r="K367" t="inlineStr">
        <is>
          <t>CH2</t>
        </is>
      </c>
    </row>
    <row r="368">
      <c r="A368" s="33" t="n">
        <v>45696</v>
      </c>
      <c r="B368" t="inlineStr">
        <is>
          <t>2025-02</t>
        </is>
      </c>
      <c r="C368" t="inlineStr">
        <is>
          <t>Sin cliente</t>
        </is>
      </c>
      <c r="D368" t="inlineStr">
        <is>
          <t>Petit Tradicional</t>
        </is>
      </c>
      <c r="E368" s="34" t="n">
        <v>20900</v>
      </c>
      <c r="F368" t="inlineStr">
        <is>
          <t>B</t>
        </is>
      </c>
      <c r="G368" s="34" t="n">
        <v>3337</v>
      </c>
      <c r="H368" s="34" t="n">
        <v>17563</v>
      </c>
      <c r="I368" t="inlineStr">
        <is>
          <t>3.2</t>
        </is>
      </c>
      <c r="J368" t="inlineStr">
        <is>
          <t>Ventas Personas (B2C)</t>
        </is>
      </c>
      <c r="K368" t="inlineStr">
        <is>
          <t>CH2</t>
        </is>
      </c>
    </row>
    <row r="369">
      <c r="A369" s="33" t="n">
        <v>45696</v>
      </c>
      <c r="B369" t="inlineStr">
        <is>
          <t>2025-02</t>
        </is>
      </c>
      <c r="C369" t="inlineStr">
        <is>
          <t>Paula Castellano Larrondo</t>
        </is>
      </c>
      <c r="D369" t="inlineStr">
        <is>
          <t>PACKS GOURMET</t>
        </is>
      </c>
      <c r="E369" s="34" t="n">
        <v>19800</v>
      </c>
      <c r="F369" t="inlineStr">
        <is>
          <t>B</t>
        </is>
      </c>
      <c r="G369" s="34" t="n">
        <v>3161</v>
      </c>
      <c r="H369" s="34" t="n">
        <v>16639</v>
      </c>
      <c r="I369" t="inlineStr">
        <is>
          <t>3.2</t>
        </is>
      </c>
      <c r="J369" t="inlineStr">
        <is>
          <t>Ventas Personas (B2C)</t>
        </is>
      </c>
      <c r="K369" t="inlineStr">
        <is>
          <t>CH2</t>
        </is>
      </c>
    </row>
    <row r="370">
      <c r="A370" s="33" t="n">
        <v>45697</v>
      </c>
      <c r="B370" t="inlineStr">
        <is>
          <t>2025-02</t>
        </is>
      </c>
      <c r="C370" t="inlineStr">
        <is>
          <t>Leonardo Lourtau</t>
        </is>
      </c>
      <c r="D370" t="inlineStr">
        <is>
          <t>Petit Crunchy</t>
        </is>
      </c>
      <c r="E370" s="34" t="n">
        <v>30890</v>
      </c>
      <c r="F370" t="inlineStr">
        <is>
          <t>B</t>
        </is>
      </c>
      <c r="G370" s="34" t="n">
        <v>4932</v>
      </c>
      <c r="H370" s="34" t="n">
        <v>25958</v>
      </c>
      <c r="I370" t="inlineStr">
        <is>
          <t>3.2</t>
        </is>
      </c>
      <c r="J370" t="inlineStr">
        <is>
          <t>Ventas Personas (B2C)</t>
        </is>
      </c>
      <c r="K370" t="inlineStr">
        <is>
          <t>CH2</t>
        </is>
      </c>
    </row>
    <row r="371">
      <c r="A371" s="33" t="n">
        <v>45698</v>
      </c>
      <c r="B371" t="inlineStr">
        <is>
          <t>2025-02</t>
        </is>
      </c>
      <c r="C371" t="inlineStr">
        <is>
          <t>Rodrigo Gambino</t>
        </is>
      </c>
      <c r="D371" t="inlineStr">
        <is>
          <t>PACKS GOURMET</t>
        </is>
      </c>
      <c r="E371" s="34" t="n">
        <v>26990</v>
      </c>
      <c r="F371" t="inlineStr">
        <is>
          <t>B</t>
        </is>
      </c>
      <c r="G371" s="34" t="n">
        <v>4309</v>
      </c>
      <c r="H371" s="34" t="n">
        <v>22681</v>
      </c>
      <c r="I371" t="inlineStr">
        <is>
          <t>3.2</t>
        </is>
      </c>
      <c r="J371" t="inlineStr">
        <is>
          <t>Ventas Personas (B2C)</t>
        </is>
      </c>
      <c r="K371" t="inlineStr">
        <is>
          <t>CH2</t>
        </is>
      </c>
    </row>
    <row r="372">
      <c r="A372" s="33" t="n">
        <v>45698</v>
      </c>
      <c r="B372" t="inlineStr">
        <is>
          <t>2025-02</t>
        </is>
      </c>
      <c r="C372" t="inlineStr">
        <is>
          <t>CAFETERÍA ALTURA LIMITADA</t>
        </is>
      </c>
      <c r="D372" t="inlineStr">
        <is>
          <t>HORECA CAFETERIA</t>
        </is>
      </c>
      <c r="E372" s="34" t="n">
        <v>53910</v>
      </c>
      <c r="F372" t="inlineStr">
        <is>
          <t>F</t>
        </is>
      </c>
      <c r="G372" s="34" t="n">
        <v>8607</v>
      </c>
      <c r="H372" s="34" t="n">
        <v>45303</v>
      </c>
      <c r="I372" t="inlineStr">
        <is>
          <t>3.1</t>
        </is>
      </c>
      <c r="J372" t="inlineStr">
        <is>
          <t>Ventas HoReCa</t>
        </is>
      </c>
      <c r="K372" t="inlineStr">
        <is>
          <t>CH1</t>
        </is>
      </c>
    </row>
    <row r="373">
      <c r="A373" s="33" t="n">
        <v>45698</v>
      </c>
      <c r="B373" t="inlineStr">
        <is>
          <t>2025-02</t>
        </is>
      </c>
      <c r="C373" t="inlineStr">
        <is>
          <t>INVERSIONES Y COMERCIALIZADORA FED LIMITADA</t>
        </is>
      </c>
      <c r="D373" t="inlineStr">
        <is>
          <t>HORECA CAFETERIA</t>
        </is>
      </c>
      <c r="E373" s="34" t="n">
        <v>104830</v>
      </c>
      <c r="F373" t="inlineStr">
        <is>
          <t>F</t>
        </is>
      </c>
      <c r="G373" s="34" t="n">
        <v>16738</v>
      </c>
      <c r="H373" s="34" t="n">
        <v>88092</v>
      </c>
      <c r="I373" t="inlineStr">
        <is>
          <t>3.1</t>
        </is>
      </c>
      <c r="J373" t="inlineStr">
        <is>
          <t>Ventas HoReCa</t>
        </is>
      </c>
      <c r="K373" t="inlineStr">
        <is>
          <t>CH1</t>
        </is>
      </c>
    </row>
    <row r="374">
      <c r="A374" s="33" t="n">
        <v>45698</v>
      </c>
      <c r="B374" t="inlineStr">
        <is>
          <t>2025-02</t>
        </is>
      </c>
      <c r="C374" t="inlineStr">
        <is>
          <t>INVERSIONES Y COMERCIALIZADORA FED LIMITADA</t>
        </is>
      </c>
      <c r="D374" t="inlineStr">
        <is>
          <t>HORECA CAFETERIA</t>
        </is>
      </c>
      <c r="E374" s="34" t="n">
        <v>157257</v>
      </c>
      <c r="F374" t="inlineStr">
        <is>
          <t>F</t>
        </is>
      </c>
      <c r="G374" s="34" t="n">
        <v>25108</v>
      </c>
      <c r="H374" s="34" t="n">
        <v>132149</v>
      </c>
      <c r="I374" t="inlineStr">
        <is>
          <t>3.1</t>
        </is>
      </c>
      <c r="J374" t="inlineStr">
        <is>
          <t>Ventas HoReCa</t>
        </is>
      </c>
      <c r="K374" t="inlineStr">
        <is>
          <t>CH1</t>
        </is>
      </c>
    </row>
    <row r="375">
      <c r="A375" s="33" t="n">
        <v>45698</v>
      </c>
      <c r="B375" t="inlineStr">
        <is>
          <t>2025-02</t>
        </is>
      </c>
      <c r="C375" t="inlineStr">
        <is>
          <t>RICO SPA</t>
        </is>
      </c>
      <c r="D375" t="inlineStr">
        <is>
          <t>HORECA CATERING</t>
        </is>
      </c>
      <c r="E375" s="34" t="n">
        <v>37140</v>
      </c>
      <c r="F375" t="inlineStr">
        <is>
          <t>F</t>
        </is>
      </c>
      <c r="G375" s="34" t="n">
        <v>5930</v>
      </c>
      <c r="H375" s="34" t="n">
        <v>31210</v>
      </c>
      <c r="I375" t="inlineStr">
        <is>
          <t>3.1</t>
        </is>
      </c>
      <c r="J375" t="inlineStr">
        <is>
          <t>Ventas HoReCa</t>
        </is>
      </c>
      <c r="K375" t="inlineStr">
        <is>
          <t>CH1</t>
        </is>
      </c>
    </row>
    <row r="376">
      <c r="A376" s="33" t="n">
        <v>45698</v>
      </c>
      <c r="B376" t="inlineStr">
        <is>
          <t>2025-02</t>
        </is>
      </c>
      <c r="C376" t="inlineStr">
        <is>
          <t>INVERSIONES Y ASESORIAS RAVAL LIMITADA</t>
        </is>
      </c>
      <c r="D376" t="inlineStr">
        <is>
          <t>HORECA CAFETERIA</t>
        </is>
      </c>
      <c r="E376" s="34" t="n">
        <v>67980</v>
      </c>
      <c r="F376" t="inlineStr">
        <is>
          <t>F</t>
        </is>
      </c>
      <c r="G376" s="34" t="n">
        <v>10854</v>
      </c>
      <c r="H376" s="34" t="n">
        <v>57126</v>
      </c>
      <c r="I376" t="inlineStr">
        <is>
          <t>3.1</t>
        </is>
      </c>
      <c r="J376" t="inlineStr">
        <is>
          <t>Ventas HoReCa</t>
        </is>
      </c>
      <c r="K376" t="inlineStr">
        <is>
          <t>CH1</t>
        </is>
      </c>
    </row>
    <row r="377">
      <c r="A377" s="33" t="n">
        <v>45698</v>
      </c>
      <c r="B377" t="inlineStr">
        <is>
          <t>2025-02</t>
        </is>
      </c>
      <c r="C377" t="inlineStr">
        <is>
          <t>Sin cliente</t>
        </is>
      </c>
      <c r="D377" t="inlineStr">
        <is>
          <t>PLATAFORMAS RAP-PEYA-UBER-GOOD</t>
        </is>
      </c>
      <c r="E377" s="34" t="n">
        <v>23760</v>
      </c>
      <c r="F377" t="inlineStr">
        <is>
          <t>B</t>
        </is>
      </c>
      <c r="G377" s="34" t="n">
        <v>3794</v>
      </c>
      <c r="H377" s="34" t="n">
        <v>19966</v>
      </c>
      <c r="I377" t="inlineStr">
        <is>
          <t>3.6</t>
        </is>
      </c>
      <c r="J377" t="inlineStr">
        <is>
          <t>Ventas Delivery Apps</t>
        </is>
      </c>
      <c r="K377" t="inlineStr">
        <is>
          <t>CH3</t>
        </is>
      </c>
    </row>
    <row r="378">
      <c r="A378" s="33" t="n">
        <v>45698</v>
      </c>
      <c r="B378" t="inlineStr">
        <is>
          <t>2025-02</t>
        </is>
      </c>
      <c r="C378" t="inlineStr">
        <is>
          <t>Kurth Pinto</t>
        </is>
      </c>
      <c r="D378" t="inlineStr">
        <is>
          <t>Mix Sabores</t>
        </is>
      </c>
      <c r="E378" s="34" t="n">
        <v>35780</v>
      </c>
      <c r="F378" t="inlineStr">
        <is>
          <t>B</t>
        </is>
      </c>
      <c r="G378" s="34" t="n">
        <v>5713</v>
      </c>
      <c r="H378" s="34" t="n">
        <v>30067</v>
      </c>
      <c r="I378" t="inlineStr">
        <is>
          <t>3.2</t>
        </is>
      </c>
      <c r="J378" t="inlineStr">
        <is>
          <t>Ventas Personas (B2C)</t>
        </is>
      </c>
      <c r="K378" t="inlineStr">
        <is>
          <t>CH2</t>
        </is>
      </c>
    </row>
    <row r="379">
      <c r="A379" s="33" t="n">
        <v>45698</v>
      </c>
      <c r="B379" t="inlineStr">
        <is>
          <t>2025-02</t>
        </is>
      </c>
      <c r="C379" t="inlineStr">
        <is>
          <t>Carmen Luz Vergara</t>
        </is>
      </c>
      <c r="D379" t="inlineStr">
        <is>
          <t>PACKS GOURMET</t>
        </is>
      </c>
      <c r="E379" s="34" t="n">
        <v>26990</v>
      </c>
      <c r="F379" t="inlineStr">
        <is>
          <t>B</t>
        </is>
      </c>
      <c r="G379" s="34" t="n">
        <v>4309</v>
      </c>
      <c r="H379" s="34" t="n">
        <v>22681</v>
      </c>
      <c r="I379" t="inlineStr">
        <is>
          <t>3.2</t>
        </is>
      </c>
      <c r="J379" t="inlineStr">
        <is>
          <t>Ventas Personas (B2C)</t>
        </is>
      </c>
      <c r="K379" t="inlineStr">
        <is>
          <t>CH2</t>
        </is>
      </c>
    </row>
    <row r="380">
      <c r="A380" s="33" t="n">
        <v>45698</v>
      </c>
      <c r="B380" t="inlineStr">
        <is>
          <t>2025-02</t>
        </is>
      </c>
      <c r="C380" t="inlineStr">
        <is>
          <t>Andres Narvaez</t>
        </is>
      </c>
      <c r="D380" t="inlineStr">
        <is>
          <t>CANELÉ TRADICIONAL</t>
        </is>
      </c>
      <c r="E380" s="34" t="n">
        <v>26890</v>
      </c>
      <c r="F380" t="inlineStr">
        <is>
          <t>B</t>
        </is>
      </c>
      <c r="G380" s="34" t="n">
        <v>4293</v>
      </c>
      <c r="H380" s="34" t="n">
        <v>22597</v>
      </c>
      <c r="I380" t="inlineStr">
        <is>
          <t>3.2</t>
        </is>
      </c>
      <c r="J380" t="inlineStr">
        <is>
          <t>Ventas Personas (B2C)</t>
        </is>
      </c>
      <c r="K380" t="inlineStr">
        <is>
          <t>CH2</t>
        </is>
      </c>
    </row>
    <row r="381">
      <c r="A381" s="33" t="n">
        <v>45698</v>
      </c>
      <c r="B381" t="inlineStr">
        <is>
          <t>2025-02</t>
        </is>
      </c>
      <c r="C381" t="inlineStr">
        <is>
          <t>Sharon Grossman</t>
        </is>
      </c>
      <c r="D381" t="inlineStr">
        <is>
          <t>Delicatessen</t>
        </is>
      </c>
      <c r="E381" s="34" t="n">
        <v>29769</v>
      </c>
      <c r="F381" t="inlineStr">
        <is>
          <t>B</t>
        </is>
      </c>
      <c r="G381" s="34" t="n">
        <v>4753</v>
      </c>
      <c r="H381" s="34" t="n">
        <v>25016</v>
      </c>
      <c r="I381" t="inlineStr">
        <is>
          <t>3.2</t>
        </is>
      </c>
      <c r="J381" t="inlineStr">
        <is>
          <t>Ventas Personas (B2C)</t>
        </is>
      </c>
      <c r="K381" t="inlineStr">
        <is>
          <t>CH2</t>
        </is>
      </c>
    </row>
    <row r="382">
      <c r="A382" s="33" t="n">
        <v>45698</v>
      </c>
      <c r="B382" t="inlineStr">
        <is>
          <t>2025-02</t>
        </is>
      </c>
      <c r="C382" t="inlineStr">
        <is>
          <t>Sin cliente</t>
        </is>
      </c>
      <c r="D382" t="inlineStr">
        <is>
          <t>PLATAFORMAS RAP-PEYA-UBER-GOOD</t>
        </is>
      </c>
      <c r="E382" s="34" t="n">
        <v>26268</v>
      </c>
      <c r="F382" t="inlineStr">
        <is>
          <t>B</t>
        </is>
      </c>
      <c r="G382" s="34" t="n">
        <v>4194</v>
      </c>
      <c r="H382" s="34" t="n">
        <v>22074</v>
      </c>
      <c r="I382" t="inlineStr">
        <is>
          <t>3.6</t>
        </is>
      </c>
      <c r="J382" t="inlineStr">
        <is>
          <t>Ventas Delivery Apps</t>
        </is>
      </c>
      <c r="K382" t="inlineStr">
        <is>
          <t>CH3</t>
        </is>
      </c>
    </row>
    <row r="383">
      <c r="A383" s="33" t="n">
        <v>45699</v>
      </c>
      <c r="B383" t="inlineStr">
        <is>
          <t>2025-02</t>
        </is>
      </c>
      <c r="C383" t="inlineStr">
        <is>
          <t>Inversiones Nagua SPA</t>
        </is>
      </c>
      <c r="D383" t="inlineStr">
        <is>
          <t>HORECA CAFETERIA</t>
        </is>
      </c>
      <c r="E383" s="34" t="n">
        <v>63990</v>
      </c>
      <c r="F383" t="inlineStr">
        <is>
          <t>F</t>
        </is>
      </c>
      <c r="G383" s="34" t="n">
        <v>10217</v>
      </c>
      <c r="H383" s="34" t="n">
        <v>53773</v>
      </c>
      <c r="I383" t="inlineStr">
        <is>
          <t>3.1</t>
        </is>
      </c>
      <c r="J383" t="inlineStr">
        <is>
          <t>Ventas HoReCa</t>
        </is>
      </c>
      <c r="K383" t="inlineStr">
        <is>
          <t>CH1</t>
        </is>
      </c>
    </row>
    <row r="384">
      <c r="A384" s="33" t="n">
        <v>45699</v>
      </c>
      <c r="B384" t="inlineStr">
        <is>
          <t>2025-02</t>
        </is>
      </c>
      <c r="C384" t="inlineStr">
        <is>
          <t>Café del Parque SpA</t>
        </is>
      </c>
      <c r="D384" t="inlineStr">
        <is>
          <t>HORECA CAFETERIA</t>
        </is>
      </c>
      <c r="E384" s="34" t="n">
        <v>37548</v>
      </c>
      <c r="F384" t="inlineStr">
        <is>
          <t>F</t>
        </is>
      </c>
      <c r="G384" s="34" t="n">
        <v>5995</v>
      </c>
      <c r="H384" s="34" t="n">
        <v>31553</v>
      </c>
      <c r="I384" t="inlineStr">
        <is>
          <t>3.1</t>
        </is>
      </c>
      <c r="J384" t="inlineStr">
        <is>
          <t>Ventas HoReCa</t>
        </is>
      </c>
      <c r="K384" t="inlineStr">
        <is>
          <t>CH1</t>
        </is>
      </c>
    </row>
    <row r="385">
      <c r="A385" s="33" t="n">
        <v>45699</v>
      </c>
      <c r="B385" t="inlineStr">
        <is>
          <t>2025-02</t>
        </is>
      </c>
      <c r="C385" t="inlineStr">
        <is>
          <t>Miguel Angel Farias Torres</t>
        </is>
      </c>
      <c r="D385" t="inlineStr">
        <is>
          <t>Petit Tradicional</t>
        </is>
      </c>
      <c r="E385" s="34" t="n">
        <v>15790</v>
      </c>
      <c r="F385" t="inlineStr">
        <is>
          <t>B</t>
        </is>
      </c>
      <c r="G385" s="34" t="n">
        <v>2521</v>
      </c>
      <c r="H385" s="34" t="n">
        <v>13269</v>
      </c>
      <c r="I385" t="inlineStr">
        <is>
          <t>3.2</t>
        </is>
      </c>
      <c r="J385" t="inlineStr">
        <is>
          <t>Ventas Personas (B2C)</t>
        </is>
      </c>
      <c r="K385" t="inlineStr">
        <is>
          <t>CH2</t>
        </is>
      </c>
    </row>
    <row r="386">
      <c r="A386" s="33" t="n">
        <v>45699</v>
      </c>
      <c r="B386" t="inlineStr">
        <is>
          <t>2025-02</t>
        </is>
      </c>
      <c r="C386" t="inlineStr">
        <is>
          <t>Pilar Vargas</t>
        </is>
      </c>
      <c r="D386" t="inlineStr">
        <is>
          <t>CANELÉ TRADICIONAL</t>
        </is>
      </c>
      <c r="E386" s="34" t="n">
        <v>17889</v>
      </c>
      <c r="F386" t="inlineStr">
        <is>
          <t>B</t>
        </is>
      </c>
      <c r="G386" s="34" t="n">
        <v>2856</v>
      </c>
      <c r="H386" s="34" t="n">
        <v>15033</v>
      </c>
      <c r="I386" t="inlineStr">
        <is>
          <t>3.2</t>
        </is>
      </c>
      <c r="J386" t="inlineStr">
        <is>
          <t>Ventas Personas (B2C)</t>
        </is>
      </c>
      <c r="K386" t="inlineStr">
        <is>
          <t>CH2</t>
        </is>
      </c>
    </row>
    <row r="387">
      <c r="A387" s="33" t="n">
        <v>45699</v>
      </c>
      <c r="B387" t="inlineStr">
        <is>
          <t>2025-02</t>
        </is>
      </c>
      <c r="C387" t="inlineStr">
        <is>
          <t>Pamela Zárate Almendras</t>
        </is>
      </c>
      <c r="D387" t="inlineStr">
        <is>
          <t>Delicatessen</t>
        </is>
      </c>
      <c r="E387" s="34" t="n">
        <v>27800</v>
      </c>
      <c r="F387" t="inlineStr">
        <is>
          <t>B</t>
        </is>
      </c>
      <c r="G387" s="34" t="n">
        <v>4439</v>
      </c>
      <c r="H387" s="34" t="n">
        <v>23361</v>
      </c>
      <c r="I387" t="inlineStr">
        <is>
          <t>3.2</t>
        </is>
      </c>
      <c r="J387" t="inlineStr">
        <is>
          <t>Ventas Personas (B2C)</t>
        </is>
      </c>
      <c r="K387" t="inlineStr">
        <is>
          <t>CH2</t>
        </is>
      </c>
    </row>
    <row r="388">
      <c r="A388" s="33" t="n">
        <v>45699</v>
      </c>
      <c r="B388" t="inlineStr">
        <is>
          <t>2025-02</t>
        </is>
      </c>
      <c r="C388" t="inlineStr">
        <is>
          <t>Carolina Campo - Martinez</t>
        </is>
      </c>
      <c r="D388" t="inlineStr">
        <is>
          <t>Petit Tradicional</t>
        </is>
      </c>
      <c r="E388" s="34" t="n">
        <v>8640</v>
      </c>
      <c r="F388" t="inlineStr">
        <is>
          <t>B</t>
        </is>
      </c>
      <c r="G388" s="34" t="n">
        <v>1379</v>
      </c>
      <c r="H388" s="34" t="n">
        <v>7261</v>
      </c>
      <c r="I388" t="inlineStr">
        <is>
          <t>3.2</t>
        </is>
      </c>
      <c r="J388" t="inlineStr">
        <is>
          <t>Ventas Personas (B2C)</t>
        </is>
      </c>
      <c r="K388" t="inlineStr">
        <is>
          <t>CH2</t>
        </is>
      </c>
    </row>
    <row r="389">
      <c r="A389" s="33" t="n">
        <v>45699</v>
      </c>
      <c r="B389" t="inlineStr">
        <is>
          <t>2025-02</t>
        </is>
      </c>
      <c r="C389" t="inlineStr">
        <is>
          <t>Paulina Lopez Torres</t>
        </is>
      </c>
      <c r="D389" t="inlineStr">
        <is>
          <t>CANELÉ TRADICIONAL</t>
        </is>
      </c>
      <c r="E389" s="34" t="n">
        <v>20890</v>
      </c>
      <c r="F389" t="inlineStr">
        <is>
          <t>B</t>
        </is>
      </c>
      <c r="G389" s="34" t="n">
        <v>3335</v>
      </c>
      <c r="H389" s="34" t="n">
        <v>17555</v>
      </c>
      <c r="I389" t="inlineStr">
        <is>
          <t>3.2</t>
        </is>
      </c>
      <c r="J389" t="inlineStr">
        <is>
          <t>Ventas Personas (B2C)</t>
        </is>
      </c>
      <c r="K389" t="inlineStr">
        <is>
          <t>CH2</t>
        </is>
      </c>
    </row>
    <row r="390">
      <c r="A390" s="33" t="n">
        <v>45699</v>
      </c>
      <c r="B390" t="inlineStr">
        <is>
          <t>2025-02</t>
        </is>
      </c>
      <c r="C390" t="inlineStr">
        <is>
          <t>Icafal Gestión S.A.</t>
        </is>
      </c>
      <c r="D390" t="inlineStr">
        <is>
          <t>HORECA CATERING</t>
        </is>
      </c>
      <c r="E390" s="34" t="n">
        <v>108671</v>
      </c>
      <c r="F390" t="inlineStr">
        <is>
          <t>F</t>
        </is>
      </c>
      <c r="G390" s="34" t="n">
        <v>17351</v>
      </c>
      <c r="H390" s="34" t="n">
        <v>91320</v>
      </c>
      <c r="I390" t="inlineStr">
        <is>
          <t>3.1</t>
        </is>
      </c>
      <c r="J390" t="inlineStr">
        <is>
          <t>Ventas HoReCa</t>
        </is>
      </c>
      <c r="K390" t="inlineStr">
        <is>
          <t>CH1</t>
        </is>
      </c>
    </row>
    <row r="391">
      <c r="A391" s="33" t="n">
        <v>45699</v>
      </c>
      <c r="B391" t="inlineStr">
        <is>
          <t>2025-02</t>
        </is>
      </c>
      <c r="C391" t="inlineStr">
        <is>
          <t>Icafal Gestión S.A.</t>
        </is>
      </c>
      <c r="D391" t="inlineStr">
        <is>
          <t>HORECA CATERING</t>
        </is>
      </c>
      <c r="E391" s="34" t="n">
        <v>-108671</v>
      </c>
      <c r="F391" t="inlineStr">
        <is>
          <t>NC</t>
        </is>
      </c>
      <c r="G391" s="34" t="n">
        <v>-17351</v>
      </c>
      <c r="H391" s="34" t="n">
        <v>-91320</v>
      </c>
      <c r="I391" t="inlineStr">
        <is>
          <t>3.2</t>
        </is>
      </c>
      <c r="J391" t="inlineStr">
        <is>
          <t>Ventas Personas (B2C)</t>
        </is>
      </c>
      <c r="K391" t="inlineStr">
        <is>
          <t>CH2</t>
        </is>
      </c>
    </row>
    <row r="392">
      <c r="A392" s="33" t="n">
        <v>45699</v>
      </c>
      <c r="B392" t="inlineStr">
        <is>
          <t>2025-02</t>
        </is>
      </c>
      <c r="C392" t="inlineStr">
        <is>
          <t>Icafal Gestión S.A.</t>
        </is>
      </c>
      <c r="D392" t="inlineStr">
        <is>
          <t>HORECA CATERING</t>
        </is>
      </c>
      <c r="E392" s="34" t="n">
        <v>249591</v>
      </c>
      <c r="F392" t="inlineStr">
        <is>
          <t>F</t>
        </is>
      </c>
      <c r="G392" s="34" t="n">
        <v>39851</v>
      </c>
      <c r="H392" s="34" t="n">
        <v>209740</v>
      </c>
      <c r="I392" t="inlineStr">
        <is>
          <t>3.1</t>
        </is>
      </c>
      <c r="J392" t="inlineStr">
        <is>
          <t>Ventas HoReCa</t>
        </is>
      </c>
      <c r="K392" t="inlineStr">
        <is>
          <t>CH1</t>
        </is>
      </c>
    </row>
    <row r="393">
      <c r="A393" s="33" t="n">
        <v>45699</v>
      </c>
      <c r="B393" t="inlineStr">
        <is>
          <t>2025-02</t>
        </is>
      </c>
      <c r="C393" t="inlineStr">
        <is>
          <t>Icafal Gestión S.A.</t>
        </is>
      </c>
      <c r="D393" t="inlineStr">
        <is>
          <t>HORECA CATERING</t>
        </is>
      </c>
      <c r="E393" s="34" t="n">
        <v>-249591</v>
      </c>
      <c r="F393" t="inlineStr">
        <is>
          <t>NC</t>
        </is>
      </c>
      <c r="G393" s="34" t="n">
        <v>-39851</v>
      </c>
      <c r="H393" s="34" t="n">
        <v>-209740</v>
      </c>
      <c r="I393" t="inlineStr">
        <is>
          <t>3.2</t>
        </is>
      </c>
      <c r="J393" t="inlineStr">
        <is>
          <t>Ventas Personas (B2C)</t>
        </is>
      </c>
      <c r="K393" t="inlineStr">
        <is>
          <t>CH2</t>
        </is>
      </c>
    </row>
    <row r="394">
      <c r="A394" s="33" t="n">
        <v>45699</v>
      </c>
      <c r="B394" t="inlineStr">
        <is>
          <t>2025-02</t>
        </is>
      </c>
      <c r="C394" t="inlineStr">
        <is>
          <t>Icafal Gestión S.A.</t>
        </is>
      </c>
      <c r="D394" t="inlineStr">
        <is>
          <t>HORECA CATERING</t>
        </is>
      </c>
      <c r="E394" s="34" t="n">
        <v>188190</v>
      </c>
      <c r="F394" t="inlineStr">
        <is>
          <t>F</t>
        </is>
      </c>
      <c r="G394" s="34" t="n">
        <v>30047</v>
      </c>
      <c r="H394" s="34" t="n">
        <v>158143</v>
      </c>
      <c r="I394" t="inlineStr">
        <is>
          <t>3.1</t>
        </is>
      </c>
      <c r="J394" t="inlineStr">
        <is>
          <t>Ventas HoReCa</t>
        </is>
      </c>
      <c r="K394" t="inlineStr">
        <is>
          <t>CH1</t>
        </is>
      </c>
    </row>
    <row r="395">
      <c r="A395" s="33" t="n">
        <v>45699</v>
      </c>
      <c r="B395" t="inlineStr">
        <is>
          <t>2025-02</t>
        </is>
      </c>
      <c r="C395" t="inlineStr">
        <is>
          <t>Fernanda Larraín</t>
        </is>
      </c>
      <c r="D395" t="inlineStr">
        <is>
          <t>Petit Tradicional</t>
        </is>
      </c>
      <c r="E395" s="34" t="n">
        <v>24329</v>
      </c>
      <c r="F395" t="inlineStr">
        <is>
          <t>B</t>
        </is>
      </c>
      <c r="G395" s="34" t="n">
        <v>3884</v>
      </c>
      <c r="H395" s="34" t="n">
        <v>20445</v>
      </c>
      <c r="I395" t="inlineStr">
        <is>
          <t>3.2</t>
        </is>
      </c>
      <c r="J395" t="inlineStr">
        <is>
          <t>Ventas Personas (B2C)</t>
        </is>
      </c>
      <c r="K395" t="inlineStr">
        <is>
          <t>CH2</t>
        </is>
      </c>
    </row>
    <row r="396">
      <c r="A396" s="33" t="n">
        <v>45699</v>
      </c>
      <c r="B396" t="inlineStr">
        <is>
          <t>2025-02</t>
        </is>
      </c>
      <c r="C396" t="inlineStr">
        <is>
          <t>CAMILA ESTRADA</t>
        </is>
      </c>
      <c r="D396" t="inlineStr">
        <is>
          <t>CANELÉ TRADICIONAL</t>
        </is>
      </c>
      <c r="E396" s="34" t="n">
        <v>13900</v>
      </c>
      <c r="F396" t="inlineStr">
        <is>
          <t>B</t>
        </is>
      </c>
      <c r="G396" s="34" t="n">
        <v>2219</v>
      </c>
      <c r="H396" s="34" t="n">
        <v>11681</v>
      </c>
      <c r="I396" t="inlineStr">
        <is>
          <t>3.2</t>
        </is>
      </c>
      <c r="J396" t="inlineStr">
        <is>
          <t>Ventas Personas (B2C)</t>
        </is>
      </c>
      <c r="K396" t="inlineStr">
        <is>
          <t>CH2</t>
        </is>
      </c>
    </row>
    <row r="397">
      <c r="A397" s="33" t="n">
        <v>45699</v>
      </c>
      <c r="B397" t="inlineStr">
        <is>
          <t>2025-02</t>
        </is>
      </c>
      <c r="C397" t="inlineStr">
        <is>
          <t>Sin cliente</t>
        </is>
      </c>
      <c r="D397" t="inlineStr">
        <is>
          <t>CANELÉ TRADICIONAL</t>
        </is>
      </c>
      <c r="E397" s="34" t="n">
        <v>23400</v>
      </c>
      <c r="F397" t="inlineStr">
        <is>
          <t>B</t>
        </is>
      </c>
      <c r="G397" s="34" t="n">
        <v>3736</v>
      </c>
      <c r="H397" s="34" t="n">
        <v>19664</v>
      </c>
      <c r="I397" t="inlineStr">
        <is>
          <t>3.2</t>
        </is>
      </c>
      <c r="J397" t="inlineStr">
        <is>
          <t>Ventas Personas (B2C)</t>
        </is>
      </c>
      <c r="K397" t="inlineStr">
        <is>
          <t>CH2</t>
        </is>
      </c>
    </row>
    <row r="398">
      <c r="A398" s="33" t="n">
        <v>45699</v>
      </c>
      <c r="B398" t="inlineStr">
        <is>
          <t>2025-02</t>
        </is>
      </c>
      <c r="C398" t="inlineStr">
        <is>
          <t>Sin cliente</t>
        </is>
      </c>
      <c r="D398" t="inlineStr">
        <is>
          <t>CANELÉ TRADICIONAL</t>
        </is>
      </c>
      <c r="E398" s="34" t="n">
        <v>10000</v>
      </c>
      <c r="F398" t="inlineStr">
        <is>
          <t>B</t>
        </is>
      </c>
      <c r="G398" s="34" t="n">
        <v>1597</v>
      </c>
      <c r="H398" s="34" t="n">
        <v>8403</v>
      </c>
      <c r="I398" t="inlineStr">
        <is>
          <t>3.2</t>
        </is>
      </c>
      <c r="J398" t="inlineStr">
        <is>
          <t>Ventas Personas (B2C)</t>
        </is>
      </c>
      <c r="K398" t="inlineStr">
        <is>
          <t>CH2</t>
        </is>
      </c>
    </row>
    <row r="399">
      <c r="A399" s="33" t="n">
        <v>45699</v>
      </c>
      <c r="B399" t="inlineStr">
        <is>
          <t>2025-02</t>
        </is>
      </c>
      <c r="C399" t="inlineStr">
        <is>
          <t>Gisella Sanchez Guzman</t>
        </is>
      </c>
      <c r="D399" t="inlineStr">
        <is>
          <t>Petit Crunchy</t>
        </is>
      </c>
      <c r="E399" s="34" t="n">
        <v>16790</v>
      </c>
      <c r="F399" t="inlineStr">
        <is>
          <t>B</t>
        </is>
      </c>
      <c r="G399" s="34" t="n">
        <v>2681</v>
      </c>
      <c r="H399" s="34" t="n">
        <v>14109</v>
      </c>
      <c r="I399" t="inlineStr">
        <is>
          <t>3.2</t>
        </is>
      </c>
      <c r="J399" t="inlineStr">
        <is>
          <t>Ventas Personas (B2C)</t>
        </is>
      </c>
      <c r="K399" t="inlineStr">
        <is>
          <t>CH2</t>
        </is>
      </c>
    </row>
    <row r="400">
      <c r="A400" s="33" t="n">
        <v>45699</v>
      </c>
      <c r="B400" t="inlineStr">
        <is>
          <t>2025-02</t>
        </is>
      </c>
      <c r="C400" t="inlineStr">
        <is>
          <t>Adolfo Hechem</t>
        </is>
      </c>
      <c r="D400" t="inlineStr">
        <is>
          <t>Rellenos</t>
        </is>
      </c>
      <c r="E400" s="34" t="n">
        <v>25889</v>
      </c>
      <c r="F400" t="inlineStr">
        <is>
          <t>B</t>
        </is>
      </c>
      <c r="G400" s="34" t="n">
        <v>4134</v>
      </c>
      <c r="H400" s="34" t="n">
        <v>21755</v>
      </c>
      <c r="I400" t="inlineStr">
        <is>
          <t>3.2</t>
        </is>
      </c>
      <c r="J400" t="inlineStr">
        <is>
          <t>Ventas Personas (B2C)</t>
        </is>
      </c>
      <c r="K400" t="inlineStr">
        <is>
          <t>CH2</t>
        </is>
      </c>
    </row>
    <row r="401">
      <c r="A401" s="33" t="n">
        <v>45700</v>
      </c>
      <c r="B401" t="inlineStr">
        <is>
          <t>2025-02</t>
        </is>
      </c>
      <c r="C401" t="inlineStr">
        <is>
          <t>Francisca Richard</t>
        </is>
      </c>
      <c r="D401" t="inlineStr">
        <is>
          <t>Petit Tradicional</t>
        </is>
      </c>
      <c r="E401" s="34" t="n">
        <v>10800</v>
      </c>
      <c r="F401" t="inlineStr">
        <is>
          <t>B</t>
        </is>
      </c>
      <c r="G401" s="34" t="n">
        <v>1724</v>
      </c>
      <c r="H401" s="34" t="n">
        <v>9076</v>
      </c>
      <c r="I401" t="inlineStr">
        <is>
          <t>3.2</t>
        </is>
      </c>
      <c r="J401" t="inlineStr">
        <is>
          <t>Ventas Personas (B2C)</t>
        </is>
      </c>
      <c r="K401" t="inlineStr">
        <is>
          <t>CH2</t>
        </is>
      </c>
    </row>
    <row r="402">
      <c r="A402" s="33" t="n">
        <v>45700</v>
      </c>
      <c r="B402" t="inlineStr">
        <is>
          <t>2025-02</t>
        </is>
      </c>
      <c r="C402" t="inlineStr">
        <is>
          <t>Manuela Gutierrez</t>
        </is>
      </c>
      <c r="D402" t="inlineStr">
        <is>
          <t>Petit Tradicional</t>
        </is>
      </c>
      <c r="E402" s="34" t="n">
        <v>13789</v>
      </c>
      <c r="F402" t="inlineStr">
        <is>
          <t>B</t>
        </is>
      </c>
      <c r="G402" s="34" t="n">
        <v>2202</v>
      </c>
      <c r="H402" s="34" t="n">
        <v>11587</v>
      </c>
      <c r="I402" t="inlineStr">
        <is>
          <t>3.2</t>
        </is>
      </c>
      <c r="J402" t="inlineStr">
        <is>
          <t>Ventas Personas (B2C)</t>
        </is>
      </c>
      <c r="K402" t="inlineStr">
        <is>
          <t>CH2</t>
        </is>
      </c>
    </row>
    <row r="403">
      <c r="A403" s="33" t="n">
        <v>45700</v>
      </c>
      <c r="B403" t="inlineStr">
        <is>
          <t>2025-02</t>
        </is>
      </c>
      <c r="C403" t="inlineStr">
        <is>
          <t>CAFETERIA THE ELEPHANT COFFEE LIMITADA</t>
        </is>
      </c>
      <c r="D403" t="inlineStr">
        <is>
          <t>HORECA CAFETERIA</t>
        </is>
      </c>
      <c r="E403" s="34" t="n">
        <v>137940</v>
      </c>
      <c r="F403" t="inlineStr">
        <is>
          <t>F</t>
        </is>
      </c>
      <c r="G403" s="34" t="n">
        <v>22024</v>
      </c>
      <c r="H403" s="34" t="n">
        <v>115916</v>
      </c>
      <c r="I403" t="inlineStr">
        <is>
          <t>3.1</t>
        </is>
      </c>
      <c r="J403" t="inlineStr">
        <is>
          <t>Ventas HoReCa</t>
        </is>
      </c>
      <c r="K403" t="inlineStr">
        <is>
          <t>CH1</t>
        </is>
      </c>
    </row>
    <row r="404">
      <c r="A404" s="33" t="n">
        <v>45700</v>
      </c>
      <c r="B404" t="inlineStr">
        <is>
          <t>2025-02</t>
        </is>
      </c>
      <c r="C404" t="inlineStr">
        <is>
          <t>BUSTORF LARSEN Y COMPANIA LIMITADA</t>
        </is>
      </c>
      <c r="D404" t="inlineStr">
        <is>
          <t>HORECA CAFETERIA</t>
        </is>
      </c>
      <c r="E404" s="34" t="n">
        <v>64990</v>
      </c>
      <c r="F404" t="inlineStr">
        <is>
          <t>F</t>
        </is>
      </c>
      <c r="G404" s="34" t="n">
        <v>10377</v>
      </c>
      <c r="H404" s="34" t="n">
        <v>54613</v>
      </c>
      <c r="I404" t="inlineStr">
        <is>
          <t>3.1</t>
        </is>
      </c>
      <c r="J404" t="inlineStr">
        <is>
          <t>Ventas HoReCa</t>
        </is>
      </c>
      <c r="K404" t="inlineStr">
        <is>
          <t>CH1</t>
        </is>
      </c>
    </row>
    <row r="405">
      <c r="A405" s="33" t="n">
        <v>45700</v>
      </c>
      <c r="B405" t="inlineStr">
        <is>
          <t>2025-02</t>
        </is>
      </c>
      <c r="C405" t="inlineStr">
        <is>
          <t>Daniela Traub</t>
        </is>
      </c>
      <c r="D405" t="inlineStr">
        <is>
          <t>Delicatessen</t>
        </is>
      </c>
      <c r="E405" s="34" t="n">
        <v>27779</v>
      </c>
      <c r="F405" t="inlineStr">
        <is>
          <t>B</t>
        </is>
      </c>
      <c r="G405" s="34" t="n">
        <v>4435</v>
      </c>
      <c r="H405" s="34" t="n">
        <v>23344</v>
      </c>
      <c r="I405" t="inlineStr">
        <is>
          <t>3.2</t>
        </is>
      </c>
      <c r="J405" t="inlineStr">
        <is>
          <t>Ventas Personas (B2C)</t>
        </is>
      </c>
      <c r="K405" t="inlineStr">
        <is>
          <t>CH2</t>
        </is>
      </c>
    </row>
    <row r="406">
      <c r="A406" s="33" t="n">
        <v>45700</v>
      </c>
      <c r="B406" t="inlineStr">
        <is>
          <t>2025-02</t>
        </is>
      </c>
      <c r="C406" t="inlineStr">
        <is>
          <t>Sin cliente</t>
        </is>
      </c>
      <c r="D406" t="inlineStr">
        <is>
          <t>PLATAFORMAS RAP-PEYA-UBER-GOOD</t>
        </is>
      </c>
      <c r="E406" s="34" t="n">
        <v>16680</v>
      </c>
      <c r="F406" t="inlineStr">
        <is>
          <t>B</t>
        </is>
      </c>
      <c r="G406" s="34" t="n">
        <v>2663</v>
      </c>
      <c r="H406" s="34" t="n">
        <v>14017</v>
      </c>
      <c r="I406" t="inlineStr">
        <is>
          <t>3.6</t>
        </is>
      </c>
      <c r="J406" t="inlineStr">
        <is>
          <t>Ventas Delivery Apps</t>
        </is>
      </c>
      <c r="K406" t="inlineStr">
        <is>
          <t>CH3</t>
        </is>
      </c>
    </row>
    <row r="407">
      <c r="A407" s="33" t="n">
        <v>45700</v>
      </c>
      <c r="B407" t="inlineStr">
        <is>
          <t>2025-02</t>
        </is>
      </c>
      <c r="C407" t="inlineStr">
        <is>
          <t>BLUE OAK COFFE SPA</t>
        </is>
      </c>
      <c r="D407" t="inlineStr">
        <is>
          <t>HORECA CAFETERIA</t>
        </is>
      </c>
      <c r="E407" s="34" t="n">
        <v>63500</v>
      </c>
      <c r="F407" t="inlineStr">
        <is>
          <t>F</t>
        </is>
      </c>
      <c r="G407" s="34" t="n">
        <v>10139</v>
      </c>
      <c r="H407" s="34" t="n">
        <v>53361</v>
      </c>
      <c r="I407" t="inlineStr">
        <is>
          <t>3.1</t>
        </is>
      </c>
      <c r="J407" t="inlineStr">
        <is>
          <t>Ventas HoReCa</t>
        </is>
      </c>
      <c r="K407" t="inlineStr">
        <is>
          <t>CH1</t>
        </is>
      </c>
    </row>
    <row r="408">
      <c r="A408" s="33" t="n">
        <v>45700</v>
      </c>
      <c r="B408" t="inlineStr">
        <is>
          <t>2025-02</t>
        </is>
      </c>
      <c r="C408" t="inlineStr">
        <is>
          <t>Diego Anguita ossa</t>
        </is>
      </c>
      <c r="D408" t="inlineStr">
        <is>
          <t>CANELÉ TRADICIONAL</t>
        </is>
      </c>
      <c r="E408" s="34" t="n">
        <v>19800</v>
      </c>
      <c r="F408" t="inlineStr">
        <is>
          <t>B</t>
        </is>
      </c>
      <c r="G408" s="34" t="n">
        <v>3161</v>
      </c>
      <c r="H408" s="34" t="n">
        <v>16639</v>
      </c>
      <c r="I408" t="inlineStr">
        <is>
          <t>3.2</t>
        </is>
      </c>
      <c r="J408" t="inlineStr">
        <is>
          <t>Ventas Personas (B2C)</t>
        </is>
      </c>
      <c r="K408" t="inlineStr">
        <is>
          <t>CH2</t>
        </is>
      </c>
    </row>
    <row r="409">
      <c r="A409" s="33" t="n">
        <v>45700</v>
      </c>
      <c r="B409" t="inlineStr">
        <is>
          <t>2025-02</t>
        </is>
      </c>
      <c r="C409" t="inlineStr">
        <is>
          <t>Sin cliente</t>
        </is>
      </c>
      <c r="D409" t="inlineStr">
        <is>
          <t>PLATAFORMAS RAP-PEYA-UBER-GOOD</t>
        </is>
      </c>
      <c r="E409" s="34" t="n">
        <v>23760</v>
      </c>
      <c r="F409" t="inlineStr">
        <is>
          <t>B</t>
        </is>
      </c>
      <c r="G409" s="34" t="n">
        <v>3794</v>
      </c>
      <c r="H409" s="34" t="n">
        <v>19966</v>
      </c>
      <c r="I409" t="inlineStr">
        <is>
          <t>3.6</t>
        </is>
      </c>
      <c r="J409" t="inlineStr">
        <is>
          <t>Ventas Delivery Apps</t>
        </is>
      </c>
      <c r="K409" t="inlineStr">
        <is>
          <t>CH3</t>
        </is>
      </c>
    </row>
    <row r="410">
      <c r="A410" s="33" t="n">
        <v>45700</v>
      </c>
      <c r="B410" t="inlineStr">
        <is>
          <t>2025-02</t>
        </is>
      </c>
      <c r="C410" t="inlineStr">
        <is>
          <t>Jose Francisco Reyes Torres</t>
        </is>
      </c>
      <c r="D410" t="inlineStr">
        <is>
          <t>Petit Crunchy</t>
        </is>
      </c>
      <c r="E410" s="34" t="n">
        <v>43789</v>
      </c>
      <c r="F410" t="inlineStr">
        <is>
          <t>B</t>
        </is>
      </c>
      <c r="G410" s="34" t="n">
        <v>6992</v>
      </c>
      <c r="H410" s="34" t="n">
        <v>36797</v>
      </c>
      <c r="I410" t="inlineStr">
        <is>
          <t>3.2</t>
        </is>
      </c>
      <c r="J410" t="inlineStr">
        <is>
          <t>Ventas Personas (B2C)</t>
        </is>
      </c>
      <c r="K410" t="inlineStr">
        <is>
          <t>CH2</t>
        </is>
      </c>
    </row>
    <row r="411">
      <c r="A411" s="33" t="n">
        <v>45700</v>
      </c>
      <c r="B411" t="inlineStr">
        <is>
          <t>2025-02</t>
        </is>
      </c>
      <c r="C411" t="inlineStr">
        <is>
          <t>ALBA DE ARMENDAIZ</t>
        </is>
      </c>
      <c r="D411" t="inlineStr">
        <is>
          <t>PACKS GOURMET</t>
        </is>
      </c>
      <c r="E411" s="34" t="n">
        <v>26990</v>
      </c>
      <c r="F411" t="inlineStr">
        <is>
          <t>B</t>
        </is>
      </c>
      <c r="G411" s="34" t="n">
        <v>4309</v>
      </c>
      <c r="H411" s="34" t="n">
        <v>22681</v>
      </c>
      <c r="I411" t="inlineStr">
        <is>
          <t>3.2</t>
        </is>
      </c>
      <c r="J411" t="inlineStr">
        <is>
          <t>Ventas Personas (B2C)</t>
        </is>
      </c>
      <c r="K411" t="inlineStr">
        <is>
          <t>CH2</t>
        </is>
      </c>
    </row>
    <row r="412">
      <c r="A412" s="33" t="n">
        <v>45700</v>
      </c>
      <c r="B412" t="inlineStr">
        <is>
          <t>2025-02</t>
        </is>
      </c>
      <c r="C412" t="inlineStr">
        <is>
          <t>Constanza Aliaga</t>
        </is>
      </c>
      <c r="D412" t="inlineStr">
        <is>
          <t>PACKS GOURMET</t>
        </is>
      </c>
      <c r="E412" s="34" t="n">
        <v>22000</v>
      </c>
      <c r="F412" t="inlineStr">
        <is>
          <t>B</t>
        </is>
      </c>
      <c r="G412" s="34" t="n">
        <v>3513</v>
      </c>
      <c r="H412" s="34" t="n">
        <v>18487</v>
      </c>
      <c r="I412" t="inlineStr">
        <is>
          <t>3.2</t>
        </is>
      </c>
      <c r="J412" t="inlineStr">
        <is>
          <t>Ventas Personas (B2C)</t>
        </is>
      </c>
      <c r="K412" t="inlineStr">
        <is>
          <t>CH2</t>
        </is>
      </c>
    </row>
    <row r="413">
      <c r="A413" s="33" t="n">
        <v>45700</v>
      </c>
      <c r="B413" t="inlineStr">
        <is>
          <t>2025-02</t>
        </is>
      </c>
      <c r="C413" t="inlineStr">
        <is>
          <t>Osvaldo Osorio</t>
        </is>
      </c>
      <c r="D413" t="inlineStr">
        <is>
          <t>PACKS GOURMET</t>
        </is>
      </c>
      <c r="E413" s="34" t="n">
        <v>26990</v>
      </c>
      <c r="F413" t="inlineStr">
        <is>
          <t>B</t>
        </is>
      </c>
      <c r="G413" s="34" t="n">
        <v>4309</v>
      </c>
      <c r="H413" s="34" t="n">
        <v>22681</v>
      </c>
      <c r="I413" t="inlineStr">
        <is>
          <t>3.2</t>
        </is>
      </c>
      <c r="J413" t="inlineStr">
        <is>
          <t>Ventas Personas (B2C)</t>
        </is>
      </c>
      <c r="K413" t="inlineStr">
        <is>
          <t>CH2</t>
        </is>
      </c>
    </row>
    <row r="414">
      <c r="A414" s="33" t="n">
        <v>45700</v>
      </c>
      <c r="B414" t="inlineStr">
        <is>
          <t>2025-02</t>
        </is>
      </c>
      <c r="C414" t="inlineStr">
        <is>
          <t>Sin cliente</t>
        </is>
      </c>
      <c r="D414" t="inlineStr">
        <is>
          <t>PLATAFORMAS RAP-PEYA-UBER-GOOD</t>
        </is>
      </c>
      <c r="E414" s="34" t="n">
        <v>23760</v>
      </c>
      <c r="F414" t="inlineStr">
        <is>
          <t>B</t>
        </is>
      </c>
      <c r="G414" s="34" t="n">
        <v>3794</v>
      </c>
      <c r="H414" s="34" t="n">
        <v>19966</v>
      </c>
      <c r="I414" t="inlineStr">
        <is>
          <t>3.6</t>
        </is>
      </c>
      <c r="J414" t="inlineStr">
        <is>
          <t>Ventas Delivery Apps</t>
        </is>
      </c>
      <c r="K414" t="inlineStr">
        <is>
          <t>CH3</t>
        </is>
      </c>
    </row>
    <row r="415">
      <c r="A415" s="33" t="n">
        <v>45700</v>
      </c>
      <c r="B415" t="inlineStr">
        <is>
          <t>2025-02</t>
        </is>
      </c>
      <c r="C415" t="inlineStr">
        <is>
          <t>Umi Aravena</t>
        </is>
      </c>
      <c r="D415" t="inlineStr">
        <is>
          <t>PACKS GOURMET</t>
        </is>
      </c>
      <c r="E415" s="34" t="n">
        <v>24790</v>
      </c>
      <c r="F415" t="inlineStr">
        <is>
          <t>B</t>
        </is>
      </c>
      <c r="G415" s="34" t="n">
        <v>3958</v>
      </c>
      <c r="H415" s="34" t="n">
        <v>20832</v>
      </c>
      <c r="I415" t="inlineStr">
        <is>
          <t>3.2</t>
        </is>
      </c>
      <c r="J415" t="inlineStr">
        <is>
          <t>Ventas Personas (B2C)</t>
        </is>
      </c>
      <c r="K415" t="inlineStr">
        <is>
          <t>CH2</t>
        </is>
      </c>
    </row>
    <row r="416">
      <c r="A416" s="33" t="n">
        <v>45700</v>
      </c>
      <c r="B416" t="inlineStr">
        <is>
          <t>2025-02</t>
        </is>
      </c>
      <c r="C416" t="inlineStr">
        <is>
          <t>Sin cliente</t>
        </is>
      </c>
      <c r="D416" t="inlineStr">
        <is>
          <t>PLATAFORMAS RAP-PEYA-UBER-GOOD</t>
        </is>
      </c>
      <c r="E416" s="34" t="n">
        <v>30000</v>
      </c>
      <c r="F416" t="inlineStr">
        <is>
          <t>B</t>
        </is>
      </c>
      <c r="G416" s="34" t="n">
        <v>4790</v>
      </c>
      <c r="H416" s="34" t="n">
        <v>25210</v>
      </c>
      <c r="I416" t="inlineStr">
        <is>
          <t>3.6</t>
        </is>
      </c>
      <c r="J416" t="inlineStr">
        <is>
          <t>Ventas Delivery Apps</t>
        </is>
      </c>
      <c r="K416" t="inlineStr">
        <is>
          <t>CH3</t>
        </is>
      </c>
    </row>
    <row r="417">
      <c r="A417" s="33" t="n">
        <v>45700</v>
      </c>
      <c r="B417" t="inlineStr">
        <is>
          <t>2025-02</t>
        </is>
      </c>
      <c r="C417" t="inlineStr">
        <is>
          <t>Sin cliente</t>
        </is>
      </c>
      <c r="D417" t="inlineStr">
        <is>
          <t>Delicatessen</t>
        </is>
      </c>
      <c r="E417" s="34" t="n">
        <v>50870</v>
      </c>
      <c r="F417" t="inlineStr">
        <is>
          <t>B</t>
        </is>
      </c>
      <c r="G417" s="34" t="n">
        <v>8122</v>
      </c>
      <c r="H417" s="34" t="n">
        <v>42748</v>
      </c>
      <c r="I417" t="inlineStr">
        <is>
          <t>3.2</t>
        </is>
      </c>
      <c r="J417" t="inlineStr">
        <is>
          <t>Ventas Personas (B2C)</t>
        </is>
      </c>
      <c r="K417" t="inlineStr">
        <is>
          <t>CH2</t>
        </is>
      </c>
    </row>
    <row r="418">
      <c r="A418" s="33" t="n">
        <v>45700</v>
      </c>
      <c r="B418" t="inlineStr">
        <is>
          <t>2025-02</t>
        </is>
      </c>
      <c r="C418" t="inlineStr">
        <is>
          <t>Javiera Escudero</t>
        </is>
      </c>
      <c r="D418" t="inlineStr">
        <is>
          <t>CANELE SIN AZUCAR</t>
        </is>
      </c>
      <c r="E418" s="34" t="n">
        <v>35860</v>
      </c>
      <c r="F418" t="inlineStr">
        <is>
          <t>B</t>
        </is>
      </c>
      <c r="G418" s="34" t="n">
        <v>5726</v>
      </c>
      <c r="H418" s="34" t="n">
        <v>30134</v>
      </c>
      <c r="I418" t="inlineStr">
        <is>
          <t>3.2</t>
        </is>
      </c>
      <c r="J418" t="inlineStr">
        <is>
          <t>Ventas Personas (B2C)</t>
        </is>
      </c>
      <c r="K418" t="inlineStr">
        <is>
          <t>CH2</t>
        </is>
      </c>
    </row>
    <row r="419">
      <c r="A419" s="33" t="n">
        <v>45700</v>
      </c>
      <c r="B419" t="inlineStr">
        <is>
          <t>2025-02</t>
        </is>
      </c>
      <c r="C419" t="inlineStr">
        <is>
          <t>Antonia Browne</t>
        </is>
      </c>
      <c r="D419" t="inlineStr">
        <is>
          <t>CANELÉ TRADICIONAL</t>
        </is>
      </c>
      <c r="E419" s="34" t="n">
        <v>34689</v>
      </c>
      <c r="F419" t="inlineStr">
        <is>
          <t>B</t>
        </is>
      </c>
      <c r="G419" s="34" t="n">
        <v>5539</v>
      </c>
      <c r="H419" s="34" t="n">
        <v>29150</v>
      </c>
      <c r="I419" t="inlineStr">
        <is>
          <t>3.2</t>
        </is>
      </c>
      <c r="J419" t="inlineStr">
        <is>
          <t>Ventas Personas (B2C)</t>
        </is>
      </c>
      <c r="K419" t="inlineStr">
        <is>
          <t>CH2</t>
        </is>
      </c>
    </row>
    <row r="420">
      <c r="A420" s="33" t="n">
        <v>45700</v>
      </c>
      <c r="B420" t="inlineStr">
        <is>
          <t>2025-02</t>
        </is>
      </c>
      <c r="C420" t="inlineStr">
        <is>
          <t>Sebastián Vázquez</t>
        </is>
      </c>
      <c r="D420" t="inlineStr">
        <is>
          <t>PACKS GOURMET</t>
        </is>
      </c>
      <c r="E420" s="34" t="n">
        <v>24790</v>
      </c>
      <c r="F420" t="inlineStr">
        <is>
          <t>B</t>
        </is>
      </c>
      <c r="G420" s="34" t="n">
        <v>3958</v>
      </c>
      <c r="H420" s="34" t="n">
        <v>20832</v>
      </c>
      <c r="I420" t="inlineStr">
        <is>
          <t>3.2</t>
        </is>
      </c>
      <c r="J420" t="inlineStr">
        <is>
          <t>Ventas Personas (B2C)</t>
        </is>
      </c>
      <c r="K420" t="inlineStr">
        <is>
          <t>CH2</t>
        </is>
      </c>
    </row>
    <row r="421">
      <c r="A421" s="33" t="n">
        <v>45700</v>
      </c>
      <c r="B421" t="inlineStr">
        <is>
          <t>2025-02</t>
        </is>
      </c>
      <c r="C421" t="inlineStr">
        <is>
          <t>Sin cliente</t>
        </is>
      </c>
      <c r="D421" t="inlineStr">
        <is>
          <t>CANELÉ TRADICIONAL</t>
        </is>
      </c>
      <c r="E421" s="34" t="n">
        <v>31800</v>
      </c>
      <c r="F421" t="inlineStr">
        <is>
          <t>B</t>
        </is>
      </c>
      <c r="G421" s="34" t="n">
        <v>5077</v>
      </c>
      <c r="H421" s="34" t="n">
        <v>26723</v>
      </c>
      <c r="I421" t="inlineStr">
        <is>
          <t>3.2</t>
        </is>
      </c>
      <c r="J421" t="inlineStr">
        <is>
          <t>Ventas Personas (B2C)</t>
        </is>
      </c>
      <c r="K421" t="inlineStr">
        <is>
          <t>CH2</t>
        </is>
      </c>
    </row>
    <row r="422">
      <c r="A422" s="33" t="n">
        <v>45700</v>
      </c>
      <c r="B422" t="inlineStr">
        <is>
          <t>2025-02</t>
        </is>
      </c>
      <c r="C422" t="inlineStr">
        <is>
          <t>Lea LIZAMA</t>
        </is>
      </c>
      <c r="D422" t="inlineStr">
        <is>
          <t>Petit Tradicional</t>
        </is>
      </c>
      <c r="E422" s="34" t="n">
        <v>15790</v>
      </c>
      <c r="F422" t="inlineStr">
        <is>
          <t>B</t>
        </is>
      </c>
      <c r="G422" s="34" t="n">
        <v>2521</v>
      </c>
      <c r="H422" s="34" t="n">
        <v>13269</v>
      </c>
      <c r="I422" t="inlineStr">
        <is>
          <t>3.2</t>
        </is>
      </c>
      <c r="J422" t="inlineStr">
        <is>
          <t>Ventas Personas (B2C)</t>
        </is>
      </c>
      <c r="K422" t="inlineStr">
        <is>
          <t>CH2</t>
        </is>
      </c>
    </row>
    <row r="423">
      <c r="A423" s="33" t="n">
        <v>45701</v>
      </c>
      <c r="B423" t="inlineStr">
        <is>
          <t>2025-02</t>
        </is>
      </c>
      <c r="C423" t="inlineStr">
        <is>
          <t>Loreto Roman Núñez</t>
        </is>
      </c>
      <c r="D423" t="inlineStr">
        <is>
          <t>Delicatessen</t>
        </is>
      </c>
      <c r="E423" s="34" t="n">
        <v>19790</v>
      </c>
      <c r="F423" t="inlineStr">
        <is>
          <t>B</t>
        </is>
      </c>
      <c r="G423" s="34" t="n">
        <v>3160</v>
      </c>
      <c r="H423" s="34" t="n">
        <v>16630</v>
      </c>
      <c r="I423" t="inlineStr">
        <is>
          <t>3.2</t>
        </is>
      </c>
      <c r="J423" t="inlineStr">
        <is>
          <t>Ventas Personas (B2C)</t>
        </is>
      </c>
      <c r="K423" t="inlineStr">
        <is>
          <t>CH2</t>
        </is>
      </c>
    </row>
    <row r="424">
      <c r="A424" s="33" t="n">
        <v>45701</v>
      </c>
      <c r="B424" t="inlineStr">
        <is>
          <t>2025-02</t>
        </is>
      </c>
      <c r="C424" t="inlineStr">
        <is>
          <t>Sin cliente</t>
        </is>
      </c>
      <c r="D424" t="inlineStr">
        <is>
          <t>CANELÉ TRADICIONAL</t>
        </is>
      </c>
      <c r="E424" s="34" t="n">
        <v>19800</v>
      </c>
      <c r="F424" t="inlineStr">
        <is>
          <t>B</t>
        </is>
      </c>
      <c r="G424" s="34" t="n">
        <v>3161</v>
      </c>
      <c r="H424" s="34" t="n">
        <v>16639</v>
      </c>
      <c r="I424" t="inlineStr">
        <is>
          <t>3.2</t>
        </is>
      </c>
      <c r="J424" t="inlineStr">
        <is>
          <t>Ventas Personas (B2C)</t>
        </is>
      </c>
      <c r="K424" t="inlineStr">
        <is>
          <t>CH2</t>
        </is>
      </c>
    </row>
    <row r="425">
      <c r="A425" s="33" t="n">
        <v>45701</v>
      </c>
      <c r="B425" t="inlineStr">
        <is>
          <t>2025-02</t>
        </is>
      </c>
      <c r="C425" t="inlineStr">
        <is>
          <t>GABRIELA BAUTISTA</t>
        </is>
      </c>
      <c r="D425" t="inlineStr">
        <is>
          <t>PACKS GOURMET</t>
        </is>
      </c>
      <c r="E425" s="34" t="n">
        <v>22000</v>
      </c>
      <c r="F425" t="inlineStr">
        <is>
          <t>B</t>
        </is>
      </c>
      <c r="G425" s="34" t="n">
        <v>3513</v>
      </c>
      <c r="H425" s="34" t="n">
        <v>18487</v>
      </c>
      <c r="I425" t="inlineStr">
        <is>
          <t>3.2</t>
        </is>
      </c>
      <c r="J425" t="inlineStr">
        <is>
          <t>Ventas Personas (B2C)</t>
        </is>
      </c>
      <c r="K425" t="inlineStr">
        <is>
          <t>CH2</t>
        </is>
      </c>
    </row>
    <row r="426">
      <c r="A426" s="33" t="n">
        <v>45701</v>
      </c>
      <c r="B426" t="inlineStr">
        <is>
          <t>2025-02</t>
        </is>
      </c>
      <c r="C426" t="inlineStr">
        <is>
          <t>Sin cliente</t>
        </is>
      </c>
      <c r="D426" t="inlineStr">
        <is>
          <t>PLATAFORMAS RAP-PEYA-UBER-GOOD</t>
        </is>
      </c>
      <c r="E426" s="34" t="n">
        <v>33360</v>
      </c>
      <c r="F426" t="inlineStr">
        <is>
          <t>B</t>
        </is>
      </c>
      <c r="G426" s="34" t="n">
        <v>5326</v>
      </c>
      <c r="H426" s="34" t="n">
        <v>28034</v>
      </c>
      <c r="I426" t="inlineStr">
        <is>
          <t>3.6</t>
        </is>
      </c>
      <c r="J426" t="inlineStr">
        <is>
          <t>Ventas Delivery Apps</t>
        </is>
      </c>
      <c r="K426" t="inlineStr">
        <is>
          <t>CH3</t>
        </is>
      </c>
    </row>
    <row r="427">
      <c r="A427" s="33" t="n">
        <v>45701</v>
      </c>
      <c r="B427" t="inlineStr">
        <is>
          <t>2025-02</t>
        </is>
      </c>
      <c r="C427" t="inlineStr">
        <is>
          <t>Kurth Pinto Krause</t>
        </is>
      </c>
      <c r="D427" t="inlineStr">
        <is>
          <t>PACKS GOURMET</t>
        </is>
      </c>
      <c r="E427" s="34" t="n">
        <v>41016</v>
      </c>
      <c r="F427" t="inlineStr">
        <is>
          <t>B</t>
        </is>
      </c>
      <c r="G427" s="34" t="n">
        <v>6549</v>
      </c>
      <c r="H427" s="34" t="n">
        <v>34467</v>
      </c>
      <c r="I427" t="inlineStr">
        <is>
          <t>3.2</t>
        </is>
      </c>
      <c r="J427" t="inlineStr">
        <is>
          <t>Ventas Personas (B2C)</t>
        </is>
      </c>
      <c r="K427" t="inlineStr">
        <is>
          <t>CH2</t>
        </is>
      </c>
    </row>
    <row r="428">
      <c r="A428" s="33" t="n">
        <v>45701</v>
      </c>
      <c r="B428" t="inlineStr">
        <is>
          <t>2025-02</t>
        </is>
      </c>
      <c r="C428" t="inlineStr">
        <is>
          <t>Sofia Solari</t>
        </is>
      </c>
      <c r="D428" t="inlineStr">
        <is>
          <t>PACKS GOURMET</t>
        </is>
      </c>
      <c r="E428" s="34" t="n">
        <v>48990</v>
      </c>
      <c r="F428" t="inlineStr">
        <is>
          <t>B</t>
        </is>
      </c>
      <c r="G428" s="34" t="n">
        <v>7822</v>
      </c>
      <c r="H428" s="34" t="n">
        <v>41168</v>
      </c>
      <c r="I428" t="inlineStr">
        <is>
          <t>3.2</t>
        </is>
      </c>
      <c r="J428" t="inlineStr">
        <is>
          <t>Ventas Personas (B2C)</t>
        </is>
      </c>
      <c r="K428" t="inlineStr">
        <is>
          <t>CH2</t>
        </is>
      </c>
    </row>
    <row r="429">
      <c r="A429" s="33" t="n">
        <v>45701</v>
      </c>
      <c r="B429" t="inlineStr">
        <is>
          <t>2025-02</t>
        </is>
      </c>
      <c r="C429" t="inlineStr">
        <is>
          <t>Nico fuentes</t>
        </is>
      </c>
      <c r="D429" t="inlineStr">
        <is>
          <t>PACKS GOURMET</t>
        </is>
      </c>
      <c r="E429" s="34" t="n">
        <v>22000</v>
      </c>
      <c r="F429" t="inlineStr">
        <is>
          <t>B</t>
        </is>
      </c>
      <c r="G429" s="34" t="n">
        <v>3513</v>
      </c>
      <c r="H429" s="34" t="n">
        <v>18487</v>
      </c>
      <c r="I429" t="inlineStr">
        <is>
          <t>3.2</t>
        </is>
      </c>
      <c r="J429" t="inlineStr">
        <is>
          <t>Ventas Personas (B2C)</t>
        </is>
      </c>
      <c r="K429" t="inlineStr">
        <is>
          <t>CH2</t>
        </is>
      </c>
    </row>
    <row r="430">
      <c r="A430" s="33" t="n">
        <v>45701</v>
      </c>
      <c r="B430" t="inlineStr">
        <is>
          <t>2025-02</t>
        </is>
      </c>
      <c r="C430" t="inlineStr">
        <is>
          <t>MIGUEL GONZALEZ ARAVENA</t>
        </is>
      </c>
      <c r="D430" t="inlineStr">
        <is>
          <t>PACKS GOURMET</t>
        </is>
      </c>
      <c r="E430" s="34" t="n">
        <v>26990</v>
      </c>
      <c r="F430" t="inlineStr">
        <is>
          <t>B</t>
        </is>
      </c>
      <c r="G430" s="34" t="n">
        <v>4309</v>
      </c>
      <c r="H430" s="34" t="n">
        <v>22681</v>
      </c>
      <c r="I430" t="inlineStr">
        <is>
          <t>3.2</t>
        </is>
      </c>
      <c r="J430" t="inlineStr">
        <is>
          <t>Ventas Personas (B2C)</t>
        </is>
      </c>
      <c r="K430" t="inlineStr">
        <is>
          <t>CH2</t>
        </is>
      </c>
    </row>
    <row r="431">
      <c r="A431" s="33" t="n">
        <v>45701</v>
      </c>
      <c r="B431" t="inlineStr">
        <is>
          <t>2025-02</t>
        </is>
      </c>
      <c r="C431" t="inlineStr">
        <is>
          <t>Danna Garreton Villalobos</t>
        </is>
      </c>
      <c r="D431" t="inlineStr">
        <is>
          <t>PACKS GOURMET</t>
        </is>
      </c>
      <c r="E431" s="34" t="n">
        <v>18700</v>
      </c>
      <c r="F431" t="inlineStr">
        <is>
          <t>B</t>
        </is>
      </c>
      <c r="G431" s="34" t="n">
        <v>2986</v>
      </c>
      <c r="H431" s="34" t="n">
        <v>15714</v>
      </c>
      <c r="I431" t="inlineStr">
        <is>
          <t>3.2</t>
        </is>
      </c>
      <c r="J431" t="inlineStr">
        <is>
          <t>Ventas Personas (B2C)</t>
        </is>
      </c>
      <c r="K431" t="inlineStr">
        <is>
          <t>CH2</t>
        </is>
      </c>
    </row>
    <row r="432">
      <c r="A432" s="33" t="n">
        <v>45701</v>
      </c>
      <c r="B432" t="inlineStr">
        <is>
          <t>2025-02</t>
        </is>
      </c>
      <c r="C432" t="inlineStr">
        <is>
          <t>Paulina Vega Amengual</t>
        </is>
      </c>
      <c r="D432" t="inlineStr">
        <is>
          <t>PACKS GOURMET</t>
        </is>
      </c>
      <c r="E432" s="34" t="n">
        <v>26990</v>
      </c>
      <c r="F432" t="inlineStr">
        <is>
          <t>B</t>
        </is>
      </c>
      <c r="G432" s="34" t="n">
        <v>4309</v>
      </c>
      <c r="H432" s="34" t="n">
        <v>22681</v>
      </c>
      <c r="I432" t="inlineStr">
        <is>
          <t>3.2</t>
        </is>
      </c>
      <c r="J432" t="inlineStr">
        <is>
          <t>Ventas Personas (B2C)</t>
        </is>
      </c>
      <c r="K432" t="inlineStr">
        <is>
          <t>CH2</t>
        </is>
      </c>
    </row>
    <row r="433">
      <c r="A433" s="33" t="n">
        <v>45701</v>
      </c>
      <c r="B433" t="inlineStr">
        <is>
          <t>2025-02</t>
        </is>
      </c>
      <c r="C433" t="inlineStr">
        <is>
          <t>Macarena Serradell</t>
        </is>
      </c>
      <c r="D433" t="inlineStr">
        <is>
          <t>PACKS GOURMET</t>
        </is>
      </c>
      <c r="E433" s="34" t="n">
        <v>24790</v>
      </c>
      <c r="F433" t="inlineStr">
        <is>
          <t>B</t>
        </is>
      </c>
      <c r="G433" s="34" t="n">
        <v>3958</v>
      </c>
      <c r="H433" s="34" t="n">
        <v>20832</v>
      </c>
      <c r="I433" t="inlineStr">
        <is>
          <t>3.2</t>
        </is>
      </c>
      <c r="J433" t="inlineStr">
        <is>
          <t>Ventas Personas (B2C)</t>
        </is>
      </c>
      <c r="K433" t="inlineStr">
        <is>
          <t>CH2</t>
        </is>
      </c>
    </row>
    <row r="434">
      <c r="A434" s="33" t="n">
        <v>45701</v>
      </c>
      <c r="B434" t="inlineStr">
        <is>
          <t>2025-02</t>
        </is>
      </c>
      <c r="C434" t="inlineStr">
        <is>
          <t>CAFÉ UNDER SPA</t>
        </is>
      </c>
      <c r="D434" t="inlineStr">
        <is>
          <t>HORECA CAFETERIA</t>
        </is>
      </c>
      <c r="E434" s="34" t="n">
        <v>63990</v>
      </c>
      <c r="F434" t="inlineStr">
        <is>
          <t>F</t>
        </is>
      </c>
      <c r="G434" s="34" t="n">
        <v>10217</v>
      </c>
      <c r="H434" s="34" t="n">
        <v>53773</v>
      </c>
      <c r="I434" t="inlineStr">
        <is>
          <t>3.1</t>
        </is>
      </c>
      <c r="J434" t="inlineStr">
        <is>
          <t>Ventas HoReCa</t>
        </is>
      </c>
      <c r="K434" t="inlineStr">
        <is>
          <t>CH1</t>
        </is>
      </c>
    </row>
    <row r="435">
      <c r="A435" s="33" t="n">
        <v>45701</v>
      </c>
      <c r="B435" t="inlineStr">
        <is>
          <t>2025-02</t>
        </is>
      </c>
      <c r="C435" t="inlineStr">
        <is>
          <t>Sociedad de inversiones solari y acuña spa</t>
        </is>
      </c>
      <c r="D435" t="inlineStr">
        <is>
          <t>HORECA CAFETERIA</t>
        </is>
      </c>
      <c r="E435" s="34" t="n">
        <v>88590</v>
      </c>
      <c r="F435" t="inlineStr">
        <is>
          <t>F</t>
        </is>
      </c>
      <c r="G435" s="34" t="n">
        <v>14145</v>
      </c>
      <c r="H435" s="34" t="n">
        <v>74445</v>
      </c>
      <c r="I435" t="inlineStr">
        <is>
          <t>3.1</t>
        </is>
      </c>
      <c r="J435" t="inlineStr">
        <is>
          <t>Ventas HoReCa</t>
        </is>
      </c>
      <c r="K435" t="inlineStr">
        <is>
          <t>CH1</t>
        </is>
      </c>
    </row>
    <row r="436">
      <c r="A436" s="33" t="n">
        <v>45701</v>
      </c>
      <c r="B436" t="inlineStr">
        <is>
          <t>2025-02</t>
        </is>
      </c>
      <c r="C436" t="inlineStr">
        <is>
          <t>Josefina Santana</t>
        </is>
      </c>
      <c r="D436" t="inlineStr">
        <is>
          <t>Petit Tradicional</t>
        </is>
      </c>
      <c r="E436" s="34" t="n">
        <v>14710</v>
      </c>
      <c r="F436" t="inlineStr">
        <is>
          <t>B</t>
        </is>
      </c>
      <c r="G436" s="34" t="n">
        <v>2349</v>
      </c>
      <c r="H436" s="34" t="n">
        <v>12361</v>
      </c>
      <c r="I436" t="inlineStr">
        <is>
          <t>3.2</t>
        </is>
      </c>
      <c r="J436" t="inlineStr">
        <is>
          <t>Ventas Personas (B2C)</t>
        </is>
      </c>
      <c r="K436" t="inlineStr">
        <is>
          <t>CH2</t>
        </is>
      </c>
    </row>
    <row r="437">
      <c r="A437" s="33" t="n">
        <v>45701</v>
      </c>
      <c r="B437" t="inlineStr">
        <is>
          <t>2025-02</t>
        </is>
      </c>
      <c r="C437" t="inlineStr">
        <is>
          <t>Noemis Rodriguez</t>
        </is>
      </c>
      <c r="D437" t="inlineStr">
        <is>
          <t>PACKS GOURMET</t>
        </is>
      </c>
      <c r="E437" s="34" t="n">
        <v>26990</v>
      </c>
      <c r="F437" t="inlineStr">
        <is>
          <t>B</t>
        </is>
      </c>
      <c r="G437" s="34" t="n">
        <v>4309</v>
      </c>
      <c r="H437" s="34" t="n">
        <v>22681</v>
      </c>
      <c r="I437" t="inlineStr">
        <is>
          <t>3.2</t>
        </is>
      </c>
      <c r="J437" t="inlineStr">
        <is>
          <t>Ventas Personas (B2C)</t>
        </is>
      </c>
      <c r="K437" t="inlineStr">
        <is>
          <t>CH2</t>
        </is>
      </c>
    </row>
    <row r="438">
      <c r="A438" s="33" t="n">
        <v>45701</v>
      </c>
      <c r="B438" t="inlineStr">
        <is>
          <t>2025-02</t>
        </is>
      </c>
      <c r="C438" t="inlineStr">
        <is>
          <t>CAFE DIARIO ENCOMENDEROS SPA</t>
        </is>
      </c>
      <c r="D438" t="inlineStr">
        <is>
          <t>HORECA CAFETERIA</t>
        </is>
      </c>
      <c r="E438" s="34" t="n">
        <v>58611</v>
      </c>
      <c r="F438" t="inlineStr">
        <is>
          <t>F</t>
        </is>
      </c>
      <c r="G438" s="34" t="n">
        <v>9358</v>
      </c>
      <c r="H438" s="34" t="n">
        <v>49253</v>
      </c>
      <c r="I438" t="inlineStr">
        <is>
          <t>3.1</t>
        </is>
      </c>
      <c r="J438" t="inlineStr">
        <is>
          <t>Ventas HoReCa</t>
        </is>
      </c>
      <c r="K438" t="inlineStr">
        <is>
          <t>CH1</t>
        </is>
      </c>
    </row>
    <row r="439">
      <c r="A439" s="33" t="n">
        <v>45701</v>
      </c>
      <c r="B439" t="inlineStr">
        <is>
          <t>2025-02</t>
        </is>
      </c>
      <c r="C439" t="inlineStr">
        <is>
          <t>Sin cliente</t>
        </is>
      </c>
      <c r="D439" t="inlineStr">
        <is>
          <t>Mix Sabores</t>
        </is>
      </c>
      <c r="E439" s="34" t="n">
        <v>14800</v>
      </c>
      <c r="F439" t="inlineStr">
        <is>
          <t>B</t>
        </is>
      </c>
      <c r="G439" s="34" t="n">
        <v>2363</v>
      </c>
      <c r="H439" s="34" t="n">
        <v>12437</v>
      </c>
      <c r="I439" t="inlineStr">
        <is>
          <t>3.2</t>
        </is>
      </c>
      <c r="J439" t="inlineStr">
        <is>
          <t>Ventas Personas (B2C)</t>
        </is>
      </c>
      <c r="K439" t="inlineStr">
        <is>
          <t>CH2</t>
        </is>
      </c>
    </row>
    <row r="440">
      <c r="A440" s="33" t="n">
        <v>45701</v>
      </c>
      <c r="B440" t="inlineStr">
        <is>
          <t>2025-02</t>
        </is>
      </c>
      <c r="C440" t="inlineStr">
        <is>
          <t>Sin cliente</t>
        </is>
      </c>
      <c r="D440" t="inlineStr">
        <is>
          <t>PLATAFORMAS RAP-PEYA-UBER-GOOD</t>
        </is>
      </c>
      <c r="E440" s="34" t="n">
        <v>44160</v>
      </c>
      <c r="F440" t="inlineStr">
        <is>
          <t>B</t>
        </is>
      </c>
      <c r="G440" s="34" t="n">
        <v>7051</v>
      </c>
      <c r="H440" s="34" t="n">
        <v>37109</v>
      </c>
      <c r="I440" t="inlineStr">
        <is>
          <t>3.6</t>
        </is>
      </c>
      <c r="J440" t="inlineStr">
        <is>
          <t>Ventas Delivery Apps</t>
        </is>
      </c>
      <c r="K440" t="inlineStr">
        <is>
          <t>CH3</t>
        </is>
      </c>
    </row>
    <row r="441">
      <c r="A441" s="33" t="n">
        <v>45701</v>
      </c>
      <c r="B441" t="inlineStr">
        <is>
          <t>2025-02</t>
        </is>
      </c>
      <c r="C441" t="inlineStr">
        <is>
          <t>Sin cliente</t>
        </is>
      </c>
      <c r="D441" t="inlineStr">
        <is>
          <t>Rellenos</t>
        </is>
      </c>
      <c r="E441" s="34" t="n">
        <v>17520</v>
      </c>
      <c r="F441" t="inlineStr">
        <is>
          <t>B</t>
        </is>
      </c>
      <c r="G441" s="34" t="n">
        <v>2797</v>
      </c>
      <c r="H441" s="34" t="n">
        <v>14723</v>
      </c>
      <c r="I441" t="inlineStr">
        <is>
          <t>3.2</t>
        </is>
      </c>
      <c r="J441" t="inlineStr">
        <is>
          <t>Ventas Personas (B2C)</t>
        </is>
      </c>
      <c r="K441" t="inlineStr">
        <is>
          <t>CH2</t>
        </is>
      </c>
    </row>
    <row r="442">
      <c r="A442" s="33" t="n">
        <v>45701</v>
      </c>
      <c r="B442" t="inlineStr">
        <is>
          <t>2025-02</t>
        </is>
      </c>
      <c r="C442" t="inlineStr">
        <is>
          <t>Sin cliente</t>
        </is>
      </c>
      <c r="D442" t="inlineStr">
        <is>
          <t>PLATAFORMAS RAP-PEYA-UBER-GOOD</t>
        </is>
      </c>
      <c r="E442" s="34" t="n">
        <v>40440</v>
      </c>
      <c r="F442" t="inlineStr">
        <is>
          <t>B</t>
        </is>
      </c>
      <c r="G442" s="34" t="n">
        <v>6457</v>
      </c>
      <c r="H442" s="34" t="n">
        <v>33983</v>
      </c>
      <c r="I442" t="inlineStr">
        <is>
          <t>3.6</t>
        </is>
      </c>
      <c r="J442" t="inlineStr">
        <is>
          <t>Ventas Delivery Apps</t>
        </is>
      </c>
      <c r="K442" t="inlineStr">
        <is>
          <t>CH3</t>
        </is>
      </c>
    </row>
    <row r="443">
      <c r="A443" s="33" t="n">
        <v>45701</v>
      </c>
      <c r="B443" t="inlineStr">
        <is>
          <t>2025-02</t>
        </is>
      </c>
      <c r="C443" t="inlineStr">
        <is>
          <t>sarilu sanchez</t>
        </is>
      </c>
      <c r="D443" t="inlineStr">
        <is>
          <t>Delicatessen</t>
        </is>
      </c>
      <c r="E443" s="34" t="n">
        <v>34590</v>
      </c>
      <c r="F443" t="inlineStr">
        <is>
          <t>B</t>
        </is>
      </c>
      <c r="G443" s="34" t="n">
        <v>5523</v>
      </c>
      <c r="H443" s="34" t="n">
        <v>29067</v>
      </c>
      <c r="I443" t="inlineStr">
        <is>
          <t>3.2</t>
        </is>
      </c>
      <c r="J443" t="inlineStr">
        <is>
          <t>Ventas Personas (B2C)</t>
        </is>
      </c>
      <c r="K443" t="inlineStr">
        <is>
          <t>CH2</t>
        </is>
      </c>
    </row>
    <row r="444">
      <c r="A444" s="33" t="n">
        <v>45701</v>
      </c>
      <c r="B444" t="inlineStr">
        <is>
          <t>2025-02</t>
        </is>
      </c>
      <c r="C444" t="inlineStr">
        <is>
          <t>Maria Fernanda Sáez</t>
        </is>
      </c>
      <c r="D444" t="inlineStr">
        <is>
          <t>CANELÉ TRADICIONAL</t>
        </is>
      </c>
      <c r="E444" s="34" t="n">
        <v>17889</v>
      </c>
      <c r="F444" t="inlineStr">
        <is>
          <t>B</t>
        </is>
      </c>
      <c r="G444" s="34" t="n">
        <v>2856</v>
      </c>
      <c r="H444" s="34" t="n">
        <v>15033</v>
      </c>
      <c r="I444" t="inlineStr">
        <is>
          <t>3.2</t>
        </is>
      </c>
      <c r="J444" t="inlineStr">
        <is>
          <t>Ventas Personas (B2C)</t>
        </is>
      </c>
      <c r="K444" t="inlineStr">
        <is>
          <t>CH2</t>
        </is>
      </c>
    </row>
    <row r="445">
      <c r="A445" s="33" t="n">
        <v>45701</v>
      </c>
      <c r="B445" t="inlineStr">
        <is>
          <t>2025-02</t>
        </is>
      </c>
      <c r="C445" t="inlineStr">
        <is>
          <t>JOSE VELASQUEZ</t>
        </is>
      </c>
      <c r="D445" t="inlineStr">
        <is>
          <t>PACKS GOURMET</t>
        </is>
      </c>
      <c r="E445" s="34" t="n">
        <v>25990</v>
      </c>
      <c r="F445" t="inlineStr">
        <is>
          <t>B</t>
        </is>
      </c>
      <c r="G445" s="34" t="n">
        <v>4150</v>
      </c>
      <c r="H445" s="34" t="n">
        <v>21840</v>
      </c>
      <c r="I445" t="inlineStr">
        <is>
          <t>3.2</t>
        </is>
      </c>
      <c r="J445" t="inlineStr">
        <is>
          <t>Ventas Personas (B2C)</t>
        </is>
      </c>
      <c r="K445" t="inlineStr">
        <is>
          <t>CH2</t>
        </is>
      </c>
    </row>
    <row r="446">
      <c r="A446" s="33" t="n">
        <v>45701</v>
      </c>
      <c r="B446" t="inlineStr">
        <is>
          <t>2025-02</t>
        </is>
      </c>
      <c r="C446" t="inlineStr">
        <is>
          <t>Andrea Gallardo</t>
        </is>
      </c>
      <c r="D446" t="inlineStr">
        <is>
          <t>Delicatessen</t>
        </is>
      </c>
      <c r="E446" s="34" t="n">
        <v>39879</v>
      </c>
      <c r="F446" t="inlineStr">
        <is>
          <t>B</t>
        </is>
      </c>
      <c r="G446" s="34" t="n">
        <v>6367</v>
      </c>
      <c r="H446" s="34" t="n">
        <v>33512</v>
      </c>
      <c r="I446" t="inlineStr">
        <is>
          <t>3.2</t>
        </is>
      </c>
      <c r="J446" t="inlineStr">
        <is>
          <t>Ventas Personas (B2C)</t>
        </is>
      </c>
      <c r="K446" t="inlineStr">
        <is>
          <t>CH2</t>
        </is>
      </c>
    </row>
    <row r="447">
      <c r="A447" s="33" t="n">
        <v>45701</v>
      </c>
      <c r="B447" t="inlineStr">
        <is>
          <t>2025-02</t>
        </is>
      </c>
      <c r="C447" t="inlineStr">
        <is>
          <t>simón varas san martin</t>
        </is>
      </c>
      <c r="D447" t="inlineStr">
        <is>
          <t>PACKS GOURMET</t>
        </is>
      </c>
      <c r="E447" s="34" t="n">
        <v>26990</v>
      </c>
      <c r="F447" t="inlineStr">
        <is>
          <t>B</t>
        </is>
      </c>
      <c r="G447" s="34" t="n">
        <v>4309</v>
      </c>
      <c r="H447" s="34" t="n">
        <v>22681</v>
      </c>
      <c r="I447" t="inlineStr">
        <is>
          <t>3.2</t>
        </is>
      </c>
      <c r="J447" t="inlineStr">
        <is>
          <t>Ventas Personas (B2C)</t>
        </is>
      </c>
      <c r="K447" t="inlineStr">
        <is>
          <t>CH2</t>
        </is>
      </c>
    </row>
    <row r="448">
      <c r="A448" s="33" t="n">
        <v>45701</v>
      </c>
      <c r="B448" t="inlineStr">
        <is>
          <t>2025-02</t>
        </is>
      </c>
      <c r="C448" t="inlineStr">
        <is>
          <t>Sin cliente</t>
        </is>
      </c>
      <c r="D448" t="inlineStr">
        <is>
          <t>CANELÉ TRADICIONAL</t>
        </is>
      </c>
      <c r="E448" s="34" t="n">
        <v>4400</v>
      </c>
      <c r="F448" t="inlineStr">
        <is>
          <t>B</t>
        </is>
      </c>
      <c r="G448" s="34" t="n">
        <v>703</v>
      </c>
      <c r="H448" s="34" t="n">
        <v>3697</v>
      </c>
      <c r="I448" t="inlineStr">
        <is>
          <t>3.2</t>
        </is>
      </c>
      <c r="J448" t="inlineStr">
        <is>
          <t>Ventas Personas (B2C)</t>
        </is>
      </c>
      <c r="K448" t="inlineStr">
        <is>
          <t>CH2</t>
        </is>
      </c>
    </row>
    <row r="449">
      <c r="A449" s="33" t="n">
        <v>45701</v>
      </c>
      <c r="B449" t="inlineStr">
        <is>
          <t>2025-02</t>
        </is>
      </c>
      <c r="C449" t="inlineStr">
        <is>
          <t>Maria Alejandra Palma</t>
        </is>
      </c>
      <c r="D449" t="inlineStr">
        <is>
          <t>Petit Tradicional</t>
        </is>
      </c>
      <c r="E449" s="34" t="n">
        <v>10800</v>
      </c>
      <c r="F449" t="inlineStr">
        <is>
          <t>B</t>
        </is>
      </c>
      <c r="G449" s="34" t="n">
        <v>1724</v>
      </c>
      <c r="H449" s="34" t="n">
        <v>9076</v>
      </c>
      <c r="I449" t="inlineStr">
        <is>
          <t>3.2</t>
        </is>
      </c>
      <c r="J449" t="inlineStr">
        <is>
          <t>Ventas Personas (B2C)</t>
        </is>
      </c>
      <c r="K449" t="inlineStr">
        <is>
          <t>CH2</t>
        </is>
      </c>
    </row>
    <row r="450">
      <c r="A450" s="33" t="n">
        <v>45701</v>
      </c>
      <c r="B450" t="inlineStr">
        <is>
          <t>2025-02</t>
        </is>
      </c>
      <c r="C450" t="inlineStr">
        <is>
          <t>Joaquin Toledo Rivas</t>
        </is>
      </c>
      <c r="D450" t="inlineStr">
        <is>
          <t>PACKS GOURMET</t>
        </is>
      </c>
      <c r="E450" s="34" t="n">
        <v>40770</v>
      </c>
      <c r="F450" t="inlineStr">
        <is>
          <t>B</t>
        </is>
      </c>
      <c r="G450" s="34" t="n">
        <v>6509</v>
      </c>
      <c r="H450" s="34" t="n">
        <v>34261</v>
      </c>
      <c r="I450" t="inlineStr">
        <is>
          <t>3.2</t>
        </is>
      </c>
      <c r="J450" t="inlineStr">
        <is>
          <t>Ventas Personas (B2C)</t>
        </is>
      </c>
      <c r="K450" t="inlineStr">
        <is>
          <t>CH2</t>
        </is>
      </c>
    </row>
    <row r="451">
      <c r="A451" s="33" t="n">
        <v>45701</v>
      </c>
      <c r="B451" t="inlineStr">
        <is>
          <t>2025-02</t>
        </is>
      </c>
      <c r="C451" t="inlineStr">
        <is>
          <t>Leonardo Norambuena Moreno</t>
        </is>
      </c>
      <c r="D451" t="inlineStr">
        <is>
          <t>PACKS GOURMET</t>
        </is>
      </c>
      <c r="E451" s="34" t="n">
        <v>22000</v>
      </c>
      <c r="F451" t="inlineStr">
        <is>
          <t>B</t>
        </is>
      </c>
      <c r="G451" s="34" t="n">
        <v>3513</v>
      </c>
      <c r="H451" s="34" t="n">
        <v>18487</v>
      </c>
      <c r="I451" t="inlineStr">
        <is>
          <t>3.2</t>
        </is>
      </c>
      <c r="J451" t="inlineStr">
        <is>
          <t>Ventas Personas (B2C)</t>
        </is>
      </c>
      <c r="K451" t="inlineStr">
        <is>
          <t>CH2</t>
        </is>
      </c>
    </row>
    <row r="452">
      <c r="A452" s="33" t="n">
        <v>45701</v>
      </c>
      <c r="B452" t="inlineStr">
        <is>
          <t>2025-02</t>
        </is>
      </c>
      <c r="C452" t="inlineStr">
        <is>
          <t>Cristian Villa</t>
        </is>
      </c>
      <c r="D452" t="inlineStr">
        <is>
          <t>Rellenos</t>
        </is>
      </c>
      <c r="E452" s="34" t="n">
        <v>26890</v>
      </c>
      <c r="F452" t="inlineStr">
        <is>
          <t>B</t>
        </is>
      </c>
      <c r="G452" s="34" t="n">
        <v>4293</v>
      </c>
      <c r="H452" s="34" t="n">
        <v>22597</v>
      </c>
      <c r="I452" t="inlineStr">
        <is>
          <t>3.2</t>
        </is>
      </c>
      <c r="J452" t="inlineStr">
        <is>
          <t>Ventas Personas (B2C)</t>
        </is>
      </c>
      <c r="K452" t="inlineStr">
        <is>
          <t>CH2</t>
        </is>
      </c>
    </row>
    <row r="453">
      <c r="A453" s="33" t="n">
        <v>45702</v>
      </c>
      <c r="B453" t="inlineStr">
        <is>
          <t>2025-02</t>
        </is>
      </c>
      <c r="C453" t="inlineStr">
        <is>
          <t>Josefa Hermosilla</t>
        </is>
      </c>
      <c r="D453" t="inlineStr">
        <is>
          <t>Mix Sabores</t>
        </is>
      </c>
      <c r="E453" s="34" t="n">
        <v>18789</v>
      </c>
      <c r="F453" t="inlineStr">
        <is>
          <t>B</t>
        </is>
      </c>
      <c r="G453" s="34" t="n">
        <v>3000</v>
      </c>
      <c r="H453" s="34" t="n">
        <v>15789</v>
      </c>
      <c r="I453" t="inlineStr">
        <is>
          <t>3.2</t>
        </is>
      </c>
      <c r="J453" t="inlineStr">
        <is>
          <t>Ventas Personas (B2C)</t>
        </is>
      </c>
      <c r="K453" t="inlineStr">
        <is>
          <t>CH2</t>
        </is>
      </c>
    </row>
    <row r="454">
      <c r="A454" s="33" t="n">
        <v>45702</v>
      </c>
      <c r="B454" t="inlineStr">
        <is>
          <t>2025-02</t>
        </is>
      </c>
      <c r="C454" t="inlineStr">
        <is>
          <t>Fabian Melinao</t>
        </is>
      </c>
      <c r="D454" t="inlineStr">
        <is>
          <t>CANELÉ TRADICIONAL</t>
        </is>
      </c>
      <c r="E454" s="34" t="n">
        <v>26950</v>
      </c>
      <c r="F454" t="inlineStr">
        <is>
          <t>B</t>
        </is>
      </c>
      <c r="G454" s="34" t="n">
        <v>4303</v>
      </c>
      <c r="H454" s="34" t="n">
        <v>22647</v>
      </c>
      <c r="I454" t="inlineStr">
        <is>
          <t>3.2</t>
        </is>
      </c>
      <c r="J454" t="inlineStr">
        <is>
          <t>Ventas Personas (B2C)</t>
        </is>
      </c>
      <c r="K454" t="inlineStr">
        <is>
          <t>CH2</t>
        </is>
      </c>
    </row>
    <row r="455">
      <c r="A455" s="33" t="n">
        <v>45702</v>
      </c>
      <c r="B455" t="inlineStr">
        <is>
          <t>2025-02</t>
        </is>
      </c>
      <c r="C455" t="inlineStr">
        <is>
          <t>Antonella Natalino</t>
        </is>
      </c>
      <c r="D455" t="inlineStr">
        <is>
          <t>PACKS GOURMET</t>
        </is>
      </c>
      <c r="E455" s="34" t="n">
        <v>26990</v>
      </c>
      <c r="F455" t="inlineStr">
        <is>
          <t>B</t>
        </is>
      </c>
      <c r="G455" s="34" t="n">
        <v>4309</v>
      </c>
      <c r="H455" s="34" t="n">
        <v>22681</v>
      </c>
      <c r="I455" t="inlineStr">
        <is>
          <t>3.2</t>
        </is>
      </c>
      <c r="J455" t="inlineStr">
        <is>
          <t>Ventas Personas (B2C)</t>
        </is>
      </c>
      <c r="K455" t="inlineStr">
        <is>
          <t>CH2</t>
        </is>
      </c>
    </row>
    <row r="456">
      <c r="A456" s="33" t="n">
        <v>45702</v>
      </c>
      <c r="B456" t="inlineStr">
        <is>
          <t>2025-02</t>
        </is>
      </c>
      <c r="C456" t="inlineStr">
        <is>
          <t>ALEXANDRA MOYA</t>
        </is>
      </c>
      <c r="D456" t="inlineStr">
        <is>
          <t>Mix Sabores</t>
        </is>
      </c>
      <c r="E456" s="34" t="n">
        <v>27790</v>
      </c>
      <c r="F456" t="inlineStr">
        <is>
          <t>B</t>
        </is>
      </c>
      <c r="G456" s="34" t="n">
        <v>4437</v>
      </c>
      <c r="H456" s="34" t="n">
        <v>23353</v>
      </c>
      <c r="I456" t="inlineStr">
        <is>
          <t>3.2</t>
        </is>
      </c>
      <c r="J456" t="inlineStr">
        <is>
          <t>Ventas Personas (B2C)</t>
        </is>
      </c>
      <c r="K456" t="inlineStr">
        <is>
          <t>CH2</t>
        </is>
      </c>
    </row>
    <row r="457">
      <c r="A457" s="33" t="n">
        <v>45702</v>
      </c>
      <c r="B457" t="inlineStr">
        <is>
          <t>2025-02</t>
        </is>
      </c>
      <c r="C457" t="inlineStr">
        <is>
          <t>GABRIELA BAUTISTA</t>
        </is>
      </c>
      <c r="D457" t="inlineStr">
        <is>
          <t>REGION METROPOLITANA</t>
        </is>
      </c>
      <c r="E457" s="34" t="n">
        <v>4990</v>
      </c>
      <c r="F457" t="inlineStr">
        <is>
          <t>B</t>
        </is>
      </c>
      <c r="G457" s="34" t="n">
        <v>797</v>
      </c>
      <c r="H457" s="34" t="n">
        <v>4193</v>
      </c>
      <c r="I457" t="inlineStr">
        <is>
          <t>3.2</t>
        </is>
      </c>
      <c r="J457" t="inlineStr">
        <is>
          <t>Ventas Personas (B2C)</t>
        </is>
      </c>
      <c r="K457" t="inlineStr">
        <is>
          <t>CH2</t>
        </is>
      </c>
    </row>
    <row r="458">
      <c r="A458" s="33" t="n">
        <v>45702</v>
      </c>
      <c r="B458" t="inlineStr">
        <is>
          <t>2025-02</t>
        </is>
      </c>
      <c r="C458" t="inlineStr">
        <is>
          <t>Álvaro Cárcamo Lobos</t>
        </is>
      </c>
      <c r="D458" t="inlineStr">
        <is>
          <t>PACKS GOURMET</t>
        </is>
      </c>
      <c r="E458" s="34" t="n">
        <v>52990</v>
      </c>
      <c r="F458" t="inlineStr">
        <is>
          <t>B</t>
        </is>
      </c>
      <c r="G458" s="34" t="n">
        <v>8461</v>
      </c>
      <c r="H458" s="34" t="n">
        <v>44529</v>
      </c>
      <c r="I458" t="inlineStr">
        <is>
          <t>3.2</t>
        </is>
      </c>
      <c r="J458" t="inlineStr">
        <is>
          <t>Ventas Personas (B2C)</t>
        </is>
      </c>
      <c r="K458" t="inlineStr">
        <is>
          <t>CH2</t>
        </is>
      </c>
    </row>
    <row r="459">
      <c r="A459" s="33" t="n">
        <v>45702</v>
      </c>
      <c r="B459" t="inlineStr">
        <is>
          <t>2025-02</t>
        </is>
      </c>
      <c r="C459" t="inlineStr">
        <is>
          <t>Sofia Solari</t>
        </is>
      </c>
      <c r="D459" t="inlineStr">
        <is>
          <t>PACKS GOURMET</t>
        </is>
      </c>
      <c r="E459" s="34" t="n">
        <v>46989</v>
      </c>
      <c r="F459" t="inlineStr">
        <is>
          <t>B</t>
        </is>
      </c>
      <c r="G459" s="34" t="n">
        <v>7502</v>
      </c>
      <c r="H459" s="34" t="n">
        <v>39487</v>
      </c>
      <c r="I459" t="inlineStr">
        <is>
          <t>3.2</t>
        </is>
      </c>
      <c r="J459" t="inlineStr">
        <is>
          <t>Ventas Personas (B2C)</t>
        </is>
      </c>
      <c r="K459" t="inlineStr">
        <is>
          <t>CH2</t>
        </is>
      </c>
    </row>
    <row r="460">
      <c r="A460" s="33" t="n">
        <v>45702</v>
      </c>
      <c r="B460" t="inlineStr">
        <is>
          <t>2025-02</t>
        </is>
      </c>
      <c r="C460" t="inlineStr">
        <is>
          <t>Diego Alvarado Gómez</t>
        </is>
      </c>
      <c r="D460" t="inlineStr">
        <is>
          <t>PACKS GOURMET</t>
        </is>
      </c>
      <c r="E460" s="34" t="n">
        <v>25989</v>
      </c>
      <c r="F460" t="inlineStr">
        <is>
          <t>B</t>
        </is>
      </c>
      <c r="G460" s="34" t="n">
        <v>4150</v>
      </c>
      <c r="H460" s="34" t="n">
        <v>21839</v>
      </c>
      <c r="I460" t="inlineStr">
        <is>
          <t>3.2</t>
        </is>
      </c>
      <c r="J460" t="inlineStr">
        <is>
          <t>Ventas Personas (B2C)</t>
        </is>
      </c>
      <c r="K460" t="inlineStr">
        <is>
          <t>CH2</t>
        </is>
      </c>
    </row>
    <row r="461">
      <c r="A461" s="33" t="n">
        <v>45702</v>
      </c>
      <c r="B461" t="inlineStr">
        <is>
          <t>2025-02</t>
        </is>
      </c>
      <c r="C461" t="inlineStr">
        <is>
          <t>Ernesto Fajardo</t>
        </is>
      </c>
      <c r="D461" t="inlineStr">
        <is>
          <t>Petit Tradicional</t>
        </is>
      </c>
      <c r="E461" s="34" t="n">
        <v>10800</v>
      </c>
      <c r="F461" t="inlineStr">
        <is>
          <t>B</t>
        </is>
      </c>
      <c r="G461" s="34" t="n">
        <v>1724</v>
      </c>
      <c r="H461" s="34" t="n">
        <v>9076</v>
      </c>
      <c r="I461" t="inlineStr">
        <is>
          <t>3.2</t>
        </is>
      </c>
      <c r="J461" t="inlineStr">
        <is>
          <t>Ventas Personas (B2C)</t>
        </is>
      </c>
      <c r="K461" t="inlineStr">
        <is>
          <t>CH2</t>
        </is>
      </c>
    </row>
    <row r="462">
      <c r="A462" s="33" t="n">
        <v>45702</v>
      </c>
      <c r="B462" t="inlineStr">
        <is>
          <t>2025-02</t>
        </is>
      </c>
      <c r="C462" t="inlineStr">
        <is>
          <t>Carolina Castillo</t>
        </is>
      </c>
      <c r="D462" t="inlineStr">
        <is>
          <t>PACKS GOURMET</t>
        </is>
      </c>
      <c r="E462" s="34" t="n">
        <v>24989</v>
      </c>
      <c r="F462" t="inlineStr">
        <is>
          <t>B</t>
        </is>
      </c>
      <c r="G462" s="34" t="n">
        <v>3990</v>
      </c>
      <c r="H462" s="34" t="n">
        <v>20999</v>
      </c>
      <c r="I462" t="inlineStr">
        <is>
          <t>3.2</t>
        </is>
      </c>
      <c r="J462" t="inlineStr">
        <is>
          <t>Ventas Personas (B2C)</t>
        </is>
      </c>
      <c r="K462" t="inlineStr">
        <is>
          <t>CH2</t>
        </is>
      </c>
    </row>
    <row r="463">
      <c r="A463" s="33" t="n">
        <v>45702</v>
      </c>
      <c r="B463" t="inlineStr">
        <is>
          <t>2025-02</t>
        </is>
      </c>
      <c r="C463" t="inlineStr">
        <is>
          <t>Paz Alarcon</t>
        </is>
      </c>
      <c r="D463" t="inlineStr">
        <is>
          <t>PACKS GOURMET</t>
        </is>
      </c>
      <c r="E463" s="34" t="n">
        <v>26990</v>
      </c>
      <c r="F463" t="inlineStr">
        <is>
          <t>B</t>
        </is>
      </c>
      <c r="G463" s="34" t="n">
        <v>4309</v>
      </c>
      <c r="H463" s="34" t="n">
        <v>22681</v>
      </c>
      <c r="I463" t="inlineStr">
        <is>
          <t>3.2</t>
        </is>
      </c>
      <c r="J463" t="inlineStr">
        <is>
          <t>Ventas Personas (B2C)</t>
        </is>
      </c>
      <c r="K463" t="inlineStr">
        <is>
          <t>CH2</t>
        </is>
      </c>
    </row>
    <row r="464">
      <c r="A464" s="33" t="n">
        <v>45702</v>
      </c>
      <c r="B464" t="inlineStr">
        <is>
          <t>2025-02</t>
        </is>
      </c>
      <c r="C464" t="inlineStr">
        <is>
          <t>Carolina Lillo Pacheco</t>
        </is>
      </c>
      <c r="D464" t="inlineStr">
        <is>
          <t>Petit Crunchy</t>
        </is>
      </c>
      <c r="E464" s="34" t="n">
        <v>15789</v>
      </c>
      <c r="F464" t="inlineStr">
        <is>
          <t>B</t>
        </is>
      </c>
      <c r="G464" s="34" t="n">
        <v>2521</v>
      </c>
      <c r="H464" s="34" t="n">
        <v>13268</v>
      </c>
      <c r="I464" t="inlineStr">
        <is>
          <t>3.2</t>
        </is>
      </c>
      <c r="J464" t="inlineStr">
        <is>
          <t>Ventas Personas (B2C)</t>
        </is>
      </c>
      <c r="K464" t="inlineStr">
        <is>
          <t>CH2</t>
        </is>
      </c>
    </row>
    <row r="465">
      <c r="A465" s="33" t="n">
        <v>45702</v>
      </c>
      <c r="B465" t="inlineStr">
        <is>
          <t>2025-02</t>
        </is>
      </c>
      <c r="C465" t="inlineStr">
        <is>
          <t>Sin cliente</t>
        </is>
      </c>
      <c r="D465" t="inlineStr">
        <is>
          <t>Petit Tradicional</t>
        </is>
      </c>
      <c r="E465" s="34" t="n">
        <v>13300</v>
      </c>
      <c r="F465" t="inlineStr">
        <is>
          <t>B</t>
        </is>
      </c>
      <c r="G465" s="34" t="n">
        <v>2124</v>
      </c>
      <c r="H465" s="34" t="n">
        <v>11176</v>
      </c>
      <c r="I465" t="inlineStr">
        <is>
          <t>3.2</t>
        </is>
      </c>
      <c r="J465" t="inlineStr">
        <is>
          <t>Ventas Personas (B2C)</t>
        </is>
      </c>
      <c r="K465" t="inlineStr">
        <is>
          <t>CH2</t>
        </is>
      </c>
    </row>
    <row r="466">
      <c r="A466" s="33" t="n">
        <v>45702</v>
      </c>
      <c r="B466" t="inlineStr">
        <is>
          <t>2025-02</t>
        </is>
      </c>
      <c r="C466" t="inlineStr">
        <is>
          <t>Sin cliente</t>
        </is>
      </c>
      <c r="D466" t="inlineStr">
        <is>
          <t>PLATAFORMAS RAP-PEYA-UBER-GOOD</t>
        </is>
      </c>
      <c r="E466" s="34" t="n">
        <v>16680</v>
      </c>
      <c r="F466" t="inlineStr">
        <is>
          <t>B</t>
        </is>
      </c>
      <c r="G466" s="34" t="n">
        <v>2663</v>
      </c>
      <c r="H466" s="34" t="n">
        <v>14017</v>
      </c>
      <c r="I466" t="inlineStr">
        <is>
          <t>3.6</t>
        </is>
      </c>
      <c r="J466" t="inlineStr">
        <is>
          <t>Ventas Delivery Apps</t>
        </is>
      </c>
      <c r="K466" t="inlineStr">
        <is>
          <t>CH3</t>
        </is>
      </c>
    </row>
    <row r="467">
      <c r="A467" s="33" t="n">
        <v>45702</v>
      </c>
      <c r="B467" t="inlineStr">
        <is>
          <t>2025-02</t>
        </is>
      </c>
      <c r="C467" t="inlineStr">
        <is>
          <t>Sin cliente</t>
        </is>
      </c>
      <c r="D467" t="inlineStr">
        <is>
          <t>PLATAFORMAS RAP-PEYA-UBER-GOOD</t>
        </is>
      </c>
      <c r="E467" s="34" t="n">
        <v>16680</v>
      </c>
      <c r="F467" t="inlineStr">
        <is>
          <t>B</t>
        </is>
      </c>
      <c r="G467" s="34" t="n">
        <v>2663</v>
      </c>
      <c r="H467" s="34" t="n">
        <v>14017</v>
      </c>
      <c r="I467" t="inlineStr">
        <is>
          <t>3.6</t>
        </is>
      </c>
      <c r="J467" t="inlineStr">
        <is>
          <t>Ventas Delivery Apps</t>
        </is>
      </c>
      <c r="K467" t="inlineStr">
        <is>
          <t>CH3</t>
        </is>
      </c>
    </row>
    <row r="468">
      <c r="A468" s="33" t="n">
        <v>45702</v>
      </c>
      <c r="B468" t="inlineStr">
        <is>
          <t>2025-02</t>
        </is>
      </c>
      <c r="C468" t="inlineStr">
        <is>
          <t>Sin cliente</t>
        </is>
      </c>
      <c r="D468" t="inlineStr">
        <is>
          <t>CANELÉ TRADICIONAL</t>
        </is>
      </c>
      <c r="E468" s="34" t="n">
        <v>19800</v>
      </c>
      <c r="F468" t="inlineStr">
        <is>
          <t>B</t>
        </is>
      </c>
      <c r="G468" s="34" t="n">
        <v>3161</v>
      </c>
      <c r="H468" s="34" t="n">
        <v>16639</v>
      </c>
      <c r="I468" t="inlineStr">
        <is>
          <t>3.2</t>
        </is>
      </c>
      <c r="J468" t="inlineStr">
        <is>
          <t>Ventas Personas (B2C)</t>
        </is>
      </c>
      <c r="K468" t="inlineStr">
        <is>
          <t>CH2</t>
        </is>
      </c>
    </row>
    <row r="469">
      <c r="A469" s="33" t="n">
        <v>45702</v>
      </c>
      <c r="B469" t="inlineStr">
        <is>
          <t>2025-02</t>
        </is>
      </c>
      <c r="C469" t="inlineStr">
        <is>
          <t>Maria Alejandra Palma</t>
        </is>
      </c>
      <c r="D469" t="inlineStr">
        <is>
          <t>Petit Tradicional</t>
        </is>
      </c>
      <c r="E469" s="34" t="n">
        <v>-10800</v>
      </c>
      <c r="F469" t="inlineStr">
        <is>
          <t>NC</t>
        </is>
      </c>
      <c r="G469" s="34" t="n">
        <v>-1724</v>
      </c>
      <c r="H469" s="34" t="n">
        <v>-9076</v>
      </c>
      <c r="I469" t="inlineStr">
        <is>
          <t>3.2</t>
        </is>
      </c>
      <c r="J469" t="inlineStr">
        <is>
          <t>Ventas Personas (B2C)</t>
        </is>
      </c>
      <c r="K469" t="inlineStr">
        <is>
          <t>CH2</t>
        </is>
      </c>
    </row>
    <row r="470">
      <c r="A470" s="33" t="n">
        <v>45702</v>
      </c>
      <c r="B470" t="inlineStr">
        <is>
          <t>2025-02</t>
        </is>
      </c>
      <c r="C470" t="inlineStr">
        <is>
          <t>Maria Alejandra Palma</t>
        </is>
      </c>
      <c r="D470" t="inlineStr">
        <is>
          <t>CANELÉ TRADICIONAL</t>
        </is>
      </c>
      <c r="E470" s="34" t="n">
        <v>19800</v>
      </c>
      <c r="F470" t="inlineStr">
        <is>
          <t>B</t>
        </is>
      </c>
      <c r="G470" s="34" t="n">
        <v>3161</v>
      </c>
      <c r="H470" s="34" t="n">
        <v>16639</v>
      </c>
      <c r="I470" t="inlineStr">
        <is>
          <t>3.2</t>
        </is>
      </c>
      <c r="J470" t="inlineStr">
        <is>
          <t>Ventas Personas (B2C)</t>
        </is>
      </c>
      <c r="K470" t="inlineStr">
        <is>
          <t>CH2</t>
        </is>
      </c>
    </row>
    <row r="471">
      <c r="A471" s="33" t="n">
        <v>45702</v>
      </c>
      <c r="B471" t="inlineStr">
        <is>
          <t>2025-02</t>
        </is>
      </c>
      <c r="C471" t="inlineStr">
        <is>
          <t>Sin cliente</t>
        </is>
      </c>
      <c r="D471" t="inlineStr">
        <is>
          <t>PLATAFORMAS RAP-PEYA-UBER-GOOD</t>
        </is>
      </c>
      <c r="E471" s="34" t="n">
        <v>16680</v>
      </c>
      <c r="F471" t="inlineStr">
        <is>
          <t>B</t>
        </is>
      </c>
      <c r="G471" s="34" t="n">
        <v>2663</v>
      </c>
      <c r="H471" s="34" t="n">
        <v>14017</v>
      </c>
      <c r="I471" t="inlineStr">
        <is>
          <t>3.6</t>
        </is>
      </c>
      <c r="J471" t="inlineStr">
        <is>
          <t>Ventas Delivery Apps</t>
        </is>
      </c>
      <c r="K471" t="inlineStr">
        <is>
          <t>CH3</t>
        </is>
      </c>
    </row>
    <row r="472">
      <c r="A472" s="33" t="n">
        <v>45702</v>
      </c>
      <c r="B472" t="inlineStr">
        <is>
          <t>2025-02</t>
        </is>
      </c>
      <c r="C472" t="inlineStr">
        <is>
          <t>Khader Sabat</t>
        </is>
      </c>
      <c r="D472" t="inlineStr">
        <is>
          <t>PACKS GOURMET</t>
        </is>
      </c>
      <c r="E472" s="34" t="n">
        <v>26990</v>
      </c>
      <c r="F472" t="inlineStr">
        <is>
          <t>B</t>
        </is>
      </c>
      <c r="G472" s="34" t="n">
        <v>4309</v>
      </c>
      <c r="H472" s="34" t="n">
        <v>22681</v>
      </c>
      <c r="I472" t="inlineStr">
        <is>
          <t>3.2</t>
        </is>
      </c>
      <c r="J472" t="inlineStr">
        <is>
          <t>Ventas Personas (B2C)</t>
        </is>
      </c>
      <c r="K472" t="inlineStr">
        <is>
          <t>CH2</t>
        </is>
      </c>
    </row>
    <row r="473">
      <c r="A473" s="33" t="n">
        <v>45702</v>
      </c>
      <c r="B473" t="inlineStr">
        <is>
          <t>2025-02</t>
        </is>
      </c>
      <c r="C473" t="inlineStr">
        <is>
          <t>Sin cliente</t>
        </is>
      </c>
      <c r="D473" t="inlineStr">
        <is>
          <t>CANELÉ TRADICIONAL</t>
        </is>
      </c>
      <c r="E473" s="34" t="n">
        <v>13900</v>
      </c>
      <c r="F473" t="inlineStr">
        <is>
          <t>B</t>
        </is>
      </c>
      <c r="G473" s="34" t="n">
        <v>2219</v>
      </c>
      <c r="H473" s="34" t="n">
        <v>11681</v>
      </c>
      <c r="I473" t="inlineStr">
        <is>
          <t>3.2</t>
        </is>
      </c>
      <c r="J473" t="inlineStr">
        <is>
          <t>Ventas Personas (B2C)</t>
        </is>
      </c>
      <c r="K473" t="inlineStr">
        <is>
          <t>CH2</t>
        </is>
      </c>
    </row>
    <row r="474">
      <c r="A474" s="33" t="n">
        <v>45702</v>
      </c>
      <c r="B474" t="inlineStr">
        <is>
          <t>2025-02</t>
        </is>
      </c>
      <c r="C474" t="inlineStr">
        <is>
          <t>Sin cliente</t>
        </is>
      </c>
      <c r="D474" t="inlineStr">
        <is>
          <t>PLATAFORMAS RAP-PEYA-UBER-GOOD</t>
        </is>
      </c>
      <c r="E474" s="34" t="n">
        <v>24955</v>
      </c>
      <c r="F474" t="inlineStr">
        <is>
          <t>B</t>
        </is>
      </c>
      <c r="G474" s="34" t="n">
        <v>3984</v>
      </c>
      <c r="H474" s="34" t="n">
        <v>20971</v>
      </c>
      <c r="I474" t="inlineStr">
        <is>
          <t>3.6</t>
        </is>
      </c>
      <c r="J474" t="inlineStr">
        <is>
          <t>Ventas Delivery Apps</t>
        </is>
      </c>
      <c r="K474" t="inlineStr">
        <is>
          <t>CH3</t>
        </is>
      </c>
    </row>
    <row r="475">
      <c r="A475" s="33" t="n">
        <v>45702</v>
      </c>
      <c r="B475" t="inlineStr">
        <is>
          <t>2025-02</t>
        </is>
      </c>
      <c r="C475" t="inlineStr">
        <is>
          <t>Sin cliente</t>
        </is>
      </c>
      <c r="D475" t="inlineStr">
        <is>
          <t>Petit Crunchy</t>
        </is>
      </c>
      <c r="E475" s="34" t="n">
        <v>11800</v>
      </c>
      <c r="F475" t="inlineStr">
        <is>
          <t>B</t>
        </is>
      </c>
      <c r="G475" s="34" t="n">
        <v>1884</v>
      </c>
      <c r="H475" s="34" t="n">
        <v>9916</v>
      </c>
      <c r="I475" t="inlineStr">
        <is>
          <t>3.2</t>
        </is>
      </c>
      <c r="J475" t="inlineStr">
        <is>
          <t>Ventas Personas (B2C)</t>
        </is>
      </c>
      <c r="K475" t="inlineStr">
        <is>
          <t>CH2</t>
        </is>
      </c>
    </row>
    <row r="476">
      <c r="A476" s="33" t="n">
        <v>45702</v>
      </c>
      <c r="B476" t="inlineStr">
        <is>
          <t>2025-02</t>
        </is>
      </c>
      <c r="C476" t="inlineStr">
        <is>
          <t>Martin Peralta</t>
        </is>
      </c>
      <c r="D476" t="inlineStr">
        <is>
          <t>PACKS GOURMET</t>
        </is>
      </c>
      <c r="E476" s="34" t="n">
        <v>22000</v>
      </c>
      <c r="F476" t="inlineStr">
        <is>
          <t>B</t>
        </is>
      </c>
      <c r="G476" s="34" t="n">
        <v>3513</v>
      </c>
      <c r="H476" s="34" t="n">
        <v>18487</v>
      </c>
      <c r="I476" t="inlineStr">
        <is>
          <t>3.2</t>
        </is>
      </c>
      <c r="J476" t="inlineStr">
        <is>
          <t>Ventas Personas (B2C)</t>
        </is>
      </c>
      <c r="K476" t="inlineStr">
        <is>
          <t>CH2</t>
        </is>
      </c>
    </row>
    <row r="477">
      <c r="A477" s="33" t="n">
        <v>45702</v>
      </c>
      <c r="B477" t="inlineStr">
        <is>
          <t>2025-02</t>
        </is>
      </c>
      <c r="C477" t="inlineStr">
        <is>
          <t>Martin Peralta</t>
        </is>
      </c>
      <c r="D477" t="inlineStr">
        <is>
          <t>REGION METROPOLITANA</t>
        </is>
      </c>
      <c r="E477" s="34" t="n">
        <v>4990</v>
      </c>
      <c r="F477" t="inlineStr">
        <is>
          <t>B</t>
        </is>
      </c>
      <c r="G477" s="34" t="n">
        <v>797</v>
      </c>
      <c r="H477" s="34" t="n">
        <v>4193</v>
      </c>
      <c r="I477" t="inlineStr">
        <is>
          <t>3.2</t>
        </is>
      </c>
      <c r="J477" t="inlineStr">
        <is>
          <t>Ventas Personas (B2C)</t>
        </is>
      </c>
      <c r="K477" t="inlineStr">
        <is>
          <t>CH2</t>
        </is>
      </c>
    </row>
    <row r="478">
      <c r="A478" s="33" t="n">
        <v>45702</v>
      </c>
      <c r="B478" t="inlineStr">
        <is>
          <t>2025-02</t>
        </is>
      </c>
      <c r="C478" t="inlineStr">
        <is>
          <t>Sin cliente</t>
        </is>
      </c>
      <c r="D478" t="inlineStr">
        <is>
          <t>CANELÉ TRADICIONAL</t>
        </is>
      </c>
      <c r="E478" s="34" t="n">
        <v>17900</v>
      </c>
      <c r="F478" t="inlineStr">
        <is>
          <t>B</t>
        </is>
      </c>
      <c r="G478" s="34" t="n">
        <v>2858</v>
      </c>
      <c r="H478" s="34" t="n">
        <v>15042</v>
      </c>
      <c r="I478" t="inlineStr">
        <is>
          <t>3.2</t>
        </is>
      </c>
      <c r="J478" t="inlineStr">
        <is>
          <t>Ventas Personas (B2C)</t>
        </is>
      </c>
      <c r="K478" t="inlineStr">
        <is>
          <t>CH2</t>
        </is>
      </c>
    </row>
    <row r="479">
      <c r="A479" s="33" t="n">
        <v>45702</v>
      </c>
      <c r="B479" t="inlineStr">
        <is>
          <t>2025-02</t>
        </is>
      </c>
      <c r="C479" t="inlineStr">
        <is>
          <t>Javiera Morales Pison</t>
        </is>
      </c>
      <c r="D479" t="inlineStr">
        <is>
          <t>PACKS GOURMET</t>
        </is>
      </c>
      <c r="E479" s="34" t="n">
        <v>25989</v>
      </c>
      <c r="F479" t="inlineStr">
        <is>
          <t>B</t>
        </is>
      </c>
      <c r="G479" s="34" t="n">
        <v>4150</v>
      </c>
      <c r="H479" s="34" t="n">
        <v>21839</v>
      </c>
      <c r="I479" t="inlineStr">
        <is>
          <t>3.2</t>
        </is>
      </c>
      <c r="J479" t="inlineStr">
        <is>
          <t>Ventas Personas (B2C)</t>
        </is>
      </c>
      <c r="K479" t="inlineStr">
        <is>
          <t>CH2</t>
        </is>
      </c>
    </row>
    <row r="480">
      <c r="A480" s="33" t="n">
        <v>45703</v>
      </c>
      <c r="B480" t="inlineStr">
        <is>
          <t>2025-02</t>
        </is>
      </c>
      <c r="C480" t="inlineStr">
        <is>
          <t>Sin cliente</t>
        </is>
      </c>
      <c r="D480" t="inlineStr">
        <is>
          <t>REGION METROPOLITANA</t>
        </is>
      </c>
      <c r="E480" s="34" t="n">
        <v>3990</v>
      </c>
      <c r="F480" t="inlineStr">
        <is>
          <t>B</t>
        </is>
      </c>
      <c r="G480" s="34" t="n">
        <v>637</v>
      </c>
      <c r="H480" s="34" t="n">
        <v>3353</v>
      </c>
      <c r="I480" t="inlineStr">
        <is>
          <t>3.2</t>
        </is>
      </c>
      <c r="J480" t="inlineStr">
        <is>
          <t>Ventas Personas (B2C)</t>
        </is>
      </c>
      <c r="K480" t="inlineStr">
        <is>
          <t>CH2</t>
        </is>
      </c>
    </row>
    <row r="481">
      <c r="A481" s="33" t="n">
        <v>45703</v>
      </c>
      <c r="B481" t="inlineStr">
        <is>
          <t>2025-02</t>
        </is>
      </c>
      <c r="C481" t="inlineStr">
        <is>
          <t>Sin cliente</t>
        </is>
      </c>
      <c r="D481" t="inlineStr">
        <is>
          <t>Petit Tradicional</t>
        </is>
      </c>
      <c r="E481" s="34" t="n">
        <v>41800</v>
      </c>
      <c r="F481" t="inlineStr">
        <is>
          <t>B</t>
        </is>
      </c>
      <c r="G481" s="34" t="n">
        <v>6674</v>
      </c>
      <c r="H481" s="34" t="n">
        <v>35126</v>
      </c>
      <c r="I481" t="inlineStr">
        <is>
          <t>3.2</t>
        </is>
      </c>
      <c r="J481" t="inlineStr">
        <is>
          <t>Ventas Personas (B2C)</t>
        </is>
      </c>
      <c r="K481" t="inlineStr">
        <is>
          <t>CH2</t>
        </is>
      </c>
    </row>
    <row r="482">
      <c r="A482" s="33" t="n">
        <v>45703</v>
      </c>
      <c r="B482" t="inlineStr">
        <is>
          <t>2025-02</t>
        </is>
      </c>
      <c r="C482" t="inlineStr">
        <is>
          <t>Sin cliente</t>
        </is>
      </c>
      <c r="D482" t="inlineStr">
        <is>
          <t>CANELÉ TRADICIONAL</t>
        </is>
      </c>
      <c r="E482" s="34" t="n">
        <v>37790</v>
      </c>
      <c r="F482" t="inlineStr">
        <is>
          <t>B</t>
        </is>
      </c>
      <c r="G482" s="34" t="n">
        <v>6034</v>
      </c>
      <c r="H482" s="34" t="n">
        <v>31756</v>
      </c>
      <c r="I482" t="inlineStr">
        <is>
          <t>3.2</t>
        </is>
      </c>
      <c r="J482" t="inlineStr">
        <is>
          <t>Ventas Personas (B2C)</t>
        </is>
      </c>
      <c r="K482" t="inlineStr">
        <is>
          <t>CH2</t>
        </is>
      </c>
    </row>
    <row r="483">
      <c r="A483" s="33" t="n">
        <v>45704</v>
      </c>
      <c r="B483" t="inlineStr">
        <is>
          <t>2025-02</t>
        </is>
      </c>
      <c r="C483" t="inlineStr">
        <is>
          <t>sebastian obando</t>
        </is>
      </c>
      <c r="D483" t="inlineStr">
        <is>
          <t>CANELÉ TRADICIONAL</t>
        </is>
      </c>
      <c r="E483" s="34" t="n">
        <v>18890</v>
      </c>
      <c r="F483" t="inlineStr">
        <is>
          <t>B</t>
        </is>
      </c>
      <c r="G483" s="34" t="n">
        <v>3016</v>
      </c>
      <c r="H483" s="34" t="n">
        <v>15874</v>
      </c>
      <c r="I483" t="inlineStr">
        <is>
          <t>3.2</t>
        </is>
      </c>
      <c r="J483" t="inlineStr">
        <is>
          <t>Ventas Personas (B2C)</t>
        </is>
      </c>
      <c r="K483" t="inlineStr">
        <is>
          <t>CH2</t>
        </is>
      </c>
    </row>
    <row r="484">
      <c r="A484" s="33" t="n">
        <v>45705</v>
      </c>
      <c r="B484" t="inlineStr">
        <is>
          <t>2025-02</t>
        </is>
      </c>
      <c r="C484" t="inlineStr">
        <is>
          <t>CAFETERÍA ALTURA LIMITADA</t>
        </is>
      </c>
      <c r="D484" t="inlineStr">
        <is>
          <t>HORECA CAFETERIA</t>
        </is>
      </c>
      <c r="E484" s="34" t="n">
        <v>53910</v>
      </c>
      <c r="F484" t="inlineStr">
        <is>
          <t>F</t>
        </is>
      </c>
      <c r="G484" s="34" t="n">
        <v>8607</v>
      </c>
      <c r="H484" s="34" t="n">
        <v>45303</v>
      </c>
      <c r="I484" t="inlineStr">
        <is>
          <t>3.1</t>
        </is>
      </c>
      <c r="J484" t="inlineStr">
        <is>
          <t>Ventas HoReCa</t>
        </is>
      </c>
      <c r="K484" t="inlineStr">
        <is>
          <t>CH1</t>
        </is>
      </c>
    </row>
    <row r="485">
      <c r="A485" s="33" t="n">
        <v>45705</v>
      </c>
      <c r="B485" t="inlineStr">
        <is>
          <t>2025-02</t>
        </is>
      </c>
      <c r="C485" t="inlineStr">
        <is>
          <t>INVERSIONES Y COMERCIALIZADORA FED LIMITADA</t>
        </is>
      </c>
      <c r="D485" t="inlineStr">
        <is>
          <t>HORECA CAFETERIA</t>
        </is>
      </c>
      <c r="E485" s="34" t="n">
        <v>54910</v>
      </c>
      <c r="F485" t="inlineStr">
        <is>
          <t>F</t>
        </is>
      </c>
      <c r="G485" s="34" t="n">
        <v>8767</v>
      </c>
      <c r="H485" s="34" t="n">
        <v>46143</v>
      </c>
      <c r="I485" t="inlineStr">
        <is>
          <t>3.1</t>
        </is>
      </c>
      <c r="J485" t="inlineStr">
        <is>
          <t>Ventas HoReCa</t>
        </is>
      </c>
      <c r="K485" t="inlineStr">
        <is>
          <t>CH1</t>
        </is>
      </c>
    </row>
    <row r="486">
      <c r="A486" s="33" t="n">
        <v>45705</v>
      </c>
      <c r="B486" t="inlineStr">
        <is>
          <t>2025-02</t>
        </is>
      </c>
      <c r="C486" t="inlineStr">
        <is>
          <t>INVERSIONES Y COMERCIALIZADORA FED LIMITADA</t>
        </is>
      </c>
      <c r="D486" t="inlineStr">
        <is>
          <t>HORECA CAFETERIA</t>
        </is>
      </c>
      <c r="E486" s="34" t="n">
        <v>132297</v>
      </c>
      <c r="F486" t="inlineStr">
        <is>
          <t>F</t>
        </is>
      </c>
      <c r="G486" s="34" t="n">
        <v>21123</v>
      </c>
      <c r="H486" s="34" t="n">
        <v>111174</v>
      </c>
      <c r="I486" t="inlineStr">
        <is>
          <t>3.1</t>
        </is>
      </c>
      <c r="J486" t="inlineStr">
        <is>
          <t>Ventas HoReCa</t>
        </is>
      </c>
      <c r="K486" t="inlineStr">
        <is>
          <t>CH1</t>
        </is>
      </c>
    </row>
    <row r="487">
      <c r="A487" s="33" t="n">
        <v>45705</v>
      </c>
      <c r="B487" t="inlineStr">
        <is>
          <t>2025-02</t>
        </is>
      </c>
      <c r="C487" t="inlineStr">
        <is>
          <t>POMPON SPA</t>
        </is>
      </c>
      <c r="D487" t="inlineStr">
        <is>
          <t>HORECA CAFETERIA</t>
        </is>
      </c>
      <c r="E487" s="34" t="n">
        <v>46830</v>
      </c>
      <c r="F487" t="inlineStr">
        <is>
          <t>F</t>
        </is>
      </c>
      <c r="G487" s="34" t="n">
        <v>7477</v>
      </c>
      <c r="H487" s="34" t="n">
        <v>39353</v>
      </c>
      <c r="I487" t="inlineStr">
        <is>
          <t>3.1</t>
        </is>
      </c>
      <c r="J487" t="inlineStr">
        <is>
          <t>Ventas HoReCa</t>
        </is>
      </c>
      <c r="K487" t="inlineStr">
        <is>
          <t>CH1</t>
        </is>
      </c>
    </row>
    <row r="488">
      <c r="A488" s="33" t="n">
        <v>45705</v>
      </c>
      <c r="B488" t="inlineStr">
        <is>
          <t>2025-02</t>
        </is>
      </c>
      <c r="C488" t="inlineStr">
        <is>
          <t>INVERSIONES Y ASESORIAS RAVAL LIMITADA</t>
        </is>
      </c>
      <c r="D488" t="inlineStr">
        <is>
          <t>HORECA CAFETERIA</t>
        </is>
      </c>
      <c r="E488" s="34" t="n">
        <v>67980</v>
      </c>
      <c r="F488" t="inlineStr">
        <is>
          <t>F</t>
        </is>
      </c>
      <c r="G488" s="34" t="n">
        <v>10854</v>
      </c>
      <c r="H488" s="34" t="n">
        <v>57126</v>
      </c>
      <c r="I488" t="inlineStr">
        <is>
          <t>3.1</t>
        </is>
      </c>
      <c r="J488" t="inlineStr">
        <is>
          <t>Ventas HoReCa</t>
        </is>
      </c>
      <c r="K488" t="inlineStr">
        <is>
          <t>CH1</t>
        </is>
      </c>
    </row>
    <row r="489">
      <c r="A489" s="33" t="n">
        <v>45705</v>
      </c>
      <c r="B489" t="inlineStr">
        <is>
          <t>2025-02</t>
        </is>
      </c>
      <c r="C489" t="inlineStr">
        <is>
          <t>José Miguel Medina Larraín</t>
        </is>
      </c>
      <c r="D489" t="inlineStr">
        <is>
          <t>Petit Crunchy</t>
        </is>
      </c>
      <c r="E489" s="34" t="n">
        <v>30890</v>
      </c>
      <c r="F489" t="inlineStr">
        <is>
          <t>B</t>
        </is>
      </c>
      <c r="G489" s="34" t="n">
        <v>4932</v>
      </c>
      <c r="H489" s="34" t="n">
        <v>25958</v>
      </c>
      <c r="I489" t="inlineStr">
        <is>
          <t>3.2</t>
        </is>
      </c>
      <c r="J489" t="inlineStr">
        <is>
          <t>Ventas Personas (B2C)</t>
        </is>
      </c>
      <c r="K489" t="inlineStr">
        <is>
          <t>CH2</t>
        </is>
      </c>
    </row>
    <row r="490">
      <c r="A490" s="33" t="n">
        <v>45705</v>
      </c>
      <c r="B490" t="inlineStr">
        <is>
          <t>2025-02</t>
        </is>
      </c>
      <c r="C490" t="inlineStr">
        <is>
          <t>RATIO COFFEE COMPANY SPA</t>
        </is>
      </c>
      <c r="D490" t="inlineStr">
        <is>
          <t>HORECA CAFETERIA</t>
        </is>
      </c>
      <c r="E490" s="34" t="n">
        <v>-179710</v>
      </c>
      <c r="F490" t="inlineStr">
        <is>
          <t>NC</t>
        </is>
      </c>
      <c r="G490" s="34" t="n">
        <v>-28693</v>
      </c>
      <c r="H490" s="34" t="n">
        <v>-151017</v>
      </c>
      <c r="I490" t="inlineStr">
        <is>
          <t>3.2</t>
        </is>
      </c>
      <c r="J490" t="inlineStr">
        <is>
          <t>Ventas Personas (B2C)</t>
        </is>
      </c>
      <c r="K490" t="inlineStr">
        <is>
          <t>CH2</t>
        </is>
      </c>
    </row>
    <row r="491">
      <c r="A491" s="33" t="n">
        <v>45705</v>
      </c>
      <c r="B491" t="inlineStr">
        <is>
          <t>2025-02</t>
        </is>
      </c>
      <c r="C491" t="inlineStr">
        <is>
          <t>Mauricio Valenzuela</t>
        </is>
      </c>
      <c r="D491" t="inlineStr">
        <is>
          <t>CANELÉ TRADICIONAL</t>
        </is>
      </c>
      <c r="E491" s="34" t="n">
        <v>21809</v>
      </c>
      <c r="F491" t="inlineStr">
        <is>
          <t>B</t>
        </is>
      </c>
      <c r="G491" s="34" t="n">
        <v>3482</v>
      </c>
      <c r="H491" s="34" t="n">
        <v>18327</v>
      </c>
      <c r="I491" t="inlineStr">
        <is>
          <t>3.2</t>
        </is>
      </c>
      <c r="J491" t="inlineStr">
        <is>
          <t>Ventas Personas (B2C)</t>
        </is>
      </c>
      <c r="K491" t="inlineStr">
        <is>
          <t>CH2</t>
        </is>
      </c>
    </row>
    <row r="492">
      <c r="A492" s="33" t="n">
        <v>45705</v>
      </c>
      <c r="B492" t="inlineStr">
        <is>
          <t>2025-02</t>
        </is>
      </c>
      <c r="C492" t="inlineStr">
        <is>
          <t>AMADO DAVILA</t>
        </is>
      </c>
      <c r="D492" t="inlineStr">
        <is>
          <t>CANELE SIN AZUCAR</t>
        </is>
      </c>
      <c r="E492" s="34" t="n">
        <v>14059</v>
      </c>
      <c r="F492" t="inlineStr">
        <is>
          <t>B</t>
        </is>
      </c>
      <c r="G492" s="34" t="n">
        <v>2245</v>
      </c>
      <c r="H492" s="34" t="n">
        <v>11814</v>
      </c>
      <c r="I492" t="inlineStr">
        <is>
          <t>3.2</t>
        </is>
      </c>
      <c r="J492" t="inlineStr">
        <is>
          <t>Ventas Personas (B2C)</t>
        </is>
      </c>
      <c r="K492" t="inlineStr">
        <is>
          <t>CH2</t>
        </is>
      </c>
    </row>
    <row r="493">
      <c r="A493" s="33" t="n">
        <v>45705</v>
      </c>
      <c r="B493" t="inlineStr">
        <is>
          <t>2025-02</t>
        </is>
      </c>
      <c r="C493" t="inlineStr">
        <is>
          <t>Sin cliente</t>
        </is>
      </c>
      <c r="D493" t="inlineStr">
        <is>
          <t>CANELÉ TRADICIONAL</t>
        </is>
      </c>
      <c r="E493" s="34" t="n">
        <v>5000</v>
      </c>
      <c r="F493" t="inlineStr">
        <is>
          <t>B</t>
        </is>
      </c>
      <c r="G493" s="34" t="n">
        <v>798</v>
      </c>
      <c r="H493" s="34" t="n">
        <v>4202</v>
      </c>
      <c r="I493" t="inlineStr">
        <is>
          <t>3.2</t>
        </is>
      </c>
      <c r="J493" t="inlineStr">
        <is>
          <t>Ventas Personas (B2C)</t>
        </is>
      </c>
      <c r="K493" t="inlineStr">
        <is>
          <t>CH2</t>
        </is>
      </c>
    </row>
    <row r="494">
      <c r="A494" s="33" t="n">
        <v>45705</v>
      </c>
      <c r="B494" t="inlineStr">
        <is>
          <t>2025-02</t>
        </is>
      </c>
      <c r="C494" t="inlineStr">
        <is>
          <t>Sin cliente</t>
        </is>
      </c>
      <c r="D494" t="inlineStr">
        <is>
          <t>PLATAFORMAS RAP-PEYA-UBER-GOOD</t>
        </is>
      </c>
      <c r="E494" s="34" t="n">
        <v>23760</v>
      </c>
      <c r="F494" t="inlineStr">
        <is>
          <t>B</t>
        </is>
      </c>
      <c r="G494" s="34" t="n">
        <v>3794</v>
      </c>
      <c r="H494" s="34" t="n">
        <v>19966</v>
      </c>
      <c r="I494" t="inlineStr">
        <is>
          <t>3.6</t>
        </is>
      </c>
      <c r="J494" t="inlineStr">
        <is>
          <t>Ventas Delivery Apps</t>
        </is>
      </c>
      <c r="K494" t="inlineStr">
        <is>
          <t>CH3</t>
        </is>
      </c>
    </row>
    <row r="495">
      <c r="A495" s="33" t="n">
        <v>45706</v>
      </c>
      <c r="B495" t="inlineStr">
        <is>
          <t>2025-02</t>
        </is>
      </c>
      <c r="C495" t="inlineStr">
        <is>
          <t>Maryfred Carvajal</t>
        </is>
      </c>
      <c r="D495" t="inlineStr">
        <is>
          <t>Petit Tradicional</t>
        </is>
      </c>
      <c r="E495" s="34" t="n">
        <v>20900</v>
      </c>
      <c r="F495" t="inlineStr">
        <is>
          <t>B</t>
        </is>
      </c>
      <c r="G495" s="34" t="n">
        <v>3337</v>
      </c>
      <c r="H495" s="34" t="n">
        <v>17563</v>
      </c>
      <c r="I495" t="inlineStr">
        <is>
          <t>3.2</t>
        </is>
      </c>
      <c r="J495" t="inlineStr">
        <is>
          <t>Ventas Personas (B2C)</t>
        </is>
      </c>
      <c r="K495" t="inlineStr">
        <is>
          <t>CH2</t>
        </is>
      </c>
    </row>
    <row r="496">
      <c r="A496" s="33" t="n">
        <v>45706</v>
      </c>
      <c r="B496" t="inlineStr">
        <is>
          <t>2025-02</t>
        </is>
      </c>
      <c r="C496" t="inlineStr">
        <is>
          <t>CUATROTRESTRES CAFÉ SPA</t>
        </is>
      </c>
      <c r="D496" t="inlineStr">
        <is>
          <t>HORECA CAFETERIA</t>
        </is>
      </c>
      <c r="E496" s="34" t="n">
        <v>149726</v>
      </c>
      <c r="F496" t="inlineStr">
        <is>
          <t>F</t>
        </is>
      </c>
      <c r="G496" s="34" t="n">
        <v>23906</v>
      </c>
      <c r="H496" s="34" t="n">
        <v>125820</v>
      </c>
      <c r="I496" t="inlineStr">
        <is>
          <t>3.1</t>
        </is>
      </c>
      <c r="J496" t="inlineStr">
        <is>
          <t>Ventas HoReCa</t>
        </is>
      </c>
      <c r="K496" t="inlineStr">
        <is>
          <t>CH1</t>
        </is>
      </c>
    </row>
    <row r="497">
      <c r="A497" s="33" t="n">
        <v>45706</v>
      </c>
      <c r="B497" t="inlineStr">
        <is>
          <t>2025-02</t>
        </is>
      </c>
      <c r="C497" t="inlineStr">
        <is>
          <t>Sin cliente</t>
        </is>
      </c>
      <c r="D497" t="inlineStr">
        <is>
          <t>PLATAFORMAS RAP-PEYA-UBER-GOOD</t>
        </is>
      </c>
      <c r="E497" s="34" t="n">
        <v>25080</v>
      </c>
      <c r="F497" t="inlineStr">
        <is>
          <t>B</t>
        </is>
      </c>
      <c r="G497" s="34" t="n">
        <v>4004</v>
      </c>
      <c r="H497" s="34" t="n">
        <v>21076</v>
      </c>
      <c r="I497" t="inlineStr">
        <is>
          <t>3.6</t>
        </is>
      </c>
      <c r="J497" t="inlineStr">
        <is>
          <t>Ventas Delivery Apps</t>
        </is>
      </c>
      <c r="K497" t="inlineStr">
        <is>
          <t>CH3</t>
        </is>
      </c>
    </row>
    <row r="498">
      <c r="A498" s="33" t="n">
        <v>45706</v>
      </c>
      <c r="B498" t="inlineStr">
        <is>
          <t>2025-02</t>
        </is>
      </c>
      <c r="C498" t="inlineStr">
        <is>
          <t>Valeria Andrea Miranda Marin</t>
        </is>
      </c>
      <c r="D498" t="inlineStr">
        <is>
          <t>CANELÉ TRADICIONAL</t>
        </is>
      </c>
      <c r="E498" s="34" t="n">
        <v>33250</v>
      </c>
      <c r="F498" t="inlineStr">
        <is>
          <t>B</t>
        </is>
      </c>
      <c r="G498" s="34" t="n">
        <v>5309</v>
      </c>
      <c r="H498" s="34" t="n">
        <v>27941</v>
      </c>
      <c r="I498" t="inlineStr">
        <is>
          <t>3.2</t>
        </is>
      </c>
      <c r="J498" t="inlineStr">
        <is>
          <t>Ventas Personas (B2C)</t>
        </is>
      </c>
      <c r="K498" t="inlineStr">
        <is>
          <t>CH2</t>
        </is>
      </c>
    </row>
    <row r="499">
      <c r="A499" s="33" t="n">
        <v>45706</v>
      </c>
      <c r="B499" t="inlineStr">
        <is>
          <t>2025-02</t>
        </is>
      </c>
      <c r="C499" t="inlineStr">
        <is>
          <t>Anne van Solt</t>
        </is>
      </c>
      <c r="D499" t="inlineStr">
        <is>
          <t>Petit Crunchy</t>
        </is>
      </c>
      <c r="E499" s="34" t="n">
        <v>15610</v>
      </c>
      <c r="F499" t="inlineStr">
        <is>
          <t>B</t>
        </is>
      </c>
      <c r="G499" s="34" t="n">
        <v>2492</v>
      </c>
      <c r="H499" s="34" t="n">
        <v>13118</v>
      </c>
      <c r="I499" t="inlineStr">
        <is>
          <t>3.2</t>
        </is>
      </c>
      <c r="J499" t="inlineStr">
        <is>
          <t>Ventas Personas (B2C)</t>
        </is>
      </c>
      <c r="K499" t="inlineStr">
        <is>
          <t>CH2</t>
        </is>
      </c>
    </row>
    <row r="500">
      <c r="A500" s="33" t="n">
        <v>45706</v>
      </c>
      <c r="B500" t="inlineStr">
        <is>
          <t>2025-02</t>
        </is>
      </c>
      <c r="C500" t="inlineStr">
        <is>
          <t>Sin cliente</t>
        </is>
      </c>
      <c r="D500" t="inlineStr">
        <is>
          <t>Mix Sabores</t>
        </is>
      </c>
      <c r="E500" s="34" t="n">
        <v>10200</v>
      </c>
      <c r="F500" t="inlineStr">
        <is>
          <t>B</t>
        </is>
      </c>
      <c r="G500" s="34" t="n">
        <v>1629</v>
      </c>
      <c r="H500" s="34" t="n">
        <v>8571</v>
      </c>
      <c r="I500" t="inlineStr">
        <is>
          <t>3.2</t>
        </is>
      </c>
      <c r="J500" t="inlineStr">
        <is>
          <t>Ventas Personas (B2C)</t>
        </is>
      </c>
      <c r="K500" t="inlineStr">
        <is>
          <t>CH2</t>
        </is>
      </c>
    </row>
    <row r="501">
      <c r="A501" s="33" t="n">
        <v>45706</v>
      </c>
      <c r="B501" t="inlineStr">
        <is>
          <t>2025-02</t>
        </is>
      </c>
      <c r="C501" t="inlineStr">
        <is>
          <t>Sin cliente</t>
        </is>
      </c>
      <c r="D501" t="inlineStr">
        <is>
          <t>CANELE SIN AZUCAR</t>
        </is>
      </c>
      <c r="E501" s="34" t="n">
        <v>12300</v>
      </c>
      <c r="F501" t="inlineStr">
        <is>
          <t>B</t>
        </is>
      </c>
      <c r="G501" s="34" t="n">
        <v>1964</v>
      </c>
      <c r="H501" s="34" t="n">
        <v>10336</v>
      </c>
      <c r="I501" t="inlineStr">
        <is>
          <t>3.2</t>
        </is>
      </c>
      <c r="J501" t="inlineStr">
        <is>
          <t>Ventas Personas (B2C)</t>
        </is>
      </c>
      <c r="K501" t="inlineStr">
        <is>
          <t>CH2</t>
        </is>
      </c>
    </row>
    <row r="502">
      <c r="A502" s="33" t="n">
        <v>45706</v>
      </c>
      <c r="B502" t="inlineStr">
        <is>
          <t>2025-02</t>
        </is>
      </c>
      <c r="C502" t="inlineStr">
        <is>
          <t>Luka Daneff</t>
        </is>
      </c>
      <c r="D502" t="inlineStr">
        <is>
          <t>Delicatessen</t>
        </is>
      </c>
      <c r="E502" s="34" t="n">
        <v>42680</v>
      </c>
      <c r="F502" t="inlineStr">
        <is>
          <t>B</t>
        </is>
      </c>
      <c r="G502" s="34" t="n">
        <v>6814</v>
      </c>
      <c r="H502" s="34" t="n">
        <v>35866</v>
      </c>
      <c r="I502" t="inlineStr">
        <is>
          <t>3.2</t>
        </is>
      </c>
      <c r="J502" t="inlineStr">
        <is>
          <t>Ventas Personas (B2C)</t>
        </is>
      </c>
      <c r="K502" t="inlineStr">
        <is>
          <t>CH2</t>
        </is>
      </c>
    </row>
    <row r="503">
      <c r="A503" s="33" t="n">
        <v>45707</v>
      </c>
      <c r="B503" t="inlineStr">
        <is>
          <t>2025-02</t>
        </is>
      </c>
      <c r="C503" t="inlineStr">
        <is>
          <t>sebastian obando</t>
        </is>
      </c>
      <c r="D503" t="inlineStr">
        <is>
          <t>Mix Sabores</t>
        </is>
      </c>
      <c r="E503" s="34" t="n">
        <v>50690</v>
      </c>
      <c r="F503" t="inlineStr">
        <is>
          <t>B</t>
        </is>
      </c>
      <c r="G503" s="34" t="n">
        <v>8093</v>
      </c>
      <c r="H503" s="34" t="n">
        <v>42597</v>
      </c>
      <c r="I503" t="inlineStr">
        <is>
          <t>3.2</t>
        </is>
      </c>
      <c r="J503" t="inlineStr">
        <is>
          <t>Ventas Personas (B2C)</t>
        </is>
      </c>
      <c r="K503" t="inlineStr">
        <is>
          <t>CH2</t>
        </is>
      </c>
    </row>
    <row r="504">
      <c r="A504" s="33" t="n">
        <v>45707</v>
      </c>
      <c r="B504" t="inlineStr">
        <is>
          <t>2025-02</t>
        </is>
      </c>
      <c r="C504" t="inlineStr">
        <is>
          <t>CAFETERÍAS MISTER SPA</t>
        </is>
      </c>
      <c r="D504" t="inlineStr">
        <is>
          <t>HORECA CAFETERIA</t>
        </is>
      </c>
      <c r="E504" s="34" t="n">
        <v>33990</v>
      </c>
      <c r="F504" t="inlineStr">
        <is>
          <t>F</t>
        </is>
      </c>
      <c r="G504" s="34" t="n">
        <v>5427</v>
      </c>
      <c r="H504" s="34" t="n">
        <v>28563</v>
      </c>
      <c r="I504" t="inlineStr">
        <is>
          <t>3.1</t>
        </is>
      </c>
      <c r="J504" t="inlineStr">
        <is>
          <t>Ventas HoReCa</t>
        </is>
      </c>
      <c r="K504" t="inlineStr">
        <is>
          <t>CH1</t>
        </is>
      </c>
    </row>
    <row r="505">
      <c r="A505" s="33" t="n">
        <v>45707</v>
      </c>
      <c r="B505" t="inlineStr">
        <is>
          <t>2025-02</t>
        </is>
      </c>
      <c r="C505" t="inlineStr">
        <is>
          <t>Josefina Ortigosa</t>
        </is>
      </c>
      <c r="D505" t="inlineStr">
        <is>
          <t>CANELÉ TRADICIONAL</t>
        </is>
      </c>
      <c r="E505" s="34" t="n">
        <v>13900</v>
      </c>
      <c r="F505" t="inlineStr">
        <is>
          <t>B</t>
        </is>
      </c>
      <c r="G505" s="34" t="n">
        <v>2219</v>
      </c>
      <c r="H505" s="34" t="n">
        <v>11681</v>
      </c>
      <c r="I505" t="inlineStr">
        <is>
          <t>3.2</t>
        </is>
      </c>
      <c r="J505" t="inlineStr">
        <is>
          <t>Ventas Personas (B2C)</t>
        </is>
      </c>
      <c r="K505" t="inlineStr">
        <is>
          <t>CH2</t>
        </is>
      </c>
    </row>
    <row r="506">
      <c r="A506" s="33" t="n">
        <v>45707</v>
      </c>
      <c r="B506" t="inlineStr">
        <is>
          <t>2025-02</t>
        </is>
      </c>
      <c r="C506" t="inlineStr">
        <is>
          <t>B KOFI SPA</t>
        </is>
      </c>
      <c r="D506" t="inlineStr">
        <is>
          <t>HORECA CAFETERIA</t>
        </is>
      </c>
      <c r="E506" s="34" t="n">
        <v>107600</v>
      </c>
      <c r="F506" t="inlineStr">
        <is>
          <t>F</t>
        </is>
      </c>
      <c r="G506" s="34" t="n">
        <v>17180</v>
      </c>
      <c r="H506" s="34" t="n">
        <v>90420</v>
      </c>
      <c r="I506" t="inlineStr">
        <is>
          <t>3.1</t>
        </is>
      </c>
      <c r="J506" t="inlineStr">
        <is>
          <t>Ventas HoReCa</t>
        </is>
      </c>
      <c r="K506" t="inlineStr">
        <is>
          <t>CH1</t>
        </is>
      </c>
    </row>
    <row r="507">
      <c r="A507" s="33" t="n">
        <v>45707</v>
      </c>
      <c r="B507" t="inlineStr">
        <is>
          <t>2025-02</t>
        </is>
      </c>
      <c r="C507" t="inlineStr">
        <is>
          <t>Sin cliente</t>
        </is>
      </c>
      <c r="D507" t="inlineStr">
        <is>
          <t>PLATAFORMAS RAP-PEYA-UBER-GOOD</t>
        </is>
      </c>
      <c r="E507" s="34" t="n">
        <v>16680</v>
      </c>
      <c r="F507" t="inlineStr">
        <is>
          <t>B</t>
        </is>
      </c>
      <c r="G507" s="34" t="n">
        <v>2663</v>
      </c>
      <c r="H507" s="34" t="n">
        <v>14017</v>
      </c>
      <c r="I507" t="inlineStr">
        <is>
          <t>3.6</t>
        </is>
      </c>
      <c r="J507" t="inlineStr">
        <is>
          <t>Ventas Delivery Apps</t>
        </is>
      </c>
      <c r="K507" t="inlineStr">
        <is>
          <t>CH3</t>
        </is>
      </c>
    </row>
    <row r="508">
      <c r="A508" s="33" t="n">
        <v>45707</v>
      </c>
      <c r="B508" t="inlineStr">
        <is>
          <t>2025-02</t>
        </is>
      </c>
      <c r="C508" t="inlineStr">
        <is>
          <t>Sin cliente</t>
        </is>
      </c>
      <c r="D508" t="inlineStr">
        <is>
          <t>Petit Tradicional</t>
        </is>
      </c>
      <c r="E508" s="34" t="n">
        <v>13300</v>
      </c>
      <c r="F508" t="inlineStr">
        <is>
          <t>B</t>
        </is>
      </c>
      <c r="G508" s="34" t="n">
        <v>2124</v>
      </c>
      <c r="H508" s="34" t="n">
        <v>11176</v>
      </c>
      <c r="I508" t="inlineStr">
        <is>
          <t>3.2</t>
        </is>
      </c>
      <c r="J508" t="inlineStr">
        <is>
          <t>Ventas Personas (B2C)</t>
        </is>
      </c>
      <c r="K508" t="inlineStr">
        <is>
          <t>CH2</t>
        </is>
      </c>
    </row>
    <row r="509">
      <c r="A509" s="33" t="n">
        <v>45707</v>
      </c>
      <c r="B509" t="inlineStr">
        <is>
          <t>2025-02</t>
        </is>
      </c>
      <c r="C509" t="inlineStr">
        <is>
          <t>Sin cliente</t>
        </is>
      </c>
      <c r="D509" t="inlineStr">
        <is>
          <t>REGION METROPOLITANA</t>
        </is>
      </c>
      <c r="E509" s="34" t="n">
        <v>4990</v>
      </c>
      <c r="F509" t="inlineStr">
        <is>
          <t>B</t>
        </is>
      </c>
      <c r="G509" s="34" t="n">
        <v>797</v>
      </c>
      <c r="H509" s="34" t="n">
        <v>4193</v>
      </c>
      <c r="I509" t="inlineStr">
        <is>
          <t>3.2</t>
        </is>
      </c>
      <c r="J509" t="inlineStr">
        <is>
          <t>Ventas Personas (B2C)</t>
        </is>
      </c>
      <c r="K509" t="inlineStr">
        <is>
          <t>CH2</t>
        </is>
      </c>
    </row>
    <row r="510">
      <c r="A510" s="33" t="n">
        <v>45707</v>
      </c>
      <c r="B510" t="inlineStr">
        <is>
          <t>2025-02</t>
        </is>
      </c>
      <c r="C510" t="inlineStr">
        <is>
          <t>Sin cliente</t>
        </is>
      </c>
      <c r="D510" t="inlineStr">
        <is>
          <t>CANELÉ TRADICIONAL</t>
        </is>
      </c>
      <c r="E510" s="34" t="n">
        <v>13900</v>
      </c>
      <c r="F510" t="inlineStr">
        <is>
          <t>B</t>
        </is>
      </c>
      <c r="G510" s="34" t="n">
        <v>2219</v>
      </c>
      <c r="H510" s="34" t="n">
        <v>11681</v>
      </c>
      <c r="I510" t="inlineStr">
        <is>
          <t>3.2</t>
        </is>
      </c>
      <c r="J510" t="inlineStr">
        <is>
          <t>Ventas Personas (B2C)</t>
        </is>
      </c>
      <c r="K510" t="inlineStr">
        <is>
          <t>CH2</t>
        </is>
      </c>
    </row>
    <row r="511">
      <c r="A511" s="33" t="n">
        <v>45707</v>
      </c>
      <c r="B511" t="inlineStr">
        <is>
          <t>2025-02</t>
        </is>
      </c>
      <c r="C511" t="inlineStr">
        <is>
          <t>Sin cliente</t>
        </is>
      </c>
      <c r="D511" t="inlineStr">
        <is>
          <t>CANELÉ TRADICIONAL</t>
        </is>
      </c>
      <c r="E511" s="34" t="n">
        <v>13900</v>
      </c>
      <c r="F511" t="inlineStr">
        <is>
          <t>B</t>
        </is>
      </c>
      <c r="G511" s="34" t="n">
        <v>2219</v>
      </c>
      <c r="H511" s="34" t="n">
        <v>11681</v>
      </c>
      <c r="I511" t="inlineStr">
        <is>
          <t>3.2</t>
        </is>
      </c>
      <c r="J511" t="inlineStr">
        <is>
          <t>Ventas Personas (B2C)</t>
        </is>
      </c>
      <c r="K511" t="inlineStr">
        <is>
          <t>CH2</t>
        </is>
      </c>
    </row>
    <row r="512">
      <c r="A512" s="33" t="n">
        <v>45707</v>
      </c>
      <c r="B512" t="inlineStr">
        <is>
          <t>2025-02</t>
        </is>
      </c>
      <c r="C512" t="inlineStr">
        <is>
          <t>Maria Ferrer</t>
        </is>
      </c>
      <c r="D512" t="inlineStr">
        <is>
          <t>PACKS GOURMET</t>
        </is>
      </c>
      <c r="E512" s="34" t="n">
        <v>25915</v>
      </c>
      <c r="F512" t="inlineStr">
        <is>
          <t>B</t>
        </is>
      </c>
      <c r="G512" s="34" t="n">
        <v>4138</v>
      </c>
      <c r="H512" s="34" t="n">
        <v>21777</v>
      </c>
      <c r="I512" t="inlineStr">
        <is>
          <t>3.2</t>
        </is>
      </c>
      <c r="J512" t="inlineStr">
        <is>
          <t>Ventas Personas (B2C)</t>
        </is>
      </c>
      <c r="K512" t="inlineStr">
        <is>
          <t>CH2</t>
        </is>
      </c>
    </row>
    <row r="513">
      <c r="A513" s="33" t="n">
        <v>45707</v>
      </c>
      <c r="B513" t="inlineStr">
        <is>
          <t>2025-02</t>
        </is>
      </c>
      <c r="C513" t="inlineStr">
        <is>
          <t>Sin cliente</t>
        </is>
      </c>
      <c r="D513" t="inlineStr">
        <is>
          <t>PLATAFORMAS RAP-PEYA-UBER-GOOD</t>
        </is>
      </c>
      <c r="E513" s="34" t="n">
        <v>23760</v>
      </c>
      <c r="F513" t="inlineStr">
        <is>
          <t>B</t>
        </is>
      </c>
      <c r="G513" s="34" t="n">
        <v>3794</v>
      </c>
      <c r="H513" s="34" t="n">
        <v>19966</v>
      </c>
      <c r="I513" t="inlineStr">
        <is>
          <t>3.6</t>
        </is>
      </c>
      <c r="J513" t="inlineStr">
        <is>
          <t>Ventas Delivery Apps</t>
        </is>
      </c>
      <c r="K513" t="inlineStr">
        <is>
          <t>CH3</t>
        </is>
      </c>
    </row>
    <row r="514">
      <c r="A514" s="33" t="n">
        <v>45707</v>
      </c>
      <c r="B514" t="inlineStr">
        <is>
          <t>2025-02</t>
        </is>
      </c>
      <c r="C514" t="inlineStr">
        <is>
          <t>SOCIEDAD COMERCIAL JOSEFINA SPA</t>
        </is>
      </c>
      <c r="D514" t="inlineStr">
        <is>
          <t>HORECA CAFETERIA</t>
        </is>
      </c>
      <c r="E514" s="34" t="n">
        <v>30000</v>
      </c>
      <c r="F514" t="inlineStr">
        <is>
          <t>F</t>
        </is>
      </c>
      <c r="G514" s="34" t="n">
        <v>4790</v>
      </c>
      <c r="H514" s="34" t="n">
        <v>25210</v>
      </c>
      <c r="I514" t="inlineStr">
        <is>
          <t>3.1</t>
        </is>
      </c>
      <c r="J514" t="inlineStr">
        <is>
          <t>Ventas HoReCa</t>
        </is>
      </c>
      <c r="K514" t="inlineStr">
        <is>
          <t>CH1</t>
        </is>
      </c>
    </row>
    <row r="515">
      <c r="A515" s="33" t="n">
        <v>45707</v>
      </c>
      <c r="B515" t="inlineStr">
        <is>
          <t>2025-02</t>
        </is>
      </c>
      <c r="C515" t="inlineStr">
        <is>
          <t>Sin cliente</t>
        </is>
      </c>
      <c r="D515" t="inlineStr">
        <is>
          <t>CANELÉ TRADICIONAL</t>
        </is>
      </c>
      <c r="E515" s="34" t="n">
        <v>19800</v>
      </c>
      <c r="F515" t="inlineStr">
        <is>
          <t>B</t>
        </is>
      </c>
      <c r="G515" s="34" t="n">
        <v>3161</v>
      </c>
      <c r="H515" s="34" t="n">
        <v>16639</v>
      </c>
      <c r="I515" t="inlineStr">
        <is>
          <t>3.2</t>
        </is>
      </c>
      <c r="J515" t="inlineStr">
        <is>
          <t>Ventas Personas (B2C)</t>
        </is>
      </c>
      <c r="K515" t="inlineStr">
        <is>
          <t>CH2</t>
        </is>
      </c>
    </row>
    <row r="516">
      <c r="A516" s="33" t="n">
        <v>45708</v>
      </c>
      <c r="B516" t="inlineStr">
        <is>
          <t>2025-02</t>
        </is>
      </c>
      <c r="C516" t="inlineStr">
        <is>
          <t>Sin cliente</t>
        </is>
      </c>
      <c r="D516" t="inlineStr">
        <is>
          <t>Petit Crunchy</t>
        </is>
      </c>
      <c r="E516" s="34" t="n">
        <v>11800</v>
      </c>
      <c r="F516" t="inlineStr">
        <is>
          <t>B</t>
        </is>
      </c>
      <c r="G516" s="34" t="n">
        <v>1884</v>
      </c>
      <c r="H516" s="34" t="n">
        <v>9916</v>
      </c>
      <c r="I516" t="inlineStr">
        <is>
          <t>3.2</t>
        </is>
      </c>
      <c r="J516" t="inlineStr">
        <is>
          <t>Ventas Personas (B2C)</t>
        </is>
      </c>
      <c r="K516" t="inlineStr">
        <is>
          <t>CH2</t>
        </is>
      </c>
    </row>
    <row r="517">
      <c r="A517" s="33" t="n">
        <v>45708</v>
      </c>
      <c r="B517" t="inlineStr">
        <is>
          <t>2025-02</t>
        </is>
      </c>
      <c r="C517" t="inlineStr">
        <is>
          <t>CAFE DIARIO ENCOMENDEROS SPA</t>
        </is>
      </c>
      <c r="D517" t="inlineStr">
        <is>
          <t>HORECA CAFETERIA</t>
        </is>
      </c>
      <c r="E517" s="34" t="n">
        <v>58611</v>
      </c>
      <c r="F517" t="inlineStr">
        <is>
          <t>F</t>
        </is>
      </c>
      <c r="G517" s="34" t="n">
        <v>9358</v>
      </c>
      <c r="H517" s="34" t="n">
        <v>49253</v>
      </c>
      <c r="I517" t="inlineStr">
        <is>
          <t>3.1</t>
        </is>
      </c>
      <c r="J517" t="inlineStr">
        <is>
          <t>Ventas HoReCa</t>
        </is>
      </c>
      <c r="K517" t="inlineStr">
        <is>
          <t>CH1</t>
        </is>
      </c>
    </row>
    <row r="518">
      <c r="A518" s="33" t="n">
        <v>45708</v>
      </c>
      <c r="B518" t="inlineStr">
        <is>
          <t>2025-02</t>
        </is>
      </c>
      <c r="C518" t="inlineStr">
        <is>
          <t>Clark Veloso Valenzuela</t>
        </is>
      </c>
      <c r="D518" t="inlineStr">
        <is>
          <t>HORECA CAFETERIA</t>
        </is>
      </c>
      <c r="E518" s="34" t="n">
        <v>64990</v>
      </c>
      <c r="F518" t="inlineStr">
        <is>
          <t>F</t>
        </is>
      </c>
      <c r="G518" s="34" t="n">
        <v>10377</v>
      </c>
      <c r="H518" s="34" t="n">
        <v>54613</v>
      </c>
      <c r="I518" t="inlineStr">
        <is>
          <t>3.1</t>
        </is>
      </c>
      <c r="J518" t="inlineStr">
        <is>
          <t>Ventas HoReCa</t>
        </is>
      </c>
      <c r="K518" t="inlineStr">
        <is>
          <t>CH1</t>
        </is>
      </c>
    </row>
    <row r="519">
      <c r="A519" s="33" t="n">
        <v>45708</v>
      </c>
      <c r="B519" t="inlineStr">
        <is>
          <t>2025-02</t>
        </is>
      </c>
      <c r="C519" t="inlineStr">
        <is>
          <t>GALVEZ Y HEUSSER SPA</t>
        </is>
      </c>
      <c r="D519" t="inlineStr">
        <is>
          <t>HORECA CATERING</t>
        </is>
      </c>
      <c r="E519" s="34" t="n">
        <v>240975</v>
      </c>
      <c r="F519" t="inlineStr">
        <is>
          <t>F</t>
        </is>
      </c>
      <c r="G519" s="34" t="n">
        <v>38475</v>
      </c>
      <c r="H519" s="34" t="n">
        <v>202500</v>
      </c>
      <c r="I519" t="inlineStr">
        <is>
          <t>3.1</t>
        </is>
      </c>
      <c r="J519" t="inlineStr">
        <is>
          <t>Ventas HoReCa</t>
        </is>
      </c>
      <c r="K519" t="inlineStr">
        <is>
          <t>CH1</t>
        </is>
      </c>
    </row>
    <row r="520">
      <c r="A520" s="33" t="n">
        <v>45708</v>
      </c>
      <c r="B520" t="inlineStr">
        <is>
          <t>2025-02</t>
        </is>
      </c>
      <c r="C520" t="inlineStr">
        <is>
          <t>VILAS BANQUETERIAS SPA</t>
        </is>
      </c>
      <c r="D520" t="inlineStr">
        <is>
          <t>HORECA CATERING</t>
        </is>
      </c>
      <c r="E520" s="34" t="n">
        <v>130130</v>
      </c>
      <c r="F520" t="inlineStr">
        <is>
          <t>F</t>
        </is>
      </c>
      <c r="G520" s="34" t="n">
        <v>20777</v>
      </c>
      <c r="H520" s="34" t="n">
        <v>109353</v>
      </c>
      <c r="I520" t="inlineStr">
        <is>
          <t>3.1</t>
        </is>
      </c>
      <c r="J520" t="inlineStr">
        <is>
          <t>Ventas HoReCa</t>
        </is>
      </c>
      <c r="K520" t="inlineStr">
        <is>
          <t>CH1</t>
        </is>
      </c>
    </row>
    <row r="521">
      <c r="A521" s="33" t="n">
        <v>45708</v>
      </c>
      <c r="B521" t="inlineStr">
        <is>
          <t>2025-02</t>
        </is>
      </c>
      <c r="C521" t="inlineStr">
        <is>
          <t>POMPON SPA</t>
        </is>
      </c>
      <c r="D521" t="inlineStr">
        <is>
          <t>HORECA CAFETERIA</t>
        </is>
      </c>
      <c r="E521" s="34" t="n">
        <v>134470</v>
      </c>
      <c r="F521" t="inlineStr">
        <is>
          <t>F</t>
        </is>
      </c>
      <c r="G521" s="34" t="n">
        <v>21470</v>
      </c>
      <c r="H521" s="34" t="n">
        <v>113000</v>
      </c>
      <c r="I521" t="inlineStr">
        <is>
          <t>3.1</t>
        </is>
      </c>
      <c r="J521" t="inlineStr">
        <is>
          <t>Ventas HoReCa</t>
        </is>
      </c>
      <c r="K521" t="inlineStr">
        <is>
          <t>CH1</t>
        </is>
      </c>
    </row>
    <row r="522">
      <c r="A522" s="33" t="n">
        <v>45708</v>
      </c>
      <c r="B522" t="inlineStr">
        <is>
          <t>2025-02</t>
        </is>
      </c>
      <c r="C522" t="inlineStr">
        <is>
          <t>GOOD LIFE SPA</t>
        </is>
      </c>
      <c r="D522" t="inlineStr">
        <is>
          <t>HORECA CAFETERIA</t>
        </is>
      </c>
      <c r="E522" s="34" t="n">
        <v>203514</v>
      </c>
      <c r="F522" t="inlineStr">
        <is>
          <t>F</t>
        </is>
      </c>
      <c r="G522" s="34" t="n">
        <v>32494</v>
      </c>
      <c r="H522" s="34" t="n">
        <v>171020</v>
      </c>
      <c r="I522" t="inlineStr">
        <is>
          <t>3.1</t>
        </is>
      </c>
      <c r="J522" t="inlineStr">
        <is>
          <t>Ventas HoReCa</t>
        </is>
      </c>
      <c r="K522" t="inlineStr">
        <is>
          <t>CH1</t>
        </is>
      </c>
    </row>
    <row r="523">
      <c r="A523" s="33" t="n">
        <v>45708</v>
      </c>
      <c r="B523" t="inlineStr">
        <is>
          <t>2025-02</t>
        </is>
      </c>
      <c r="C523" t="inlineStr">
        <is>
          <t>CAFETERÍA ALTURA LIMITADA</t>
        </is>
      </c>
      <c r="D523" t="inlineStr">
        <is>
          <t>HORECA CAFETERIA</t>
        </is>
      </c>
      <c r="E523" s="34" t="n">
        <v>53910</v>
      </c>
      <c r="F523" t="inlineStr">
        <is>
          <t>F</t>
        </is>
      </c>
      <c r="G523" s="34" t="n">
        <v>8607</v>
      </c>
      <c r="H523" s="34" t="n">
        <v>45303</v>
      </c>
      <c r="I523" t="inlineStr">
        <is>
          <t>3.1</t>
        </is>
      </c>
      <c r="J523" t="inlineStr">
        <is>
          <t>Ventas HoReCa</t>
        </is>
      </c>
      <c r="K523" t="inlineStr">
        <is>
          <t>CH1</t>
        </is>
      </c>
    </row>
    <row r="524">
      <c r="A524" s="33" t="n">
        <v>45708</v>
      </c>
      <c r="B524" t="inlineStr">
        <is>
          <t>2025-02</t>
        </is>
      </c>
      <c r="C524" t="inlineStr">
        <is>
          <t>INVERSIONES Y COMERCIALIZADORA FED LIMITADA</t>
        </is>
      </c>
      <c r="D524" t="inlineStr">
        <is>
          <t>HORECA CAFETERIA</t>
        </is>
      </c>
      <c r="E524" s="34" t="n">
        <v>54910</v>
      </c>
      <c r="F524" t="inlineStr">
        <is>
          <t>F</t>
        </is>
      </c>
      <c r="G524" s="34" t="n">
        <v>8767</v>
      </c>
      <c r="H524" s="34" t="n">
        <v>46143</v>
      </c>
      <c r="I524" t="inlineStr">
        <is>
          <t>3.1</t>
        </is>
      </c>
      <c r="J524" t="inlineStr">
        <is>
          <t>Ventas HoReCa</t>
        </is>
      </c>
      <c r="K524" t="inlineStr">
        <is>
          <t>CH1</t>
        </is>
      </c>
    </row>
    <row r="525">
      <c r="A525" s="33" t="n">
        <v>45708</v>
      </c>
      <c r="B525" t="inlineStr">
        <is>
          <t>2025-02</t>
        </is>
      </c>
      <c r="C525" t="inlineStr">
        <is>
          <t>INVERSIONES Y COMERCIALIZADORA FED LIMITADA</t>
        </is>
      </c>
      <c r="D525" t="inlineStr">
        <is>
          <t>HORECA CAFETERIA</t>
        </is>
      </c>
      <c r="E525" s="34" t="n">
        <v>132297</v>
      </c>
      <c r="F525" t="inlineStr">
        <is>
          <t>F</t>
        </is>
      </c>
      <c r="G525" s="34" t="n">
        <v>21123</v>
      </c>
      <c r="H525" s="34" t="n">
        <v>111174</v>
      </c>
      <c r="I525" t="inlineStr">
        <is>
          <t>3.1</t>
        </is>
      </c>
      <c r="J525" t="inlineStr">
        <is>
          <t>Ventas HoReCa</t>
        </is>
      </c>
      <c r="K525" t="inlineStr">
        <is>
          <t>CH1</t>
        </is>
      </c>
    </row>
    <row r="526">
      <c r="A526" s="33" t="n">
        <v>45708</v>
      </c>
      <c r="B526" t="inlineStr">
        <is>
          <t>2025-02</t>
        </is>
      </c>
      <c r="C526" t="inlineStr">
        <is>
          <t>INVERSIONES Y ASESORIAS RAVAL LIMITADA</t>
        </is>
      </c>
      <c r="D526" t="inlineStr">
        <is>
          <t>HORECA CAFETERIA</t>
        </is>
      </c>
      <c r="E526" s="34" t="n">
        <v>67980</v>
      </c>
      <c r="F526" t="inlineStr">
        <is>
          <t>F</t>
        </is>
      </c>
      <c r="G526" s="34" t="n">
        <v>10854</v>
      </c>
      <c r="H526" s="34" t="n">
        <v>57126</v>
      </c>
      <c r="I526" t="inlineStr">
        <is>
          <t>3.1</t>
        </is>
      </c>
      <c r="J526" t="inlineStr">
        <is>
          <t>Ventas HoReCa</t>
        </is>
      </c>
      <c r="K526" t="inlineStr">
        <is>
          <t>CH1</t>
        </is>
      </c>
    </row>
    <row r="527">
      <c r="A527" s="33" t="n">
        <v>45708</v>
      </c>
      <c r="B527" t="inlineStr">
        <is>
          <t>2025-02</t>
        </is>
      </c>
      <c r="C527" t="inlineStr">
        <is>
          <t>VILAS BANQUETERIAS SPA</t>
        </is>
      </c>
      <c r="D527" t="inlineStr">
        <is>
          <t>HORECA CATERING</t>
        </is>
      </c>
      <c r="E527" s="34" t="n">
        <v>182490</v>
      </c>
      <c r="F527" t="inlineStr">
        <is>
          <t>F</t>
        </is>
      </c>
      <c r="G527" s="34" t="n">
        <v>29137</v>
      </c>
      <c r="H527" s="34" t="n">
        <v>153353</v>
      </c>
      <c r="I527" t="inlineStr">
        <is>
          <t>3.1</t>
        </is>
      </c>
      <c r="J527" t="inlineStr">
        <is>
          <t>Ventas HoReCa</t>
        </is>
      </c>
      <c r="K527" t="inlineStr">
        <is>
          <t>CH1</t>
        </is>
      </c>
    </row>
    <row r="528">
      <c r="A528" s="33" t="n">
        <v>45708</v>
      </c>
      <c r="B528" t="inlineStr">
        <is>
          <t>2025-02</t>
        </is>
      </c>
      <c r="C528" t="inlineStr">
        <is>
          <t>PRODUCTORA DE EVENTOS AGDV SPA</t>
        </is>
      </c>
      <c r="D528" t="inlineStr">
        <is>
          <t>HORECA CATERING</t>
        </is>
      </c>
      <c r="E528" s="34" t="n">
        <v>126140</v>
      </c>
      <c r="F528" t="inlineStr">
        <is>
          <t>F</t>
        </is>
      </c>
      <c r="G528" s="34" t="n">
        <v>20140</v>
      </c>
      <c r="H528" s="34" t="n">
        <v>106000</v>
      </c>
      <c r="I528" t="inlineStr">
        <is>
          <t>3.1</t>
        </is>
      </c>
      <c r="J528" t="inlineStr">
        <is>
          <t>Ventas HoReCa</t>
        </is>
      </c>
      <c r="K528" t="inlineStr">
        <is>
          <t>CH1</t>
        </is>
      </c>
    </row>
    <row r="529">
      <c r="A529" s="33" t="n">
        <v>45708</v>
      </c>
      <c r="B529" t="inlineStr">
        <is>
          <t>2025-02</t>
        </is>
      </c>
      <c r="C529" t="inlineStr">
        <is>
          <t>DIEGO VARGAS BANQUETERIA Y EVENTOS SPA</t>
        </is>
      </c>
      <c r="D529" t="inlineStr">
        <is>
          <t>HORECA CATERING</t>
        </is>
      </c>
      <c r="E529" s="34" t="n">
        <v>250130</v>
      </c>
      <c r="F529" t="inlineStr">
        <is>
          <t>F</t>
        </is>
      </c>
      <c r="G529" s="34" t="n">
        <v>39937</v>
      </c>
      <c r="H529" s="34" t="n">
        <v>210193</v>
      </c>
      <c r="I529" t="inlineStr">
        <is>
          <t>3.1</t>
        </is>
      </c>
      <c r="J529" t="inlineStr">
        <is>
          <t>Ventas HoReCa</t>
        </is>
      </c>
      <c r="K529" t="inlineStr">
        <is>
          <t>CH1</t>
        </is>
      </c>
    </row>
    <row r="530">
      <c r="A530" s="33" t="n">
        <v>45708</v>
      </c>
      <c r="B530" t="inlineStr">
        <is>
          <t>2025-02</t>
        </is>
      </c>
      <c r="C530" t="inlineStr">
        <is>
          <t>GALVEZ Y HEUSSER SPA</t>
        </is>
      </c>
      <c r="D530" t="inlineStr">
        <is>
          <t>HORECA CATERING</t>
        </is>
      </c>
      <c r="E530" s="34" t="n">
        <v>227440</v>
      </c>
      <c r="F530" t="inlineStr">
        <is>
          <t>F</t>
        </is>
      </c>
      <c r="G530" s="34" t="n">
        <v>36314</v>
      </c>
      <c r="H530" s="34" t="n">
        <v>191126</v>
      </c>
      <c r="I530" t="inlineStr">
        <is>
          <t>3.1</t>
        </is>
      </c>
      <c r="J530" t="inlineStr">
        <is>
          <t>Ventas HoReCa</t>
        </is>
      </c>
      <c r="K530" t="inlineStr">
        <is>
          <t>CH1</t>
        </is>
      </c>
    </row>
    <row r="531">
      <c r="A531" s="33" t="n">
        <v>45708</v>
      </c>
      <c r="B531" t="inlineStr">
        <is>
          <t>2025-02</t>
        </is>
      </c>
      <c r="C531" t="inlineStr">
        <is>
          <t>POMPON SPA</t>
        </is>
      </c>
      <c r="D531" t="inlineStr">
        <is>
          <t>HORECA CAFETERIA</t>
        </is>
      </c>
      <c r="E531" s="34" t="n">
        <v>-134470</v>
      </c>
      <c r="F531" t="inlineStr">
        <is>
          <t>NC</t>
        </is>
      </c>
      <c r="G531" s="34" t="n">
        <v>-21470</v>
      </c>
      <c r="H531" s="34" t="n">
        <v>-113000</v>
      </c>
      <c r="I531" t="inlineStr">
        <is>
          <t>3.2</t>
        </is>
      </c>
      <c r="J531" t="inlineStr">
        <is>
          <t>Ventas Personas (B2C)</t>
        </is>
      </c>
      <c r="K531" t="inlineStr">
        <is>
          <t>CH2</t>
        </is>
      </c>
    </row>
    <row r="532">
      <c r="A532" s="33" t="n">
        <v>45708</v>
      </c>
      <c r="B532" t="inlineStr">
        <is>
          <t>2025-02</t>
        </is>
      </c>
      <c r="C532" t="inlineStr">
        <is>
          <t>POMPON SPA</t>
        </is>
      </c>
      <c r="D532" t="inlineStr">
        <is>
          <t>HORECA CAFETERIA</t>
        </is>
      </c>
      <c r="E532" s="34" t="n">
        <v>70210</v>
      </c>
      <c r="F532" t="inlineStr">
        <is>
          <t>F</t>
        </is>
      </c>
      <c r="G532" s="34" t="n">
        <v>11210</v>
      </c>
      <c r="H532" s="34" t="n">
        <v>59000</v>
      </c>
      <c r="I532" t="inlineStr">
        <is>
          <t>3.1</t>
        </is>
      </c>
      <c r="J532" t="inlineStr">
        <is>
          <t>Ventas HoReCa</t>
        </is>
      </c>
      <c r="K532" t="inlineStr">
        <is>
          <t>CH1</t>
        </is>
      </c>
    </row>
    <row r="533">
      <c r="A533" s="33" t="n">
        <v>45708</v>
      </c>
      <c r="B533" t="inlineStr">
        <is>
          <t>2025-02</t>
        </is>
      </c>
      <c r="C533" t="inlineStr">
        <is>
          <t>POMPON SPA</t>
        </is>
      </c>
      <c r="D533" t="inlineStr">
        <is>
          <t>HORECA CAFETERIA</t>
        </is>
      </c>
      <c r="E533" s="34" t="n">
        <v>46830</v>
      </c>
      <c r="F533" t="inlineStr">
        <is>
          <t>F</t>
        </is>
      </c>
      <c r="G533" s="34" t="n">
        <v>7477</v>
      </c>
      <c r="H533" s="34" t="n">
        <v>39353</v>
      </c>
      <c r="I533" t="inlineStr">
        <is>
          <t>3.1</t>
        </is>
      </c>
      <c r="J533" t="inlineStr">
        <is>
          <t>Ventas HoReCa</t>
        </is>
      </c>
      <c r="K533" t="inlineStr">
        <is>
          <t>CH1</t>
        </is>
      </c>
    </row>
    <row r="534">
      <c r="A534" s="33" t="n">
        <v>45708</v>
      </c>
      <c r="B534" t="inlineStr">
        <is>
          <t>2025-02</t>
        </is>
      </c>
      <c r="C534" t="inlineStr">
        <is>
          <t>Better Food Spa</t>
        </is>
      </c>
      <c r="D534" t="inlineStr">
        <is>
          <t>HORECA CAFETERIA</t>
        </is>
      </c>
      <c r="E534" s="34" t="n">
        <v>29988</v>
      </c>
      <c r="F534" t="inlineStr">
        <is>
          <t>F</t>
        </is>
      </c>
      <c r="G534" s="34" t="n">
        <v>4788</v>
      </c>
      <c r="H534" s="34" t="n">
        <v>25200</v>
      </c>
      <c r="I534" t="inlineStr">
        <is>
          <t>3.1</t>
        </is>
      </c>
      <c r="J534" t="inlineStr">
        <is>
          <t>Ventas HoReCa</t>
        </is>
      </c>
      <c r="K534" t="inlineStr">
        <is>
          <t>CH1</t>
        </is>
      </c>
    </row>
    <row r="535">
      <c r="A535" s="33" t="n">
        <v>45708</v>
      </c>
      <c r="B535" t="inlineStr">
        <is>
          <t>2025-02</t>
        </is>
      </c>
      <c r="C535" t="inlineStr">
        <is>
          <t>Better Food Spa</t>
        </is>
      </c>
      <c r="D535" t="inlineStr">
        <is>
          <t>REGION METROPOLITANA</t>
        </is>
      </c>
      <c r="E535" s="34" t="n">
        <v>4990</v>
      </c>
      <c r="F535" t="inlineStr">
        <is>
          <t>F</t>
        </is>
      </c>
      <c r="G535" s="34" t="n">
        <v>797</v>
      </c>
      <c r="H535" s="34" t="n">
        <v>4193</v>
      </c>
      <c r="I535" t="inlineStr">
        <is>
          <t>3.1</t>
        </is>
      </c>
      <c r="J535" t="inlineStr">
        <is>
          <t>Ventas HoReCa</t>
        </is>
      </c>
      <c r="K535" t="inlineStr">
        <is>
          <t>CH1</t>
        </is>
      </c>
    </row>
    <row r="536">
      <c r="A536" s="33" t="n">
        <v>45709</v>
      </c>
      <c r="B536" t="inlineStr">
        <is>
          <t>2025-02</t>
        </is>
      </c>
      <c r="C536" t="inlineStr">
        <is>
          <t>Soledad Cáceres</t>
        </is>
      </c>
      <c r="D536" t="inlineStr">
        <is>
          <t>Petit Tradicional</t>
        </is>
      </c>
      <c r="E536" s="34" t="n">
        <v>24889</v>
      </c>
      <c r="F536" t="inlineStr">
        <is>
          <t>B</t>
        </is>
      </c>
      <c r="G536" s="34" t="n">
        <v>3974</v>
      </c>
      <c r="H536" s="34" t="n">
        <v>20915</v>
      </c>
      <c r="I536" t="inlineStr">
        <is>
          <t>3.2</t>
        </is>
      </c>
      <c r="J536" t="inlineStr">
        <is>
          <t>Ventas Personas (B2C)</t>
        </is>
      </c>
      <c r="K536" t="inlineStr">
        <is>
          <t>CH2</t>
        </is>
      </c>
    </row>
    <row r="537">
      <c r="A537" s="33" t="n">
        <v>45709</v>
      </c>
      <c r="B537" t="inlineStr">
        <is>
          <t>2025-02</t>
        </is>
      </c>
      <c r="C537" t="inlineStr">
        <is>
          <t>Sin cliente</t>
        </is>
      </c>
      <c r="D537" t="inlineStr">
        <is>
          <t>CANELÉ TRADICIONAL</t>
        </is>
      </c>
      <c r="E537" s="34" t="n">
        <v>13900</v>
      </c>
      <c r="F537" t="inlineStr">
        <is>
          <t>B</t>
        </is>
      </c>
      <c r="G537" s="34" t="n">
        <v>2219</v>
      </c>
      <c r="H537" s="34" t="n">
        <v>11681</v>
      </c>
      <c r="I537" t="inlineStr">
        <is>
          <t>3.2</t>
        </is>
      </c>
      <c r="J537" t="inlineStr">
        <is>
          <t>Ventas Personas (B2C)</t>
        </is>
      </c>
      <c r="K537" t="inlineStr">
        <is>
          <t>CH2</t>
        </is>
      </c>
    </row>
    <row r="538">
      <c r="A538" s="33" t="n">
        <v>45709</v>
      </c>
      <c r="B538" t="inlineStr">
        <is>
          <t>2025-02</t>
        </is>
      </c>
      <c r="C538" t="inlineStr">
        <is>
          <t>Sin cliente</t>
        </is>
      </c>
      <c r="D538" t="inlineStr">
        <is>
          <t>Mix Sabores</t>
        </is>
      </c>
      <c r="E538" s="34" t="n">
        <v>22800</v>
      </c>
      <c r="F538" t="inlineStr">
        <is>
          <t>B</t>
        </is>
      </c>
      <c r="G538" s="34" t="n">
        <v>3640</v>
      </c>
      <c r="H538" s="34" t="n">
        <v>19160</v>
      </c>
      <c r="I538" t="inlineStr">
        <is>
          <t>3.2</t>
        </is>
      </c>
      <c r="J538" t="inlineStr">
        <is>
          <t>Ventas Personas (B2C)</t>
        </is>
      </c>
      <c r="K538" t="inlineStr">
        <is>
          <t>CH2</t>
        </is>
      </c>
    </row>
    <row r="539">
      <c r="A539" s="33" t="n">
        <v>45709</v>
      </c>
      <c r="B539" t="inlineStr">
        <is>
          <t>2025-02</t>
        </is>
      </c>
      <c r="C539" t="inlineStr">
        <is>
          <t>Soledad Cáceres</t>
        </is>
      </c>
      <c r="D539" t="inlineStr">
        <is>
          <t>Petit Tradicional</t>
        </is>
      </c>
      <c r="E539" s="34" t="n">
        <v>24889</v>
      </c>
      <c r="F539" t="inlineStr">
        <is>
          <t>B</t>
        </is>
      </c>
      <c r="G539" s="34" t="n">
        <v>3974</v>
      </c>
      <c r="H539" s="34" t="n">
        <v>20915</v>
      </c>
      <c r="I539" t="inlineStr">
        <is>
          <t>3.2</t>
        </is>
      </c>
      <c r="J539" t="inlineStr">
        <is>
          <t>Ventas Personas (B2C)</t>
        </is>
      </c>
      <c r="K539" t="inlineStr">
        <is>
          <t>CH2</t>
        </is>
      </c>
    </row>
    <row r="540">
      <c r="A540" s="33" t="n">
        <v>45709</v>
      </c>
      <c r="B540" t="inlineStr">
        <is>
          <t>2025-02</t>
        </is>
      </c>
      <c r="C540" t="inlineStr">
        <is>
          <t>Okinawa Spa</t>
        </is>
      </c>
      <c r="D540" t="inlineStr">
        <is>
          <t>HORECA CAFETERIA</t>
        </is>
      </c>
      <c r="E540" s="34" t="n">
        <v>163173</v>
      </c>
      <c r="F540" t="inlineStr">
        <is>
          <t>F</t>
        </is>
      </c>
      <c r="G540" s="34" t="n">
        <v>26053</v>
      </c>
      <c r="H540" s="34" t="n">
        <v>137120</v>
      </c>
      <c r="I540" t="inlineStr">
        <is>
          <t>3.1</t>
        </is>
      </c>
      <c r="J540" t="inlineStr">
        <is>
          <t>Ventas HoReCa</t>
        </is>
      </c>
      <c r="K540" t="inlineStr">
        <is>
          <t>CH1</t>
        </is>
      </c>
    </row>
    <row r="541">
      <c r="A541" s="33" t="n">
        <v>45709</v>
      </c>
      <c r="B541" t="inlineStr">
        <is>
          <t>2025-02</t>
        </is>
      </c>
      <c r="C541" t="inlineStr">
        <is>
          <t>Augusto Merino</t>
        </is>
      </c>
      <c r="D541" t="inlineStr">
        <is>
          <t>CANELÉ TRADICIONAL</t>
        </is>
      </c>
      <c r="E541" s="34" t="n">
        <v>70500</v>
      </c>
      <c r="F541" t="inlineStr">
        <is>
          <t>B</t>
        </is>
      </c>
      <c r="G541" s="34" t="n">
        <v>11256</v>
      </c>
      <c r="H541" s="34" t="n">
        <v>59244</v>
      </c>
      <c r="I541" t="inlineStr">
        <is>
          <t>3.2</t>
        </is>
      </c>
      <c r="J541" t="inlineStr">
        <is>
          <t>Ventas Personas (B2C)</t>
        </is>
      </c>
      <c r="K541" t="inlineStr">
        <is>
          <t>CH2</t>
        </is>
      </c>
    </row>
    <row r="542">
      <c r="A542" s="33" t="n">
        <v>45709</v>
      </c>
      <c r="B542" t="inlineStr">
        <is>
          <t>2025-02</t>
        </is>
      </c>
      <c r="C542" t="inlineStr">
        <is>
          <t>Minna Yu</t>
        </is>
      </c>
      <c r="D542" t="inlineStr">
        <is>
          <t>Rellenos</t>
        </is>
      </c>
      <c r="E542" s="34" t="n">
        <v>28900</v>
      </c>
      <c r="F542" t="inlineStr">
        <is>
          <t>B</t>
        </is>
      </c>
      <c r="G542" s="34" t="n">
        <v>4614</v>
      </c>
      <c r="H542" s="34" t="n">
        <v>24286</v>
      </c>
      <c r="I542" t="inlineStr">
        <is>
          <t>3.2</t>
        </is>
      </c>
      <c r="J542" t="inlineStr">
        <is>
          <t>Ventas Personas (B2C)</t>
        </is>
      </c>
      <c r="K542" t="inlineStr">
        <is>
          <t>CH2</t>
        </is>
      </c>
    </row>
    <row r="543">
      <c r="A543" s="33" t="n">
        <v>45709</v>
      </c>
      <c r="B543" t="inlineStr">
        <is>
          <t>2025-02</t>
        </is>
      </c>
      <c r="C543" t="inlineStr">
        <is>
          <t>Sin cliente</t>
        </is>
      </c>
      <c r="D543" t="inlineStr">
        <is>
          <t>PLATAFORMAS RAP-PEYA-UBER-GOOD</t>
        </is>
      </c>
      <c r="E543" s="34" t="n">
        <v>12960</v>
      </c>
      <c r="F543" t="inlineStr">
        <is>
          <t>B</t>
        </is>
      </c>
      <c r="G543" s="34" t="n">
        <v>2069</v>
      </c>
      <c r="H543" s="34" t="n">
        <v>10891</v>
      </c>
      <c r="I543" t="inlineStr">
        <is>
          <t>3.6</t>
        </is>
      </c>
      <c r="J543" t="inlineStr">
        <is>
          <t>Ventas Delivery Apps</t>
        </is>
      </c>
      <c r="K543" t="inlineStr">
        <is>
          <t>CH3</t>
        </is>
      </c>
    </row>
    <row r="544">
      <c r="A544" s="33" t="n">
        <v>45709</v>
      </c>
      <c r="B544" t="inlineStr">
        <is>
          <t>2025-02</t>
        </is>
      </c>
      <c r="C544" t="inlineStr">
        <is>
          <t>Sin cliente</t>
        </is>
      </c>
      <c r="D544" t="inlineStr">
        <is>
          <t>Mix Sabores</t>
        </is>
      </c>
      <c r="E544" s="34" t="n">
        <v>17760</v>
      </c>
      <c r="F544" t="inlineStr">
        <is>
          <t>B</t>
        </is>
      </c>
      <c r="G544" s="34" t="n">
        <v>2836</v>
      </c>
      <c r="H544" s="34" t="n">
        <v>14924</v>
      </c>
      <c r="I544" t="inlineStr">
        <is>
          <t>3.2</t>
        </is>
      </c>
      <c r="J544" t="inlineStr">
        <is>
          <t>Ventas Personas (B2C)</t>
        </is>
      </c>
      <c r="K544" t="inlineStr">
        <is>
          <t>CH2</t>
        </is>
      </c>
    </row>
    <row r="545">
      <c r="A545" s="33" t="n">
        <v>45709</v>
      </c>
      <c r="B545" t="inlineStr">
        <is>
          <t>2025-02</t>
        </is>
      </c>
      <c r="C545" t="inlineStr">
        <is>
          <t>Sin cliente</t>
        </is>
      </c>
      <c r="D545" t="inlineStr">
        <is>
          <t>CANELÉ TRADICIONAL</t>
        </is>
      </c>
      <c r="E545" s="34" t="n">
        <v>35790</v>
      </c>
      <c r="F545" t="inlineStr">
        <is>
          <t>B</t>
        </is>
      </c>
      <c r="G545" s="34" t="n">
        <v>5714</v>
      </c>
      <c r="H545" s="34" t="n">
        <v>30076</v>
      </c>
      <c r="I545" t="inlineStr">
        <is>
          <t>3.2</t>
        </is>
      </c>
      <c r="J545" t="inlineStr">
        <is>
          <t>Ventas Personas (B2C)</t>
        </is>
      </c>
      <c r="K545" t="inlineStr">
        <is>
          <t>CH2</t>
        </is>
      </c>
    </row>
    <row r="546">
      <c r="A546" s="33" t="n">
        <v>45709</v>
      </c>
      <c r="B546" t="inlineStr">
        <is>
          <t>2025-02</t>
        </is>
      </c>
      <c r="C546" t="inlineStr">
        <is>
          <t>Sin cliente</t>
        </is>
      </c>
      <c r="D546" t="inlineStr">
        <is>
          <t>CANELÉ TRADICIONAL</t>
        </is>
      </c>
      <c r="E546" s="34" t="n">
        <v>13900</v>
      </c>
      <c r="F546" t="inlineStr">
        <is>
          <t>B</t>
        </is>
      </c>
      <c r="G546" s="34" t="n">
        <v>2219</v>
      </c>
      <c r="H546" s="34" t="n">
        <v>11681</v>
      </c>
      <c r="I546" t="inlineStr">
        <is>
          <t>3.2</t>
        </is>
      </c>
      <c r="J546" t="inlineStr">
        <is>
          <t>Ventas Personas (B2C)</t>
        </is>
      </c>
      <c r="K546" t="inlineStr">
        <is>
          <t>CH2</t>
        </is>
      </c>
    </row>
    <row r="547">
      <c r="A547" s="33" t="n">
        <v>45711</v>
      </c>
      <c r="B547" t="inlineStr">
        <is>
          <t>2025-02</t>
        </is>
      </c>
      <c r="C547" t="inlineStr">
        <is>
          <t>Javiera Morales Pison</t>
        </is>
      </c>
      <c r="D547" t="inlineStr">
        <is>
          <t>CANELÉ TRADICIONAL</t>
        </is>
      </c>
      <c r="E547" s="34" t="n">
        <v>20890</v>
      </c>
      <c r="F547" t="inlineStr">
        <is>
          <t>B</t>
        </is>
      </c>
      <c r="G547" s="34" t="n">
        <v>3335</v>
      </c>
      <c r="H547" s="34" t="n">
        <v>17555</v>
      </c>
      <c r="I547" t="inlineStr">
        <is>
          <t>3.2</t>
        </is>
      </c>
      <c r="J547" t="inlineStr">
        <is>
          <t>Ventas Personas (B2C)</t>
        </is>
      </c>
      <c r="K547" t="inlineStr">
        <is>
          <t>CH2</t>
        </is>
      </c>
    </row>
    <row r="548">
      <c r="A548" s="33" t="n">
        <v>45712</v>
      </c>
      <c r="B548" t="inlineStr">
        <is>
          <t>2025-02</t>
        </is>
      </c>
      <c r="C548" t="inlineStr">
        <is>
          <t>Jose Labbe Valdes</t>
        </is>
      </c>
      <c r="D548" t="inlineStr">
        <is>
          <t>PACKS GOURMET</t>
        </is>
      </c>
      <c r="E548" s="34" t="n">
        <v>20796</v>
      </c>
      <c r="F548" t="inlineStr">
        <is>
          <t>B</t>
        </is>
      </c>
      <c r="G548" s="34" t="n">
        <v>3320</v>
      </c>
      <c r="H548" s="34" t="n">
        <v>17476</v>
      </c>
      <c r="I548" t="inlineStr">
        <is>
          <t>3.2</t>
        </is>
      </c>
      <c r="J548" t="inlineStr">
        <is>
          <t>Ventas Personas (B2C)</t>
        </is>
      </c>
      <c r="K548" t="inlineStr">
        <is>
          <t>CH2</t>
        </is>
      </c>
    </row>
    <row r="549">
      <c r="A549" s="33" t="n">
        <v>45712</v>
      </c>
      <c r="B549" t="inlineStr">
        <is>
          <t>2025-02</t>
        </is>
      </c>
      <c r="C549" t="inlineStr">
        <is>
          <t>Sin cliente</t>
        </is>
      </c>
      <c r="D549" t="inlineStr">
        <is>
          <t>PLATAFORMAS RAP-PEYA-UBER-GOOD</t>
        </is>
      </c>
      <c r="E549" s="34" t="n">
        <v>16680</v>
      </c>
      <c r="F549" t="inlineStr">
        <is>
          <t>B</t>
        </is>
      </c>
      <c r="G549" s="34" t="n">
        <v>2663</v>
      </c>
      <c r="H549" s="34" t="n">
        <v>14017</v>
      </c>
      <c r="I549" t="inlineStr">
        <is>
          <t>3.6</t>
        </is>
      </c>
      <c r="J549" t="inlineStr">
        <is>
          <t>Ventas Delivery Apps</t>
        </is>
      </c>
      <c r="K549" t="inlineStr">
        <is>
          <t>CH3</t>
        </is>
      </c>
    </row>
    <row r="550">
      <c r="A550" s="33" t="n">
        <v>45712</v>
      </c>
      <c r="B550" t="inlineStr">
        <is>
          <t>2025-02</t>
        </is>
      </c>
      <c r="C550" t="inlineStr">
        <is>
          <t>Matias Castro Nachar</t>
        </is>
      </c>
      <c r="D550" t="inlineStr">
        <is>
          <t>Petit Crunchy</t>
        </is>
      </c>
      <c r="E550" s="34" t="n">
        <v>34399</v>
      </c>
      <c r="F550" t="inlineStr">
        <is>
          <t>B</t>
        </is>
      </c>
      <c r="G550" s="34" t="n">
        <v>5492</v>
      </c>
      <c r="H550" s="34" t="n">
        <v>28907</v>
      </c>
      <c r="I550" t="inlineStr">
        <is>
          <t>3.2</t>
        </is>
      </c>
      <c r="J550" t="inlineStr">
        <is>
          <t>Ventas Personas (B2C)</t>
        </is>
      </c>
      <c r="K550" t="inlineStr">
        <is>
          <t>CH2</t>
        </is>
      </c>
    </row>
    <row r="551">
      <c r="A551" s="33" t="n">
        <v>45712</v>
      </c>
      <c r="B551" t="inlineStr">
        <is>
          <t>2025-02</t>
        </is>
      </c>
      <c r="C551" t="inlineStr">
        <is>
          <t>Sin cliente</t>
        </is>
      </c>
      <c r="D551" t="inlineStr">
        <is>
          <t>Mix Sabores</t>
        </is>
      </c>
      <c r="E551" s="34" t="n">
        <v>14800</v>
      </c>
      <c r="F551" t="inlineStr">
        <is>
          <t>B</t>
        </is>
      </c>
      <c r="G551" s="34" t="n">
        <v>2363</v>
      </c>
      <c r="H551" s="34" t="n">
        <v>12437</v>
      </c>
      <c r="I551" t="inlineStr">
        <is>
          <t>3.2</t>
        </is>
      </c>
      <c r="J551" t="inlineStr">
        <is>
          <t>Ventas Personas (B2C)</t>
        </is>
      </c>
      <c r="K551" t="inlineStr">
        <is>
          <t>CH2</t>
        </is>
      </c>
    </row>
    <row r="552">
      <c r="A552" s="33" t="n">
        <v>45712</v>
      </c>
      <c r="B552" t="inlineStr">
        <is>
          <t>2025-02</t>
        </is>
      </c>
      <c r="C552" t="inlineStr">
        <is>
          <t>Café bazar spa</t>
        </is>
      </c>
      <c r="D552" t="inlineStr">
        <is>
          <t>HORECA CAFETERIA</t>
        </is>
      </c>
      <c r="E552" s="34" t="n">
        <v>78437</v>
      </c>
      <c r="F552" t="inlineStr">
        <is>
          <t>F</t>
        </is>
      </c>
      <c r="G552" s="34" t="n">
        <v>12524</v>
      </c>
      <c r="H552" s="34" t="n">
        <v>65913</v>
      </c>
      <c r="I552" t="inlineStr">
        <is>
          <t>3.1</t>
        </is>
      </c>
      <c r="J552" t="inlineStr">
        <is>
          <t>Ventas HoReCa</t>
        </is>
      </c>
      <c r="K552" t="inlineStr">
        <is>
          <t>CH1</t>
        </is>
      </c>
    </row>
    <row r="553">
      <c r="A553" s="33" t="n">
        <v>45712</v>
      </c>
      <c r="B553" t="inlineStr">
        <is>
          <t>2025-02</t>
        </is>
      </c>
      <c r="C553" t="inlineStr">
        <is>
          <t>Sin cliente</t>
        </is>
      </c>
      <c r="D553" t="inlineStr">
        <is>
          <t>PLATAFORMAS RAP-PEYA-UBER-GOOD</t>
        </is>
      </c>
      <c r="E553" s="34" t="n">
        <v>16680</v>
      </c>
      <c r="F553" t="inlineStr">
        <is>
          <t>B</t>
        </is>
      </c>
      <c r="G553" s="34" t="n">
        <v>2663</v>
      </c>
      <c r="H553" s="34" t="n">
        <v>14017</v>
      </c>
      <c r="I553" t="inlineStr">
        <is>
          <t>3.6</t>
        </is>
      </c>
      <c r="J553" t="inlineStr">
        <is>
          <t>Ventas Delivery Apps</t>
        </is>
      </c>
      <c r="K553" t="inlineStr">
        <is>
          <t>CH3</t>
        </is>
      </c>
    </row>
    <row r="554">
      <c r="A554" s="33" t="n">
        <v>45712</v>
      </c>
      <c r="B554" t="inlineStr">
        <is>
          <t>2025-02</t>
        </is>
      </c>
      <c r="C554" t="inlineStr">
        <is>
          <t>Sin cliente</t>
        </is>
      </c>
      <c r="D554" t="inlineStr">
        <is>
          <t>CANELÉ TRADICIONAL</t>
        </is>
      </c>
      <c r="E554" s="34" t="n">
        <v>13900</v>
      </c>
      <c r="F554" t="inlineStr">
        <is>
          <t>B</t>
        </is>
      </c>
      <c r="G554" s="34" t="n">
        <v>2219</v>
      </c>
      <c r="H554" s="34" t="n">
        <v>11681</v>
      </c>
      <c r="I554" t="inlineStr">
        <is>
          <t>3.2</t>
        </is>
      </c>
      <c r="J554" t="inlineStr">
        <is>
          <t>Ventas Personas (B2C)</t>
        </is>
      </c>
      <c r="K554" t="inlineStr">
        <is>
          <t>CH2</t>
        </is>
      </c>
    </row>
    <row r="555">
      <c r="A555" s="33" t="n">
        <v>45713</v>
      </c>
      <c r="B555" t="inlineStr">
        <is>
          <t>2025-02</t>
        </is>
      </c>
      <c r="C555" t="inlineStr">
        <is>
          <t>Claudio Lara</t>
        </is>
      </c>
      <c r="D555" t="inlineStr">
        <is>
          <t>Petit Crunchy</t>
        </is>
      </c>
      <c r="E555" s="34" t="n">
        <v>53000</v>
      </c>
      <c r="F555" t="inlineStr">
        <is>
          <t>B</t>
        </is>
      </c>
      <c r="G555" s="34" t="n">
        <v>8462</v>
      </c>
      <c r="H555" s="34" t="n">
        <v>44538</v>
      </c>
      <c r="I555" t="inlineStr">
        <is>
          <t>3.2</t>
        </is>
      </c>
      <c r="J555" t="inlineStr">
        <is>
          <t>Ventas Personas (B2C)</t>
        </is>
      </c>
      <c r="K555" t="inlineStr">
        <is>
          <t>CH2</t>
        </is>
      </c>
    </row>
    <row r="556">
      <c r="A556" s="33" t="n">
        <v>45713</v>
      </c>
      <c r="B556" t="inlineStr">
        <is>
          <t>2025-02</t>
        </is>
      </c>
      <c r="C556" t="inlineStr">
        <is>
          <t>Sin cliente</t>
        </is>
      </c>
      <c r="D556" t="inlineStr">
        <is>
          <t>CANELÉ TRADICIONAL</t>
        </is>
      </c>
      <c r="E556" s="34" t="n">
        <v>2500</v>
      </c>
      <c r="F556" t="inlineStr">
        <is>
          <t>B</t>
        </is>
      </c>
      <c r="G556" s="34" t="n">
        <v>399</v>
      </c>
      <c r="H556" s="34" t="n">
        <v>2101</v>
      </c>
      <c r="I556" t="inlineStr">
        <is>
          <t>3.2</t>
        </is>
      </c>
      <c r="J556" t="inlineStr">
        <is>
          <t>Ventas Personas (B2C)</t>
        </is>
      </c>
      <c r="K556" t="inlineStr">
        <is>
          <t>CH2</t>
        </is>
      </c>
    </row>
    <row r="557">
      <c r="A557" s="33" t="n">
        <v>45714</v>
      </c>
      <c r="B557" t="inlineStr">
        <is>
          <t>2025-02</t>
        </is>
      </c>
      <c r="C557" t="inlineStr">
        <is>
          <t>Sergio Cañete</t>
        </is>
      </c>
      <c r="D557" t="inlineStr">
        <is>
          <t>Mix Sabores</t>
        </is>
      </c>
      <c r="E557" s="34" t="n">
        <v>14800</v>
      </c>
      <c r="F557" t="inlineStr">
        <is>
          <t>B</t>
        </is>
      </c>
      <c r="G557" s="34" t="n">
        <v>2363</v>
      </c>
      <c r="H557" s="34" t="n">
        <v>12437</v>
      </c>
      <c r="I557" t="inlineStr">
        <is>
          <t>3.2</t>
        </is>
      </c>
      <c r="J557" t="inlineStr">
        <is>
          <t>Ventas Personas (B2C)</t>
        </is>
      </c>
      <c r="K557" t="inlineStr">
        <is>
          <t>CH2</t>
        </is>
      </c>
    </row>
    <row r="558">
      <c r="A558" s="33" t="n">
        <v>45714</v>
      </c>
      <c r="B558" t="inlineStr">
        <is>
          <t>2025-02</t>
        </is>
      </c>
      <c r="C558" t="inlineStr">
        <is>
          <t>Elizabeth Mercado</t>
        </is>
      </c>
      <c r="D558" t="inlineStr">
        <is>
          <t>Delicatessen</t>
        </is>
      </c>
      <c r="E558" s="34" t="n">
        <v>52480</v>
      </c>
      <c r="F558" t="inlineStr">
        <is>
          <t>B</t>
        </is>
      </c>
      <c r="G558" s="34" t="n">
        <v>8379</v>
      </c>
      <c r="H558" s="34" t="n">
        <v>44101</v>
      </c>
      <c r="I558" t="inlineStr">
        <is>
          <t>3.2</t>
        </is>
      </c>
      <c r="J558" t="inlineStr">
        <is>
          <t>Ventas Personas (B2C)</t>
        </is>
      </c>
      <c r="K558" t="inlineStr">
        <is>
          <t>CH2</t>
        </is>
      </c>
    </row>
    <row r="559">
      <c r="A559" s="33" t="n">
        <v>45714</v>
      </c>
      <c r="B559" t="inlineStr">
        <is>
          <t>2025-02</t>
        </is>
      </c>
      <c r="C559" t="inlineStr">
        <is>
          <t>Sin cliente</t>
        </is>
      </c>
      <c r="D559" t="inlineStr">
        <is>
          <t>CANELÉ TRADICIONAL</t>
        </is>
      </c>
      <c r="E559" s="34" t="n">
        <v>35790</v>
      </c>
      <c r="F559" t="inlineStr">
        <is>
          <t>B</t>
        </is>
      </c>
      <c r="G559" s="34" t="n">
        <v>5714</v>
      </c>
      <c r="H559" s="34" t="n">
        <v>30076</v>
      </c>
      <c r="I559" t="inlineStr">
        <is>
          <t>3.2</t>
        </is>
      </c>
      <c r="J559" t="inlineStr">
        <is>
          <t>Ventas Personas (B2C)</t>
        </is>
      </c>
      <c r="K559" t="inlineStr">
        <is>
          <t>CH2</t>
        </is>
      </c>
    </row>
    <row r="560">
      <c r="A560" s="33" t="n">
        <v>45715</v>
      </c>
      <c r="B560" t="inlineStr">
        <is>
          <t>2025-02</t>
        </is>
      </c>
      <c r="C560" t="inlineStr">
        <is>
          <t>Sin cliente</t>
        </is>
      </c>
      <c r="D560" t="inlineStr">
        <is>
          <t>Petit Tradicional</t>
        </is>
      </c>
      <c r="E560" s="34" t="n">
        <v>46300</v>
      </c>
      <c r="F560" t="inlineStr">
        <is>
          <t>B</t>
        </is>
      </c>
      <c r="G560" s="34" t="n">
        <v>7392</v>
      </c>
      <c r="H560" s="34" t="n">
        <v>38908</v>
      </c>
      <c r="I560" t="inlineStr">
        <is>
          <t>3.2</t>
        </is>
      </c>
      <c r="J560" t="inlineStr">
        <is>
          <t>Ventas Personas (B2C)</t>
        </is>
      </c>
      <c r="K560" t="inlineStr">
        <is>
          <t>CH2</t>
        </is>
      </c>
    </row>
    <row r="561">
      <c r="A561" s="33" t="n">
        <v>45715</v>
      </c>
      <c r="B561" t="inlineStr">
        <is>
          <t>2025-02</t>
        </is>
      </c>
      <c r="C561" t="inlineStr">
        <is>
          <t>Claudia Román</t>
        </is>
      </c>
      <c r="D561" t="inlineStr">
        <is>
          <t>Petit Tradicional</t>
        </is>
      </c>
      <c r="E561" s="34" t="n">
        <v>23889</v>
      </c>
      <c r="F561" t="inlineStr">
        <is>
          <t>B</t>
        </is>
      </c>
      <c r="G561" s="34" t="n">
        <v>3814</v>
      </c>
      <c r="H561" s="34" t="n">
        <v>20075</v>
      </c>
      <c r="I561" t="inlineStr">
        <is>
          <t>3.2</t>
        </is>
      </c>
      <c r="J561" t="inlineStr">
        <is>
          <t>Ventas Personas (B2C)</t>
        </is>
      </c>
      <c r="K561" t="inlineStr">
        <is>
          <t>CH2</t>
        </is>
      </c>
    </row>
    <row r="562">
      <c r="A562" s="33" t="n">
        <v>45715</v>
      </c>
      <c r="B562" t="inlineStr">
        <is>
          <t>2025-02</t>
        </is>
      </c>
      <c r="C562" t="inlineStr">
        <is>
          <t>D&amp;S SERVICIOS DE ALIMENTACIÓN SpA</t>
        </is>
      </c>
      <c r="D562" t="inlineStr">
        <is>
          <t xml:space="preserve">THE COFFEE STORE </t>
        </is>
      </c>
      <c r="E562" s="34" t="n">
        <v>37977</v>
      </c>
      <c r="F562" t="inlineStr">
        <is>
          <t>F</t>
        </is>
      </c>
      <c r="G562" s="34" t="n">
        <v>6064</v>
      </c>
      <c r="H562" s="34" t="n">
        <v>31913</v>
      </c>
      <c r="I562" t="inlineStr">
        <is>
          <t>3.1</t>
        </is>
      </c>
      <c r="J562" t="inlineStr">
        <is>
          <t>Ventas HoReCa</t>
        </is>
      </c>
      <c r="K562" t="inlineStr">
        <is>
          <t>CH1</t>
        </is>
      </c>
    </row>
    <row r="563">
      <c r="A563" s="33" t="n">
        <v>45716</v>
      </c>
      <c r="B563" t="inlineStr">
        <is>
          <t>2025-02</t>
        </is>
      </c>
      <c r="C563" t="inlineStr">
        <is>
          <t>Kárel Núñez</t>
        </is>
      </c>
      <c r="D563" t="inlineStr">
        <is>
          <t>Petit Tradicional</t>
        </is>
      </c>
      <c r="E563" s="34" t="n">
        <v>23889</v>
      </c>
      <c r="F563" t="inlineStr">
        <is>
          <t>B</t>
        </is>
      </c>
      <c r="G563" s="34" t="n">
        <v>3814</v>
      </c>
      <c r="H563" s="34" t="n">
        <v>20075</v>
      </c>
      <c r="I563" t="inlineStr">
        <is>
          <t>3.2</t>
        </is>
      </c>
      <c r="J563" t="inlineStr">
        <is>
          <t>Ventas Personas (B2C)</t>
        </is>
      </c>
      <c r="K563" t="inlineStr">
        <is>
          <t>CH2</t>
        </is>
      </c>
    </row>
    <row r="564">
      <c r="A564" s="33" t="n">
        <v>45716</v>
      </c>
      <c r="B564" t="inlineStr">
        <is>
          <t>2025-02</t>
        </is>
      </c>
      <c r="C564" t="inlineStr">
        <is>
          <t>Sebastián Acosta</t>
        </is>
      </c>
      <c r="D564" t="inlineStr">
        <is>
          <t>CANELÉ TRADICIONAL</t>
        </is>
      </c>
      <c r="E564" s="34" t="n">
        <v>16499</v>
      </c>
      <c r="F564" t="inlineStr">
        <is>
          <t>B</t>
        </is>
      </c>
      <c r="G564" s="34" t="n">
        <v>2634</v>
      </c>
      <c r="H564" s="34" t="n">
        <v>13865</v>
      </c>
      <c r="I564" t="inlineStr">
        <is>
          <t>3.2</t>
        </is>
      </c>
      <c r="J564" t="inlineStr">
        <is>
          <t>Ventas Personas (B2C)</t>
        </is>
      </c>
      <c r="K564" t="inlineStr">
        <is>
          <t>CH2</t>
        </is>
      </c>
    </row>
    <row r="565">
      <c r="A565" s="33" t="n">
        <v>45716</v>
      </c>
      <c r="B565" t="inlineStr">
        <is>
          <t>2025-02</t>
        </is>
      </c>
      <c r="C565" t="inlineStr">
        <is>
          <t>Sin cliente</t>
        </is>
      </c>
      <c r="D565" t="inlineStr">
        <is>
          <t>CANELÉ TRADICIONAL</t>
        </is>
      </c>
      <c r="E565" s="34" t="n">
        <v>27790</v>
      </c>
      <c r="F565" t="inlineStr">
        <is>
          <t>B</t>
        </is>
      </c>
      <c r="G565" s="34" t="n">
        <v>4437</v>
      </c>
      <c r="H565" s="34" t="n">
        <v>23353</v>
      </c>
      <c r="I565" t="inlineStr">
        <is>
          <t>3.2</t>
        </is>
      </c>
      <c r="J565" t="inlineStr">
        <is>
          <t>Ventas Personas (B2C)</t>
        </is>
      </c>
      <c r="K565" t="inlineStr">
        <is>
          <t>CH2</t>
        </is>
      </c>
    </row>
    <row r="566">
      <c r="A566" s="33" t="n">
        <v>45716</v>
      </c>
      <c r="B566" t="inlineStr">
        <is>
          <t>2025-02</t>
        </is>
      </c>
      <c r="C566" t="inlineStr">
        <is>
          <t>Sin cliente</t>
        </is>
      </c>
      <c r="D566" t="inlineStr">
        <is>
          <t>PLATAFORMAS RAP-PEYA-UBER-GOOD</t>
        </is>
      </c>
      <c r="E566" s="34" t="n">
        <v>51348</v>
      </c>
      <c r="F566" t="inlineStr">
        <is>
          <t>B</t>
        </is>
      </c>
      <c r="G566" s="34" t="n">
        <v>8198</v>
      </c>
      <c r="H566" s="34" t="n">
        <v>43150</v>
      </c>
      <c r="I566" t="inlineStr">
        <is>
          <t>3.6</t>
        </is>
      </c>
      <c r="J566" t="inlineStr">
        <is>
          <t>Ventas Delivery Apps</t>
        </is>
      </c>
      <c r="K566" t="inlineStr">
        <is>
          <t>CH3</t>
        </is>
      </c>
    </row>
    <row r="567">
      <c r="A567" s="33" t="n">
        <v>45716</v>
      </c>
      <c r="B567" t="inlineStr">
        <is>
          <t>2025-02</t>
        </is>
      </c>
      <c r="C567" t="inlineStr">
        <is>
          <t>POMPON SPA</t>
        </is>
      </c>
      <c r="D567" t="inlineStr">
        <is>
          <t>HORECA CAFETERIA</t>
        </is>
      </c>
      <c r="E567" s="34" t="n">
        <v>128520</v>
      </c>
      <c r="F567" t="inlineStr">
        <is>
          <t>F</t>
        </is>
      </c>
      <c r="G567" s="34" t="n">
        <v>20520</v>
      </c>
      <c r="H567" s="34" t="n">
        <v>108000</v>
      </c>
      <c r="I567" t="inlineStr">
        <is>
          <t>3.1</t>
        </is>
      </c>
      <c r="J567" t="inlineStr">
        <is>
          <t>Ventas HoReCa</t>
        </is>
      </c>
      <c r="K567" t="inlineStr">
        <is>
          <t>CH1</t>
        </is>
      </c>
    </row>
    <row r="568">
      <c r="A568" s="33" t="n">
        <v>45717</v>
      </c>
      <c r="B568" t="inlineStr">
        <is>
          <t>2025-03</t>
        </is>
      </c>
      <c r="C568" t="inlineStr">
        <is>
          <t>Jimena Torres</t>
        </is>
      </c>
      <c r="D568" t="inlineStr">
        <is>
          <t>Mix Sabores</t>
        </is>
      </c>
      <c r="E568" s="34" t="n">
        <v>26789</v>
      </c>
      <c r="F568" t="inlineStr">
        <is>
          <t>B</t>
        </is>
      </c>
      <c r="G568" s="34" t="n">
        <v>4277</v>
      </c>
      <c r="H568" s="34" t="n">
        <v>22512</v>
      </c>
      <c r="I568" t="inlineStr">
        <is>
          <t>3.2</t>
        </is>
      </c>
      <c r="J568" t="inlineStr">
        <is>
          <t>Ventas Personas (B2C)</t>
        </is>
      </c>
      <c r="K568" t="inlineStr">
        <is>
          <t>CH2</t>
        </is>
      </c>
    </row>
    <row r="569">
      <c r="A569" s="33" t="n">
        <v>45717</v>
      </c>
      <c r="B569" t="inlineStr">
        <is>
          <t>2025-03</t>
        </is>
      </c>
      <c r="C569" t="inlineStr">
        <is>
          <t>Sin cliente</t>
        </is>
      </c>
      <c r="D569" t="inlineStr">
        <is>
          <t>PLATAFORMAS RAP-PEYA-UBER-GOOD</t>
        </is>
      </c>
      <c r="E569" s="34" t="n">
        <v>57360</v>
      </c>
      <c r="F569" t="inlineStr">
        <is>
          <t>B</t>
        </is>
      </c>
      <c r="G569" s="34" t="n">
        <v>9158</v>
      </c>
      <c r="H569" s="34" t="n">
        <v>48202</v>
      </c>
      <c r="I569" t="inlineStr">
        <is>
          <t>3.6</t>
        </is>
      </c>
      <c r="J569" t="inlineStr">
        <is>
          <t>Ventas Delivery Apps</t>
        </is>
      </c>
      <c r="K569" t="inlineStr">
        <is>
          <t>CH3</t>
        </is>
      </c>
    </row>
    <row r="570">
      <c r="A570" s="33" t="n">
        <v>45717</v>
      </c>
      <c r="B570" t="inlineStr">
        <is>
          <t>2025-03</t>
        </is>
      </c>
      <c r="C570" t="inlineStr">
        <is>
          <t>Sin cliente</t>
        </is>
      </c>
      <c r="D570" t="inlineStr">
        <is>
          <t>CANELÉ TRADICIONAL</t>
        </is>
      </c>
      <c r="E570" s="34" t="n">
        <v>13900</v>
      </c>
      <c r="F570" t="inlineStr">
        <is>
          <t>B</t>
        </is>
      </c>
      <c r="G570" s="34" t="n">
        <v>2219</v>
      </c>
      <c r="H570" s="34" t="n">
        <v>11681</v>
      </c>
      <c r="I570" t="inlineStr">
        <is>
          <t>3.2</t>
        </is>
      </c>
      <c r="J570" t="inlineStr">
        <is>
          <t>Ventas Personas (B2C)</t>
        </is>
      </c>
      <c r="K570" t="inlineStr">
        <is>
          <t>CH2</t>
        </is>
      </c>
    </row>
    <row r="571">
      <c r="A571" s="33" t="n">
        <v>45717</v>
      </c>
      <c r="B571" t="inlineStr">
        <is>
          <t>2025-03</t>
        </is>
      </c>
      <c r="C571" t="inlineStr">
        <is>
          <t>Sin cliente</t>
        </is>
      </c>
      <c r="D571" t="inlineStr">
        <is>
          <t>Petit Tradicional</t>
        </is>
      </c>
      <c r="E571" s="34" t="n">
        <v>20900</v>
      </c>
      <c r="F571" t="inlineStr">
        <is>
          <t>B</t>
        </is>
      </c>
      <c r="G571" s="34" t="n">
        <v>3337</v>
      </c>
      <c r="H571" s="34" t="n">
        <v>17563</v>
      </c>
      <c r="I571" t="inlineStr">
        <is>
          <t>3.2</t>
        </is>
      </c>
      <c r="J571" t="inlineStr">
        <is>
          <t>Ventas Personas (B2C)</t>
        </is>
      </c>
      <c r="K571" t="inlineStr">
        <is>
          <t>CH2</t>
        </is>
      </c>
    </row>
    <row r="572">
      <c r="A572" s="33" t="n">
        <v>45717</v>
      </c>
      <c r="B572" t="inlineStr">
        <is>
          <t>2025-03</t>
        </is>
      </c>
      <c r="C572" t="inlineStr">
        <is>
          <t>Sin cliente</t>
        </is>
      </c>
      <c r="D572" t="inlineStr">
        <is>
          <t>PLATAFORMAS RAP-PEYA-UBER-GOOD</t>
        </is>
      </c>
      <c r="E572" s="34" t="n">
        <v>28560</v>
      </c>
      <c r="F572" t="inlineStr">
        <is>
          <t>B</t>
        </is>
      </c>
      <c r="G572" s="34" t="n">
        <v>4560</v>
      </c>
      <c r="H572" s="34" t="n">
        <v>24000</v>
      </c>
      <c r="I572" t="inlineStr">
        <is>
          <t>3.6</t>
        </is>
      </c>
      <c r="J572" t="inlineStr">
        <is>
          <t>Ventas Delivery Apps</t>
        </is>
      </c>
      <c r="K572" t="inlineStr">
        <is>
          <t>CH3</t>
        </is>
      </c>
    </row>
    <row r="573">
      <c r="A573" s="33" t="n">
        <v>45717</v>
      </c>
      <c r="B573" t="inlineStr">
        <is>
          <t>2025-03</t>
        </is>
      </c>
      <c r="C573" t="inlineStr">
        <is>
          <t>Sin cliente</t>
        </is>
      </c>
      <c r="D573" t="inlineStr">
        <is>
          <t>Delicatessen</t>
        </is>
      </c>
      <c r="E573" s="34" t="n">
        <v>21890</v>
      </c>
      <c r="F573" t="inlineStr">
        <is>
          <t>B</t>
        </is>
      </c>
      <c r="G573" s="34" t="n">
        <v>3495</v>
      </c>
      <c r="H573" s="34" t="n">
        <v>18395</v>
      </c>
      <c r="I573" t="inlineStr">
        <is>
          <t>3.2</t>
        </is>
      </c>
      <c r="J573" t="inlineStr">
        <is>
          <t>Ventas Personas (B2C)</t>
        </is>
      </c>
      <c r="K573" t="inlineStr">
        <is>
          <t>CH2</t>
        </is>
      </c>
    </row>
    <row r="574">
      <c r="A574" s="33" t="n">
        <v>45717</v>
      </c>
      <c r="B574" t="inlineStr">
        <is>
          <t>2025-03</t>
        </is>
      </c>
      <c r="C574" t="inlineStr">
        <is>
          <t>Teresa Vernal</t>
        </is>
      </c>
      <c r="D574" t="inlineStr">
        <is>
          <t>CANELÉ TRADICIONAL</t>
        </is>
      </c>
      <c r="E574" s="34" t="n">
        <v>17500</v>
      </c>
      <c r="F574" t="inlineStr">
        <is>
          <t>B</t>
        </is>
      </c>
      <c r="G574" s="34" t="n">
        <v>2794</v>
      </c>
      <c r="H574" s="34" t="n">
        <v>14706</v>
      </c>
      <c r="I574" t="inlineStr">
        <is>
          <t>3.2</t>
        </is>
      </c>
      <c r="J574" t="inlineStr">
        <is>
          <t>Ventas Personas (B2C)</t>
        </is>
      </c>
      <c r="K574" t="inlineStr">
        <is>
          <t>CH2</t>
        </is>
      </c>
    </row>
    <row r="575">
      <c r="A575" s="33" t="n">
        <v>45717</v>
      </c>
      <c r="B575" t="inlineStr">
        <is>
          <t>2025-03</t>
        </is>
      </c>
      <c r="C575" t="inlineStr">
        <is>
          <t>CAFE HAITI AHUMADA LTDA</t>
        </is>
      </c>
      <c r="D575" t="inlineStr">
        <is>
          <t>HORECA CAFETERIA</t>
        </is>
      </c>
      <c r="E575" s="34" t="n">
        <v>960486</v>
      </c>
      <c r="F575" t="inlineStr">
        <is>
          <t>F</t>
        </is>
      </c>
      <c r="G575" s="34" t="n">
        <v>153354</v>
      </c>
      <c r="H575" s="34" t="n">
        <v>807132</v>
      </c>
      <c r="I575" t="inlineStr">
        <is>
          <t>3.1</t>
        </is>
      </c>
      <c r="J575" t="inlineStr">
        <is>
          <t>Ventas HoReCa</t>
        </is>
      </c>
      <c r="K575" t="inlineStr">
        <is>
          <t>CH1</t>
        </is>
      </c>
    </row>
    <row r="576">
      <c r="A576" s="33" t="n">
        <v>45718</v>
      </c>
      <c r="B576" t="inlineStr">
        <is>
          <t>2025-03</t>
        </is>
      </c>
      <c r="C576" t="inlineStr">
        <is>
          <t>Sofía Le Foulon</t>
        </is>
      </c>
      <c r="D576" t="inlineStr">
        <is>
          <t>Petit Tradicional</t>
        </is>
      </c>
      <c r="E576" s="34" t="n">
        <v>26590</v>
      </c>
      <c r="F576" t="inlineStr">
        <is>
          <t>B</t>
        </is>
      </c>
      <c r="G576" s="34" t="n">
        <v>4245</v>
      </c>
      <c r="H576" s="34" t="n">
        <v>22345</v>
      </c>
      <c r="I576" t="inlineStr">
        <is>
          <t>3.2</t>
        </is>
      </c>
      <c r="J576" t="inlineStr">
        <is>
          <t>Ventas Personas (B2C)</t>
        </is>
      </c>
      <c r="K576" t="inlineStr">
        <is>
          <t>CH2</t>
        </is>
      </c>
    </row>
    <row r="577">
      <c r="A577" s="33" t="n">
        <v>45719</v>
      </c>
      <c r="B577" t="inlineStr">
        <is>
          <t>2025-03</t>
        </is>
      </c>
      <c r="C577" t="inlineStr">
        <is>
          <t>CAFETERÍAS MISTER SPA</t>
        </is>
      </c>
      <c r="D577" t="inlineStr">
        <is>
          <t>HORECA CAFETERIA</t>
        </is>
      </c>
      <c r="E577" s="34" t="n">
        <v>63990</v>
      </c>
      <c r="F577" t="inlineStr">
        <is>
          <t>F</t>
        </is>
      </c>
      <c r="G577" s="34" t="n">
        <v>10217</v>
      </c>
      <c r="H577" s="34" t="n">
        <v>53773</v>
      </c>
      <c r="I577" t="inlineStr">
        <is>
          <t>3.1</t>
        </is>
      </c>
      <c r="J577" t="inlineStr">
        <is>
          <t>Ventas HoReCa</t>
        </is>
      </c>
      <c r="K577" t="inlineStr">
        <is>
          <t>CH1</t>
        </is>
      </c>
    </row>
    <row r="578">
      <c r="A578" s="33" t="n">
        <v>45719</v>
      </c>
      <c r="B578" t="inlineStr">
        <is>
          <t>2025-03</t>
        </is>
      </c>
      <c r="C578" t="inlineStr">
        <is>
          <t>CAFE DIARIO ENCOMENDEROS SPA</t>
        </is>
      </c>
      <c r="D578" t="inlineStr">
        <is>
          <t>HORECA CAFETERIA</t>
        </is>
      </c>
      <c r="E578" s="34" t="n">
        <v>58611</v>
      </c>
      <c r="F578" t="inlineStr">
        <is>
          <t>F</t>
        </is>
      </c>
      <c r="G578" s="34" t="n">
        <v>9358</v>
      </c>
      <c r="H578" s="34" t="n">
        <v>49253</v>
      </c>
      <c r="I578" t="inlineStr">
        <is>
          <t>3.1</t>
        </is>
      </c>
      <c r="J578" t="inlineStr">
        <is>
          <t>Ventas HoReCa</t>
        </is>
      </c>
      <c r="K578" t="inlineStr">
        <is>
          <t>CH1</t>
        </is>
      </c>
    </row>
    <row r="579">
      <c r="A579" s="33" t="n">
        <v>45719</v>
      </c>
      <c r="B579" t="inlineStr">
        <is>
          <t>2025-03</t>
        </is>
      </c>
      <c r="C579" t="inlineStr">
        <is>
          <t>CAFETERÍA ALTURA LIMITADA</t>
        </is>
      </c>
      <c r="D579" t="inlineStr">
        <is>
          <t>HORECA CAFETERIA</t>
        </is>
      </c>
      <c r="E579" s="34" t="n">
        <v>103830</v>
      </c>
      <c r="F579" t="inlineStr">
        <is>
          <t>F</t>
        </is>
      </c>
      <c r="G579" s="34" t="n">
        <v>16578</v>
      </c>
      <c r="H579" s="34" t="n">
        <v>87252</v>
      </c>
      <c r="I579" t="inlineStr">
        <is>
          <t>3.1</t>
        </is>
      </c>
      <c r="J579" t="inlineStr">
        <is>
          <t>Ventas HoReCa</t>
        </is>
      </c>
      <c r="K579" t="inlineStr">
        <is>
          <t>CH1</t>
        </is>
      </c>
    </row>
    <row r="580">
      <c r="A580" s="33" t="n">
        <v>45719</v>
      </c>
      <c r="B580" t="inlineStr">
        <is>
          <t>2025-03</t>
        </is>
      </c>
      <c r="C580" t="inlineStr">
        <is>
          <t>INVERSIONES Y COMERCIALIZADORA FED LIMITADA</t>
        </is>
      </c>
      <c r="D580" t="inlineStr">
        <is>
          <t>HORECA CAFETERIA</t>
        </is>
      </c>
      <c r="E580" s="34" t="n">
        <v>129790</v>
      </c>
      <c r="F580" t="inlineStr">
        <is>
          <t>F</t>
        </is>
      </c>
      <c r="G580" s="34" t="n">
        <v>20723</v>
      </c>
      <c r="H580" s="34" t="n">
        <v>109067</v>
      </c>
      <c r="I580" t="inlineStr">
        <is>
          <t>3.1</t>
        </is>
      </c>
      <c r="J580" t="inlineStr">
        <is>
          <t>Ventas HoReCa</t>
        </is>
      </c>
      <c r="K580" t="inlineStr">
        <is>
          <t>CH1</t>
        </is>
      </c>
    </row>
    <row r="581">
      <c r="A581" s="33" t="n">
        <v>45719</v>
      </c>
      <c r="B581" t="inlineStr">
        <is>
          <t>2025-03</t>
        </is>
      </c>
      <c r="C581" t="inlineStr">
        <is>
          <t>INVERSIONES Y COMERCIALIZADORA FED LIMITADA</t>
        </is>
      </c>
      <c r="D581" t="inlineStr">
        <is>
          <t>HORECA CAFETERIA</t>
        </is>
      </c>
      <c r="E581" s="34" t="n">
        <v>207177</v>
      </c>
      <c r="F581" t="inlineStr">
        <is>
          <t>F</t>
        </is>
      </c>
      <c r="G581" s="34" t="n">
        <v>33079</v>
      </c>
      <c r="H581" s="34" t="n">
        <v>174098</v>
      </c>
      <c r="I581" t="inlineStr">
        <is>
          <t>3.1</t>
        </is>
      </c>
      <c r="J581" t="inlineStr">
        <is>
          <t>Ventas HoReCa</t>
        </is>
      </c>
      <c r="K581" t="inlineStr">
        <is>
          <t>CH1</t>
        </is>
      </c>
    </row>
    <row r="582">
      <c r="A582" s="33" t="n">
        <v>45719</v>
      </c>
      <c r="B582" t="inlineStr">
        <is>
          <t>2025-03</t>
        </is>
      </c>
      <c r="C582" t="inlineStr">
        <is>
          <t>INVERSIONES Y ASESORIAS RAVAL LIMITADA</t>
        </is>
      </c>
      <c r="D582" t="inlineStr">
        <is>
          <t>HORECA CAFETERIA</t>
        </is>
      </c>
      <c r="E582" s="34" t="n">
        <v>67980</v>
      </c>
      <c r="F582" t="inlineStr">
        <is>
          <t>F</t>
        </is>
      </c>
      <c r="G582" s="34" t="n">
        <v>10854</v>
      </c>
      <c r="H582" s="34" t="n">
        <v>57126</v>
      </c>
      <c r="I582" t="inlineStr">
        <is>
          <t>3.1</t>
        </is>
      </c>
      <c r="J582" t="inlineStr">
        <is>
          <t>Ventas HoReCa</t>
        </is>
      </c>
      <c r="K582" t="inlineStr">
        <is>
          <t>CH1</t>
        </is>
      </c>
    </row>
    <row r="583">
      <c r="A583" s="33" t="n">
        <v>45719</v>
      </c>
      <c r="B583" t="inlineStr">
        <is>
          <t>2025-03</t>
        </is>
      </c>
      <c r="C583" t="inlineStr">
        <is>
          <t>POMPON SPA</t>
        </is>
      </c>
      <c r="D583" t="inlineStr">
        <is>
          <t>HORECA CAFETERIA</t>
        </is>
      </c>
      <c r="E583" s="34" t="n">
        <v>46830</v>
      </c>
      <c r="F583" t="inlineStr">
        <is>
          <t>F</t>
        </is>
      </c>
      <c r="G583" s="34" t="n">
        <v>7477</v>
      </c>
      <c r="H583" s="34" t="n">
        <v>39353</v>
      </c>
      <c r="I583" t="inlineStr">
        <is>
          <t>3.1</t>
        </is>
      </c>
      <c r="J583" t="inlineStr">
        <is>
          <t>Ventas HoReCa</t>
        </is>
      </c>
      <c r="K583" t="inlineStr">
        <is>
          <t>CH1</t>
        </is>
      </c>
    </row>
    <row r="584">
      <c r="A584" s="33" t="n">
        <v>45719</v>
      </c>
      <c r="B584" t="inlineStr">
        <is>
          <t>2025-03</t>
        </is>
      </c>
      <c r="C584" t="inlineStr">
        <is>
          <t>Esteban Ibarra Ortiz</t>
        </is>
      </c>
      <c r="D584" t="inlineStr">
        <is>
          <t>CANELÉ TRADICIONAL</t>
        </is>
      </c>
      <c r="E584" s="34" t="n">
        <v>26190</v>
      </c>
      <c r="F584" t="inlineStr">
        <is>
          <t>B</t>
        </is>
      </c>
      <c r="G584" s="34" t="n">
        <v>4182</v>
      </c>
      <c r="H584" s="34" t="n">
        <v>22008</v>
      </c>
      <c r="I584" t="inlineStr">
        <is>
          <t>3.2</t>
        </is>
      </c>
      <c r="J584" t="inlineStr">
        <is>
          <t>Ventas Personas (B2C)</t>
        </is>
      </c>
      <c r="K584" t="inlineStr">
        <is>
          <t>CH2</t>
        </is>
      </c>
    </row>
    <row r="585">
      <c r="A585" s="33" t="n">
        <v>45719</v>
      </c>
      <c r="B585" t="inlineStr">
        <is>
          <t>2025-03</t>
        </is>
      </c>
      <c r="C585" t="inlineStr">
        <is>
          <t>Esteban Ibarra Ortiz</t>
        </is>
      </c>
      <c r="D585" t="inlineStr">
        <is>
          <t>CANELÉ TRADICIONAL</t>
        </is>
      </c>
      <c r="E585" s="34" t="n">
        <v>7500</v>
      </c>
      <c r="F585" t="inlineStr">
        <is>
          <t>B</t>
        </is>
      </c>
      <c r="G585" s="34" t="n">
        <v>1197</v>
      </c>
      <c r="H585" s="34" t="n">
        <v>6303</v>
      </c>
      <c r="I585" t="inlineStr">
        <is>
          <t>3.2</t>
        </is>
      </c>
      <c r="J585" t="inlineStr">
        <is>
          <t>Ventas Personas (B2C)</t>
        </is>
      </c>
      <c r="K585" t="inlineStr">
        <is>
          <t>CH2</t>
        </is>
      </c>
    </row>
    <row r="586">
      <c r="A586" s="33" t="n">
        <v>45719</v>
      </c>
      <c r="B586" t="inlineStr">
        <is>
          <t>2025-03</t>
        </is>
      </c>
      <c r="C586" t="inlineStr">
        <is>
          <t>Susana Moreno Guerrero</t>
        </is>
      </c>
      <c r="D586" t="inlineStr">
        <is>
          <t>CANELÉ TRADICIONAL</t>
        </is>
      </c>
      <c r="E586" s="34" t="n">
        <v>60589</v>
      </c>
      <c r="F586" t="inlineStr">
        <is>
          <t>B</t>
        </is>
      </c>
      <c r="G586" s="34" t="n">
        <v>9674</v>
      </c>
      <c r="H586" s="34" t="n">
        <v>50915</v>
      </c>
      <c r="I586" t="inlineStr">
        <is>
          <t>3.2</t>
        </is>
      </c>
      <c r="J586" t="inlineStr">
        <is>
          <t>Ventas Personas (B2C)</t>
        </is>
      </c>
      <c r="K586" t="inlineStr">
        <is>
          <t>CH2</t>
        </is>
      </c>
    </row>
    <row r="587">
      <c r="A587" s="33" t="n">
        <v>45719</v>
      </c>
      <c r="B587" t="inlineStr">
        <is>
          <t>2025-03</t>
        </is>
      </c>
      <c r="C587" t="inlineStr">
        <is>
          <t>Rebeca Fridman</t>
        </is>
      </c>
      <c r="D587" t="inlineStr">
        <is>
          <t>Mix Sabores</t>
        </is>
      </c>
      <c r="E587" s="34" t="n">
        <v>27790</v>
      </c>
      <c r="F587" t="inlineStr">
        <is>
          <t>B</t>
        </is>
      </c>
      <c r="G587" s="34" t="n">
        <v>4437</v>
      </c>
      <c r="H587" s="34" t="n">
        <v>23353</v>
      </c>
      <c r="I587" t="inlineStr">
        <is>
          <t>3.2</t>
        </is>
      </c>
      <c r="J587" t="inlineStr">
        <is>
          <t>Ventas Personas (B2C)</t>
        </is>
      </c>
      <c r="K587" t="inlineStr">
        <is>
          <t>CH2</t>
        </is>
      </c>
    </row>
    <row r="588">
      <c r="A588" s="33" t="n">
        <v>45719</v>
      </c>
      <c r="B588" t="inlineStr">
        <is>
          <t>2025-03</t>
        </is>
      </c>
      <c r="C588" t="inlineStr">
        <is>
          <t>Vanessa Marchant</t>
        </is>
      </c>
      <c r="D588" t="inlineStr">
        <is>
          <t>CANELÉ TRADICIONAL</t>
        </is>
      </c>
      <c r="E588" s="34" t="n">
        <v>19889</v>
      </c>
      <c r="F588" t="inlineStr">
        <is>
          <t>B</t>
        </is>
      </c>
      <c r="G588" s="34" t="n">
        <v>3176</v>
      </c>
      <c r="H588" s="34" t="n">
        <v>16713</v>
      </c>
      <c r="I588" t="inlineStr">
        <is>
          <t>3.2</t>
        </is>
      </c>
      <c r="J588" t="inlineStr">
        <is>
          <t>Ventas Personas (B2C)</t>
        </is>
      </c>
      <c r="K588" t="inlineStr">
        <is>
          <t>CH2</t>
        </is>
      </c>
    </row>
    <row r="589">
      <c r="A589" s="33" t="n">
        <v>45719</v>
      </c>
      <c r="B589" t="inlineStr">
        <is>
          <t>2025-03</t>
        </is>
      </c>
      <c r="C589" t="inlineStr">
        <is>
          <t>Sin cliente</t>
        </is>
      </c>
      <c r="D589" t="inlineStr">
        <is>
          <t>CANELÉ TRADICIONAL</t>
        </is>
      </c>
      <c r="E589" s="34" t="n">
        <v>13900</v>
      </c>
      <c r="F589" t="inlineStr">
        <is>
          <t>B</t>
        </is>
      </c>
      <c r="G589" s="34" t="n">
        <v>2219</v>
      </c>
      <c r="H589" s="34" t="n">
        <v>11681</v>
      </c>
      <c r="I589" t="inlineStr">
        <is>
          <t>3.2</t>
        </is>
      </c>
      <c r="J589" t="inlineStr">
        <is>
          <t>Ventas Personas (B2C)</t>
        </is>
      </c>
      <c r="K589" t="inlineStr">
        <is>
          <t>CH2</t>
        </is>
      </c>
    </row>
    <row r="590">
      <c r="A590" s="33" t="n">
        <v>45719</v>
      </c>
      <c r="B590" t="inlineStr">
        <is>
          <t>2025-03</t>
        </is>
      </c>
      <c r="C590" t="inlineStr">
        <is>
          <t>Sin cliente</t>
        </is>
      </c>
      <c r="D590" t="inlineStr">
        <is>
          <t>CANELÉ TRADICIONAL</t>
        </is>
      </c>
      <c r="E590" s="34" t="n">
        <v>19800</v>
      </c>
      <c r="F590" t="inlineStr">
        <is>
          <t>B</t>
        </is>
      </c>
      <c r="G590" s="34" t="n">
        <v>3161</v>
      </c>
      <c r="H590" s="34" t="n">
        <v>16639</v>
      </c>
      <c r="I590" t="inlineStr">
        <is>
          <t>3.2</t>
        </is>
      </c>
      <c r="J590" t="inlineStr">
        <is>
          <t>Ventas Personas (B2C)</t>
        </is>
      </c>
      <c r="K590" t="inlineStr">
        <is>
          <t>CH2</t>
        </is>
      </c>
    </row>
    <row r="591">
      <c r="A591" s="33" t="n">
        <v>45719</v>
      </c>
      <c r="B591" t="inlineStr">
        <is>
          <t>2025-03</t>
        </is>
      </c>
      <c r="C591" t="inlineStr">
        <is>
          <t>Osvaldo Osorio</t>
        </is>
      </c>
      <c r="D591" t="inlineStr">
        <is>
          <t>Mix Sabores</t>
        </is>
      </c>
      <c r="E591" s="34" t="n">
        <v>18310</v>
      </c>
      <c r="F591" t="inlineStr">
        <is>
          <t>B</t>
        </is>
      </c>
      <c r="G591" s="34" t="n">
        <v>2923</v>
      </c>
      <c r="H591" s="34" t="n">
        <v>15387</v>
      </c>
      <c r="I591" t="inlineStr">
        <is>
          <t>3.2</t>
        </is>
      </c>
      <c r="J591" t="inlineStr">
        <is>
          <t>Ventas Personas (B2C)</t>
        </is>
      </c>
      <c r="K591" t="inlineStr">
        <is>
          <t>CH2</t>
        </is>
      </c>
    </row>
    <row r="592">
      <c r="A592" s="33" t="n">
        <v>45719</v>
      </c>
      <c r="B592" t="inlineStr">
        <is>
          <t>2025-03</t>
        </is>
      </c>
      <c r="C592" t="inlineStr">
        <is>
          <t>Mika Yamaguchi</t>
        </is>
      </c>
      <c r="D592" t="inlineStr">
        <is>
          <t>CANELÉ TRADICIONAL</t>
        </is>
      </c>
      <c r="E592" s="34" t="n">
        <v>19800</v>
      </c>
      <c r="F592" t="inlineStr">
        <is>
          <t>B</t>
        </is>
      </c>
      <c r="G592" s="34" t="n">
        <v>3161</v>
      </c>
      <c r="H592" s="34" t="n">
        <v>16639</v>
      </c>
      <c r="I592" t="inlineStr">
        <is>
          <t>3.2</t>
        </is>
      </c>
      <c r="J592" t="inlineStr">
        <is>
          <t>Ventas Personas (B2C)</t>
        </is>
      </c>
      <c r="K592" t="inlineStr">
        <is>
          <t>CH2</t>
        </is>
      </c>
    </row>
    <row r="593">
      <c r="A593" s="33" t="n">
        <v>45720</v>
      </c>
      <c r="B593" t="inlineStr">
        <is>
          <t>2025-03</t>
        </is>
      </c>
      <c r="C593" t="inlineStr">
        <is>
          <t>Sin cliente</t>
        </is>
      </c>
      <c r="D593" t="inlineStr">
        <is>
          <t>CANELÉ TRADICIONAL</t>
        </is>
      </c>
      <c r="E593" s="34" t="n">
        <v>13900</v>
      </c>
      <c r="F593" t="inlineStr">
        <is>
          <t>B</t>
        </is>
      </c>
      <c r="G593" s="34" t="n">
        <v>2219</v>
      </c>
      <c r="H593" s="34" t="n">
        <v>11681</v>
      </c>
      <c r="I593" t="inlineStr">
        <is>
          <t>3.2</t>
        </is>
      </c>
      <c r="J593" t="inlineStr">
        <is>
          <t>Ventas Personas (B2C)</t>
        </is>
      </c>
      <c r="K593" t="inlineStr">
        <is>
          <t>CH2</t>
        </is>
      </c>
    </row>
    <row r="594">
      <c r="A594" s="33" t="n">
        <v>45720</v>
      </c>
      <c r="B594" t="inlineStr">
        <is>
          <t>2025-03</t>
        </is>
      </c>
      <c r="C594" t="inlineStr">
        <is>
          <t>Okinawa Spa</t>
        </is>
      </c>
      <c r="D594" t="inlineStr">
        <is>
          <t>HORECA CAFETERIA</t>
        </is>
      </c>
      <c r="E594" s="34" t="n">
        <v>30884</v>
      </c>
      <c r="F594" t="inlineStr">
        <is>
          <t>F</t>
        </is>
      </c>
      <c r="G594" s="34" t="n">
        <v>4931</v>
      </c>
      <c r="H594" s="34" t="n">
        <v>25953</v>
      </c>
      <c r="I594" t="inlineStr">
        <is>
          <t>3.1</t>
        </is>
      </c>
      <c r="J594" t="inlineStr">
        <is>
          <t>Ventas HoReCa</t>
        </is>
      </c>
      <c r="K594" t="inlineStr">
        <is>
          <t>CH1</t>
        </is>
      </c>
    </row>
    <row r="595">
      <c r="A595" s="33" t="n">
        <v>45720</v>
      </c>
      <c r="B595" t="inlineStr">
        <is>
          <t>2025-03</t>
        </is>
      </c>
      <c r="C595" t="inlineStr">
        <is>
          <t>BLUE OAK COFFE SPA</t>
        </is>
      </c>
      <c r="D595" t="inlineStr">
        <is>
          <t>HORECA CAFETERIA</t>
        </is>
      </c>
      <c r="E595" s="34" t="n">
        <v>90394</v>
      </c>
      <c r="F595" t="inlineStr">
        <is>
          <t>F</t>
        </is>
      </c>
      <c r="G595" s="34" t="n">
        <v>14433</v>
      </c>
      <c r="H595" s="34" t="n">
        <v>75961</v>
      </c>
      <c r="I595" t="inlineStr">
        <is>
          <t>3.1</t>
        </is>
      </c>
      <c r="J595" t="inlineStr">
        <is>
          <t>Ventas HoReCa</t>
        </is>
      </c>
      <c r="K595" t="inlineStr">
        <is>
          <t>CH1</t>
        </is>
      </c>
    </row>
    <row r="596">
      <c r="A596" s="33" t="n">
        <v>45720</v>
      </c>
      <c r="B596" t="inlineStr">
        <is>
          <t>2025-03</t>
        </is>
      </c>
      <c r="C596" t="inlineStr">
        <is>
          <t>Fernanda Mayo</t>
        </is>
      </c>
      <c r="D596" t="inlineStr">
        <is>
          <t>Petit Tradicional</t>
        </is>
      </c>
      <c r="E596" s="34" t="n">
        <v>20900</v>
      </c>
      <c r="F596" t="inlineStr">
        <is>
          <t>B</t>
        </is>
      </c>
      <c r="G596" s="34" t="n">
        <v>3337</v>
      </c>
      <c r="H596" s="34" t="n">
        <v>17563</v>
      </c>
      <c r="I596" t="inlineStr">
        <is>
          <t>3.2</t>
        </is>
      </c>
      <c r="J596" t="inlineStr">
        <is>
          <t>Ventas Personas (B2C)</t>
        </is>
      </c>
      <c r="K596" t="inlineStr">
        <is>
          <t>CH2</t>
        </is>
      </c>
    </row>
    <row r="597">
      <c r="A597" s="33" t="n">
        <v>45720</v>
      </c>
      <c r="B597" t="inlineStr">
        <is>
          <t>2025-03</t>
        </is>
      </c>
      <c r="C597" t="inlineStr">
        <is>
          <t>Sin cliente</t>
        </is>
      </c>
      <c r="D597" t="inlineStr">
        <is>
          <t>CANELÉ TRADICIONAL</t>
        </is>
      </c>
      <c r="E597" s="34" t="n">
        <v>34890</v>
      </c>
      <c r="F597" t="inlineStr">
        <is>
          <t>B</t>
        </is>
      </c>
      <c r="G597" s="34" t="n">
        <v>5571</v>
      </c>
      <c r="H597" s="34" t="n">
        <v>29319</v>
      </c>
      <c r="I597" t="inlineStr">
        <is>
          <t>3.2</t>
        </is>
      </c>
      <c r="J597" t="inlineStr">
        <is>
          <t>Ventas Personas (B2C)</t>
        </is>
      </c>
      <c r="K597" t="inlineStr">
        <is>
          <t>CH2</t>
        </is>
      </c>
    </row>
    <row r="598">
      <c r="A598" s="33" t="n">
        <v>45720</v>
      </c>
      <c r="B598" t="inlineStr">
        <is>
          <t>2025-03</t>
        </is>
      </c>
      <c r="C598" t="inlineStr">
        <is>
          <t>Sin cliente</t>
        </is>
      </c>
      <c r="D598" t="inlineStr">
        <is>
          <t>PLATAFORMAS RAP-PEYA-UBER-GOOD</t>
        </is>
      </c>
      <c r="E598" s="34" t="n">
        <v>33360</v>
      </c>
      <c r="F598" t="inlineStr">
        <is>
          <t>B</t>
        </is>
      </c>
      <c r="G598" s="34" t="n">
        <v>5326</v>
      </c>
      <c r="H598" s="34" t="n">
        <v>28034</v>
      </c>
      <c r="I598" t="inlineStr">
        <is>
          <t>3.6</t>
        </is>
      </c>
      <c r="J598" t="inlineStr">
        <is>
          <t>Ventas Delivery Apps</t>
        </is>
      </c>
      <c r="K598" t="inlineStr">
        <is>
          <t>CH3</t>
        </is>
      </c>
    </row>
    <row r="599">
      <c r="A599" s="33" t="n">
        <v>45720</v>
      </c>
      <c r="B599" t="inlineStr">
        <is>
          <t>2025-03</t>
        </is>
      </c>
      <c r="C599" t="inlineStr">
        <is>
          <t>BENICA FUENMAYOR</t>
        </is>
      </c>
      <c r="D599" t="inlineStr">
        <is>
          <t>Delicatessen</t>
        </is>
      </c>
      <c r="E599" s="34" t="n">
        <v>26689</v>
      </c>
      <c r="F599" t="inlineStr">
        <is>
          <t>B</t>
        </is>
      </c>
      <c r="G599" s="34" t="n">
        <v>4261</v>
      </c>
      <c r="H599" s="34" t="n">
        <v>22428</v>
      </c>
      <c r="I599" t="inlineStr">
        <is>
          <t>3.2</t>
        </is>
      </c>
      <c r="J599" t="inlineStr">
        <is>
          <t>Ventas Personas (B2C)</t>
        </is>
      </c>
      <c r="K599" t="inlineStr">
        <is>
          <t>CH2</t>
        </is>
      </c>
    </row>
    <row r="600">
      <c r="A600" s="33" t="n">
        <v>45720</v>
      </c>
      <c r="B600" t="inlineStr">
        <is>
          <t>2025-03</t>
        </is>
      </c>
      <c r="C600" t="inlineStr">
        <is>
          <t>francisca izquierdo</t>
        </is>
      </c>
      <c r="D600" t="inlineStr">
        <is>
          <t>Petit Tradicional</t>
        </is>
      </c>
      <c r="E600" s="34" t="n">
        <v>41800</v>
      </c>
      <c r="F600" t="inlineStr">
        <is>
          <t>B</t>
        </is>
      </c>
      <c r="G600" s="34" t="n">
        <v>6674</v>
      </c>
      <c r="H600" s="34" t="n">
        <v>35126</v>
      </c>
      <c r="I600" t="inlineStr">
        <is>
          <t>3.2</t>
        </is>
      </c>
      <c r="J600" t="inlineStr">
        <is>
          <t>Ventas Personas (B2C)</t>
        </is>
      </c>
      <c r="K600" t="inlineStr">
        <is>
          <t>CH2</t>
        </is>
      </c>
    </row>
    <row r="601">
      <c r="A601" s="33" t="n">
        <v>45721</v>
      </c>
      <c r="B601" t="inlineStr">
        <is>
          <t>2025-03</t>
        </is>
      </c>
      <c r="C601" t="inlineStr">
        <is>
          <t>Lorena Caceres</t>
        </is>
      </c>
      <c r="D601" t="inlineStr">
        <is>
          <t>Petit Crunchy</t>
        </is>
      </c>
      <c r="E601" s="34" t="n">
        <v>26589</v>
      </c>
      <c r="F601" t="inlineStr">
        <is>
          <t>B</t>
        </is>
      </c>
      <c r="G601" s="34" t="n">
        <v>4245</v>
      </c>
      <c r="H601" s="34" t="n">
        <v>22344</v>
      </c>
      <c r="I601" t="inlineStr">
        <is>
          <t>3.2</t>
        </is>
      </c>
      <c r="J601" t="inlineStr">
        <is>
          <t>Ventas Personas (B2C)</t>
        </is>
      </c>
      <c r="K601" t="inlineStr">
        <is>
          <t>CH2</t>
        </is>
      </c>
    </row>
    <row r="602">
      <c r="A602" s="33" t="n">
        <v>45721</v>
      </c>
      <c r="B602" t="inlineStr">
        <is>
          <t>2025-03</t>
        </is>
      </c>
      <c r="C602" t="inlineStr">
        <is>
          <t>CAFETERIA THE ELEPHANT COFFEE LIMITADA</t>
        </is>
      </c>
      <c r="D602" t="inlineStr">
        <is>
          <t>HORECA CAFETERIA</t>
        </is>
      </c>
      <c r="E602" s="34" t="n">
        <v>137940</v>
      </c>
      <c r="F602" t="inlineStr">
        <is>
          <t>F</t>
        </is>
      </c>
      <c r="G602" s="34" t="n">
        <v>22024</v>
      </c>
      <c r="H602" s="34" t="n">
        <v>115916</v>
      </c>
      <c r="I602" t="inlineStr">
        <is>
          <t>3.1</t>
        </is>
      </c>
      <c r="J602" t="inlineStr">
        <is>
          <t>Ventas HoReCa</t>
        </is>
      </c>
      <c r="K602" t="inlineStr">
        <is>
          <t>CH1</t>
        </is>
      </c>
    </row>
    <row r="603">
      <c r="A603" s="33" t="n">
        <v>45721</v>
      </c>
      <c r="B603" t="inlineStr">
        <is>
          <t>2025-03</t>
        </is>
      </c>
      <c r="C603" t="inlineStr">
        <is>
          <t>Ximena Villar</t>
        </is>
      </c>
      <c r="D603" t="inlineStr">
        <is>
          <t>Delicatessen</t>
        </is>
      </c>
      <c r="E603" s="34" t="n">
        <v>34579</v>
      </c>
      <c r="F603" t="inlineStr">
        <is>
          <t>B</t>
        </is>
      </c>
      <c r="G603" s="34" t="n">
        <v>5521</v>
      </c>
      <c r="H603" s="34" t="n">
        <v>29058</v>
      </c>
      <c r="I603" t="inlineStr">
        <is>
          <t>3.2</t>
        </is>
      </c>
      <c r="J603" t="inlineStr">
        <is>
          <t>Ventas Personas (B2C)</t>
        </is>
      </c>
      <c r="K603" t="inlineStr">
        <is>
          <t>CH2</t>
        </is>
      </c>
    </row>
    <row r="604">
      <c r="A604" s="33" t="n">
        <v>45721</v>
      </c>
      <c r="B604" t="inlineStr">
        <is>
          <t>2025-03</t>
        </is>
      </c>
      <c r="C604" t="inlineStr">
        <is>
          <t>Sin cliente</t>
        </is>
      </c>
      <c r="D604" t="inlineStr">
        <is>
          <t>PLATAFORMAS RAP-PEYA-UBER-GOOD</t>
        </is>
      </c>
      <c r="E604" s="34" t="n">
        <v>25080</v>
      </c>
      <c r="F604" t="inlineStr">
        <is>
          <t>B</t>
        </is>
      </c>
      <c r="G604" s="34" t="n">
        <v>4004</v>
      </c>
      <c r="H604" s="34" t="n">
        <v>21076</v>
      </c>
      <c r="I604" t="inlineStr">
        <is>
          <t>3.6</t>
        </is>
      </c>
      <c r="J604" t="inlineStr">
        <is>
          <t>Ventas Delivery Apps</t>
        </is>
      </c>
      <c r="K604" t="inlineStr">
        <is>
          <t>CH3</t>
        </is>
      </c>
    </row>
    <row r="605">
      <c r="A605" s="33" t="n">
        <v>45721</v>
      </c>
      <c r="B605" t="inlineStr">
        <is>
          <t>2025-03</t>
        </is>
      </c>
      <c r="C605" t="inlineStr">
        <is>
          <t>Sin cliente</t>
        </is>
      </c>
      <c r="D605" t="inlineStr">
        <is>
          <t>Delicatessen</t>
        </is>
      </c>
      <c r="E605" s="34" t="n">
        <v>57832</v>
      </c>
      <c r="F605" t="inlineStr">
        <is>
          <t>B</t>
        </is>
      </c>
      <c r="G605" s="34" t="n">
        <v>9234</v>
      </c>
      <c r="H605" s="34" t="n">
        <v>48598</v>
      </c>
      <c r="I605" t="inlineStr">
        <is>
          <t>3.2</t>
        </is>
      </c>
      <c r="J605" t="inlineStr">
        <is>
          <t>Ventas Personas (B2C)</t>
        </is>
      </c>
      <c r="K605" t="inlineStr">
        <is>
          <t>CH2</t>
        </is>
      </c>
    </row>
    <row r="606">
      <c r="A606" s="33" t="n">
        <v>45721</v>
      </c>
      <c r="B606" t="inlineStr">
        <is>
          <t>2025-03</t>
        </is>
      </c>
      <c r="C606" t="inlineStr">
        <is>
          <t>Sin cliente</t>
        </is>
      </c>
      <c r="D606" t="inlineStr">
        <is>
          <t>PLATAFORMAS RAP-PEYA-UBER-GOOD</t>
        </is>
      </c>
      <c r="E606" s="34" t="n">
        <v>8340</v>
      </c>
      <c r="F606" t="inlineStr">
        <is>
          <t>B</t>
        </is>
      </c>
      <c r="G606" s="34" t="n">
        <v>1332</v>
      </c>
      <c r="H606" s="34" t="n">
        <v>7008</v>
      </c>
      <c r="I606" t="inlineStr">
        <is>
          <t>3.6</t>
        </is>
      </c>
      <c r="J606" t="inlineStr">
        <is>
          <t>Ventas Delivery Apps</t>
        </is>
      </c>
      <c r="K606" t="inlineStr">
        <is>
          <t>CH3</t>
        </is>
      </c>
    </row>
    <row r="607">
      <c r="A607" s="33" t="n">
        <v>45722</v>
      </c>
      <c r="B607" t="inlineStr">
        <is>
          <t>2025-03</t>
        </is>
      </c>
      <c r="C607" t="inlineStr">
        <is>
          <t>HUERTO SUR LIMITADA</t>
        </is>
      </c>
      <c r="D607" t="inlineStr">
        <is>
          <t>HORECA CAFETERIA</t>
        </is>
      </c>
      <c r="E607" s="34" t="n">
        <v>138940</v>
      </c>
      <c r="F607" t="inlineStr">
        <is>
          <t>F</t>
        </is>
      </c>
      <c r="G607" s="34" t="n">
        <v>22184</v>
      </c>
      <c r="H607" s="34" t="n">
        <v>116756</v>
      </c>
      <c r="I607" t="inlineStr">
        <is>
          <t>3.1</t>
        </is>
      </c>
      <c r="J607" t="inlineStr">
        <is>
          <t>Ventas HoReCa</t>
        </is>
      </c>
      <c r="K607" t="inlineStr">
        <is>
          <t>CH1</t>
        </is>
      </c>
    </row>
    <row r="608">
      <c r="A608" s="33" t="n">
        <v>45722</v>
      </c>
      <c r="B608" t="inlineStr">
        <is>
          <t>2025-03</t>
        </is>
      </c>
      <c r="C608" t="inlineStr">
        <is>
          <t>OH SOME SPA</t>
        </is>
      </c>
      <c r="D608" t="inlineStr">
        <is>
          <t>HORECA CAFETERIA</t>
        </is>
      </c>
      <c r="E608" s="34" t="n">
        <v>116790</v>
      </c>
      <c r="F608" t="inlineStr">
        <is>
          <t>F</t>
        </is>
      </c>
      <c r="G608" s="34" t="n">
        <v>18647</v>
      </c>
      <c r="H608" s="34" t="n">
        <v>98143</v>
      </c>
      <c r="I608" t="inlineStr">
        <is>
          <t>3.1</t>
        </is>
      </c>
      <c r="J608" t="inlineStr">
        <is>
          <t>Ventas HoReCa</t>
        </is>
      </c>
      <c r="K608" t="inlineStr">
        <is>
          <t>CH1</t>
        </is>
      </c>
    </row>
    <row r="609">
      <c r="A609" s="33" t="n">
        <v>45722</v>
      </c>
      <c r="B609" t="inlineStr">
        <is>
          <t>2025-03</t>
        </is>
      </c>
      <c r="C609" t="inlineStr">
        <is>
          <t>BLUE OAK COFFE SPA</t>
        </is>
      </c>
      <c r="D609" t="inlineStr">
        <is>
          <t>HORECA CAFETERIA</t>
        </is>
      </c>
      <c r="E609" s="34" t="n">
        <v>60382</v>
      </c>
      <c r="F609" t="inlineStr">
        <is>
          <t>F</t>
        </is>
      </c>
      <c r="G609" s="34" t="n">
        <v>9641</v>
      </c>
      <c r="H609" s="34" t="n">
        <v>50741</v>
      </c>
      <c r="I609" t="inlineStr">
        <is>
          <t>3.1</t>
        </is>
      </c>
      <c r="J609" t="inlineStr">
        <is>
          <t>Ventas HoReCa</t>
        </is>
      </c>
      <c r="K609" t="inlineStr">
        <is>
          <t>CH1</t>
        </is>
      </c>
    </row>
    <row r="610">
      <c r="A610" s="33" t="n">
        <v>45722</v>
      </c>
      <c r="B610" t="inlineStr">
        <is>
          <t>2025-03</t>
        </is>
      </c>
      <c r="C610" t="inlineStr">
        <is>
          <t>Sociedad de inversiones solari y acuña spa</t>
        </is>
      </c>
      <c r="D610" t="inlineStr">
        <is>
          <t>HORECA CAFETERIA</t>
        </is>
      </c>
      <c r="E610" s="34" t="n">
        <v>88590</v>
      </c>
      <c r="F610" t="inlineStr">
        <is>
          <t>F</t>
        </is>
      </c>
      <c r="G610" s="34" t="n">
        <v>14145</v>
      </c>
      <c r="H610" s="34" t="n">
        <v>74445</v>
      </c>
      <c r="I610" t="inlineStr">
        <is>
          <t>3.1</t>
        </is>
      </c>
      <c r="J610" t="inlineStr">
        <is>
          <t>Ventas HoReCa</t>
        </is>
      </c>
      <c r="K610" t="inlineStr">
        <is>
          <t>CH1</t>
        </is>
      </c>
    </row>
    <row r="611">
      <c r="A611" s="33" t="n">
        <v>45722</v>
      </c>
      <c r="B611" t="inlineStr">
        <is>
          <t>2025-03</t>
        </is>
      </c>
      <c r="C611" t="inlineStr">
        <is>
          <t>BLUE OAK COFFE SPA</t>
        </is>
      </c>
      <c r="D611" t="inlineStr">
        <is>
          <t>HORECA CAFETERIA</t>
        </is>
      </c>
      <c r="E611" s="34" t="n">
        <v>213127</v>
      </c>
      <c r="F611" t="inlineStr">
        <is>
          <t>F</t>
        </is>
      </c>
      <c r="G611" s="34" t="n">
        <v>34029</v>
      </c>
      <c r="H611" s="34" t="n">
        <v>179098</v>
      </c>
      <c r="I611" t="inlineStr">
        <is>
          <t>3.1</t>
        </is>
      </c>
      <c r="J611" t="inlineStr">
        <is>
          <t>Ventas HoReCa</t>
        </is>
      </c>
      <c r="K611" t="inlineStr">
        <is>
          <t>CH1</t>
        </is>
      </c>
    </row>
    <row r="612">
      <c r="A612" s="33" t="n">
        <v>45722</v>
      </c>
      <c r="B612" t="inlineStr">
        <is>
          <t>2025-03</t>
        </is>
      </c>
      <c r="C612" t="inlineStr">
        <is>
          <t>VILAS BANQUETERIAS SPA</t>
        </is>
      </c>
      <c r="D612" t="inlineStr">
        <is>
          <t>HORECA CATERING</t>
        </is>
      </c>
      <c r="E612" s="34" t="n">
        <v>365988</v>
      </c>
      <c r="F612" t="inlineStr">
        <is>
          <t>F</t>
        </is>
      </c>
      <c r="G612" s="34" t="n">
        <v>58435</v>
      </c>
      <c r="H612" s="34" t="n">
        <v>307553</v>
      </c>
      <c r="I612" t="inlineStr">
        <is>
          <t>3.1</t>
        </is>
      </c>
      <c r="J612" t="inlineStr">
        <is>
          <t>Ventas HoReCa</t>
        </is>
      </c>
      <c r="K612" t="inlineStr">
        <is>
          <t>CH1</t>
        </is>
      </c>
    </row>
    <row r="613">
      <c r="A613" s="33" t="n">
        <v>45722</v>
      </c>
      <c r="B613" t="inlineStr">
        <is>
          <t>2025-03</t>
        </is>
      </c>
      <c r="C613" t="inlineStr">
        <is>
          <t>CAFE DIARIO ENCOMENDEROS SPA</t>
        </is>
      </c>
      <c r="D613" t="inlineStr">
        <is>
          <t>HORECA CAFETERIA</t>
        </is>
      </c>
      <c r="E613" s="34" t="n">
        <v>58611</v>
      </c>
      <c r="F613" t="inlineStr">
        <is>
          <t>F</t>
        </is>
      </c>
      <c r="G613" s="34" t="n">
        <v>9358</v>
      </c>
      <c r="H613" s="34" t="n">
        <v>49253</v>
      </c>
      <c r="I613" t="inlineStr">
        <is>
          <t>3.1</t>
        </is>
      </c>
      <c r="J613" t="inlineStr">
        <is>
          <t>Ventas HoReCa</t>
        </is>
      </c>
      <c r="K613" t="inlineStr">
        <is>
          <t>CH1</t>
        </is>
      </c>
    </row>
    <row r="614">
      <c r="A614" s="33" t="n">
        <v>45722</v>
      </c>
      <c r="B614" t="inlineStr">
        <is>
          <t>2025-03</t>
        </is>
      </c>
      <c r="C614" t="inlineStr">
        <is>
          <t>JNCONCEPT SPA</t>
        </is>
      </c>
      <c r="D614" t="inlineStr">
        <is>
          <t>OTROS</t>
        </is>
      </c>
      <c r="E614" s="34" t="n">
        <v>38600</v>
      </c>
      <c r="F614" t="inlineStr">
        <is>
          <t>F</t>
        </is>
      </c>
      <c r="G614" s="34" t="n">
        <v>6163</v>
      </c>
      <c r="H614" s="34" t="n">
        <v>32437</v>
      </c>
      <c r="I614" t="inlineStr">
        <is>
          <t>3.1</t>
        </is>
      </c>
      <c r="J614" t="inlineStr">
        <is>
          <t>Ventas HoReCa</t>
        </is>
      </c>
      <c r="K614" t="inlineStr">
        <is>
          <t>CH1</t>
        </is>
      </c>
    </row>
    <row r="615">
      <c r="A615" s="33" t="n">
        <v>45722</v>
      </c>
      <c r="B615" t="inlineStr">
        <is>
          <t>2025-03</t>
        </is>
      </c>
      <c r="C615" t="inlineStr">
        <is>
          <t>JNCONCEPT SPA</t>
        </is>
      </c>
      <c r="D615" t="inlineStr">
        <is>
          <t>OTROS</t>
        </is>
      </c>
      <c r="E615" s="34" t="n">
        <v>-38600</v>
      </c>
      <c r="F615" t="inlineStr">
        <is>
          <t>NC</t>
        </is>
      </c>
      <c r="G615" s="34" t="n">
        <v>-6163</v>
      </c>
      <c r="H615" s="34" t="n">
        <v>-32437</v>
      </c>
      <c r="I615" t="inlineStr">
        <is>
          <t>3.2</t>
        </is>
      </c>
      <c r="J615" t="inlineStr">
        <is>
          <t>Ventas Personas (B2C)</t>
        </is>
      </c>
      <c r="K615" t="inlineStr">
        <is>
          <t>CH2</t>
        </is>
      </c>
    </row>
    <row r="616">
      <c r="A616" s="33" t="n">
        <v>45722</v>
      </c>
      <c r="B616" t="inlineStr">
        <is>
          <t>2025-03</t>
        </is>
      </c>
      <c r="C616" t="inlineStr">
        <is>
          <t>JNCONCEPT SPA</t>
        </is>
      </c>
      <c r="D616" t="inlineStr">
        <is>
          <t>CANELÉ TRADICIONAL</t>
        </is>
      </c>
      <c r="E616" s="34" t="n">
        <v>27800</v>
      </c>
      <c r="F616" t="inlineStr">
        <is>
          <t>F</t>
        </is>
      </c>
      <c r="G616" s="34" t="n">
        <v>4439</v>
      </c>
      <c r="H616" s="34" t="n">
        <v>23361</v>
      </c>
      <c r="I616" t="inlineStr">
        <is>
          <t>3.1</t>
        </is>
      </c>
      <c r="J616" t="inlineStr">
        <is>
          <t>Ventas HoReCa</t>
        </is>
      </c>
      <c r="K616" t="inlineStr">
        <is>
          <t>CH1</t>
        </is>
      </c>
    </row>
    <row r="617">
      <c r="A617" s="33" t="n">
        <v>45722</v>
      </c>
      <c r="B617" t="inlineStr">
        <is>
          <t>2025-03</t>
        </is>
      </c>
      <c r="C617" t="inlineStr">
        <is>
          <t>RC BANQUETERIA SPA</t>
        </is>
      </c>
      <c r="D617" t="inlineStr">
        <is>
          <t>HORECA CATERING</t>
        </is>
      </c>
      <c r="E617" s="34" t="n">
        <v>37013</v>
      </c>
      <c r="F617" t="inlineStr">
        <is>
          <t>F</t>
        </is>
      </c>
      <c r="G617" s="34" t="n">
        <v>5910</v>
      </c>
      <c r="H617" s="34" t="n">
        <v>31103</v>
      </c>
      <c r="I617" t="inlineStr">
        <is>
          <t>3.1</t>
        </is>
      </c>
      <c r="J617" t="inlineStr">
        <is>
          <t>Ventas HoReCa</t>
        </is>
      </c>
      <c r="K617" t="inlineStr">
        <is>
          <t>CH1</t>
        </is>
      </c>
    </row>
    <row r="618">
      <c r="A618" s="33" t="n">
        <v>45722</v>
      </c>
      <c r="B618" t="inlineStr">
        <is>
          <t>2025-03</t>
        </is>
      </c>
      <c r="C618" t="inlineStr">
        <is>
          <t>RC BANQUETERIA SPA</t>
        </is>
      </c>
      <c r="D618" t="inlineStr">
        <is>
          <t>HORECA CATERING</t>
        </is>
      </c>
      <c r="E618" s="34" t="n">
        <v>50222</v>
      </c>
      <c r="F618" t="inlineStr">
        <is>
          <t>F</t>
        </is>
      </c>
      <c r="G618" s="34" t="n">
        <v>8019</v>
      </c>
      <c r="H618" s="34" t="n">
        <v>42203</v>
      </c>
      <c r="I618" t="inlineStr">
        <is>
          <t>3.1</t>
        </is>
      </c>
      <c r="J618" t="inlineStr">
        <is>
          <t>Ventas HoReCa</t>
        </is>
      </c>
      <c r="K618" t="inlineStr">
        <is>
          <t>CH1</t>
        </is>
      </c>
    </row>
    <row r="619">
      <c r="A619" s="33" t="n">
        <v>45722</v>
      </c>
      <c r="B619" t="inlineStr">
        <is>
          <t>2025-03</t>
        </is>
      </c>
      <c r="C619" t="inlineStr">
        <is>
          <t>VILAS BANQUETERIAS SPA</t>
        </is>
      </c>
      <c r="D619" t="inlineStr">
        <is>
          <t>HORECA CATERING</t>
        </is>
      </c>
      <c r="E619" s="34" t="n">
        <v>33023</v>
      </c>
      <c r="F619" t="inlineStr">
        <is>
          <t>F</t>
        </is>
      </c>
      <c r="G619" s="34" t="n">
        <v>5273</v>
      </c>
      <c r="H619" s="34" t="n">
        <v>27750</v>
      </c>
      <c r="I619" t="inlineStr">
        <is>
          <t>3.1</t>
        </is>
      </c>
      <c r="J619" t="inlineStr">
        <is>
          <t>Ventas HoReCa</t>
        </is>
      </c>
      <c r="K619" t="inlineStr">
        <is>
          <t>CH1</t>
        </is>
      </c>
    </row>
    <row r="620">
      <c r="A620" s="33" t="n">
        <v>45722</v>
      </c>
      <c r="B620" t="inlineStr">
        <is>
          <t>2025-03</t>
        </is>
      </c>
      <c r="C620" t="inlineStr">
        <is>
          <t>DIEGO VARGAS BANQUETERIA Y EVENTOS SPA</t>
        </is>
      </c>
      <c r="D620" t="inlineStr">
        <is>
          <t>HORECA CATERING</t>
        </is>
      </c>
      <c r="E620" s="34" t="n">
        <v>-250130</v>
      </c>
      <c r="F620" t="inlineStr">
        <is>
          <t>NC</t>
        </is>
      </c>
      <c r="G620" s="34" t="n">
        <v>-39937</v>
      </c>
      <c r="H620" s="34" t="n">
        <v>-210193</v>
      </c>
      <c r="I620" t="inlineStr">
        <is>
          <t>3.2</t>
        </is>
      </c>
      <c r="J620" t="inlineStr">
        <is>
          <t>Ventas Personas (B2C)</t>
        </is>
      </c>
      <c r="K620" t="inlineStr">
        <is>
          <t>CH2</t>
        </is>
      </c>
    </row>
    <row r="621">
      <c r="A621" s="33" t="n">
        <v>45722</v>
      </c>
      <c r="B621" t="inlineStr">
        <is>
          <t>2025-03</t>
        </is>
      </c>
      <c r="C621" t="inlineStr">
        <is>
          <t>DIEGO VARGAS BANQUETERIA Y EVENTOS SPA</t>
        </is>
      </c>
      <c r="D621" t="inlineStr">
        <is>
          <t>HORECA CATERING</t>
        </is>
      </c>
      <c r="E621" s="34" t="n">
        <v>281665</v>
      </c>
      <c r="F621" t="inlineStr">
        <is>
          <t>F</t>
        </is>
      </c>
      <c r="G621" s="34" t="n">
        <v>44972</v>
      </c>
      <c r="H621" s="34" t="n">
        <v>236693</v>
      </c>
      <c r="I621" t="inlineStr">
        <is>
          <t>3.1</t>
        </is>
      </c>
      <c r="J621" t="inlineStr">
        <is>
          <t>Ventas HoReCa</t>
        </is>
      </c>
      <c r="K621" t="inlineStr">
        <is>
          <t>CH1</t>
        </is>
      </c>
    </row>
    <row r="622">
      <c r="A622" s="33" t="n">
        <v>45722</v>
      </c>
      <c r="B622" t="inlineStr">
        <is>
          <t>2025-03</t>
        </is>
      </c>
      <c r="C622" t="inlineStr">
        <is>
          <t>GALVEZ Y HEUSSER SPA</t>
        </is>
      </c>
      <c r="D622" t="inlineStr">
        <is>
          <t>HORECA CATERING</t>
        </is>
      </c>
      <c r="E622" s="34" t="n">
        <v>-227440</v>
      </c>
      <c r="F622" t="inlineStr">
        <is>
          <t>NC</t>
        </is>
      </c>
      <c r="G622" s="34" t="n">
        <v>-36314</v>
      </c>
      <c r="H622" s="34" t="n">
        <v>-191126</v>
      </c>
      <c r="I622" t="inlineStr">
        <is>
          <t>3.2</t>
        </is>
      </c>
      <c r="J622" t="inlineStr">
        <is>
          <t>Ventas Personas (B2C)</t>
        </is>
      </c>
      <c r="K622" t="inlineStr">
        <is>
          <t>CH2</t>
        </is>
      </c>
    </row>
    <row r="623">
      <c r="A623" s="33" t="n">
        <v>45722</v>
      </c>
      <c r="B623" t="inlineStr">
        <is>
          <t>2025-03</t>
        </is>
      </c>
      <c r="C623" t="inlineStr">
        <is>
          <t>GALVEZ Y HEUSSER SPA</t>
        </is>
      </c>
      <c r="D623" t="inlineStr">
        <is>
          <t>HORECA CATERING</t>
        </is>
      </c>
      <c r="E623" s="34" t="n">
        <v>196580</v>
      </c>
      <c r="F623" t="inlineStr">
        <is>
          <t>F</t>
        </is>
      </c>
      <c r="G623" s="34" t="n">
        <v>31387</v>
      </c>
      <c r="H623" s="34" t="n">
        <v>165193</v>
      </c>
      <c r="I623" t="inlineStr">
        <is>
          <t>3.1</t>
        </is>
      </c>
      <c r="J623" t="inlineStr">
        <is>
          <t>Ventas HoReCa</t>
        </is>
      </c>
      <c r="K623" t="inlineStr">
        <is>
          <t>CH1</t>
        </is>
      </c>
    </row>
    <row r="624">
      <c r="A624" s="33" t="n">
        <v>45722</v>
      </c>
      <c r="B624" t="inlineStr">
        <is>
          <t>2025-03</t>
        </is>
      </c>
      <c r="C624" t="inlineStr">
        <is>
          <t>jahira labra</t>
        </is>
      </c>
      <c r="D624" t="inlineStr">
        <is>
          <t>Rellenos</t>
        </is>
      </c>
      <c r="E624" s="34" t="n">
        <v>24889</v>
      </c>
      <c r="F624" t="inlineStr">
        <is>
          <t>B</t>
        </is>
      </c>
      <c r="G624" s="34" t="n">
        <v>3974</v>
      </c>
      <c r="H624" s="34" t="n">
        <v>20915</v>
      </c>
      <c r="I624" t="inlineStr">
        <is>
          <t>3.2</t>
        </is>
      </c>
      <c r="J624" t="inlineStr">
        <is>
          <t>Ventas Personas (B2C)</t>
        </is>
      </c>
      <c r="K624" t="inlineStr">
        <is>
          <t>CH2</t>
        </is>
      </c>
    </row>
    <row r="625">
      <c r="A625" s="33" t="n">
        <v>45722</v>
      </c>
      <c r="B625" t="inlineStr">
        <is>
          <t>2025-03</t>
        </is>
      </c>
      <c r="C625" t="inlineStr">
        <is>
          <t>CAFÉ UNDER SPA</t>
        </is>
      </c>
      <c r="D625" t="inlineStr">
        <is>
          <t>HORECA CAFETERIA</t>
        </is>
      </c>
      <c r="E625" s="34" t="n">
        <v>63990</v>
      </c>
      <c r="F625" t="inlineStr">
        <is>
          <t>F</t>
        </is>
      </c>
      <c r="G625" s="34" t="n">
        <v>10217</v>
      </c>
      <c r="H625" s="34" t="n">
        <v>53773</v>
      </c>
      <c r="I625" t="inlineStr">
        <is>
          <t>3.1</t>
        </is>
      </c>
      <c r="J625" t="inlineStr">
        <is>
          <t>Ventas HoReCa</t>
        </is>
      </c>
      <c r="K625" t="inlineStr">
        <is>
          <t>CH1</t>
        </is>
      </c>
    </row>
    <row r="626">
      <c r="A626" s="33" t="n">
        <v>45722</v>
      </c>
      <c r="B626" t="inlineStr">
        <is>
          <t>2025-03</t>
        </is>
      </c>
      <c r="C626" t="inlineStr">
        <is>
          <t>CAFÉ UNDER SPA</t>
        </is>
      </c>
      <c r="D626" t="inlineStr">
        <is>
          <t>HORECA CAFETERIA</t>
        </is>
      </c>
      <c r="E626" s="34" t="n">
        <v>63990</v>
      </c>
      <c r="F626" t="inlineStr">
        <is>
          <t>F</t>
        </is>
      </c>
      <c r="G626" s="34" t="n">
        <v>10217</v>
      </c>
      <c r="H626" s="34" t="n">
        <v>53773</v>
      </c>
      <c r="I626" t="inlineStr">
        <is>
          <t>3.1</t>
        </is>
      </c>
      <c r="J626" t="inlineStr">
        <is>
          <t>Ventas HoReCa</t>
        </is>
      </c>
      <c r="K626" t="inlineStr">
        <is>
          <t>CH1</t>
        </is>
      </c>
    </row>
    <row r="627">
      <c r="A627" s="33" t="n">
        <v>45722</v>
      </c>
      <c r="B627" t="inlineStr">
        <is>
          <t>2025-03</t>
        </is>
      </c>
      <c r="C627" t="inlineStr">
        <is>
          <t>Santa María spa</t>
        </is>
      </c>
      <c r="D627" t="inlineStr">
        <is>
          <t>HORECA CAFETERIA</t>
        </is>
      </c>
      <c r="E627" s="34" t="n">
        <v>178711</v>
      </c>
      <c r="F627" t="inlineStr">
        <is>
          <t>F</t>
        </is>
      </c>
      <c r="G627" s="34" t="n">
        <v>28534</v>
      </c>
      <c r="H627" s="34" t="n">
        <v>150177</v>
      </c>
      <c r="I627" t="inlineStr">
        <is>
          <t>3.1</t>
        </is>
      </c>
      <c r="J627" t="inlineStr">
        <is>
          <t>Ventas HoReCa</t>
        </is>
      </c>
      <c r="K627" t="inlineStr">
        <is>
          <t>CH1</t>
        </is>
      </c>
    </row>
    <row r="628">
      <c r="A628" s="33" t="n">
        <v>45722</v>
      </c>
      <c r="B628" t="inlineStr">
        <is>
          <t>2025-03</t>
        </is>
      </c>
      <c r="C628" t="inlineStr">
        <is>
          <t>Luis Felipe La Corte Castro</t>
        </is>
      </c>
      <c r="D628" t="inlineStr">
        <is>
          <t>HORECA CAFETERIA</t>
        </is>
      </c>
      <c r="E628" s="34" t="n">
        <v>88590</v>
      </c>
      <c r="F628" t="inlineStr">
        <is>
          <t>F</t>
        </is>
      </c>
      <c r="G628" s="34" t="n">
        <v>14145</v>
      </c>
      <c r="H628" s="34" t="n">
        <v>74445</v>
      </c>
      <c r="I628" t="inlineStr">
        <is>
          <t>3.1</t>
        </is>
      </c>
      <c r="J628" t="inlineStr">
        <is>
          <t>Ventas HoReCa</t>
        </is>
      </c>
      <c r="K628" t="inlineStr">
        <is>
          <t>CH1</t>
        </is>
      </c>
    </row>
    <row r="629">
      <c r="A629" s="33" t="n">
        <v>45722</v>
      </c>
      <c r="B629" t="inlineStr">
        <is>
          <t>2025-03</t>
        </is>
      </c>
      <c r="C629" t="inlineStr">
        <is>
          <t>the capital coffee spa</t>
        </is>
      </c>
      <c r="D629" t="inlineStr">
        <is>
          <t>HORECA CAFETERIA</t>
        </is>
      </c>
      <c r="E629" s="34" t="n">
        <v>224640</v>
      </c>
      <c r="F629" t="inlineStr">
        <is>
          <t>F</t>
        </is>
      </c>
      <c r="G629" s="34" t="n">
        <v>35867</v>
      </c>
      <c r="H629" s="34" t="n">
        <v>188773</v>
      </c>
      <c r="I629" t="inlineStr">
        <is>
          <t>3.1</t>
        </is>
      </c>
      <c r="J629" t="inlineStr">
        <is>
          <t>Ventas HoReCa</t>
        </is>
      </c>
      <c r="K629" t="inlineStr">
        <is>
          <t>CH1</t>
        </is>
      </c>
    </row>
    <row r="630">
      <c r="A630" s="33" t="n">
        <v>45722</v>
      </c>
      <c r="B630" t="inlineStr">
        <is>
          <t>2025-03</t>
        </is>
      </c>
      <c r="C630" t="inlineStr">
        <is>
          <t>BAZÁN Y MUSSO SPA</t>
        </is>
      </c>
      <c r="D630" t="inlineStr">
        <is>
          <t>Petit Tradicional</t>
        </is>
      </c>
      <c r="E630" s="34" t="n">
        <v>90899</v>
      </c>
      <c r="F630" t="inlineStr">
        <is>
          <t>F</t>
        </is>
      </c>
      <c r="G630" s="34" t="n">
        <v>14513</v>
      </c>
      <c r="H630" s="34" t="n">
        <v>76386</v>
      </c>
      <c r="I630" t="inlineStr">
        <is>
          <t>3.1</t>
        </is>
      </c>
      <c r="J630" t="inlineStr">
        <is>
          <t>Ventas HoReCa</t>
        </is>
      </c>
      <c r="K630" t="inlineStr">
        <is>
          <t>CH1</t>
        </is>
      </c>
    </row>
    <row r="631">
      <c r="A631" s="33" t="n">
        <v>45722</v>
      </c>
      <c r="B631" t="inlineStr">
        <is>
          <t>2025-03</t>
        </is>
      </c>
      <c r="C631" t="inlineStr">
        <is>
          <t>OPA SPA</t>
        </is>
      </c>
      <c r="D631" t="inlineStr">
        <is>
          <t>HORECA CAFETERIA</t>
        </is>
      </c>
      <c r="E631" s="34" t="n">
        <v>60000</v>
      </c>
      <c r="F631" t="inlineStr">
        <is>
          <t>F</t>
        </is>
      </c>
      <c r="G631" s="34" t="n">
        <v>9580</v>
      </c>
      <c r="H631" s="34" t="n">
        <v>50420</v>
      </c>
      <c r="I631" t="inlineStr">
        <is>
          <t>3.1</t>
        </is>
      </c>
      <c r="J631" t="inlineStr">
        <is>
          <t>Ventas HoReCa</t>
        </is>
      </c>
      <c r="K631" t="inlineStr">
        <is>
          <t>CH1</t>
        </is>
      </c>
    </row>
    <row r="632">
      <c r="A632" s="33" t="n">
        <v>45722</v>
      </c>
      <c r="B632" t="inlineStr">
        <is>
          <t>2025-03</t>
        </is>
      </c>
      <c r="C632" t="inlineStr">
        <is>
          <t>Estivalia Correa</t>
        </is>
      </c>
      <c r="D632" t="inlineStr">
        <is>
          <t>Petit Tradicional</t>
        </is>
      </c>
      <c r="E632" s="34" t="n">
        <v>13789</v>
      </c>
      <c r="F632" t="inlineStr">
        <is>
          <t>B</t>
        </is>
      </c>
      <c r="G632" s="34" t="n">
        <v>2202</v>
      </c>
      <c r="H632" s="34" t="n">
        <v>11587</v>
      </c>
      <c r="I632" t="inlineStr">
        <is>
          <t>3.2</t>
        </is>
      </c>
      <c r="J632" t="inlineStr">
        <is>
          <t>Ventas Personas (B2C)</t>
        </is>
      </c>
      <c r="K632" t="inlineStr">
        <is>
          <t>CH2</t>
        </is>
      </c>
    </row>
    <row r="633">
      <c r="A633" s="33" t="n">
        <v>45722</v>
      </c>
      <c r="B633" t="inlineStr">
        <is>
          <t>2025-03</t>
        </is>
      </c>
      <c r="C633" t="inlineStr">
        <is>
          <t>Carlos Sepulveda</t>
        </is>
      </c>
      <c r="D633" t="inlineStr">
        <is>
          <t>Delicatessen</t>
        </is>
      </c>
      <c r="E633" s="34" t="n">
        <v>25011</v>
      </c>
      <c r="F633" t="inlineStr">
        <is>
          <t>B</t>
        </is>
      </c>
      <c r="G633" s="34" t="n">
        <v>3993</v>
      </c>
      <c r="H633" s="34" t="n">
        <v>21018</v>
      </c>
      <c r="I633" t="inlineStr">
        <is>
          <t>3.2</t>
        </is>
      </c>
      <c r="J633" t="inlineStr">
        <is>
          <t>Ventas Personas (B2C)</t>
        </is>
      </c>
      <c r="K633" t="inlineStr">
        <is>
          <t>CH2</t>
        </is>
      </c>
    </row>
    <row r="634">
      <c r="A634" s="33" t="n">
        <v>45722</v>
      </c>
      <c r="B634" t="inlineStr">
        <is>
          <t>2025-03</t>
        </is>
      </c>
      <c r="C634" t="inlineStr">
        <is>
          <t>José Miguel Medina Larraín</t>
        </is>
      </c>
      <c r="D634" t="inlineStr">
        <is>
          <t>HORECA CATERING</t>
        </is>
      </c>
      <c r="E634" s="34" t="n">
        <v>208250</v>
      </c>
      <c r="F634" t="inlineStr">
        <is>
          <t>B</t>
        </is>
      </c>
      <c r="G634" s="34" t="n">
        <v>33250</v>
      </c>
      <c r="H634" s="34" t="n">
        <v>175000</v>
      </c>
      <c r="I634" t="inlineStr">
        <is>
          <t>3.2</t>
        </is>
      </c>
      <c r="J634" t="inlineStr">
        <is>
          <t>Ventas Personas (B2C)</t>
        </is>
      </c>
      <c r="K634" t="inlineStr">
        <is>
          <t>CH2</t>
        </is>
      </c>
    </row>
    <row r="635">
      <c r="A635" s="33" t="n">
        <v>45722</v>
      </c>
      <c r="B635" t="inlineStr">
        <is>
          <t>2025-03</t>
        </is>
      </c>
      <c r="C635" t="inlineStr">
        <is>
          <t>KINBERLY CORDOVA</t>
        </is>
      </c>
      <c r="D635" t="inlineStr">
        <is>
          <t>CANELÉ TRADICIONAL</t>
        </is>
      </c>
      <c r="E635" s="34" t="n">
        <v>22865</v>
      </c>
      <c r="F635" t="inlineStr">
        <is>
          <t>B</t>
        </is>
      </c>
      <c r="G635" s="34" t="n">
        <v>3651</v>
      </c>
      <c r="H635" s="34" t="n">
        <v>19214</v>
      </c>
      <c r="I635" t="inlineStr">
        <is>
          <t>3.2</t>
        </is>
      </c>
      <c r="J635" t="inlineStr">
        <is>
          <t>Ventas Personas (B2C)</t>
        </is>
      </c>
      <c r="K635" t="inlineStr">
        <is>
          <t>CH2</t>
        </is>
      </c>
    </row>
    <row r="636">
      <c r="A636" s="33" t="n">
        <v>45722</v>
      </c>
      <c r="B636" t="inlineStr">
        <is>
          <t>2025-03</t>
        </is>
      </c>
      <c r="C636" t="inlineStr">
        <is>
          <t>Eugenio Guzmán</t>
        </is>
      </c>
      <c r="D636" t="inlineStr">
        <is>
          <t>CANELÉ TRADICIONAL</t>
        </is>
      </c>
      <c r="E636" s="34" t="n">
        <v>58790</v>
      </c>
      <c r="F636" t="inlineStr">
        <is>
          <t>B</t>
        </is>
      </c>
      <c r="G636" s="34" t="n">
        <v>9387</v>
      </c>
      <c r="H636" s="34" t="n">
        <v>49403</v>
      </c>
      <c r="I636" t="inlineStr">
        <is>
          <t>3.2</t>
        </is>
      </c>
      <c r="J636" t="inlineStr">
        <is>
          <t>Ventas Personas (B2C)</t>
        </is>
      </c>
      <c r="K636" t="inlineStr">
        <is>
          <t>CH2</t>
        </is>
      </c>
    </row>
    <row r="637">
      <c r="A637" s="33" t="n">
        <v>45722</v>
      </c>
      <c r="B637" t="inlineStr">
        <is>
          <t>2025-03</t>
        </is>
      </c>
      <c r="C637" t="inlineStr">
        <is>
          <t>Sebastián Acosta</t>
        </is>
      </c>
      <c r="D637" t="inlineStr">
        <is>
          <t>CANELÉ TRADICIONAL</t>
        </is>
      </c>
      <c r="E637" s="34" t="n">
        <v>23789</v>
      </c>
      <c r="F637" t="inlineStr">
        <is>
          <t>B</t>
        </is>
      </c>
      <c r="G637" s="34" t="n">
        <v>3798</v>
      </c>
      <c r="H637" s="34" t="n">
        <v>19991</v>
      </c>
      <c r="I637" t="inlineStr">
        <is>
          <t>3.2</t>
        </is>
      </c>
      <c r="J637" t="inlineStr">
        <is>
          <t>Ventas Personas (B2C)</t>
        </is>
      </c>
      <c r="K637" t="inlineStr">
        <is>
          <t>CH2</t>
        </is>
      </c>
    </row>
    <row r="638">
      <c r="A638" s="33" t="n">
        <v>45722</v>
      </c>
      <c r="B638" t="inlineStr">
        <is>
          <t>2025-03</t>
        </is>
      </c>
      <c r="C638" t="inlineStr">
        <is>
          <t>Sin cliente</t>
        </is>
      </c>
      <c r="D638" t="inlineStr">
        <is>
          <t>CANELÉ TRADICIONAL</t>
        </is>
      </c>
      <c r="E638" s="34" t="n">
        <v>19800</v>
      </c>
      <c r="F638" t="inlineStr">
        <is>
          <t>B</t>
        </is>
      </c>
      <c r="G638" s="34" t="n">
        <v>3161</v>
      </c>
      <c r="H638" s="34" t="n">
        <v>16639</v>
      </c>
      <c r="I638" t="inlineStr">
        <is>
          <t>3.2</t>
        </is>
      </c>
      <c r="J638" t="inlineStr">
        <is>
          <t>Ventas Personas (B2C)</t>
        </is>
      </c>
      <c r="K638" t="inlineStr">
        <is>
          <t>CH2</t>
        </is>
      </c>
    </row>
    <row r="639">
      <c r="A639" s="33" t="n">
        <v>45722</v>
      </c>
      <c r="B639" t="inlineStr">
        <is>
          <t>2025-03</t>
        </is>
      </c>
      <c r="C639" t="inlineStr">
        <is>
          <t>Sin cliente</t>
        </is>
      </c>
      <c r="D639" t="inlineStr">
        <is>
          <t>Mix Sabores</t>
        </is>
      </c>
      <c r="E639" s="34" t="n">
        <v>22800</v>
      </c>
      <c r="F639" t="inlineStr">
        <is>
          <t>B</t>
        </is>
      </c>
      <c r="G639" s="34" t="n">
        <v>3640</v>
      </c>
      <c r="H639" s="34" t="n">
        <v>19160</v>
      </c>
      <c r="I639" t="inlineStr">
        <is>
          <t>3.2</t>
        </is>
      </c>
      <c r="J639" t="inlineStr">
        <is>
          <t>Ventas Personas (B2C)</t>
        </is>
      </c>
      <c r="K639" t="inlineStr">
        <is>
          <t>CH2</t>
        </is>
      </c>
    </row>
    <row r="640">
      <c r="A640" s="33" t="n">
        <v>45722</v>
      </c>
      <c r="B640" t="inlineStr">
        <is>
          <t>2025-03</t>
        </is>
      </c>
      <c r="C640" t="inlineStr">
        <is>
          <t>Sin cliente</t>
        </is>
      </c>
      <c r="D640" t="inlineStr">
        <is>
          <t>Delicatessen</t>
        </is>
      </c>
      <c r="E640" s="34" t="n">
        <v>11900</v>
      </c>
      <c r="F640" t="inlineStr">
        <is>
          <t>B</t>
        </is>
      </c>
      <c r="G640" s="34" t="n">
        <v>1900</v>
      </c>
      <c r="H640" s="34" t="n">
        <v>10000</v>
      </c>
      <c r="I640" t="inlineStr">
        <is>
          <t>3.2</t>
        </is>
      </c>
      <c r="J640" t="inlineStr">
        <is>
          <t>Ventas Personas (B2C)</t>
        </is>
      </c>
      <c r="K640" t="inlineStr">
        <is>
          <t>CH2</t>
        </is>
      </c>
    </row>
    <row r="641">
      <c r="A641" s="33" t="n">
        <v>45722</v>
      </c>
      <c r="B641" t="inlineStr">
        <is>
          <t>2025-03</t>
        </is>
      </c>
      <c r="C641" t="inlineStr">
        <is>
          <t>Caroline Labarthe</t>
        </is>
      </c>
      <c r="D641" t="inlineStr">
        <is>
          <t>Petit Crunchy</t>
        </is>
      </c>
      <c r="E641" s="34" t="n">
        <v>32700</v>
      </c>
      <c r="F641" t="inlineStr">
        <is>
          <t>B</t>
        </is>
      </c>
      <c r="G641" s="34" t="n">
        <v>5221</v>
      </c>
      <c r="H641" s="34" t="n">
        <v>27479</v>
      </c>
      <c r="I641" t="inlineStr">
        <is>
          <t>3.2</t>
        </is>
      </c>
      <c r="J641" t="inlineStr">
        <is>
          <t>Ventas Personas (B2C)</t>
        </is>
      </c>
      <c r="K641" t="inlineStr">
        <is>
          <t>CH2</t>
        </is>
      </c>
    </row>
    <row r="642">
      <c r="A642" s="33" t="n">
        <v>45723</v>
      </c>
      <c r="B642" t="inlineStr">
        <is>
          <t>2025-03</t>
        </is>
      </c>
      <c r="C642" t="inlineStr">
        <is>
          <t>Better Food Spa</t>
        </is>
      </c>
      <c r="D642" t="inlineStr">
        <is>
          <t>HORECA CAFETERIA</t>
        </is>
      </c>
      <c r="E642" s="34" t="n">
        <v>269892</v>
      </c>
      <c r="F642" t="inlineStr">
        <is>
          <t>F</t>
        </is>
      </c>
      <c r="G642" s="34" t="n">
        <v>43092</v>
      </c>
      <c r="H642" s="34" t="n">
        <v>226800</v>
      </c>
      <c r="I642" t="inlineStr">
        <is>
          <t>3.1</t>
        </is>
      </c>
      <c r="J642" t="inlineStr">
        <is>
          <t>Ventas HoReCa</t>
        </is>
      </c>
      <c r="K642" t="inlineStr">
        <is>
          <t>CH1</t>
        </is>
      </c>
    </row>
    <row r="643">
      <c r="A643" s="33" t="n">
        <v>45723</v>
      </c>
      <c r="B643" t="inlineStr">
        <is>
          <t>2025-03</t>
        </is>
      </c>
      <c r="C643" t="inlineStr">
        <is>
          <t>Daniel Ogalde</t>
        </is>
      </c>
      <c r="D643" t="inlineStr">
        <is>
          <t>Rellenos</t>
        </is>
      </c>
      <c r="E643" s="34" t="n">
        <v>33890</v>
      </c>
      <c r="F643" t="inlineStr">
        <is>
          <t>B</t>
        </is>
      </c>
      <c r="G643" s="34" t="n">
        <v>5411</v>
      </c>
      <c r="H643" s="34" t="n">
        <v>28479</v>
      </c>
      <c r="I643" t="inlineStr">
        <is>
          <t>3.2</t>
        </is>
      </c>
      <c r="J643" t="inlineStr">
        <is>
          <t>Ventas Personas (B2C)</t>
        </is>
      </c>
      <c r="K643" t="inlineStr">
        <is>
          <t>CH2</t>
        </is>
      </c>
    </row>
    <row r="644">
      <c r="A644" s="33" t="n">
        <v>45723</v>
      </c>
      <c r="B644" t="inlineStr">
        <is>
          <t>2025-03</t>
        </is>
      </c>
      <c r="C644" t="inlineStr">
        <is>
          <t>María Fernanda Olmedo</t>
        </is>
      </c>
      <c r="D644" t="inlineStr">
        <is>
          <t>CANELE SIN AZUCAR</t>
        </is>
      </c>
      <c r="E644" s="34" t="n">
        <v>14059</v>
      </c>
      <c r="F644" t="inlineStr">
        <is>
          <t>B</t>
        </is>
      </c>
      <c r="G644" s="34" t="n">
        <v>2245</v>
      </c>
      <c r="H644" s="34" t="n">
        <v>11814</v>
      </c>
      <c r="I644" t="inlineStr">
        <is>
          <t>3.2</t>
        </is>
      </c>
      <c r="J644" t="inlineStr">
        <is>
          <t>Ventas Personas (B2C)</t>
        </is>
      </c>
      <c r="K644" t="inlineStr">
        <is>
          <t>CH2</t>
        </is>
      </c>
    </row>
    <row r="645">
      <c r="A645" s="33" t="n">
        <v>45723</v>
      </c>
      <c r="B645" t="inlineStr">
        <is>
          <t>2025-03</t>
        </is>
      </c>
      <c r="C645" t="inlineStr">
        <is>
          <t>Sin cliente</t>
        </is>
      </c>
      <c r="D645" t="inlineStr">
        <is>
          <t>PLATAFORMAS RAP-PEYA-UBER-GOOD</t>
        </is>
      </c>
      <c r="E645" s="34" t="n">
        <v>33360</v>
      </c>
      <c r="F645" t="inlineStr">
        <is>
          <t>B</t>
        </is>
      </c>
      <c r="G645" s="34" t="n">
        <v>5326</v>
      </c>
      <c r="H645" s="34" t="n">
        <v>28034</v>
      </c>
      <c r="I645" t="inlineStr">
        <is>
          <t>3.6</t>
        </is>
      </c>
      <c r="J645" t="inlineStr">
        <is>
          <t>Ventas Delivery Apps</t>
        </is>
      </c>
      <c r="K645" t="inlineStr">
        <is>
          <t>CH3</t>
        </is>
      </c>
    </row>
    <row r="646">
      <c r="A646" s="33" t="n">
        <v>45723</v>
      </c>
      <c r="B646" t="inlineStr">
        <is>
          <t>2025-03</t>
        </is>
      </c>
      <c r="C646" t="inlineStr">
        <is>
          <t>PRODUCTORA DE EVENTOS AGDV SPA</t>
        </is>
      </c>
      <c r="D646" t="inlineStr">
        <is>
          <t>HORECA CATERING</t>
        </is>
      </c>
      <c r="E646" s="34" t="n">
        <v>182490</v>
      </c>
      <c r="F646" t="inlineStr">
        <is>
          <t>F</t>
        </is>
      </c>
      <c r="G646" s="34" t="n">
        <v>29137</v>
      </c>
      <c r="H646" s="34" t="n">
        <v>153353</v>
      </c>
      <c r="I646" t="inlineStr">
        <is>
          <t>3.1</t>
        </is>
      </c>
      <c r="J646" t="inlineStr">
        <is>
          <t>Ventas HoReCa</t>
        </is>
      </c>
      <c r="K646" t="inlineStr">
        <is>
          <t>CH1</t>
        </is>
      </c>
    </row>
    <row r="647">
      <c r="A647" s="33" t="n">
        <v>45723</v>
      </c>
      <c r="B647" t="inlineStr">
        <is>
          <t>2025-03</t>
        </is>
      </c>
      <c r="C647" t="inlineStr">
        <is>
          <t>POMPON SPA</t>
        </is>
      </c>
      <c r="D647" t="inlineStr">
        <is>
          <t>HORECA CAFETERIA</t>
        </is>
      </c>
      <c r="E647" s="34" t="n">
        <v>91630</v>
      </c>
      <c r="F647" t="inlineStr">
        <is>
          <t>F</t>
        </is>
      </c>
      <c r="G647" s="34" t="n">
        <v>14630</v>
      </c>
      <c r="H647" s="34" t="n">
        <v>77000</v>
      </c>
      <c r="I647" t="inlineStr">
        <is>
          <t>3.1</t>
        </is>
      </c>
      <c r="J647" t="inlineStr">
        <is>
          <t>Ventas HoReCa</t>
        </is>
      </c>
      <c r="K647" t="inlineStr">
        <is>
          <t>CH1</t>
        </is>
      </c>
    </row>
    <row r="648">
      <c r="A648" s="33" t="n">
        <v>45723</v>
      </c>
      <c r="B648" t="inlineStr">
        <is>
          <t>2025-03</t>
        </is>
      </c>
      <c r="C648" t="inlineStr">
        <is>
          <t>DIEGO VARGAS BANQUETERIA Y EVENTOS SPA</t>
        </is>
      </c>
      <c r="D648" t="inlineStr">
        <is>
          <t>HORECA CATERING</t>
        </is>
      </c>
      <c r="E648" s="34" t="n">
        <v>281665</v>
      </c>
      <c r="F648" t="inlineStr">
        <is>
          <t>F</t>
        </is>
      </c>
      <c r="G648" s="34" t="n">
        <v>44972</v>
      </c>
      <c r="H648" s="34" t="n">
        <v>236693</v>
      </c>
      <c r="I648" t="inlineStr">
        <is>
          <t>3.1</t>
        </is>
      </c>
      <c r="J648" t="inlineStr">
        <is>
          <t>Ventas HoReCa</t>
        </is>
      </c>
      <c r="K648" t="inlineStr">
        <is>
          <t>CH1</t>
        </is>
      </c>
    </row>
    <row r="649">
      <c r="A649" s="33" t="n">
        <v>45723</v>
      </c>
      <c r="B649" t="inlineStr">
        <is>
          <t>2025-03</t>
        </is>
      </c>
      <c r="C649" t="inlineStr">
        <is>
          <t>GALVEZ Y HEUSSER SPA</t>
        </is>
      </c>
      <c r="D649" t="inlineStr">
        <is>
          <t>HORECA CATERING</t>
        </is>
      </c>
      <c r="E649" s="34" t="n">
        <v>160591</v>
      </c>
      <c r="F649" t="inlineStr">
        <is>
          <t>F</t>
        </is>
      </c>
      <c r="G649" s="34" t="n">
        <v>25641</v>
      </c>
      <c r="H649" s="34" t="n">
        <v>134950</v>
      </c>
      <c r="I649" t="inlineStr">
        <is>
          <t>3.1</t>
        </is>
      </c>
      <c r="J649" t="inlineStr">
        <is>
          <t>Ventas HoReCa</t>
        </is>
      </c>
      <c r="K649" t="inlineStr">
        <is>
          <t>CH1</t>
        </is>
      </c>
    </row>
    <row r="650">
      <c r="A650" s="33" t="n">
        <v>45723</v>
      </c>
      <c r="B650" t="inlineStr">
        <is>
          <t>2025-03</t>
        </is>
      </c>
      <c r="C650" t="inlineStr">
        <is>
          <t>Sin cliente</t>
        </is>
      </c>
      <c r="D650" t="inlineStr">
        <is>
          <t>PLATAFORMAS RAP-PEYA-UBER-GOOD</t>
        </is>
      </c>
      <c r="E650" s="34" t="n">
        <v>32280</v>
      </c>
      <c r="F650" t="inlineStr">
        <is>
          <t>B</t>
        </is>
      </c>
      <c r="G650" s="34" t="n">
        <v>5154</v>
      </c>
      <c r="H650" s="34" t="n">
        <v>27126</v>
      </c>
      <c r="I650" t="inlineStr">
        <is>
          <t>3.6</t>
        </is>
      </c>
      <c r="J650" t="inlineStr">
        <is>
          <t>Ventas Delivery Apps</t>
        </is>
      </c>
      <c r="K650" t="inlineStr">
        <is>
          <t>CH3</t>
        </is>
      </c>
    </row>
    <row r="651">
      <c r="A651" s="33" t="n">
        <v>45723</v>
      </c>
      <c r="B651" t="inlineStr">
        <is>
          <t>2025-03</t>
        </is>
      </c>
      <c r="C651" t="inlineStr">
        <is>
          <t>Claudia Morales</t>
        </is>
      </c>
      <c r="D651" t="inlineStr">
        <is>
          <t>Petit Tradicional</t>
        </is>
      </c>
      <c r="E651" s="34" t="n">
        <v>31679</v>
      </c>
      <c r="F651" t="inlineStr">
        <is>
          <t>B</t>
        </is>
      </c>
      <c r="G651" s="34" t="n">
        <v>5058</v>
      </c>
      <c r="H651" s="34" t="n">
        <v>26621</v>
      </c>
      <c r="I651" t="inlineStr">
        <is>
          <t>3.2</t>
        </is>
      </c>
      <c r="J651" t="inlineStr">
        <is>
          <t>Ventas Personas (B2C)</t>
        </is>
      </c>
      <c r="K651" t="inlineStr">
        <is>
          <t>CH2</t>
        </is>
      </c>
    </row>
    <row r="652">
      <c r="A652" s="33" t="n">
        <v>45723</v>
      </c>
      <c r="B652" t="inlineStr">
        <is>
          <t>2025-03</t>
        </is>
      </c>
      <c r="C652" t="inlineStr">
        <is>
          <t>Felipe Morel Pirazzoli</t>
        </is>
      </c>
      <c r="D652" t="inlineStr">
        <is>
          <t>CANELÉ TRADICIONAL</t>
        </is>
      </c>
      <c r="E652" s="34" t="n">
        <v>30789</v>
      </c>
      <c r="F652" t="inlineStr">
        <is>
          <t>B</t>
        </is>
      </c>
      <c r="G652" s="34" t="n">
        <v>4916</v>
      </c>
      <c r="H652" s="34" t="n">
        <v>25873</v>
      </c>
      <c r="I652" t="inlineStr">
        <is>
          <t>3.2</t>
        </is>
      </c>
      <c r="J652" t="inlineStr">
        <is>
          <t>Ventas Personas (B2C)</t>
        </is>
      </c>
      <c r="K652" t="inlineStr">
        <is>
          <t>CH2</t>
        </is>
      </c>
    </row>
    <row r="653">
      <c r="A653" s="33" t="n">
        <v>45723</v>
      </c>
      <c r="B653" t="inlineStr">
        <is>
          <t>2025-03</t>
        </is>
      </c>
      <c r="C653" t="inlineStr">
        <is>
          <t>karol oyanader</t>
        </is>
      </c>
      <c r="D653" t="inlineStr">
        <is>
          <t>Petit Tradicional</t>
        </is>
      </c>
      <c r="E653" s="34" t="n">
        <v>66790</v>
      </c>
      <c r="F653" t="inlineStr">
        <is>
          <t>B</t>
        </is>
      </c>
      <c r="G653" s="34" t="n">
        <v>10664</v>
      </c>
      <c r="H653" s="34" t="n">
        <v>56126</v>
      </c>
      <c r="I653" t="inlineStr">
        <is>
          <t>3.2</t>
        </is>
      </c>
      <c r="J653" t="inlineStr">
        <is>
          <t>Ventas Personas (B2C)</t>
        </is>
      </c>
      <c r="K653" t="inlineStr">
        <is>
          <t>CH2</t>
        </is>
      </c>
    </row>
    <row r="654">
      <c r="A654" s="33" t="n">
        <v>45723</v>
      </c>
      <c r="B654" t="inlineStr">
        <is>
          <t>2025-03</t>
        </is>
      </c>
      <c r="C654" t="inlineStr">
        <is>
          <t>Carolina Campo - Martinez</t>
        </is>
      </c>
      <c r="D654" t="inlineStr">
        <is>
          <t>Delicatessen</t>
        </is>
      </c>
      <c r="E654" s="34" t="n">
        <v>11120</v>
      </c>
      <c r="F654" t="inlineStr">
        <is>
          <t>B</t>
        </is>
      </c>
      <c r="G654" s="34" t="n">
        <v>1775</v>
      </c>
      <c r="H654" s="34" t="n">
        <v>9345</v>
      </c>
      <c r="I654" t="inlineStr">
        <is>
          <t>3.2</t>
        </is>
      </c>
      <c r="J654" t="inlineStr">
        <is>
          <t>Ventas Personas (B2C)</t>
        </is>
      </c>
      <c r="K654" t="inlineStr">
        <is>
          <t>CH2</t>
        </is>
      </c>
    </row>
    <row r="655">
      <c r="A655" s="33" t="n">
        <v>45723</v>
      </c>
      <c r="B655" t="inlineStr">
        <is>
          <t>2025-03</t>
        </is>
      </c>
      <c r="C655" t="inlineStr">
        <is>
          <t>Sin cliente</t>
        </is>
      </c>
      <c r="D655" t="inlineStr">
        <is>
          <t>PLATAFORMAS RAP-PEYA-UBER-GOOD</t>
        </is>
      </c>
      <c r="E655" s="34" t="n">
        <v>28560</v>
      </c>
      <c r="F655" t="inlineStr">
        <is>
          <t>B</t>
        </is>
      </c>
      <c r="G655" s="34" t="n">
        <v>4560</v>
      </c>
      <c r="H655" s="34" t="n">
        <v>24000</v>
      </c>
      <c r="I655" t="inlineStr">
        <is>
          <t>3.6</t>
        </is>
      </c>
      <c r="J655" t="inlineStr">
        <is>
          <t>Ventas Delivery Apps</t>
        </is>
      </c>
      <c r="K655" t="inlineStr">
        <is>
          <t>CH3</t>
        </is>
      </c>
    </row>
    <row r="656">
      <c r="A656" s="33" t="n">
        <v>45723</v>
      </c>
      <c r="B656" t="inlineStr">
        <is>
          <t>2025-03</t>
        </is>
      </c>
      <c r="C656" t="inlineStr">
        <is>
          <t>Sin cliente</t>
        </is>
      </c>
      <c r="D656" t="inlineStr">
        <is>
          <t>CANELÉ TRADICIONAL</t>
        </is>
      </c>
      <c r="E656" s="34" t="n">
        <v>26900</v>
      </c>
      <c r="F656" t="inlineStr">
        <is>
          <t>B</t>
        </is>
      </c>
      <c r="G656" s="34" t="n">
        <v>4295</v>
      </c>
      <c r="H656" s="34" t="n">
        <v>22605</v>
      </c>
      <c r="I656" t="inlineStr">
        <is>
          <t>3.2</t>
        </is>
      </c>
      <c r="J656" t="inlineStr">
        <is>
          <t>Ventas Personas (B2C)</t>
        </is>
      </c>
      <c r="K656" t="inlineStr">
        <is>
          <t>CH2</t>
        </is>
      </c>
    </row>
    <row r="657">
      <c r="A657" s="33" t="n">
        <v>45723</v>
      </c>
      <c r="B657" t="inlineStr">
        <is>
          <t>2025-03</t>
        </is>
      </c>
      <c r="C657" t="inlineStr">
        <is>
          <t>Sin cliente</t>
        </is>
      </c>
      <c r="D657" t="inlineStr">
        <is>
          <t>REGION METROPOLITANA</t>
        </is>
      </c>
      <c r="E657" s="34" t="n">
        <v>4990</v>
      </c>
      <c r="F657" t="inlineStr">
        <is>
          <t>B</t>
        </is>
      </c>
      <c r="G657" s="34" t="n">
        <v>797</v>
      </c>
      <c r="H657" s="34" t="n">
        <v>4193</v>
      </c>
      <c r="I657" t="inlineStr">
        <is>
          <t>3.2</t>
        </is>
      </c>
      <c r="J657" t="inlineStr">
        <is>
          <t>Ventas Personas (B2C)</t>
        </is>
      </c>
      <c r="K657" t="inlineStr">
        <is>
          <t>CH2</t>
        </is>
      </c>
    </row>
    <row r="658">
      <c r="A658" s="33" t="n">
        <v>45723</v>
      </c>
      <c r="B658" t="inlineStr">
        <is>
          <t>2025-03</t>
        </is>
      </c>
      <c r="C658" t="inlineStr">
        <is>
          <t>Sin cliente</t>
        </is>
      </c>
      <c r="D658" t="inlineStr">
        <is>
          <t>CANELÉ TRADICIONAL</t>
        </is>
      </c>
      <c r="E658" s="34" t="n">
        <v>15840</v>
      </c>
      <c r="F658" t="inlineStr">
        <is>
          <t>B</t>
        </is>
      </c>
      <c r="G658" s="34" t="n">
        <v>2529</v>
      </c>
      <c r="H658" s="34" t="n">
        <v>13311</v>
      </c>
      <c r="I658" t="inlineStr">
        <is>
          <t>3.2</t>
        </is>
      </c>
      <c r="J658" t="inlineStr">
        <is>
          <t>Ventas Personas (B2C)</t>
        </is>
      </c>
      <c r="K658" t="inlineStr">
        <is>
          <t>CH2</t>
        </is>
      </c>
    </row>
    <row r="659">
      <c r="A659" s="33" t="n">
        <v>45724</v>
      </c>
      <c r="B659" t="inlineStr">
        <is>
          <t>2025-03</t>
        </is>
      </c>
      <c r="C659" t="inlineStr">
        <is>
          <t>Francisca Richard</t>
        </is>
      </c>
      <c r="D659" t="inlineStr">
        <is>
          <t>CANELÉ TRADICIONAL</t>
        </is>
      </c>
      <c r="E659" s="34" t="n">
        <v>20990</v>
      </c>
      <c r="F659" t="inlineStr">
        <is>
          <t>B</t>
        </is>
      </c>
      <c r="G659" s="34" t="n">
        <v>3351</v>
      </c>
      <c r="H659" s="34" t="n">
        <v>17639</v>
      </c>
      <c r="I659" t="inlineStr">
        <is>
          <t>3.2</t>
        </is>
      </c>
      <c r="J659" t="inlineStr">
        <is>
          <t>Ventas Personas (B2C)</t>
        </is>
      </c>
      <c r="K659" t="inlineStr">
        <is>
          <t>CH2</t>
        </is>
      </c>
    </row>
    <row r="660">
      <c r="A660" s="33" t="n">
        <v>45724</v>
      </c>
      <c r="B660" t="inlineStr">
        <is>
          <t>2025-03</t>
        </is>
      </c>
      <c r="C660" t="inlineStr">
        <is>
          <t>Katherine Cabello reyes</t>
        </is>
      </c>
      <c r="D660" t="inlineStr">
        <is>
          <t>CANELÉ TRADICIONAL</t>
        </is>
      </c>
      <c r="E660" s="34" t="n">
        <v>29889</v>
      </c>
      <c r="F660" t="inlineStr">
        <is>
          <t>B</t>
        </is>
      </c>
      <c r="G660" s="34" t="n">
        <v>4772</v>
      </c>
      <c r="H660" s="34" t="n">
        <v>25117</v>
      </c>
      <c r="I660" t="inlineStr">
        <is>
          <t>3.2</t>
        </is>
      </c>
      <c r="J660" t="inlineStr">
        <is>
          <t>Ventas Personas (B2C)</t>
        </is>
      </c>
      <c r="K660" t="inlineStr">
        <is>
          <t>CH2</t>
        </is>
      </c>
    </row>
    <row r="661">
      <c r="A661" s="33" t="n">
        <v>45724</v>
      </c>
      <c r="B661" t="inlineStr">
        <is>
          <t>2025-03</t>
        </is>
      </c>
      <c r="C661" t="inlineStr">
        <is>
          <t>Sin cliente</t>
        </is>
      </c>
      <c r="D661" t="inlineStr">
        <is>
          <t>CANELÉ TRADICIONAL</t>
        </is>
      </c>
      <c r="E661" s="34" t="n">
        <v>13900</v>
      </c>
      <c r="F661" t="inlineStr">
        <is>
          <t>B</t>
        </is>
      </c>
      <c r="G661" s="34" t="n">
        <v>2219</v>
      </c>
      <c r="H661" s="34" t="n">
        <v>11681</v>
      </c>
      <c r="I661" t="inlineStr">
        <is>
          <t>3.2</t>
        </is>
      </c>
      <c r="J661" t="inlineStr">
        <is>
          <t>Ventas Personas (B2C)</t>
        </is>
      </c>
      <c r="K661" t="inlineStr">
        <is>
          <t>CH2</t>
        </is>
      </c>
    </row>
    <row r="662">
      <c r="A662" s="33" t="n">
        <v>45724</v>
      </c>
      <c r="B662" t="inlineStr">
        <is>
          <t>2025-03</t>
        </is>
      </c>
      <c r="C662" t="inlineStr">
        <is>
          <t>Sin cliente</t>
        </is>
      </c>
      <c r="D662" t="inlineStr">
        <is>
          <t>PLATAFORMAS RAP-PEYA-UBER-GOOD</t>
        </is>
      </c>
      <c r="E662" s="34" t="n">
        <v>44256</v>
      </c>
      <c r="F662" t="inlineStr">
        <is>
          <t>B</t>
        </is>
      </c>
      <c r="G662" s="34" t="n">
        <v>7066</v>
      </c>
      <c r="H662" s="34" t="n">
        <v>37190</v>
      </c>
      <c r="I662" t="inlineStr">
        <is>
          <t>3.6</t>
        </is>
      </c>
      <c r="J662" t="inlineStr">
        <is>
          <t>Ventas Delivery Apps</t>
        </is>
      </c>
      <c r="K662" t="inlineStr">
        <is>
          <t>CH3</t>
        </is>
      </c>
    </row>
    <row r="663">
      <c r="A663" s="33" t="n">
        <v>45724</v>
      </c>
      <c r="B663" t="inlineStr">
        <is>
          <t>2025-03</t>
        </is>
      </c>
      <c r="C663" t="inlineStr">
        <is>
          <t>Sin cliente</t>
        </is>
      </c>
      <c r="D663" t="inlineStr">
        <is>
          <t>CANELÉ TRADICIONAL</t>
        </is>
      </c>
      <c r="E663" s="34" t="n">
        <v>27800</v>
      </c>
      <c r="F663" t="inlineStr">
        <is>
          <t>B</t>
        </is>
      </c>
      <c r="G663" s="34" t="n">
        <v>4439</v>
      </c>
      <c r="H663" s="34" t="n">
        <v>23361</v>
      </c>
      <c r="I663" t="inlineStr">
        <is>
          <t>3.2</t>
        </is>
      </c>
      <c r="J663" t="inlineStr">
        <is>
          <t>Ventas Personas (B2C)</t>
        </is>
      </c>
      <c r="K663" t="inlineStr">
        <is>
          <t>CH2</t>
        </is>
      </c>
    </row>
    <row r="664">
      <c r="A664" s="33" t="n">
        <v>45724</v>
      </c>
      <c r="B664" t="inlineStr">
        <is>
          <t>2025-03</t>
        </is>
      </c>
      <c r="C664" t="inlineStr">
        <is>
          <t>Sin cliente</t>
        </is>
      </c>
      <c r="D664" t="inlineStr">
        <is>
          <t>PLATAFORMAS RAP-PEYA-UBER-GOOD</t>
        </is>
      </c>
      <c r="E664" s="34" t="n">
        <v>23760</v>
      </c>
      <c r="F664" t="inlineStr">
        <is>
          <t>B</t>
        </is>
      </c>
      <c r="G664" s="34" t="n">
        <v>3794</v>
      </c>
      <c r="H664" s="34" t="n">
        <v>19966</v>
      </c>
      <c r="I664" t="inlineStr">
        <is>
          <t>3.6</t>
        </is>
      </c>
      <c r="J664" t="inlineStr">
        <is>
          <t>Ventas Delivery Apps</t>
        </is>
      </c>
      <c r="K664" t="inlineStr">
        <is>
          <t>CH3</t>
        </is>
      </c>
    </row>
    <row r="665">
      <c r="A665" s="33" t="n">
        <v>45724</v>
      </c>
      <c r="B665" t="inlineStr">
        <is>
          <t>2025-03</t>
        </is>
      </c>
      <c r="C665" t="inlineStr">
        <is>
          <t>Sin cliente</t>
        </is>
      </c>
      <c r="D665" t="inlineStr">
        <is>
          <t>CANELÉ TRADICIONAL</t>
        </is>
      </c>
      <c r="E665" s="34" t="n">
        <v>19800</v>
      </c>
      <c r="F665" t="inlineStr">
        <is>
          <t>B</t>
        </is>
      </c>
      <c r="G665" s="34" t="n">
        <v>3161</v>
      </c>
      <c r="H665" s="34" t="n">
        <v>16639</v>
      </c>
      <c r="I665" t="inlineStr">
        <is>
          <t>3.2</t>
        </is>
      </c>
      <c r="J665" t="inlineStr">
        <is>
          <t>Ventas Personas (B2C)</t>
        </is>
      </c>
      <c r="K665" t="inlineStr">
        <is>
          <t>CH2</t>
        </is>
      </c>
    </row>
    <row r="666">
      <c r="A666" s="33" t="n">
        <v>45726</v>
      </c>
      <c r="B666" t="inlineStr">
        <is>
          <t>2025-03</t>
        </is>
      </c>
      <c r="C666" t="inlineStr">
        <is>
          <t>CAFETERÍA ALTURA LIMITADA</t>
        </is>
      </c>
      <c r="D666" t="inlineStr">
        <is>
          <t>HORECA CAFETERIA</t>
        </is>
      </c>
      <c r="E666" s="34" t="n">
        <v>78870</v>
      </c>
      <c r="F666" t="inlineStr">
        <is>
          <t>F</t>
        </is>
      </c>
      <c r="G666" s="34" t="n">
        <v>12593</v>
      </c>
      <c r="H666" s="34" t="n">
        <v>66277</v>
      </c>
      <c r="I666" t="inlineStr">
        <is>
          <t>3.1</t>
        </is>
      </c>
      <c r="J666" t="inlineStr">
        <is>
          <t>Ventas HoReCa</t>
        </is>
      </c>
      <c r="K666" t="inlineStr">
        <is>
          <t>CH1</t>
        </is>
      </c>
    </row>
    <row r="667">
      <c r="A667" s="33" t="n">
        <v>45726</v>
      </c>
      <c r="B667" t="inlineStr">
        <is>
          <t>2025-03</t>
        </is>
      </c>
      <c r="C667" t="inlineStr">
        <is>
          <t>INVERSIONES Y COMERCIALIZADORA FED LIMITADA</t>
        </is>
      </c>
      <c r="D667" t="inlineStr">
        <is>
          <t>HORECA CAFETERIA</t>
        </is>
      </c>
      <c r="E667" s="34" t="n">
        <v>104830</v>
      </c>
      <c r="F667" t="inlineStr">
        <is>
          <t>F</t>
        </is>
      </c>
      <c r="G667" s="34" t="n">
        <v>16738</v>
      </c>
      <c r="H667" s="34" t="n">
        <v>88092</v>
      </c>
      <c r="I667" t="inlineStr">
        <is>
          <t>3.1</t>
        </is>
      </c>
      <c r="J667" t="inlineStr">
        <is>
          <t>Ventas HoReCa</t>
        </is>
      </c>
      <c r="K667" t="inlineStr">
        <is>
          <t>CH1</t>
        </is>
      </c>
    </row>
    <row r="668">
      <c r="A668" s="33" t="n">
        <v>45726</v>
      </c>
      <c r="B668" t="inlineStr">
        <is>
          <t>2025-03</t>
        </is>
      </c>
      <c r="C668" t="inlineStr">
        <is>
          <t>INVERSIONES Y COMERCIALIZADORA FED LIMITADA</t>
        </is>
      </c>
      <c r="D668" t="inlineStr">
        <is>
          <t>HORECA CAFETERIA</t>
        </is>
      </c>
      <c r="E668" s="34" t="n">
        <v>132297</v>
      </c>
      <c r="F668" t="inlineStr">
        <is>
          <t>F</t>
        </is>
      </c>
      <c r="G668" s="34" t="n">
        <v>21123</v>
      </c>
      <c r="H668" s="34" t="n">
        <v>111174</v>
      </c>
      <c r="I668" t="inlineStr">
        <is>
          <t>3.1</t>
        </is>
      </c>
      <c r="J668" t="inlineStr">
        <is>
          <t>Ventas HoReCa</t>
        </is>
      </c>
      <c r="K668" t="inlineStr">
        <is>
          <t>CH1</t>
        </is>
      </c>
    </row>
    <row r="669">
      <c r="A669" s="33" t="n">
        <v>45726</v>
      </c>
      <c r="B669" t="inlineStr">
        <is>
          <t>2025-03</t>
        </is>
      </c>
      <c r="C669" t="inlineStr">
        <is>
          <t>INVERSIONES Y ASESORIAS RAVAL LIMITADA</t>
        </is>
      </c>
      <c r="D669" t="inlineStr">
        <is>
          <t>HORECA CAFETERIA</t>
        </is>
      </c>
      <c r="E669" s="34" t="n">
        <v>67980</v>
      </c>
      <c r="F669" t="inlineStr">
        <is>
          <t>F</t>
        </is>
      </c>
      <c r="G669" s="34" t="n">
        <v>10854</v>
      </c>
      <c r="H669" s="34" t="n">
        <v>57126</v>
      </c>
      <c r="I669" t="inlineStr">
        <is>
          <t>3.1</t>
        </is>
      </c>
      <c r="J669" t="inlineStr">
        <is>
          <t>Ventas HoReCa</t>
        </is>
      </c>
      <c r="K669" t="inlineStr">
        <is>
          <t>CH1</t>
        </is>
      </c>
    </row>
    <row r="670">
      <c r="A670" s="33" t="n">
        <v>45726</v>
      </c>
      <c r="B670" t="inlineStr">
        <is>
          <t>2025-03</t>
        </is>
      </c>
      <c r="C670" t="inlineStr">
        <is>
          <t>Café del Parque SpA</t>
        </is>
      </c>
      <c r="D670" t="inlineStr">
        <is>
          <t>HORECA CAFETERIA</t>
        </is>
      </c>
      <c r="E670" s="34" t="n">
        <v>37548</v>
      </c>
      <c r="F670" t="inlineStr">
        <is>
          <t>F</t>
        </is>
      </c>
      <c r="G670" s="34" t="n">
        <v>5995</v>
      </c>
      <c r="H670" s="34" t="n">
        <v>31553</v>
      </c>
      <c r="I670" t="inlineStr">
        <is>
          <t>3.1</t>
        </is>
      </c>
      <c r="J670" t="inlineStr">
        <is>
          <t>Ventas HoReCa</t>
        </is>
      </c>
      <c r="K670" t="inlineStr">
        <is>
          <t>CH1</t>
        </is>
      </c>
    </row>
    <row r="671">
      <c r="A671" s="33" t="n">
        <v>45726</v>
      </c>
      <c r="B671" t="inlineStr">
        <is>
          <t>2025-03</t>
        </is>
      </c>
      <c r="C671" t="inlineStr">
        <is>
          <t>POMPON SPA</t>
        </is>
      </c>
      <c r="D671" t="inlineStr">
        <is>
          <t>HORECA CAFETERIA</t>
        </is>
      </c>
      <c r="E671" s="34" t="n">
        <v>265020</v>
      </c>
      <c r="F671" t="inlineStr">
        <is>
          <t>F</t>
        </is>
      </c>
      <c r="G671" s="34" t="n">
        <v>42314</v>
      </c>
      <c r="H671" s="34" t="n">
        <v>222706</v>
      </c>
      <c r="I671" t="inlineStr">
        <is>
          <t>3.1</t>
        </is>
      </c>
      <c r="J671" t="inlineStr">
        <is>
          <t>Ventas HoReCa</t>
        </is>
      </c>
      <c r="K671" t="inlineStr">
        <is>
          <t>CH1</t>
        </is>
      </c>
    </row>
    <row r="672">
      <c r="A672" s="33" t="n">
        <v>45726</v>
      </c>
      <c r="B672" t="inlineStr">
        <is>
          <t>2025-03</t>
        </is>
      </c>
      <c r="C672" t="inlineStr">
        <is>
          <t>Sin cliente</t>
        </is>
      </c>
      <c r="D672" t="inlineStr">
        <is>
          <t>CANELÉ TRADICIONAL</t>
        </is>
      </c>
      <c r="E672" s="34" t="n">
        <v>19800</v>
      </c>
      <c r="F672" t="inlineStr">
        <is>
          <t>B</t>
        </is>
      </c>
      <c r="G672" s="34" t="n">
        <v>3161</v>
      </c>
      <c r="H672" s="34" t="n">
        <v>16639</v>
      </c>
      <c r="I672" t="inlineStr">
        <is>
          <t>3.2</t>
        </is>
      </c>
      <c r="J672" t="inlineStr">
        <is>
          <t>Ventas Personas (B2C)</t>
        </is>
      </c>
      <c r="K672" t="inlineStr">
        <is>
          <t>CH2</t>
        </is>
      </c>
    </row>
    <row r="673">
      <c r="A673" s="33" t="n">
        <v>45726</v>
      </c>
      <c r="B673" t="inlineStr">
        <is>
          <t>2025-03</t>
        </is>
      </c>
      <c r="C673" t="inlineStr">
        <is>
          <t>Jose Antonio Guzman Azzernoli</t>
        </is>
      </c>
      <c r="D673" t="inlineStr">
        <is>
          <t>CANELÉ TRADICIONAL</t>
        </is>
      </c>
      <c r="E673" s="34" t="n">
        <v>15499</v>
      </c>
      <c r="F673" t="inlineStr">
        <is>
          <t>B</t>
        </is>
      </c>
      <c r="G673" s="34" t="n">
        <v>2475</v>
      </c>
      <c r="H673" s="34" t="n">
        <v>13024</v>
      </c>
      <c r="I673" t="inlineStr">
        <is>
          <t>3.2</t>
        </is>
      </c>
      <c r="J673" t="inlineStr">
        <is>
          <t>Ventas Personas (B2C)</t>
        </is>
      </c>
      <c r="K673" t="inlineStr">
        <is>
          <t>CH2</t>
        </is>
      </c>
    </row>
    <row r="674">
      <c r="A674" s="33" t="n">
        <v>45726</v>
      </c>
      <c r="B674" t="inlineStr">
        <is>
          <t>2025-03</t>
        </is>
      </c>
      <c r="C674" t="inlineStr">
        <is>
          <t>Raquel Donskoy</t>
        </is>
      </c>
      <c r="D674" t="inlineStr">
        <is>
          <t>CANELÉ TRADICIONAL</t>
        </is>
      </c>
      <c r="E674" s="34" t="n">
        <v>19999</v>
      </c>
      <c r="F674" t="inlineStr">
        <is>
          <t>B</t>
        </is>
      </c>
      <c r="G674" s="34" t="n">
        <v>3193</v>
      </c>
      <c r="H674" s="34" t="n">
        <v>16806</v>
      </c>
      <c r="I674" t="inlineStr">
        <is>
          <t>3.2</t>
        </is>
      </c>
      <c r="J674" t="inlineStr">
        <is>
          <t>Ventas Personas (B2C)</t>
        </is>
      </c>
      <c r="K674" t="inlineStr">
        <is>
          <t>CH2</t>
        </is>
      </c>
    </row>
    <row r="675">
      <c r="A675" s="33" t="n">
        <v>45726</v>
      </c>
      <c r="B675" t="inlineStr">
        <is>
          <t>2025-03</t>
        </is>
      </c>
      <c r="C675" t="inlineStr">
        <is>
          <t>RC BANQUETERIA SPA</t>
        </is>
      </c>
      <c r="D675" t="inlineStr">
        <is>
          <t>HORECA CATERING</t>
        </is>
      </c>
      <c r="E675" s="34" t="n">
        <v>50222</v>
      </c>
      <c r="F675" t="inlineStr">
        <is>
          <t>F</t>
        </is>
      </c>
      <c r="G675" s="34" t="n">
        <v>8019</v>
      </c>
      <c r="H675" s="34" t="n">
        <v>42203</v>
      </c>
      <c r="I675" t="inlineStr">
        <is>
          <t>3.1</t>
        </is>
      </c>
      <c r="J675" t="inlineStr">
        <is>
          <t>Ventas HoReCa</t>
        </is>
      </c>
      <c r="K675" t="inlineStr">
        <is>
          <t>CH1</t>
        </is>
      </c>
    </row>
    <row r="676">
      <c r="A676" s="33" t="n">
        <v>45726</v>
      </c>
      <c r="B676" t="inlineStr">
        <is>
          <t>2025-03</t>
        </is>
      </c>
      <c r="C676" t="inlineStr">
        <is>
          <t>Andrea Guzmán</t>
        </is>
      </c>
      <c r="D676" t="inlineStr">
        <is>
          <t>Petit Tradicional</t>
        </is>
      </c>
      <c r="E676" s="34" t="n">
        <v>14789</v>
      </c>
      <c r="F676" t="inlineStr">
        <is>
          <t>B</t>
        </is>
      </c>
      <c r="G676" s="34" t="n">
        <v>2361</v>
      </c>
      <c r="H676" s="34" t="n">
        <v>12428</v>
      </c>
      <c r="I676" t="inlineStr">
        <is>
          <t>3.2</t>
        </is>
      </c>
      <c r="J676" t="inlineStr">
        <is>
          <t>Ventas Personas (B2C)</t>
        </is>
      </c>
      <c r="K676" t="inlineStr">
        <is>
          <t>CH2</t>
        </is>
      </c>
    </row>
    <row r="677">
      <c r="A677" s="33" t="n">
        <v>45726</v>
      </c>
      <c r="B677" t="inlineStr">
        <is>
          <t>2025-03</t>
        </is>
      </c>
      <c r="C677" t="inlineStr">
        <is>
          <t>Sin cliente</t>
        </is>
      </c>
      <c r="D677" t="inlineStr">
        <is>
          <t>PLATAFORMAS RAP-PEYA-UBER-GOOD</t>
        </is>
      </c>
      <c r="E677" s="34" t="n">
        <v>16680</v>
      </c>
      <c r="F677" t="inlineStr">
        <is>
          <t>B</t>
        </is>
      </c>
      <c r="G677" s="34" t="n">
        <v>2663</v>
      </c>
      <c r="H677" s="34" t="n">
        <v>14017</v>
      </c>
      <c r="I677" t="inlineStr">
        <is>
          <t>3.6</t>
        </is>
      </c>
      <c r="J677" t="inlineStr">
        <is>
          <t>Ventas Delivery Apps</t>
        </is>
      </c>
      <c r="K677" t="inlineStr">
        <is>
          <t>CH3</t>
        </is>
      </c>
    </row>
    <row r="678">
      <c r="A678" s="33" t="n">
        <v>45726</v>
      </c>
      <c r="B678" t="inlineStr">
        <is>
          <t>2025-03</t>
        </is>
      </c>
      <c r="C678" t="inlineStr">
        <is>
          <t>Sin cliente</t>
        </is>
      </c>
      <c r="D678" t="inlineStr">
        <is>
          <t>Petit Tradicional</t>
        </is>
      </c>
      <c r="E678" s="34" t="n">
        <v>15800</v>
      </c>
      <c r="F678" t="inlineStr">
        <is>
          <t>B</t>
        </is>
      </c>
      <c r="G678" s="34" t="n">
        <v>2523</v>
      </c>
      <c r="H678" s="34" t="n">
        <v>13277</v>
      </c>
      <c r="I678" t="inlineStr">
        <is>
          <t>3.2</t>
        </is>
      </c>
      <c r="J678" t="inlineStr">
        <is>
          <t>Ventas Personas (B2C)</t>
        </is>
      </c>
      <c r="K678" t="inlineStr">
        <is>
          <t>CH2</t>
        </is>
      </c>
    </row>
    <row r="679">
      <c r="A679" s="33" t="n">
        <v>45726</v>
      </c>
      <c r="B679" t="inlineStr">
        <is>
          <t>2025-03</t>
        </is>
      </c>
      <c r="C679" t="inlineStr">
        <is>
          <t>Sin cliente</t>
        </is>
      </c>
      <c r="D679" t="inlineStr">
        <is>
          <t>PLATAFORMAS RAP-PEYA-UBER-GOOD</t>
        </is>
      </c>
      <c r="E679" s="34" t="n">
        <v>12960</v>
      </c>
      <c r="F679" t="inlineStr">
        <is>
          <t>B</t>
        </is>
      </c>
      <c r="G679" s="34" t="n">
        <v>2069</v>
      </c>
      <c r="H679" s="34" t="n">
        <v>10891</v>
      </c>
      <c r="I679" t="inlineStr">
        <is>
          <t>3.6</t>
        </is>
      </c>
      <c r="J679" t="inlineStr">
        <is>
          <t>Ventas Delivery Apps</t>
        </is>
      </c>
      <c r="K679" t="inlineStr">
        <is>
          <t>CH3</t>
        </is>
      </c>
    </row>
    <row r="680">
      <c r="A680" s="33" t="n">
        <v>45727</v>
      </c>
      <c r="B680" t="inlineStr">
        <is>
          <t>2025-03</t>
        </is>
      </c>
      <c r="C680" t="inlineStr">
        <is>
          <t>Inversiones Nagua SPA</t>
        </is>
      </c>
      <c r="D680" t="inlineStr">
        <is>
          <t>HORECA CAFETERIA</t>
        </is>
      </c>
      <c r="E680" s="34" t="n">
        <v>63990</v>
      </c>
      <c r="F680" t="inlineStr">
        <is>
          <t>F</t>
        </is>
      </c>
      <c r="G680" s="34" t="n">
        <v>10217</v>
      </c>
      <c r="H680" s="34" t="n">
        <v>53773</v>
      </c>
      <c r="I680" t="inlineStr">
        <is>
          <t>3.1</t>
        </is>
      </c>
      <c r="J680" t="inlineStr">
        <is>
          <t>Ventas HoReCa</t>
        </is>
      </c>
      <c r="K680" t="inlineStr">
        <is>
          <t>CH1</t>
        </is>
      </c>
    </row>
    <row r="681">
      <c r="A681" s="33" t="n">
        <v>45727</v>
      </c>
      <c r="B681" t="inlineStr">
        <is>
          <t>2025-03</t>
        </is>
      </c>
      <c r="C681" t="inlineStr">
        <is>
          <t>Quintana&amp;Rivera SpA</t>
        </is>
      </c>
      <c r="D681" t="inlineStr">
        <is>
          <t>HORECA CAFETERIA</t>
        </is>
      </c>
      <c r="E681" s="34" t="n">
        <v>64990</v>
      </c>
      <c r="F681" t="inlineStr">
        <is>
          <t>F</t>
        </is>
      </c>
      <c r="G681" s="34" t="n">
        <v>10377</v>
      </c>
      <c r="H681" s="34" t="n">
        <v>54613</v>
      </c>
      <c r="I681" t="inlineStr">
        <is>
          <t>3.1</t>
        </is>
      </c>
      <c r="J681" t="inlineStr">
        <is>
          <t>Ventas HoReCa</t>
        </is>
      </c>
      <c r="K681" t="inlineStr">
        <is>
          <t>CH1</t>
        </is>
      </c>
    </row>
    <row r="682">
      <c r="A682" s="33" t="n">
        <v>45727</v>
      </c>
      <c r="B682" t="inlineStr">
        <is>
          <t>2025-03</t>
        </is>
      </c>
      <c r="C682" t="inlineStr">
        <is>
          <t>Café Popular SpA</t>
        </is>
      </c>
      <c r="D682" t="inlineStr">
        <is>
          <t>HORECA CAFETERIA</t>
        </is>
      </c>
      <c r="E682" s="34" t="n">
        <v>178711</v>
      </c>
      <c r="F682" t="inlineStr">
        <is>
          <t>F</t>
        </is>
      </c>
      <c r="G682" s="34" t="n">
        <v>28534</v>
      </c>
      <c r="H682" s="34" t="n">
        <v>150177</v>
      </c>
      <c r="I682" t="inlineStr">
        <is>
          <t>3.1</t>
        </is>
      </c>
      <c r="J682" t="inlineStr">
        <is>
          <t>Ventas HoReCa</t>
        </is>
      </c>
      <c r="K682" t="inlineStr">
        <is>
          <t>CH1</t>
        </is>
      </c>
    </row>
    <row r="683">
      <c r="A683" s="33" t="n">
        <v>45727</v>
      </c>
      <c r="B683" t="inlineStr">
        <is>
          <t>2025-03</t>
        </is>
      </c>
      <c r="C683" t="inlineStr">
        <is>
          <t>Eduardo Jose Spencer Eckart Spa</t>
        </is>
      </c>
      <c r="D683" t="inlineStr">
        <is>
          <t>HORECA CAFETERIA</t>
        </is>
      </c>
      <c r="E683" s="34" t="n">
        <v>63990</v>
      </c>
      <c r="F683" t="inlineStr">
        <is>
          <t>F</t>
        </is>
      </c>
      <c r="G683" s="34" t="n">
        <v>10217</v>
      </c>
      <c r="H683" s="34" t="n">
        <v>53773</v>
      </c>
      <c r="I683" t="inlineStr">
        <is>
          <t>3.1</t>
        </is>
      </c>
      <c r="J683" t="inlineStr">
        <is>
          <t>Ventas HoReCa</t>
        </is>
      </c>
      <c r="K683" t="inlineStr">
        <is>
          <t>CH1</t>
        </is>
      </c>
    </row>
    <row r="684">
      <c r="A684" s="33" t="n">
        <v>45727</v>
      </c>
      <c r="B684" t="inlineStr">
        <is>
          <t>2025-03</t>
        </is>
      </c>
      <c r="C684" t="inlineStr">
        <is>
          <t>BOCCADOS SPA</t>
        </is>
      </c>
      <c r="D684" t="inlineStr">
        <is>
          <t>HORECA CATERING</t>
        </is>
      </c>
      <c r="E684" s="34" t="n">
        <v>66045</v>
      </c>
      <c r="F684" t="inlineStr">
        <is>
          <t>F</t>
        </is>
      </c>
      <c r="G684" s="34" t="n">
        <v>10545</v>
      </c>
      <c r="H684" s="34" t="n">
        <v>55500</v>
      </c>
      <c r="I684" t="inlineStr">
        <is>
          <t>3.1</t>
        </is>
      </c>
      <c r="J684" t="inlineStr">
        <is>
          <t>Ventas HoReCa</t>
        </is>
      </c>
      <c r="K684" t="inlineStr">
        <is>
          <t>CH1</t>
        </is>
      </c>
    </row>
    <row r="685">
      <c r="A685" s="33" t="n">
        <v>45727</v>
      </c>
      <c r="B685" t="inlineStr">
        <is>
          <t>2025-03</t>
        </is>
      </c>
      <c r="C685" t="inlineStr">
        <is>
          <t>Andrea Padilla Diaz</t>
        </is>
      </c>
      <c r="D685" t="inlineStr">
        <is>
          <t>Petit Tradicional</t>
        </is>
      </c>
      <c r="E685" s="34" t="n">
        <v>20900</v>
      </c>
      <c r="F685" t="inlineStr">
        <is>
          <t>B</t>
        </is>
      </c>
      <c r="G685" s="34" t="n">
        <v>3337</v>
      </c>
      <c r="H685" s="34" t="n">
        <v>17563</v>
      </c>
      <c r="I685" t="inlineStr">
        <is>
          <t>3.2</t>
        </is>
      </c>
      <c r="J685" t="inlineStr">
        <is>
          <t>Ventas Personas (B2C)</t>
        </is>
      </c>
      <c r="K685" t="inlineStr">
        <is>
          <t>CH2</t>
        </is>
      </c>
    </row>
    <row r="686">
      <c r="A686" s="33" t="n">
        <v>45727</v>
      </c>
      <c r="B686" t="inlineStr">
        <is>
          <t>2025-03</t>
        </is>
      </c>
      <c r="C686" t="inlineStr">
        <is>
          <t>Sin cliente</t>
        </is>
      </c>
      <c r="D686" t="inlineStr">
        <is>
          <t>REGION METROPOLITANA</t>
        </is>
      </c>
      <c r="E686" s="34" t="n">
        <v>3990</v>
      </c>
      <c r="F686" t="inlineStr">
        <is>
          <t>B</t>
        </is>
      </c>
      <c r="G686" s="34" t="n">
        <v>637</v>
      </c>
      <c r="H686" s="34" t="n">
        <v>3353</v>
      </c>
      <c r="I686" t="inlineStr">
        <is>
          <t>3.2</t>
        </is>
      </c>
      <c r="J686" t="inlineStr">
        <is>
          <t>Ventas Personas (B2C)</t>
        </is>
      </c>
      <c r="K686" t="inlineStr">
        <is>
          <t>CH2</t>
        </is>
      </c>
    </row>
    <row r="687">
      <c r="A687" s="33" t="n">
        <v>45727</v>
      </c>
      <c r="B687" t="inlineStr">
        <is>
          <t>2025-03</t>
        </is>
      </c>
      <c r="C687" t="inlineStr">
        <is>
          <t>Inversiones Café Dominicos SpA</t>
        </is>
      </c>
      <c r="D687" t="inlineStr">
        <is>
          <t xml:space="preserve">THE COFFEE STORE </t>
        </is>
      </c>
      <c r="E687" s="34" t="n">
        <v>36977</v>
      </c>
      <c r="F687" t="inlineStr">
        <is>
          <t>F</t>
        </is>
      </c>
      <c r="G687" s="34" t="n">
        <v>5904</v>
      </c>
      <c r="H687" s="34" t="n">
        <v>31073</v>
      </c>
      <c r="I687" t="inlineStr">
        <is>
          <t>3.1</t>
        </is>
      </c>
      <c r="J687" t="inlineStr">
        <is>
          <t>Ventas HoReCa</t>
        </is>
      </c>
      <c r="K687" t="inlineStr">
        <is>
          <t>CH1</t>
        </is>
      </c>
    </row>
    <row r="688">
      <c r="A688" s="33" t="n">
        <v>45727</v>
      </c>
      <c r="B688" t="inlineStr">
        <is>
          <t>2025-03</t>
        </is>
      </c>
      <c r="C688" t="inlineStr">
        <is>
          <t>BUSTORF LARSEN Y COMPANIA LIMITADA</t>
        </is>
      </c>
      <c r="D688" t="inlineStr">
        <is>
          <t>HORECA CAFETERIA</t>
        </is>
      </c>
      <c r="E688" s="34" t="n">
        <v>64990</v>
      </c>
      <c r="F688" t="inlineStr">
        <is>
          <t>F</t>
        </is>
      </c>
      <c r="G688" s="34" t="n">
        <v>10377</v>
      </c>
      <c r="H688" s="34" t="n">
        <v>54613</v>
      </c>
      <c r="I688" t="inlineStr">
        <is>
          <t>3.1</t>
        </is>
      </c>
      <c r="J688" t="inlineStr">
        <is>
          <t>Ventas HoReCa</t>
        </is>
      </c>
      <c r="K688" t="inlineStr">
        <is>
          <t>CH1</t>
        </is>
      </c>
    </row>
    <row r="689">
      <c r="A689" s="33" t="n">
        <v>45727</v>
      </c>
      <c r="B689" t="inlineStr">
        <is>
          <t>2025-03</t>
        </is>
      </c>
      <c r="C689" t="inlineStr">
        <is>
          <t>María Laura Ballotta</t>
        </is>
      </c>
      <c r="D689" t="inlineStr">
        <is>
          <t>Petit Crunchy</t>
        </is>
      </c>
      <c r="E689" s="34" t="n">
        <v>39890</v>
      </c>
      <c r="F689" t="inlineStr">
        <is>
          <t>B</t>
        </is>
      </c>
      <c r="G689" s="34" t="n">
        <v>6369</v>
      </c>
      <c r="H689" s="34" t="n">
        <v>33521</v>
      </c>
      <c r="I689" t="inlineStr">
        <is>
          <t>3.2</t>
        </is>
      </c>
      <c r="J689" t="inlineStr">
        <is>
          <t>Ventas Personas (B2C)</t>
        </is>
      </c>
      <c r="K689" t="inlineStr">
        <is>
          <t>CH2</t>
        </is>
      </c>
    </row>
    <row r="690">
      <c r="A690" s="33" t="n">
        <v>45727</v>
      </c>
      <c r="B690" t="inlineStr">
        <is>
          <t>2025-03</t>
        </is>
      </c>
      <c r="C690" t="inlineStr">
        <is>
          <t>Sin cliente</t>
        </is>
      </c>
      <c r="D690" t="inlineStr">
        <is>
          <t>CANELÉ TRADICIONAL</t>
        </is>
      </c>
      <c r="E690" s="34" t="n">
        <v>11120</v>
      </c>
      <c r="F690" t="inlineStr">
        <is>
          <t>B</t>
        </is>
      </c>
      <c r="G690" s="34" t="n">
        <v>1775</v>
      </c>
      <c r="H690" s="34" t="n">
        <v>9345</v>
      </c>
      <c r="I690" t="inlineStr">
        <is>
          <t>3.2</t>
        </is>
      </c>
      <c r="J690" t="inlineStr">
        <is>
          <t>Ventas Personas (B2C)</t>
        </is>
      </c>
      <c r="K690" t="inlineStr">
        <is>
          <t>CH2</t>
        </is>
      </c>
    </row>
    <row r="691">
      <c r="A691" s="33" t="n">
        <v>45727</v>
      </c>
      <c r="B691" t="inlineStr">
        <is>
          <t>2025-03</t>
        </is>
      </c>
      <c r="C691" t="inlineStr">
        <is>
          <t>Sin cliente</t>
        </is>
      </c>
      <c r="D691" t="inlineStr">
        <is>
          <t>CANELÉ TRADICIONAL</t>
        </is>
      </c>
      <c r="E691" s="34" t="n">
        <v>13900</v>
      </c>
      <c r="F691" t="inlineStr">
        <is>
          <t>B</t>
        </is>
      </c>
      <c r="G691" s="34" t="n">
        <v>2219</v>
      </c>
      <c r="H691" s="34" t="n">
        <v>11681</v>
      </c>
      <c r="I691" t="inlineStr">
        <is>
          <t>3.2</t>
        </is>
      </c>
      <c r="J691" t="inlineStr">
        <is>
          <t>Ventas Personas (B2C)</t>
        </is>
      </c>
      <c r="K691" t="inlineStr">
        <is>
          <t>CH2</t>
        </is>
      </c>
    </row>
    <row r="692">
      <c r="A692" s="33" t="n">
        <v>45727</v>
      </c>
      <c r="B692" t="inlineStr">
        <is>
          <t>2025-03</t>
        </is>
      </c>
      <c r="C692" t="inlineStr">
        <is>
          <t>Sin cliente</t>
        </is>
      </c>
      <c r="D692" t="inlineStr">
        <is>
          <t>Petit Tradicional</t>
        </is>
      </c>
      <c r="E692" s="34" t="n">
        <v>10800</v>
      </c>
      <c r="F692" t="inlineStr">
        <is>
          <t>B</t>
        </is>
      </c>
      <c r="G692" s="34" t="n">
        <v>1724</v>
      </c>
      <c r="H692" s="34" t="n">
        <v>9076</v>
      </c>
      <c r="I692" t="inlineStr">
        <is>
          <t>3.2</t>
        </is>
      </c>
      <c r="J692" t="inlineStr">
        <is>
          <t>Ventas Personas (B2C)</t>
        </is>
      </c>
      <c r="K692" t="inlineStr">
        <is>
          <t>CH2</t>
        </is>
      </c>
    </row>
    <row r="693">
      <c r="A693" s="33" t="n">
        <v>45728</v>
      </c>
      <c r="B693" t="inlineStr">
        <is>
          <t>2025-03</t>
        </is>
      </c>
      <c r="C693" t="inlineStr">
        <is>
          <t>POMPON SPA</t>
        </is>
      </c>
      <c r="D693" t="inlineStr">
        <is>
          <t>HORECA CAFETERIA</t>
        </is>
      </c>
      <c r="E693" s="34" t="n">
        <v>155890</v>
      </c>
      <c r="F693" t="inlineStr">
        <is>
          <t>F</t>
        </is>
      </c>
      <c r="G693" s="34" t="n">
        <v>24890</v>
      </c>
      <c r="H693" s="34" t="n">
        <v>131000</v>
      </c>
      <c r="I693" t="inlineStr">
        <is>
          <t>3.1</t>
        </is>
      </c>
      <c r="J693" t="inlineStr">
        <is>
          <t>Ventas HoReCa</t>
        </is>
      </c>
      <c r="K693" t="inlineStr">
        <is>
          <t>CH1</t>
        </is>
      </c>
    </row>
    <row r="694">
      <c r="A694" s="33" t="n">
        <v>45728</v>
      </c>
      <c r="B694" t="inlineStr">
        <is>
          <t>2025-03</t>
        </is>
      </c>
      <c r="C694" t="inlineStr">
        <is>
          <t>CAFE DIARIO ENCOMENDEROS SPA</t>
        </is>
      </c>
      <c r="D694" t="inlineStr">
        <is>
          <t>HORECA CAFETERIA</t>
        </is>
      </c>
      <c r="E694" s="34" t="n">
        <v>58611</v>
      </c>
      <c r="F694" t="inlineStr">
        <is>
          <t>F</t>
        </is>
      </c>
      <c r="G694" s="34" t="n">
        <v>9358</v>
      </c>
      <c r="H694" s="34" t="n">
        <v>49253</v>
      </c>
      <c r="I694" t="inlineStr">
        <is>
          <t>3.1</t>
        </is>
      </c>
      <c r="J694" t="inlineStr">
        <is>
          <t>Ventas HoReCa</t>
        </is>
      </c>
      <c r="K694" t="inlineStr">
        <is>
          <t>CH1</t>
        </is>
      </c>
    </row>
    <row r="695">
      <c r="A695" s="33" t="n">
        <v>45728</v>
      </c>
      <c r="B695" t="inlineStr">
        <is>
          <t>2025-03</t>
        </is>
      </c>
      <c r="C695" t="inlineStr">
        <is>
          <t>constanza castelblanco</t>
        </is>
      </c>
      <c r="D695" t="inlineStr">
        <is>
          <t>Petit Crunchy</t>
        </is>
      </c>
      <c r="E695" s="34" t="n">
        <v>30890</v>
      </c>
      <c r="F695" t="inlineStr">
        <is>
          <t>B</t>
        </is>
      </c>
      <c r="G695" s="34" t="n">
        <v>4932</v>
      </c>
      <c r="H695" s="34" t="n">
        <v>25958</v>
      </c>
      <c r="I695" t="inlineStr">
        <is>
          <t>3.2</t>
        </is>
      </c>
      <c r="J695" t="inlineStr">
        <is>
          <t>Ventas Personas (B2C)</t>
        </is>
      </c>
      <c r="K695" t="inlineStr">
        <is>
          <t>CH2</t>
        </is>
      </c>
    </row>
    <row r="696">
      <c r="A696" s="33" t="n">
        <v>45728</v>
      </c>
      <c r="B696" t="inlineStr">
        <is>
          <t>2025-03</t>
        </is>
      </c>
      <c r="C696" t="inlineStr">
        <is>
          <t>Sin cliente</t>
        </is>
      </c>
      <c r="D696" t="inlineStr">
        <is>
          <t>CANELÉ TRADICIONAL</t>
        </is>
      </c>
      <c r="E696" s="34" t="n">
        <v>19800</v>
      </c>
      <c r="F696" t="inlineStr">
        <is>
          <t>B</t>
        </is>
      </c>
      <c r="G696" s="34" t="n">
        <v>3161</v>
      </c>
      <c r="H696" s="34" t="n">
        <v>16639</v>
      </c>
      <c r="I696" t="inlineStr">
        <is>
          <t>3.2</t>
        </is>
      </c>
      <c r="J696" t="inlineStr">
        <is>
          <t>Ventas Personas (B2C)</t>
        </is>
      </c>
      <c r="K696" t="inlineStr">
        <is>
          <t>CH2</t>
        </is>
      </c>
    </row>
    <row r="697">
      <c r="A697" s="33" t="n">
        <v>45728</v>
      </c>
      <c r="B697" t="inlineStr">
        <is>
          <t>2025-03</t>
        </is>
      </c>
      <c r="C697" t="inlineStr">
        <is>
          <t>Sin cliente</t>
        </is>
      </c>
      <c r="D697" t="inlineStr">
        <is>
          <t>Petit Tradicional</t>
        </is>
      </c>
      <c r="E697" s="34" t="n">
        <v>21600</v>
      </c>
      <c r="F697" t="inlineStr">
        <is>
          <t>B</t>
        </is>
      </c>
      <c r="G697" s="34" t="n">
        <v>3449</v>
      </c>
      <c r="H697" s="34" t="n">
        <v>18151</v>
      </c>
      <c r="I697" t="inlineStr">
        <is>
          <t>3.2</t>
        </is>
      </c>
      <c r="J697" t="inlineStr">
        <is>
          <t>Ventas Personas (B2C)</t>
        </is>
      </c>
      <c r="K697" t="inlineStr">
        <is>
          <t>CH2</t>
        </is>
      </c>
    </row>
    <row r="698">
      <c r="A698" s="33" t="n">
        <v>45728</v>
      </c>
      <c r="B698" t="inlineStr">
        <is>
          <t>2025-03</t>
        </is>
      </c>
      <c r="C698" t="inlineStr">
        <is>
          <t>BLUE OAK COFFE SPA</t>
        </is>
      </c>
      <c r="D698" t="inlineStr">
        <is>
          <t>HORECA CAFETERIA</t>
        </is>
      </c>
      <c r="E698" s="34" t="n">
        <v>33488</v>
      </c>
      <c r="F698" t="inlineStr">
        <is>
          <t>F</t>
        </is>
      </c>
      <c r="G698" s="34" t="n">
        <v>5347</v>
      </c>
      <c r="H698" s="34" t="n">
        <v>28141</v>
      </c>
      <c r="I698" t="inlineStr">
        <is>
          <t>3.1</t>
        </is>
      </c>
      <c r="J698" t="inlineStr">
        <is>
          <t>Ventas HoReCa</t>
        </is>
      </c>
      <c r="K698" t="inlineStr">
        <is>
          <t>CH1</t>
        </is>
      </c>
    </row>
    <row r="699">
      <c r="A699" s="33" t="n">
        <v>45728</v>
      </c>
      <c r="B699" t="inlineStr">
        <is>
          <t>2025-03</t>
        </is>
      </c>
      <c r="C699" t="inlineStr">
        <is>
          <t>RICO SPA</t>
        </is>
      </c>
      <c r="D699" t="inlineStr">
        <is>
          <t>HORECA CATERING</t>
        </is>
      </c>
      <c r="E699" s="34" t="n">
        <v>96640</v>
      </c>
      <c r="F699" t="inlineStr">
        <is>
          <t>F</t>
        </is>
      </c>
      <c r="G699" s="34" t="n">
        <v>15430</v>
      </c>
      <c r="H699" s="34" t="n">
        <v>81210</v>
      </c>
      <c r="I699" t="inlineStr">
        <is>
          <t>3.1</t>
        </is>
      </c>
      <c r="J699" t="inlineStr">
        <is>
          <t>Ventas HoReCa</t>
        </is>
      </c>
      <c r="K699" t="inlineStr">
        <is>
          <t>CH1</t>
        </is>
      </c>
    </row>
    <row r="700">
      <c r="A700" s="33" t="n">
        <v>45728</v>
      </c>
      <c r="B700" t="inlineStr">
        <is>
          <t>2025-03</t>
        </is>
      </c>
      <c r="C700" t="inlineStr">
        <is>
          <t>GALVEZ Y HEUSSER SPA</t>
        </is>
      </c>
      <c r="D700" t="inlineStr">
        <is>
          <t>HORECA CATERING</t>
        </is>
      </c>
      <c r="E700" s="34" t="n">
        <v>302490</v>
      </c>
      <c r="F700" t="inlineStr">
        <is>
          <t>F</t>
        </is>
      </c>
      <c r="G700" s="34" t="n">
        <v>48297</v>
      </c>
      <c r="H700" s="34" t="n">
        <v>254193</v>
      </c>
      <c r="I700" t="inlineStr">
        <is>
          <t>3.1</t>
        </is>
      </c>
      <c r="J700" t="inlineStr">
        <is>
          <t>Ventas HoReCa</t>
        </is>
      </c>
      <c r="K700" t="inlineStr">
        <is>
          <t>CH1</t>
        </is>
      </c>
    </row>
    <row r="701">
      <c r="A701" s="33" t="n">
        <v>45728</v>
      </c>
      <c r="B701" t="inlineStr">
        <is>
          <t>2025-03</t>
        </is>
      </c>
      <c r="C701" t="inlineStr">
        <is>
          <t>DIEGO VARGAS BANQUETERIA Y EVENTOS SPA</t>
        </is>
      </c>
      <c r="D701" t="inlineStr">
        <is>
          <t>HORECA CATERING</t>
        </is>
      </c>
      <c r="E701" s="34" t="n">
        <v>250130</v>
      </c>
      <c r="F701" t="inlineStr">
        <is>
          <t>F</t>
        </is>
      </c>
      <c r="G701" s="34" t="n">
        <v>39937</v>
      </c>
      <c r="H701" s="34" t="n">
        <v>210193</v>
      </c>
      <c r="I701" t="inlineStr">
        <is>
          <t>3.1</t>
        </is>
      </c>
      <c r="J701" t="inlineStr">
        <is>
          <t>Ventas HoReCa</t>
        </is>
      </c>
      <c r="K701" t="inlineStr">
        <is>
          <t>CH1</t>
        </is>
      </c>
    </row>
    <row r="702">
      <c r="A702" s="33" t="n">
        <v>45728</v>
      </c>
      <c r="B702" t="inlineStr">
        <is>
          <t>2025-03</t>
        </is>
      </c>
      <c r="C702" t="inlineStr">
        <is>
          <t>VILAS BANQUETERIAS SPA</t>
        </is>
      </c>
      <c r="D702" t="inlineStr">
        <is>
          <t>HORECA CATERING</t>
        </is>
      </c>
      <c r="E702" s="34" t="n">
        <v>226758</v>
      </c>
      <c r="F702" t="inlineStr">
        <is>
          <t>F</t>
        </is>
      </c>
      <c r="G702" s="34" t="n">
        <v>36205</v>
      </c>
      <c r="H702" s="34" t="n">
        <v>190553</v>
      </c>
      <c r="I702" t="inlineStr">
        <is>
          <t>3.1</t>
        </is>
      </c>
      <c r="J702" t="inlineStr">
        <is>
          <t>Ventas HoReCa</t>
        </is>
      </c>
      <c r="K702" t="inlineStr">
        <is>
          <t>CH1</t>
        </is>
      </c>
    </row>
    <row r="703">
      <c r="A703" s="33" t="n">
        <v>45728</v>
      </c>
      <c r="B703" t="inlineStr">
        <is>
          <t>2025-03</t>
        </is>
      </c>
      <c r="C703" t="inlineStr">
        <is>
          <t>D&amp;S SERVICIOS DE ALIMENTACIÓN SpA</t>
        </is>
      </c>
      <c r="D703" t="inlineStr">
        <is>
          <t xml:space="preserve">THE COFFEE STORE </t>
        </is>
      </c>
      <c r="E703" s="34" t="n">
        <v>37977</v>
      </c>
      <c r="F703" t="inlineStr">
        <is>
          <t>F</t>
        </is>
      </c>
      <c r="G703" s="34" t="n">
        <v>6064</v>
      </c>
      <c r="H703" s="34" t="n">
        <v>31913</v>
      </c>
      <c r="I703" t="inlineStr">
        <is>
          <t>3.1</t>
        </is>
      </c>
      <c r="J703" t="inlineStr">
        <is>
          <t>Ventas HoReCa</t>
        </is>
      </c>
      <c r="K703" t="inlineStr">
        <is>
          <t>CH1</t>
        </is>
      </c>
    </row>
    <row r="704">
      <c r="A704" s="33" t="n">
        <v>45729</v>
      </c>
      <c r="B704" t="inlineStr">
        <is>
          <t>2025-03</t>
        </is>
      </c>
      <c r="C704" t="inlineStr">
        <is>
          <t>Better Food Spa</t>
        </is>
      </c>
      <c r="D704" t="inlineStr">
        <is>
          <t>HORECA CAFETERIA</t>
        </is>
      </c>
      <c r="E704" s="34" t="n">
        <v>59976</v>
      </c>
      <c r="F704" t="inlineStr">
        <is>
          <t>F</t>
        </is>
      </c>
      <c r="G704" s="34" t="n">
        <v>9576</v>
      </c>
      <c r="H704" s="34" t="n">
        <v>50400</v>
      </c>
      <c r="I704" t="inlineStr">
        <is>
          <t>3.1</t>
        </is>
      </c>
      <c r="J704" t="inlineStr">
        <is>
          <t>Ventas HoReCa</t>
        </is>
      </c>
      <c r="K704" t="inlineStr">
        <is>
          <t>CH1</t>
        </is>
      </c>
    </row>
    <row r="705">
      <c r="A705" s="33" t="n">
        <v>45729</v>
      </c>
      <c r="B705" t="inlineStr">
        <is>
          <t>2025-03</t>
        </is>
      </c>
      <c r="C705" t="inlineStr">
        <is>
          <t>Sin cliente</t>
        </is>
      </c>
      <c r="D705" t="inlineStr">
        <is>
          <t>CANELÉ TRADICIONAL</t>
        </is>
      </c>
      <c r="E705" s="34" t="n">
        <v>13900</v>
      </c>
      <c r="F705" t="inlineStr">
        <is>
          <t>B</t>
        </is>
      </c>
      <c r="G705" s="34" t="n">
        <v>2219</v>
      </c>
      <c r="H705" s="34" t="n">
        <v>11681</v>
      </c>
      <c r="I705" t="inlineStr">
        <is>
          <t>3.2</t>
        </is>
      </c>
      <c r="J705" t="inlineStr">
        <is>
          <t>Ventas Personas (B2C)</t>
        </is>
      </c>
      <c r="K705" t="inlineStr">
        <is>
          <t>CH2</t>
        </is>
      </c>
    </row>
    <row r="706">
      <c r="A706" s="33" t="n">
        <v>45729</v>
      </c>
      <c r="B706" t="inlineStr">
        <is>
          <t>2025-03</t>
        </is>
      </c>
      <c r="C706" t="inlineStr">
        <is>
          <t>Loreto Torre</t>
        </is>
      </c>
      <c r="D706" t="inlineStr">
        <is>
          <t>CANELÉ TRADICIONAL</t>
        </is>
      </c>
      <c r="E706" s="34" t="n">
        <v>33789</v>
      </c>
      <c r="F706" t="inlineStr">
        <is>
          <t>B</t>
        </is>
      </c>
      <c r="G706" s="34" t="n">
        <v>5395</v>
      </c>
      <c r="H706" s="34" t="n">
        <v>28394</v>
      </c>
      <c r="I706" t="inlineStr">
        <is>
          <t>3.2</t>
        </is>
      </c>
      <c r="J706" t="inlineStr">
        <is>
          <t>Ventas Personas (B2C)</t>
        </is>
      </c>
      <c r="K706" t="inlineStr">
        <is>
          <t>CH2</t>
        </is>
      </c>
    </row>
    <row r="707">
      <c r="A707" s="33" t="n">
        <v>45729</v>
      </c>
      <c r="B707" t="inlineStr">
        <is>
          <t>2025-03</t>
        </is>
      </c>
      <c r="C707" t="inlineStr">
        <is>
          <t>David Leiva Guerrero</t>
        </is>
      </c>
      <c r="D707" t="inlineStr">
        <is>
          <t>CANELÉ TRADICIONAL</t>
        </is>
      </c>
      <c r="E707" s="34" t="n">
        <v>31890</v>
      </c>
      <c r="F707" t="inlineStr">
        <is>
          <t>B</t>
        </is>
      </c>
      <c r="G707" s="34" t="n">
        <v>5092</v>
      </c>
      <c r="H707" s="34" t="n">
        <v>26798</v>
      </c>
      <c r="I707" t="inlineStr">
        <is>
          <t>3.2</t>
        </is>
      </c>
      <c r="J707" t="inlineStr">
        <is>
          <t>Ventas Personas (B2C)</t>
        </is>
      </c>
      <c r="K707" t="inlineStr">
        <is>
          <t>CH2</t>
        </is>
      </c>
    </row>
    <row r="708">
      <c r="A708" s="33" t="n">
        <v>45729</v>
      </c>
      <c r="B708" t="inlineStr">
        <is>
          <t>2025-03</t>
        </is>
      </c>
      <c r="C708" t="inlineStr">
        <is>
          <t>Sin cliente</t>
        </is>
      </c>
      <c r="D708" t="inlineStr">
        <is>
          <t>PLATAFORMAS RAP-PEYA-UBER-GOOD</t>
        </is>
      </c>
      <c r="E708" s="34" t="n">
        <v>23760</v>
      </c>
      <c r="F708" t="inlineStr">
        <is>
          <t>B</t>
        </is>
      </c>
      <c r="G708" s="34" t="n">
        <v>3794</v>
      </c>
      <c r="H708" s="34" t="n">
        <v>19966</v>
      </c>
      <c r="I708" t="inlineStr">
        <is>
          <t>3.6</t>
        </is>
      </c>
      <c r="J708" t="inlineStr">
        <is>
          <t>Ventas Delivery Apps</t>
        </is>
      </c>
      <c r="K708" t="inlineStr">
        <is>
          <t>CH3</t>
        </is>
      </c>
    </row>
    <row r="709">
      <c r="A709" s="33" t="n">
        <v>45729</v>
      </c>
      <c r="B709" t="inlineStr">
        <is>
          <t>2025-03</t>
        </is>
      </c>
      <c r="C709" t="inlineStr">
        <is>
          <t>Fernando Vasquez</t>
        </is>
      </c>
      <c r="D709" t="inlineStr">
        <is>
          <t>CANELE SIN AZUCAR</t>
        </is>
      </c>
      <c r="E709" s="34" t="n">
        <v>34595</v>
      </c>
      <c r="F709" t="inlineStr">
        <is>
          <t>B</t>
        </is>
      </c>
      <c r="G709" s="34" t="n">
        <v>5524</v>
      </c>
      <c r="H709" s="34" t="n">
        <v>29071</v>
      </c>
      <c r="I709" t="inlineStr">
        <is>
          <t>3.2</t>
        </is>
      </c>
      <c r="J709" t="inlineStr">
        <is>
          <t>Ventas Personas (B2C)</t>
        </is>
      </c>
      <c r="K709" t="inlineStr">
        <is>
          <t>CH2</t>
        </is>
      </c>
    </row>
    <row r="710">
      <c r="A710" s="33" t="n">
        <v>45729</v>
      </c>
      <c r="B710" t="inlineStr">
        <is>
          <t>2025-03</t>
        </is>
      </c>
      <c r="C710" t="inlineStr">
        <is>
          <t>carolina rivera bustos</t>
        </is>
      </c>
      <c r="D710" t="inlineStr">
        <is>
          <t>Rellenos</t>
        </is>
      </c>
      <c r="E710" s="34" t="n">
        <v>33890</v>
      </c>
      <c r="F710" t="inlineStr">
        <is>
          <t>B</t>
        </is>
      </c>
      <c r="G710" s="34" t="n">
        <v>5411</v>
      </c>
      <c r="H710" s="34" t="n">
        <v>28479</v>
      </c>
      <c r="I710" t="inlineStr">
        <is>
          <t>3.2</t>
        </is>
      </c>
      <c r="J710" t="inlineStr">
        <is>
          <t>Ventas Personas (B2C)</t>
        </is>
      </c>
      <c r="K710" t="inlineStr">
        <is>
          <t>CH2</t>
        </is>
      </c>
    </row>
    <row r="711">
      <c r="A711" s="33" t="n">
        <v>45729</v>
      </c>
      <c r="B711" t="inlineStr">
        <is>
          <t>2025-03</t>
        </is>
      </c>
      <c r="C711" t="inlineStr">
        <is>
          <t>Soledad Cáceres</t>
        </is>
      </c>
      <c r="D711" t="inlineStr">
        <is>
          <t>CANELÉ TRADICIONAL</t>
        </is>
      </c>
      <c r="E711" s="34" t="n">
        <v>53800</v>
      </c>
      <c r="F711" t="inlineStr">
        <is>
          <t>B</t>
        </is>
      </c>
      <c r="G711" s="34" t="n">
        <v>8590</v>
      </c>
      <c r="H711" s="34" t="n">
        <v>45210</v>
      </c>
      <c r="I711" t="inlineStr">
        <is>
          <t>3.2</t>
        </is>
      </c>
      <c r="J711" t="inlineStr">
        <is>
          <t>Ventas Personas (B2C)</t>
        </is>
      </c>
      <c r="K711" t="inlineStr">
        <is>
          <t>CH2</t>
        </is>
      </c>
    </row>
    <row r="712">
      <c r="A712" s="33" t="n">
        <v>45729</v>
      </c>
      <c r="B712" t="inlineStr">
        <is>
          <t>2025-03</t>
        </is>
      </c>
      <c r="C712" t="inlineStr">
        <is>
          <t>POMPON SPA</t>
        </is>
      </c>
      <c r="D712" t="inlineStr">
        <is>
          <t>HORECA CAFETERIA</t>
        </is>
      </c>
      <c r="E712" s="34" t="n">
        <v>220150</v>
      </c>
      <c r="F712" t="inlineStr">
        <is>
          <t>F</t>
        </is>
      </c>
      <c r="G712" s="34" t="n">
        <v>35150</v>
      </c>
      <c r="H712" s="34" t="n">
        <v>185000</v>
      </c>
      <c r="I712" t="inlineStr">
        <is>
          <t>3.1</t>
        </is>
      </c>
      <c r="J712" t="inlineStr">
        <is>
          <t>Ventas HoReCa</t>
        </is>
      </c>
      <c r="K712" t="inlineStr">
        <is>
          <t>CH1</t>
        </is>
      </c>
    </row>
    <row r="713">
      <c r="A713" s="33" t="n">
        <v>45730</v>
      </c>
      <c r="B713" t="inlineStr">
        <is>
          <t>2025-03</t>
        </is>
      </c>
      <c r="C713" t="inlineStr">
        <is>
          <t>RC BANQUETERIA SPA</t>
        </is>
      </c>
      <c r="D713" t="inlineStr">
        <is>
          <t>HORECA CATERING</t>
        </is>
      </c>
      <c r="E713" s="34" t="n">
        <v>70035</v>
      </c>
      <c r="F713" t="inlineStr">
        <is>
          <t>F</t>
        </is>
      </c>
      <c r="G713" s="34" t="n">
        <v>11182</v>
      </c>
      <c r="H713" s="34" t="n">
        <v>58853</v>
      </c>
      <c r="I713" t="inlineStr">
        <is>
          <t>3.1</t>
        </is>
      </c>
      <c r="J713" t="inlineStr">
        <is>
          <t>Ventas HoReCa</t>
        </is>
      </c>
      <c r="K713" t="inlineStr">
        <is>
          <t>CH1</t>
        </is>
      </c>
    </row>
    <row r="714">
      <c r="A714" s="33" t="n">
        <v>45730</v>
      </c>
      <c r="B714" t="inlineStr">
        <is>
          <t>2025-03</t>
        </is>
      </c>
      <c r="C714" t="inlineStr">
        <is>
          <t>CUATROTRESTRES CAFÉ SPA</t>
        </is>
      </c>
      <c r="D714" t="inlineStr">
        <is>
          <t>HORECA CAFETERIA</t>
        </is>
      </c>
      <c r="E714" s="34" t="n">
        <v>176620</v>
      </c>
      <c r="F714" t="inlineStr">
        <is>
          <t>F</t>
        </is>
      </c>
      <c r="G714" s="34" t="n">
        <v>28200</v>
      </c>
      <c r="H714" s="34" t="n">
        <v>148420</v>
      </c>
      <c r="I714" t="inlineStr">
        <is>
          <t>3.1</t>
        </is>
      </c>
      <c r="J714" t="inlineStr">
        <is>
          <t>Ventas HoReCa</t>
        </is>
      </c>
      <c r="K714" t="inlineStr">
        <is>
          <t>CH1</t>
        </is>
      </c>
    </row>
    <row r="715">
      <c r="A715" s="33" t="n">
        <v>45730</v>
      </c>
      <c r="B715" t="inlineStr">
        <is>
          <t>2025-03</t>
        </is>
      </c>
      <c r="C715" t="inlineStr">
        <is>
          <t>CAFE DIARIO ENCOMENDEROS SPA</t>
        </is>
      </c>
      <c r="D715" t="inlineStr">
        <is>
          <t>HORECA CAFETERIA</t>
        </is>
      </c>
      <c r="E715" s="34" t="n">
        <v>82830</v>
      </c>
      <c r="F715" t="inlineStr">
        <is>
          <t>F</t>
        </is>
      </c>
      <c r="G715" s="34" t="n">
        <v>13225</v>
      </c>
      <c r="H715" s="34" t="n">
        <v>69605</v>
      </c>
      <c r="I715" t="inlineStr">
        <is>
          <t>3.1</t>
        </is>
      </c>
      <c r="J715" t="inlineStr">
        <is>
          <t>Ventas HoReCa</t>
        </is>
      </c>
      <c r="K715" t="inlineStr">
        <is>
          <t>CH1</t>
        </is>
      </c>
    </row>
    <row r="716">
      <c r="A716" s="33" t="n">
        <v>45730</v>
      </c>
      <c r="B716" t="inlineStr">
        <is>
          <t>2025-03</t>
        </is>
      </c>
      <c r="C716" t="inlineStr">
        <is>
          <t>CAFETERÍAS MISTER SPA</t>
        </is>
      </c>
      <c r="D716" t="inlineStr">
        <is>
          <t>HORECA CAFETERIA</t>
        </is>
      </c>
      <c r="E716" s="34" t="n">
        <v>33978</v>
      </c>
      <c r="F716" t="inlineStr">
        <is>
          <t>F</t>
        </is>
      </c>
      <c r="G716" s="34" t="n">
        <v>5425</v>
      </c>
      <c r="H716" s="34" t="n">
        <v>28553</v>
      </c>
      <c r="I716" t="inlineStr">
        <is>
          <t>3.1</t>
        </is>
      </c>
      <c r="J716" t="inlineStr">
        <is>
          <t>Ventas HoReCa</t>
        </is>
      </c>
      <c r="K716" t="inlineStr">
        <is>
          <t>CH1</t>
        </is>
      </c>
    </row>
    <row r="717">
      <c r="A717" s="33" t="n">
        <v>45730</v>
      </c>
      <c r="B717" t="inlineStr">
        <is>
          <t>2025-03</t>
        </is>
      </c>
      <c r="C717" t="inlineStr">
        <is>
          <t>Sin cliente</t>
        </is>
      </c>
      <c r="D717" t="inlineStr">
        <is>
          <t>CANELÉ TRADICIONAL</t>
        </is>
      </c>
      <c r="E717" s="34" t="n">
        <v>77000</v>
      </c>
      <c r="F717" t="inlineStr">
        <is>
          <t>B</t>
        </is>
      </c>
      <c r="G717" s="34" t="n">
        <v>12294</v>
      </c>
      <c r="H717" s="34" t="n">
        <v>64706</v>
      </c>
      <c r="I717" t="inlineStr">
        <is>
          <t>3.2</t>
        </is>
      </c>
      <c r="J717" t="inlineStr">
        <is>
          <t>Ventas Personas (B2C)</t>
        </is>
      </c>
      <c r="K717" t="inlineStr">
        <is>
          <t>CH2</t>
        </is>
      </c>
    </row>
    <row r="718">
      <c r="A718" s="33" t="n">
        <v>45730</v>
      </c>
      <c r="B718" t="inlineStr">
        <is>
          <t>2025-03</t>
        </is>
      </c>
      <c r="C718" t="inlineStr">
        <is>
          <t>Sin cliente</t>
        </is>
      </c>
      <c r="D718" t="inlineStr">
        <is>
          <t>CANELÉ TRADICIONAL</t>
        </is>
      </c>
      <c r="E718" s="34" t="n">
        <v>7500</v>
      </c>
      <c r="F718" t="inlineStr">
        <is>
          <t>B</t>
        </is>
      </c>
      <c r="G718" s="34" t="n">
        <v>1197</v>
      </c>
      <c r="H718" s="34" t="n">
        <v>6303</v>
      </c>
      <c r="I718" t="inlineStr">
        <is>
          <t>3.2</t>
        </is>
      </c>
      <c r="J718" t="inlineStr">
        <is>
          <t>Ventas Personas (B2C)</t>
        </is>
      </c>
      <c r="K718" t="inlineStr">
        <is>
          <t>CH2</t>
        </is>
      </c>
    </row>
    <row r="719">
      <c r="A719" s="33" t="n">
        <v>45730</v>
      </c>
      <c r="B719" t="inlineStr">
        <is>
          <t>2025-03</t>
        </is>
      </c>
      <c r="C719" t="inlineStr">
        <is>
          <t>Sin cliente</t>
        </is>
      </c>
      <c r="D719" t="inlineStr">
        <is>
          <t>PLATAFORMAS RAP-PEYA-UBER-GOOD</t>
        </is>
      </c>
      <c r="E719" s="34" t="n">
        <v>25080</v>
      </c>
      <c r="F719" t="inlineStr">
        <is>
          <t>B</t>
        </is>
      </c>
      <c r="G719" s="34" t="n">
        <v>4004</v>
      </c>
      <c r="H719" s="34" t="n">
        <v>21076</v>
      </c>
      <c r="I719" t="inlineStr">
        <is>
          <t>3.6</t>
        </is>
      </c>
      <c r="J719" t="inlineStr">
        <is>
          <t>Ventas Delivery Apps</t>
        </is>
      </c>
      <c r="K719" t="inlineStr">
        <is>
          <t>CH3</t>
        </is>
      </c>
    </row>
    <row r="720">
      <c r="A720" s="33" t="n">
        <v>45730</v>
      </c>
      <c r="B720" t="inlineStr">
        <is>
          <t>2025-03</t>
        </is>
      </c>
      <c r="C720" t="inlineStr">
        <is>
          <t>Sin cliente</t>
        </is>
      </c>
      <c r="D720" t="inlineStr">
        <is>
          <t>Petit Tradicional</t>
        </is>
      </c>
      <c r="E720" s="34" t="n">
        <v>41800</v>
      </c>
      <c r="F720" t="inlineStr">
        <is>
          <t>B</t>
        </is>
      </c>
      <c r="G720" s="34" t="n">
        <v>6674</v>
      </c>
      <c r="H720" s="34" t="n">
        <v>35126</v>
      </c>
      <c r="I720" t="inlineStr">
        <is>
          <t>3.2</t>
        </is>
      </c>
      <c r="J720" t="inlineStr">
        <is>
          <t>Ventas Personas (B2C)</t>
        </is>
      </c>
      <c r="K720" t="inlineStr">
        <is>
          <t>CH2</t>
        </is>
      </c>
    </row>
    <row r="721">
      <c r="A721" s="33" t="n">
        <v>45730</v>
      </c>
      <c r="B721" t="inlineStr">
        <is>
          <t>2025-03</t>
        </is>
      </c>
      <c r="C721" t="inlineStr">
        <is>
          <t>Sin cliente</t>
        </is>
      </c>
      <c r="D721" t="inlineStr">
        <is>
          <t>PLATAFORMAS RAP-PEYA-UBER-GOOD</t>
        </is>
      </c>
      <c r="E721" s="34" t="n">
        <v>12960</v>
      </c>
      <c r="F721" t="inlineStr">
        <is>
          <t>B</t>
        </is>
      </c>
      <c r="G721" s="34" t="n">
        <v>2069</v>
      </c>
      <c r="H721" s="34" t="n">
        <v>10891</v>
      </c>
      <c r="I721" t="inlineStr">
        <is>
          <t>3.6</t>
        </is>
      </c>
      <c r="J721" t="inlineStr">
        <is>
          <t>Ventas Delivery Apps</t>
        </is>
      </c>
      <c r="K721" t="inlineStr">
        <is>
          <t>CH3</t>
        </is>
      </c>
    </row>
    <row r="722">
      <c r="A722" s="33" t="n">
        <v>45730</v>
      </c>
      <c r="B722" t="inlineStr">
        <is>
          <t>2025-03</t>
        </is>
      </c>
      <c r="C722" t="inlineStr">
        <is>
          <t>Sin cliente</t>
        </is>
      </c>
      <c r="D722" t="inlineStr">
        <is>
          <t>Petit Tradicional</t>
        </is>
      </c>
      <c r="E722" s="34" t="n">
        <v>17280</v>
      </c>
      <c r="F722" t="inlineStr">
        <is>
          <t>B</t>
        </is>
      </c>
      <c r="G722" s="34" t="n">
        <v>2759</v>
      </c>
      <c r="H722" s="34" t="n">
        <v>14521</v>
      </c>
      <c r="I722" t="inlineStr">
        <is>
          <t>3.2</t>
        </is>
      </c>
      <c r="J722" t="inlineStr">
        <is>
          <t>Ventas Personas (B2C)</t>
        </is>
      </c>
      <c r="K722" t="inlineStr">
        <is>
          <t>CH2</t>
        </is>
      </c>
    </row>
    <row r="723">
      <c r="A723" s="33" t="n">
        <v>45730</v>
      </c>
      <c r="B723" t="inlineStr">
        <is>
          <t>2025-03</t>
        </is>
      </c>
      <c r="C723" t="inlineStr">
        <is>
          <t>vesna korlaet</t>
        </is>
      </c>
      <c r="D723" t="inlineStr">
        <is>
          <t>CANELE SIN AZUCAR</t>
        </is>
      </c>
      <c r="E723" s="34" t="n">
        <v>24300</v>
      </c>
      <c r="F723" t="inlineStr">
        <is>
          <t>B</t>
        </is>
      </c>
      <c r="G723" s="34" t="n">
        <v>3880</v>
      </c>
      <c r="H723" s="34" t="n">
        <v>20420</v>
      </c>
      <c r="I723" t="inlineStr">
        <is>
          <t>3.2</t>
        </is>
      </c>
      <c r="J723" t="inlineStr">
        <is>
          <t>Ventas Personas (B2C)</t>
        </is>
      </c>
      <c r="K723" t="inlineStr">
        <is>
          <t>CH2</t>
        </is>
      </c>
    </row>
    <row r="724">
      <c r="A724" s="33" t="n">
        <v>45731</v>
      </c>
      <c r="B724" t="inlineStr">
        <is>
          <t>2025-03</t>
        </is>
      </c>
      <c r="C724" t="inlineStr">
        <is>
          <t>Carla Huilipan paredes</t>
        </is>
      </c>
      <c r="D724" t="inlineStr">
        <is>
          <t>PACKS GOURMET</t>
        </is>
      </c>
      <c r="E724" s="34" t="n">
        <v>23706</v>
      </c>
      <c r="F724" t="inlineStr">
        <is>
          <t>B</t>
        </is>
      </c>
      <c r="G724" s="34" t="n">
        <v>3785</v>
      </c>
      <c r="H724" s="34" t="n">
        <v>19921</v>
      </c>
      <c r="I724" t="inlineStr">
        <is>
          <t>3.2</t>
        </is>
      </c>
      <c r="J724" t="inlineStr">
        <is>
          <t>Ventas Personas (B2C)</t>
        </is>
      </c>
      <c r="K724" t="inlineStr">
        <is>
          <t>CH2</t>
        </is>
      </c>
    </row>
    <row r="725">
      <c r="A725" s="33" t="n">
        <v>45732</v>
      </c>
      <c r="B725" t="inlineStr">
        <is>
          <t>2025-03</t>
        </is>
      </c>
      <c r="C725" t="inlineStr">
        <is>
          <t>Gisela Awad</t>
        </is>
      </c>
      <c r="D725" t="inlineStr">
        <is>
          <t>Delicatessen</t>
        </is>
      </c>
      <c r="E725" s="34" t="n">
        <v>30790</v>
      </c>
      <c r="F725" t="inlineStr">
        <is>
          <t>B</t>
        </is>
      </c>
      <c r="G725" s="34" t="n">
        <v>4916</v>
      </c>
      <c r="H725" s="34" t="n">
        <v>25874</v>
      </c>
      <c r="I725" t="inlineStr">
        <is>
          <t>3.2</t>
        </is>
      </c>
      <c r="J725" t="inlineStr">
        <is>
          <t>Ventas Personas (B2C)</t>
        </is>
      </c>
      <c r="K725" t="inlineStr">
        <is>
          <t>CH2</t>
        </is>
      </c>
    </row>
    <row r="726">
      <c r="A726" s="33" t="n">
        <v>45733</v>
      </c>
      <c r="B726" t="inlineStr">
        <is>
          <t>2025-03</t>
        </is>
      </c>
      <c r="C726" t="inlineStr">
        <is>
          <t>POMPON SPA</t>
        </is>
      </c>
      <c r="D726" t="inlineStr">
        <is>
          <t>HORECA CAFETERIA</t>
        </is>
      </c>
      <c r="E726" s="34" t="n">
        <v>-155890</v>
      </c>
      <c r="F726" t="inlineStr">
        <is>
          <t>NC</t>
        </is>
      </c>
      <c r="G726" s="34" t="n">
        <v>-24890</v>
      </c>
      <c r="H726" s="34" t="n">
        <v>-131000</v>
      </c>
      <c r="I726" t="inlineStr">
        <is>
          <t>3.2</t>
        </is>
      </c>
      <c r="J726" t="inlineStr">
        <is>
          <t>Ventas Personas (B2C)</t>
        </is>
      </c>
      <c r="K726" t="inlineStr">
        <is>
          <t>CH2</t>
        </is>
      </c>
    </row>
    <row r="727">
      <c r="A727" s="33" t="n">
        <v>45733</v>
      </c>
      <c r="B727" t="inlineStr">
        <is>
          <t>2025-03</t>
        </is>
      </c>
      <c r="C727" t="inlineStr">
        <is>
          <t>POMPON SPA</t>
        </is>
      </c>
      <c r="D727" t="inlineStr">
        <is>
          <t>HORECA CAFETERIA</t>
        </is>
      </c>
      <c r="E727" s="34" t="n">
        <v>132510</v>
      </c>
      <c r="F727" t="inlineStr">
        <is>
          <t>F</t>
        </is>
      </c>
      <c r="G727" s="34" t="n">
        <v>21157</v>
      </c>
      <c r="H727" s="34" t="n">
        <v>111353</v>
      </c>
      <c r="I727" t="inlineStr">
        <is>
          <t>3.1</t>
        </is>
      </c>
      <c r="J727" t="inlineStr">
        <is>
          <t>Ventas HoReCa</t>
        </is>
      </c>
      <c r="K727" t="inlineStr">
        <is>
          <t>CH1</t>
        </is>
      </c>
    </row>
    <row r="728">
      <c r="A728" s="33" t="n">
        <v>45733</v>
      </c>
      <c r="B728" t="inlineStr">
        <is>
          <t>2025-03</t>
        </is>
      </c>
      <c r="C728" t="inlineStr">
        <is>
          <t>CAFETERÍA ALTURA LIMITADA</t>
        </is>
      </c>
      <c r="D728" t="inlineStr">
        <is>
          <t>HORECA CAFETERIA</t>
        </is>
      </c>
      <c r="E728" s="34" t="n">
        <v>53910</v>
      </c>
      <c r="F728" t="inlineStr">
        <is>
          <t>F</t>
        </is>
      </c>
      <c r="G728" s="34" t="n">
        <v>8607</v>
      </c>
      <c r="H728" s="34" t="n">
        <v>45303</v>
      </c>
      <c r="I728" t="inlineStr">
        <is>
          <t>3.1</t>
        </is>
      </c>
      <c r="J728" t="inlineStr">
        <is>
          <t>Ventas HoReCa</t>
        </is>
      </c>
      <c r="K728" t="inlineStr">
        <is>
          <t>CH1</t>
        </is>
      </c>
    </row>
    <row r="729">
      <c r="A729" s="33" t="n">
        <v>45733</v>
      </c>
      <c r="B729" t="inlineStr">
        <is>
          <t>2025-03</t>
        </is>
      </c>
      <c r="C729" t="inlineStr">
        <is>
          <t>INVERSIONES Y COMERCIALIZADORA FED LIMITADA</t>
        </is>
      </c>
      <c r="D729" t="inlineStr">
        <is>
          <t>HORECA CAFETERIA</t>
        </is>
      </c>
      <c r="E729" s="34" t="n">
        <v>104830</v>
      </c>
      <c r="F729" t="inlineStr">
        <is>
          <t>F</t>
        </is>
      </c>
      <c r="G729" s="34" t="n">
        <v>16738</v>
      </c>
      <c r="H729" s="34" t="n">
        <v>88092</v>
      </c>
      <c r="I729" t="inlineStr">
        <is>
          <t>3.1</t>
        </is>
      </c>
      <c r="J729" t="inlineStr">
        <is>
          <t>Ventas HoReCa</t>
        </is>
      </c>
      <c r="K729" t="inlineStr">
        <is>
          <t>CH1</t>
        </is>
      </c>
    </row>
    <row r="730">
      <c r="A730" s="33" t="n">
        <v>45733</v>
      </c>
      <c r="B730" t="inlineStr">
        <is>
          <t>2025-03</t>
        </is>
      </c>
      <c r="C730" t="inlineStr">
        <is>
          <t>INVERSIONES Y ASESORIAS RAVAL LIMITADA</t>
        </is>
      </c>
      <c r="D730" t="inlineStr">
        <is>
          <t>HORECA CAFETERIA</t>
        </is>
      </c>
      <c r="E730" s="34" t="n">
        <v>67980</v>
      </c>
      <c r="F730" t="inlineStr">
        <is>
          <t>F</t>
        </is>
      </c>
      <c r="G730" s="34" t="n">
        <v>10854</v>
      </c>
      <c r="H730" s="34" t="n">
        <v>57126</v>
      </c>
      <c r="I730" t="inlineStr">
        <is>
          <t>3.1</t>
        </is>
      </c>
      <c r="J730" t="inlineStr">
        <is>
          <t>Ventas HoReCa</t>
        </is>
      </c>
      <c r="K730" t="inlineStr">
        <is>
          <t>CH1</t>
        </is>
      </c>
    </row>
    <row r="731">
      <c r="A731" s="33" t="n">
        <v>45733</v>
      </c>
      <c r="B731" t="inlineStr">
        <is>
          <t>2025-03</t>
        </is>
      </c>
      <c r="C731" t="inlineStr">
        <is>
          <t xml:space="preserve">Café lucerna spa </t>
        </is>
      </c>
      <c r="D731" t="inlineStr">
        <is>
          <t>HORECA CAFETERIA</t>
        </is>
      </c>
      <c r="E731" s="34" t="n">
        <v>63990</v>
      </c>
      <c r="F731" t="inlineStr">
        <is>
          <t>F</t>
        </is>
      </c>
      <c r="G731" s="34" t="n">
        <v>10217</v>
      </c>
      <c r="H731" s="34" t="n">
        <v>53773</v>
      </c>
      <c r="I731" t="inlineStr">
        <is>
          <t>3.1</t>
        </is>
      </c>
      <c r="J731" t="inlineStr">
        <is>
          <t>Ventas HoReCa</t>
        </is>
      </c>
      <c r="K731" t="inlineStr">
        <is>
          <t>CH1</t>
        </is>
      </c>
    </row>
    <row r="732">
      <c r="A732" s="33" t="n">
        <v>45733</v>
      </c>
      <c r="B732" t="inlineStr">
        <is>
          <t>2025-03</t>
        </is>
      </c>
      <c r="C732" t="inlineStr">
        <is>
          <t>Sin cliente</t>
        </is>
      </c>
      <c r="D732" t="inlineStr">
        <is>
          <t>CANELÉ TRADICIONAL</t>
        </is>
      </c>
      <c r="E732" s="34" t="n">
        <v>21890</v>
      </c>
      <c r="F732" t="inlineStr">
        <is>
          <t>B</t>
        </is>
      </c>
      <c r="G732" s="34" t="n">
        <v>3495</v>
      </c>
      <c r="H732" s="34" t="n">
        <v>18395</v>
      </c>
      <c r="I732" t="inlineStr">
        <is>
          <t>3.2</t>
        </is>
      </c>
      <c r="J732" t="inlineStr">
        <is>
          <t>Ventas Personas (B2C)</t>
        </is>
      </c>
      <c r="K732" t="inlineStr">
        <is>
          <t>CH2</t>
        </is>
      </c>
    </row>
    <row r="733">
      <c r="A733" s="33" t="n">
        <v>45733</v>
      </c>
      <c r="B733" t="inlineStr">
        <is>
          <t>2025-03</t>
        </is>
      </c>
      <c r="C733" t="inlineStr">
        <is>
          <t>Oriana Ponzini</t>
        </is>
      </c>
      <c r="D733" t="inlineStr">
        <is>
          <t>CANELÉ TRADICIONAL</t>
        </is>
      </c>
      <c r="E733" s="34" t="n">
        <v>15900</v>
      </c>
      <c r="F733" t="inlineStr">
        <is>
          <t>B</t>
        </is>
      </c>
      <c r="G733" s="34" t="n">
        <v>2539</v>
      </c>
      <c r="H733" s="34" t="n">
        <v>13361</v>
      </c>
      <c r="I733" t="inlineStr">
        <is>
          <t>3.2</t>
        </is>
      </c>
      <c r="J733" t="inlineStr">
        <is>
          <t>Ventas Personas (B2C)</t>
        </is>
      </c>
      <c r="K733" t="inlineStr">
        <is>
          <t>CH2</t>
        </is>
      </c>
    </row>
    <row r="734">
      <c r="A734" s="33" t="n">
        <v>45733</v>
      </c>
      <c r="B734" t="inlineStr">
        <is>
          <t>2025-03</t>
        </is>
      </c>
      <c r="C734" t="inlineStr">
        <is>
          <t>Elisa Diaz</t>
        </is>
      </c>
      <c r="D734" t="inlineStr">
        <is>
          <t>Mix Sabores</t>
        </is>
      </c>
      <c r="E734" s="34" t="n">
        <v>25510</v>
      </c>
      <c r="F734" t="inlineStr">
        <is>
          <t>B</t>
        </is>
      </c>
      <c r="G734" s="34" t="n">
        <v>4073</v>
      </c>
      <c r="H734" s="34" t="n">
        <v>21437</v>
      </c>
      <c r="I734" t="inlineStr">
        <is>
          <t>3.2</t>
        </is>
      </c>
      <c r="J734" t="inlineStr">
        <is>
          <t>Ventas Personas (B2C)</t>
        </is>
      </c>
      <c r="K734" t="inlineStr">
        <is>
          <t>CH2</t>
        </is>
      </c>
    </row>
    <row r="735">
      <c r="A735" s="33" t="n">
        <v>45733</v>
      </c>
      <c r="B735" t="inlineStr">
        <is>
          <t>2025-03</t>
        </is>
      </c>
      <c r="C735" t="inlineStr">
        <is>
          <t>Federico Ponce</t>
        </is>
      </c>
      <c r="D735" t="inlineStr">
        <is>
          <t>Petit Crunchy</t>
        </is>
      </c>
      <c r="E735" s="34" t="n">
        <v>39890</v>
      </c>
      <c r="F735" t="inlineStr">
        <is>
          <t>B</t>
        </is>
      </c>
      <c r="G735" s="34" t="n">
        <v>6369</v>
      </c>
      <c r="H735" s="34" t="n">
        <v>33521</v>
      </c>
      <c r="I735" t="inlineStr">
        <is>
          <t>3.2</t>
        </is>
      </c>
      <c r="J735" t="inlineStr">
        <is>
          <t>Ventas Personas (B2C)</t>
        </is>
      </c>
      <c r="K735" t="inlineStr">
        <is>
          <t>CH2</t>
        </is>
      </c>
    </row>
    <row r="736">
      <c r="A736" s="33" t="n">
        <v>45734</v>
      </c>
      <c r="B736" t="inlineStr">
        <is>
          <t>2025-03</t>
        </is>
      </c>
      <c r="C736" t="inlineStr">
        <is>
          <t>Maria Vial Comber</t>
        </is>
      </c>
      <c r="D736" t="inlineStr">
        <is>
          <t>Delicatessen</t>
        </is>
      </c>
      <c r="E736" s="34" t="n">
        <v>25420</v>
      </c>
      <c r="F736" t="inlineStr">
        <is>
          <t>B</t>
        </is>
      </c>
      <c r="G736" s="34" t="n">
        <v>4059</v>
      </c>
      <c r="H736" s="34" t="n">
        <v>21361</v>
      </c>
      <c r="I736" t="inlineStr">
        <is>
          <t>3.2</t>
        </is>
      </c>
      <c r="J736" t="inlineStr">
        <is>
          <t>Ventas Personas (B2C)</t>
        </is>
      </c>
      <c r="K736" t="inlineStr">
        <is>
          <t>CH2</t>
        </is>
      </c>
    </row>
    <row r="737">
      <c r="A737" s="33" t="n">
        <v>45734</v>
      </c>
      <c r="B737" t="inlineStr">
        <is>
          <t>2025-03</t>
        </is>
      </c>
      <c r="C737" t="inlineStr">
        <is>
          <t>Antonia Hornig</t>
        </is>
      </c>
      <c r="D737" t="inlineStr">
        <is>
          <t>Petit Crunchy</t>
        </is>
      </c>
      <c r="E737" s="34" t="n">
        <v>25330</v>
      </c>
      <c r="F737" t="inlineStr">
        <is>
          <t>B</t>
        </is>
      </c>
      <c r="G737" s="34" t="n">
        <v>4044</v>
      </c>
      <c r="H737" s="34" t="n">
        <v>21286</v>
      </c>
      <c r="I737" t="inlineStr">
        <is>
          <t>3.2</t>
        </is>
      </c>
      <c r="J737" t="inlineStr">
        <is>
          <t>Ventas Personas (B2C)</t>
        </is>
      </c>
      <c r="K737" t="inlineStr">
        <is>
          <t>CH2</t>
        </is>
      </c>
    </row>
    <row r="738">
      <c r="A738" s="33" t="n">
        <v>45734</v>
      </c>
      <c r="B738" t="inlineStr">
        <is>
          <t>2025-03</t>
        </is>
      </c>
      <c r="C738" t="inlineStr">
        <is>
          <t>Maria Vial Comber</t>
        </is>
      </c>
      <c r="D738" t="inlineStr">
        <is>
          <t>Petit Crunchy</t>
        </is>
      </c>
      <c r="E738" s="34" t="n">
        <v>16790</v>
      </c>
      <c r="F738" t="inlineStr">
        <is>
          <t>B</t>
        </is>
      </c>
      <c r="G738" s="34" t="n">
        <v>2681</v>
      </c>
      <c r="H738" s="34" t="n">
        <v>14109</v>
      </c>
      <c r="I738" t="inlineStr">
        <is>
          <t>3.2</t>
        </is>
      </c>
      <c r="J738" t="inlineStr">
        <is>
          <t>Ventas Personas (B2C)</t>
        </is>
      </c>
      <c r="K738" t="inlineStr">
        <is>
          <t>CH2</t>
        </is>
      </c>
    </row>
    <row r="739">
      <c r="A739" s="33" t="n">
        <v>45734</v>
      </c>
      <c r="B739" t="inlineStr">
        <is>
          <t>2025-03</t>
        </is>
      </c>
      <c r="C739" t="inlineStr">
        <is>
          <t>RATIO COFFEE COMPANY SPA</t>
        </is>
      </c>
      <c r="D739" t="inlineStr">
        <is>
          <t>HORECA CAFETERIA</t>
        </is>
      </c>
      <c r="E739" s="34" t="n">
        <v>179710</v>
      </c>
      <c r="F739" t="inlineStr">
        <is>
          <t>F</t>
        </is>
      </c>
      <c r="G739" s="34" t="n">
        <v>28693</v>
      </c>
      <c r="H739" s="34" t="n">
        <v>151017</v>
      </c>
      <c r="I739" t="inlineStr">
        <is>
          <t>3.1</t>
        </is>
      </c>
      <c r="J739" t="inlineStr">
        <is>
          <t>Ventas HoReCa</t>
        </is>
      </c>
      <c r="K739" t="inlineStr">
        <is>
          <t>CH1</t>
        </is>
      </c>
    </row>
    <row r="740">
      <c r="A740" s="33" t="n">
        <v>45734</v>
      </c>
      <c r="B740" t="inlineStr">
        <is>
          <t>2025-03</t>
        </is>
      </c>
      <c r="C740" t="inlineStr">
        <is>
          <t>Clark Veloso Valenzuela</t>
        </is>
      </c>
      <c r="D740" t="inlineStr">
        <is>
          <t>HORECA CAFETERIA</t>
        </is>
      </c>
      <c r="E740" s="34" t="n">
        <v>64990</v>
      </c>
      <c r="F740" t="inlineStr">
        <is>
          <t>F</t>
        </is>
      </c>
      <c r="G740" s="34" t="n">
        <v>10377</v>
      </c>
      <c r="H740" s="34" t="n">
        <v>54613</v>
      </c>
      <c r="I740" t="inlineStr">
        <is>
          <t>3.1</t>
        </is>
      </c>
      <c r="J740" t="inlineStr">
        <is>
          <t>Ventas HoReCa</t>
        </is>
      </c>
      <c r="K740" t="inlineStr">
        <is>
          <t>CH1</t>
        </is>
      </c>
    </row>
    <row r="741">
      <c r="A741" s="33" t="n">
        <v>45734</v>
      </c>
      <c r="B741" t="inlineStr">
        <is>
          <t>2025-03</t>
        </is>
      </c>
      <c r="C741" t="inlineStr">
        <is>
          <t>Sin cliente</t>
        </is>
      </c>
      <c r="D741" t="inlineStr">
        <is>
          <t>PLATAFORMAS RAP-PEYA-UBER-GOOD</t>
        </is>
      </c>
      <c r="E741" s="34" t="n">
        <v>9360</v>
      </c>
      <c r="F741" t="inlineStr">
        <is>
          <t>B</t>
        </is>
      </c>
      <c r="G741" s="34" t="n">
        <v>1494</v>
      </c>
      <c r="H741" s="34" t="n">
        <v>7866</v>
      </c>
      <c r="I741" t="inlineStr">
        <is>
          <t>3.6</t>
        </is>
      </c>
      <c r="J741" t="inlineStr">
        <is>
          <t>Ventas Delivery Apps</t>
        </is>
      </c>
      <c r="K741" t="inlineStr">
        <is>
          <t>CH3</t>
        </is>
      </c>
    </row>
    <row r="742">
      <c r="A742" s="33" t="n">
        <v>45734</v>
      </c>
      <c r="B742" t="inlineStr">
        <is>
          <t>2025-03</t>
        </is>
      </c>
      <c r="C742" t="inlineStr">
        <is>
          <t>Analuisa Perez osses</t>
        </is>
      </c>
      <c r="D742" t="inlineStr">
        <is>
          <t>CANELE SIN AZUCAR</t>
        </is>
      </c>
      <c r="E742" s="34" t="n">
        <v>21890</v>
      </c>
      <c r="F742" t="inlineStr">
        <is>
          <t>B</t>
        </is>
      </c>
      <c r="G742" s="34" t="n">
        <v>3495</v>
      </c>
      <c r="H742" s="34" t="n">
        <v>18395</v>
      </c>
      <c r="I742" t="inlineStr">
        <is>
          <t>3.2</t>
        </is>
      </c>
      <c r="J742" t="inlineStr">
        <is>
          <t>Ventas Personas (B2C)</t>
        </is>
      </c>
      <c r="K742" t="inlineStr">
        <is>
          <t>CH2</t>
        </is>
      </c>
    </row>
    <row r="743">
      <c r="A743" s="33" t="n">
        <v>45734</v>
      </c>
      <c r="B743" t="inlineStr">
        <is>
          <t>2025-03</t>
        </is>
      </c>
      <c r="C743" t="inlineStr">
        <is>
          <t>Sin cliente</t>
        </is>
      </c>
      <c r="D743" t="inlineStr">
        <is>
          <t>Petit Tradicional</t>
        </is>
      </c>
      <c r="E743" s="34" t="n">
        <v>8640</v>
      </c>
      <c r="F743" t="inlineStr">
        <is>
          <t>B</t>
        </is>
      </c>
      <c r="G743" s="34" t="n">
        <v>1379</v>
      </c>
      <c r="H743" s="34" t="n">
        <v>7261</v>
      </c>
      <c r="I743" t="inlineStr">
        <is>
          <t>3.2</t>
        </is>
      </c>
      <c r="J743" t="inlineStr">
        <is>
          <t>Ventas Personas (B2C)</t>
        </is>
      </c>
      <c r="K743" t="inlineStr">
        <is>
          <t>CH2</t>
        </is>
      </c>
    </row>
    <row r="744">
      <c r="A744" s="33" t="n">
        <v>45734</v>
      </c>
      <c r="B744" t="inlineStr">
        <is>
          <t>2025-03</t>
        </is>
      </c>
      <c r="C744" t="inlineStr">
        <is>
          <t>Nicole Stefanic</t>
        </is>
      </c>
      <c r="D744" t="inlineStr">
        <is>
          <t>CANELE SIN AZUCAR</t>
        </is>
      </c>
      <c r="E744" s="34" t="n">
        <v>45190</v>
      </c>
      <c r="F744" t="inlineStr">
        <is>
          <t>B</t>
        </is>
      </c>
      <c r="G744" s="34" t="n">
        <v>7215</v>
      </c>
      <c r="H744" s="34" t="n">
        <v>37975</v>
      </c>
      <c r="I744" t="inlineStr">
        <is>
          <t>3.2</t>
        </is>
      </c>
      <c r="J744" t="inlineStr">
        <is>
          <t>Ventas Personas (B2C)</t>
        </is>
      </c>
      <c r="K744" t="inlineStr">
        <is>
          <t>CH2</t>
        </is>
      </c>
    </row>
    <row r="745">
      <c r="A745" s="33" t="n">
        <v>45734</v>
      </c>
      <c r="B745" t="inlineStr">
        <is>
          <t>2025-03</t>
        </is>
      </c>
      <c r="C745" t="inlineStr">
        <is>
          <t>Sin cliente</t>
        </is>
      </c>
      <c r="D745" t="inlineStr">
        <is>
          <t>Petit Tradicional</t>
        </is>
      </c>
      <c r="E745" s="34" t="n">
        <v>10800</v>
      </c>
      <c r="F745" t="inlineStr">
        <is>
          <t>B</t>
        </is>
      </c>
      <c r="G745" s="34" t="n">
        <v>1724</v>
      </c>
      <c r="H745" s="34" t="n">
        <v>9076</v>
      </c>
      <c r="I745" t="inlineStr">
        <is>
          <t>3.2</t>
        </is>
      </c>
      <c r="J745" t="inlineStr">
        <is>
          <t>Ventas Personas (B2C)</t>
        </is>
      </c>
      <c r="K745" t="inlineStr">
        <is>
          <t>CH2</t>
        </is>
      </c>
    </row>
    <row r="746">
      <c r="A746" s="33" t="n">
        <v>45734</v>
      </c>
      <c r="B746" t="inlineStr">
        <is>
          <t>2025-03</t>
        </is>
      </c>
      <c r="C746" t="inlineStr">
        <is>
          <t>Sin cliente</t>
        </is>
      </c>
      <c r="D746" t="inlineStr">
        <is>
          <t>CANELÉ TRADICIONAL</t>
        </is>
      </c>
      <c r="E746" s="34" t="n">
        <v>19800</v>
      </c>
      <c r="F746" t="inlineStr">
        <is>
          <t>B</t>
        </is>
      </c>
      <c r="G746" s="34" t="n">
        <v>3161</v>
      </c>
      <c r="H746" s="34" t="n">
        <v>16639</v>
      </c>
      <c r="I746" t="inlineStr">
        <is>
          <t>3.2</t>
        </is>
      </c>
      <c r="J746" t="inlineStr">
        <is>
          <t>Ventas Personas (B2C)</t>
        </is>
      </c>
      <c r="K746" t="inlineStr">
        <is>
          <t>CH2</t>
        </is>
      </c>
    </row>
    <row r="747">
      <c r="A747" s="33" t="n">
        <v>45735</v>
      </c>
      <c r="B747" t="inlineStr">
        <is>
          <t>2025-03</t>
        </is>
      </c>
      <c r="C747" t="inlineStr">
        <is>
          <t>Sin cliente</t>
        </is>
      </c>
      <c r="D747" t="inlineStr">
        <is>
          <t>Petit Tradicional</t>
        </is>
      </c>
      <c r="E747" s="34" t="n">
        <v>15790</v>
      </c>
      <c r="F747" t="inlineStr">
        <is>
          <t>B</t>
        </is>
      </c>
      <c r="G747" s="34" t="n">
        <v>2521</v>
      </c>
      <c r="H747" s="34" t="n">
        <v>13269</v>
      </c>
      <c r="I747" t="inlineStr">
        <is>
          <t>3.2</t>
        </is>
      </c>
      <c r="J747" t="inlineStr">
        <is>
          <t>Ventas Personas (B2C)</t>
        </is>
      </c>
      <c r="K747" t="inlineStr">
        <is>
          <t>CH2</t>
        </is>
      </c>
    </row>
    <row r="748">
      <c r="A748" s="33" t="n">
        <v>45735</v>
      </c>
      <c r="B748" t="inlineStr">
        <is>
          <t>2025-03</t>
        </is>
      </c>
      <c r="C748" t="inlineStr">
        <is>
          <t>CAFETERIA THE ELEPHANT COFFEE LIMITADA</t>
        </is>
      </c>
      <c r="D748" t="inlineStr">
        <is>
          <t>HORECA CAFETERIA</t>
        </is>
      </c>
      <c r="E748" s="34" t="n">
        <v>137940</v>
      </c>
      <c r="F748" t="inlineStr">
        <is>
          <t>F</t>
        </is>
      </c>
      <c r="G748" s="34" t="n">
        <v>22024</v>
      </c>
      <c r="H748" s="34" t="n">
        <v>115916</v>
      </c>
      <c r="I748" t="inlineStr">
        <is>
          <t>3.1</t>
        </is>
      </c>
      <c r="J748" t="inlineStr">
        <is>
          <t>Ventas HoReCa</t>
        </is>
      </c>
      <c r="K748" t="inlineStr">
        <is>
          <t>CH1</t>
        </is>
      </c>
    </row>
    <row r="749">
      <c r="A749" s="33" t="n">
        <v>45735</v>
      </c>
      <c r="B749" t="inlineStr">
        <is>
          <t>2025-03</t>
        </is>
      </c>
      <c r="C749" t="inlineStr">
        <is>
          <t>Café Santos SpA</t>
        </is>
      </c>
      <c r="D749" t="inlineStr">
        <is>
          <t>HORECA CAFETERIA</t>
        </is>
      </c>
      <c r="E749" s="34" t="n">
        <v>34978</v>
      </c>
      <c r="F749" t="inlineStr">
        <is>
          <t>F</t>
        </is>
      </c>
      <c r="G749" s="34" t="n">
        <v>5585</v>
      </c>
      <c r="H749" s="34" t="n">
        <v>29393</v>
      </c>
      <c r="I749" t="inlineStr">
        <is>
          <t>3.1</t>
        </is>
      </c>
      <c r="J749" t="inlineStr">
        <is>
          <t>Ventas HoReCa</t>
        </is>
      </c>
      <c r="K749" t="inlineStr">
        <is>
          <t>CH1</t>
        </is>
      </c>
    </row>
    <row r="750">
      <c r="A750" s="33" t="n">
        <v>45735</v>
      </c>
      <c r="B750" t="inlineStr">
        <is>
          <t>2025-03</t>
        </is>
      </c>
      <c r="C750" t="inlineStr">
        <is>
          <t>CAFETERÍA ALTURA LIMITADA</t>
        </is>
      </c>
      <c r="D750" t="inlineStr">
        <is>
          <t>HORECA CAFETERIA</t>
        </is>
      </c>
      <c r="E750" s="34" t="n">
        <v>154750</v>
      </c>
      <c r="F750" t="inlineStr">
        <is>
          <t>F</t>
        </is>
      </c>
      <c r="G750" s="34" t="n">
        <v>24708</v>
      </c>
      <c r="H750" s="34" t="n">
        <v>130042</v>
      </c>
      <c r="I750" t="inlineStr">
        <is>
          <t>3.1</t>
        </is>
      </c>
      <c r="J750" t="inlineStr">
        <is>
          <t>Ventas HoReCa</t>
        </is>
      </c>
      <c r="K750" t="inlineStr">
        <is>
          <t>CH1</t>
        </is>
      </c>
    </row>
    <row r="751">
      <c r="A751" s="33" t="n">
        <v>45735</v>
      </c>
      <c r="B751" t="inlineStr">
        <is>
          <t>2025-03</t>
        </is>
      </c>
      <c r="C751" t="inlineStr">
        <is>
          <t>CAFETERÍA ALTURA LIMITADA</t>
        </is>
      </c>
      <c r="D751" t="inlineStr">
        <is>
          <t>HORECA CAFETERIA</t>
        </is>
      </c>
      <c r="E751" s="34" t="n">
        <v>-154750</v>
      </c>
      <c r="F751" t="inlineStr">
        <is>
          <t>NC</t>
        </is>
      </c>
      <c r="G751" s="34" t="n">
        <v>-24708</v>
      </c>
      <c r="H751" s="34" t="n">
        <v>-130042</v>
      </c>
      <c r="I751" t="inlineStr">
        <is>
          <t>3.2</t>
        </is>
      </c>
      <c r="J751" t="inlineStr">
        <is>
          <t>Ventas Personas (B2C)</t>
        </is>
      </c>
      <c r="K751" t="inlineStr">
        <is>
          <t>CH2</t>
        </is>
      </c>
    </row>
    <row r="752">
      <c r="A752" s="33" t="n">
        <v>45735</v>
      </c>
      <c r="B752" t="inlineStr">
        <is>
          <t>2025-03</t>
        </is>
      </c>
      <c r="C752" t="inlineStr">
        <is>
          <t>Sin cliente</t>
        </is>
      </c>
      <c r="D752" t="inlineStr">
        <is>
          <t>PLATAFORMAS RAP-PEYA-UBER-GOOD</t>
        </is>
      </c>
      <c r="E752" s="34" t="n">
        <v>3000</v>
      </c>
      <c r="F752" t="inlineStr">
        <is>
          <t>B</t>
        </is>
      </c>
      <c r="G752" s="34" t="n">
        <v>479</v>
      </c>
      <c r="H752" s="34" t="n">
        <v>2521</v>
      </c>
      <c r="I752" t="inlineStr">
        <is>
          <t>3.6</t>
        </is>
      </c>
      <c r="J752" t="inlineStr">
        <is>
          <t>Ventas Delivery Apps</t>
        </is>
      </c>
      <c r="K752" t="inlineStr">
        <is>
          <t>CH3</t>
        </is>
      </c>
    </row>
    <row r="753">
      <c r="A753" s="33" t="n">
        <v>45735</v>
      </c>
      <c r="B753" t="inlineStr">
        <is>
          <t>2025-03</t>
        </is>
      </c>
      <c r="C753" t="inlineStr">
        <is>
          <t>INVERSIONES Y COMERCIALIZADORA FED LIMITADA</t>
        </is>
      </c>
      <c r="D753" t="inlineStr">
        <is>
          <t>HORECA CAFETERIA</t>
        </is>
      </c>
      <c r="E753" s="34" t="n">
        <v>157257</v>
      </c>
      <c r="F753" t="inlineStr">
        <is>
          <t>F</t>
        </is>
      </c>
      <c r="G753" s="34" t="n">
        <v>25108</v>
      </c>
      <c r="H753" s="34" t="n">
        <v>132149</v>
      </c>
      <c r="I753" t="inlineStr">
        <is>
          <t>3.1</t>
        </is>
      </c>
      <c r="J753" t="inlineStr">
        <is>
          <t>Ventas HoReCa</t>
        </is>
      </c>
      <c r="K753" t="inlineStr">
        <is>
          <t>CH1</t>
        </is>
      </c>
    </row>
    <row r="754">
      <c r="A754" s="33" t="n">
        <v>45735</v>
      </c>
      <c r="B754" t="inlineStr">
        <is>
          <t>2025-03</t>
        </is>
      </c>
      <c r="C754" t="inlineStr">
        <is>
          <t>Sin cliente</t>
        </is>
      </c>
      <c r="D754" t="inlineStr">
        <is>
          <t>CANELÉ TRADICIONAL</t>
        </is>
      </c>
      <c r="E754" s="34" t="n">
        <v>19800</v>
      </c>
      <c r="F754" t="inlineStr">
        <is>
          <t>B</t>
        </is>
      </c>
      <c r="G754" s="34" t="n">
        <v>3161</v>
      </c>
      <c r="H754" s="34" t="n">
        <v>16639</v>
      </c>
      <c r="I754" t="inlineStr">
        <is>
          <t>3.2</t>
        </is>
      </c>
      <c r="J754" t="inlineStr">
        <is>
          <t>Ventas Personas (B2C)</t>
        </is>
      </c>
      <c r="K754" t="inlineStr">
        <is>
          <t>CH2</t>
        </is>
      </c>
    </row>
    <row r="755">
      <c r="A755" s="33" t="n">
        <v>45735</v>
      </c>
      <c r="B755" t="inlineStr">
        <is>
          <t>2025-03</t>
        </is>
      </c>
      <c r="C755" t="inlineStr">
        <is>
          <t>Panduz panaderia y cafeteria SPA</t>
        </is>
      </c>
      <c r="D755" t="inlineStr">
        <is>
          <t>HORECA CAFETERIA</t>
        </is>
      </c>
      <c r="E755" s="34" t="n">
        <v>63990</v>
      </c>
      <c r="F755" t="inlineStr">
        <is>
          <t>F</t>
        </is>
      </c>
      <c r="G755" s="34" t="n">
        <v>10217</v>
      </c>
      <c r="H755" s="34" t="n">
        <v>53773</v>
      </c>
      <c r="I755" t="inlineStr">
        <is>
          <t>3.1</t>
        </is>
      </c>
      <c r="J755" t="inlineStr">
        <is>
          <t>Ventas HoReCa</t>
        </is>
      </c>
      <c r="K755" t="inlineStr">
        <is>
          <t>CH1</t>
        </is>
      </c>
    </row>
    <row r="756">
      <c r="A756" s="33" t="n">
        <v>45735</v>
      </c>
      <c r="B756" t="inlineStr">
        <is>
          <t>2025-03</t>
        </is>
      </c>
      <c r="C756" t="inlineStr">
        <is>
          <t>Lida Sfrasani Rossi</t>
        </is>
      </c>
      <c r="D756" t="inlineStr">
        <is>
          <t>Petit Crunchy</t>
        </is>
      </c>
      <c r="E756" s="34" t="n">
        <v>11800</v>
      </c>
      <c r="F756" t="inlineStr">
        <is>
          <t>B</t>
        </is>
      </c>
      <c r="G756" s="34" t="n">
        <v>1884</v>
      </c>
      <c r="H756" s="34" t="n">
        <v>9916</v>
      </c>
      <c r="I756" t="inlineStr">
        <is>
          <t>3.2</t>
        </is>
      </c>
      <c r="J756" t="inlineStr">
        <is>
          <t>Ventas Personas (B2C)</t>
        </is>
      </c>
      <c r="K756" t="inlineStr">
        <is>
          <t>CH2</t>
        </is>
      </c>
    </row>
    <row r="757">
      <c r="A757" s="33" t="n">
        <v>45736</v>
      </c>
      <c r="B757" t="inlineStr">
        <is>
          <t>2025-03</t>
        </is>
      </c>
      <c r="C757" t="inlineStr">
        <is>
          <t>Café del Parque SpA</t>
        </is>
      </c>
      <c r="D757" t="inlineStr">
        <is>
          <t>HORECA CAFETERIA</t>
        </is>
      </c>
      <c r="E757" s="34" t="n">
        <v>37548</v>
      </c>
      <c r="F757" t="inlineStr">
        <is>
          <t>F</t>
        </is>
      </c>
      <c r="G757" s="34" t="n">
        <v>5995</v>
      </c>
      <c r="H757" s="34" t="n">
        <v>31553</v>
      </c>
      <c r="I757" t="inlineStr">
        <is>
          <t>3.1</t>
        </is>
      </c>
      <c r="J757" t="inlineStr">
        <is>
          <t>Ventas HoReCa</t>
        </is>
      </c>
      <c r="K757" t="inlineStr">
        <is>
          <t>CH1</t>
        </is>
      </c>
    </row>
    <row r="758">
      <c r="A758" s="33" t="n">
        <v>45736</v>
      </c>
      <c r="B758" t="inlineStr">
        <is>
          <t>2025-03</t>
        </is>
      </c>
      <c r="C758" t="inlineStr">
        <is>
          <t>CAFÉ UNDER SPA</t>
        </is>
      </c>
      <c r="D758" t="inlineStr">
        <is>
          <t>HORECA CAFETERIA</t>
        </is>
      </c>
      <c r="E758" s="34" t="n">
        <v>63990</v>
      </c>
      <c r="F758" t="inlineStr">
        <is>
          <t>F</t>
        </is>
      </c>
      <c r="G758" s="34" t="n">
        <v>10217</v>
      </c>
      <c r="H758" s="34" t="n">
        <v>53773</v>
      </c>
      <c r="I758" t="inlineStr">
        <is>
          <t>3.1</t>
        </is>
      </c>
      <c r="J758" t="inlineStr">
        <is>
          <t>Ventas HoReCa</t>
        </is>
      </c>
      <c r="K758" t="inlineStr">
        <is>
          <t>CH1</t>
        </is>
      </c>
    </row>
    <row r="759">
      <c r="A759" s="33" t="n">
        <v>45736</v>
      </c>
      <c r="B759" t="inlineStr">
        <is>
          <t>2025-03</t>
        </is>
      </c>
      <c r="C759" t="inlineStr">
        <is>
          <t>Okinawa Spa</t>
        </is>
      </c>
      <c r="D759" t="inlineStr">
        <is>
          <t>HORECA CAFETERIA</t>
        </is>
      </c>
      <c r="E759" s="34" t="n">
        <v>30884</v>
      </c>
      <c r="F759" t="inlineStr">
        <is>
          <t>F</t>
        </is>
      </c>
      <c r="G759" s="34" t="n">
        <v>4931</v>
      </c>
      <c r="H759" s="34" t="n">
        <v>25953</v>
      </c>
      <c r="I759" t="inlineStr">
        <is>
          <t>3.1</t>
        </is>
      </c>
      <c r="J759" t="inlineStr">
        <is>
          <t>Ventas HoReCa</t>
        </is>
      </c>
      <c r="K759" t="inlineStr">
        <is>
          <t>CH1</t>
        </is>
      </c>
    </row>
    <row r="760">
      <c r="A760" s="33" t="n">
        <v>45736</v>
      </c>
      <c r="B760" t="inlineStr">
        <is>
          <t>2025-03</t>
        </is>
      </c>
      <c r="C760" t="inlineStr">
        <is>
          <t>Sin cliente</t>
        </is>
      </c>
      <c r="D760" t="inlineStr">
        <is>
          <t>PLATAFORMAS RAP-PEYA-UBER-GOOD</t>
        </is>
      </c>
      <c r="E760" s="34" t="n">
        <v>16680</v>
      </c>
      <c r="F760" t="inlineStr">
        <is>
          <t>B</t>
        </is>
      </c>
      <c r="G760" s="34" t="n">
        <v>2663</v>
      </c>
      <c r="H760" s="34" t="n">
        <v>14017</v>
      </c>
      <c r="I760" t="inlineStr">
        <is>
          <t>3.6</t>
        </is>
      </c>
      <c r="J760" t="inlineStr">
        <is>
          <t>Ventas Delivery Apps</t>
        </is>
      </c>
      <c r="K760" t="inlineStr">
        <is>
          <t>CH3</t>
        </is>
      </c>
    </row>
    <row r="761">
      <c r="A761" s="33" t="n">
        <v>45736</v>
      </c>
      <c r="B761" t="inlineStr">
        <is>
          <t>2025-03</t>
        </is>
      </c>
      <c r="C761" t="inlineStr">
        <is>
          <t>Better Food Spa</t>
        </is>
      </c>
      <c r="D761" t="inlineStr">
        <is>
          <t>HORECA CAFETERIA</t>
        </is>
      </c>
      <c r="E761" s="34" t="n">
        <v>329868</v>
      </c>
      <c r="F761" t="inlineStr">
        <is>
          <t>F</t>
        </is>
      </c>
      <c r="G761" s="34" t="n">
        <v>52668</v>
      </c>
      <c r="H761" s="34" t="n">
        <v>277200</v>
      </c>
      <c r="I761" t="inlineStr">
        <is>
          <t>3.1</t>
        </is>
      </c>
      <c r="J761" t="inlineStr">
        <is>
          <t>Ventas HoReCa</t>
        </is>
      </c>
      <c r="K761" t="inlineStr">
        <is>
          <t>CH1</t>
        </is>
      </c>
    </row>
    <row r="762">
      <c r="A762" s="33" t="n">
        <v>45736</v>
      </c>
      <c r="B762" t="inlineStr">
        <is>
          <t>2025-03</t>
        </is>
      </c>
      <c r="C762" t="inlineStr">
        <is>
          <t>CAFETERÍAS MISTER SPA</t>
        </is>
      </c>
      <c r="D762" t="inlineStr">
        <is>
          <t>HORECA CAFETERIA</t>
        </is>
      </c>
      <c r="E762" s="34" t="n">
        <v>63990</v>
      </c>
      <c r="F762" t="inlineStr">
        <is>
          <t>F</t>
        </is>
      </c>
      <c r="G762" s="34" t="n">
        <v>10217</v>
      </c>
      <c r="H762" s="34" t="n">
        <v>53773</v>
      </c>
      <c r="I762" t="inlineStr">
        <is>
          <t>3.1</t>
        </is>
      </c>
      <c r="J762" t="inlineStr">
        <is>
          <t>Ventas HoReCa</t>
        </is>
      </c>
      <c r="K762" t="inlineStr">
        <is>
          <t>CH1</t>
        </is>
      </c>
    </row>
    <row r="763">
      <c r="A763" s="33" t="n">
        <v>45736</v>
      </c>
      <c r="B763" t="inlineStr">
        <is>
          <t>2025-03</t>
        </is>
      </c>
      <c r="C763" t="inlineStr">
        <is>
          <t>HUERTO SUR LIMITADA</t>
        </is>
      </c>
      <c r="D763" t="inlineStr">
        <is>
          <t>HORECA CAFETERIA</t>
        </is>
      </c>
      <c r="E763" s="34" t="n">
        <v>165730</v>
      </c>
      <c r="F763" t="inlineStr">
        <is>
          <t>F</t>
        </is>
      </c>
      <c r="G763" s="34" t="n">
        <v>26461</v>
      </c>
      <c r="H763" s="34" t="n">
        <v>139269</v>
      </c>
      <c r="I763" t="inlineStr">
        <is>
          <t>3.1</t>
        </is>
      </c>
      <c r="J763" t="inlineStr">
        <is>
          <t>Ventas HoReCa</t>
        </is>
      </c>
      <c r="K763" t="inlineStr">
        <is>
          <t>CH1</t>
        </is>
      </c>
    </row>
    <row r="764">
      <c r="A764" s="33" t="n">
        <v>45736</v>
      </c>
      <c r="B764" t="inlineStr">
        <is>
          <t>2025-03</t>
        </is>
      </c>
      <c r="C764" t="inlineStr">
        <is>
          <t>Valentina Vergara</t>
        </is>
      </c>
      <c r="D764" t="inlineStr">
        <is>
          <t>CANELÉ TRADICIONAL</t>
        </is>
      </c>
      <c r="E764" s="34" t="n">
        <v>22810</v>
      </c>
      <c r="F764" t="inlineStr">
        <is>
          <t>B</t>
        </is>
      </c>
      <c r="G764" s="34" t="n">
        <v>3642</v>
      </c>
      <c r="H764" s="34" t="n">
        <v>19168</v>
      </c>
      <c r="I764" t="inlineStr">
        <is>
          <t>3.2</t>
        </is>
      </c>
      <c r="J764" t="inlineStr">
        <is>
          <t>Ventas Personas (B2C)</t>
        </is>
      </c>
      <c r="K764" t="inlineStr">
        <is>
          <t>CH2</t>
        </is>
      </c>
    </row>
    <row r="765">
      <c r="A765" s="33" t="n">
        <v>45736</v>
      </c>
      <c r="B765" t="inlineStr">
        <is>
          <t>2025-03</t>
        </is>
      </c>
      <c r="C765" t="inlineStr">
        <is>
          <t>Cafeteria de especialidad al paso Michael C. Plaza</t>
        </is>
      </c>
      <c r="D765" t="inlineStr">
        <is>
          <t>HORECA CAFETERIA</t>
        </is>
      </c>
      <c r="E765" s="34" t="n">
        <v>69000</v>
      </c>
      <c r="F765" t="inlineStr">
        <is>
          <t>F</t>
        </is>
      </c>
      <c r="G765" s="34" t="n">
        <v>11017</v>
      </c>
      <c r="H765" s="34" t="n">
        <v>57983</v>
      </c>
      <c r="I765" t="inlineStr">
        <is>
          <t>3.1</t>
        </is>
      </c>
      <c r="J765" t="inlineStr">
        <is>
          <t>Ventas HoReCa</t>
        </is>
      </c>
      <c r="K765" t="inlineStr">
        <is>
          <t>CH1</t>
        </is>
      </c>
    </row>
    <row r="766">
      <c r="A766" s="33" t="n">
        <v>45736</v>
      </c>
      <c r="B766" t="inlineStr">
        <is>
          <t>2025-03</t>
        </is>
      </c>
      <c r="C766" t="inlineStr">
        <is>
          <t>Sin cliente</t>
        </is>
      </c>
      <c r="D766" t="inlineStr">
        <is>
          <t>CANELÉ TRADICIONAL</t>
        </is>
      </c>
      <c r="E766" s="34" t="n">
        <v>13900</v>
      </c>
      <c r="F766" t="inlineStr">
        <is>
          <t>B</t>
        </is>
      </c>
      <c r="G766" s="34" t="n">
        <v>2219</v>
      </c>
      <c r="H766" s="34" t="n">
        <v>11681</v>
      </c>
      <c r="I766" t="inlineStr">
        <is>
          <t>3.2</t>
        </is>
      </c>
      <c r="J766" t="inlineStr">
        <is>
          <t>Ventas Personas (B2C)</t>
        </is>
      </c>
      <c r="K766" t="inlineStr">
        <is>
          <t>CH2</t>
        </is>
      </c>
    </row>
    <row r="767">
      <c r="A767" s="33" t="n">
        <v>45736</v>
      </c>
      <c r="B767" t="inlineStr">
        <is>
          <t>2025-03</t>
        </is>
      </c>
      <c r="C767" t="inlineStr">
        <is>
          <t>Sin cliente</t>
        </is>
      </c>
      <c r="D767" t="inlineStr">
        <is>
          <t>CANELÉ TRADICIONAL</t>
        </is>
      </c>
      <c r="E767" s="34" t="n">
        <v>13900</v>
      </c>
      <c r="F767" t="inlineStr">
        <is>
          <t>B</t>
        </is>
      </c>
      <c r="G767" s="34" t="n">
        <v>2219</v>
      </c>
      <c r="H767" s="34" t="n">
        <v>11681</v>
      </c>
      <c r="I767" t="inlineStr">
        <is>
          <t>3.2</t>
        </is>
      </c>
      <c r="J767" t="inlineStr">
        <is>
          <t>Ventas Personas (B2C)</t>
        </is>
      </c>
      <c r="K767" t="inlineStr">
        <is>
          <t>CH2</t>
        </is>
      </c>
    </row>
    <row r="768">
      <c r="A768" s="33" t="n">
        <v>45736</v>
      </c>
      <c r="B768" t="inlineStr">
        <is>
          <t>2025-03</t>
        </is>
      </c>
      <c r="C768" t="inlineStr">
        <is>
          <t>Sin cliente</t>
        </is>
      </c>
      <c r="D768" t="inlineStr">
        <is>
          <t>Petit Tradicional</t>
        </is>
      </c>
      <c r="E768" s="34" t="n">
        <v>17280</v>
      </c>
      <c r="F768" t="inlineStr">
        <is>
          <t>B</t>
        </is>
      </c>
      <c r="G768" s="34" t="n">
        <v>2759</v>
      </c>
      <c r="H768" s="34" t="n">
        <v>14521</v>
      </c>
      <c r="I768" t="inlineStr">
        <is>
          <t>3.2</t>
        </is>
      </c>
      <c r="J768" t="inlineStr">
        <is>
          <t>Ventas Personas (B2C)</t>
        </is>
      </c>
      <c r="K768" t="inlineStr">
        <is>
          <t>CH2</t>
        </is>
      </c>
    </row>
    <row r="769">
      <c r="A769" s="33" t="n">
        <v>45736</v>
      </c>
      <c r="B769" t="inlineStr">
        <is>
          <t>2025-03</t>
        </is>
      </c>
      <c r="C769" t="inlineStr">
        <is>
          <t>Tatiana Campo</t>
        </is>
      </c>
      <c r="D769" t="inlineStr">
        <is>
          <t>CANELÉ TRADICIONAL</t>
        </is>
      </c>
      <c r="E769" s="34" t="n">
        <v>29200</v>
      </c>
      <c r="F769" t="inlineStr">
        <is>
          <t>B</t>
        </is>
      </c>
      <c r="G769" s="34" t="n">
        <v>4662</v>
      </c>
      <c r="H769" s="34" t="n">
        <v>24538</v>
      </c>
      <c r="I769" t="inlineStr">
        <is>
          <t>3.2</t>
        </is>
      </c>
      <c r="J769" t="inlineStr">
        <is>
          <t>Ventas Personas (B2C)</t>
        </is>
      </c>
      <c r="K769" t="inlineStr">
        <is>
          <t>CH2</t>
        </is>
      </c>
    </row>
    <row r="770">
      <c r="A770" s="33" t="n">
        <v>45736</v>
      </c>
      <c r="B770" t="inlineStr">
        <is>
          <t>2025-03</t>
        </is>
      </c>
      <c r="C770" t="inlineStr">
        <is>
          <t>Felipe Olivares Gaete</t>
        </is>
      </c>
      <c r="D770" t="inlineStr">
        <is>
          <t>CANELÉ TRADICIONAL</t>
        </is>
      </c>
      <c r="E770" s="34" t="n">
        <v>26900</v>
      </c>
      <c r="F770" t="inlineStr">
        <is>
          <t>B</t>
        </is>
      </c>
      <c r="G770" s="34" t="n">
        <v>4295</v>
      </c>
      <c r="H770" s="34" t="n">
        <v>22605</v>
      </c>
      <c r="I770" t="inlineStr">
        <is>
          <t>3.2</t>
        </is>
      </c>
      <c r="J770" t="inlineStr">
        <is>
          <t>Ventas Personas (B2C)</t>
        </is>
      </c>
      <c r="K770" t="inlineStr">
        <is>
          <t>CH2</t>
        </is>
      </c>
    </row>
    <row r="771">
      <c r="A771" s="33" t="n">
        <v>45737</v>
      </c>
      <c r="B771" t="inlineStr">
        <is>
          <t>2025-03</t>
        </is>
      </c>
      <c r="C771" t="inlineStr">
        <is>
          <t>Valeria Miranda</t>
        </is>
      </c>
      <c r="D771" t="inlineStr">
        <is>
          <t>Rellenos</t>
        </is>
      </c>
      <c r="E771" s="34" t="n">
        <v>29999</v>
      </c>
      <c r="F771" t="inlineStr">
        <is>
          <t>B</t>
        </is>
      </c>
      <c r="G771" s="34" t="n">
        <v>4790</v>
      </c>
      <c r="H771" s="34" t="n">
        <v>25209</v>
      </c>
      <c r="I771" t="inlineStr">
        <is>
          <t>3.2</t>
        </is>
      </c>
      <c r="J771" t="inlineStr">
        <is>
          <t>Ventas Personas (B2C)</t>
        </is>
      </c>
      <c r="K771" t="inlineStr">
        <is>
          <t>CH2</t>
        </is>
      </c>
    </row>
    <row r="772">
      <c r="A772" s="33" t="n">
        <v>45737</v>
      </c>
      <c r="B772" t="inlineStr">
        <is>
          <t>2025-03</t>
        </is>
      </c>
      <c r="C772" t="inlineStr">
        <is>
          <t>Sociedad de inversiones solari y acuña spa</t>
        </is>
      </c>
      <c r="D772" t="inlineStr">
        <is>
          <t>HORECA CAFETERIA</t>
        </is>
      </c>
      <c r="E772" s="34" t="n">
        <v>138388</v>
      </c>
      <c r="F772" t="inlineStr">
        <is>
          <t>F</t>
        </is>
      </c>
      <c r="G772" s="34" t="n">
        <v>22096</v>
      </c>
      <c r="H772" s="34" t="n">
        <v>116292</v>
      </c>
      <c r="I772" t="inlineStr">
        <is>
          <t>3.1</t>
        </is>
      </c>
      <c r="J772" t="inlineStr">
        <is>
          <t>Ventas HoReCa</t>
        </is>
      </c>
      <c r="K772" t="inlineStr">
        <is>
          <t>CH1</t>
        </is>
      </c>
    </row>
    <row r="773">
      <c r="A773" s="33" t="n">
        <v>45737</v>
      </c>
      <c r="B773" t="inlineStr">
        <is>
          <t>2025-03</t>
        </is>
      </c>
      <c r="C773" t="inlineStr">
        <is>
          <t>maria mora</t>
        </is>
      </c>
      <c r="D773" t="inlineStr">
        <is>
          <t>CANELE SIN AZUCAR</t>
        </is>
      </c>
      <c r="E773" s="34" t="n">
        <v>29200</v>
      </c>
      <c r="F773" t="inlineStr">
        <is>
          <t>B</t>
        </is>
      </c>
      <c r="G773" s="34" t="n">
        <v>4662</v>
      </c>
      <c r="H773" s="34" t="n">
        <v>24538</v>
      </c>
      <c r="I773" t="inlineStr">
        <is>
          <t>3.2</t>
        </is>
      </c>
      <c r="J773" t="inlineStr">
        <is>
          <t>Ventas Personas (B2C)</t>
        </is>
      </c>
      <c r="K773" t="inlineStr">
        <is>
          <t>CH2</t>
        </is>
      </c>
    </row>
    <row r="774">
      <c r="A774" s="33" t="n">
        <v>45737</v>
      </c>
      <c r="B774" t="inlineStr">
        <is>
          <t>2025-03</t>
        </is>
      </c>
      <c r="C774" t="inlineStr">
        <is>
          <t>Inversiones Café Dominicos SpA</t>
        </is>
      </c>
      <c r="D774" t="inlineStr">
        <is>
          <t xml:space="preserve">THE COFFEE STORE </t>
        </is>
      </c>
      <c r="E774" s="34" t="n">
        <v>36977</v>
      </c>
      <c r="F774" t="inlineStr">
        <is>
          <t>F</t>
        </is>
      </c>
      <c r="G774" s="34" t="n">
        <v>5904</v>
      </c>
      <c r="H774" s="34" t="n">
        <v>31073</v>
      </c>
      <c r="I774" t="inlineStr">
        <is>
          <t>3.1</t>
        </is>
      </c>
      <c r="J774" t="inlineStr">
        <is>
          <t>Ventas HoReCa</t>
        </is>
      </c>
      <c r="K774" t="inlineStr">
        <is>
          <t>CH1</t>
        </is>
      </c>
    </row>
    <row r="775">
      <c r="A775" s="33" t="n">
        <v>45737</v>
      </c>
      <c r="B775" t="inlineStr">
        <is>
          <t>2025-03</t>
        </is>
      </c>
      <c r="C775" t="inlineStr">
        <is>
          <t>Belen Salgado</t>
        </is>
      </c>
      <c r="D775" t="inlineStr">
        <is>
          <t>Petit Tradicional</t>
        </is>
      </c>
      <c r="E775" s="34" t="n">
        <v>13709</v>
      </c>
      <c r="F775" t="inlineStr">
        <is>
          <t>B</t>
        </is>
      </c>
      <c r="G775" s="34" t="n">
        <v>2189</v>
      </c>
      <c r="H775" s="34" t="n">
        <v>11520</v>
      </c>
      <c r="I775" t="inlineStr">
        <is>
          <t>3.2</t>
        </is>
      </c>
      <c r="J775" t="inlineStr">
        <is>
          <t>Ventas Personas (B2C)</t>
        </is>
      </c>
      <c r="K775" t="inlineStr">
        <is>
          <t>CH2</t>
        </is>
      </c>
    </row>
    <row r="776">
      <c r="A776" s="33" t="n">
        <v>45737</v>
      </c>
      <c r="B776" t="inlineStr">
        <is>
          <t>2025-03</t>
        </is>
      </c>
      <c r="C776" t="inlineStr">
        <is>
          <t>GALVEZ Y HEUSSER SPA</t>
        </is>
      </c>
      <c r="D776" t="inlineStr">
        <is>
          <t>HORECA CATERING</t>
        </is>
      </c>
      <c r="E776" s="34" t="n">
        <v>178689</v>
      </c>
      <c r="F776" t="inlineStr">
        <is>
          <t>F</t>
        </is>
      </c>
      <c r="G776" s="34" t="n">
        <v>28530</v>
      </c>
      <c r="H776" s="34" t="n">
        <v>150159</v>
      </c>
      <c r="I776" t="inlineStr">
        <is>
          <t>3.1</t>
        </is>
      </c>
      <c r="J776" t="inlineStr">
        <is>
          <t>Ventas HoReCa</t>
        </is>
      </c>
      <c r="K776" t="inlineStr">
        <is>
          <t>CH1</t>
        </is>
      </c>
    </row>
    <row r="777">
      <c r="A777" s="33" t="n">
        <v>45737</v>
      </c>
      <c r="B777" t="inlineStr">
        <is>
          <t>2025-03</t>
        </is>
      </c>
      <c r="C777" t="inlineStr">
        <is>
          <t>POMPON SPA</t>
        </is>
      </c>
      <c r="D777" t="inlineStr">
        <is>
          <t>HORECA CAFETERIA</t>
        </is>
      </c>
      <c r="E777" s="34" t="n">
        <v>220150</v>
      </c>
      <c r="F777" t="inlineStr">
        <is>
          <t>F</t>
        </is>
      </c>
      <c r="G777" s="34" t="n">
        <v>35150</v>
      </c>
      <c r="H777" s="34" t="n">
        <v>185000</v>
      </c>
      <c r="I777" t="inlineStr">
        <is>
          <t>3.1</t>
        </is>
      </c>
      <c r="J777" t="inlineStr">
        <is>
          <t>Ventas HoReCa</t>
        </is>
      </c>
      <c r="K777" t="inlineStr">
        <is>
          <t>CH1</t>
        </is>
      </c>
    </row>
    <row r="778">
      <c r="A778" s="33" t="n">
        <v>45737</v>
      </c>
      <c r="B778" t="inlineStr">
        <is>
          <t>2025-03</t>
        </is>
      </c>
      <c r="C778" t="inlineStr">
        <is>
          <t>VILAS BANQUETERIAS SPA</t>
        </is>
      </c>
      <c r="D778" t="inlineStr">
        <is>
          <t>HORECA CATERING</t>
        </is>
      </c>
      <c r="E778" s="34" t="n">
        <v>182490</v>
      </c>
      <c r="F778" t="inlineStr">
        <is>
          <t>F</t>
        </is>
      </c>
      <c r="G778" s="34" t="n">
        <v>29137</v>
      </c>
      <c r="H778" s="34" t="n">
        <v>153353</v>
      </c>
      <c r="I778" t="inlineStr">
        <is>
          <t>3.1</t>
        </is>
      </c>
      <c r="J778" t="inlineStr">
        <is>
          <t>Ventas HoReCa</t>
        </is>
      </c>
      <c r="K778" t="inlineStr">
        <is>
          <t>CH1</t>
        </is>
      </c>
    </row>
    <row r="779">
      <c r="A779" s="33" t="n">
        <v>45737</v>
      </c>
      <c r="B779" t="inlineStr">
        <is>
          <t>2025-03</t>
        </is>
      </c>
      <c r="C779" t="inlineStr">
        <is>
          <t>CAFE DIARIO ENCOMENDEROS SPA</t>
        </is>
      </c>
      <c r="D779" t="inlineStr">
        <is>
          <t>HORECA CAFETERIA</t>
        </is>
      </c>
      <c r="E779" s="34" t="n">
        <v>112818</v>
      </c>
      <c r="F779" t="inlineStr">
        <is>
          <t>F</t>
        </is>
      </c>
      <c r="G779" s="34" t="n">
        <v>18013</v>
      </c>
      <c r="H779" s="34" t="n">
        <v>94805</v>
      </c>
      <c r="I779" t="inlineStr">
        <is>
          <t>3.1</t>
        </is>
      </c>
      <c r="J779" t="inlineStr">
        <is>
          <t>Ventas HoReCa</t>
        </is>
      </c>
      <c r="K779" t="inlineStr">
        <is>
          <t>CH1</t>
        </is>
      </c>
    </row>
    <row r="780">
      <c r="A780" s="33" t="n">
        <v>45737</v>
      </c>
      <c r="B780" t="inlineStr">
        <is>
          <t>2025-03</t>
        </is>
      </c>
      <c r="C780" t="inlineStr">
        <is>
          <t>DIEGO VARGAS BANQUETERIA Y EVENTOS SPA</t>
        </is>
      </c>
      <c r="D780" t="inlineStr">
        <is>
          <t>HORECA CATERING</t>
        </is>
      </c>
      <c r="E780" s="34" t="n">
        <v>183490</v>
      </c>
      <c r="F780" t="inlineStr">
        <is>
          <t>F</t>
        </is>
      </c>
      <c r="G780" s="34" t="n">
        <v>29297</v>
      </c>
      <c r="H780" s="34" t="n">
        <v>154193</v>
      </c>
      <c r="I780" t="inlineStr">
        <is>
          <t>3.1</t>
        </is>
      </c>
      <c r="J780" t="inlineStr">
        <is>
          <t>Ventas HoReCa</t>
        </is>
      </c>
      <c r="K780" t="inlineStr">
        <is>
          <t>CH1</t>
        </is>
      </c>
    </row>
    <row r="781">
      <c r="A781" s="33" t="n">
        <v>45737</v>
      </c>
      <c r="B781" t="inlineStr">
        <is>
          <t>2025-03</t>
        </is>
      </c>
      <c r="C781" t="inlineStr">
        <is>
          <t>Sin cliente</t>
        </is>
      </c>
      <c r="D781" t="inlineStr">
        <is>
          <t>Petit Tradicional</t>
        </is>
      </c>
      <c r="E781" s="34" t="n">
        <v>30900</v>
      </c>
      <c r="F781" t="inlineStr">
        <is>
          <t>B</t>
        </is>
      </c>
      <c r="G781" s="34" t="n">
        <v>4934</v>
      </c>
      <c r="H781" s="34" t="n">
        <v>25966</v>
      </c>
      <c r="I781" t="inlineStr">
        <is>
          <t>3.2</t>
        </is>
      </c>
      <c r="J781" t="inlineStr">
        <is>
          <t>Ventas Personas (B2C)</t>
        </is>
      </c>
      <c r="K781" t="inlineStr">
        <is>
          <t>CH2</t>
        </is>
      </c>
    </row>
    <row r="782">
      <c r="A782" s="33" t="n">
        <v>45737</v>
      </c>
      <c r="B782" t="inlineStr">
        <is>
          <t>2025-03</t>
        </is>
      </c>
      <c r="C782" t="inlineStr">
        <is>
          <t>Sin cliente</t>
        </is>
      </c>
      <c r="D782" t="inlineStr">
        <is>
          <t>Petit Tradicional</t>
        </is>
      </c>
      <c r="E782" s="34" t="n">
        <v>21600</v>
      </c>
      <c r="F782" t="inlineStr">
        <is>
          <t>B</t>
        </is>
      </c>
      <c r="G782" s="34" t="n">
        <v>3449</v>
      </c>
      <c r="H782" s="34" t="n">
        <v>18151</v>
      </c>
      <c r="I782" t="inlineStr">
        <is>
          <t>3.2</t>
        </is>
      </c>
      <c r="J782" t="inlineStr">
        <is>
          <t>Ventas Personas (B2C)</t>
        </is>
      </c>
      <c r="K782" t="inlineStr">
        <is>
          <t>CH2</t>
        </is>
      </c>
    </row>
    <row r="783">
      <c r="A783" s="33" t="n">
        <v>45737</v>
      </c>
      <c r="B783" t="inlineStr">
        <is>
          <t>2025-03</t>
        </is>
      </c>
      <c r="C783" t="inlineStr">
        <is>
          <t>Sin cliente</t>
        </is>
      </c>
      <c r="D783" t="inlineStr">
        <is>
          <t>PLATAFORMAS RAP-PEYA-UBER-GOOD</t>
        </is>
      </c>
      <c r="E783" s="34" t="n">
        <v>25080</v>
      </c>
      <c r="F783" t="inlineStr">
        <is>
          <t>B</t>
        </is>
      </c>
      <c r="G783" s="34" t="n">
        <v>4004</v>
      </c>
      <c r="H783" s="34" t="n">
        <v>21076</v>
      </c>
      <c r="I783" t="inlineStr">
        <is>
          <t>3.6</t>
        </is>
      </c>
      <c r="J783" t="inlineStr">
        <is>
          <t>Ventas Delivery Apps</t>
        </is>
      </c>
      <c r="K783" t="inlineStr">
        <is>
          <t>CH3</t>
        </is>
      </c>
    </row>
    <row r="784">
      <c r="A784" s="33" t="n">
        <v>45737</v>
      </c>
      <c r="B784" t="inlineStr">
        <is>
          <t>2025-03</t>
        </is>
      </c>
      <c r="C784" t="inlineStr">
        <is>
          <t>Sin cliente</t>
        </is>
      </c>
      <c r="D784" t="inlineStr">
        <is>
          <t>CANELÉ TRADICIONAL</t>
        </is>
      </c>
      <c r="E784" s="34" t="n">
        <v>21900</v>
      </c>
      <c r="F784" t="inlineStr">
        <is>
          <t>B</t>
        </is>
      </c>
      <c r="G784" s="34" t="n">
        <v>3497</v>
      </c>
      <c r="H784" s="34" t="n">
        <v>18403</v>
      </c>
      <c r="I784" t="inlineStr">
        <is>
          <t>3.2</t>
        </is>
      </c>
      <c r="J784" t="inlineStr">
        <is>
          <t>Ventas Personas (B2C)</t>
        </is>
      </c>
      <c r="K784" t="inlineStr">
        <is>
          <t>CH2</t>
        </is>
      </c>
    </row>
    <row r="785">
      <c r="A785" s="33" t="n">
        <v>45737</v>
      </c>
      <c r="B785" t="inlineStr">
        <is>
          <t>2025-03</t>
        </is>
      </c>
      <c r="C785" t="inlineStr">
        <is>
          <t>Sin cliente</t>
        </is>
      </c>
      <c r="D785" t="inlineStr">
        <is>
          <t>CANELÉ TRADICIONAL</t>
        </is>
      </c>
      <c r="E785" s="34" t="n">
        <v>29890</v>
      </c>
      <c r="F785" t="inlineStr">
        <is>
          <t>B</t>
        </is>
      </c>
      <c r="G785" s="34" t="n">
        <v>4772</v>
      </c>
      <c r="H785" s="34" t="n">
        <v>25118</v>
      </c>
      <c r="I785" t="inlineStr">
        <is>
          <t>3.2</t>
        </is>
      </c>
      <c r="J785" t="inlineStr">
        <is>
          <t>Ventas Personas (B2C)</t>
        </is>
      </c>
      <c r="K785" t="inlineStr">
        <is>
          <t>CH2</t>
        </is>
      </c>
    </row>
    <row r="786">
      <c r="A786" s="33" t="n">
        <v>45737</v>
      </c>
      <c r="B786" t="inlineStr">
        <is>
          <t>2025-03</t>
        </is>
      </c>
      <c r="C786" t="inlineStr">
        <is>
          <t>JNCONCEPT SPA</t>
        </is>
      </c>
      <c r="D786" t="inlineStr">
        <is>
          <t>CANELE SIN AZUCAR</t>
        </is>
      </c>
      <c r="E786" s="34" t="n">
        <v>112500</v>
      </c>
      <c r="F786" t="inlineStr">
        <is>
          <t>F</t>
        </is>
      </c>
      <c r="G786" s="34" t="n">
        <v>17962</v>
      </c>
      <c r="H786" s="34" t="n">
        <v>94538</v>
      </c>
      <c r="I786" t="inlineStr">
        <is>
          <t>3.1</t>
        </is>
      </c>
      <c r="J786" t="inlineStr">
        <is>
          <t>Ventas HoReCa</t>
        </is>
      </c>
      <c r="K786" t="inlineStr">
        <is>
          <t>CH1</t>
        </is>
      </c>
    </row>
    <row r="787">
      <c r="A787" s="33" t="n">
        <v>45737</v>
      </c>
      <c r="B787" t="inlineStr">
        <is>
          <t>2025-03</t>
        </is>
      </c>
      <c r="C787" t="inlineStr">
        <is>
          <t>Consuelo Alfaro</t>
        </is>
      </c>
      <c r="D787" t="inlineStr">
        <is>
          <t>Petit Crunchy</t>
        </is>
      </c>
      <c r="E787" s="34" t="n">
        <v>18890</v>
      </c>
      <c r="F787" t="inlineStr">
        <is>
          <t>B</t>
        </is>
      </c>
      <c r="G787" s="34" t="n">
        <v>3016</v>
      </c>
      <c r="H787" s="34" t="n">
        <v>15874</v>
      </c>
      <c r="I787" t="inlineStr">
        <is>
          <t>3.2</t>
        </is>
      </c>
      <c r="J787" t="inlineStr">
        <is>
          <t>Ventas Personas (B2C)</t>
        </is>
      </c>
      <c r="K787" t="inlineStr">
        <is>
          <t>CH2</t>
        </is>
      </c>
    </row>
    <row r="788">
      <c r="A788" s="33" t="n">
        <v>45738</v>
      </c>
      <c r="B788" t="inlineStr">
        <is>
          <t>2025-03</t>
        </is>
      </c>
      <c r="C788" t="inlineStr">
        <is>
          <t>Javiera Ziehe</t>
        </is>
      </c>
      <c r="D788" t="inlineStr">
        <is>
          <t>Petit Crunchy</t>
        </is>
      </c>
      <c r="E788" s="34" t="n">
        <v>29889</v>
      </c>
      <c r="F788" t="inlineStr">
        <is>
          <t>B</t>
        </is>
      </c>
      <c r="G788" s="34" t="n">
        <v>4772</v>
      </c>
      <c r="H788" s="34" t="n">
        <v>25117</v>
      </c>
      <c r="I788" t="inlineStr">
        <is>
          <t>3.2</t>
        </is>
      </c>
      <c r="J788" t="inlineStr">
        <is>
          <t>Ventas Personas (B2C)</t>
        </is>
      </c>
      <c r="K788" t="inlineStr">
        <is>
          <t>CH2</t>
        </is>
      </c>
    </row>
    <row r="789">
      <c r="A789" s="33" t="n">
        <v>45738</v>
      </c>
      <c r="B789" t="inlineStr">
        <is>
          <t>2025-03</t>
        </is>
      </c>
      <c r="C789" t="inlineStr">
        <is>
          <t>Sin cliente</t>
        </is>
      </c>
      <c r="D789" t="inlineStr">
        <is>
          <t>PLATAFORMAS RAP-PEYA-UBER-GOOD</t>
        </is>
      </c>
      <c r="E789" s="34" t="n">
        <v>30840</v>
      </c>
      <c r="F789" t="inlineStr">
        <is>
          <t>B</t>
        </is>
      </c>
      <c r="G789" s="34" t="n">
        <v>4924</v>
      </c>
      <c r="H789" s="34" t="n">
        <v>25916</v>
      </c>
      <c r="I789" t="inlineStr">
        <is>
          <t>3.6</t>
        </is>
      </c>
      <c r="J789" t="inlineStr">
        <is>
          <t>Ventas Delivery Apps</t>
        </is>
      </c>
      <c r="K789" t="inlineStr">
        <is>
          <t>CH3</t>
        </is>
      </c>
    </row>
    <row r="790">
      <c r="A790" s="33" t="n">
        <v>45738</v>
      </c>
      <c r="B790" t="inlineStr">
        <is>
          <t>2025-03</t>
        </is>
      </c>
      <c r="C790" t="inlineStr">
        <is>
          <t>Sin cliente</t>
        </is>
      </c>
      <c r="D790" t="inlineStr">
        <is>
          <t>CANELÉ TRADICIONAL</t>
        </is>
      </c>
      <c r="E790" s="34" t="n">
        <v>21900</v>
      </c>
      <c r="F790" t="inlineStr">
        <is>
          <t>B</t>
        </is>
      </c>
      <c r="G790" s="34" t="n">
        <v>3497</v>
      </c>
      <c r="H790" s="34" t="n">
        <v>18403</v>
      </c>
      <c r="I790" t="inlineStr">
        <is>
          <t>3.2</t>
        </is>
      </c>
      <c r="J790" t="inlineStr">
        <is>
          <t>Ventas Personas (B2C)</t>
        </is>
      </c>
      <c r="K790" t="inlineStr">
        <is>
          <t>CH2</t>
        </is>
      </c>
    </row>
    <row r="791">
      <c r="A791" s="33" t="n">
        <v>45738</v>
      </c>
      <c r="B791" t="inlineStr">
        <is>
          <t>2025-03</t>
        </is>
      </c>
      <c r="C791" t="inlineStr">
        <is>
          <t>RC BANQUETERIA SPA</t>
        </is>
      </c>
      <c r="D791" t="inlineStr">
        <is>
          <t>Petit Crunchy</t>
        </is>
      </c>
      <c r="E791" s="34" t="n">
        <v>38890</v>
      </c>
      <c r="F791" t="inlineStr">
        <is>
          <t>F</t>
        </is>
      </c>
      <c r="G791" s="34" t="n">
        <v>6209</v>
      </c>
      <c r="H791" s="34" t="n">
        <v>32681</v>
      </c>
      <c r="I791" t="inlineStr">
        <is>
          <t>3.1</t>
        </is>
      </c>
      <c r="J791" t="inlineStr">
        <is>
          <t>Ventas HoReCa</t>
        </is>
      </c>
      <c r="K791" t="inlineStr">
        <is>
          <t>CH1</t>
        </is>
      </c>
    </row>
    <row r="792">
      <c r="A792" s="33" t="n">
        <v>45740</v>
      </c>
      <c r="B792" t="inlineStr">
        <is>
          <t>2025-03</t>
        </is>
      </c>
      <c r="C792" t="inlineStr">
        <is>
          <t>DIEGO VARGAS BANQUETERIA Y EVENTOS SPA</t>
        </is>
      </c>
      <c r="D792" t="inlineStr">
        <is>
          <t>HORECA CATERING</t>
        </is>
      </c>
      <c r="E792" s="34" t="n">
        <v>183490</v>
      </c>
      <c r="F792" t="inlineStr">
        <is>
          <t>F</t>
        </is>
      </c>
      <c r="G792" s="34" t="n">
        <v>29297</v>
      </c>
      <c r="H792" s="34" t="n">
        <v>154193</v>
      </c>
      <c r="I792" t="inlineStr">
        <is>
          <t>3.1</t>
        </is>
      </c>
      <c r="J792" t="inlineStr">
        <is>
          <t>Ventas HoReCa</t>
        </is>
      </c>
      <c r="K792" t="inlineStr">
        <is>
          <t>CH1</t>
        </is>
      </c>
    </row>
    <row r="793">
      <c r="A793" s="33" t="n">
        <v>45740</v>
      </c>
      <c r="B793" t="inlineStr">
        <is>
          <t>2025-03</t>
        </is>
      </c>
      <c r="C793" t="inlineStr">
        <is>
          <t>CAFETERÍA ALTURA LIMITADA</t>
        </is>
      </c>
      <c r="D793" t="inlineStr">
        <is>
          <t>HORECA CAFETERIA</t>
        </is>
      </c>
      <c r="E793" s="34" t="n">
        <v>103830</v>
      </c>
      <c r="F793" t="inlineStr">
        <is>
          <t>F</t>
        </is>
      </c>
      <c r="G793" s="34" t="n">
        <v>16578</v>
      </c>
      <c r="H793" s="34" t="n">
        <v>87252</v>
      </c>
      <c r="I793" t="inlineStr">
        <is>
          <t>3.1</t>
        </is>
      </c>
      <c r="J793" t="inlineStr">
        <is>
          <t>Ventas HoReCa</t>
        </is>
      </c>
      <c r="K793" t="inlineStr">
        <is>
          <t>CH1</t>
        </is>
      </c>
    </row>
    <row r="794">
      <c r="A794" s="33" t="n">
        <v>45740</v>
      </c>
      <c r="B794" t="inlineStr">
        <is>
          <t>2025-03</t>
        </is>
      </c>
      <c r="C794" t="inlineStr">
        <is>
          <t>INVERSIONES Y COMERCIALIZADORA FED LIMITADA</t>
        </is>
      </c>
      <c r="D794" t="inlineStr">
        <is>
          <t>HORECA CAFETERIA</t>
        </is>
      </c>
      <c r="E794" s="34" t="n">
        <v>129790</v>
      </c>
      <c r="F794" t="inlineStr">
        <is>
          <t>F</t>
        </is>
      </c>
      <c r="G794" s="34" t="n">
        <v>20723</v>
      </c>
      <c r="H794" s="34" t="n">
        <v>109067</v>
      </c>
      <c r="I794" t="inlineStr">
        <is>
          <t>3.1</t>
        </is>
      </c>
      <c r="J794" t="inlineStr">
        <is>
          <t>Ventas HoReCa</t>
        </is>
      </c>
      <c r="K794" t="inlineStr">
        <is>
          <t>CH1</t>
        </is>
      </c>
    </row>
    <row r="795">
      <c r="A795" s="33" t="n">
        <v>45740</v>
      </c>
      <c r="B795" t="inlineStr">
        <is>
          <t>2025-03</t>
        </is>
      </c>
      <c r="C795" t="inlineStr">
        <is>
          <t>INVERSIONES Y COMERCIALIZADORA FED LIMITADA</t>
        </is>
      </c>
      <c r="D795" t="inlineStr">
        <is>
          <t>HORECA CAFETERIA</t>
        </is>
      </c>
      <c r="E795" s="34" t="n">
        <v>157257</v>
      </c>
      <c r="F795" t="inlineStr">
        <is>
          <t>F</t>
        </is>
      </c>
      <c r="G795" s="34" t="n">
        <v>25108</v>
      </c>
      <c r="H795" s="34" t="n">
        <v>132149</v>
      </c>
      <c r="I795" t="inlineStr">
        <is>
          <t>3.1</t>
        </is>
      </c>
      <c r="J795" t="inlineStr">
        <is>
          <t>Ventas HoReCa</t>
        </is>
      </c>
      <c r="K795" t="inlineStr">
        <is>
          <t>CH1</t>
        </is>
      </c>
    </row>
    <row r="796">
      <c r="A796" s="33" t="n">
        <v>45740</v>
      </c>
      <c r="B796" t="inlineStr">
        <is>
          <t>2025-03</t>
        </is>
      </c>
      <c r="C796" t="inlineStr">
        <is>
          <t>INVERSIONES Y ASESORIAS RAVAL LIMITADA</t>
        </is>
      </c>
      <c r="D796" t="inlineStr">
        <is>
          <t>HORECA CAFETERIA</t>
        </is>
      </c>
      <c r="E796" s="34" t="n">
        <v>67980</v>
      </c>
      <c r="F796" t="inlineStr">
        <is>
          <t>F</t>
        </is>
      </c>
      <c r="G796" s="34" t="n">
        <v>10854</v>
      </c>
      <c r="H796" s="34" t="n">
        <v>57126</v>
      </c>
      <c r="I796" t="inlineStr">
        <is>
          <t>3.1</t>
        </is>
      </c>
      <c r="J796" t="inlineStr">
        <is>
          <t>Ventas HoReCa</t>
        </is>
      </c>
      <c r="K796" t="inlineStr">
        <is>
          <t>CH1</t>
        </is>
      </c>
    </row>
    <row r="797">
      <c r="A797" s="33" t="n">
        <v>45740</v>
      </c>
      <c r="B797" t="inlineStr">
        <is>
          <t>2025-03</t>
        </is>
      </c>
      <c r="C797" t="inlineStr">
        <is>
          <t>POMPON SPA</t>
        </is>
      </c>
      <c r="D797" t="inlineStr">
        <is>
          <t>HORECA CAFETERIA</t>
        </is>
      </c>
      <c r="E797" s="34" t="n">
        <v>132510</v>
      </c>
      <c r="F797" t="inlineStr">
        <is>
          <t>F</t>
        </is>
      </c>
      <c r="G797" s="34" t="n">
        <v>21157</v>
      </c>
      <c r="H797" s="34" t="n">
        <v>111353</v>
      </c>
      <c r="I797" t="inlineStr">
        <is>
          <t>3.1</t>
        </is>
      </c>
      <c r="J797" t="inlineStr">
        <is>
          <t>Ventas HoReCa</t>
        </is>
      </c>
      <c r="K797" t="inlineStr">
        <is>
          <t>CH1</t>
        </is>
      </c>
    </row>
    <row r="798">
      <c r="A798" s="33" t="n">
        <v>45740</v>
      </c>
      <c r="B798" t="inlineStr">
        <is>
          <t>2025-03</t>
        </is>
      </c>
      <c r="C798" t="inlineStr">
        <is>
          <t>Claudia Morales</t>
        </is>
      </c>
      <c r="D798" t="inlineStr">
        <is>
          <t>Petit Crunchy</t>
        </is>
      </c>
      <c r="E798" s="34" t="n">
        <v>28889</v>
      </c>
      <c r="F798" t="inlineStr">
        <is>
          <t>B</t>
        </is>
      </c>
      <c r="G798" s="34" t="n">
        <v>4613</v>
      </c>
      <c r="H798" s="34" t="n">
        <v>24276</v>
      </c>
      <c r="I798" t="inlineStr">
        <is>
          <t>3.2</t>
        </is>
      </c>
      <c r="J798" t="inlineStr">
        <is>
          <t>Ventas Personas (B2C)</t>
        </is>
      </c>
      <c r="K798" t="inlineStr">
        <is>
          <t>CH2</t>
        </is>
      </c>
    </row>
    <row r="799">
      <c r="A799" s="33" t="n">
        <v>45740</v>
      </c>
      <c r="B799" t="inlineStr">
        <is>
          <t>2025-03</t>
        </is>
      </c>
      <c r="C799" t="inlineStr">
        <is>
          <t>Sin cliente</t>
        </is>
      </c>
      <c r="D799" t="inlineStr">
        <is>
          <t>Petit Tradicional</t>
        </is>
      </c>
      <c r="E799" s="34" t="n">
        <v>12900</v>
      </c>
      <c r="F799" t="inlineStr">
        <is>
          <t>B</t>
        </is>
      </c>
      <c r="G799" s="34" t="n">
        <v>2060</v>
      </c>
      <c r="H799" s="34" t="n">
        <v>10840</v>
      </c>
      <c r="I799" t="inlineStr">
        <is>
          <t>3.2</t>
        </is>
      </c>
      <c r="J799" t="inlineStr">
        <is>
          <t>Ventas Personas (B2C)</t>
        </is>
      </c>
      <c r="K799" t="inlineStr">
        <is>
          <t>CH2</t>
        </is>
      </c>
    </row>
    <row r="800">
      <c r="A800" s="33" t="n">
        <v>45740</v>
      </c>
      <c r="B800" t="inlineStr">
        <is>
          <t>2025-03</t>
        </is>
      </c>
      <c r="C800" t="inlineStr">
        <is>
          <t>Victor Badillo</t>
        </is>
      </c>
      <c r="D800" t="inlineStr">
        <is>
          <t>CANELÉ TRADICIONAL</t>
        </is>
      </c>
      <c r="E800" s="34" t="n">
        <v>18199</v>
      </c>
      <c r="F800" t="inlineStr">
        <is>
          <t>B</t>
        </is>
      </c>
      <c r="G800" s="34" t="n">
        <v>2906</v>
      </c>
      <c r="H800" s="34" t="n">
        <v>15293</v>
      </c>
      <c r="I800" t="inlineStr">
        <is>
          <t>3.2</t>
        </is>
      </c>
      <c r="J800" t="inlineStr">
        <is>
          <t>Ventas Personas (B2C)</t>
        </is>
      </c>
      <c r="K800" t="inlineStr">
        <is>
          <t>CH2</t>
        </is>
      </c>
    </row>
    <row r="801">
      <c r="A801" s="33" t="n">
        <v>45740</v>
      </c>
      <c r="B801" t="inlineStr">
        <is>
          <t>2025-03</t>
        </is>
      </c>
      <c r="C801" t="inlineStr">
        <is>
          <t>Matias Castro</t>
        </is>
      </c>
      <c r="D801" t="inlineStr">
        <is>
          <t>Petit Crunchy</t>
        </is>
      </c>
      <c r="E801" s="34" t="n">
        <v>28300</v>
      </c>
      <c r="F801" t="inlineStr">
        <is>
          <t>B</t>
        </is>
      </c>
      <c r="G801" s="34" t="n">
        <v>4518</v>
      </c>
      <c r="H801" s="34" t="n">
        <v>23782</v>
      </c>
      <c r="I801" t="inlineStr">
        <is>
          <t>3.2</t>
        </is>
      </c>
      <c r="J801" t="inlineStr">
        <is>
          <t>Ventas Personas (B2C)</t>
        </is>
      </c>
      <c r="K801" t="inlineStr">
        <is>
          <t>CH2</t>
        </is>
      </c>
    </row>
    <row r="802">
      <c r="A802" s="33" t="n">
        <v>45741</v>
      </c>
      <c r="B802" t="inlineStr">
        <is>
          <t>2025-03</t>
        </is>
      </c>
      <c r="C802" t="inlineStr">
        <is>
          <t>D&amp;S SERVICIOS DE ALIMENTACIÓN SpA</t>
        </is>
      </c>
      <c r="D802" t="inlineStr">
        <is>
          <t xml:space="preserve">THE COFFEE STORE </t>
        </is>
      </c>
      <c r="E802" s="34" t="n">
        <v>37977</v>
      </c>
      <c r="F802" t="inlineStr">
        <is>
          <t>F</t>
        </is>
      </c>
      <c r="G802" s="34" t="n">
        <v>6064</v>
      </c>
      <c r="H802" s="34" t="n">
        <v>31913</v>
      </c>
      <c r="I802" t="inlineStr">
        <is>
          <t>3.1</t>
        </is>
      </c>
      <c r="J802" t="inlineStr">
        <is>
          <t>Ventas HoReCa</t>
        </is>
      </c>
      <c r="K802" t="inlineStr">
        <is>
          <t>CH1</t>
        </is>
      </c>
    </row>
    <row r="803">
      <c r="A803" s="33" t="n">
        <v>45741</v>
      </c>
      <c r="B803" t="inlineStr">
        <is>
          <t>2025-03</t>
        </is>
      </c>
      <c r="C803" t="inlineStr">
        <is>
          <t>B KOFI SPA</t>
        </is>
      </c>
      <c r="D803" t="inlineStr">
        <is>
          <t>HORECA CAFETERIA</t>
        </is>
      </c>
      <c r="E803" s="34" t="n">
        <v>107600</v>
      </c>
      <c r="F803" t="inlineStr">
        <is>
          <t>F</t>
        </is>
      </c>
      <c r="G803" s="34" t="n">
        <v>17180</v>
      </c>
      <c r="H803" s="34" t="n">
        <v>90420</v>
      </c>
      <c r="I803" t="inlineStr">
        <is>
          <t>3.1</t>
        </is>
      </c>
      <c r="J803" t="inlineStr">
        <is>
          <t>Ventas HoReCa</t>
        </is>
      </c>
      <c r="K803" t="inlineStr">
        <is>
          <t>CH1</t>
        </is>
      </c>
    </row>
    <row r="804">
      <c r="A804" s="33" t="n">
        <v>45741</v>
      </c>
      <c r="B804" t="inlineStr">
        <is>
          <t>2025-03</t>
        </is>
      </c>
      <c r="C804" t="inlineStr">
        <is>
          <t>Sin cliente</t>
        </is>
      </c>
      <c r="D804" t="inlineStr">
        <is>
          <t>PLATAFORMAS RAP-PEYA-UBER-GOOD</t>
        </is>
      </c>
      <c r="E804" s="34" t="n">
        <v>32280</v>
      </c>
      <c r="F804" t="inlineStr">
        <is>
          <t>B</t>
        </is>
      </c>
      <c r="G804" s="34" t="n">
        <v>5154</v>
      </c>
      <c r="H804" s="34" t="n">
        <v>27126</v>
      </c>
      <c r="I804" t="inlineStr">
        <is>
          <t>3.6</t>
        </is>
      </c>
      <c r="J804" t="inlineStr">
        <is>
          <t>Ventas Delivery Apps</t>
        </is>
      </c>
      <c r="K804" t="inlineStr">
        <is>
          <t>CH3</t>
        </is>
      </c>
    </row>
    <row r="805">
      <c r="A805" s="33" t="n">
        <v>45741</v>
      </c>
      <c r="B805" t="inlineStr">
        <is>
          <t>2025-03</t>
        </is>
      </c>
      <c r="C805" t="inlineStr">
        <is>
          <t>BLUE OAK COFFE SPA</t>
        </is>
      </c>
      <c r="D805" t="inlineStr">
        <is>
          <t>HORECA CAFETERIA</t>
        </is>
      </c>
      <c r="E805" s="34" t="n">
        <v>33488</v>
      </c>
      <c r="F805" t="inlineStr">
        <is>
          <t>F</t>
        </is>
      </c>
      <c r="G805" s="34" t="n">
        <v>5347</v>
      </c>
      <c r="H805" s="34" t="n">
        <v>28141</v>
      </c>
      <c r="I805" t="inlineStr">
        <is>
          <t>3.1</t>
        </is>
      </c>
      <c r="J805" t="inlineStr">
        <is>
          <t>Ventas HoReCa</t>
        </is>
      </c>
      <c r="K805" t="inlineStr">
        <is>
          <t>CH1</t>
        </is>
      </c>
    </row>
    <row r="806">
      <c r="A806" s="33" t="n">
        <v>45741</v>
      </c>
      <c r="B806" t="inlineStr">
        <is>
          <t>2025-03</t>
        </is>
      </c>
      <c r="C806" t="inlineStr">
        <is>
          <t>garam yoon</t>
        </is>
      </c>
      <c r="D806" t="inlineStr">
        <is>
          <t>CANELE SIN AZUCAR</t>
        </is>
      </c>
      <c r="E806" s="34" t="n">
        <v>27299</v>
      </c>
      <c r="F806" t="inlineStr">
        <is>
          <t>B</t>
        </is>
      </c>
      <c r="G806" s="34" t="n">
        <v>4359</v>
      </c>
      <c r="H806" s="34" t="n">
        <v>22940</v>
      </c>
      <c r="I806" t="inlineStr">
        <is>
          <t>3.2</t>
        </is>
      </c>
      <c r="J806" t="inlineStr">
        <is>
          <t>Ventas Personas (B2C)</t>
        </is>
      </c>
      <c r="K806" t="inlineStr">
        <is>
          <t>CH2</t>
        </is>
      </c>
    </row>
    <row r="807">
      <c r="A807" s="33" t="n">
        <v>45742</v>
      </c>
      <c r="B807" t="inlineStr">
        <is>
          <t>2025-03</t>
        </is>
      </c>
      <c r="C807" t="inlineStr">
        <is>
          <t>Lorenza Aste</t>
        </is>
      </c>
      <c r="D807" t="inlineStr">
        <is>
          <t>Petit Crunchy</t>
        </is>
      </c>
      <c r="E807" s="34" t="n">
        <v>18890</v>
      </c>
      <c r="F807" t="inlineStr">
        <is>
          <t>B</t>
        </is>
      </c>
      <c r="G807" s="34" t="n">
        <v>3016</v>
      </c>
      <c r="H807" s="34" t="n">
        <v>15874</v>
      </c>
      <c r="I807" t="inlineStr">
        <is>
          <t>3.2</t>
        </is>
      </c>
      <c r="J807" t="inlineStr">
        <is>
          <t>Ventas Personas (B2C)</t>
        </is>
      </c>
      <c r="K807" t="inlineStr">
        <is>
          <t>CH2</t>
        </is>
      </c>
    </row>
    <row r="808">
      <c r="A808" s="33" t="n">
        <v>45742</v>
      </c>
      <c r="B808" t="inlineStr">
        <is>
          <t>2025-03</t>
        </is>
      </c>
      <c r="C808" t="inlineStr">
        <is>
          <t>CAFETERIA THE ELEPHANT COFFEE LIMITADA</t>
        </is>
      </c>
      <c r="D808" t="inlineStr">
        <is>
          <t>HORECA CAFETERIA</t>
        </is>
      </c>
      <c r="E808" s="34" t="n">
        <v>137940</v>
      </c>
      <c r="F808" t="inlineStr">
        <is>
          <t>F</t>
        </is>
      </c>
      <c r="G808" s="34" t="n">
        <v>22024</v>
      </c>
      <c r="H808" s="34" t="n">
        <v>115916</v>
      </c>
      <c r="I808" t="inlineStr">
        <is>
          <t>3.1</t>
        </is>
      </c>
      <c r="J808" t="inlineStr">
        <is>
          <t>Ventas HoReCa</t>
        </is>
      </c>
      <c r="K808" t="inlineStr">
        <is>
          <t>CH1</t>
        </is>
      </c>
    </row>
    <row r="809">
      <c r="A809" s="33" t="n">
        <v>45742</v>
      </c>
      <c r="B809" t="inlineStr">
        <is>
          <t>2025-03</t>
        </is>
      </c>
      <c r="C809" t="inlineStr">
        <is>
          <t>Okinawa Spa</t>
        </is>
      </c>
      <c r="D809" t="inlineStr">
        <is>
          <t>HORECA CAFETERIA</t>
        </is>
      </c>
      <c r="E809" s="34" t="n">
        <v>149726</v>
      </c>
      <c r="F809" t="inlineStr">
        <is>
          <t>F</t>
        </is>
      </c>
      <c r="G809" s="34" t="n">
        <v>23906</v>
      </c>
      <c r="H809" s="34" t="n">
        <v>125820</v>
      </c>
      <c r="I809" t="inlineStr">
        <is>
          <t>3.1</t>
        </is>
      </c>
      <c r="J809" t="inlineStr">
        <is>
          <t>Ventas HoReCa</t>
        </is>
      </c>
      <c r="K809" t="inlineStr">
        <is>
          <t>CH1</t>
        </is>
      </c>
    </row>
    <row r="810">
      <c r="A810" s="33" t="n">
        <v>45742</v>
      </c>
      <c r="B810" t="inlineStr">
        <is>
          <t>2025-03</t>
        </is>
      </c>
      <c r="C810" t="inlineStr">
        <is>
          <t>the capital coffee spa</t>
        </is>
      </c>
      <c r="D810" t="inlineStr">
        <is>
          <t>HORECA CAFETERIA</t>
        </is>
      </c>
      <c r="E810" s="34" t="n">
        <v>207660</v>
      </c>
      <c r="F810" t="inlineStr">
        <is>
          <t>F</t>
        </is>
      </c>
      <c r="G810" s="34" t="n">
        <v>33156</v>
      </c>
      <c r="H810" s="34" t="n">
        <v>174504</v>
      </c>
      <c r="I810" t="inlineStr">
        <is>
          <t>3.1</t>
        </is>
      </c>
      <c r="J810" t="inlineStr">
        <is>
          <t>Ventas HoReCa</t>
        </is>
      </c>
      <c r="K810" t="inlineStr">
        <is>
          <t>CH1</t>
        </is>
      </c>
    </row>
    <row r="811">
      <c r="A811" s="33" t="n">
        <v>45742</v>
      </c>
      <c r="B811" t="inlineStr">
        <is>
          <t>2025-03</t>
        </is>
      </c>
      <c r="C811" t="inlineStr">
        <is>
          <t>KITCHEN ART SPA</t>
        </is>
      </c>
      <c r="D811" t="inlineStr">
        <is>
          <t>HORECA CATERING</t>
        </is>
      </c>
      <c r="E811" s="34" t="n">
        <v>66045</v>
      </c>
      <c r="F811" t="inlineStr">
        <is>
          <t>F</t>
        </is>
      </c>
      <c r="G811" s="34" t="n">
        <v>10545</v>
      </c>
      <c r="H811" s="34" t="n">
        <v>55500</v>
      </c>
      <c r="I811" t="inlineStr">
        <is>
          <t>3.1</t>
        </is>
      </c>
      <c r="J811" t="inlineStr">
        <is>
          <t>Ventas HoReCa</t>
        </is>
      </c>
      <c r="K811" t="inlineStr">
        <is>
          <t>CH1</t>
        </is>
      </c>
    </row>
    <row r="812">
      <c r="A812" s="33" t="n">
        <v>45742</v>
      </c>
      <c r="B812" t="inlineStr">
        <is>
          <t>2025-03</t>
        </is>
      </c>
      <c r="C812" t="inlineStr">
        <is>
          <t>Sin cliente</t>
        </is>
      </c>
      <c r="D812" t="inlineStr">
        <is>
          <t>Petit Crunchy</t>
        </is>
      </c>
      <c r="E812" s="34" t="n">
        <v>13900</v>
      </c>
      <c r="F812" t="inlineStr">
        <is>
          <t>B</t>
        </is>
      </c>
      <c r="G812" s="34" t="n">
        <v>2219</v>
      </c>
      <c r="H812" s="34" t="n">
        <v>11681</v>
      </c>
      <c r="I812" t="inlineStr">
        <is>
          <t>3.2</t>
        </is>
      </c>
      <c r="J812" t="inlineStr">
        <is>
          <t>Ventas Personas (B2C)</t>
        </is>
      </c>
      <c r="K812" t="inlineStr">
        <is>
          <t>CH2</t>
        </is>
      </c>
    </row>
    <row r="813">
      <c r="A813" s="33" t="n">
        <v>45742</v>
      </c>
      <c r="B813" t="inlineStr">
        <is>
          <t>2025-03</t>
        </is>
      </c>
      <c r="C813" t="inlineStr">
        <is>
          <t>MARIO DANIEL ECHEVERRIA MARTINEZ</t>
        </is>
      </c>
      <c r="D813" t="inlineStr">
        <is>
          <t>Mix Sabores</t>
        </is>
      </c>
      <c r="E813" s="34" t="n">
        <v>38790</v>
      </c>
      <c r="F813" t="inlineStr">
        <is>
          <t>B</t>
        </is>
      </c>
      <c r="G813" s="34" t="n">
        <v>6193</v>
      </c>
      <c r="H813" s="34" t="n">
        <v>32597</v>
      </c>
      <c r="I813" t="inlineStr">
        <is>
          <t>3.2</t>
        </is>
      </c>
      <c r="J813" t="inlineStr">
        <is>
          <t>Ventas Personas (B2C)</t>
        </is>
      </c>
      <c r="K813" t="inlineStr">
        <is>
          <t>CH2</t>
        </is>
      </c>
    </row>
    <row r="814">
      <c r="A814" s="33" t="n">
        <v>45742</v>
      </c>
      <c r="B814" t="inlineStr">
        <is>
          <t>2025-03</t>
        </is>
      </c>
      <c r="C814" t="inlineStr">
        <is>
          <t>Loreto Torre</t>
        </is>
      </c>
      <c r="D814" t="inlineStr">
        <is>
          <t>Petit Tradicional</t>
        </is>
      </c>
      <c r="E814" s="34" t="n">
        <v>24889</v>
      </c>
      <c r="F814" t="inlineStr">
        <is>
          <t>B</t>
        </is>
      </c>
      <c r="G814" s="34" t="n">
        <v>3974</v>
      </c>
      <c r="H814" s="34" t="n">
        <v>20915</v>
      </c>
      <c r="I814" t="inlineStr">
        <is>
          <t>3.2</t>
        </is>
      </c>
      <c r="J814" t="inlineStr">
        <is>
          <t>Ventas Personas (B2C)</t>
        </is>
      </c>
      <c r="K814" t="inlineStr">
        <is>
          <t>CH2</t>
        </is>
      </c>
    </row>
    <row r="815">
      <c r="A815" s="33" t="n">
        <v>45742</v>
      </c>
      <c r="B815" t="inlineStr">
        <is>
          <t>2025-03</t>
        </is>
      </c>
      <c r="C815" t="inlineStr">
        <is>
          <t>Sin cliente</t>
        </is>
      </c>
      <c r="D815" t="inlineStr">
        <is>
          <t>CANELÉ TRADICIONAL</t>
        </is>
      </c>
      <c r="E815" s="34" t="n">
        <v>4000</v>
      </c>
      <c r="F815" t="inlineStr">
        <is>
          <t>B</t>
        </is>
      </c>
      <c r="G815" s="34" t="n">
        <v>639</v>
      </c>
      <c r="H815" s="34" t="n">
        <v>3361</v>
      </c>
      <c r="I815" t="inlineStr">
        <is>
          <t>3.2</t>
        </is>
      </c>
      <c r="J815" t="inlineStr">
        <is>
          <t>Ventas Personas (B2C)</t>
        </is>
      </c>
      <c r="K815" t="inlineStr">
        <is>
          <t>CH2</t>
        </is>
      </c>
    </row>
    <row r="816">
      <c r="A816" s="33" t="n">
        <v>45742</v>
      </c>
      <c r="B816" t="inlineStr">
        <is>
          <t>2025-03</t>
        </is>
      </c>
      <c r="C816" t="inlineStr">
        <is>
          <t>Sin cliente</t>
        </is>
      </c>
      <c r="D816" t="inlineStr">
        <is>
          <t>Petit Tradicional</t>
        </is>
      </c>
      <c r="E816" s="34" t="n">
        <v>12900</v>
      </c>
      <c r="F816" t="inlineStr">
        <is>
          <t>B</t>
        </is>
      </c>
      <c r="G816" s="34" t="n">
        <v>2060</v>
      </c>
      <c r="H816" s="34" t="n">
        <v>10840</v>
      </c>
      <c r="I816" t="inlineStr">
        <is>
          <t>3.2</t>
        </is>
      </c>
      <c r="J816" t="inlineStr">
        <is>
          <t>Ventas Personas (B2C)</t>
        </is>
      </c>
      <c r="K816" t="inlineStr">
        <is>
          <t>CH2</t>
        </is>
      </c>
    </row>
    <row r="817">
      <c r="A817" s="33" t="n">
        <v>45743</v>
      </c>
      <c r="B817" t="inlineStr">
        <is>
          <t>2025-03</t>
        </is>
      </c>
      <c r="C817" t="inlineStr">
        <is>
          <t>CAFÉ UNDER SPA</t>
        </is>
      </c>
      <c r="D817" t="inlineStr">
        <is>
          <t>HORECA CAFETERIA</t>
        </is>
      </c>
      <c r="E817" s="34" t="n">
        <v>63990</v>
      </c>
      <c r="F817" t="inlineStr">
        <is>
          <t>F</t>
        </is>
      </c>
      <c r="G817" s="34" t="n">
        <v>10217</v>
      </c>
      <c r="H817" s="34" t="n">
        <v>53773</v>
      </c>
      <c r="I817" t="inlineStr">
        <is>
          <t>3.1</t>
        </is>
      </c>
      <c r="J817" t="inlineStr">
        <is>
          <t>Ventas HoReCa</t>
        </is>
      </c>
      <c r="K817" t="inlineStr">
        <is>
          <t>CH1</t>
        </is>
      </c>
    </row>
    <row r="818">
      <c r="A818" s="33" t="n">
        <v>45743</v>
      </c>
      <c r="B818" t="inlineStr">
        <is>
          <t>2025-03</t>
        </is>
      </c>
      <c r="C818" t="inlineStr">
        <is>
          <t>VILAS BANQUETERIAS SPA</t>
        </is>
      </c>
      <c r="D818" t="inlineStr">
        <is>
          <t>HORECA CATERING</t>
        </is>
      </c>
      <c r="E818" s="34" t="n">
        <v>258594</v>
      </c>
      <c r="F818" t="inlineStr">
        <is>
          <t>F</t>
        </is>
      </c>
      <c r="G818" s="34" t="n">
        <v>41288</v>
      </c>
      <c r="H818" s="34" t="n">
        <v>217306</v>
      </c>
      <c r="I818" t="inlineStr">
        <is>
          <t>3.1</t>
        </is>
      </c>
      <c r="J818" t="inlineStr">
        <is>
          <t>Ventas HoReCa</t>
        </is>
      </c>
      <c r="K818" t="inlineStr">
        <is>
          <t>CH1</t>
        </is>
      </c>
    </row>
    <row r="819">
      <c r="A819" s="33" t="n">
        <v>45743</v>
      </c>
      <c r="B819" t="inlineStr">
        <is>
          <t>2025-03</t>
        </is>
      </c>
      <c r="C819" t="inlineStr">
        <is>
          <t>CARMEN GLORIA MAYO</t>
        </is>
      </c>
      <c r="D819" t="inlineStr">
        <is>
          <t>CANELÉ TRADICIONAL</t>
        </is>
      </c>
      <c r="E819" s="34" t="n">
        <v>25890</v>
      </c>
      <c r="F819" t="inlineStr">
        <is>
          <t>B</t>
        </is>
      </c>
      <c r="G819" s="34" t="n">
        <v>4134</v>
      </c>
      <c r="H819" s="34" t="n">
        <v>21756</v>
      </c>
      <c r="I819" t="inlineStr">
        <is>
          <t>3.2</t>
        </is>
      </c>
      <c r="J819" t="inlineStr">
        <is>
          <t>Ventas Personas (B2C)</t>
        </is>
      </c>
      <c r="K819" t="inlineStr">
        <is>
          <t>CH2</t>
        </is>
      </c>
    </row>
    <row r="820">
      <c r="A820" s="33" t="n">
        <v>45743</v>
      </c>
      <c r="B820" t="inlineStr">
        <is>
          <t>2025-03</t>
        </is>
      </c>
      <c r="C820" t="inlineStr">
        <is>
          <t>Daniela Martinez Allamand</t>
        </is>
      </c>
      <c r="D820" t="inlineStr">
        <is>
          <t>CANELÉ TRADICIONAL</t>
        </is>
      </c>
      <c r="E820" s="34" t="n">
        <v>32699</v>
      </c>
      <c r="F820" t="inlineStr">
        <is>
          <t>B</t>
        </is>
      </c>
      <c r="G820" s="34" t="n">
        <v>5221</v>
      </c>
      <c r="H820" s="34" t="n">
        <v>27478</v>
      </c>
      <c r="I820" t="inlineStr">
        <is>
          <t>3.2</t>
        </is>
      </c>
      <c r="J820" t="inlineStr">
        <is>
          <t>Ventas Personas (B2C)</t>
        </is>
      </c>
      <c r="K820" t="inlineStr">
        <is>
          <t>CH2</t>
        </is>
      </c>
    </row>
    <row r="821">
      <c r="A821" s="33" t="n">
        <v>45743</v>
      </c>
      <c r="B821" t="inlineStr">
        <is>
          <t>2025-03</t>
        </is>
      </c>
      <c r="C821" t="inlineStr">
        <is>
          <t>Sin cliente</t>
        </is>
      </c>
      <c r="D821" t="inlineStr">
        <is>
          <t>CANELÉ TRADICIONAL</t>
        </is>
      </c>
      <c r="E821" s="34" t="n">
        <v>4800</v>
      </c>
      <c r="F821" t="inlineStr">
        <is>
          <t>B</t>
        </is>
      </c>
      <c r="G821" s="34" t="n">
        <v>766</v>
      </c>
      <c r="H821" s="34" t="n">
        <v>4034</v>
      </c>
      <c r="I821" t="inlineStr">
        <is>
          <t>3.2</t>
        </is>
      </c>
      <c r="J821" t="inlineStr">
        <is>
          <t>Ventas Personas (B2C)</t>
        </is>
      </c>
      <c r="K821" t="inlineStr">
        <is>
          <t>CH2</t>
        </is>
      </c>
    </row>
    <row r="822">
      <c r="A822" s="33" t="n">
        <v>45743</v>
      </c>
      <c r="B822" t="inlineStr">
        <is>
          <t>2025-03</t>
        </is>
      </c>
      <c r="C822" t="inlineStr">
        <is>
          <t>Pamela Busch</t>
        </is>
      </c>
      <c r="D822" t="inlineStr">
        <is>
          <t>Rellenos</t>
        </is>
      </c>
      <c r="E822" s="34" t="n">
        <v>31900</v>
      </c>
      <c r="F822" t="inlineStr">
        <is>
          <t>B</t>
        </is>
      </c>
      <c r="G822" s="34" t="n">
        <v>5093</v>
      </c>
      <c r="H822" s="34" t="n">
        <v>26807</v>
      </c>
      <c r="I822" t="inlineStr">
        <is>
          <t>3.2</t>
        </is>
      </c>
      <c r="J822" t="inlineStr">
        <is>
          <t>Ventas Personas (B2C)</t>
        </is>
      </c>
      <c r="K822" t="inlineStr">
        <is>
          <t>CH2</t>
        </is>
      </c>
    </row>
    <row r="823">
      <c r="A823" s="33" t="n">
        <v>45743</v>
      </c>
      <c r="B823" t="inlineStr">
        <is>
          <t>2025-03</t>
        </is>
      </c>
      <c r="C823" t="inlineStr">
        <is>
          <t>Daniel Weinberger elberg</t>
        </is>
      </c>
      <c r="D823" t="inlineStr">
        <is>
          <t>Rellenos</t>
        </is>
      </c>
      <c r="E823" s="34" t="n">
        <v>34890</v>
      </c>
      <c r="F823" t="inlineStr">
        <is>
          <t>B</t>
        </is>
      </c>
      <c r="G823" s="34" t="n">
        <v>5571</v>
      </c>
      <c r="H823" s="34" t="n">
        <v>29319</v>
      </c>
      <c r="I823" t="inlineStr">
        <is>
          <t>3.2</t>
        </is>
      </c>
      <c r="J823" t="inlineStr">
        <is>
          <t>Ventas Personas (B2C)</t>
        </is>
      </c>
      <c r="K823" t="inlineStr">
        <is>
          <t>CH2</t>
        </is>
      </c>
    </row>
    <row r="824">
      <c r="A824" s="33" t="n">
        <v>45743</v>
      </c>
      <c r="B824" t="inlineStr">
        <is>
          <t>2025-03</t>
        </is>
      </c>
      <c r="C824" t="inlineStr">
        <is>
          <t>Sin cliente</t>
        </is>
      </c>
      <c r="D824" t="inlineStr">
        <is>
          <t>CANELÉ TRADICIONAL</t>
        </is>
      </c>
      <c r="E824" s="34" t="n">
        <v>10000</v>
      </c>
      <c r="F824" t="inlineStr">
        <is>
          <t>B</t>
        </is>
      </c>
      <c r="G824" s="34" t="n">
        <v>1597</v>
      </c>
      <c r="H824" s="34" t="n">
        <v>8403</v>
      </c>
      <c r="I824" t="inlineStr">
        <is>
          <t>3.2</t>
        </is>
      </c>
      <c r="J824" t="inlineStr">
        <is>
          <t>Ventas Personas (B2C)</t>
        </is>
      </c>
      <c r="K824" t="inlineStr">
        <is>
          <t>CH2</t>
        </is>
      </c>
    </row>
    <row r="825">
      <c r="A825" s="33" t="n">
        <v>45744</v>
      </c>
      <c r="B825" t="inlineStr">
        <is>
          <t>2025-03</t>
        </is>
      </c>
      <c r="C825" t="inlineStr">
        <is>
          <t>Better Food Spa</t>
        </is>
      </c>
      <c r="D825" t="inlineStr">
        <is>
          <t>HORECA CAFETERIA</t>
        </is>
      </c>
      <c r="E825" s="34" t="n">
        <v>149940</v>
      </c>
      <c r="F825" t="inlineStr">
        <is>
          <t>F</t>
        </is>
      </c>
      <c r="G825" s="34" t="n">
        <v>23940</v>
      </c>
      <c r="H825" s="34" t="n">
        <v>126000</v>
      </c>
      <c r="I825" t="inlineStr">
        <is>
          <t>3.1</t>
        </is>
      </c>
      <c r="J825" t="inlineStr">
        <is>
          <t>Ventas HoReCa</t>
        </is>
      </c>
      <c r="K825" t="inlineStr">
        <is>
          <t>CH1</t>
        </is>
      </c>
    </row>
    <row r="826">
      <c r="A826" s="33" t="n">
        <v>45744</v>
      </c>
      <c r="B826" t="inlineStr">
        <is>
          <t>2025-03</t>
        </is>
      </c>
      <c r="C826" t="inlineStr">
        <is>
          <t>POMPON SPA</t>
        </is>
      </c>
      <c r="D826" t="inlineStr">
        <is>
          <t>HORECA CAFETERIA</t>
        </is>
      </c>
      <c r="E826" s="34" t="n">
        <v>220150</v>
      </c>
      <c r="F826" t="inlineStr">
        <is>
          <t>F</t>
        </is>
      </c>
      <c r="G826" s="34" t="n">
        <v>35150</v>
      </c>
      <c r="H826" s="34" t="n">
        <v>185000</v>
      </c>
      <c r="I826" t="inlineStr">
        <is>
          <t>3.1</t>
        </is>
      </c>
      <c r="J826" t="inlineStr">
        <is>
          <t>Ventas HoReCa</t>
        </is>
      </c>
      <c r="K826" t="inlineStr">
        <is>
          <t>CH1</t>
        </is>
      </c>
    </row>
    <row r="827">
      <c r="A827" s="33" t="n">
        <v>45744</v>
      </c>
      <c r="B827" t="inlineStr">
        <is>
          <t>2025-03</t>
        </is>
      </c>
      <c r="C827" t="inlineStr">
        <is>
          <t>GALVEZ Y HEUSSER SPA</t>
        </is>
      </c>
      <c r="D827" t="inlineStr">
        <is>
          <t>HORECA CATERING</t>
        </is>
      </c>
      <c r="E827" s="34" t="n">
        <v>180474</v>
      </c>
      <c r="F827" t="inlineStr">
        <is>
          <t>F</t>
        </is>
      </c>
      <c r="G827" s="34" t="n">
        <v>28815</v>
      </c>
      <c r="H827" s="34" t="n">
        <v>151659</v>
      </c>
      <c r="I827" t="inlineStr">
        <is>
          <t>3.1</t>
        </is>
      </c>
      <c r="J827" t="inlineStr">
        <is>
          <t>Ventas HoReCa</t>
        </is>
      </c>
      <c r="K827" t="inlineStr">
        <is>
          <t>CH1</t>
        </is>
      </c>
    </row>
    <row r="828">
      <c r="A828" s="33" t="n">
        <v>45744</v>
      </c>
      <c r="B828" t="inlineStr">
        <is>
          <t>2025-03</t>
        </is>
      </c>
      <c r="C828" t="inlineStr">
        <is>
          <t>PRODUCTORA DE EVENTOS AGDV SPA</t>
        </is>
      </c>
      <c r="D828" t="inlineStr">
        <is>
          <t>HORECA CATERING</t>
        </is>
      </c>
      <c r="E828" s="34" t="n">
        <v>208250</v>
      </c>
      <c r="F828" t="inlineStr">
        <is>
          <t>F</t>
        </is>
      </c>
      <c r="G828" s="34" t="n">
        <v>33250</v>
      </c>
      <c r="H828" s="34" t="n">
        <v>175000</v>
      </c>
      <c r="I828" t="inlineStr">
        <is>
          <t>3.1</t>
        </is>
      </c>
      <c r="J828" t="inlineStr">
        <is>
          <t>Ventas HoReCa</t>
        </is>
      </c>
      <c r="K828" t="inlineStr">
        <is>
          <t>CH1</t>
        </is>
      </c>
    </row>
    <row r="829">
      <c r="A829" s="33" t="n">
        <v>45744</v>
      </c>
      <c r="B829" t="inlineStr">
        <is>
          <t>2025-03</t>
        </is>
      </c>
      <c r="C829" t="inlineStr">
        <is>
          <t>BUSTORF LARSEN Y COMPANIA LIMITADA</t>
        </is>
      </c>
      <c r="D829" t="inlineStr">
        <is>
          <t>HORECA CAFETERIA</t>
        </is>
      </c>
      <c r="E829" s="34" t="n">
        <v>64990</v>
      </c>
      <c r="F829" t="inlineStr">
        <is>
          <t>F</t>
        </is>
      </c>
      <c r="G829" s="34" t="n">
        <v>10377</v>
      </c>
      <c r="H829" s="34" t="n">
        <v>54613</v>
      </c>
      <c r="I829" t="inlineStr">
        <is>
          <t>3.1</t>
        </is>
      </c>
      <c r="J829" t="inlineStr">
        <is>
          <t>Ventas HoReCa</t>
        </is>
      </c>
      <c r="K829" t="inlineStr">
        <is>
          <t>CH1</t>
        </is>
      </c>
    </row>
    <row r="830">
      <c r="A830" s="33" t="n">
        <v>45744</v>
      </c>
      <c r="B830" t="inlineStr">
        <is>
          <t>2025-03</t>
        </is>
      </c>
      <c r="C830" t="inlineStr">
        <is>
          <t>CAFE DIARIO ENCOMENDEROS SPA</t>
        </is>
      </c>
      <c r="D830" t="inlineStr">
        <is>
          <t>HORECA CAFETERIA</t>
        </is>
      </c>
      <c r="E830" s="34" t="n">
        <v>82830</v>
      </c>
      <c r="F830" t="inlineStr">
        <is>
          <t>F</t>
        </is>
      </c>
      <c r="G830" s="34" t="n">
        <v>13225</v>
      </c>
      <c r="H830" s="34" t="n">
        <v>69605</v>
      </c>
      <c r="I830" t="inlineStr">
        <is>
          <t>3.1</t>
        </is>
      </c>
      <c r="J830" t="inlineStr">
        <is>
          <t>Ventas HoReCa</t>
        </is>
      </c>
      <c r="K830" t="inlineStr">
        <is>
          <t>CH1</t>
        </is>
      </c>
    </row>
    <row r="831">
      <c r="A831" s="33" t="n">
        <v>45744</v>
      </c>
      <c r="B831" t="inlineStr">
        <is>
          <t>2025-03</t>
        </is>
      </c>
      <c r="C831" t="inlineStr">
        <is>
          <t>Inversiones Nagua SPA</t>
        </is>
      </c>
      <c r="D831" t="inlineStr">
        <is>
          <t>HORECA CAFETERIA</t>
        </is>
      </c>
      <c r="E831" s="34" t="n">
        <v>63990</v>
      </c>
      <c r="F831" t="inlineStr">
        <is>
          <t>F</t>
        </is>
      </c>
      <c r="G831" s="34" t="n">
        <v>10217</v>
      </c>
      <c r="H831" s="34" t="n">
        <v>53773</v>
      </c>
      <c r="I831" t="inlineStr">
        <is>
          <t>3.1</t>
        </is>
      </c>
      <c r="J831" t="inlineStr">
        <is>
          <t>Ventas HoReCa</t>
        </is>
      </c>
      <c r="K831" t="inlineStr">
        <is>
          <t>CH1</t>
        </is>
      </c>
    </row>
    <row r="832">
      <c r="A832" s="33" t="n">
        <v>45744</v>
      </c>
      <c r="B832" t="inlineStr">
        <is>
          <t>2025-03</t>
        </is>
      </c>
      <c r="C832" t="inlineStr">
        <is>
          <t>PAULA CORREA</t>
        </is>
      </c>
      <c r="D832" t="inlineStr">
        <is>
          <t>Petit Crunchy</t>
        </is>
      </c>
      <c r="E832" s="34" t="n">
        <v>13900</v>
      </c>
      <c r="F832" t="inlineStr">
        <is>
          <t>B</t>
        </is>
      </c>
      <c r="G832" s="34" t="n">
        <v>2219</v>
      </c>
      <c r="H832" s="34" t="n">
        <v>11681</v>
      </c>
      <c r="I832" t="inlineStr">
        <is>
          <t>3.2</t>
        </is>
      </c>
      <c r="J832" t="inlineStr">
        <is>
          <t>Ventas Personas (B2C)</t>
        </is>
      </c>
      <c r="K832" t="inlineStr">
        <is>
          <t>CH2</t>
        </is>
      </c>
    </row>
    <row r="833">
      <c r="A833" s="33" t="n">
        <v>45744</v>
      </c>
      <c r="B833" t="inlineStr">
        <is>
          <t>2025-03</t>
        </is>
      </c>
      <c r="C833" t="inlineStr">
        <is>
          <t>Monica Born</t>
        </is>
      </c>
      <c r="D833" t="inlineStr">
        <is>
          <t>Mix Sabores</t>
        </is>
      </c>
      <c r="E833" s="34" t="n">
        <v>32800</v>
      </c>
      <c r="F833" t="inlineStr">
        <is>
          <t>B</t>
        </is>
      </c>
      <c r="G833" s="34" t="n">
        <v>5237</v>
      </c>
      <c r="H833" s="34" t="n">
        <v>27563</v>
      </c>
      <c r="I833" t="inlineStr">
        <is>
          <t>3.2</t>
        </is>
      </c>
      <c r="J833" t="inlineStr">
        <is>
          <t>Ventas Personas (B2C)</t>
        </is>
      </c>
      <c r="K833" t="inlineStr">
        <is>
          <t>CH2</t>
        </is>
      </c>
    </row>
    <row r="834">
      <c r="A834" s="33" t="n">
        <v>45744</v>
      </c>
      <c r="B834" t="inlineStr">
        <is>
          <t>2025-03</t>
        </is>
      </c>
      <c r="C834" t="inlineStr">
        <is>
          <t>garam yoon</t>
        </is>
      </c>
      <c r="D834" t="inlineStr">
        <is>
          <t>CANELE SIN AZUCAR</t>
        </is>
      </c>
      <c r="E834" s="34" t="n">
        <v>56190</v>
      </c>
      <c r="F834" t="inlineStr">
        <is>
          <t>B</t>
        </is>
      </c>
      <c r="G834" s="34" t="n">
        <v>8972</v>
      </c>
      <c r="H834" s="34" t="n">
        <v>47218</v>
      </c>
      <c r="I834" t="inlineStr">
        <is>
          <t>3.2</t>
        </is>
      </c>
      <c r="J834" t="inlineStr">
        <is>
          <t>Ventas Personas (B2C)</t>
        </is>
      </c>
      <c r="K834" t="inlineStr">
        <is>
          <t>CH2</t>
        </is>
      </c>
    </row>
    <row r="835">
      <c r="A835" s="33" t="n">
        <v>45744</v>
      </c>
      <c r="B835" t="inlineStr">
        <is>
          <t>2025-03</t>
        </is>
      </c>
      <c r="C835" t="inlineStr">
        <is>
          <t>Lorenza Aste</t>
        </is>
      </c>
      <c r="D835" t="inlineStr">
        <is>
          <t>Petit Crunchy</t>
        </is>
      </c>
      <c r="E835" s="34" t="n">
        <v>34900</v>
      </c>
      <c r="F835" t="inlineStr">
        <is>
          <t>B</t>
        </is>
      </c>
      <c r="G835" s="34" t="n">
        <v>5572</v>
      </c>
      <c r="H835" s="34" t="n">
        <v>29328</v>
      </c>
      <c r="I835" t="inlineStr">
        <is>
          <t>3.2</t>
        </is>
      </c>
      <c r="J835" t="inlineStr">
        <is>
          <t>Ventas Personas (B2C)</t>
        </is>
      </c>
      <c r="K835" t="inlineStr">
        <is>
          <t>CH2</t>
        </is>
      </c>
    </row>
    <row r="836">
      <c r="A836" s="33" t="n">
        <v>45744</v>
      </c>
      <c r="B836" t="inlineStr">
        <is>
          <t>2025-03</t>
        </is>
      </c>
      <c r="C836" t="inlineStr">
        <is>
          <t>Sin cliente</t>
        </is>
      </c>
      <c r="D836" t="inlineStr">
        <is>
          <t>Petit Tradicional</t>
        </is>
      </c>
      <c r="E836" s="34" t="n">
        <v>8900</v>
      </c>
      <c r="F836" t="inlineStr">
        <is>
          <t>B</t>
        </is>
      </c>
      <c r="G836" s="34" t="n">
        <v>1421</v>
      </c>
      <c r="H836" s="34" t="n">
        <v>7479</v>
      </c>
      <c r="I836" t="inlineStr">
        <is>
          <t>3.2</t>
        </is>
      </c>
      <c r="J836" t="inlineStr">
        <is>
          <t>Ventas Personas (B2C)</t>
        </is>
      </c>
      <c r="K836" t="inlineStr">
        <is>
          <t>CH2</t>
        </is>
      </c>
    </row>
    <row r="837">
      <c r="A837" s="33" t="n">
        <v>45744</v>
      </c>
      <c r="B837" t="inlineStr">
        <is>
          <t>2025-03</t>
        </is>
      </c>
      <c r="C837" t="inlineStr">
        <is>
          <t>Sin cliente</t>
        </is>
      </c>
      <c r="D837" t="inlineStr">
        <is>
          <t>Petit Tradicional</t>
        </is>
      </c>
      <c r="E837" s="34" t="n">
        <v>12900</v>
      </c>
      <c r="F837" t="inlineStr">
        <is>
          <t>B</t>
        </is>
      </c>
      <c r="G837" s="34" t="n">
        <v>2060</v>
      </c>
      <c r="H837" s="34" t="n">
        <v>10840</v>
      </c>
      <c r="I837" t="inlineStr">
        <is>
          <t>3.2</t>
        </is>
      </c>
      <c r="J837" t="inlineStr">
        <is>
          <t>Ventas Personas (B2C)</t>
        </is>
      </c>
      <c r="K837" t="inlineStr">
        <is>
          <t>CH2</t>
        </is>
      </c>
    </row>
    <row r="838">
      <c r="A838" s="33" t="n">
        <v>45744</v>
      </c>
      <c r="B838" t="inlineStr">
        <is>
          <t>2025-03</t>
        </is>
      </c>
      <c r="C838" t="inlineStr">
        <is>
          <t>Sin cliente</t>
        </is>
      </c>
      <c r="D838" t="inlineStr">
        <is>
          <t>CANELÉ TRADICIONAL</t>
        </is>
      </c>
      <c r="E838" s="34" t="n">
        <v>14900</v>
      </c>
      <c r="F838" t="inlineStr">
        <is>
          <t>B</t>
        </is>
      </c>
      <c r="G838" s="34" t="n">
        <v>2379</v>
      </c>
      <c r="H838" s="34" t="n">
        <v>12521</v>
      </c>
      <c r="I838" t="inlineStr">
        <is>
          <t>3.2</t>
        </is>
      </c>
      <c r="J838" t="inlineStr">
        <is>
          <t>Ventas Personas (B2C)</t>
        </is>
      </c>
      <c r="K838" t="inlineStr">
        <is>
          <t>CH2</t>
        </is>
      </c>
    </row>
    <row r="839">
      <c r="A839" s="33" t="n">
        <v>45744</v>
      </c>
      <c r="B839" t="inlineStr">
        <is>
          <t>2025-03</t>
        </is>
      </c>
      <c r="C839" t="inlineStr">
        <is>
          <t>Sin cliente</t>
        </is>
      </c>
      <c r="D839" t="inlineStr">
        <is>
          <t>CANELÉ TRADICIONAL</t>
        </is>
      </c>
      <c r="E839" s="34" t="n">
        <v>14900</v>
      </c>
      <c r="F839" t="inlineStr">
        <is>
          <t>B</t>
        </is>
      </c>
      <c r="G839" s="34" t="n">
        <v>2379</v>
      </c>
      <c r="H839" s="34" t="n">
        <v>12521</v>
      </c>
      <c r="I839" t="inlineStr">
        <is>
          <t>3.2</t>
        </is>
      </c>
      <c r="J839" t="inlineStr">
        <is>
          <t>Ventas Personas (B2C)</t>
        </is>
      </c>
      <c r="K839" t="inlineStr">
        <is>
          <t>CH2</t>
        </is>
      </c>
    </row>
    <row r="840">
      <c r="A840" s="33" t="n">
        <v>45744</v>
      </c>
      <c r="B840" t="inlineStr">
        <is>
          <t>2025-03</t>
        </is>
      </c>
      <c r="C840" t="inlineStr">
        <is>
          <t>Sin cliente</t>
        </is>
      </c>
      <c r="D840" t="inlineStr">
        <is>
          <t>PLATAFORMAS RAP-PEYA-UBER-GOOD</t>
        </is>
      </c>
      <c r="E840" s="34" t="n">
        <v>32160</v>
      </c>
      <c r="F840" t="inlineStr">
        <is>
          <t>B</t>
        </is>
      </c>
      <c r="G840" s="34" t="n">
        <v>5135</v>
      </c>
      <c r="H840" s="34" t="n">
        <v>27025</v>
      </c>
      <c r="I840" t="inlineStr">
        <is>
          <t>3.6</t>
        </is>
      </c>
      <c r="J840" t="inlineStr">
        <is>
          <t>Ventas Delivery Apps</t>
        </is>
      </c>
      <c r="K840" t="inlineStr">
        <is>
          <t>CH3</t>
        </is>
      </c>
    </row>
    <row r="841">
      <c r="A841" s="33" t="n">
        <v>45744</v>
      </c>
      <c r="B841" t="inlineStr">
        <is>
          <t>2025-03</t>
        </is>
      </c>
      <c r="C841" t="inlineStr">
        <is>
          <t>Nicole Lehna</t>
        </is>
      </c>
      <c r="D841" t="inlineStr">
        <is>
          <t>Delicatessen</t>
        </is>
      </c>
      <c r="E841" s="34" t="n">
        <v>23791</v>
      </c>
      <c r="F841" t="inlineStr">
        <is>
          <t>B</t>
        </is>
      </c>
      <c r="G841" s="34" t="n">
        <v>3799</v>
      </c>
      <c r="H841" s="34" t="n">
        <v>19992</v>
      </c>
      <c r="I841" t="inlineStr">
        <is>
          <t>3.2</t>
        </is>
      </c>
      <c r="J841" t="inlineStr">
        <is>
          <t>Ventas Personas (B2C)</t>
        </is>
      </c>
      <c r="K841" t="inlineStr">
        <is>
          <t>CH2</t>
        </is>
      </c>
    </row>
    <row r="842">
      <c r="A842" s="33" t="n">
        <v>45745</v>
      </c>
      <c r="B842" t="inlineStr">
        <is>
          <t>2025-03</t>
        </is>
      </c>
      <c r="C842" t="inlineStr">
        <is>
          <t>María José Robles</t>
        </is>
      </c>
      <c r="D842" t="inlineStr">
        <is>
          <t>Rellenos</t>
        </is>
      </c>
      <c r="E842" s="34" t="n">
        <v>29900</v>
      </c>
      <c r="F842" t="inlineStr">
        <is>
          <t>B</t>
        </is>
      </c>
      <c r="G842" s="34" t="n">
        <v>4774</v>
      </c>
      <c r="H842" s="34" t="n">
        <v>25126</v>
      </c>
      <c r="I842" t="inlineStr">
        <is>
          <t>3.2</t>
        </is>
      </c>
      <c r="J842" t="inlineStr">
        <is>
          <t>Ventas Personas (B2C)</t>
        </is>
      </c>
      <c r="K842" t="inlineStr">
        <is>
          <t>CH2</t>
        </is>
      </c>
    </row>
    <row r="843">
      <c r="A843" s="33" t="n">
        <v>45745</v>
      </c>
      <c r="B843" t="inlineStr">
        <is>
          <t>2025-03</t>
        </is>
      </c>
      <c r="C843" t="inlineStr">
        <is>
          <t>Francisca Richard</t>
        </is>
      </c>
      <c r="D843" t="inlineStr">
        <is>
          <t>CANELÉ TRADICIONAL</t>
        </is>
      </c>
      <c r="E843" s="34" t="n">
        <v>12000</v>
      </c>
      <c r="F843" t="inlineStr">
        <is>
          <t>B</t>
        </is>
      </c>
      <c r="G843" s="34" t="n">
        <v>1916</v>
      </c>
      <c r="H843" s="34" t="n">
        <v>10084</v>
      </c>
      <c r="I843" t="inlineStr">
        <is>
          <t>3.2</t>
        </is>
      </c>
      <c r="J843" t="inlineStr">
        <is>
          <t>Ventas Personas (B2C)</t>
        </is>
      </c>
      <c r="K843" t="inlineStr">
        <is>
          <t>CH2</t>
        </is>
      </c>
    </row>
    <row r="844">
      <c r="A844" s="33" t="n">
        <v>45745</v>
      </c>
      <c r="B844" t="inlineStr">
        <is>
          <t>2025-03</t>
        </is>
      </c>
      <c r="C844" t="inlineStr">
        <is>
          <t>Constanza Galleguillos</t>
        </is>
      </c>
      <c r="D844" t="inlineStr">
        <is>
          <t>Delicatessen</t>
        </is>
      </c>
      <c r="E844" s="34" t="n">
        <v>46880</v>
      </c>
      <c r="F844" t="inlineStr">
        <is>
          <t>B</t>
        </is>
      </c>
      <c r="G844" s="34" t="n">
        <v>7485</v>
      </c>
      <c r="H844" s="34" t="n">
        <v>39395</v>
      </c>
      <c r="I844" t="inlineStr">
        <is>
          <t>3.2</t>
        </is>
      </c>
      <c r="J844" t="inlineStr">
        <is>
          <t>Ventas Personas (B2C)</t>
        </is>
      </c>
      <c r="K844" t="inlineStr">
        <is>
          <t>CH2</t>
        </is>
      </c>
    </row>
    <row r="845">
      <c r="A845" s="33" t="n">
        <v>45745</v>
      </c>
      <c r="B845" t="inlineStr">
        <is>
          <t>2025-03</t>
        </is>
      </c>
      <c r="C845" t="inlineStr">
        <is>
          <t>Sin cliente</t>
        </is>
      </c>
      <c r="D845" t="inlineStr">
        <is>
          <t>CANELÉ TRADICIONAL</t>
        </is>
      </c>
      <c r="E845" s="34" t="n">
        <v>17400</v>
      </c>
      <c r="F845" t="inlineStr">
        <is>
          <t>B</t>
        </is>
      </c>
      <c r="G845" s="34" t="n">
        <v>2778</v>
      </c>
      <c r="H845" s="34" t="n">
        <v>14622</v>
      </c>
      <c r="I845" t="inlineStr">
        <is>
          <t>3.2</t>
        </is>
      </c>
      <c r="J845" t="inlineStr">
        <is>
          <t>Ventas Personas (B2C)</t>
        </is>
      </c>
      <c r="K845" t="inlineStr">
        <is>
          <t>CH2</t>
        </is>
      </c>
    </row>
    <row r="846">
      <c r="A846" s="33" t="n">
        <v>45745</v>
      </c>
      <c r="B846" t="inlineStr">
        <is>
          <t>2025-03</t>
        </is>
      </c>
      <c r="C846" t="inlineStr">
        <is>
          <t>Sin cliente</t>
        </is>
      </c>
      <c r="D846" t="inlineStr">
        <is>
          <t>Petit Crunchy</t>
        </is>
      </c>
      <c r="E846" s="34" t="n">
        <v>13900</v>
      </c>
      <c r="F846" t="inlineStr">
        <is>
          <t>B</t>
        </is>
      </c>
      <c r="G846" s="34" t="n">
        <v>2219</v>
      </c>
      <c r="H846" s="34" t="n">
        <v>11681</v>
      </c>
      <c r="I846" t="inlineStr">
        <is>
          <t>3.2</t>
        </is>
      </c>
      <c r="J846" t="inlineStr">
        <is>
          <t>Ventas Personas (B2C)</t>
        </is>
      </c>
      <c r="K846" t="inlineStr">
        <is>
          <t>CH2</t>
        </is>
      </c>
    </row>
    <row r="847">
      <c r="A847" s="33" t="n">
        <v>45745</v>
      </c>
      <c r="B847" t="inlineStr">
        <is>
          <t>2025-03</t>
        </is>
      </c>
      <c r="C847" t="inlineStr">
        <is>
          <t>JNCONCEPT SPA</t>
        </is>
      </c>
      <c r="D847" t="inlineStr">
        <is>
          <t>Petit Crunchy</t>
        </is>
      </c>
      <c r="E847" s="34" t="n">
        <v>69800</v>
      </c>
      <c r="F847" t="inlineStr">
        <is>
          <t>F</t>
        </is>
      </c>
      <c r="G847" s="34" t="n">
        <v>11145</v>
      </c>
      <c r="H847" s="34" t="n">
        <v>58655</v>
      </c>
      <c r="I847" t="inlineStr">
        <is>
          <t>3.1</t>
        </is>
      </c>
      <c r="J847" t="inlineStr">
        <is>
          <t>Ventas HoReCa</t>
        </is>
      </c>
      <c r="K847" t="inlineStr">
        <is>
          <t>CH1</t>
        </is>
      </c>
    </row>
    <row r="848">
      <c r="A848" s="33" t="n">
        <v>45746</v>
      </c>
      <c r="B848" t="inlineStr">
        <is>
          <t>2025-03</t>
        </is>
      </c>
      <c r="C848" t="inlineStr">
        <is>
          <t>Sin cliente</t>
        </is>
      </c>
      <c r="D848" t="inlineStr">
        <is>
          <t>Petit Tradicional</t>
        </is>
      </c>
      <c r="E848" s="34" t="n">
        <v>12900</v>
      </c>
      <c r="F848" t="inlineStr">
        <is>
          <t>B</t>
        </is>
      </c>
      <c r="G848" s="34" t="n">
        <v>2060</v>
      </c>
      <c r="H848" s="34" t="n">
        <v>10840</v>
      </c>
      <c r="I848" t="inlineStr">
        <is>
          <t>3.2</t>
        </is>
      </c>
      <c r="J848" t="inlineStr">
        <is>
          <t>Ventas Personas (B2C)</t>
        </is>
      </c>
      <c r="K848" t="inlineStr">
        <is>
          <t>CH2</t>
        </is>
      </c>
    </row>
    <row r="849">
      <c r="A849" s="33" t="n">
        <v>45746</v>
      </c>
      <c r="B849" t="inlineStr">
        <is>
          <t>2025-03</t>
        </is>
      </c>
      <c r="C849" t="inlineStr">
        <is>
          <t>Sin cliente</t>
        </is>
      </c>
      <c r="D849" t="inlineStr">
        <is>
          <t>CANELÉ TRADICIONAL</t>
        </is>
      </c>
      <c r="E849" s="34" t="n">
        <v>2000</v>
      </c>
      <c r="F849" t="inlineStr">
        <is>
          <t>B</t>
        </is>
      </c>
      <c r="G849" s="34" t="n">
        <v>319</v>
      </c>
      <c r="H849" s="34" t="n">
        <v>1681</v>
      </c>
      <c r="I849" t="inlineStr">
        <is>
          <t>3.2</t>
        </is>
      </c>
      <c r="J849" t="inlineStr">
        <is>
          <t>Ventas Personas (B2C)</t>
        </is>
      </c>
      <c r="K849" t="inlineStr">
        <is>
          <t>CH2</t>
        </is>
      </c>
    </row>
    <row r="850">
      <c r="A850" s="33" t="n">
        <v>45746</v>
      </c>
      <c r="B850" t="inlineStr">
        <is>
          <t>2025-03</t>
        </is>
      </c>
      <c r="C850" t="inlineStr">
        <is>
          <t>Sin cliente</t>
        </is>
      </c>
      <c r="D850" t="inlineStr">
        <is>
          <t>CANELÉ TRADICIONAL</t>
        </is>
      </c>
      <c r="E850" s="34" t="n">
        <v>21900</v>
      </c>
      <c r="F850" t="inlineStr">
        <is>
          <t>B</t>
        </is>
      </c>
      <c r="G850" s="34" t="n">
        <v>3497</v>
      </c>
      <c r="H850" s="34" t="n">
        <v>18403</v>
      </c>
      <c r="I850" t="inlineStr">
        <is>
          <t>3.2</t>
        </is>
      </c>
      <c r="J850" t="inlineStr">
        <is>
          <t>Ventas Personas (B2C)</t>
        </is>
      </c>
      <c r="K850" t="inlineStr">
        <is>
          <t>CH2</t>
        </is>
      </c>
    </row>
    <row r="851">
      <c r="A851" s="33" t="n">
        <v>45746</v>
      </c>
      <c r="B851" t="inlineStr">
        <is>
          <t>2025-03</t>
        </is>
      </c>
      <c r="C851" t="inlineStr">
        <is>
          <t>Sin cliente</t>
        </is>
      </c>
      <c r="D851" t="inlineStr">
        <is>
          <t>Petit Tradicional</t>
        </is>
      </c>
      <c r="E851" s="34" t="n">
        <v>20900</v>
      </c>
      <c r="F851" t="inlineStr">
        <is>
          <t>B</t>
        </is>
      </c>
      <c r="G851" s="34" t="n">
        <v>3337</v>
      </c>
      <c r="H851" s="34" t="n">
        <v>17563</v>
      </c>
      <c r="I851" t="inlineStr">
        <is>
          <t>3.2</t>
        </is>
      </c>
      <c r="J851" t="inlineStr">
        <is>
          <t>Ventas Personas (B2C)</t>
        </is>
      </c>
      <c r="K851" t="inlineStr">
        <is>
          <t>CH2</t>
        </is>
      </c>
    </row>
    <row r="852">
      <c r="A852" s="33" t="n">
        <v>45746</v>
      </c>
      <c r="B852" t="inlineStr">
        <is>
          <t>2025-03</t>
        </is>
      </c>
      <c r="C852" t="inlineStr">
        <is>
          <t>Sin cliente</t>
        </is>
      </c>
      <c r="D852" t="inlineStr">
        <is>
          <t>CANELÉ TRADICIONAL</t>
        </is>
      </c>
      <c r="E852" s="34" t="n">
        <v>11920</v>
      </c>
      <c r="F852" t="inlineStr">
        <is>
          <t>B</t>
        </is>
      </c>
      <c r="G852" s="34" t="n">
        <v>1903</v>
      </c>
      <c r="H852" s="34" t="n">
        <v>10017</v>
      </c>
      <c r="I852" t="inlineStr">
        <is>
          <t>3.2</t>
        </is>
      </c>
      <c r="J852" t="inlineStr">
        <is>
          <t>Ventas Personas (B2C)</t>
        </is>
      </c>
      <c r="K852" t="inlineStr">
        <is>
          <t>CH2</t>
        </is>
      </c>
    </row>
    <row r="853">
      <c r="A853" s="33" t="n">
        <v>45746</v>
      </c>
      <c r="B853" t="inlineStr">
        <is>
          <t>2025-03</t>
        </is>
      </c>
      <c r="C853" t="inlineStr">
        <is>
          <t>carla vilches carrasco</t>
        </is>
      </c>
      <c r="D853" t="inlineStr">
        <is>
          <t>CANELÉ TRADICIONAL</t>
        </is>
      </c>
      <c r="E853" s="34" t="n">
        <v>26190</v>
      </c>
      <c r="F853" t="inlineStr">
        <is>
          <t>B</t>
        </is>
      </c>
      <c r="G853" s="34" t="n">
        <v>4182</v>
      </c>
      <c r="H853" s="34" t="n">
        <v>22008</v>
      </c>
      <c r="I853" t="inlineStr">
        <is>
          <t>3.2</t>
        </is>
      </c>
      <c r="J853" t="inlineStr">
        <is>
          <t>Ventas Personas (B2C)</t>
        </is>
      </c>
      <c r="K853" t="inlineStr">
        <is>
          <t>CH2</t>
        </is>
      </c>
    </row>
    <row r="854">
      <c r="A854" s="33" t="n">
        <v>45746</v>
      </c>
      <c r="B854" t="inlineStr">
        <is>
          <t>2025-03</t>
        </is>
      </c>
      <c r="C854" t="inlineStr">
        <is>
          <t>Sebastian Diaz Guastavino</t>
        </is>
      </c>
      <c r="D854" t="inlineStr">
        <is>
          <t>Petit Tradicional</t>
        </is>
      </c>
      <c r="E854" s="34" t="n">
        <v>34500</v>
      </c>
      <c r="F854" t="inlineStr">
        <is>
          <t>B</t>
        </is>
      </c>
      <c r="G854" s="34" t="n">
        <v>5508</v>
      </c>
      <c r="H854" s="34" t="n">
        <v>28992</v>
      </c>
      <c r="I854" t="inlineStr">
        <is>
          <t>3.2</t>
        </is>
      </c>
      <c r="J854" t="inlineStr">
        <is>
          <t>Ventas Personas (B2C)</t>
        </is>
      </c>
      <c r="K854" t="inlineStr">
        <is>
          <t>CH2</t>
        </is>
      </c>
    </row>
    <row r="855">
      <c r="A855" s="33" t="n">
        <v>45747</v>
      </c>
      <c r="B855" t="inlineStr">
        <is>
          <t>2025-03</t>
        </is>
      </c>
      <c r="C855" t="inlineStr">
        <is>
          <t>Sin cliente</t>
        </is>
      </c>
      <c r="D855" t="inlineStr">
        <is>
          <t>Mix Sabores</t>
        </is>
      </c>
      <c r="E855" s="34" t="n">
        <v>37800</v>
      </c>
      <c r="F855" t="inlineStr">
        <is>
          <t>B</t>
        </is>
      </c>
      <c r="G855" s="34" t="n">
        <v>6035</v>
      </c>
      <c r="H855" s="34" t="n">
        <v>31765</v>
      </c>
      <c r="I855" t="inlineStr">
        <is>
          <t>3.2</t>
        </is>
      </c>
      <c r="J855" t="inlineStr">
        <is>
          <t>Ventas Personas (B2C)</t>
        </is>
      </c>
      <c r="K855" t="inlineStr">
        <is>
          <t>CH2</t>
        </is>
      </c>
    </row>
    <row r="856">
      <c r="A856" s="33" t="n">
        <v>45747</v>
      </c>
      <c r="B856" t="inlineStr">
        <is>
          <t>2025-03</t>
        </is>
      </c>
      <c r="C856" t="inlineStr">
        <is>
          <t>Natalie Lebrun-Pinochet</t>
        </is>
      </c>
      <c r="D856" t="inlineStr">
        <is>
          <t>Petit Tradicional</t>
        </is>
      </c>
      <c r="E856" s="34" t="n">
        <v>11610</v>
      </c>
      <c r="F856" t="inlineStr">
        <is>
          <t>B</t>
        </is>
      </c>
      <c r="G856" s="34" t="n">
        <v>1854</v>
      </c>
      <c r="H856" s="34" t="n">
        <v>9756</v>
      </c>
      <c r="I856" t="inlineStr">
        <is>
          <t>3.2</t>
        </is>
      </c>
      <c r="J856" t="inlineStr">
        <is>
          <t>Ventas Personas (B2C)</t>
        </is>
      </c>
      <c r="K856" t="inlineStr">
        <is>
          <t>CH2</t>
        </is>
      </c>
    </row>
    <row r="857">
      <c r="A857" s="33" t="n">
        <v>45747</v>
      </c>
      <c r="B857" t="inlineStr">
        <is>
          <t>2025-03</t>
        </is>
      </c>
      <c r="C857" t="inlineStr">
        <is>
          <t>CAFETERÍA ALTURA LIMITADA</t>
        </is>
      </c>
      <c r="D857" t="inlineStr">
        <is>
          <t>HORECA CAFETERIA</t>
        </is>
      </c>
      <c r="E857" s="34" t="n">
        <v>78870</v>
      </c>
      <c r="F857" t="inlineStr">
        <is>
          <t>F</t>
        </is>
      </c>
      <c r="G857" s="34" t="n">
        <v>12593</v>
      </c>
      <c r="H857" s="34" t="n">
        <v>66277</v>
      </c>
      <c r="I857" t="inlineStr">
        <is>
          <t>3.1</t>
        </is>
      </c>
      <c r="J857" t="inlineStr">
        <is>
          <t>Ventas HoReCa</t>
        </is>
      </c>
      <c r="K857" t="inlineStr">
        <is>
          <t>CH1</t>
        </is>
      </c>
    </row>
    <row r="858">
      <c r="A858" s="33" t="n">
        <v>45747</v>
      </c>
      <c r="B858" t="inlineStr">
        <is>
          <t>2025-03</t>
        </is>
      </c>
      <c r="C858" t="inlineStr">
        <is>
          <t>INVERSIONES Y COMERCIALIZADORA FED LIMITADA</t>
        </is>
      </c>
      <c r="D858" t="inlineStr">
        <is>
          <t>HORECA CAFETERIA</t>
        </is>
      </c>
      <c r="E858" s="34" t="n">
        <v>132297</v>
      </c>
      <c r="F858" t="inlineStr">
        <is>
          <t>F</t>
        </is>
      </c>
      <c r="G858" s="34" t="n">
        <v>21123</v>
      </c>
      <c r="H858" s="34" t="n">
        <v>111174</v>
      </c>
      <c r="I858" t="inlineStr">
        <is>
          <t>3.1</t>
        </is>
      </c>
      <c r="J858" t="inlineStr">
        <is>
          <t>Ventas HoReCa</t>
        </is>
      </c>
      <c r="K858" t="inlineStr">
        <is>
          <t>CH1</t>
        </is>
      </c>
    </row>
    <row r="859">
      <c r="A859" s="33" t="n">
        <v>45747</v>
      </c>
      <c r="B859" t="inlineStr">
        <is>
          <t>2025-03</t>
        </is>
      </c>
      <c r="C859" t="inlineStr">
        <is>
          <t>INVERSIONES Y COMERCIALIZADORA FED LIMITADA</t>
        </is>
      </c>
      <c r="D859" t="inlineStr">
        <is>
          <t>HORECA CAFETERIA</t>
        </is>
      </c>
      <c r="E859" s="34" t="n">
        <v>104830</v>
      </c>
      <c r="F859" t="inlineStr">
        <is>
          <t>F</t>
        </is>
      </c>
      <c r="G859" s="34" t="n">
        <v>16738</v>
      </c>
      <c r="H859" s="34" t="n">
        <v>88092</v>
      </c>
      <c r="I859" t="inlineStr">
        <is>
          <t>3.1</t>
        </is>
      </c>
      <c r="J859" t="inlineStr">
        <is>
          <t>Ventas HoReCa</t>
        </is>
      </c>
      <c r="K859" t="inlineStr">
        <is>
          <t>CH1</t>
        </is>
      </c>
    </row>
    <row r="860">
      <c r="A860" s="33" t="n">
        <v>45747</v>
      </c>
      <c r="B860" t="inlineStr">
        <is>
          <t>2025-03</t>
        </is>
      </c>
      <c r="C860" t="inlineStr">
        <is>
          <t>POMPON SPA</t>
        </is>
      </c>
      <c r="D860" t="inlineStr">
        <is>
          <t>HORECA CAFETERIA</t>
        </is>
      </c>
      <c r="E860" s="34" t="n">
        <v>132510</v>
      </c>
      <c r="F860" t="inlineStr">
        <is>
          <t>F</t>
        </is>
      </c>
      <c r="G860" s="34" t="n">
        <v>21157</v>
      </c>
      <c r="H860" s="34" t="n">
        <v>111353</v>
      </c>
      <c r="I860" t="inlineStr">
        <is>
          <t>3.1</t>
        </is>
      </c>
      <c r="J860" t="inlineStr">
        <is>
          <t>Ventas HoReCa</t>
        </is>
      </c>
      <c r="K860" t="inlineStr">
        <is>
          <t>CH1</t>
        </is>
      </c>
    </row>
    <row r="861">
      <c r="A861" s="33" t="n">
        <v>45747</v>
      </c>
      <c r="B861" t="inlineStr">
        <is>
          <t>2025-03</t>
        </is>
      </c>
      <c r="C861" t="inlineStr">
        <is>
          <t>RC BANQUETERIA SPA</t>
        </is>
      </c>
      <c r="D861" t="inlineStr">
        <is>
          <t>HORECA CATERING</t>
        </is>
      </c>
      <c r="E861" s="34" t="n">
        <v>37013</v>
      </c>
      <c r="F861" t="inlineStr">
        <is>
          <t>F</t>
        </is>
      </c>
      <c r="G861" s="34" t="n">
        <v>5910</v>
      </c>
      <c r="H861" s="34" t="n">
        <v>31103</v>
      </c>
      <c r="I861" t="inlineStr">
        <is>
          <t>3.1</t>
        </is>
      </c>
      <c r="J861" t="inlineStr">
        <is>
          <t>Ventas HoReCa</t>
        </is>
      </c>
      <c r="K861" t="inlineStr">
        <is>
          <t>CH1</t>
        </is>
      </c>
    </row>
    <row r="862">
      <c r="A862" s="33" t="n">
        <v>45747</v>
      </c>
      <c r="B862" t="inlineStr">
        <is>
          <t>2025-03</t>
        </is>
      </c>
      <c r="C862" t="inlineStr">
        <is>
          <t>Miguel Angel Farias Torres</t>
        </is>
      </c>
      <c r="D862" t="inlineStr">
        <is>
          <t>CANELÉ TRADICIONAL</t>
        </is>
      </c>
      <c r="E862" s="34" t="n">
        <v>19889</v>
      </c>
      <c r="F862" t="inlineStr">
        <is>
          <t>B</t>
        </is>
      </c>
      <c r="G862" s="34" t="n">
        <v>3176</v>
      </c>
      <c r="H862" s="34" t="n">
        <v>16713</v>
      </c>
      <c r="I862" t="inlineStr">
        <is>
          <t>3.2</t>
        </is>
      </c>
      <c r="J862" t="inlineStr">
        <is>
          <t>Ventas Personas (B2C)</t>
        </is>
      </c>
      <c r="K862" t="inlineStr">
        <is>
          <t>CH2</t>
        </is>
      </c>
    </row>
    <row r="863">
      <c r="A863" s="33" t="n">
        <v>45747</v>
      </c>
      <c r="B863" t="inlineStr">
        <is>
          <t>2025-03</t>
        </is>
      </c>
      <c r="C863" t="inlineStr">
        <is>
          <t>Esteban Miño</t>
        </is>
      </c>
      <c r="D863" t="inlineStr">
        <is>
          <t>Delicatessen</t>
        </is>
      </c>
      <c r="E863" s="34" t="n">
        <v>36560</v>
      </c>
      <c r="F863" t="inlineStr">
        <is>
          <t>B</t>
        </is>
      </c>
      <c r="G863" s="34" t="n">
        <v>5837</v>
      </c>
      <c r="H863" s="34" t="n">
        <v>30723</v>
      </c>
      <c r="I863" t="inlineStr">
        <is>
          <t>3.2</t>
        </is>
      </c>
      <c r="J863" t="inlineStr">
        <is>
          <t>Ventas Personas (B2C)</t>
        </is>
      </c>
      <c r="K863" t="inlineStr">
        <is>
          <t>CH2</t>
        </is>
      </c>
    </row>
    <row r="864">
      <c r="A864" s="33" t="n">
        <v>45747</v>
      </c>
      <c r="B864" t="inlineStr">
        <is>
          <t>2025-03</t>
        </is>
      </c>
      <c r="C864" t="inlineStr">
        <is>
          <t>Leticia Medina</t>
        </is>
      </c>
      <c r="D864" t="inlineStr">
        <is>
          <t>CANELÉ TRADICIONAL</t>
        </is>
      </c>
      <c r="E864" s="34" t="n">
        <v>31890</v>
      </c>
      <c r="F864" t="inlineStr">
        <is>
          <t>B</t>
        </is>
      </c>
      <c r="G864" s="34" t="n">
        <v>5092</v>
      </c>
      <c r="H864" s="34" t="n">
        <v>26798</v>
      </c>
      <c r="I864" t="inlineStr">
        <is>
          <t>3.2</t>
        </is>
      </c>
      <c r="J864" t="inlineStr">
        <is>
          <t>Ventas Personas (B2C)</t>
        </is>
      </c>
      <c r="K864" t="inlineStr">
        <is>
          <t>CH2</t>
        </is>
      </c>
    </row>
    <row r="865">
      <c r="A865" s="33" t="n">
        <v>45747</v>
      </c>
      <c r="B865" t="inlineStr">
        <is>
          <t>2025-03</t>
        </is>
      </c>
      <c r="C865" t="inlineStr">
        <is>
          <t>Macarena Ormazabal</t>
        </is>
      </c>
      <c r="D865" t="inlineStr">
        <is>
          <t>Petit Crunchy</t>
        </is>
      </c>
      <c r="E865" s="34" t="n">
        <v>33400</v>
      </c>
      <c r="F865" t="inlineStr">
        <is>
          <t>B</t>
        </is>
      </c>
      <c r="G865" s="34" t="n">
        <v>5333</v>
      </c>
      <c r="H865" s="34" t="n">
        <v>28067</v>
      </c>
      <c r="I865" t="inlineStr">
        <is>
          <t>3.2</t>
        </is>
      </c>
      <c r="J865" t="inlineStr">
        <is>
          <t>Ventas Personas (B2C)</t>
        </is>
      </c>
      <c r="K865" t="inlineStr">
        <is>
          <t>CH2</t>
        </is>
      </c>
    </row>
    <row r="866">
      <c r="A866" s="33" t="n">
        <v>45747</v>
      </c>
      <c r="B866" t="inlineStr">
        <is>
          <t>2025-03</t>
        </is>
      </c>
      <c r="C866" t="inlineStr">
        <is>
          <t>Javiera Flores Larenas</t>
        </is>
      </c>
      <c r="D866" t="inlineStr">
        <is>
          <t>Mix Sabores</t>
        </is>
      </c>
      <c r="E866" s="34" t="n">
        <v>18299</v>
      </c>
      <c r="F866" t="inlineStr">
        <is>
          <t>B</t>
        </is>
      </c>
      <c r="G866" s="34" t="n">
        <v>2922</v>
      </c>
      <c r="H866" s="34" t="n">
        <v>15377</v>
      </c>
      <c r="I866" t="inlineStr">
        <is>
          <t>3.2</t>
        </is>
      </c>
      <c r="J866" t="inlineStr">
        <is>
          <t>Ventas Personas (B2C)</t>
        </is>
      </c>
      <c r="K866" t="inlineStr">
        <is>
          <t>CH2</t>
        </is>
      </c>
    </row>
    <row r="867">
      <c r="A867" s="33" t="n">
        <v>45747</v>
      </c>
      <c r="B867" t="inlineStr">
        <is>
          <t>2025-03</t>
        </is>
      </c>
      <c r="C867" t="inlineStr">
        <is>
          <t>juan macchiavello</t>
        </is>
      </c>
      <c r="D867" t="inlineStr">
        <is>
          <t>Delicatessen</t>
        </is>
      </c>
      <c r="E867" s="34" t="n">
        <v>33880</v>
      </c>
      <c r="F867" t="inlineStr">
        <is>
          <t>B</t>
        </is>
      </c>
      <c r="G867" s="34" t="n">
        <v>5409</v>
      </c>
      <c r="H867" s="34" t="n">
        <v>28471</v>
      </c>
      <c r="I867" t="inlineStr">
        <is>
          <t>3.2</t>
        </is>
      </c>
      <c r="J867" t="inlineStr">
        <is>
          <t>Ventas Personas (B2C)</t>
        </is>
      </c>
      <c r="K867" t="inlineStr">
        <is>
          <t>CH2</t>
        </is>
      </c>
    </row>
    <row r="868">
      <c r="A868" s="33" t="n">
        <v>45747</v>
      </c>
      <c r="B868" t="inlineStr">
        <is>
          <t>2025-03</t>
        </is>
      </c>
      <c r="C868" t="inlineStr">
        <is>
          <t>INVERSIONES Y ASESORIAS RAVAL LIMITADA</t>
        </is>
      </c>
      <c r="D868" t="inlineStr">
        <is>
          <t>HORECA CAFETERIA</t>
        </is>
      </c>
      <c r="E868" s="34" t="n">
        <v>67980</v>
      </c>
      <c r="F868" t="inlineStr">
        <is>
          <t>F</t>
        </is>
      </c>
      <c r="G868" s="34" t="n">
        <v>10854</v>
      </c>
      <c r="H868" s="34" t="n">
        <v>57126</v>
      </c>
      <c r="I868" t="inlineStr">
        <is>
          <t>3.1</t>
        </is>
      </c>
      <c r="J868" t="inlineStr">
        <is>
          <t>Ventas HoReCa</t>
        </is>
      </c>
      <c r="K868" t="inlineStr">
        <is>
          <t>CH1</t>
        </is>
      </c>
    </row>
    <row r="869">
      <c r="A869" s="33" t="n">
        <v>45748</v>
      </c>
      <c r="B869" t="inlineStr">
        <is>
          <t>2025-04</t>
        </is>
      </c>
      <c r="C869" t="inlineStr">
        <is>
          <t>RICO SPA</t>
        </is>
      </c>
      <c r="D869" t="inlineStr">
        <is>
          <t>HORECA CATERING</t>
        </is>
      </c>
      <c r="E869" s="34" t="n">
        <v>152677</v>
      </c>
      <c r="F869" t="inlineStr">
        <is>
          <t>F</t>
        </is>
      </c>
      <c r="G869" s="34" t="n">
        <v>24377</v>
      </c>
      <c r="H869" s="34" t="n">
        <v>128300</v>
      </c>
      <c r="I869" t="inlineStr">
        <is>
          <t>3.1</t>
        </is>
      </c>
      <c r="J869" t="inlineStr">
        <is>
          <t>Ventas HoReCa</t>
        </is>
      </c>
      <c r="K869" t="inlineStr">
        <is>
          <t>CH1</t>
        </is>
      </c>
    </row>
    <row r="870">
      <c r="A870" s="33" t="n">
        <v>45748</v>
      </c>
      <c r="B870" t="inlineStr">
        <is>
          <t>2025-04</t>
        </is>
      </c>
      <c r="C870" t="inlineStr">
        <is>
          <t>Café del Parque SpA</t>
        </is>
      </c>
      <c r="D870" t="inlineStr">
        <is>
          <t>HORECA CAFETERIA</t>
        </is>
      </c>
      <c r="E870" s="34" t="n">
        <v>37548</v>
      </c>
      <c r="F870" t="inlineStr">
        <is>
          <t>F</t>
        </is>
      </c>
      <c r="G870" s="34" t="n">
        <v>5995</v>
      </c>
      <c r="H870" s="34" t="n">
        <v>31553</v>
      </c>
      <c r="I870" t="inlineStr">
        <is>
          <t>3.1</t>
        </is>
      </c>
      <c r="J870" t="inlineStr">
        <is>
          <t>Ventas HoReCa</t>
        </is>
      </c>
      <c r="K870" t="inlineStr">
        <is>
          <t>CH1</t>
        </is>
      </c>
    </row>
    <row r="871">
      <c r="A871" s="33" t="n">
        <v>45748</v>
      </c>
      <c r="B871" t="inlineStr">
        <is>
          <t>2025-04</t>
        </is>
      </c>
      <c r="C871" t="inlineStr">
        <is>
          <t>Sin cliente</t>
        </is>
      </c>
      <c r="D871" t="inlineStr">
        <is>
          <t>CANELÉ TRADICIONAL</t>
        </is>
      </c>
      <c r="E871" s="34" t="n">
        <v>14900</v>
      </c>
      <c r="F871" t="inlineStr">
        <is>
          <t>B</t>
        </is>
      </c>
      <c r="G871" s="34" t="n">
        <v>2379</v>
      </c>
      <c r="H871" s="34" t="n">
        <v>12521</v>
      </c>
      <c r="I871" t="inlineStr">
        <is>
          <t>3.2</t>
        </is>
      </c>
      <c r="J871" t="inlineStr">
        <is>
          <t>Ventas Personas (B2C)</t>
        </is>
      </c>
      <c r="K871" t="inlineStr">
        <is>
          <t>CH2</t>
        </is>
      </c>
    </row>
    <row r="872">
      <c r="A872" s="33" t="n">
        <v>45748</v>
      </c>
      <c r="B872" t="inlineStr">
        <is>
          <t>2025-04</t>
        </is>
      </c>
      <c r="C872" t="inlineStr">
        <is>
          <t>CAFE HAITI AHUMADA LTDA</t>
        </is>
      </c>
      <c r="D872" t="inlineStr">
        <is>
          <t>HORECA CAFETERIA</t>
        </is>
      </c>
      <c r="E872" s="34" t="n">
        <v>1213308</v>
      </c>
      <c r="F872" t="inlineStr">
        <is>
          <t>F</t>
        </is>
      </c>
      <c r="G872" s="34" t="n">
        <v>193721</v>
      </c>
      <c r="H872" s="34" t="n">
        <v>1019587</v>
      </c>
      <c r="I872" t="inlineStr">
        <is>
          <t>3.1</t>
        </is>
      </c>
      <c r="J872" t="inlineStr">
        <is>
          <t>Ventas HoReCa</t>
        </is>
      </c>
      <c r="K872" t="inlineStr">
        <is>
          <t>CH1</t>
        </is>
      </c>
    </row>
    <row r="873">
      <c r="A873" s="33" t="n">
        <v>45748</v>
      </c>
      <c r="B873" t="inlineStr">
        <is>
          <t>2025-04</t>
        </is>
      </c>
      <c r="C873" t="inlineStr">
        <is>
          <t>Leonardo Lourtau</t>
        </is>
      </c>
      <c r="D873" t="inlineStr">
        <is>
          <t>Petit Crunchy</t>
        </is>
      </c>
      <c r="E873" s="34" t="n">
        <v>30890</v>
      </c>
      <c r="F873" t="inlineStr">
        <is>
          <t>B</t>
        </is>
      </c>
      <c r="G873" s="34" t="n">
        <v>4932</v>
      </c>
      <c r="H873" s="34" t="n">
        <v>25958</v>
      </c>
      <c r="I873" t="inlineStr">
        <is>
          <t>3.2</t>
        </is>
      </c>
      <c r="J873" t="inlineStr">
        <is>
          <t>Ventas Personas (B2C)</t>
        </is>
      </c>
      <c r="K873" t="inlineStr">
        <is>
          <t>CH2</t>
        </is>
      </c>
    </row>
    <row r="874">
      <c r="A874" s="33" t="n">
        <v>45748</v>
      </c>
      <c r="B874" t="inlineStr">
        <is>
          <t>2025-04</t>
        </is>
      </c>
      <c r="C874" t="inlineStr">
        <is>
          <t xml:space="preserve">Café lucerna spa </t>
        </is>
      </c>
      <c r="D874" t="inlineStr">
        <is>
          <t>HORECA CAFETERIA</t>
        </is>
      </c>
      <c r="E874" s="34" t="n">
        <v>63990</v>
      </c>
      <c r="F874" t="inlineStr">
        <is>
          <t>F</t>
        </is>
      </c>
      <c r="G874" s="34" t="n">
        <v>10217</v>
      </c>
      <c r="H874" s="34" t="n">
        <v>53773</v>
      </c>
      <c r="I874" t="inlineStr">
        <is>
          <t>3.1</t>
        </is>
      </c>
      <c r="J874" t="inlineStr">
        <is>
          <t>Ventas HoReCa</t>
        </is>
      </c>
      <c r="K874" t="inlineStr">
        <is>
          <t>CH1</t>
        </is>
      </c>
    </row>
    <row r="875">
      <c r="A875" s="33" t="n">
        <v>45748</v>
      </c>
      <c r="B875" t="inlineStr">
        <is>
          <t>2025-04</t>
        </is>
      </c>
      <c r="C875" t="inlineStr">
        <is>
          <t>Luis Felipe La Corte Castro</t>
        </is>
      </c>
      <c r="D875" t="inlineStr">
        <is>
          <t>HORECA CAFETERIA</t>
        </is>
      </c>
      <c r="E875" s="34" t="n">
        <v>88590</v>
      </c>
      <c r="F875" t="inlineStr">
        <is>
          <t>F</t>
        </is>
      </c>
      <c r="G875" s="34" t="n">
        <v>14145</v>
      </c>
      <c r="H875" s="34" t="n">
        <v>74445</v>
      </c>
      <c r="I875" t="inlineStr">
        <is>
          <t>3.1</t>
        </is>
      </c>
      <c r="J875" t="inlineStr">
        <is>
          <t>Ventas HoReCa</t>
        </is>
      </c>
      <c r="K875" t="inlineStr">
        <is>
          <t>CH1</t>
        </is>
      </c>
    </row>
    <row r="876">
      <c r="A876" s="33" t="n">
        <v>45748</v>
      </c>
      <c r="B876" t="inlineStr">
        <is>
          <t>2025-04</t>
        </is>
      </c>
      <c r="C876" t="inlineStr">
        <is>
          <t>Min Kwon</t>
        </is>
      </c>
      <c r="D876" t="inlineStr">
        <is>
          <t>Rellenos</t>
        </is>
      </c>
      <c r="E876" s="34" t="n">
        <v>26910</v>
      </c>
      <c r="F876" t="inlineStr">
        <is>
          <t>B</t>
        </is>
      </c>
      <c r="G876" s="34" t="n">
        <v>4297</v>
      </c>
      <c r="H876" s="34" t="n">
        <v>22613</v>
      </c>
      <c r="I876" t="inlineStr">
        <is>
          <t>3.2</t>
        </is>
      </c>
      <c r="J876" t="inlineStr">
        <is>
          <t>Ventas Personas (B2C)</t>
        </is>
      </c>
      <c r="K876" t="inlineStr">
        <is>
          <t>CH2</t>
        </is>
      </c>
    </row>
    <row r="877">
      <c r="A877" s="33" t="n">
        <v>45748</v>
      </c>
      <c r="B877" t="inlineStr">
        <is>
          <t>2025-04</t>
        </is>
      </c>
      <c r="C877" t="inlineStr">
        <is>
          <t>Sin cliente</t>
        </is>
      </c>
      <c r="D877" t="inlineStr">
        <is>
          <t>CANELÉ TRADICIONAL</t>
        </is>
      </c>
      <c r="E877" s="34" t="n">
        <v>12000</v>
      </c>
      <c r="F877" t="inlineStr">
        <is>
          <t>B</t>
        </is>
      </c>
      <c r="G877" s="34" t="n">
        <v>1916</v>
      </c>
      <c r="H877" s="34" t="n">
        <v>10084</v>
      </c>
      <c r="I877" t="inlineStr">
        <is>
          <t>3.2</t>
        </is>
      </c>
      <c r="J877" t="inlineStr">
        <is>
          <t>Ventas Personas (B2C)</t>
        </is>
      </c>
      <c r="K877" t="inlineStr">
        <is>
          <t>CH2</t>
        </is>
      </c>
    </row>
    <row r="878">
      <c r="A878" s="33" t="n">
        <v>45748</v>
      </c>
      <c r="B878" t="inlineStr">
        <is>
          <t>2025-04</t>
        </is>
      </c>
      <c r="C878" t="inlineStr">
        <is>
          <t>Benjamin  Zegers</t>
        </is>
      </c>
      <c r="D878" t="inlineStr">
        <is>
          <t>CANELÉ TRADICIONAL</t>
        </is>
      </c>
      <c r="E878" s="34" t="n">
        <v>14000</v>
      </c>
      <c r="F878" t="inlineStr">
        <is>
          <t>B</t>
        </is>
      </c>
      <c r="G878" s="34" t="n">
        <v>2235</v>
      </c>
      <c r="H878" s="34" t="n">
        <v>11765</v>
      </c>
      <c r="I878" t="inlineStr">
        <is>
          <t>3.2</t>
        </is>
      </c>
      <c r="J878" t="inlineStr">
        <is>
          <t>Ventas Personas (B2C)</t>
        </is>
      </c>
      <c r="K878" t="inlineStr">
        <is>
          <t>CH2</t>
        </is>
      </c>
    </row>
    <row r="879">
      <c r="A879" s="33" t="n">
        <v>45748</v>
      </c>
      <c r="B879" t="inlineStr">
        <is>
          <t>2025-04</t>
        </is>
      </c>
      <c r="C879" t="inlineStr">
        <is>
          <t>Sin cliente</t>
        </is>
      </c>
      <c r="D879" t="inlineStr">
        <is>
          <t>SALSAS</t>
        </is>
      </c>
      <c r="E879" s="34" t="n">
        <v>20796</v>
      </c>
      <c r="F879" t="inlineStr">
        <is>
          <t>B</t>
        </is>
      </c>
      <c r="G879" s="34" t="n">
        <v>3320</v>
      </c>
      <c r="H879" s="34" t="n">
        <v>17476</v>
      </c>
      <c r="I879" t="inlineStr">
        <is>
          <t>3.2</t>
        </is>
      </c>
      <c r="J879" t="inlineStr">
        <is>
          <t>Ventas Personas (B2C)</t>
        </is>
      </c>
      <c r="K879" t="inlineStr">
        <is>
          <t>CH2</t>
        </is>
      </c>
    </row>
    <row r="880">
      <c r="A880" s="33" t="n">
        <v>45748</v>
      </c>
      <c r="B880" t="inlineStr">
        <is>
          <t>2025-04</t>
        </is>
      </c>
      <c r="C880" t="inlineStr">
        <is>
          <t>Sin cliente</t>
        </is>
      </c>
      <c r="D880" t="inlineStr">
        <is>
          <t>Petit Tradicional</t>
        </is>
      </c>
      <c r="E880" s="34" t="n">
        <v>10320</v>
      </c>
      <c r="F880" t="inlineStr">
        <is>
          <t>B</t>
        </is>
      </c>
      <c r="G880" s="34" t="n">
        <v>1648</v>
      </c>
      <c r="H880" s="34" t="n">
        <v>8672</v>
      </c>
      <c r="I880" t="inlineStr">
        <is>
          <t>3.2</t>
        </is>
      </c>
      <c r="J880" t="inlineStr">
        <is>
          <t>Ventas Personas (B2C)</t>
        </is>
      </c>
      <c r="K880" t="inlineStr">
        <is>
          <t>CH2</t>
        </is>
      </c>
    </row>
    <row r="881">
      <c r="A881" s="33" t="n">
        <v>45749</v>
      </c>
      <c r="B881" t="inlineStr">
        <is>
          <t>2025-04</t>
        </is>
      </c>
      <c r="C881" t="inlineStr">
        <is>
          <t>MARÍA ROSARIO DÍAZ QUAPPE  PUERTO ROSA DULCERIA EM</t>
        </is>
      </c>
      <c r="D881" t="inlineStr">
        <is>
          <t>HORECA CAFETERIA</t>
        </is>
      </c>
      <c r="E881" s="34" t="n">
        <v>92880</v>
      </c>
      <c r="F881" t="inlineStr">
        <is>
          <t>F</t>
        </is>
      </c>
      <c r="G881" s="34" t="n">
        <v>14830</v>
      </c>
      <c r="H881" s="34" t="n">
        <v>78050</v>
      </c>
      <c r="I881" t="inlineStr">
        <is>
          <t>3.1</t>
        </is>
      </c>
      <c r="J881" t="inlineStr">
        <is>
          <t>Ventas HoReCa</t>
        </is>
      </c>
      <c r="K881" t="inlineStr">
        <is>
          <t>CH1</t>
        </is>
      </c>
    </row>
    <row r="882">
      <c r="A882" s="33" t="n">
        <v>45749</v>
      </c>
      <c r="B882" t="inlineStr">
        <is>
          <t>2025-04</t>
        </is>
      </c>
      <c r="C882" t="inlineStr">
        <is>
          <t>CAFETERIA THE ELEPHANT COFFEE LIMITADA</t>
        </is>
      </c>
      <c r="D882" t="inlineStr">
        <is>
          <t>HORECA CAFETERIA</t>
        </is>
      </c>
      <c r="E882" s="34" t="n">
        <v>137940</v>
      </c>
      <c r="F882" t="inlineStr">
        <is>
          <t>F</t>
        </is>
      </c>
      <c r="G882" s="34" t="n">
        <v>22024</v>
      </c>
      <c r="H882" s="34" t="n">
        <v>115916</v>
      </c>
      <c r="I882" t="inlineStr">
        <is>
          <t>3.1</t>
        </is>
      </c>
      <c r="J882" t="inlineStr">
        <is>
          <t>Ventas HoReCa</t>
        </is>
      </c>
      <c r="K882" t="inlineStr">
        <is>
          <t>CH1</t>
        </is>
      </c>
    </row>
    <row r="883">
      <c r="A883" s="33" t="n">
        <v>45749</v>
      </c>
      <c r="B883" t="inlineStr">
        <is>
          <t>2025-04</t>
        </is>
      </c>
      <c r="C883" t="inlineStr">
        <is>
          <t>Betancurt Pulgar Spa</t>
        </is>
      </c>
      <c r="D883" t="inlineStr">
        <is>
          <t>HORECA CAFETERIA</t>
        </is>
      </c>
      <c r="E883" s="34" t="n">
        <v>33978</v>
      </c>
      <c r="F883" t="inlineStr">
        <is>
          <t>F</t>
        </is>
      </c>
      <c r="G883" s="34" t="n">
        <v>5425</v>
      </c>
      <c r="H883" s="34" t="n">
        <v>28553</v>
      </c>
      <c r="I883" t="inlineStr">
        <is>
          <t>3.1</t>
        </is>
      </c>
      <c r="J883" t="inlineStr">
        <is>
          <t>Ventas HoReCa</t>
        </is>
      </c>
      <c r="K883" t="inlineStr">
        <is>
          <t>CH1</t>
        </is>
      </c>
    </row>
    <row r="884">
      <c r="A884" s="33" t="n">
        <v>45749</v>
      </c>
      <c r="B884" t="inlineStr">
        <is>
          <t>2025-04</t>
        </is>
      </c>
      <c r="C884" t="inlineStr">
        <is>
          <t>Antonia Hornig</t>
        </is>
      </c>
      <c r="D884" t="inlineStr">
        <is>
          <t>CANELÉ TRADICIONAL</t>
        </is>
      </c>
      <c r="E884" s="34" t="n">
        <v>21890</v>
      </c>
      <c r="F884" t="inlineStr">
        <is>
          <t>B</t>
        </is>
      </c>
      <c r="G884" s="34" t="n">
        <v>3495</v>
      </c>
      <c r="H884" s="34" t="n">
        <v>18395</v>
      </c>
      <c r="I884" t="inlineStr">
        <is>
          <t>3.2</t>
        </is>
      </c>
      <c r="J884" t="inlineStr">
        <is>
          <t>Ventas Personas (B2C)</t>
        </is>
      </c>
      <c r="K884" t="inlineStr">
        <is>
          <t>CH2</t>
        </is>
      </c>
    </row>
    <row r="885">
      <c r="A885" s="33" t="n">
        <v>45749</v>
      </c>
      <c r="B885" t="inlineStr">
        <is>
          <t>2025-04</t>
        </is>
      </c>
      <c r="C885" t="inlineStr">
        <is>
          <t>Sin cliente</t>
        </is>
      </c>
      <c r="D885" t="inlineStr">
        <is>
          <t>CANELÉ TRADICIONAL</t>
        </is>
      </c>
      <c r="E885" s="34" t="n">
        <v>19990</v>
      </c>
      <c r="F885" t="inlineStr">
        <is>
          <t>B</t>
        </is>
      </c>
      <c r="G885" s="34" t="n">
        <v>3192</v>
      </c>
      <c r="H885" s="34" t="n">
        <v>16798</v>
      </c>
      <c r="I885" t="inlineStr">
        <is>
          <t>3.2</t>
        </is>
      </c>
      <c r="J885" t="inlineStr">
        <is>
          <t>Ventas Personas (B2C)</t>
        </is>
      </c>
      <c r="K885" t="inlineStr">
        <is>
          <t>CH2</t>
        </is>
      </c>
    </row>
    <row r="886">
      <c r="A886" s="33" t="n">
        <v>45749</v>
      </c>
      <c r="B886" t="inlineStr">
        <is>
          <t>2025-04</t>
        </is>
      </c>
      <c r="C886" t="inlineStr">
        <is>
          <t>Sin cliente</t>
        </is>
      </c>
      <c r="D886" t="inlineStr">
        <is>
          <t>PLATAFORMAS RAP-PEYA-UBER-GOOD</t>
        </is>
      </c>
      <c r="E886" s="34" t="n">
        <v>9600</v>
      </c>
      <c r="F886" t="inlineStr">
        <is>
          <t>B</t>
        </is>
      </c>
      <c r="G886" s="34" t="n">
        <v>1533</v>
      </c>
      <c r="H886" s="34" t="n">
        <v>8067</v>
      </c>
      <c r="I886" t="inlineStr">
        <is>
          <t>3.6</t>
        </is>
      </c>
      <c r="J886" t="inlineStr">
        <is>
          <t>Ventas Delivery Apps</t>
        </is>
      </c>
      <c r="K886" t="inlineStr">
        <is>
          <t>CH3</t>
        </is>
      </c>
    </row>
    <row r="887">
      <c r="A887" s="33" t="n">
        <v>45749</v>
      </c>
      <c r="B887" t="inlineStr">
        <is>
          <t>2025-04</t>
        </is>
      </c>
      <c r="C887" t="inlineStr">
        <is>
          <t>Sin cliente</t>
        </is>
      </c>
      <c r="D887" t="inlineStr">
        <is>
          <t>PLATAFORMAS RAP-PEYA-UBER-GOOD</t>
        </is>
      </c>
      <c r="E887" s="34" t="n">
        <v>17880</v>
      </c>
      <c r="F887" t="inlineStr">
        <is>
          <t>B</t>
        </is>
      </c>
      <c r="G887" s="34" t="n">
        <v>2855</v>
      </c>
      <c r="H887" s="34" t="n">
        <v>15025</v>
      </c>
      <c r="I887" t="inlineStr">
        <is>
          <t>3.6</t>
        </is>
      </c>
      <c r="J887" t="inlineStr">
        <is>
          <t>Ventas Delivery Apps</t>
        </is>
      </c>
      <c r="K887" t="inlineStr">
        <is>
          <t>CH3</t>
        </is>
      </c>
    </row>
    <row r="888">
      <c r="A888" s="33" t="n">
        <v>45749</v>
      </c>
      <c r="B888" t="inlineStr">
        <is>
          <t>2025-04</t>
        </is>
      </c>
      <c r="C888" t="inlineStr">
        <is>
          <t>Sin cliente</t>
        </is>
      </c>
      <c r="D888" t="inlineStr">
        <is>
          <t>Mix Sabores</t>
        </is>
      </c>
      <c r="E888" s="34" t="n">
        <v>28668</v>
      </c>
      <c r="F888" t="inlineStr">
        <is>
          <t>B</t>
        </is>
      </c>
      <c r="G888" s="34" t="n">
        <v>4577</v>
      </c>
      <c r="H888" s="34" t="n">
        <v>24091</v>
      </c>
      <c r="I888" t="inlineStr">
        <is>
          <t>3.6</t>
        </is>
      </c>
      <c r="J888" t="inlineStr">
        <is>
          <t>Ventas Delivery Apps</t>
        </is>
      </c>
      <c r="K888" t="inlineStr">
        <is>
          <t>CH3</t>
        </is>
      </c>
    </row>
    <row r="889">
      <c r="A889" s="33" t="n">
        <v>45749</v>
      </c>
      <c r="B889" t="inlineStr">
        <is>
          <t>2025-04</t>
        </is>
      </c>
      <c r="C889" t="inlineStr">
        <is>
          <t>SEBASTIAN OYARCE</t>
        </is>
      </c>
      <c r="D889" t="inlineStr">
        <is>
          <t>Pascua de Resurrección</t>
        </is>
      </c>
      <c r="E889" s="34" t="n">
        <v>19890</v>
      </c>
      <c r="F889" t="inlineStr">
        <is>
          <t>B</t>
        </is>
      </c>
      <c r="G889" s="34" t="n">
        <v>3176</v>
      </c>
      <c r="H889" s="34" t="n">
        <v>16714</v>
      </c>
      <c r="I889" t="inlineStr">
        <is>
          <t>3.2</t>
        </is>
      </c>
      <c r="J889" t="inlineStr">
        <is>
          <t>Ventas Personas (B2C)</t>
        </is>
      </c>
      <c r="K889" t="inlineStr">
        <is>
          <t>CH2</t>
        </is>
      </c>
    </row>
    <row r="890">
      <c r="A890" s="33" t="n">
        <v>45749</v>
      </c>
      <c r="B890" t="inlineStr">
        <is>
          <t>2025-04</t>
        </is>
      </c>
      <c r="C890" t="inlineStr">
        <is>
          <t>Silvana Oliva</t>
        </is>
      </c>
      <c r="D890" t="inlineStr">
        <is>
          <t>Petit Crunchy</t>
        </is>
      </c>
      <c r="E890" s="34" t="n">
        <v>42790</v>
      </c>
      <c r="F890" t="inlineStr">
        <is>
          <t>B</t>
        </is>
      </c>
      <c r="G890" s="34" t="n">
        <v>6832</v>
      </c>
      <c r="H890" s="34" t="n">
        <v>35958</v>
      </c>
      <c r="I890" t="inlineStr">
        <is>
          <t>3.2</t>
        </is>
      </c>
      <c r="J890" t="inlineStr">
        <is>
          <t>Ventas Personas (B2C)</t>
        </is>
      </c>
      <c r="K890" t="inlineStr">
        <is>
          <t>CH2</t>
        </is>
      </c>
    </row>
    <row r="891">
      <c r="A891" s="33" t="n">
        <v>45750</v>
      </c>
      <c r="B891" t="inlineStr">
        <is>
          <t>2025-04</t>
        </is>
      </c>
      <c r="C891" t="inlineStr">
        <is>
          <t>Sin cliente</t>
        </is>
      </c>
      <c r="D891" t="inlineStr">
        <is>
          <t>PLATAFORMAS RAP-PEYA-UBER-GOOD</t>
        </is>
      </c>
      <c r="E891" s="34" t="n">
        <v>26280</v>
      </c>
      <c r="F891" t="inlineStr">
        <is>
          <t>B</t>
        </is>
      </c>
      <c r="G891" s="34" t="n">
        <v>4196</v>
      </c>
      <c r="H891" s="34" t="n">
        <v>22084</v>
      </c>
      <c r="I891" t="inlineStr">
        <is>
          <t>3.6</t>
        </is>
      </c>
      <c r="J891" t="inlineStr">
        <is>
          <t>Ventas Delivery Apps</t>
        </is>
      </c>
      <c r="K891" t="inlineStr">
        <is>
          <t>CH3</t>
        </is>
      </c>
    </row>
    <row r="892">
      <c r="A892" s="33" t="n">
        <v>45750</v>
      </c>
      <c r="B892" t="inlineStr">
        <is>
          <t>2025-04</t>
        </is>
      </c>
      <c r="C892" t="inlineStr">
        <is>
          <t>Sin cliente</t>
        </is>
      </c>
      <c r="D892" t="inlineStr">
        <is>
          <t>PLATAFORMAS RAP-PEYA-UBER-GOOD</t>
        </is>
      </c>
      <c r="E892" s="34" t="n">
        <v>25080</v>
      </c>
      <c r="F892" t="inlineStr">
        <is>
          <t>B</t>
        </is>
      </c>
      <c r="G892" s="34" t="n">
        <v>4004</v>
      </c>
      <c r="H892" s="34" t="n">
        <v>21076</v>
      </c>
      <c r="I892" t="inlineStr">
        <is>
          <t>3.6</t>
        </is>
      </c>
      <c r="J892" t="inlineStr">
        <is>
          <t>Ventas Delivery Apps</t>
        </is>
      </c>
      <c r="K892" t="inlineStr">
        <is>
          <t>CH3</t>
        </is>
      </c>
    </row>
    <row r="893">
      <c r="A893" s="33" t="n">
        <v>45750</v>
      </c>
      <c r="B893" t="inlineStr">
        <is>
          <t>2025-04</t>
        </is>
      </c>
      <c r="C893" t="inlineStr">
        <is>
          <t>Sociedad de inversiones solari y acuña spa</t>
        </is>
      </c>
      <c r="D893" t="inlineStr">
        <is>
          <t>HORECA CAFETERIA</t>
        </is>
      </c>
      <c r="E893" s="34" t="n">
        <v>138388</v>
      </c>
      <c r="F893" t="inlineStr">
        <is>
          <t>F</t>
        </is>
      </c>
      <c r="G893" s="34" t="n">
        <v>22096</v>
      </c>
      <c r="H893" s="34" t="n">
        <v>116292</v>
      </c>
      <c r="I893" t="inlineStr">
        <is>
          <t>3.1</t>
        </is>
      </c>
      <c r="J893" t="inlineStr">
        <is>
          <t>Ventas HoReCa</t>
        </is>
      </c>
      <c r="K893" t="inlineStr">
        <is>
          <t>CH1</t>
        </is>
      </c>
    </row>
    <row r="894">
      <c r="A894" s="33" t="n">
        <v>45750</v>
      </c>
      <c r="B894" t="inlineStr">
        <is>
          <t>2025-04</t>
        </is>
      </c>
      <c r="C894" t="inlineStr">
        <is>
          <t>GOOD LIFE SPA</t>
        </is>
      </c>
      <c r="D894" t="inlineStr">
        <is>
          <t>HORECA CAFETERIA</t>
        </is>
      </c>
      <c r="E894" s="34" t="n">
        <v>53788</v>
      </c>
      <c r="F894" t="inlineStr">
        <is>
          <t>F</t>
        </is>
      </c>
      <c r="G894" s="34" t="n">
        <v>8588</v>
      </c>
      <c r="H894" s="34" t="n">
        <v>45200</v>
      </c>
      <c r="I894" t="inlineStr">
        <is>
          <t>3.1</t>
        </is>
      </c>
      <c r="J894" t="inlineStr">
        <is>
          <t>Ventas HoReCa</t>
        </is>
      </c>
      <c r="K894" t="inlineStr">
        <is>
          <t>CH1</t>
        </is>
      </c>
    </row>
    <row r="895">
      <c r="A895" s="33" t="n">
        <v>45750</v>
      </c>
      <c r="B895" t="inlineStr">
        <is>
          <t>2025-04</t>
        </is>
      </c>
      <c r="C895" t="inlineStr">
        <is>
          <t>VILAS BANQUETERIAS SPA</t>
        </is>
      </c>
      <c r="D895" t="inlineStr">
        <is>
          <t>HORECA CATERING</t>
        </is>
      </c>
      <c r="E895" s="34" t="n">
        <v>254604</v>
      </c>
      <c r="F895" t="inlineStr">
        <is>
          <t>F</t>
        </is>
      </c>
      <c r="G895" s="34" t="n">
        <v>40651</v>
      </c>
      <c r="H895" s="34" t="n">
        <v>213953</v>
      </c>
      <c r="I895" t="inlineStr">
        <is>
          <t>3.1</t>
        </is>
      </c>
      <c r="J895" t="inlineStr">
        <is>
          <t>Ventas HoReCa</t>
        </is>
      </c>
      <c r="K895" t="inlineStr">
        <is>
          <t>CH1</t>
        </is>
      </c>
    </row>
    <row r="896">
      <c r="A896" s="33" t="n">
        <v>45750</v>
      </c>
      <c r="B896" t="inlineStr">
        <is>
          <t>2025-04</t>
        </is>
      </c>
      <c r="C896" t="inlineStr">
        <is>
          <t>CAFÉ UNDER SPA</t>
        </is>
      </c>
      <c r="D896" t="inlineStr">
        <is>
          <t>HORECA CAFETERIA</t>
        </is>
      </c>
      <c r="E896" s="34" t="n">
        <v>63990</v>
      </c>
      <c r="F896" t="inlineStr">
        <is>
          <t>F</t>
        </is>
      </c>
      <c r="G896" s="34" t="n">
        <v>10217</v>
      </c>
      <c r="H896" s="34" t="n">
        <v>53773</v>
      </c>
      <c r="I896" t="inlineStr">
        <is>
          <t>3.1</t>
        </is>
      </c>
      <c r="J896" t="inlineStr">
        <is>
          <t>Ventas HoReCa</t>
        </is>
      </c>
      <c r="K896" t="inlineStr">
        <is>
          <t>CH1</t>
        </is>
      </c>
    </row>
    <row r="897">
      <c r="A897" s="33" t="n">
        <v>45750</v>
      </c>
      <c r="B897" t="inlineStr">
        <is>
          <t>2025-04</t>
        </is>
      </c>
      <c r="C897" t="inlineStr">
        <is>
          <t>BOCCADOS SPA</t>
        </is>
      </c>
      <c r="D897" t="inlineStr">
        <is>
          <t>HORECA CATERING</t>
        </is>
      </c>
      <c r="E897" s="34" t="n">
        <v>66045</v>
      </c>
      <c r="F897" t="inlineStr">
        <is>
          <t>F</t>
        </is>
      </c>
      <c r="G897" s="34" t="n">
        <v>10545</v>
      </c>
      <c r="H897" s="34" t="n">
        <v>55500</v>
      </c>
      <c r="I897" t="inlineStr">
        <is>
          <t>3.1</t>
        </is>
      </c>
      <c r="J897" t="inlineStr">
        <is>
          <t>Ventas HoReCa</t>
        </is>
      </c>
      <c r="K897" t="inlineStr">
        <is>
          <t>CH1</t>
        </is>
      </c>
    </row>
    <row r="898">
      <c r="A898" s="33" t="n">
        <v>45750</v>
      </c>
      <c r="B898" t="inlineStr">
        <is>
          <t>2025-04</t>
        </is>
      </c>
      <c r="C898" t="inlineStr">
        <is>
          <t>Pia Soto</t>
        </is>
      </c>
      <c r="D898" t="inlineStr">
        <is>
          <t>Petit Crunchy</t>
        </is>
      </c>
      <c r="E898" s="34" t="n">
        <v>17889</v>
      </c>
      <c r="F898" t="inlineStr">
        <is>
          <t>B</t>
        </is>
      </c>
      <c r="G898" s="34" t="n">
        <v>2856</v>
      </c>
      <c r="H898" s="34" t="n">
        <v>15033</v>
      </c>
      <c r="I898" t="inlineStr">
        <is>
          <t>3.2</t>
        </is>
      </c>
      <c r="J898" t="inlineStr">
        <is>
          <t>Ventas Personas (B2C)</t>
        </is>
      </c>
      <c r="K898" t="inlineStr">
        <is>
          <t>CH2</t>
        </is>
      </c>
    </row>
    <row r="899">
      <c r="A899" s="33" t="n">
        <v>45750</v>
      </c>
      <c r="B899" t="inlineStr">
        <is>
          <t>2025-04</t>
        </is>
      </c>
      <c r="C899" t="inlineStr">
        <is>
          <t>SOCIEDAD COMERCIAL JOSEFINA SPA</t>
        </is>
      </c>
      <c r="D899" t="inlineStr">
        <is>
          <t>HORECA CAFETERIA</t>
        </is>
      </c>
      <c r="E899" s="34" t="n">
        <v>-30000</v>
      </c>
      <c r="F899" t="inlineStr">
        <is>
          <t>NC</t>
        </is>
      </c>
      <c r="G899" s="34" t="n">
        <v>-4790</v>
      </c>
      <c r="H899" s="34" t="n">
        <v>-25210</v>
      </c>
      <c r="I899" t="inlineStr">
        <is>
          <t>3.2</t>
        </is>
      </c>
      <c r="J899" t="inlineStr">
        <is>
          <t>Ventas Personas (B2C)</t>
        </is>
      </c>
      <c r="K899" t="inlineStr">
        <is>
          <t>CH2</t>
        </is>
      </c>
    </row>
    <row r="900">
      <c r="A900" s="33" t="n">
        <v>45750</v>
      </c>
      <c r="B900" t="inlineStr">
        <is>
          <t>2025-04</t>
        </is>
      </c>
      <c r="C900" t="inlineStr">
        <is>
          <t>Sin cliente</t>
        </is>
      </c>
      <c r="D900" t="inlineStr">
        <is>
          <t>PLATAFORMAS RAP-PEYA-UBER-GOOD</t>
        </is>
      </c>
      <c r="E900" s="34" t="n">
        <v>7920</v>
      </c>
      <c r="F900" t="inlineStr">
        <is>
          <t>B</t>
        </is>
      </c>
      <c r="G900" s="34" t="n">
        <v>1265</v>
      </c>
      <c r="H900" s="34" t="n">
        <v>6655</v>
      </c>
      <c r="I900" t="inlineStr">
        <is>
          <t>3.6</t>
        </is>
      </c>
      <c r="J900" t="inlineStr">
        <is>
          <t>Ventas Delivery Apps</t>
        </is>
      </c>
      <c r="K900" t="inlineStr">
        <is>
          <t>CH3</t>
        </is>
      </c>
    </row>
    <row r="901">
      <c r="A901" s="33" t="n">
        <v>45750</v>
      </c>
      <c r="B901" t="inlineStr">
        <is>
          <t>2025-04</t>
        </is>
      </c>
      <c r="C901" t="inlineStr">
        <is>
          <t>CAFE DIARIO ENCOMENDEROS SPA</t>
        </is>
      </c>
      <c r="D901" t="inlineStr">
        <is>
          <t>HORECA CAFETERIA</t>
        </is>
      </c>
      <c r="E901" s="34" t="n">
        <v>112818</v>
      </c>
      <c r="F901" t="inlineStr">
        <is>
          <t>F</t>
        </is>
      </c>
      <c r="G901" s="34" t="n">
        <v>18013</v>
      </c>
      <c r="H901" s="34" t="n">
        <v>94805</v>
      </c>
      <c r="I901" t="inlineStr">
        <is>
          <t>3.1</t>
        </is>
      </c>
      <c r="J901" t="inlineStr">
        <is>
          <t>Ventas HoReCa</t>
        </is>
      </c>
      <c r="K901" t="inlineStr">
        <is>
          <t>CH1</t>
        </is>
      </c>
    </row>
    <row r="902">
      <c r="A902" s="33" t="n">
        <v>45750</v>
      </c>
      <c r="B902" t="inlineStr">
        <is>
          <t>2025-04</t>
        </is>
      </c>
      <c r="C902" t="inlineStr">
        <is>
          <t>Paula Pesse</t>
        </is>
      </c>
      <c r="D902" t="inlineStr">
        <is>
          <t>Petit Tradicional</t>
        </is>
      </c>
      <c r="E902" s="34" t="n">
        <v>20900</v>
      </c>
      <c r="F902" t="inlineStr">
        <is>
          <t>B</t>
        </is>
      </c>
      <c r="G902" s="34" t="n">
        <v>3337</v>
      </c>
      <c r="H902" s="34" t="n">
        <v>17563</v>
      </c>
      <c r="I902" t="inlineStr">
        <is>
          <t>3.2</t>
        </is>
      </c>
      <c r="J902" t="inlineStr">
        <is>
          <t>Ventas Personas (B2C)</t>
        </is>
      </c>
      <c r="K902" t="inlineStr">
        <is>
          <t>CH2</t>
        </is>
      </c>
    </row>
    <row r="903">
      <c r="A903" s="33" t="n">
        <v>45750</v>
      </c>
      <c r="B903" t="inlineStr">
        <is>
          <t>2025-04</t>
        </is>
      </c>
      <c r="C903" t="inlineStr">
        <is>
          <t>Yanelis María Padron</t>
        </is>
      </c>
      <c r="D903" t="inlineStr">
        <is>
          <t>Petit Tradicional</t>
        </is>
      </c>
      <c r="E903" s="34" t="n">
        <v>17890</v>
      </c>
      <c r="F903" t="inlineStr">
        <is>
          <t>B</t>
        </is>
      </c>
      <c r="G903" s="34" t="n">
        <v>2856</v>
      </c>
      <c r="H903" s="34" t="n">
        <v>15034</v>
      </c>
      <c r="I903" t="inlineStr">
        <is>
          <t>3.2</t>
        </is>
      </c>
      <c r="J903" t="inlineStr">
        <is>
          <t>Ventas Personas (B2C)</t>
        </is>
      </c>
      <c r="K903" t="inlineStr">
        <is>
          <t>CH2</t>
        </is>
      </c>
    </row>
    <row r="904">
      <c r="A904" s="33" t="n">
        <v>45750</v>
      </c>
      <c r="B904" t="inlineStr">
        <is>
          <t>2025-04</t>
        </is>
      </c>
      <c r="C904" t="inlineStr">
        <is>
          <t>Sofia Mereles</t>
        </is>
      </c>
      <c r="D904" t="inlineStr">
        <is>
          <t>Delicatessen</t>
        </is>
      </c>
      <c r="E904" s="34" t="n">
        <v>53780</v>
      </c>
      <c r="F904" t="inlineStr">
        <is>
          <t>B</t>
        </is>
      </c>
      <c r="G904" s="34" t="n">
        <v>8587</v>
      </c>
      <c r="H904" s="34" t="n">
        <v>45193</v>
      </c>
      <c r="I904" t="inlineStr">
        <is>
          <t>3.2</t>
        </is>
      </c>
      <c r="J904" t="inlineStr">
        <is>
          <t>Ventas Personas (B2C)</t>
        </is>
      </c>
      <c r="K904" t="inlineStr">
        <is>
          <t>CH2</t>
        </is>
      </c>
    </row>
    <row r="905">
      <c r="A905" s="33" t="n">
        <v>45750</v>
      </c>
      <c r="B905" t="inlineStr">
        <is>
          <t>2025-04</t>
        </is>
      </c>
      <c r="C905" t="inlineStr">
        <is>
          <t>Sin cliente</t>
        </is>
      </c>
      <c r="D905" t="inlineStr">
        <is>
          <t>CANELÉ TRADICIONAL</t>
        </is>
      </c>
      <c r="E905" s="34" t="n">
        <v>26900</v>
      </c>
      <c r="F905" t="inlineStr">
        <is>
          <t>B</t>
        </is>
      </c>
      <c r="G905" s="34" t="n">
        <v>4295</v>
      </c>
      <c r="H905" s="34" t="n">
        <v>22605</v>
      </c>
      <c r="I905" t="inlineStr">
        <is>
          <t>3.2</t>
        </is>
      </c>
      <c r="J905" t="inlineStr">
        <is>
          <t>Ventas Personas (B2C)</t>
        </is>
      </c>
      <c r="K905" t="inlineStr">
        <is>
          <t>CH2</t>
        </is>
      </c>
    </row>
    <row r="906">
      <c r="A906" s="33" t="n">
        <v>45751</v>
      </c>
      <c r="B906" t="inlineStr">
        <is>
          <t>2025-04</t>
        </is>
      </c>
      <c r="C906" t="inlineStr">
        <is>
          <t>Better Food Spa</t>
        </is>
      </c>
      <c r="D906" t="inlineStr">
        <is>
          <t>HORECA CAFETERIA</t>
        </is>
      </c>
      <c r="E906" s="34" t="n">
        <v>389844</v>
      </c>
      <c r="F906" t="inlineStr">
        <is>
          <t>F</t>
        </is>
      </c>
      <c r="G906" s="34" t="n">
        <v>62244</v>
      </c>
      <c r="H906" s="34" t="n">
        <v>327600</v>
      </c>
      <c r="I906" t="inlineStr">
        <is>
          <t>3.1</t>
        </is>
      </c>
      <c r="J906" t="inlineStr">
        <is>
          <t>Ventas HoReCa</t>
        </is>
      </c>
      <c r="K906" t="inlineStr">
        <is>
          <t>CH1</t>
        </is>
      </c>
    </row>
    <row r="907">
      <c r="A907" s="33" t="n">
        <v>45751</v>
      </c>
      <c r="B907" t="inlineStr">
        <is>
          <t>2025-04</t>
        </is>
      </c>
      <c r="C907" t="inlineStr">
        <is>
          <t>GALVEZ Y HEUSSER SPA</t>
        </is>
      </c>
      <c r="D907" t="inlineStr">
        <is>
          <t>HORECA CATERING</t>
        </is>
      </c>
      <c r="E907" s="34" t="n">
        <v>201230</v>
      </c>
      <c r="F907" t="inlineStr">
        <is>
          <t>F</t>
        </is>
      </c>
      <c r="G907" s="34" t="n">
        <v>32129</v>
      </c>
      <c r="H907" s="34" t="n">
        <v>169101</v>
      </c>
      <c r="I907" t="inlineStr">
        <is>
          <t>3.1</t>
        </is>
      </c>
      <c r="J907" t="inlineStr">
        <is>
          <t>Ventas HoReCa</t>
        </is>
      </c>
      <c r="K907" t="inlineStr">
        <is>
          <t>CH1</t>
        </is>
      </c>
    </row>
    <row r="908">
      <c r="A908" s="33" t="n">
        <v>45751</v>
      </c>
      <c r="B908" t="inlineStr">
        <is>
          <t>2025-04</t>
        </is>
      </c>
      <c r="C908" t="inlineStr">
        <is>
          <t>PRODUCTORA DE EVENTOS AGDV SPA</t>
        </is>
      </c>
      <c r="D908" t="inlineStr">
        <is>
          <t>HORECA CATERING</t>
        </is>
      </c>
      <c r="E908" s="34" t="n">
        <v>157675</v>
      </c>
      <c r="F908" t="inlineStr">
        <is>
          <t>F</t>
        </is>
      </c>
      <c r="G908" s="34" t="n">
        <v>25175</v>
      </c>
      <c r="H908" s="34" t="n">
        <v>132500</v>
      </c>
      <c r="I908" t="inlineStr">
        <is>
          <t>3.1</t>
        </is>
      </c>
      <c r="J908" t="inlineStr">
        <is>
          <t>Ventas HoReCa</t>
        </is>
      </c>
      <c r="K908" t="inlineStr">
        <is>
          <t>CH1</t>
        </is>
      </c>
    </row>
    <row r="909">
      <c r="A909" s="33" t="n">
        <v>45751</v>
      </c>
      <c r="B909" t="inlineStr">
        <is>
          <t>2025-04</t>
        </is>
      </c>
      <c r="C909" t="inlineStr">
        <is>
          <t>DIEGO VARGAS BANQUETERIA Y EVENTOS SPA</t>
        </is>
      </c>
      <c r="D909" t="inlineStr">
        <is>
          <t>HORECA CATERING</t>
        </is>
      </c>
      <c r="E909" s="34" t="n">
        <v>183490</v>
      </c>
      <c r="F909" t="inlineStr">
        <is>
          <t>F</t>
        </is>
      </c>
      <c r="G909" s="34" t="n">
        <v>29297</v>
      </c>
      <c r="H909" s="34" t="n">
        <v>154193</v>
      </c>
      <c r="I909" t="inlineStr">
        <is>
          <t>3.1</t>
        </is>
      </c>
      <c r="J909" t="inlineStr">
        <is>
          <t>Ventas HoReCa</t>
        </is>
      </c>
      <c r="K909" t="inlineStr">
        <is>
          <t>CH1</t>
        </is>
      </c>
    </row>
    <row r="910">
      <c r="A910" s="33" t="n">
        <v>45751</v>
      </c>
      <c r="B910" t="inlineStr">
        <is>
          <t>2025-04</t>
        </is>
      </c>
      <c r="C910" t="inlineStr">
        <is>
          <t>POMPON SPA</t>
        </is>
      </c>
      <c r="D910" t="inlineStr">
        <is>
          <t>HORECA CAFETERIA</t>
        </is>
      </c>
      <c r="E910" s="34" t="n">
        <v>284410</v>
      </c>
      <c r="F910" t="inlineStr">
        <is>
          <t>F</t>
        </is>
      </c>
      <c r="G910" s="34" t="n">
        <v>45410</v>
      </c>
      <c r="H910" s="34" t="n">
        <v>239000</v>
      </c>
      <c r="I910" t="inlineStr">
        <is>
          <t>3.1</t>
        </is>
      </c>
      <c r="J910" t="inlineStr">
        <is>
          <t>Ventas HoReCa</t>
        </is>
      </c>
      <c r="K910" t="inlineStr">
        <is>
          <t>CH1</t>
        </is>
      </c>
    </row>
    <row r="911">
      <c r="A911" s="33" t="n">
        <v>45751</v>
      </c>
      <c r="B911" t="inlineStr">
        <is>
          <t>2025-04</t>
        </is>
      </c>
      <c r="C911" t="inlineStr">
        <is>
          <t>Claudia Alcivar</t>
        </is>
      </c>
      <c r="D911" t="inlineStr">
        <is>
          <t>Pascua de Resurrección</t>
        </is>
      </c>
      <c r="E911" s="34" t="n">
        <v>48689</v>
      </c>
      <c r="F911" t="inlineStr">
        <is>
          <t>B</t>
        </is>
      </c>
      <c r="G911" s="34" t="n">
        <v>7774</v>
      </c>
      <c r="H911" s="34" t="n">
        <v>40915</v>
      </c>
      <c r="I911" t="inlineStr">
        <is>
          <t>3.2</t>
        </is>
      </c>
      <c r="J911" t="inlineStr">
        <is>
          <t>Ventas Personas (B2C)</t>
        </is>
      </c>
      <c r="K911" t="inlineStr">
        <is>
          <t>CH2</t>
        </is>
      </c>
    </row>
    <row r="912">
      <c r="A912" s="33" t="n">
        <v>45751</v>
      </c>
      <c r="B912" t="inlineStr">
        <is>
          <t>2025-04</t>
        </is>
      </c>
      <c r="C912" t="inlineStr">
        <is>
          <t>Sin cliente</t>
        </is>
      </c>
      <c r="D912" t="inlineStr">
        <is>
          <t>PLATAFORMAS RAP-PEYA-UBER-GOOD</t>
        </is>
      </c>
      <c r="E912" s="34" t="n">
        <v>36960</v>
      </c>
      <c r="F912" t="inlineStr">
        <is>
          <t>B</t>
        </is>
      </c>
      <c r="G912" s="34" t="n">
        <v>5901</v>
      </c>
      <c r="H912" s="34" t="n">
        <v>31059</v>
      </c>
      <c r="I912" t="inlineStr">
        <is>
          <t>3.6</t>
        </is>
      </c>
      <c r="J912" t="inlineStr">
        <is>
          <t>Ventas Delivery Apps</t>
        </is>
      </c>
      <c r="K912" t="inlineStr">
        <is>
          <t>CH3</t>
        </is>
      </c>
    </row>
    <row r="913">
      <c r="A913" s="33" t="n">
        <v>45751</v>
      </c>
      <c r="B913" t="inlineStr">
        <is>
          <t>2025-04</t>
        </is>
      </c>
      <c r="C913" t="inlineStr">
        <is>
          <t>STREET MACHINE PRODUCCIONES S.A.</t>
        </is>
      </c>
      <c r="D913" t="inlineStr">
        <is>
          <t>OTROS</t>
        </is>
      </c>
      <c r="E913" s="34" t="n">
        <v>4249052</v>
      </c>
      <c r="F913" t="inlineStr">
        <is>
          <t>F</t>
        </is>
      </c>
      <c r="G913" s="34" t="n">
        <v>678420</v>
      </c>
      <c r="H913" s="34" t="n">
        <v>3570632</v>
      </c>
      <c r="I913" t="inlineStr">
        <is>
          <t>3.5</t>
        </is>
      </c>
      <c r="J913" t="inlineStr">
        <is>
          <t>Ventas Ferias</t>
        </is>
      </c>
      <c r="K913" t="inlineStr">
        <is>
          <t>CH5</t>
        </is>
      </c>
    </row>
    <row r="914">
      <c r="A914" s="33" t="n">
        <v>45751</v>
      </c>
      <c r="B914" t="inlineStr">
        <is>
          <t>2025-04</t>
        </is>
      </c>
      <c r="C914" t="inlineStr">
        <is>
          <t>Jose Escobar</t>
        </is>
      </c>
      <c r="D914" t="inlineStr">
        <is>
          <t>Petit Crunchy</t>
        </is>
      </c>
      <c r="E914" s="34" t="n">
        <v>18890</v>
      </c>
      <c r="F914" t="inlineStr">
        <is>
          <t>B</t>
        </is>
      </c>
      <c r="G914" s="34" t="n">
        <v>3016</v>
      </c>
      <c r="H914" s="34" t="n">
        <v>15874</v>
      </c>
      <c r="I914" t="inlineStr">
        <is>
          <t>3.2</t>
        </is>
      </c>
      <c r="J914" t="inlineStr">
        <is>
          <t>Ventas Personas (B2C)</t>
        </is>
      </c>
      <c r="K914" t="inlineStr">
        <is>
          <t>CH2</t>
        </is>
      </c>
    </row>
    <row r="915">
      <c r="A915" s="33" t="n">
        <v>45751</v>
      </c>
      <c r="B915" t="inlineStr">
        <is>
          <t>2025-04</t>
        </is>
      </c>
      <c r="C915" t="inlineStr">
        <is>
          <t>Sin cliente</t>
        </is>
      </c>
      <c r="D915" t="inlineStr">
        <is>
          <t>PLATAFORMAS RAP-PEYA-UBER-GOOD</t>
        </is>
      </c>
      <c r="E915" s="34" t="n">
        <v>17880</v>
      </c>
      <c r="F915" t="inlineStr">
        <is>
          <t>B</t>
        </is>
      </c>
      <c r="G915" s="34" t="n">
        <v>2855</v>
      </c>
      <c r="H915" s="34" t="n">
        <v>15025</v>
      </c>
      <c r="I915" t="inlineStr">
        <is>
          <t>3.6</t>
        </is>
      </c>
      <c r="J915" t="inlineStr">
        <is>
          <t>Ventas Delivery Apps</t>
        </is>
      </c>
      <c r="K915" t="inlineStr">
        <is>
          <t>CH3</t>
        </is>
      </c>
    </row>
    <row r="916">
      <c r="A916" s="33" t="n">
        <v>45751</v>
      </c>
      <c r="B916" t="inlineStr">
        <is>
          <t>2025-04</t>
        </is>
      </c>
      <c r="C916" t="inlineStr">
        <is>
          <t>Sin cliente</t>
        </is>
      </c>
      <c r="D916" t="inlineStr">
        <is>
          <t>CANELÉ TRADICIONAL</t>
        </is>
      </c>
      <c r="E916" s="34" t="n">
        <v>16900</v>
      </c>
      <c r="F916" t="inlineStr">
        <is>
          <t>B</t>
        </is>
      </c>
      <c r="G916" s="34" t="n">
        <v>2698</v>
      </c>
      <c r="H916" s="34" t="n">
        <v>14202</v>
      </c>
      <c r="I916" t="inlineStr">
        <is>
          <t>3.2</t>
        </is>
      </c>
      <c r="J916" t="inlineStr">
        <is>
          <t>Ventas Personas (B2C)</t>
        </is>
      </c>
      <c r="K916" t="inlineStr">
        <is>
          <t>CH2</t>
        </is>
      </c>
    </row>
    <row r="917">
      <c r="A917" s="33" t="n">
        <v>45751</v>
      </c>
      <c r="B917" t="inlineStr">
        <is>
          <t>2025-04</t>
        </is>
      </c>
      <c r="C917" t="inlineStr">
        <is>
          <t>cristobal olave</t>
        </is>
      </c>
      <c r="D917" t="inlineStr">
        <is>
          <t>Petit Crunchy</t>
        </is>
      </c>
      <c r="E917" s="34" t="n">
        <v>46700</v>
      </c>
      <c r="F917" t="inlineStr">
        <is>
          <t>B</t>
        </is>
      </c>
      <c r="G917" s="34" t="n">
        <v>7456</v>
      </c>
      <c r="H917" s="34" t="n">
        <v>39244</v>
      </c>
      <c r="I917" t="inlineStr">
        <is>
          <t>3.2</t>
        </is>
      </c>
      <c r="J917" t="inlineStr">
        <is>
          <t>Ventas Personas (B2C)</t>
        </is>
      </c>
      <c r="K917" t="inlineStr">
        <is>
          <t>CH2</t>
        </is>
      </c>
    </row>
    <row r="918">
      <c r="A918" s="33" t="n">
        <v>45751</v>
      </c>
      <c r="B918" t="inlineStr">
        <is>
          <t>2025-04</t>
        </is>
      </c>
      <c r="C918" t="inlineStr">
        <is>
          <t>Sin cliente</t>
        </is>
      </c>
      <c r="D918" t="inlineStr">
        <is>
          <t>CANELÉ TRADICIONAL</t>
        </is>
      </c>
      <c r="E918" s="34" t="n">
        <v>14900</v>
      </c>
      <c r="F918" t="inlineStr">
        <is>
          <t>B</t>
        </is>
      </c>
      <c r="G918" s="34" t="n">
        <v>2379</v>
      </c>
      <c r="H918" s="34" t="n">
        <v>12521</v>
      </c>
      <c r="I918" t="inlineStr">
        <is>
          <t>3.2</t>
        </is>
      </c>
      <c r="J918" t="inlineStr">
        <is>
          <t>Ventas Personas (B2C)</t>
        </is>
      </c>
      <c r="K918" t="inlineStr">
        <is>
          <t>CH2</t>
        </is>
      </c>
    </row>
    <row r="919">
      <c r="A919" s="33" t="n">
        <v>45751</v>
      </c>
      <c r="B919" t="inlineStr">
        <is>
          <t>2025-04</t>
        </is>
      </c>
      <c r="C919" t="inlineStr">
        <is>
          <t>Florencia Soto Nenadovich</t>
        </is>
      </c>
      <c r="D919" t="inlineStr">
        <is>
          <t>Petit Tradicional</t>
        </is>
      </c>
      <c r="E919" s="34" t="n">
        <v>24889</v>
      </c>
      <c r="F919" t="inlineStr">
        <is>
          <t>B</t>
        </is>
      </c>
      <c r="G919" s="34" t="n">
        <v>3974</v>
      </c>
      <c r="H919" s="34" t="n">
        <v>20915</v>
      </c>
      <c r="I919" t="inlineStr">
        <is>
          <t>3.2</t>
        </is>
      </c>
      <c r="J919" t="inlineStr">
        <is>
          <t>Ventas Personas (B2C)</t>
        </is>
      </c>
      <c r="K919" t="inlineStr">
        <is>
          <t>CH2</t>
        </is>
      </c>
    </row>
    <row r="920">
      <c r="A920" s="33" t="n">
        <v>45751</v>
      </c>
      <c r="B920" t="inlineStr">
        <is>
          <t>2025-04</t>
        </is>
      </c>
      <c r="C920" t="inlineStr">
        <is>
          <t>Sin cliente</t>
        </is>
      </c>
      <c r="D920" t="inlineStr">
        <is>
          <t>CANELÉ TRADICIONAL</t>
        </is>
      </c>
      <c r="E920" s="34" t="n">
        <v>14900</v>
      </c>
      <c r="F920" t="inlineStr">
        <is>
          <t>B</t>
        </is>
      </c>
      <c r="G920" s="34" t="n">
        <v>2379</v>
      </c>
      <c r="H920" s="34" t="n">
        <v>12521</v>
      </c>
      <c r="I920" t="inlineStr">
        <is>
          <t>3.2</t>
        </is>
      </c>
      <c r="J920" t="inlineStr">
        <is>
          <t>Ventas Personas (B2C)</t>
        </is>
      </c>
      <c r="K920" t="inlineStr">
        <is>
          <t>CH2</t>
        </is>
      </c>
    </row>
    <row r="921">
      <c r="A921" s="33" t="n">
        <v>45751</v>
      </c>
      <c r="B921" t="inlineStr">
        <is>
          <t>2025-04</t>
        </is>
      </c>
      <c r="C921" t="inlineStr">
        <is>
          <t>Sin cliente</t>
        </is>
      </c>
      <c r="D921" t="inlineStr">
        <is>
          <t>CANELÉ TRADICIONAL</t>
        </is>
      </c>
      <c r="E921" s="34" t="n">
        <v>21900</v>
      </c>
      <c r="F921" t="inlineStr">
        <is>
          <t>B</t>
        </is>
      </c>
      <c r="G921" s="34" t="n">
        <v>3497</v>
      </c>
      <c r="H921" s="34" t="n">
        <v>18403</v>
      </c>
      <c r="I921" t="inlineStr">
        <is>
          <t>3.2</t>
        </is>
      </c>
      <c r="J921" t="inlineStr">
        <is>
          <t>Ventas Personas (B2C)</t>
        </is>
      </c>
      <c r="K921" t="inlineStr">
        <is>
          <t>CH2</t>
        </is>
      </c>
    </row>
    <row r="922">
      <c r="A922" s="33" t="n">
        <v>45752</v>
      </c>
      <c r="B922" t="inlineStr">
        <is>
          <t>2025-04</t>
        </is>
      </c>
      <c r="C922" t="inlineStr">
        <is>
          <t>Ana Rosenbluth</t>
        </is>
      </c>
      <c r="D922" t="inlineStr">
        <is>
          <t>Petit Tradicional</t>
        </is>
      </c>
      <c r="E922" s="34" t="n">
        <v>12900</v>
      </c>
      <c r="F922" t="inlineStr">
        <is>
          <t>B</t>
        </is>
      </c>
      <c r="G922" s="34" t="n">
        <v>2060</v>
      </c>
      <c r="H922" s="34" t="n">
        <v>10840</v>
      </c>
      <c r="I922" t="inlineStr">
        <is>
          <t>3.2</t>
        </is>
      </c>
      <c r="J922" t="inlineStr">
        <is>
          <t>Ventas Personas (B2C)</t>
        </is>
      </c>
      <c r="K922" t="inlineStr">
        <is>
          <t>CH2</t>
        </is>
      </c>
    </row>
    <row r="923">
      <c r="A923" s="33" t="n">
        <v>45752</v>
      </c>
      <c r="B923" t="inlineStr">
        <is>
          <t>2025-04</t>
        </is>
      </c>
      <c r="C923" t="inlineStr">
        <is>
          <t>Sin cliente</t>
        </is>
      </c>
      <c r="D923" t="inlineStr">
        <is>
          <t>Petit Tradicional</t>
        </is>
      </c>
      <c r="E923" s="34" t="n">
        <v>43800</v>
      </c>
      <c r="F923" t="inlineStr">
        <is>
          <t>B</t>
        </is>
      </c>
      <c r="G923" s="34" t="n">
        <v>6993</v>
      </c>
      <c r="H923" s="34" t="n">
        <v>36807</v>
      </c>
      <c r="I923" t="inlineStr">
        <is>
          <t>3.2</t>
        </is>
      </c>
      <c r="J923" t="inlineStr">
        <is>
          <t>Ventas Personas (B2C)</t>
        </is>
      </c>
      <c r="K923" t="inlineStr">
        <is>
          <t>CH2</t>
        </is>
      </c>
    </row>
    <row r="924">
      <c r="A924" s="33" t="n">
        <v>45752</v>
      </c>
      <c r="B924" t="inlineStr">
        <is>
          <t>2025-04</t>
        </is>
      </c>
      <c r="C924" t="inlineStr">
        <is>
          <t>María Ossandón</t>
        </is>
      </c>
      <c r="D924" t="inlineStr">
        <is>
          <t>CANELÉ TRADICIONAL</t>
        </is>
      </c>
      <c r="E924" s="34" t="n">
        <v>31890</v>
      </c>
      <c r="F924" t="inlineStr">
        <is>
          <t>B</t>
        </is>
      </c>
      <c r="G924" s="34" t="n">
        <v>5092</v>
      </c>
      <c r="H924" s="34" t="n">
        <v>26798</v>
      </c>
      <c r="I924" t="inlineStr">
        <is>
          <t>3.2</t>
        </is>
      </c>
      <c r="J924" t="inlineStr">
        <is>
          <t>Ventas Personas (B2C)</t>
        </is>
      </c>
      <c r="K924" t="inlineStr">
        <is>
          <t>CH2</t>
        </is>
      </c>
    </row>
    <row r="925">
      <c r="A925" s="33" t="n">
        <v>45752</v>
      </c>
      <c r="B925" t="inlineStr">
        <is>
          <t>2025-04</t>
        </is>
      </c>
      <c r="C925" t="inlineStr">
        <is>
          <t>Sin cliente</t>
        </is>
      </c>
      <c r="D925" t="inlineStr">
        <is>
          <t>CANELÉ TRADICIONAL</t>
        </is>
      </c>
      <c r="E925" s="34" t="n">
        <v>10000</v>
      </c>
      <c r="F925" t="inlineStr">
        <is>
          <t>B</t>
        </is>
      </c>
      <c r="G925" s="34" t="n">
        <v>1597</v>
      </c>
      <c r="H925" s="34" t="n">
        <v>8403</v>
      </c>
      <c r="I925" t="inlineStr">
        <is>
          <t>3.2</t>
        </is>
      </c>
      <c r="J925" t="inlineStr">
        <is>
          <t>Ventas Personas (B2C)</t>
        </is>
      </c>
      <c r="K925" t="inlineStr">
        <is>
          <t>CH2</t>
        </is>
      </c>
    </row>
    <row r="926">
      <c r="A926" s="33" t="n">
        <v>45752</v>
      </c>
      <c r="B926" t="inlineStr">
        <is>
          <t>2025-04</t>
        </is>
      </c>
      <c r="C926" t="inlineStr">
        <is>
          <t>Sin cliente</t>
        </is>
      </c>
      <c r="D926" t="inlineStr">
        <is>
          <t>CANELÉ TRADICIONAL</t>
        </is>
      </c>
      <c r="E926" s="34" t="n">
        <v>21900</v>
      </c>
      <c r="F926" t="inlineStr">
        <is>
          <t>B</t>
        </is>
      </c>
      <c r="G926" s="34" t="n">
        <v>3497</v>
      </c>
      <c r="H926" s="34" t="n">
        <v>18403</v>
      </c>
      <c r="I926" t="inlineStr">
        <is>
          <t>3.2</t>
        </is>
      </c>
      <c r="J926" t="inlineStr">
        <is>
          <t>Ventas Personas (B2C)</t>
        </is>
      </c>
      <c r="K926" t="inlineStr">
        <is>
          <t>CH2</t>
        </is>
      </c>
    </row>
    <row r="927">
      <c r="A927" s="33" t="n">
        <v>45752</v>
      </c>
      <c r="B927" t="inlineStr">
        <is>
          <t>2025-04</t>
        </is>
      </c>
      <c r="C927" t="inlineStr">
        <is>
          <t>Sin cliente</t>
        </is>
      </c>
      <c r="D927" t="inlineStr">
        <is>
          <t>Petit Tradicional</t>
        </is>
      </c>
      <c r="E927" s="34" t="n">
        <v>20900</v>
      </c>
      <c r="F927" t="inlineStr">
        <is>
          <t>B</t>
        </is>
      </c>
      <c r="G927" s="34" t="n">
        <v>3337</v>
      </c>
      <c r="H927" s="34" t="n">
        <v>17563</v>
      </c>
      <c r="I927" t="inlineStr">
        <is>
          <t>3.2</t>
        </is>
      </c>
      <c r="J927" t="inlineStr">
        <is>
          <t>Ventas Personas (B2C)</t>
        </is>
      </c>
      <c r="K927" t="inlineStr">
        <is>
          <t>CH2</t>
        </is>
      </c>
    </row>
    <row r="928">
      <c r="A928" s="33" t="n">
        <v>45753</v>
      </c>
      <c r="B928" t="inlineStr">
        <is>
          <t>2025-04</t>
        </is>
      </c>
      <c r="C928" t="inlineStr">
        <is>
          <t>maria de los angeles drapela</t>
        </is>
      </c>
      <c r="D928" t="inlineStr">
        <is>
          <t>Petit Tradicional</t>
        </is>
      </c>
      <c r="E928" s="34" t="n">
        <v>12900</v>
      </c>
      <c r="F928" t="inlineStr">
        <is>
          <t>B</t>
        </is>
      </c>
      <c r="G928" s="34" t="n">
        <v>2060</v>
      </c>
      <c r="H928" s="34" t="n">
        <v>10840</v>
      </c>
      <c r="I928" t="inlineStr">
        <is>
          <t>3.2</t>
        </is>
      </c>
      <c r="J928" t="inlineStr">
        <is>
          <t>Ventas Personas (B2C)</t>
        </is>
      </c>
      <c r="K928" t="inlineStr">
        <is>
          <t>CH2</t>
        </is>
      </c>
    </row>
    <row r="929">
      <c r="A929" s="33" t="n">
        <v>45753</v>
      </c>
      <c r="B929" t="inlineStr">
        <is>
          <t>2025-04</t>
        </is>
      </c>
      <c r="C929" t="inlineStr">
        <is>
          <t>Eduardo Lara Sierpe</t>
        </is>
      </c>
      <c r="D929" t="inlineStr">
        <is>
          <t>Petit Crunchy</t>
        </is>
      </c>
      <c r="E929" s="34" t="n">
        <v>31710</v>
      </c>
      <c r="F929" t="inlineStr">
        <is>
          <t>B</t>
        </is>
      </c>
      <c r="G929" s="34" t="n">
        <v>5063</v>
      </c>
      <c r="H929" s="34" t="n">
        <v>26647</v>
      </c>
      <c r="I929" t="inlineStr">
        <is>
          <t>3.2</t>
        </is>
      </c>
      <c r="J929" t="inlineStr">
        <is>
          <t>Ventas Personas (B2C)</t>
        </is>
      </c>
      <c r="K929" t="inlineStr">
        <is>
          <t>CH2</t>
        </is>
      </c>
    </row>
    <row r="930">
      <c r="A930" s="33" t="n">
        <v>45754</v>
      </c>
      <c r="B930" t="inlineStr">
        <is>
          <t>2025-04</t>
        </is>
      </c>
      <c r="C930" t="inlineStr">
        <is>
          <t>RICO SPA</t>
        </is>
      </c>
      <c r="D930" t="inlineStr">
        <is>
          <t>HORECA CATERING</t>
        </is>
      </c>
      <c r="E930" s="34" t="n">
        <v>37140</v>
      </c>
      <c r="F930" t="inlineStr">
        <is>
          <t>F</t>
        </is>
      </c>
      <c r="G930" s="34" t="n">
        <v>5930</v>
      </c>
      <c r="H930" s="34" t="n">
        <v>31210</v>
      </c>
      <c r="I930" t="inlineStr">
        <is>
          <t>3.1</t>
        </is>
      </c>
      <c r="J930" t="inlineStr">
        <is>
          <t>Ventas HoReCa</t>
        </is>
      </c>
      <c r="K930" t="inlineStr">
        <is>
          <t>CH1</t>
        </is>
      </c>
    </row>
    <row r="931">
      <c r="A931" s="33" t="n">
        <v>45754</v>
      </c>
      <c r="B931" t="inlineStr">
        <is>
          <t>2025-04</t>
        </is>
      </c>
      <c r="C931" t="inlineStr">
        <is>
          <t>VILAS BANQUETERIAS SPA</t>
        </is>
      </c>
      <c r="D931" t="inlineStr">
        <is>
          <t>HORECA CATERING</t>
        </is>
      </c>
      <c r="E931" s="34" t="n">
        <v>130130</v>
      </c>
      <c r="F931" t="inlineStr">
        <is>
          <t>F</t>
        </is>
      </c>
      <c r="G931" s="34" t="n">
        <v>20777</v>
      </c>
      <c r="H931" s="34" t="n">
        <v>109353</v>
      </c>
      <c r="I931" t="inlineStr">
        <is>
          <t>3.1</t>
        </is>
      </c>
      <c r="J931" t="inlineStr">
        <is>
          <t>Ventas HoReCa</t>
        </is>
      </c>
      <c r="K931" t="inlineStr">
        <is>
          <t>CH1</t>
        </is>
      </c>
    </row>
    <row r="932">
      <c r="A932" s="33" t="n">
        <v>45754</v>
      </c>
      <c r="B932" t="inlineStr">
        <is>
          <t>2025-04</t>
        </is>
      </c>
      <c r="C932" t="inlineStr">
        <is>
          <t>PRODUCTORA DE EVENTOS AGDV SPA</t>
        </is>
      </c>
      <c r="D932" t="inlineStr">
        <is>
          <t>HORECA CATERING</t>
        </is>
      </c>
      <c r="E932" s="34" t="n">
        <v>33023</v>
      </c>
      <c r="F932" t="inlineStr">
        <is>
          <t>F</t>
        </is>
      </c>
      <c r="G932" s="34" t="n">
        <v>5273</v>
      </c>
      <c r="H932" s="34" t="n">
        <v>27750</v>
      </c>
      <c r="I932" t="inlineStr">
        <is>
          <t>3.1</t>
        </is>
      </c>
      <c r="J932" t="inlineStr">
        <is>
          <t>Ventas HoReCa</t>
        </is>
      </c>
      <c r="K932" t="inlineStr">
        <is>
          <t>CH1</t>
        </is>
      </c>
    </row>
    <row r="933">
      <c r="A933" s="33" t="n">
        <v>45754</v>
      </c>
      <c r="B933" t="inlineStr">
        <is>
          <t>2025-04</t>
        </is>
      </c>
      <c r="C933" t="inlineStr">
        <is>
          <t>CAFETERÍAS MISTER SPA</t>
        </is>
      </c>
      <c r="D933" t="inlineStr">
        <is>
          <t>HORECA CAFETERIA</t>
        </is>
      </c>
      <c r="E933" s="34" t="n">
        <v>63990</v>
      </c>
      <c r="F933" t="inlineStr">
        <is>
          <t>F</t>
        </is>
      </c>
      <c r="G933" s="34" t="n">
        <v>10217</v>
      </c>
      <c r="H933" s="34" t="n">
        <v>53773</v>
      </c>
      <c r="I933" t="inlineStr">
        <is>
          <t>3.1</t>
        </is>
      </c>
      <c r="J933" t="inlineStr">
        <is>
          <t>Ventas HoReCa</t>
        </is>
      </c>
      <c r="K933" t="inlineStr">
        <is>
          <t>CH1</t>
        </is>
      </c>
    </row>
    <row r="934">
      <c r="A934" s="33" t="n">
        <v>45754</v>
      </c>
      <c r="B934" t="inlineStr">
        <is>
          <t>2025-04</t>
        </is>
      </c>
      <c r="C934" t="inlineStr">
        <is>
          <t>POMPON SPA</t>
        </is>
      </c>
      <c r="D934" t="inlineStr">
        <is>
          <t>HORECA CAFETERIA</t>
        </is>
      </c>
      <c r="E934" s="34" t="n">
        <v>132510</v>
      </c>
      <c r="F934" t="inlineStr">
        <is>
          <t>F</t>
        </is>
      </c>
      <c r="G934" s="34" t="n">
        <v>21157</v>
      </c>
      <c r="H934" s="34" t="n">
        <v>111353</v>
      </c>
      <c r="I934" t="inlineStr">
        <is>
          <t>3.1</t>
        </is>
      </c>
      <c r="J934" t="inlineStr">
        <is>
          <t>Ventas HoReCa</t>
        </is>
      </c>
      <c r="K934" t="inlineStr">
        <is>
          <t>CH1</t>
        </is>
      </c>
    </row>
    <row r="935">
      <c r="A935" s="33" t="n">
        <v>45754</v>
      </c>
      <c r="B935" t="inlineStr">
        <is>
          <t>2025-04</t>
        </is>
      </c>
      <c r="C935" t="inlineStr">
        <is>
          <t>CAFETERÍA ALTURA LIMITADA</t>
        </is>
      </c>
      <c r="D935" t="inlineStr">
        <is>
          <t>HORECA CAFETERIA</t>
        </is>
      </c>
      <c r="E935" s="34" t="n">
        <v>103830</v>
      </c>
      <c r="F935" t="inlineStr">
        <is>
          <t>F</t>
        </is>
      </c>
      <c r="G935" s="34" t="n">
        <v>16578</v>
      </c>
      <c r="H935" s="34" t="n">
        <v>87252</v>
      </c>
      <c r="I935" t="inlineStr">
        <is>
          <t>3.1</t>
        </is>
      </c>
      <c r="J935" t="inlineStr">
        <is>
          <t>Ventas HoReCa</t>
        </is>
      </c>
      <c r="K935" t="inlineStr">
        <is>
          <t>CH1</t>
        </is>
      </c>
    </row>
    <row r="936">
      <c r="A936" s="33" t="n">
        <v>45754</v>
      </c>
      <c r="B936" t="inlineStr">
        <is>
          <t>2025-04</t>
        </is>
      </c>
      <c r="C936" t="inlineStr">
        <is>
          <t>INVERSIONES Y COMERCIALIZADORA FED LIMITADA</t>
        </is>
      </c>
      <c r="D936" t="inlineStr">
        <is>
          <t>HORECA CAFETERIA</t>
        </is>
      </c>
      <c r="E936" s="34" t="n">
        <v>129790</v>
      </c>
      <c r="F936" t="inlineStr">
        <is>
          <t>F</t>
        </is>
      </c>
      <c r="G936" s="34" t="n">
        <v>20723</v>
      </c>
      <c r="H936" s="34" t="n">
        <v>109067</v>
      </c>
      <c r="I936" t="inlineStr">
        <is>
          <t>3.1</t>
        </is>
      </c>
      <c r="J936" t="inlineStr">
        <is>
          <t>Ventas HoReCa</t>
        </is>
      </c>
      <c r="K936" t="inlineStr">
        <is>
          <t>CH1</t>
        </is>
      </c>
    </row>
    <row r="937">
      <c r="A937" s="33" t="n">
        <v>45754</v>
      </c>
      <c r="B937" t="inlineStr">
        <is>
          <t>2025-04</t>
        </is>
      </c>
      <c r="C937" t="inlineStr">
        <is>
          <t>INVERSIONES Y ASESORIAS RAVAL LIMITADA</t>
        </is>
      </c>
      <c r="D937" t="inlineStr">
        <is>
          <t>HORECA CAFETERIA</t>
        </is>
      </c>
      <c r="E937" s="34" t="n">
        <v>67980</v>
      </c>
      <c r="F937" t="inlineStr">
        <is>
          <t>F</t>
        </is>
      </c>
      <c r="G937" s="34" t="n">
        <v>10854</v>
      </c>
      <c r="H937" s="34" t="n">
        <v>57126</v>
      </c>
      <c r="I937" t="inlineStr">
        <is>
          <t>3.1</t>
        </is>
      </c>
      <c r="J937" t="inlineStr">
        <is>
          <t>Ventas HoReCa</t>
        </is>
      </c>
      <c r="K937" t="inlineStr">
        <is>
          <t>CH1</t>
        </is>
      </c>
    </row>
    <row r="938">
      <c r="A938" s="33" t="n">
        <v>45754</v>
      </c>
      <c r="B938" t="inlineStr">
        <is>
          <t>2025-04</t>
        </is>
      </c>
      <c r="C938" t="inlineStr">
        <is>
          <t>Julio Burotto Wegner</t>
        </is>
      </c>
      <c r="D938" t="inlineStr">
        <is>
          <t>Pascua de Resurrección</t>
        </is>
      </c>
      <c r="E938" s="34" t="n">
        <v>14900</v>
      </c>
      <c r="F938" t="inlineStr">
        <is>
          <t>B</t>
        </is>
      </c>
      <c r="G938" s="34" t="n">
        <v>2379</v>
      </c>
      <c r="H938" s="34" t="n">
        <v>12521</v>
      </c>
      <c r="I938" t="inlineStr">
        <is>
          <t>3.2</t>
        </is>
      </c>
      <c r="J938" t="inlineStr">
        <is>
          <t>Ventas Personas (B2C)</t>
        </is>
      </c>
      <c r="K938" t="inlineStr">
        <is>
          <t>CH2</t>
        </is>
      </c>
    </row>
    <row r="939">
      <c r="A939" s="33" t="n">
        <v>45754</v>
      </c>
      <c r="B939" t="inlineStr">
        <is>
          <t>2025-04</t>
        </is>
      </c>
      <c r="C939" t="inlineStr">
        <is>
          <t>POMPON SPA</t>
        </is>
      </c>
      <c r="D939" t="inlineStr">
        <is>
          <t>HORECA CAFETERIA</t>
        </is>
      </c>
      <c r="E939" s="34" t="n">
        <v>-132510</v>
      </c>
      <c r="F939" t="inlineStr">
        <is>
          <t>NC</t>
        </is>
      </c>
      <c r="G939" s="34" t="n">
        <v>-21157</v>
      </c>
      <c r="H939" s="34" t="n">
        <v>-111353</v>
      </c>
      <c r="I939" t="inlineStr">
        <is>
          <t>3.2</t>
        </is>
      </c>
      <c r="J939" t="inlineStr">
        <is>
          <t>Ventas Personas (B2C)</t>
        </is>
      </c>
      <c r="K939" t="inlineStr">
        <is>
          <t>CH2</t>
        </is>
      </c>
    </row>
    <row r="940">
      <c r="A940" s="33" t="n">
        <v>45754</v>
      </c>
      <c r="B940" t="inlineStr">
        <is>
          <t>2025-04</t>
        </is>
      </c>
      <c r="C940" t="inlineStr">
        <is>
          <t>POMPON SPA</t>
        </is>
      </c>
      <c r="D940" t="inlineStr">
        <is>
          <t>HORECA CAFETERIA</t>
        </is>
      </c>
      <c r="E940" s="34" t="n">
        <v>111090</v>
      </c>
      <c r="F940" t="inlineStr">
        <is>
          <t>F</t>
        </is>
      </c>
      <c r="G940" s="34" t="n">
        <v>17737</v>
      </c>
      <c r="H940" s="34" t="n">
        <v>93353</v>
      </c>
      <c r="I940" t="inlineStr">
        <is>
          <t>3.1</t>
        </is>
      </c>
      <c r="J940" t="inlineStr">
        <is>
          <t>Ventas HoReCa</t>
        </is>
      </c>
      <c r="K940" t="inlineStr">
        <is>
          <t>CH1</t>
        </is>
      </c>
    </row>
    <row r="941">
      <c r="A941" s="33" t="n">
        <v>45754</v>
      </c>
      <c r="B941" t="inlineStr">
        <is>
          <t>2025-04</t>
        </is>
      </c>
      <c r="C941" t="inlineStr">
        <is>
          <t>Panduz panaderia y cafeteria SPA</t>
        </is>
      </c>
      <c r="D941" t="inlineStr">
        <is>
          <t>HORECA CAFETERIA</t>
        </is>
      </c>
      <c r="E941" s="34" t="n">
        <v>137940</v>
      </c>
      <c r="F941" t="inlineStr">
        <is>
          <t>F</t>
        </is>
      </c>
      <c r="G941" s="34" t="n">
        <v>22024</v>
      </c>
      <c r="H941" s="34" t="n">
        <v>115916</v>
      </c>
      <c r="I941" t="inlineStr">
        <is>
          <t>3.1</t>
        </is>
      </c>
      <c r="J941" t="inlineStr">
        <is>
          <t>Ventas HoReCa</t>
        </is>
      </c>
      <c r="K941" t="inlineStr">
        <is>
          <t>CH1</t>
        </is>
      </c>
    </row>
    <row r="942">
      <c r="A942" s="33" t="n">
        <v>45754</v>
      </c>
      <c r="B942" t="inlineStr">
        <is>
          <t>2025-04</t>
        </is>
      </c>
      <c r="C942" t="inlineStr">
        <is>
          <t>Diana torres</t>
        </is>
      </c>
      <c r="D942" t="inlineStr">
        <is>
          <t>Mix Sabores</t>
        </is>
      </c>
      <c r="E942" s="34" t="n">
        <v>14310</v>
      </c>
      <c r="F942" t="inlineStr">
        <is>
          <t>B</t>
        </is>
      </c>
      <c r="G942" s="34" t="n">
        <v>2285</v>
      </c>
      <c r="H942" s="34" t="n">
        <v>12025</v>
      </c>
      <c r="I942" t="inlineStr">
        <is>
          <t>3.2</t>
        </is>
      </c>
      <c r="J942" t="inlineStr">
        <is>
          <t>Ventas Personas (B2C)</t>
        </is>
      </c>
      <c r="K942" t="inlineStr">
        <is>
          <t>CH2</t>
        </is>
      </c>
    </row>
    <row r="943">
      <c r="A943" s="33" t="n">
        <v>45754</v>
      </c>
      <c r="B943" t="inlineStr">
        <is>
          <t>2025-04</t>
        </is>
      </c>
      <c r="C943" t="inlineStr">
        <is>
          <t>Sin cliente</t>
        </is>
      </c>
      <c r="D943" t="inlineStr">
        <is>
          <t>CANELÉ TRADICIONAL</t>
        </is>
      </c>
      <c r="E943" s="34" t="n">
        <v>23800</v>
      </c>
      <c r="F943" t="inlineStr">
        <is>
          <t>B</t>
        </is>
      </c>
      <c r="G943" s="34" t="n">
        <v>3800</v>
      </c>
      <c r="H943" s="34" t="n">
        <v>20000</v>
      </c>
      <c r="I943" t="inlineStr">
        <is>
          <t>3.2</t>
        </is>
      </c>
      <c r="J943" t="inlineStr">
        <is>
          <t>Ventas Personas (B2C)</t>
        </is>
      </c>
      <c r="K943" t="inlineStr">
        <is>
          <t>CH2</t>
        </is>
      </c>
    </row>
    <row r="944">
      <c r="A944" s="33" t="n">
        <v>45754</v>
      </c>
      <c r="B944" t="inlineStr">
        <is>
          <t>2025-04</t>
        </is>
      </c>
      <c r="C944" t="inlineStr">
        <is>
          <t>Julio Burotto Wegner</t>
        </is>
      </c>
      <c r="D944" t="inlineStr">
        <is>
          <t>Otras Regiones</t>
        </is>
      </c>
      <c r="E944" s="34" t="n">
        <v>7500</v>
      </c>
      <c r="F944" t="inlineStr">
        <is>
          <t>B</t>
        </is>
      </c>
      <c r="G944" s="34" t="n">
        <v>1197</v>
      </c>
      <c r="H944" s="34" t="n">
        <v>6303</v>
      </c>
      <c r="I944" t="inlineStr">
        <is>
          <t>3.2</t>
        </is>
      </c>
      <c r="J944" t="inlineStr">
        <is>
          <t>Ventas Personas (B2C)</t>
        </is>
      </c>
      <c r="K944" t="inlineStr">
        <is>
          <t>CH2</t>
        </is>
      </c>
    </row>
    <row r="945">
      <c r="A945" s="33" t="n">
        <v>45754</v>
      </c>
      <c r="B945" t="inlineStr">
        <is>
          <t>2025-04</t>
        </is>
      </c>
      <c r="C945" t="inlineStr">
        <is>
          <t>INVERSIONES Y COMERCIALIZADORA FED LIMITADA</t>
        </is>
      </c>
      <c r="D945" t="inlineStr">
        <is>
          <t>HORECA CAFETERIA</t>
        </is>
      </c>
      <c r="E945" s="34" t="n">
        <v>207177</v>
      </c>
      <c r="F945" t="inlineStr">
        <is>
          <t>F</t>
        </is>
      </c>
      <c r="G945" s="34" t="n">
        <v>33079</v>
      </c>
      <c r="H945" s="34" t="n">
        <v>174098</v>
      </c>
      <c r="I945" t="inlineStr">
        <is>
          <t>3.1</t>
        </is>
      </c>
      <c r="J945" t="inlineStr">
        <is>
          <t>Ventas HoReCa</t>
        </is>
      </c>
      <c r="K945" t="inlineStr">
        <is>
          <t>CH1</t>
        </is>
      </c>
    </row>
    <row r="946">
      <c r="A946" s="33" t="n">
        <v>45754</v>
      </c>
      <c r="B946" t="inlineStr">
        <is>
          <t>2025-04</t>
        </is>
      </c>
      <c r="C946" t="inlineStr">
        <is>
          <t>Sin cliente</t>
        </is>
      </c>
      <c r="D946" t="inlineStr">
        <is>
          <t>Petit Tradicional</t>
        </is>
      </c>
      <c r="E946" s="34" t="n">
        <v>8900</v>
      </c>
      <c r="F946" t="inlineStr">
        <is>
          <t>B</t>
        </is>
      </c>
      <c r="G946" s="34" t="n">
        <v>1421</v>
      </c>
      <c r="H946" s="34" t="n">
        <v>7479</v>
      </c>
      <c r="I946" t="inlineStr">
        <is>
          <t>3.2</t>
        </is>
      </c>
      <c r="J946" t="inlineStr">
        <is>
          <t>Ventas Personas (B2C)</t>
        </is>
      </c>
      <c r="K946" t="inlineStr">
        <is>
          <t>CH2</t>
        </is>
      </c>
    </row>
    <row r="947">
      <c r="A947" s="33" t="n">
        <v>45754</v>
      </c>
      <c r="B947" t="inlineStr">
        <is>
          <t>2025-04</t>
        </is>
      </c>
      <c r="C947" t="inlineStr">
        <is>
          <t>Sin cliente</t>
        </is>
      </c>
      <c r="D947" t="inlineStr">
        <is>
          <t>Petit Tradicional</t>
        </is>
      </c>
      <c r="E947" s="34" t="n">
        <v>20890</v>
      </c>
      <c r="F947" t="inlineStr">
        <is>
          <t>B</t>
        </is>
      </c>
      <c r="G947" s="34" t="n">
        <v>3335</v>
      </c>
      <c r="H947" s="34" t="n">
        <v>17555</v>
      </c>
      <c r="I947" t="inlineStr">
        <is>
          <t>3.2</t>
        </is>
      </c>
      <c r="J947" t="inlineStr">
        <is>
          <t>Ventas Personas (B2C)</t>
        </is>
      </c>
      <c r="K947" t="inlineStr">
        <is>
          <t>CH2</t>
        </is>
      </c>
    </row>
    <row r="948">
      <c r="A948" s="33" t="n">
        <v>45754</v>
      </c>
      <c r="B948" t="inlineStr">
        <is>
          <t>2025-04</t>
        </is>
      </c>
      <c r="C948" t="inlineStr">
        <is>
          <t>Sin cliente</t>
        </is>
      </c>
      <c r="D948" t="inlineStr">
        <is>
          <t>CANELÉ TRADICIONAL</t>
        </is>
      </c>
      <c r="E948" s="34" t="n">
        <v>2500</v>
      </c>
      <c r="F948" t="inlineStr">
        <is>
          <t>B</t>
        </is>
      </c>
      <c r="G948" s="34" t="n">
        <v>399</v>
      </c>
      <c r="H948" s="34" t="n">
        <v>2101</v>
      </c>
      <c r="I948" t="inlineStr">
        <is>
          <t>3.2</t>
        </is>
      </c>
      <c r="J948" t="inlineStr">
        <is>
          <t>Ventas Personas (B2C)</t>
        </is>
      </c>
      <c r="K948" t="inlineStr">
        <is>
          <t>CH2</t>
        </is>
      </c>
    </row>
    <row r="949">
      <c r="A949" s="33" t="n">
        <v>45755</v>
      </c>
      <c r="B949" t="inlineStr">
        <is>
          <t>2025-04</t>
        </is>
      </c>
      <c r="C949" t="inlineStr">
        <is>
          <t>Sin cliente</t>
        </is>
      </c>
      <c r="D949" t="inlineStr">
        <is>
          <t>Mix Sabores</t>
        </is>
      </c>
      <c r="E949" s="34" t="n">
        <v>9540</v>
      </c>
      <c r="F949" t="inlineStr">
        <is>
          <t>B</t>
        </is>
      </c>
      <c r="G949" s="34" t="n">
        <v>1523</v>
      </c>
      <c r="H949" s="34" t="n">
        <v>8017</v>
      </c>
      <c r="I949" t="inlineStr">
        <is>
          <t>3.2</t>
        </is>
      </c>
      <c r="J949" t="inlineStr">
        <is>
          <t>Ventas Personas (B2C)</t>
        </is>
      </c>
      <c r="K949" t="inlineStr">
        <is>
          <t>CH2</t>
        </is>
      </c>
    </row>
    <row r="950">
      <c r="A950" s="33" t="n">
        <v>45755</v>
      </c>
      <c r="B950" t="inlineStr">
        <is>
          <t>2025-04</t>
        </is>
      </c>
      <c r="C950" t="inlineStr">
        <is>
          <t>BLUE OAK COFFE SPA</t>
        </is>
      </c>
      <c r="D950" t="inlineStr">
        <is>
          <t>HORECA CAFETERIA</t>
        </is>
      </c>
      <c r="E950" s="34" t="n">
        <v>303388</v>
      </c>
      <c r="F950" t="inlineStr">
        <is>
          <t>F</t>
        </is>
      </c>
      <c r="G950" s="34" t="n">
        <v>48440</v>
      </c>
      <c r="H950" s="34" t="n">
        <v>254948</v>
      </c>
      <c r="I950" t="inlineStr">
        <is>
          <t>3.1</t>
        </is>
      </c>
      <c r="J950" t="inlineStr">
        <is>
          <t>Ventas HoReCa</t>
        </is>
      </c>
      <c r="K950" t="inlineStr">
        <is>
          <t>CH1</t>
        </is>
      </c>
    </row>
    <row r="951">
      <c r="A951" s="33" t="n">
        <v>45755</v>
      </c>
      <c r="B951" t="inlineStr">
        <is>
          <t>2025-04</t>
        </is>
      </c>
      <c r="C951" t="inlineStr">
        <is>
          <t>BLUE OAK COFFE SPA</t>
        </is>
      </c>
      <c r="D951" t="inlineStr">
        <is>
          <t>HORECA CAFETERIA</t>
        </is>
      </c>
      <c r="E951" s="34" t="n">
        <v>63500</v>
      </c>
      <c r="F951" t="inlineStr">
        <is>
          <t>F</t>
        </is>
      </c>
      <c r="G951" s="34" t="n">
        <v>10139</v>
      </c>
      <c r="H951" s="34" t="n">
        <v>53361</v>
      </c>
      <c r="I951" t="inlineStr">
        <is>
          <t>3.1</t>
        </is>
      </c>
      <c r="J951" t="inlineStr">
        <is>
          <t>Ventas HoReCa</t>
        </is>
      </c>
      <c r="K951" t="inlineStr">
        <is>
          <t>CH1</t>
        </is>
      </c>
    </row>
    <row r="952">
      <c r="A952" s="33" t="n">
        <v>45755</v>
      </c>
      <c r="B952" t="inlineStr">
        <is>
          <t>2025-04</t>
        </is>
      </c>
      <c r="C952" t="inlineStr">
        <is>
          <t>Cafeteria de especialidad al paso Michael C. Plaza</t>
        </is>
      </c>
      <c r="D952" t="inlineStr">
        <is>
          <t>HORECA CAFETERIA</t>
        </is>
      </c>
      <c r="E952" s="34" t="n">
        <v>69000</v>
      </c>
      <c r="F952" t="inlineStr">
        <is>
          <t>F</t>
        </is>
      </c>
      <c r="G952" s="34" t="n">
        <v>11017</v>
      </c>
      <c r="H952" s="34" t="n">
        <v>57983</v>
      </c>
      <c r="I952" t="inlineStr">
        <is>
          <t>3.1</t>
        </is>
      </c>
      <c r="J952" t="inlineStr">
        <is>
          <t>Ventas HoReCa</t>
        </is>
      </c>
      <c r="K952" t="inlineStr">
        <is>
          <t>CH1</t>
        </is>
      </c>
    </row>
    <row r="953">
      <c r="A953" s="33" t="n">
        <v>45755</v>
      </c>
      <c r="B953" t="inlineStr">
        <is>
          <t>2025-04</t>
        </is>
      </c>
      <c r="C953" t="inlineStr">
        <is>
          <t>Tatiana Campo</t>
        </is>
      </c>
      <c r="D953" t="inlineStr">
        <is>
          <t>CANELE SIN AZUCAR</t>
        </is>
      </c>
      <c r="E953" s="34" t="n">
        <v>38789</v>
      </c>
      <c r="F953" t="inlineStr">
        <is>
          <t>B</t>
        </is>
      </c>
      <c r="G953" s="34" t="n">
        <v>6193</v>
      </c>
      <c r="H953" s="34" t="n">
        <v>32596</v>
      </c>
      <c r="I953" t="inlineStr">
        <is>
          <t>3.2</t>
        </is>
      </c>
      <c r="J953" t="inlineStr">
        <is>
          <t>Ventas Personas (B2C)</t>
        </is>
      </c>
      <c r="K953" t="inlineStr">
        <is>
          <t>CH2</t>
        </is>
      </c>
    </row>
    <row r="954">
      <c r="A954" s="33" t="n">
        <v>45755</v>
      </c>
      <c r="B954" t="inlineStr">
        <is>
          <t>2025-04</t>
        </is>
      </c>
      <c r="C954" t="inlineStr">
        <is>
          <t>Sin cliente</t>
        </is>
      </c>
      <c r="D954" t="inlineStr">
        <is>
          <t>CANELÉ TRADICIONAL</t>
        </is>
      </c>
      <c r="E954" s="34" t="n">
        <v>5000</v>
      </c>
      <c r="F954" t="inlineStr">
        <is>
          <t>B</t>
        </is>
      </c>
      <c r="G954" s="34" t="n">
        <v>798</v>
      </c>
      <c r="H954" s="34" t="n">
        <v>4202</v>
      </c>
      <c r="I954" t="inlineStr">
        <is>
          <t>3.2</t>
        </is>
      </c>
      <c r="J954" t="inlineStr">
        <is>
          <t>Ventas Personas (B2C)</t>
        </is>
      </c>
      <c r="K954" t="inlineStr">
        <is>
          <t>CH2</t>
        </is>
      </c>
    </row>
    <row r="955">
      <c r="A955" s="33" t="n">
        <v>45755</v>
      </c>
      <c r="B955" t="inlineStr">
        <is>
          <t>2025-04</t>
        </is>
      </c>
      <c r="C955" t="inlineStr">
        <is>
          <t>Carolina Armijo Mella</t>
        </is>
      </c>
      <c r="D955" t="inlineStr">
        <is>
          <t>CANELÉ TRADICIONAL</t>
        </is>
      </c>
      <c r="E955" s="34" t="n">
        <v>25890</v>
      </c>
      <c r="F955" t="inlineStr">
        <is>
          <t>B</t>
        </is>
      </c>
      <c r="G955" s="34" t="n">
        <v>4134</v>
      </c>
      <c r="H955" s="34" t="n">
        <v>21756</v>
      </c>
      <c r="I955" t="inlineStr">
        <is>
          <t>3.2</t>
        </is>
      </c>
      <c r="J955" t="inlineStr">
        <is>
          <t>Ventas Personas (B2C)</t>
        </is>
      </c>
      <c r="K955" t="inlineStr">
        <is>
          <t>CH2</t>
        </is>
      </c>
    </row>
    <row r="956">
      <c r="A956" s="33" t="n">
        <v>45755</v>
      </c>
      <c r="B956" t="inlineStr">
        <is>
          <t>2025-04</t>
        </is>
      </c>
      <c r="C956" t="inlineStr">
        <is>
          <t>Jaqueline Gomez</t>
        </is>
      </c>
      <c r="D956" t="inlineStr">
        <is>
          <t>Rellenos</t>
        </is>
      </c>
      <c r="E956" s="34" t="n">
        <v>27890</v>
      </c>
      <c r="F956" t="inlineStr">
        <is>
          <t>B</t>
        </is>
      </c>
      <c r="G956" s="34" t="n">
        <v>4453</v>
      </c>
      <c r="H956" s="34" t="n">
        <v>23437</v>
      </c>
      <c r="I956" t="inlineStr">
        <is>
          <t>3.2</t>
        </is>
      </c>
      <c r="J956" t="inlineStr">
        <is>
          <t>Ventas Personas (B2C)</t>
        </is>
      </c>
      <c r="K956" t="inlineStr">
        <is>
          <t>CH2</t>
        </is>
      </c>
    </row>
    <row r="957">
      <c r="A957" s="33" t="n">
        <v>45755</v>
      </c>
      <c r="B957" t="inlineStr">
        <is>
          <t>2025-04</t>
        </is>
      </c>
      <c r="C957" t="inlineStr">
        <is>
          <t>Sin cliente</t>
        </is>
      </c>
      <c r="D957" t="inlineStr">
        <is>
          <t>Delicatessen</t>
        </is>
      </c>
      <c r="E957" s="34" t="n">
        <v>12900</v>
      </c>
      <c r="F957" t="inlineStr">
        <is>
          <t>B</t>
        </is>
      </c>
      <c r="G957" s="34" t="n">
        <v>2060</v>
      </c>
      <c r="H957" s="34" t="n">
        <v>10840</v>
      </c>
      <c r="I957" t="inlineStr">
        <is>
          <t>3.2</t>
        </is>
      </c>
      <c r="J957" t="inlineStr">
        <is>
          <t>Ventas Personas (B2C)</t>
        </is>
      </c>
      <c r="K957" t="inlineStr">
        <is>
          <t>CH2</t>
        </is>
      </c>
    </row>
    <row r="958">
      <c r="A958" s="33" t="n">
        <v>45755</v>
      </c>
      <c r="B958" t="inlineStr">
        <is>
          <t>2025-04</t>
        </is>
      </c>
      <c r="C958" t="inlineStr">
        <is>
          <t>Sin cliente</t>
        </is>
      </c>
      <c r="D958" t="inlineStr">
        <is>
          <t>Delicatessen</t>
        </is>
      </c>
      <c r="E958" s="34" t="n">
        <v>12900</v>
      </c>
      <c r="F958" t="inlineStr">
        <is>
          <t>B</t>
        </is>
      </c>
      <c r="G958" s="34" t="n">
        <v>2060</v>
      </c>
      <c r="H958" s="34" t="n">
        <v>10840</v>
      </c>
      <c r="I958" t="inlineStr">
        <is>
          <t>3.2</t>
        </is>
      </c>
      <c r="J958" t="inlineStr">
        <is>
          <t>Ventas Personas (B2C)</t>
        </is>
      </c>
      <c r="K958" t="inlineStr">
        <is>
          <t>CH2</t>
        </is>
      </c>
    </row>
    <row r="959">
      <c r="A959" s="33" t="n">
        <v>45755</v>
      </c>
      <c r="B959" t="inlineStr">
        <is>
          <t>2025-04</t>
        </is>
      </c>
      <c r="C959" t="inlineStr">
        <is>
          <t>Sin cliente</t>
        </is>
      </c>
      <c r="D959" t="inlineStr">
        <is>
          <t>Delicatessen</t>
        </is>
      </c>
      <c r="E959" s="34" t="n">
        <v>12900</v>
      </c>
      <c r="F959" t="inlineStr">
        <is>
          <t>B</t>
        </is>
      </c>
      <c r="G959" s="34" t="n">
        <v>2060</v>
      </c>
      <c r="H959" s="34" t="n">
        <v>10840</v>
      </c>
      <c r="I959" t="inlineStr">
        <is>
          <t>3.2</t>
        </is>
      </c>
      <c r="J959" t="inlineStr">
        <is>
          <t>Ventas Personas (B2C)</t>
        </is>
      </c>
      <c r="K959" t="inlineStr">
        <is>
          <t>CH2</t>
        </is>
      </c>
    </row>
    <row r="960">
      <c r="A960" s="33" t="n">
        <v>45755</v>
      </c>
      <c r="B960" t="inlineStr">
        <is>
          <t>2025-04</t>
        </is>
      </c>
      <c r="C960" t="inlineStr">
        <is>
          <t>Sin cliente</t>
        </is>
      </c>
      <c r="D960" t="inlineStr">
        <is>
          <t>Delicatessen</t>
        </is>
      </c>
      <c r="E960" s="34" t="n">
        <v>6450</v>
      </c>
      <c r="F960" t="inlineStr">
        <is>
          <t>B</t>
        </is>
      </c>
      <c r="G960" s="34" t="n">
        <v>1030</v>
      </c>
      <c r="H960" s="34" t="n">
        <v>5420</v>
      </c>
      <c r="I960" t="inlineStr">
        <is>
          <t>3.2</t>
        </is>
      </c>
      <c r="J960" t="inlineStr">
        <is>
          <t>Ventas Personas (B2C)</t>
        </is>
      </c>
      <c r="K960" t="inlineStr">
        <is>
          <t>CH2</t>
        </is>
      </c>
    </row>
    <row r="961">
      <c r="A961" s="33" t="n">
        <v>45755</v>
      </c>
      <c r="B961" t="inlineStr">
        <is>
          <t>2025-04</t>
        </is>
      </c>
      <c r="C961" t="inlineStr">
        <is>
          <t>Sin cliente</t>
        </is>
      </c>
      <c r="D961" t="inlineStr">
        <is>
          <t>Delicatessen</t>
        </is>
      </c>
      <c r="E961" s="34" t="n">
        <v>6450</v>
      </c>
      <c r="F961" t="inlineStr">
        <is>
          <t>B</t>
        </is>
      </c>
      <c r="G961" s="34" t="n">
        <v>1030</v>
      </c>
      <c r="H961" s="34" t="n">
        <v>5420</v>
      </c>
      <c r="I961" t="inlineStr">
        <is>
          <t>3.2</t>
        </is>
      </c>
      <c r="J961" t="inlineStr">
        <is>
          <t>Ventas Personas (B2C)</t>
        </is>
      </c>
      <c r="K961" t="inlineStr">
        <is>
          <t>CH2</t>
        </is>
      </c>
    </row>
    <row r="962">
      <c r="A962" s="33" t="n">
        <v>45755</v>
      </c>
      <c r="B962" t="inlineStr">
        <is>
          <t>2025-04</t>
        </is>
      </c>
      <c r="C962" t="inlineStr">
        <is>
          <t>Sin cliente</t>
        </is>
      </c>
      <c r="D962" t="inlineStr">
        <is>
          <t>CANELÉ TRADICIONAL</t>
        </is>
      </c>
      <c r="E962" s="34" t="n">
        <v>2500</v>
      </c>
      <c r="F962" t="inlineStr">
        <is>
          <t>B</t>
        </is>
      </c>
      <c r="G962" s="34" t="n">
        <v>399</v>
      </c>
      <c r="H962" s="34" t="n">
        <v>2101</v>
      </c>
      <c r="I962" t="inlineStr">
        <is>
          <t>3.2</t>
        </is>
      </c>
      <c r="J962" t="inlineStr">
        <is>
          <t>Ventas Personas (B2C)</t>
        </is>
      </c>
      <c r="K962" t="inlineStr">
        <is>
          <t>CH2</t>
        </is>
      </c>
    </row>
    <row r="963">
      <c r="A963" s="33" t="n">
        <v>45755</v>
      </c>
      <c r="B963" t="inlineStr">
        <is>
          <t>2025-04</t>
        </is>
      </c>
      <c r="C963" t="inlineStr">
        <is>
          <t>Sin cliente</t>
        </is>
      </c>
      <c r="D963" t="inlineStr">
        <is>
          <t>CANELE SIN AZUCAR</t>
        </is>
      </c>
      <c r="E963" s="34" t="n">
        <v>16900</v>
      </c>
      <c r="F963" t="inlineStr">
        <is>
          <t>B</t>
        </is>
      </c>
      <c r="G963" s="34" t="n">
        <v>2698</v>
      </c>
      <c r="H963" s="34" t="n">
        <v>14202</v>
      </c>
      <c r="I963" t="inlineStr">
        <is>
          <t>3.2</t>
        </is>
      </c>
      <c r="J963" t="inlineStr">
        <is>
          <t>Ventas Personas (B2C)</t>
        </is>
      </c>
      <c r="K963" t="inlineStr">
        <is>
          <t>CH2</t>
        </is>
      </c>
    </row>
    <row r="964">
      <c r="A964" s="33" t="n">
        <v>45755</v>
      </c>
      <c r="B964" t="inlineStr">
        <is>
          <t>2025-04</t>
        </is>
      </c>
      <c r="C964" t="inlineStr">
        <is>
          <t>Sin cliente</t>
        </is>
      </c>
      <c r="D964" t="inlineStr">
        <is>
          <t>Delicatessen</t>
        </is>
      </c>
      <c r="E964" s="34" t="n">
        <v>4520</v>
      </c>
      <c r="F964" t="inlineStr">
        <is>
          <t>B</t>
        </is>
      </c>
      <c r="G964" s="34" t="n">
        <v>722</v>
      </c>
      <c r="H964" s="34" t="n">
        <v>3798</v>
      </c>
      <c r="I964" t="inlineStr">
        <is>
          <t>3.2</t>
        </is>
      </c>
      <c r="J964" t="inlineStr">
        <is>
          <t>Ventas Personas (B2C)</t>
        </is>
      </c>
      <c r="K964" t="inlineStr">
        <is>
          <t>CH2</t>
        </is>
      </c>
    </row>
    <row r="965">
      <c r="A965" s="33" t="n">
        <v>45755</v>
      </c>
      <c r="B965" t="inlineStr">
        <is>
          <t>2025-04</t>
        </is>
      </c>
      <c r="C965" t="inlineStr">
        <is>
          <t>Sin cliente</t>
        </is>
      </c>
      <c r="D965" t="inlineStr">
        <is>
          <t>PLATAFORMAS RAP-PEYA-UBER-GOOD</t>
        </is>
      </c>
      <c r="E965" s="34" t="n">
        <v>26280</v>
      </c>
      <c r="F965" t="inlineStr">
        <is>
          <t>B</t>
        </is>
      </c>
      <c r="G965" s="34" t="n">
        <v>4196</v>
      </c>
      <c r="H965" s="34" t="n">
        <v>22084</v>
      </c>
      <c r="I965" t="inlineStr">
        <is>
          <t>3.6</t>
        </is>
      </c>
      <c r="J965" t="inlineStr">
        <is>
          <t>Ventas Delivery Apps</t>
        </is>
      </c>
      <c r="K965" t="inlineStr">
        <is>
          <t>CH3</t>
        </is>
      </c>
    </row>
    <row r="966">
      <c r="A966" s="33" t="n">
        <v>45755</v>
      </c>
      <c r="B966" t="inlineStr">
        <is>
          <t>2025-04</t>
        </is>
      </c>
      <c r="C966" t="inlineStr">
        <is>
          <t>Sin cliente</t>
        </is>
      </c>
      <c r="D966" t="inlineStr">
        <is>
          <t>PLATAFORMAS RAP-PEYA-UBER-GOOD</t>
        </is>
      </c>
      <c r="E966" s="34" t="n">
        <v>17880</v>
      </c>
      <c r="F966" t="inlineStr">
        <is>
          <t>B</t>
        </is>
      </c>
      <c r="G966" s="34" t="n">
        <v>2855</v>
      </c>
      <c r="H966" s="34" t="n">
        <v>15025</v>
      </c>
      <c r="I966" t="inlineStr">
        <is>
          <t>3.6</t>
        </is>
      </c>
      <c r="J966" t="inlineStr">
        <is>
          <t>Ventas Delivery Apps</t>
        </is>
      </c>
      <c r="K966" t="inlineStr">
        <is>
          <t>CH3</t>
        </is>
      </c>
    </row>
    <row r="967">
      <c r="A967" s="33" t="n">
        <v>45755</v>
      </c>
      <c r="B967" t="inlineStr">
        <is>
          <t>2025-04</t>
        </is>
      </c>
      <c r="C967" t="inlineStr">
        <is>
          <t>Sin cliente</t>
        </is>
      </c>
      <c r="D967" t="inlineStr">
        <is>
          <t>CANELÉ TRADICIONAL</t>
        </is>
      </c>
      <c r="E967" s="34" t="n">
        <v>16900</v>
      </c>
      <c r="F967" t="inlineStr">
        <is>
          <t>B</t>
        </is>
      </c>
      <c r="G967" s="34" t="n">
        <v>2698</v>
      </c>
      <c r="H967" s="34" t="n">
        <v>14202</v>
      </c>
      <c r="I967" t="inlineStr">
        <is>
          <t>3.2</t>
        </is>
      </c>
      <c r="J967" t="inlineStr">
        <is>
          <t>Ventas Personas (B2C)</t>
        </is>
      </c>
      <c r="K967" t="inlineStr">
        <is>
          <t>CH2</t>
        </is>
      </c>
    </row>
    <row r="968">
      <c r="A968" s="33" t="n">
        <v>45755</v>
      </c>
      <c r="B968" t="inlineStr">
        <is>
          <t>2025-04</t>
        </is>
      </c>
      <c r="C968" t="inlineStr">
        <is>
          <t>Sin cliente</t>
        </is>
      </c>
      <c r="D968" t="inlineStr">
        <is>
          <t>CANELÉ</t>
        </is>
      </c>
      <c r="E968" s="34" t="n">
        <v>6000</v>
      </c>
      <c r="F968" t="inlineStr">
        <is>
          <t>B</t>
        </is>
      </c>
      <c r="G968" s="34" t="n">
        <v>958</v>
      </c>
      <c r="H968" s="34" t="n">
        <v>5042</v>
      </c>
      <c r="I968" t="inlineStr">
        <is>
          <t>3.2</t>
        </is>
      </c>
      <c r="J968" t="inlineStr">
        <is>
          <t>Ventas Personas (B2C)</t>
        </is>
      </c>
      <c r="K968" t="inlineStr">
        <is>
          <t>CH2</t>
        </is>
      </c>
    </row>
    <row r="969">
      <c r="A969" s="33" t="n">
        <v>45755</v>
      </c>
      <c r="B969" t="inlineStr">
        <is>
          <t>2025-04</t>
        </is>
      </c>
      <c r="C969" t="inlineStr">
        <is>
          <t>Victoria Pey</t>
        </is>
      </c>
      <c r="D969" t="inlineStr">
        <is>
          <t>Petit Tradicional</t>
        </is>
      </c>
      <c r="E969" s="34" t="n">
        <v>34890</v>
      </c>
      <c r="F969" t="inlineStr">
        <is>
          <t>B</t>
        </is>
      </c>
      <c r="G969" s="34" t="n">
        <v>5571</v>
      </c>
      <c r="H969" s="34" t="n">
        <v>29319</v>
      </c>
      <c r="I969" t="inlineStr">
        <is>
          <t>3.2</t>
        </is>
      </c>
      <c r="J969" t="inlineStr">
        <is>
          <t>Ventas Personas (B2C)</t>
        </is>
      </c>
      <c r="K969" t="inlineStr">
        <is>
          <t>CH2</t>
        </is>
      </c>
    </row>
    <row r="970">
      <c r="A970" s="33" t="n">
        <v>45756</v>
      </c>
      <c r="B970" t="inlineStr">
        <is>
          <t>2025-04</t>
        </is>
      </c>
      <c r="C970" t="inlineStr">
        <is>
          <t>GASTRONÃMICA MANGO GOURMET SPA</t>
        </is>
      </c>
      <c r="D970" t="inlineStr">
        <is>
          <t>HORECA CATERING</t>
        </is>
      </c>
      <c r="E970" s="34" t="n">
        <v>118891</v>
      </c>
      <c r="F970" t="inlineStr">
        <is>
          <t>F</t>
        </is>
      </c>
      <c r="G970" s="34" t="n">
        <v>18983</v>
      </c>
      <c r="H970" s="34" t="n">
        <v>99908</v>
      </c>
      <c r="I970" t="inlineStr">
        <is>
          <t>3.1</t>
        </is>
      </c>
      <c r="J970" t="inlineStr">
        <is>
          <t>Ventas HoReCa</t>
        </is>
      </c>
      <c r="K970" t="inlineStr">
        <is>
          <t>CH1</t>
        </is>
      </c>
    </row>
    <row r="971">
      <c r="A971" s="33" t="n">
        <v>45756</v>
      </c>
      <c r="B971" t="inlineStr">
        <is>
          <t>2025-04</t>
        </is>
      </c>
      <c r="C971" t="inlineStr">
        <is>
          <t>Inversiones Café Dominicos SpA</t>
        </is>
      </c>
      <c r="D971" t="inlineStr">
        <is>
          <t xml:space="preserve">THE COFFEE STORE </t>
        </is>
      </c>
      <c r="E971" s="34" t="n">
        <v>36977</v>
      </c>
      <c r="F971" t="inlineStr">
        <is>
          <t>F</t>
        </is>
      </c>
      <c r="G971" s="34" t="n">
        <v>5904</v>
      </c>
      <c r="H971" s="34" t="n">
        <v>31073</v>
      </c>
      <c r="I971" t="inlineStr">
        <is>
          <t>3.1</t>
        </is>
      </c>
      <c r="J971" t="inlineStr">
        <is>
          <t>Ventas HoReCa</t>
        </is>
      </c>
      <c r="K971" t="inlineStr">
        <is>
          <t>CH1</t>
        </is>
      </c>
    </row>
    <row r="972">
      <c r="A972" s="33" t="n">
        <v>45756</v>
      </c>
      <c r="B972" t="inlineStr">
        <is>
          <t>2025-04</t>
        </is>
      </c>
      <c r="C972" t="inlineStr">
        <is>
          <t>CUATROTRESTRES CAFÉ SPA</t>
        </is>
      </c>
      <c r="D972" t="inlineStr">
        <is>
          <t>HORECA CAFETERIA</t>
        </is>
      </c>
      <c r="E972" s="34" t="n">
        <v>30884</v>
      </c>
      <c r="F972" t="inlineStr">
        <is>
          <t>F</t>
        </is>
      </c>
      <c r="G972" s="34" t="n">
        <v>4931</v>
      </c>
      <c r="H972" s="34" t="n">
        <v>25953</v>
      </c>
      <c r="I972" t="inlineStr">
        <is>
          <t>3.1</t>
        </is>
      </c>
      <c r="J972" t="inlineStr">
        <is>
          <t>Ventas HoReCa</t>
        </is>
      </c>
      <c r="K972" t="inlineStr">
        <is>
          <t>CH1</t>
        </is>
      </c>
    </row>
    <row r="973">
      <c r="A973" s="33" t="n">
        <v>45756</v>
      </c>
      <c r="B973" t="inlineStr">
        <is>
          <t>2025-04</t>
        </is>
      </c>
      <c r="C973" t="inlineStr">
        <is>
          <t>Clark Veloso Valenzuela</t>
        </is>
      </c>
      <c r="D973" t="inlineStr">
        <is>
          <t>HORECA CAFETERIA</t>
        </is>
      </c>
      <c r="E973" s="34" t="n">
        <v>64990</v>
      </c>
      <c r="F973" t="inlineStr">
        <is>
          <t>F</t>
        </is>
      </c>
      <c r="G973" s="34" t="n">
        <v>10377</v>
      </c>
      <c r="H973" s="34" t="n">
        <v>54613</v>
      </c>
      <c r="I973" t="inlineStr">
        <is>
          <t>3.1</t>
        </is>
      </c>
      <c r="J973" t="inlineStr">
        <is>
          <t>Ventas HoReCa</t>
        </is>
      </c>
      <c r="K973" t="inlineStr">
        <is>
          <t>CH1</t>
        </is>
      </c>
    </row>
    <row r="974">
      <c r="A974" s="33" t="n">
        <v>45756</v>
      </c>
      <c r="B974" t="inlineStr">
        <is>
          <t>2025-04</t>
        </is>
      </c>
      <c r="C974" t="inlineStr">
        <is>
          <t>LUIS TORO CASTRO</t>
        </is>
      </c>
      <c r="D974" t="inlineStr">
        <is>
          <t>SALSAS</t>
        </is>
      </c>
      <c r="E974" s="34" t="n">
        <v>35301</v>
      </c>
      <c r="F974" t="inlineStr">
        <is>
          <t>B</t>
        </is>
      </c>
      <c r="G974" s="34" t="n">
        <v>5636</v>
      </c>
      <c r="H974" s="34" t="n">
        <v>29665</v>
      </c>
      <c r="I974" t="inlineStr">
        <is>
          <t>3.2</t>
        </is>
      </c>
      <c r="J974" t="inlineStr">
        <is>
          <t>Ventas Personas (B2C)</t>
        </is>
      </c>
      <c r="K974" t="inlineStr">
        <is>
          <t>CH2</t>
        </is>
      </c>
    </row>
    <row r="975">
      <c r="A975" s="33" t="n">
        <v>45756</v>
      </c>
      <c r="B975" t="inlineStr">
        <is>
          <t>2025-04</t>
        </is>
      </c>
      <c r="C975" t="inlineStr">
        <is>
          <t>Sin cliente</t>
        </is>
      </c>
      <c r="D975" t="inlineStr">
        <is>
          <t>CANELÉ TRADICIONAL</t>
        </is>
      </c>
      <c r="E975" s="34" t="n">
        <v>33890</v>
      </c>
      <c r="F975" t="inlineStr">
        <is>
          <t>B</t>
        </is>
      </c>
      <c r="G975" s="34" t="n">
        <v>5411</v>
      </c>
      <c r="H975" s="34" t="n">
        <v>28479</v>
      </c>
      <c r="I975" t="inlineStr">
        <is>
          <t>3.2</t>
        </is>
      </c>
      <c r="J975" t="inlineStr">
        <is>
          <t>Ventas Personas (B2C)</t>
        </is>
      </c>
      <c r="K975" t="inlineStr">
        <is>
          <t>CH2</t>
        </is>
      </c>
    </row>
    <row r="976">
      <c r="A976" s="33" t="n">
        <v>45756</v>
      </c>
      <c r="B976" t="inlineStr">
        <is>
          <t>2025-04</t>
        </is>
      </c>
      <c r="C976" t="inlineStr">
        <is>
          <t>Sin cliente</t>
        </is>
      </c>
      <c r="D976" t="inlineStr">
        <is>
          <t>CANELÉ TRADICIONAL</t>
        </is>
      </c>
      <c r="E976" s="34" t="n">
        <v>5000</v>
      </c>
      <c r="F976" t="inlineStr">
        <is>
          <t>B</t>
        </is>
      </c>
      <c r="G976" s="34" t="n">
        <v>798</v>
      </c>
      <c r="H976" s="34" t="n">
        <v>4202</v>
      </c>
      <c r="I976" t="inlineStr">
        <is>
          <t>3.2</t>
        </is>
      </c>
      <c r="J976" t="inlineStr">
        <is>
          <t>Ventas Personas (B2C)</t>
        </is>
      </c>
      <c r="K976" t="inlineStr">
        <is>
          <t>CH2</t>
        </is>
      </c>
    </row>
    <row r="977">
      <c r="A977" s="33" t="n">
        <v>45756</v>
      </c>
      <c r="B977" t="inlineStr">
        <is>
          <t>2025-04</t>
        </is>
      </c>
      <c r="C977" t="inlineStr">
        <is>
          <t>Alejandra del Rio Rebolledo</t>
        </is>
      </c>
      <c r="D977" t="inlineStr">
        <is>
          <t>Mix Sabores</t>
        </is>
      </c>
      <c r="E977" s="34" t="n">
        <v>26790</v>
      </c>
      <c r="F977" t="inlineStr">
        <is>
          <t>B</t>
        </is>
      </c>
      <c r="G977" s="34" t="n">
        <v>4277</v>
      </c>
      <c r="H977" s="34" t="n">
        <v>22513</v>
      </c>
      <c r="I977" t="inlineStr">
        <is>
          <t>3.2</t>
        </is>
      </c>
      <c r="J977" t="inlineStr">
        <is>
          <t>Ventas Personas (B2C)</t>
        </is>
      </c>
      <c r="K977" t="inlineStr">
        <is>
          <t>CH2</t>
        </is>
      </c>
    </row>
    <row r="978">
      <c r="A978" s="33" t="n">
        <v>45756</v>
      </c>
      <c r="B978" t="inlineStr">
        <is>
          <t>2025-04</t>
        </is>
      </c>
      <c r="C978" t="inlineStr">
        <is>
          <t>AMBROSIA RESTAURANT SPA</t>
        </is>
      </c>
      <c r="D978" t="inlineStr">
        <is>
          <t>HORECA CAFETERIA</t>
        </is>
      </c>
      <c r="E978" s="34" t="n">
        <v>29988</v>
      </c>
      <c r="F978" t="inlineStr">
        <is>
          <t>F</t>
        </is>
      </c>
      <c r="G978" s="34" t="n">
        <v>4788</v>
      </c>
      <c r="H978" s="34" t="n">
        <v>25200</v>
      </c>
      <c r="I978" t="inlineStr">
        <is>
          <t>3.1</t>
        </is>
      </c>
      <c r="J978" t="inlineStr">
        <is>
          <t>Ventas HoReCa</t>
        </is>
      </c>
      <c r="K978" t="inlineStr">
        <is>
          <t>CH1</t>
        </is>
      </c>
    </row>
    <row r="979">
      <c r="A979" s="33" t="n">
        <v>45756</v>
      </c>
      <c r="B979" t="inlineStr">
        <is>
          <t>2025-04</t>
        </is>
      </c>
      <c r="C979" t="inlineStr">
        <is>
          <t>Sin cliente</t>
        </is>
      </c>
      <c r="D979" t="inlineStr">
        <is>
          <t>CANELÉ TRADICIONAL</t>
        </is>
      </c>
      <c r="E979" s="34" t="n">
        <v>24400</v>
      </c>
      <c r="F979" t="inlineStr">
        <is>
          <t>B</t>
        </is>
      </c>
      <c r="G979" s="34" t="n">
        <v>3896</v>
      </c>
      <c r="H979" s="34" t="n">
        <v>20504</v>
      </c>
      <c r="I979" t="inlineStr">
        <is>
          <t>3.2</t>
        </is>
      </c>
      <c r="J979" t="inlineStr">
        <is>
          <t>Ventas Personas (B2C)</t>
        </is>
      </c>
      <c r="K979" t="inlineStr">
        <is>
          <t>CH2</t>
        </is>
      </c>
    </row>
    <row r="980">
      <c r="A980" s="33" t="n">
        <v>45756</v>
      </c>
      <c r="B980" t="inlineStr">
        <is>
          <t>2025-04</t>
        </is>
      </c>
      <c r="C980" t="inlineStr">
        <is>
          <t>Sin cliente</t>
        </is>
      </c>
      <c r="D980" t="inlineStr">
        <is>
          <t>CANELÉ TRADICIONAL</t>
        </is>
      </c>
      <c r="E980" s="34" t="n">
        <v>5000</v>
      </c>
      <c r="F980" t="inlineStr">
        <is>
          <t>B</t>
        </is>
      </c>
      <c r="G980" s="34" t="n">
        <v>798</v>
      </c>
      <c r="H980" s="34" t="n">
        <v>4202</v>
      </c>
      <c r="I980" t="inlineStr">
        <is>
          <t>3.2</t>
        </is>
      </c>
      <c r="J980" t="inlineStr">
        <is>
          <t>Ventas Personas (B2C)</t>
        </is>
      </c>
      <c r="K980" t="inlineStr">
        <is>
          <t>CH2</t>
        </is>
      </c>
    </row>
    <row r="981">
      <c r="A981" s="33" t="n">
        <v>45756</v>
      </c>
      <c r="B981" t="inlineStr">
        <is>
          <t>2025-04</t>
        </is>
      </c>
      <c r="C981" t="inlineStr">
        <is>
          <t>Sin cliente</t>
        </is>
      </c>
      <c r="D981" t="inlineStr">
        <is>
          <t>Mix Sabores</t>
        </is>
      </c>
      <c r="E981" s="34" t="n">
        <v>12720</v>
      </c>
      <c r="F981" t="inlineStr">
        <is>
          <t>B</t>
        </is>
      </c>
      <c r="G981" s="34" t="n">
        <v>2031</v>
      </c>
      <c r="H981" s="34" t="n">
        <v>10689</v>
      </c>
      <c r="I981" t="inlineStr">
        <is>
          <t>3.2</t>
        </is>
      </c>
      <c r="J981" t="inlineStr">
        <is>
          <t>Ventas Personas (B2C)</t>
        </is>
      </c>
      <c r="K981" t="inlineStr">
        <is>
          <t>CH2</t>
        </is>
      </c>
    </row>
    <row r="982">
      <c r="A982" s="33" t="n">
        <v>45756</v>
      </c>
      <c r="B982" t="inlineStr">
        <is>
          <t>2025-04</t>
        </is>
      </c>
      <c r="C982" t="inlineStr">
        <is>
          <t>PRODUCTORA DE EVENTOS AGDV SPA</t>
        </is>
      </c>
      <c r="D982" t="inlineStr">
        <is>
          <t>HORECA CATERING</t>
        </is>
      </c>
      <c r="E982" s="34" t="n">
        <v>99076</v>
      </c>
      <c r="F982" t="inlineStr">
        <is>
          <t>F</t>
        </is>
      </c>
      <c r="G982" s="34" t="n">
        <v>15819</v>
      </c>
      <c r="H982" s="34" t="n">
        <v>83257</v>
      </c>
      <c r="I982" t="inlineStr">
        <is>
          <t>3.1</t>
        </is>
      </c>
      <c r="J982" t="inlineStr">
        <is>
          <t>Ventas HoReCa</t>
        </is>
      </c>
      <c r="K982" t="inlineStr">
        <is>
          <t>CH1</t>
        </is>
      </c>
    </row>
    <row r="983">
      <c r="A983" s="33" t="n">
        <v>45757</v>
      </c>
      <c r="B983" t="inlineStr">
        <is>
          <t>2025-04</t>
        </is>
      </c>
      <c r="C983" t="inlineStr">
        <is>
          <t>CAFÉ UNDER SPA</t>
        </is>
      </c>
      <c r="D983" t="inlineStr">
        <is>
          <t>HORECA CAFETERIA</t>
        </is>
      </c>
      <c r="E983" s="34" t="n">
        <v>63990</v>
      </c>
      <c r="F983" t="inlineStr">
        <is>
          <t>F</t>
        </is>
      </c>
      <c r="G983" s="34" t="n">
        <v>10217</v>
      </c>
      <c r="H983" s="34" t="n">
        <v>53773</v>
      </c>
      <c r="I983" t="inlineStr">
        <is>
          <t>3.1</t>
        </is>
      </c>
      <c r="J983" t="inlineStr">
        <is>
          <t>Ventas HoReCa</t>
        </is>
      </c>
      <c r="K983" t="inlineStr">
        <is>
          <t>CH1</t>
        </is>
      </c>
    </row>
    <row r="984">
      <c r="A984" s="33" t="n">
        <v>45757</v>
      </c>
      <c r="B984" t="inlineStr">
        <is>
          <t>2025-04</t>
        </is>
      </c>
      <c r="C984" t="inlineStr">
        <is>
          <t>D&amp;S SERVICIOS DE ALIMENTACIÓN SpA</t>
        </is>
      </c>
      <c r="D984" t="inlineStr">
        <is>
          <t xml:space="preserve">THE COFFEE STORE </t>
        </is>
      </c>
      <c r="E984" s="34" t="n">
        <v>37977</v>
      </c>
      <c r="F984" t="inlineStr">
        <is>
          <t>F</t>
        </is>
      </c>
      <c r="G984" s="34" t="n">
        <v>6064</v>
      </c>
      <c r="H984" s="34" t="n">
        <v>31913</v>
      </c>
      <c r="I984" t="inlineStr">
        <is>
          <t>3.1</t>
        </is>
      </c>
      <c r="J984" t="inlineStr">
        <is>
          <t>Ventas HoReCa</t>
        </is>
      </c>
      <c r="K984" t="inlineStr">
        <is>
          <t>CH1</t>
        </is>
      </c>
    </row>
    <row r="985">
      <c r="A985" s="33" t="n">
        <v>45757</v>
      </c>
      <c r="B985" t="inlineStr">
        <is>
          <t>2025-04</t>
        </is>
      </c>
      <c r="C985" t="inlineStr">
        <is>
          <t>OH SOME SPA</t>
        </is>
      </c>
      <c r="D985" t="inlineStr">
        <is>
          <t>HORECA CAFETERIA</t>
        </is>
      </c>
      <c r="E985" s="34" t="n">
        <v>116790</v>
      </c>
      <c r="F985" t="inlineStr">
        <is>
          <t>F</t>
        </is>
      </c>
      <c r="G985" s="34" t="n">
        <v>18647</v>
      </c>
      <c r="H985" s="34" t="n">
        <v>98143</v>
      </c>
      <c r="I985" t="inlineStr">
        <is>
          <t>3.1</t>
        </is>
      </c>
      <c r="J985" t="inlineStr">
        <is>
          <t>Ventas HoReCa</t>
        </is>
      </c>
      <c r="K985" t="inlineStr">
        <is>
          <t>CH1</t>
        </is>
      </c>
    </row>
    <row r="986">
      <c r="A986" s="33" t="n">
        <v>45757</v>
      </c>
      <c r="B986" t="inlineStr">
        <is>
          <t>2025-04</t>
        </is>
      </c>
      <c r="C986" t="inlineStr">
        <is>
          <t>OPA SPA</t>
        </is>
      </c>
      <c r="D986" t="inlineStr">
        <is>
          <t>HORECA CAFETERIA</t>
        </is>
      </c>
      <c r="E986" s="34" t="n">
        <v>60000</v>
      </c>
      <c r="F986" t="inlineStr">
        <is>
          <t>F</t>
        </is>
      </c>
      <c r="G986" s="34" t="n">
        <v>9580</v>
      </c>
      <c r="H986" s="34" t="n">
        <v>50420</v>
      </c>
      <c r="I986" t="inlineStr">
        <is>
          <t>3.1</t>
        </is>
      </c>
      <c r="J986" t="inlineStr">
        <is>
          <t>Ventas HoReCa</t>
        </is>
      </c>
      <c r="K986" t="inlineStr">
        <is>
          <t>CH1</t>
        </is>
      </c>
    </row>
    <row r="987">
      <c r="A987" s="33" t="n">
        <v>45757</v>
      </c>
      <c r="B987" t="inlineStr">
        <is>
          <t>2025-04</t>
        </is>
      </c>
      <c r="C987" t="inlineStr">
        <is>
          <t>Cami Salas</t>
        </is>
      </c>
      <c r="D987" t="inlineStr">
        <is>
          <t>SALSAS</t>
        </is>
      </c>
      <c r="E987" s="34" t="n">
        <v>29800</v>
      </c>
      <c r="F987" t="inlineStr">
        <is>
          <t>B</t>
        </is>
      </c>
      <c r="G987" s="34" t="n">
        <v>4758</v>
      </c>
      <c r="H987" s="34" t="n">
        <v>25042</v>
      </c>
      <c r="I987" t="inlineStr">
        <is>
          <t>3.2</t>
        </is>
      </c>
      <c r="J987" t="inlineStr">
        <is>
          <t>Ventas Personas (B2C)</t>
        </is>
      </c>
      <c r="K987" t="inlineStr">
        <is>
          <t>CH2</t>
        </is>
      </c>
    </row>
    <row r="988">
      <c r="A988" s="33" t="n">
        <v>45757</v>
      </c>
      <c r="B988" t="inlineStr">
        <is>
          <t>2025-04</t>
        </is>
      </c>
      <c r="C988" t="inlineStr">
        <is>
          <t>Laura Rojas González</t>
        </is>
      </c>
      <c r="D988" t="inlineStr">
        <is>
          <t>CANELÉ TRADICIONAL</t>
        </is>
      </c>
      <c r="E988" s="34" t="n">
        <v>38789</v>
      </c>
      <c r="F988" t="inlineStr">
        <is>
          <t>B</t>
        </is>
      </c>
      <c r="G988" s="34" t="n">
        <v>6193</v>
      </c>
      <c r="H988" s="34" t="n">
        <v>32596</v>
      </c>
      <c r="I988" t="inlineStr">
        <is>
          <t>3.2</t>
        </is>
      </c>
      <c r="J988" t="inlineStr">
        <is>
          <t>Ventas Personas (B2C)</t>
        </is>
      </c>
      <c r="K988" t="inlineStr">
        <is>
          <t>CH2</t>
        </is>
      </c>
    </row>
    <row r="989">
      <c r="A989" s="33" t="n">
        <v>45757</v>
      </c>
      <c r="B989" t="inlineStr">
        <is>
          <t>2025-04</t>
        </is>
      </c>
      <c r="C989" t="inlineStr">
        <is>
          <t>Claudia Larenas</t>
        </is>
      </c>
      <c r="D989" t="inlineStr">
        <is>
          <t>Petit Crunchy</t>
        </is>
      </c>
      <c r="E989" s="34" t="n">
        <v>26769</v>
      </c>
      <c r="F989" t="inlineStr">
        <is>
          <t>B</t>
        </is>
      </c>
      <c r="G989" s="34" t="n">
        <v>4274</v>
      </c>
      <c r="H989" s="34" t="n">
        <v>22495</v>
      </c>
      <c r="I989" t="inlineStr">
        <is>
          <t>3.2</t>
        </is>
      </c>
      <c r="J989" t="inlineStr">
        <is>
          <t>Ventas Personas (B2C)</t>
        </is>
      </c>
      <c r="K989" t="inlineStr">
        <is>
          <t>CH2</t>
        </is>
      </c>
    </row>
    <row r="990">
      <c r="A990" s="33" t="n">
        <v>45757</v>
      </c>
      <c r="B990" t="inlineStr">
        <is>
          <t>2025-04</t>
        </is>
      </c>
      <c r="C990" t="inlineStr">
        <is>
          <t>Dominique Hierard</t>
        </is>
      </c>
      <c r="D990" t="inlineStr">
        <is>
          <t>CANELÉ TRADICIONAL</t>
        </is>
      </c>
      <c r="E990" s="34" t="n">
        <v>40779</v>
      </c>
      <c r="F990" t="inlineStr">
        <is>
          <t>B</t>
        </is>
      </c>
      <c r="G990" s="34" t="n">
        <v>6511</v>
      </c>
      <c r="H990" s="34" t="n">
        <v>34268</v>
      </c>
      <c r="I990" t="inlineStr">
        <is>
          <t>3.2</t>
        </is>
      </c>
      <c r="J990" t="inlineStr">
        <is>
          <t>Ventas Personas (B2C)</t>
        </is>
      </c>
      <c r="K990" t="inlineStr">
        <is>
          <t>CH2</t>
        </is>
      </c>
    </row>
    <row r="991">
      <c r="A991" s="33" t="n">
        <v>45757</v>
      </c>
      <c r="B991" t="inlineStr">
        <is>
          <t>2025-04</t>
        </is>
      </c>
      <c r="C991" t="inlineStr">
        <is>
          <t>Sin cliente</t>
        </is>
      </c>
      <c r="D991" t="inlineStr">
        <is>
          <t>PLATAFORMAS RAP-PEYA-UBER-GOOD</t>
        </is>
      </c>
      <c r="E991" s="34" t="n">
        <v>14382</v>
      </c>
      <c r="F991" t="inlineStr">
        <is>
          <t>B</t>
        </is>
      </c>
      <c r="G991" s="34" t="n">
        <v>2296</v>
      </c>
      <c r="H991" s="34" t="n">
        <v>12086</v>
      </c>
      <c r="I991" t="inlineStr">
        <is>
          <t>3.6</t>
        </is>
      </c>
      <c r="J991" t="inlineStr">
        <is>
          <t>Ventas Delivery Apps</t>
        </is>
      </c>
      <c r="K991" t="inlineStr">
        <is>
          <t>CH3</t>
        </is>
      </c>
    </row>
    <row r="992">
      <c r="A992" s="33" t="n">
        <v>45757</v>
      </c>
      <c r="B992" t="inlineStr">
        <is>
          <t>2025-04</t>
        </is>
      </c>
      <c r="C992" t="inlineStr">
        <is>
          <t>Sin cliente</t>
        </is>
      </c>
      <c r="D992" t="inlineStr">
        <is>
          <t>Petit Tradicional</t>
        </is>
      </c>
      <c r="E992" s="34" t="n">
        <v>10320</v>
      </c>
      <c r="F992" t="inlineStr">
        <is>
          <t>B</t>
        </is>
      </c>
      <c r="G992" s="34" t="n">
        <v>1648</v>
      </c>
      <c r="H992" s="34" t="n">
        <v>8672</v>
      </c>
      <c r="I992" t="inlineStr">
        <is>
          <t>3.2</t>
        </is>
      </c>
      <c r="J992" t="inlineStr">
        <is>
          <t>Ventas Personas (B2C)</t>
        </is>
      </c>
      <c r="K992" t="inlineStr">
        <is>
          <t>CH2</t>
        </is>
      </c>
    </row>
    <row r="993">
      <c r="A993" s="33" t="n">
        <v>45757</v>
      </c>
      <c r="B993" t="inlineStr">
        <is>
          <t>2025-04</t>
        </is>
      </c>
      <c r="C993" t="inlineStr">
        <is>
          <t>Jorge León</t>
        </is>
      </c>
      <c r="D993" t="inlineStr">
        <is>
          <t>Pascua de Resurrección</t>
        </is>
      </c>
      <c r="E993" s="34" t="n">
        <v>18890</v>
      </c>
      <c r="F993" t="inlineStr">
        <is>
          <t>B</t>
        </is>
      </c>
      <c r="G993" s="34" t="n">
        <v>3016</v>
      </c>
      <c r="H993" s="34" t="n">
        <v>15874</v>
      </c>
      <c r="I993" t="inlineStr">
        <is>
          <t>3.2</t>
        </is>
      </c>
      <c r="J993" t="inlineStr">
        <is>
          <t>Ventas Personas (B2C)</t>
        </is>
      </c>
      <c r="K993" t="inlineStr">
        <is>
          <t>CH2</t>
        </is>
      </c>
    </row>
    <row r="994">
      <c r="A994" s="33" t="n">
        <v>45757</v>
      </c>
      <c r="B994" t="inlineStr">
        <is>
          <t>2025-04</t>
        </is>
      </c>
      <c r="C994" t="inlineStr">
        <is>
          <t>Valentina Jofré</t>
        </is>
      </c>
      <c r="D994" t="inlineStr">
        <is>
          <t>Petit Tradicional</t>
        </is>
      </c>
      <c r="E994" s="34" t="n">
        <v>15600</v>
      </c>
      <c r="F994" t="inlineStr">
        <is>
          <t>B</t>
        </is>
      </c>
      <c r="G994" s="34" t="n">
        <v>2491</v>
      </c>
      <c r="H994" s="34" t="n">
        <v>13109</v>
      </c>
      <c r="I994" t="inlineStr">
        <is>
          <t>3.2</t>
        </is>
      </c>
      <c r="J994" t="inlineStr">
        <is>
          <t>Ventas Personas (B2C)</t>
        </is>
      </c>
      <c r="K994" t="inlineStr">
        <is>
          <t>CH2</t>
        </is>
      </c>
    </row>
    <row r="995">
      <c r="A995" s="33" t="n">
        <v>45757</v>
      </c>
      <c r="B995" t="inlineStr">
        <is>
          <t>2025-04</t>
        </is>
      </c>
      <c r="C995" t="inlineStr">
        <is>
          <t>Gisela Awad</t>
        </is>
      </c>
      <c r="D995" t="inlineStr">
        <is>
          <t>Pascua de Resurrección</t>
        </is>
      </c>
      <c r="E995" s="34" t="n">
        <v>94328</v>
      </c>
      <c r="F995" t="inlineStr">
        <is>
          <t>B</t>
        </is>
      </c>
      <c r="G995" s="34" t="n">
        <v>15061</v>
      </c>
      <c r="H995" s="34" t="n">
        <v>79267</v>
      </c>
      <c r="I995" t="inlineStr">
        <is>
          <t>3.2</t>
        </is>
      </c>
      <c r="J995" t="inlineStr">
        <is>
          <t>Ventas Personas (B2C)</t>
        </is>
      </c>
      <c r="K995" t="inlineStr">
        <is>
          <t>CH2</t>
        </is>
      </c>
    </row>
    <row r="996">
      <c r="A996" s="33" t="n">
        <v>45758</v>
      </c>
      <c r="B996" t="inlineStr">
        <is>
          <t>2025-04</t>
        </is>
      </c>
      <c r="C996" t="inlineStr">
        <is>
          <t>Juli martinez deza</t>
        </is>
      </c>
      <c r="D996" t="inlineStr">
        <is>
          <t>Pascua de Resurrección</t>
        </is>
      </c>
      <c r="E996" s="34" t="n">
        <v>78490</v>
      </c>
      <c r="F996" t="inlineStr">
        <is>
          <t>B</t>
        </is>
      </c>
      <c r="G996" s="34" t="n">
        <v>12532</v>
      </c>
      <c r="H996" s="34" t="n">
        <v>65958</v>
      </c>
      <c r="I996" t="inlineStr">
        <is>
          <t>3.2</t>
        </is>
      </c>
      <c r="J996" t="inlineStr">
        <is>
          <t>Ventas Personas (B2C)</t>
        </is>
      </c>
      <c r="K996" t="inlineStr">
        <is>
          <t>CH2</t>
        </is>
      </c>
    </row>
    <row r="997">
      <c r="A997" s="33" t="n">
        <v>45758</v>
      </c>
      <c r="B997" t="inlineStr">
        <is>
          <t>2025-04</t>
        </is>
      </c>
      <c r="C997" t="inlineStr">
        <is>
          <t>POMPON SPA</t>
        </is>
      </c>
      <c r="D997" t="inlineStr">
        <is>
          <t>HORECA CAFETERIA</t>
        </is>
      </c>
      <c r="E997" s="34" t="n">
        <v>220150</v>
      </c>
      <c r="F997" t="inlineStr">
        <is>
          <t>F</t>
        </is>
      </c>
      <c r="G997" s="34" t="n">
        <v>35150</v>
      </c>
      <c r="H997" s="34" t="n">
        <v>185000</v>
      </c>
      <c r="I997" t="inlineStr">
        <is>
          <t>3.1</t>
        </is>
      </c>
      <c r="J997" t="inlineStr">
        <is>
          <t>Ventas HoReCa</t>
        </is>
      </c>
      <c r="K997" t="inlineStr">
        <is>
          <t>CH1</t>
        </is>
      </c>
    </row>
    <row r="998">
      <c r="A998" s="33" t="n">
        <v>45758</v>
      </c>
      <c r="B998" t="inlineStr">
        <is>
          <t>2025-04</t>
        </is>
      </c>
      <c r="C998" t="inlineStr">
        <is>
          <t>Jorge León</t>
        </is>
      </c>
      <c r="D998" t="inlineStr">
        <is>
          <t>Petit Crunchy</t>
        </is>
      </c>
      <c r="E998" s="34" t="n">
        <v>25900</v>
      </c>
      <c r="F998" t="inlineStr">
        <is>
          <t>B</t>
        </is>
      </c>
      <c r="G998" s="34" t="n">
        <v>4135</v>
      </c>
      <c r="H998" s="34" t="n">
        <v>21765</v>
      </c>
      <c r="I998" t="inlineStr">
        <is>
          <t>3.2</t>
        </is>
      </c>
      <c r="J998" t="inlineStr">
        <is>
          <t>Ventas Personas (B2C)</t>
        </is>
      </c>
      <c r="K998" t="inlineStr">
        <is>
          <t>CH2</t>
        </is>
      </c>
    </row>
    <row r="999">
      <c r="A999" s="33" t="n">
        <v>45758</v>
      </c>
      <c r="B999" t="inlineStr">
        <is>
          <t>2025-04</t>
        </is>
      </c>
      <c r="C999" t="inlineStr">
        <is>
          <t>Better Food Spa</t>
        </is>
      </c>
      <c r="D999" t="inlineStr">
        <is>
          <t>HORECA CAFETERIA</t>
        </is>
      </c>
      <c r="E999" s="34" t="n">
        <v>599760</v>
      </c>
      <c r="F999" t="inlineStr">
        <is>
          <t>F</t>
        </is>
      </c>
      <c r="G999" s="34" t="n">
        <v>95760</v>
      </c>
      <c r="H999" s="34" t="n">
        <v>504000</v>
      </c>
      <c r="I999" t="inlineStr">
        <is>
          <t>3.1</t>
        </is>
      </c>
      <c r="J999" t="inlineStr">
        <is>
          <t>Ventas HoReCa</t>
        </is>
      </c>
      <c r="K999" t="inlineStr">
        <is>
          <t>CH1</t>
        </is>
      </c>
    </row>
    <row r="1000">
      <c r="A1000" s="33" t="n">
        <v>45758</v>
      </c>
      <c r="B1000" t="inlineStr">
        <is>
          <t>2025-04</t>
        </is>
      </c>
      <c r="C1000" t="inlineStr">
        <is>
          <t>GALVEZ Y HEUSSER SPA</t>
        </is>
      </c>
      <c r="D1000" t="inlineStr">
        <is>
          <t>HORECA CATERING</t>
        </is>
      </c>
      <c r="E1000" s="34" t="n">
        <v>139766</v>
      </c>
      <c r="F1000" t="inlineStr">
        <is>
          <t>F</t>
        </is>
      </c>
      <c r="G1000" s="34" t="n">
        <v>22316</v>
      </c>
      <c r="H1000" s="34" t="n">
        <v>117450</v>
      </c>
      <c r="I1000" t="inlineStr">
        <is>
          <t>3.1</t>
        </is>
      </c>
      <c r="J1000" t="inlineStr">
        <is>
          <t>Ventas HoReCa</t>
        </is>
      </c>
      <c r="K1000" t="inlineStr">
        <is>
          <t>CH1</t>
        </is>
      </c>
    </row>
    <row r="1001">
      <c r="A1001" s="33" t="n">
        <v>45758</v>
      </c>
      <c r="B1001" t="inlineStr">
        <is>
          <t>2025-04</t>
        </is>
      </c>
      <c r="C1001" t="inlineStr">
        <is>
          <t>Sin cliente</t>
        </is>
      </c>
      <c r="D1001" t="inlineStr">
        <is>
          <t>Petit Crunchy</t>
        </is>
      </c>
      <c r="E1001" s="34" t="n">
        <v>67490</v>
      </c>
      <c r="F1001" t="inlineStr">
        <is>
          <t>B</t>
        </is>
      </c>
      <c r="G1001" s="34" t="n">
        <v>10776</v>
      </c>
      <c r="H1001" s="34" t="n">
        <v>56714</v>
      </c>
      <c r="I1001" t="inlineStr">
        <is>
          <t>3.2</t>
        </is>
      </c>
      <c r="J1001" t="inlineStr">
        <is>
          <t>Ventas Personas (B2C)</t>
        </is>
      </c>
      <c r="K1001" t="inlineStr">
        <is>
          <t>CH2</t>
        </is>
      </c>
    </row>
    <row r="1002">
      <c r="A1002" s="33" t="n">
        <v>45758</v>
      </c>
      <c r="B1002" t="inlineStr">
        <is>
          <t>2025-04</t>
        </is>
      </c>
      <c r="C1002" t="inlineStr">
        <is>
          <t>RATIO COFFEE COMPANY SPA</t>
        </is>
      </c>
      <c r="D1002" t="inlineStr">
        <is>
          <t>HORECA CAFETERIA</t>
        </is>
      </c>
      <c r="E1002" s="34" t="n">
        <v>179710</v>
      </c>
      <c r="F1002" t="inlineStr">
        <is>
          <t>F</t>
        </is>
      </c>
      <c r="G1002" s="34" t="n">
        <v>28693</v>
      </c>
      <c r="H1002" s="34" t="n">
        <v>151017</v>
      </c>
      <c r="I1002" t="inlineStr">
        <is>
          <t>3.1</t>
        </is>
      </c>
      <c r="J1002" t="inlineStr">
        <is>
          <t>Ventas HoReCa</t>
        </is>
      </c>
      <c r="K1002" t="inlineStr">
        <is>
          <t>CH1</t>
        </is>
      </c>
    </row>
    <row r="1003">
      <c r="A1003" s="33" t="n">
        <v>45758</v>
      </c>
      <c r="B1003" t="inlineStr">
        <is>
          <t>2025-04</t>
        </is>
      </c>
      <c r="C1003" t="inlineStr">
        <is>
          <t>VILAS BANQUETERIAS SPA</t>
        </is>
      </c>
      <c r="D1003" t="inlineStr">
        <is>
          <t>HORECA CATERING</t>
        </is>
      </c>
      <c r="E1003" s="34" t="n">
        <v>130130</v>
      </c>
      <c r="F1003" t="inlineStr">
        <is>
          <t>F</t>
        </is>
      </c>
      <c r="G1003" s="34" t="n">
        <v>20777</v>
      </c>
      <c r="H1003" s="34" t="n">
        <v>109353</v>
      </c>
      <c r="I1003" t="inlineStr">
        <is>
          <t>3.1</t>
        </is>
      </c>
      <c r="J1003" t="inlineStr">
        <is>
          <t>Ventas HoReCa</t>
        </is>
      </c>
      <c r="K1003" t="inlineStr">
        <is>
          <t>CH1</t>
        </is>
      </c>
    </row>
    <row r="1004">
      <c r="A1004" s="33" t="n">
        <v>45758</v>
      </c>
      <c r="B1004" t="inlineStr">
        <is>
          <t>2025-04</t>
        </is>
      </c>
      <c r="C1004" t="inlineStr">
        <is>
          <t>CAFE DIARIO ENCOMENDEROS SPA</t>
        </is>
      </c>
      <c r="D1004" t="inlineStr">
        <is>
          <t>HORECA CAFETERIA</t>
        </is>
      </c>
      <c r="E1004" s="34" t="n">
        <v>82830</v>
      </c>
      <c r="F1004" t="inlineStr">
        <is>
          <t>F</t>
        </is>
      </c>
      <c r="G1004" s="34" t="n">
        <v>13225</v>
      </c>
      <c r="H1004" s="34" t="n">
        <v>69605</v>
      </c>
      <c r="I1004" t="inlineStr">
        <is>
          <t>3.1</t>
        </is>
      </c>
      <c r="J1004" t="inlineStr">
        <is>
          <t>Ventas HoReCa</t>
        </is>
      </c>
      <c r="K1004" t="inlineStr">
        <is>
          <t>CH1</t>
        </is>
      </c>
    </row>
    <row r="1005">
      <c r="A1005" s="33" t="n">
        <v>45758</v>
      </c>
      <c r="B1005" t="inlineStr">
        <is>
          <t>2025-04</t>
        </is>
      </c>
      <c r="C1005" t="inlineStr">
        <is>
          <t>Myrna Gracia Manzano</t>
        </is>
      </c>
      <c r="D1005" t="inlineStr">
        <is>
          <t>Petit Crunchy</t>
        </is>
      </c>
      <c r="E1005" s="34" t="n">
        <v>52290</v>
      </c>
      <c r="F1005" t="inlineStr">
        <is>
          <t>B</t>
        </is>
      </c>
      <c r="G1005" s="34" t="n">
        <v>8349</v>
      </c>
      <c r="H1005" s="34" t="n">
        <v>43941</v>
      </c>
      <c r="I1005" t="inlineStr">
        <is>
          <t>3.2</t>
        </is>
      </c>
      <c r="J1005" t="inlineStr">
        <is>
          <t>Ventas Personas (B2C)</t>
        </is>
      </c>
      <c r="K1005" t="inlineStr">
        <is>
          <t>CH2</t>
        </is>
      </c>
    </row>
    <row r="1006">
      <c r="A1006" s="33" t="n">
        <v>45758</v>
      </c>
      <c r="B1006" t="inlineStr">
        <is>
          <t>2025-04</t>
        </is>
      </c>
      <c r="C1006" t="inlineStr">
        <is>
          <t>Inversiones Nagua SPA</t>
        </is>
      </c>
      <c r="D1006" t="inlineStr">
        <is>
          <t>HORECA CAFETERIA</t>
        </is>
      </c>
      <c r="E1006" s="34" t="n">
        <v>63990</v>
      </c>
      <c r="F1006" t="inlineStr">
        <is>
          <t>F</t>
        </is>
      </c>
      <c r="G1006" s="34" t="n">
        <v>10217</v>
      </c>
      <c r="H1006" s="34" t="n">
        <v>53773</v>
      </c>
      <c r="I1006" t="inlineStr">
        <is>
          <t>3.1</t>
        </is>
      </c>
      <c r="J1006" t="inlineStr">
        <is>
          <t>Ventas HoReCa</t>
        </is>
      </c>
      <c r="K1006" t="inlineStr">
        <is>
          <t>CH1</t>
        </is>
      </c>
    </row>
    <row r="1007">
      <c r="A1007" s="33" t="n">
        <v>45758</v>
      </c>
      <c r="B1007" t="inlineStr">
        <is>
          <t>2025-04</t>
        </is>
      </c>
      <c r="C1007" t="inlineStr">
        <is>
          <t>Anderson Miguel Gomez Quiroz</t>
        </is>
      </c>
      <c r="D1007" t="inlineStr">
        <is>
          <t>Petit Crunchy</t>
        </is>
      </c>
      <c r="E1007" s="34" t="n">
        <v>29665</v>
      </c>
      <c r="F1007" t="inlineStr">
        <is>
          <t>B</t>
        </is>
      </c>
      <c r="G1007" s="34" t="n">
        <v>4736</v>
      </c>
      <c r="H1007" s="34" t="n">
        <v>24929</v>
      </c>
      <c r="I1007" t="inlineStr">
        <is>
          <t>3.2</t>
        </is>
      </c>
      <c r="J1007" t="inlineStr">
        <is>
          <t>Ventas Personas (B2C)</t>
        </is>
      </c>
      <c r="K1007" t="inlineStr">
        <is>
          <t>CH2</t>
        </is>
      </c>
    </row>
    <row r="1008">
      <c r="A1008" s="33" t="n">
        <v>45758</v>
      </c>
      <c r="B1008" t="inlineStr">
        <is>
          <t>2025-04</t>
        </is>
      </c>
      <c r="C1008" t="inlineStr">
        <is>
          <t>Joaquin Cortes Olea</t>
        </is>
      </c>
      <c r="D1008" t="inlineStr">
        <is>
          <t>Pascua de Resurrección</t>
        </is>
      </c>
      <c r="E1008" s="34" t="n">
        <v>18890</v>
      </c>
      <c r="F1008" t="inlineStr">
        <is>
          <t>B</t>
        </is>
      </c>
      <c r="G1008" s="34" t="n">
        <v>3016</v>
      </c>
      <c r="H1008" s="34" t="n">
        <v>15874</v>
      </c>
      <c r="I1008" t="inlineStr">
        <is>
          <t>3.2</t>
        </is>
      </c>
      <c r="J1008" t="inlineStr">
        <is>
          <t>Ventas Personas (B2C)</t>
        </is>
      </c>
      <c r="K1008" t="inlineStr">
        <is>
          <t>CH2</t>
        </is>
      </c>
    </row>
    <row r="1009">
      <c r="A1009" s="33" t="n">
        <v>45758</v>
      </c>
      <c r="B1009" t="inlineStr">
        <is>
          <t>2025-04</t>
        </is>
      </c>
      <c r="C1009" t="inlineStr">
        <is>
          <t>Lucila Castillo</t>
        </is>
      </c>
      <c r="D1009" t="inlineStr">
        <is>
          <t>Petit Tradicional</t>
        </is>
      </c>
      <c r="E1009" s="34" t="n">
        <v>15599</v>
      </c>
      <c r="F1009" t="inlineStr">
        <is>
          <t>B</t>
        </is>
      </c>
      <c r="G1009" s="34" t="n">
        <v>2491</v>
      </c>
      <c r="H1009" s="34" t="n">
        <v>13108</v>
      </c>
      <c r="I1009" t="inlineStr">
        <is>
          <t>3.2</t>
        </is>
      </c>
      <c r="J1009" t="inlineStr">
        <is>
          <t>Ventas Personas (B2C)</t>
        </is>
      </c>
      <c r="K1009" t="inlineStr">
        <is>
          <t>CH2</t>
        </is>
      </c>
    </row>
    <row r="1010">
      <c r="A1010" s="33" t="n">
        <v>45758</v>
      </c>
      <c r="B1010" t="inlineStr">
        <is>
          <t>2025-04</t>
        </is>
      </c>
      <c r="C1010" t="inlineStr">
        <is>
          <t>Sin cliente</t>
        </is>
      </c>
      <c r="D1010" t="inlineStr">
        <is>
          <t>Delicatessen</t>
        </is>
      </c>
      <c r="E1010" s="34" t="n">
        <v>26700</v>
      </c>
      <c r="F1010" t="inlineStr">
        <is>
          <t>B</t>
        </is>
      </c>
      <c r="G1010" s="34" t="n">
        <v>4263</v>
      </c>
      <c r="H1010" s="34" t="n">
        <v>22437</v>
      </c>
      <c r="I1010" t="inlineStr">
        <is>
          <t>3.2</t>
        </is>
      </c>
      <c r="J1010" t="inlineStr">
        <is>
          <t>Ventas Personas (B2C)</t>
        </is>
      </c>
      <c r="K1010" t="inlineStr">
        <is>
          <t>CH2</t>
        </is>
      </c>
    </row>
    <row r="1011">
      <c r="A1011" s="33" t="n">
        <v>45758</v>
      </c>
      <c r="B1011" t="inlineStr">
        <is>
          <t>2025-04</t>
        </is>
      </c>
      <c r="C1011" t="inlineStr">
        <is>
          <t>Mariana Varanda</t>
        </is>
      </c>
      <c r="D1011" t="inlineStr">
        <is>
          <t>Petit Tradicional</t>
        </is>
      </c>
      <c r="E1011" s="34" t="n">
        <v>24890</v>
      </c>
      <c r="F1011" t="inlineStr">
        <is>
          <t>B</t>
        </is>
      </c>
      <c r="G1011" s="34" t="n">
        <v>3974</v>
      </c>
      <c r="H1011" s="34" t="n">
        <v>20916</v>
      </c>
      <c r="I1011" t="inlineStr">
        <is>
          <t>3.2</t>
        </is>
      </c>
      <c r="J1011" t="inlineStr">
        <is>
          <t>Ventas Personas (B2C)</t>
        </is>
      </c>
      <c r="K1011" t="inlineStr">
        <is>
          <t>CH2</t>
        </is>
      </c>
    </row>
    <row r="1012">
      <c r="A1012" s="33" t="n">
        <v>45759</v>
      </c>
      <c r="B1012" t="inlineStr">
        <is>
          <t>2025-04</t>
        </is>
      </c>
      <c r="C1012" t="inlineStr">
        <is>
          <t>RC BANQUETERIA SPA</t>
        </is>
      </c>
      <c r="D1012" t="inlineStr">
        <is>
          <t>HORECA CATERING</t>
        </is>
      </c>
      <c r="E1012" s="34" t="n">
        <v>50222</v>
      </c>
      <c r="F1012" t="inlineStr">
        <is>
          <t>F</t>
        </is>
      </c>
      <c r="G1012" s="34" t="n">
        <v>8019</v>
      </c>
      <c r="H1012" s="34" t="n">
        <v>42203</v>
      </c>
      <c r="I1012" t="inlineStr">
        <is>
          <t>3.1</t>
        </is>
      </c>
      <c r="J1012" t="inlineStr">
        <is>
          <t>Ventas HoReCa</t>
        </is>
      </c>
      <c r="K1012" t="inlineStr">
        <is>
          <t>CH1</t>
        </is>
      </c>
    </row>
    <row r="1013">
      <c r="A1013" s="33" t="n">
        <v>45759</v>
      </c>
      <c r="B1013" t="inlineStr">
        <is>
          <t>2025-04</t>
        </is>
      </c>
      <c r="C1013" t="inlineStr">
        <is>
          <t>Marion Hevia</t>
        </is>
      </c>
      <c r="D1013" t="inlineStr">
        <is>
          <t>Petit Tradicional</t>
        </is>
      </c>
      <c r="E1013" s="34" t="n">
        <v>15889</v>
      </c>
      <c r="F1013" t="inlineStr">
        <is>
          <t>B</t>
        </is>
      </c>
      <c r="G1013" s="34" t="n">
        <v>2537</v>
      </c>
      <c r="H1013" s="34" t="n">
        <v>13352</v>
      </c>
      <c r="I1013" t="inlineStr">
        <is>
          <t>3.2</t>
        </is>
      </c>
      <c r="J1013" t="inlineStr">
        <is>
          <t>Ventas Personas (B2C)</t>
        </is>
      </c>
      <c r="K1013" t="inlineStr">
        <is>
          <t>CH2</t>
        </is>
      </c>
    </row>
    <row r="1014">
      <c r="A1014" s="33" t="n">
        <v>45759</v>
      </c>
      <c r="B1014" t="inlineStr">
        <is>
          <t>2025-04</t>
        </is>
      </c>
      <c r="C1014" t="inlineStr">
        <is>
          <t>Miguel Angel Morales Silva</t>
        </is>
      </c>
      <c r="D1014" t="inlineStr">
        <is>
          <t>Petit Crunchy</t>
        </is>
      </c>
      <c r="E1014" s="34" t="n">
        <v>35400</v>
      </c>
      <c r="F1014" t="inlineStr">
        <is>
          <t>B</t>
        </is>
      </c>
      <c r="G1014" s="34" t="n">
        <v>5652</v>
      </c>
      <c r="H1014" s="34" t="n">
        <v>29748</v>
      </c>
      <c r="I1014" t="inlineStr">
        <is>
          <t>3.2</t>
        </is>
      </c>
      <c r="J1014" t="inlineStr">
        <is>
          <t>Ventas Personas (B2C)</t>
        </is>
      </c>
      <c r="K1014" t="inlineStr">
        <is>
          <t>CH2</t>
        </is>
      </c>
    </row>
    <row r="1015">
      <c r="A1015" s="33" t="n">
        <v>45759</v>
      </c>
      <c r="B1015" t="inlineStr">
        <is>
          <t>2025-04</t>
        </is>
      </c>
      <c r="C1015" t="inlineStr">
        <is>
          <t>Sin cliente</t>
        </is>
      </c>
      <c r="D1015" t="inlineStr">
        <is>
          <t>CANELÉ TRADICIONAL</t>
        </is>
      </c>
      <c r="E1015" s="34" t="n">
        <v>14900</v>
      </c>
      <c r="F1015" t="inlineStr">
        <is>
          <t>B</t>
        </is>
      </c>
      <c r="G1015" s="34" t="n">
        <v>2379</v>
      </c>
      <c r="H1015" s="34" t="n">
        <v>12521</v>
      </c>
      <c r="I1015" t="inlineStr">
        <is>
          <t>3.2</t>
        </is>
      </c>
      <c r="J1015" t="inlineStr">
        <is>
          <t>Ventas Personas (B2C)</t>
        </is>
      </c>
      <c r="K1015" t="inlineStr">
        <is>
          <t>CH2</t>
        </is>
      </c>
    </row>
    <row r="1016">
      <c r="A1016" s="33" t="n">
        <v>45759</v>
      </c>
      <c r="B1016" t="inlineStr">
        <is>
          <t>2025-04</t>
        </is>
      </c>
      <c r="C1016" t="inlineStr">
        <is>
          <t>Namastheys Bastardo Pérez</t>
        </is>
      </c>
      <c r="D1016" t="inlineStr">
        <is>
          <t>Petit Crunchy</t>
        </is>
      </c>
      <c r="E1016" s="34" t="n">
        <v>17889</v>
      </c>
      <c r="F1016" t="inlineStr">
        <is>
          <t>B</t>
        </is>
      </c>
      <c r="G1016" s="34" t="n">
        <v>2856</v>
      </c>
      <c r="H1016" s="34" t="n">
        <v>15033</v>
      </c>
      <c r="I1016" t="inlineStr">
        <is>
          <t>3.2</t>
        </is>
      </c>
      <c r="J1016" t="inlineStr">
        <is>
          <t>Ventas Personas (B2C)</t>
        </is>
      </c>
      <c r="K1016" t="inlineStr">
        <is>
          <t>CH2</t>
        </is>
      </c>
    </row>
    <row r="1017">
      <c r="A1017" s="33" t="n">
        <v>45759</v>
      </c>
      <c r="B1017" t="inlineStr">
        <is>
          <t>2025-04</t>
        </is>
      </c>
      <c r="C1017" t="inlineStr">
        <is>
          <t>Paula ACEVEDO</t>
        </is>
      </c>
      <c r="D1017" t="inlineStr">
        <is>
          <t>Petit Tradicional</t>
        </is>
      </c>
      <c r="E1017" s="34" t="n">
        <v>30790</v>
      </c>
      <c r="F1017" t="inlineStr">
        <is>
          <t>B</t>
        </is>
      </c>
      <c r="G1017" s="34" t="n">
        <v>4916</v>
      </c>
      <c r="H1017" s="34" t="n">
        <v>25874</v>
      </c>
      <c r="I1017" t="inlineStr">
        <is>
          <t>3.2</t>
        </is>
      </c>
      <c r="J1017" t="inlineStr">
        <is>
          <t>Ventas Personas (B2C)</t>
        </is>
      </c>
      <c r="K1017" t="inlineStr">
        <is>
          <t>CH2</t>
        </is>
      </c>
    </row>
    <row r="1018">
      <c r="A1018" s="33" t="n">
        <v>45759</v>
      </c>
      <c r="B1018" t="inlineStr">
        <is>
          <t>2025-04</t>
        </is>
      </c>
      <c r="C1018" t="inlineStr">
        <is>
          <t>Sin cliente</t>
        </is>
      </c>
      <c r="D1018" t="inlineStr">
        <is>
          <t>CANELÉ TRADICIONAL</t>
        </is>
      </c>
      <c r="E1018" s="34" t="n">
        <v>14900</v>
      </c>
      <c r="F1018" t="inlineStr">
        <is>
          <t>B</t>
        </is>
      </c>
      <c r="G1018" s="34" t="n">
        <v>2379</v>
      </c>
      <c r="H1018" s="34" t="n">
        <v>12521</v>
      </c>
      <c r="I1018" t="inlineStr">
        <is>
          <t>3.2</t>
        </is>
      </c>
      <c r="J1018" t="inlineStr">
        <is>
          <t>Ventas Personas (B2C)</t>
        </is>
      </c>
      <c r="K1018" t="inlineStr">
        <is>
          <t>CH2</t>
        </is>
      </c>
    </row>
    <row r="1019">
      <c r="A1019" s="33" t="n">
        <v>45759</v>
      </c>
      <c r="B1019" t="inlineStr">
        <is>
          <t>2025-04</t>
        </is>
      </c>
      <c r="C1019" t="inlineStr">
        <is>
          <t>Sin cliente</t>
        </is>
      </c>
      <c r="D1019" t="inlineStr">
        <is>
          <t>PLATAFORMAS RAP-PEYA-UBER-GOOD</t>
        </is>
      </c>
      <c r="E1019" s="34" t="n">
        <v>32280</v>
      </c>
      <c r="F1019" t="inlineStr">
        <is>
          <t>B</t>
        </is>
      </c>
      <c r="G1019" s="34" t="n">
        <v>5154</v>
      </c>
      <c r="H1019" s="34" t="n">
        <v>27126</v>
      </c>
      <c r="I1019" t="inlineStr">
        <is>
          <t>3.6</t>
        </is>
      </c>
      <c r="J1019" t="inlineStr">
        <is>
          <t>Ventas Delivery Apps</t>
        </is>
      </c>
      <c r="K1019" t="inlineStr">
        <is>
          <t>CH3</t>
        </is>
      </c>
    </row>
    <row r="1020">
      <c r="A1020" s="33" t="n">
        <v>45759</v>
      </c>
      <c r="B1020" t="inlineStr">
        <is>
          <t>2025-04</t>
        </is>
      </c>
      <c r="C1020" t="inlineStr">
        <is>
          <t>Sin cliente</t>
        </is>
      </c>
      <c r="D1020" t="inlineStr">
        <is>
          <t>CANELÉ TRADICIONAL</t>
        </is>
      </c>
      <c r="E1020" s="34" t="n">
        <v>2500</v>
      </c>
      <c r="F1020" t="inlineStr">
        <is>
          <t>B</t>
        </is>
      </c>
      <c r="G1020" s="34" t="n">
        <v>399</v>
      </c>
      <c r="H1020" s="34" t="n">
        <v>2101</v>
      </c>
      <c r="I1020" t="inlineStr">
        <is>
          <t>3.2</t>
        </is>
      </c>
      <c r="J1020" t="inlineStr">
        <is>
          <t>Ventas Personas (B2C)</t>
        </is>
      </c>
      <c r="K1020" t="inlineStr">
        <is>
          <t>CH2</t>
        </is>
      </c>
    </row>
    <row r="1021">
      <c r="A1021" s="33" t="n">
        <v>45759</v>
      </c>
      <c r="B1021" t="inlineStr">
        <is>
          <t>2025-04</t>
        </is>
      </c>
      <c r="C1021" t="inlineStr">
        <is>
          <t>XAVIER WOESSEM</t>
        </is>
      </c>
      <c r="D1021" t="inlineStr">
        <is>
          <t>Petit Tradicional</t>
        </is>
      </c>
      <c r="E1021" s="34" t="n">
        <v>16889</v>
      </c>
      <c r="F1021" t="inlineStr">
        <is>
          <t>B</t>
        </is>
      </c>
      <c r="G1021" s="34" t="n">
        <v>2697</v>
      </c>
      <c r="H1021" s="34" t="n">
        <v>14192</v>
      </c>
      <c r="I1021" t="inlineStr">
        <is>
          <t>3.2</t>
        </is>
      </c>
      <c r="J1021" t="inlineStr">
        <is>
          <t>Ventas Personas (B2C)</t>
        </is>
      </c>
      <c r="K1021" t="inlineStr">
        <is>
          <t>CH2</t>
        </is>
      </c>
    </row>
    <row r="1022">
      <c r="A1022" s="33" t="n">
        <v>45759</v>
      </c>
      <c r="B1022" t="inlineStr">
        <is>
          <t>2025-04</t>
        </is>
      </c>
      <c r="C1022" t="inlineStr">
        <is>
          <t>FRANCISCA ESPINOSA</t>
        </is>
      </c>
      <c r="D1022" t="inlineStr">
        <is>
          <t>Delicatessen</t>
        </is>
      </c>
      <c r="E1022" s="34" t="n">
        <v>37736</v>
      </c>
      <c r="F1022" t="inlineStr">
        <is>
          <t>B</t>
        </is>
      </c>
      <c r="G1022" s="34" t="n">
        <v>6025</v>
      </c>
      <c r="H1022" s="34" t="n">
        <v>31711</v>
      </c>
      <c r="I1022" t="inlineStr">
        <is>
          <t>3.2</t>
        </is>
      </c>
      <c r="J1022" t="inlineStr">
        <is>
          <t>Ventas Personas (B2C)</t>
        </is>
      </c>
      <c r="K1022" t="inlineStr">
        <is>
          <t>CH2</t>
        </is>
      </c>
    </row>
    <row r="1023">
      <c r="A1023" s="33" t="n">
        <v>45759</v>
      </c>
      <c r="B1023" t="inlineStr">
        <is>
          <t>2025-04</t>
        </is>
      </c>
      <c r="C1023" t="inlineStr">
        <is>
          <t>Sin cliente</t>
        </is>
      </c>
      <c r="D1023" t="inlineStr">
        <is>
          <t>Petit Tradicional</t>
        </is>
      </c>
      <c r="E1023" s="34" t="n">
        <v>20900</v>
      </c>
      <c r="F1023" t="inlineStr">
        <is>
          <t>B</t>
        </is>
      </c>
      <c r="G1023" s="34" t="n">
        <v>3337</v>
      </c>
      <c r="H1023" s="34" t="n">
        <v>17563</v>
      </c>
      <c r="I1023" t="inlineStr">
        <is>
          <t>3.2</t>
        </is>
      </c>
      <c r="J1023" t="inlineStr">
        <is>
          <t>Ventas Personas (B2C)</t>
        </is>
      </c>
      <c r="K1023" t="inlineStr">
        <is>
          <t>CH2</t>
        </is>
      </c>
    </row>
    <row r="1024">
      <c r="A1024" s="33" t="n">
        <v>45759</v>
      </c>
      <c r="B1024" t="inlineStr">
        <is>
          <t>2025-04</t>
        </is>
      </c>
      <c r="C1024" t="inlineStr">
        <is>
          <t>Sin cliente</t>
        </is>
      </c>
      <c r="D1024" t="inlineStr">
        <is>
          <t>Petit Tradicional</t>
        </is>
      </c>
      <c r="E1024" s="34" t="n">
        <v>20900</v>
      </c>
      <c r="F1024" t="inlineStr">
        <is>
          <t>B</t>
        </is>
      </c>
      <c r="G1024" s="34" t="n">
        <v>3337</v>
      </c>
      <c r="H1024" s="34" t="n">
        <v>17563</v>
      </c>
      <c r="I1024" t="inlineStr">
        <is>
          <t>3.2</t>
        </is>
      </c>
      <c r="J1024" t="inlineStr">
        <is>
          <t>Ventas Personas (B2C)</t>
        </is>
      </c>
      <c r="K1024" t="inlineStr">
        <is>
          <t>CH2</t>
        </is>
      </c>
    </row>
    <row r="1025">
      <c r="A1025" s="33" t="n">
        <v>45761</v>
      </c>
      <c r="B1025" t="inlineStr">
        <is>
          <t>2025-04</t>
        </is>
      </c>
      <c r="C1025" t="inlineStr">
        <is>
          <t>BUSTORF LARSEN Y COMPANIA LIMITADA</t>
        </is>
      </c>
      <c r="D1025" t="inlineStr">
        <is>
          <t>HORECA CAFETERIA</t>
        </is>
      </c>
      <c r="E1025" s="34" t="n">
        <v>64990</v>
      </c>
      <c r="F1025" t="inlineStr">
        <is>
          <t>F</t>
        </is>
      </c>
      <c r="G1025" s="34" t="n">
        <v>10377</v>
      </c>
      <c r="H1025" s="34" t="n">
        <v>54613</v>
      </c>
      <c r="I1025" t="inlineStr">
        <is>
          <t>3.1</t>
        </is>
      </c>
      <c r="J1025" t="inlineStr">
        <is>
          <t>Ventas HoReCa</t>
        </is>
      </c>
      <c r="K1025" t="inlineStr">
        <is>
          <t>CH1</t>
        </is>
      </c>
    </row>
    <row r="1026">
      <c r="A1026" s="33" t="n">
        <v>45761</v>
      </c>
      <c r="B1026" t="inlineStr">
        <is>
          <t>2025-04</t>
        </is>
      </c>
      <c r="C1026" t="inlineStr">
        <is>
          <t>CAFETERÍA ALTURA LIMITADA</t>
        </is>
      </c>
      <c r="D1026" t="inlineStr">
        <is>
          <t>HORECA CAFETERIA</t>
        </is>
      </c>
      <c r="E1026" s="34" t="n">
        <v>78870</v>
      </c>
      <c r="F1026" t="inlineStr">
        <is>
          <t>F</t>
        </is>
      </c>
      <c r="G1026" s="34" t="n">
        <v>12593</v>
      </c>
      <c r="H1026" s="34" t="n">
        <v>66277</v>
      </c>
      <c r="I1026" t="inlineStr">
        <is>
          <t>3.1</t>
        </is>
      </c>
      <c r="J1026" t="inlineStr">
        <is>
          <t>Ventas HoReCa</t>
        </is>
      </c>
      <c r="K1026" t="inlineStr">
        <is>
          <t>CH1</t>
        </is>
      </c>
    </row>
    <row r="1027">
      <c r="A1027" s="33" t="n">
        <v>45761</v>
      </c>
      <c r="B1027" t="inlineStr">
        <is>
          <t>2025-04</t>
        </is>
      </c>
      <c r="C1027" t="inlineStr">
        <is>
          <t>INVERSIONES Y COMERCIALIZADORA FED LIMITADA</t>
        </is>
      </c>
      <c r="D1027" t="inlineStr">
        <is>
          <t>HORECA CAFETERIA</t>
        </is>
      </c>
      <c r="E1027" s="34" t="n">
        <v>282057</v>
      </c>
      <c r="F1027" t="inlineStr">
        <is>
          <t>F</t>
        </is>
      </c>
      <c r="G1027" s="34" t="n">
        <v>45034</v>
      </c>
      <c r="H1027" s="34" t="n">
        <v>237023</v>
      </c>
      <c r="I1027" t="inlineStr">
        <is>
          <t>3.1</t>
        </is>
      </c>
      <c r="J1027" t="inlineStr">
        <is>
          <t>Ventas HoReCa</t>
        </is>
      </c>
      <c r="K1027" t="inlineStr">
        <is>
          <t>CH1</t>
        </is>
      </c>
    </row>
    <row r="1028">
      <c r="A1028" s="33" t="n">
        <v>45761</v>
      </c>
      <c r="B1028" t="inlineStr">
        <is>
          <t>2025-04</t>
        </is>
      </c>
      <c r="C1028" t="inlineStr">
        <is>
          <t>INVERSIONES Y ASESORIAS RAVAL LIMITADA</t>
        </is>
      </c>
      <c r="D1028" t="inlineStr">
        <is>
          <t>HORECA CAFETERIA</t>
        </is>
      </c>
      <c r="E1028" s="34" t="n">
        <v>67980</v>
      </c>
      <c r="F1028" t="inlineStr">
        <is>
          <t>F</t>
        </is>
      </c>
      <c r="G1028" s="34" t="n">
        <v>10854</v>
      </c>
      <c r="H1028" s="34" t="n">
        <v>57126</v>
      </c>
      <c r="I1028" t="inlineStr">
        <is>
          <t>3.1</t>
        </is>
      </c>
      <c r="J1028" t="inlineStr">
        <is>
          <t>Ventas HoReCa</t>
        </is>
      </c>
      <c r="K1028" t="inlineStr">
        <is>
          <t>CH1</t>
        </is>
      </c>
    </row>
    <row r="1029">
      <c r="A1029" s="33" t="n">
        <v>45761</v>
      </c>
      <c r="B1029" t="inlineStr">
        <is>
          <t>2025-04</t>
        </is>
      </c>
      <c r="C1029" t="inlineStr">
        <is>
          <t>POMPON SPA</t>
        </is>
      </c>
      <c r="D1029" t="inlineStr">
        <is>
          <t>HORECA CAFETERIA</t>
        </is>
      </c>
      <c r="E1029" s="34" t="n">
        <v>132510</v>
      </c>
      <c r="F1029" t="inlineStr">
        <is>
          <t>F</t>
        </is>
      </c>
      <c r="G1029" s="34" t="n">
        <v>21157</v>
      </c>
      <c r="H1029" s="34" t="n">
        <v>111353</v>
      </c>
      <c r="I1029" t="inlineStr">
        <is>
          <t>3.1</t>
        </is>
      </c>
      <c r="J1029" t="inlineStr">
        <is>
          <t>Ventas HoReCa</t>
        </is>
      </c>
      <c r="K1029" t="inlineStr">
        <is>
          <t>CH1</t>
        </is>
      </c>
    </row>
    <row r="1030">
      <c r="A1030" s="33" t="n">
        <v>45761</v>
      </c>
      <c r="B1030" t="inlineStr">
        <is>
          <t>2025-04</t>
        </is>
      </c>
      <c r="C1030" t="inlineStr">
        <is>
          <t>Better Food Spa</t>
        </is>
      </c>
      <c r="D1030" t="inlineStr">
        <is>
          <t>HORECA CAFETERIA</t>
        </is>
      </c>
      <c r="E1030" s="34" t="n">
        <v>29988</v>
      </c>
      <c r="F1030" t="inlineStr">
        <is>
          <t>F</t>
        </is>
      </c>
      <c r="G1030" s="34" t="n">
        <v>4788</v>
      </c>
      <c r="H1030" s="34" t="n">
        <v>25200</v>
      </c>
      <c r="I1030" t="inlineStr">
        <is>
          <t>3.1</t>
        </is>
      </c>
      <c r="J1030" t="inlineStr">
        <is>
          <t>Ventas HoReCa</t>
        </is>
      </c>
      <c r="K1030" t="inlineStr">
        <is>
          <t>CH1</t>
        </is>
      </c>
    </row>
    <row r="1031">
      <c r="A1031" s="33" t="n">
        <v>45761</v>
      </c>
      <c r="B1031" t="inlineStr">
        <is>
          <t>2025-04</t>
        </is>
      </c>
      <c r="C1031" t="inlineStr">
        <is>
          <t>Better Food Spa</t>
        </is>
      </c>
      <c r="D1031" t="inlineStr">
        <is>
          <t>REGION METROPOLITANA</t>
        </is>
      </c>
      <c r="E1031" s="34" t="n">
        <v>4990</v>
      </c>
      <c r="F1031" t="inlineStr">
        <is>
          <t>F</t>
        </is>
      </c>
      <c r="G1031" s="34" t="n">
        <v>797</v>
      </c>
      <c r="H1031" s="34" t="n">
        <v>4193</v>
      </c>
      <c r="I1031" t="inlineStr">
        <is>
          <t>3.1</t>
        </is>
      </c>
      <c r="J1031" t="inlineStr">
        <is>
          <t>Ventas HoReCa</t>
        </is>
      </c>
      <c r="K1031" t="inlineStr">
        <is>
          <t>CH1</t>
        </is>
      </c>
    </row>
    <row r="1032">
      <c r="A1032" s="33" t="n">
        <v>45761</v>
      </c>
      <c r="B1032" t="inlineStr">
        <is>
          <t>2025-04</t>
        </is>
      </c>
      <c r="C1032" t="inlineStr">
        <is>
          <t>Sin cliente</t>
        </is>
      </c>
      <c r="D1032" t="inlineStr">
        <is>
          <t>Petit Tradicional</t>
        </is>
      </c>
      <c r="E1032" s="34" t="n">
        <v>8900</v>
      </c>
      <c r="F1032" t="inlineStr">
        <is>
          <t>B</t>
        </is>
      </c>
      <c r="G1032" s="34" t="n">
        <v>1421</v>
      </c>
      <c r="H1032" s="34" t="n">
        <v>7479</v>
      </c>
      <c r="I1032" t="inlineStr">
        <is>
          <t>3.2</t>
        </is>
      </c>
      <c r="J1032" t="inlineStr">
        <is>
          <t>Ventas Personas (B2C)</t>
        </is>
      </c>
      <c r="K1032" t="inlineStr">
        <is>
          <t>CH2</t>
        </is>
      </c>
    </row>
    <row r="1033">
      <c r="A1033" s="33" t="n">
        <v>45761</v>
      </c>
      <c r="B1033" t="inlineStr">
        <is>
          <t>2025-04</t>
        </is>
      </c>
      <c r="C1033" t="inlineStr">
        <is>
          <t>Sin cliente</t>
        </is>
      </c>
      <c r="D1033" t="inlineStr">
        <is>
          <t>CANELÉ TRADICIONAL</t>
        </is>
      </c>
      <c r="E1033" s="34" t="n">
        <v>69590</v>
      </c>
      <c r="F1033" t="inlineStr">
        <is>
          <t>B</t>
        </is>
      </c>
      <c r="G1033" s="34" t="n">
        <v>11111</v>
      </c>
      <c r="H1033" s="34" t="n">
        <v>58479</v>
      </c>
      <c r="I1033" t="inlineStr">
        <is>
          <t>3.2</t>
        </is>
      </c>
      <c r="J1033" t="inlineStr">
        <is>
          <t>Ventas Personas (B2C)</t>
        </is>
      </c>
      <c r="K1033" t="inlineStr">
        <is>
          <t>CH2</t>
        </is>
      </c>
    </row>
    <row r="1034">
      <c r="A1034" s="33" t="n">
        <v>45761</v>
      </c>
      <c r="B1034" t="inlineStr">
        <is>
          <t>2025-04</t>
        </is>
      </c>
      <c r="C1034" t="inlineStr">
        <is>
          <t>Loreto Castro</t>
        </is>
      </c>
      <c r="D1034" t="inlineStr">
        <is>
          <t>Pascua de Resurrección</t>
        </is>
      </c>
      <c r="E1034" s="34" t="n">
        <v>33790</v>
      </c>
      <c r="F1034" t="inlineStr">
        <is>
          <t>B</t>
        </is>
      </c>
      <c r="G1034" s="34" t="n">
        <v>5395</v>
      </c>
      <c r="H1034" s="34" t="n">
        <v>28395</v>
      </c>
      <c r="I1034" t="inlineStr">
        <is>
          <t>3.2</t>
        </is>
      </c>
      <c r="J1034" t="inlineStr">
        <is>
          <t>Ventas Personas (B2C)</t>
        </is>
      </c>
      <c r="K1034" t="inlineStr">
        <is>
          <t>CH2</t>
        </is>
      </c>
    </row>
    <row r="1035">
      <c r="A1035" s="33" t="n">
        <v>45761</v>
      </c>
      <c r="B1035" t="inlineStr">
        <is>
          <t>2025-04</t>
        </is>
      </c>
      <c r="C1035" t="inlineStr">
        <is>
          <t>Valentina Gajardo Rivera</t>
        </is>
      </c>
      <c r="D1035" t="inlineStr">
        <is>
          <t>Pascua de Resurrección</t>
        </is>
      </c>
      <c r="E1035" s="34" t="n">
        <v>14900</v>
      </c>
      <c r="F1035" t="inlineStr">
        <is>
          <t>B</t>
        </is>
      </c>
      <c r="G1035" s="34" t="n">
        <v>2379</v>
      </c>
      <c r="H1035" s="34" t="n">
        <v>12521</v>
      </c>
      <c r="I1035" t="inlineStr">
        <is>
          <t>3.2</t>
        </is>
      </c>
      <c r="J1035" t="inlineStr">
        <is>
          <t>Ventas Personas (B2C)</t>
        </is>
      </c>
      <c r="K1035" t="inlineStr">
        <is>
          <t>CH2</t>
        </is>
      </c>
    </row>
    <row r="1036">
      <c r="A1036" s="33" t="n">
        <v>45761</v>
      </c>
      <c r="B1036" t="inlineStr">
        <is>
          <t>2025-04</t>
        </is>
      </c>
      <c r="C1036" t="inlineStr">
        <is>
          <t>Maria Francisca Florez Keim</t>
        </is>
      </c>
      <c r="D1036" t="inlineStr">
        <is>
          <t>Pascua de Resurrección</t>
        </is>
      </c>
      <c r="E1036" s="34" t="n">
        <v>18890</v>
      </c>
      <c r="F1036" t="inlineStr">
        <is>
          <t>B</t>
        </is>
      </c>
      <c r="G1036" s="34" t="n">
        <v>3016</v>
      </c>
      <c r="H1036" s="34" t="n">
        <v>15874</v>
      </c>
      <c r="I1036" t="inlineStr">
        <is>
          <t>3.2</t>
        </is>
      </c>
      <c r="J1036" t="inlineStr">
        <is>
          <t>Ventas Personas (B2C)</t>
        </is>
      </c>
      <c r="K1036" t="inlineStr">
        <is>
          <t>CH2</t>
        </is>
      </c>
    </row>
    <row r="1037">
      <c r="A1037" s="33" t="n">
        <v>45762</v>
      </c>
      <c r="B1037" t="inlineStr">
        <is>
          <t>2025-04</t>
        </is>
      </c>
      <c r="C1037" t="inlineStr">
        <is>
          <t>Pablo Pacheco</t>
        </is>
      </c>
      <c r="D1037" t="inlineStr">
        <is>
          <t>CANELE SIN AZUCAR</t>
        </is>
      </c>
      <c r="E1037" s="34" t="n">
        <v>36789</v>
      </c>
      <c r="F1037" t="inlineStr">
        <is>
          <t>B</t>
        </is>
      </c>
      <c r="G1037" s="34" t="n">
        <v>5874</v>
      </c>
      <c r="H1037" s="34" t="n">
        <v>30915</v>
      </c>
      <c r="I1037" t="inlineStr">
        <is>
          <t>3.2</t>
        </is>
      </c>
      <c r="J1037" t="inlineStr">
        <is>
          <t>Ventas Personas (B2C)</t>
        </is>
      </c>
      <c r="K1037" t="inlineStr">
        <is>
          <t>CH2</t>
        </is>
      </c>
    </row>
    <row r="1038">
      <c r="A1038" s="33" t="n">
        <v>45762</v>
      </c>
      <c r="B1038" t="inlineStr">
        <is>
          <t>2025-04</t>
        </is>
      </c>
      <c r="C1038" t="inlineStr">
        <is>
          <t>INVERSIONES Y COMERCIALIZADORA FED LIMITADA</t>
        </is>
      </c>
      <c r="D1038" t="inlineStr">
        <is>
          <t>HORECA CAFETERIA</t>
        </is>
      </c>
      <c r="E1038" s="34" t="n">
        <v>129790</v>
      </c>
      <c r="F1038" t="inlineStr">
        <is>
          <t>F</t>
        </is>
      </c>
      <c r="G1038" s="34" t="n">
        <v>20723</v>
      </c>
      <c r="H1038" s="34" t="n">
        <v>109067</v>
      </c>
      <c r="I1038" t="inlineStr">
        <is>
          <t>3.1</t>
        </is>
      </c>
      <c r="J1038" t="inlineStr">
        <is>
          <t>Ventas HoReCa</t>
        </is>
      </c>
      <c r="K1038" t="inlineStr">
        <is>
          <t>CH1</t>
        </is>
      </c>
    </row>
    <row r="1039">
      <c r="A1039" s="33" t="n">
        <v>45762</v>
      </c>
      <c r="B1039" t="inlineStr">
        <is>
          <t>2025-04</t>
        </is>
      </c>
      <c r="C1039" t="inlineStr">
        <is>
          <t>HUERTO SUR LIMITADA</t>
        </is>
      </c>
      <c r="D1039" t="inlineStr">
        <is>
          <t>HORECA CAFETERIA</t>
        </is>
      </c>
      <c r="E1039" s="34" t="n">
        <v>165730</v>
      </c>
      <c r="F1039" t="inlineStr">
        <is>
          <t>F</t>
        </is>
      </c>
      <c r="G1039" s="34" t="n">
        <v>26461</v>
      </c>
      <c r="H1039" s="34" t="n">
        <v>139269</v>
      </c>
      <c r="I1039" t="inlineStr">
        <is>
          <t>3.1</t>
        </is>
      </c>
      <c r="J1039" t="inlineStr">
        <is>
          <t>Ventas HoReCa</t>
        </is>
      </c>
      <c r="K1039" t="inlineStr">
        <is>
          <t>CH1</t>
        </is>
      </c>
    </row>
    <row r="1040">
      <c r="A1040" s="33" t="n">
        <v>45762</v>
      </c>
      <c r="B1040" t="inlineStr">
        <is>
          <t>2025-04</t>
        </is>
      </c>
      <c r="C1040" t="inlineStr">
        <is>
          <t>Café del Parque SpA</t>
        </is>
      </c>
      <c r="D1040" t="inlineStr">
        <is>
          <t>HORECA CAFETERIA</t>
        </is>
      </c>
      <c r="E1040" s="34" t="n">
        <v>37548</v>
      </c>
      <c r="F1040" t="inlineStr">
        <is>
          <t>F</t>
        </is>
      </c>
      <c r="G1040" s="34" t="n">
        <v>5995</v>
      </c>
      <c r="H1040" s="34" t="n">
        <v>31553</v>
      </c>
      <c r="I1040" t="inlineStr">
        <is>
          <t>3.1</t>
        </is>
      </c>
      <c r="J1040" t="inlineStr">
        <is>
          <t>Ventas HoReCa</t>
        </is>
      </c>
      <c r="K1040" t="inlineStr">
        <is>
          <t>CH1</t>
        </is>
      </c>
    </row>
    <row r="1041">
      <c r="A1041" s="33" t="n">
        <v>45762</v>
      </c>
      <c r="B1041" t="inlineStr">
        <is>
          <t>2025-04</t>
        </is>
      </c>
      <c r="C1041" t="inlineStr">
        <is>
          <t>Francisca Ugarte</t>
        </is>
      </c>
      <c r="D1041" t="inlineStr">
        <is>
          <t>Petit Tradicional</t>
        </is>
      </c>
      <c r="E1041" s="34" t="n">
        <v>42690</v>
      </c>
      <c r="F1041" t="inlineStr">
        <is>
          <t>B</t>
        </is>
      </c>
      <c r="G1041" s="34" t="n">
        <v>6816</v>
      </c>
      <c r="H1041" s="34" t="n">
        <v>35874</v>
      </c>
      <c r="I1041" t="inlineStr">
        <is>
          <t>3.2</t>
        </is>
      </c>
      <c r="J1041" t="inlineStr">
        <is>
          <t>Ventas Personas (B2C)</t>
        </is>
      </c>
      <c r="K1041" t="inlineStr">
        <is>
          <t>CH2</t>
        </is>
      </c>
    </row>
    <row r="1042">
      <c r="A1042" s="33" t="n">
        <v>45762</v>
      </c>
      <c r="B1042" t="inlineStr">
        <is>
          <t>2025-04</t>
        </is>
      </c>
      <c r="C1042" t="inlineStr">
        <is>
          <t>Francisca Ugarte</t>
        </is>
      </c>
      <c r="D1042" t="inlineStr">
        <is>
          <t>CANELÉ TRADICIONAL</t>
        </is>
      </c>
      <c r="E1042" s="34" t="n">
        <v>25890</v>
      </c>
      <c r="F1042" t="inlineStr">
        <is>
          <t>B</t>
        </is>
      </c>
      <c r="G1042" s="34" t="n">
        <v>4134</v>
      </c>
      <c r="H1042" s="34" t="n">
        <v>21756</v>
      </c>
      <c r="I1042" t="inlineStr">
        <is>
          <t>3.2</t>
        </is>
      </c>
      <c r="J1042" t="inlineStr">
        <is>
          <t>Ventas Personas (B2C)</t>
        </is>
      </c>
      <c r="K1042" t="inlineStr">
        <is>
          <t>CH2</t>
        </is>
      </c>
    </row>
    <row r="1043">
      <c r="A1043" s="33" t="n">
        <v>45762</v>
      </c>
      <c r="B1043" t="inlineStr">
        <is>
          <t>2025-04</t>
        </is>
      </c>
      <c r="C1043" t="inlineStr">
        <is>
          <t>Tikei Didier</t>
        </is>
      </c>
      <c r="D1043" t="inlineStr">
        <is>
          <t>Delicatessen</t>
        </is>
      </c>
      <c r="E1043" s="34" t="n">
        <v>32710</v>
      </c>
      <c r="F1043" t="inlineStr">
        <is>
          <t>B</t>
        </is>
      </c>
      <c r="G1043" s="34" t="n">
        <v>5223</v>
      </c>
      <c r="H1043" s="34" t="n">
        <v>27487</v>
      </c>
      <c r="I1043" t="inlineStr">
        <is>
          <t>3.2</t>
        </is>
      </c>
      <c r="J1043" t="inlineStr">
        <is>
          <t>Ventas Personas (B2C)</t>
        </is>
      </c>
      <c r="K1043" t="inlineStr">
        <is>
          <t>CH2</t>
        </is>
      </c>
    </row>
    <row r="1044">
      <c r="A1044" s="33" t="n">
        <v>45762</v>
      </c>
      <c r="B1044" t="inlineStr">
        <is>
          <t>2025-04</t>
        </is>
      </c>
      <c r="C1044" t="inlineStr">
        <is>
          <t>Pablo Pacheco</t>
        </is>
      </c>
      <c r="D1044" t="inlineStr">
        <is>
          <t>CANELE SIN AZUCAR</t>
        </is>
      </c>
      <c r="E1044" s="34" t="n">
        <v>36789</v>
      </c>
      <c r="F1044" t="inlineStr">
        <is>
          <t>B</t>
        </is>
      </c>
      <c r="G1044" s="34" t="n">
        <v>5874</v>
      </c>
      <c r="H1044" s="34" t="n">
        <v>30915</v>
      </c>
      <c r="I1044" t="inlineStr">
        <is>
          <t>3.2</t>
        </is>
      </c>
      <c r="J1044" t="inlineStr">
        <is>
          <t>Ventas Personas (B2C)</t>
        </is>
      </c>
      <c r="K1044" t="inlineStr">
        <is>
          <t>CH2</t>
        </is>
      </c>
    </row>
    <row r="1045">
      <c r="A1045" s="33" t="n">
        <v>45762</v>
      </c>
      <c r="B1045" t="inlineStr">
        <is>
          <t>2025-04</t>
        </is>
      </c>
      <c r="C1045" t="inlineStr">
        <is>
          <t>Francisca Ugarte</t>
        </is>
      </c>
      <c r="D1045" t="inlineStr">
        <is>
          <t>CANELE SIN AZUCAR</t>
        </is>
      </c>
      <c r="E1045" s="34" t="n">
        <v>35290</v>
      </c>
      <c r="F1045" t="inlineStr">
        <is>
          <t>B</t>
        </is>
      </c>
      <c r="G1045" s="34" t="n">
        <v>5635</v>
      </c>
      <c r="H1045" s="34" t="n">
        <v>29655</v>
      </c>
      <c r="I1045" t="inlineStr">
        <is>
          <t>3.2</t>
        </is>
      </c>
      <c r="J1045" t="inlineStr">
        <is>
          <t>Ventas Personas (B2C)</t>
        </is>
      </c>
      <c r="K1045" t="inlineStr">
        <is>
          <t>CH2</t>
        </is>
      </c>
    </row>
    <row r="1046">
      <c r="A1046" s="33" t="n">
        <v>45762</v>
      </c>
      <c r="B1046" t="inlineStr">
        <is>
          <t>2025-04</t>
        </is>
      </c>
      <c r="C1046" t="inlineStr">
        <is>
          <t>Gerardo Ramirez Ulloa</t>
        </is>
      </c>
      <c r="D1046" t="inlineStr">
        <is>
          <t>Mix Sabores</t>
        </is>
      </c>
      <c r="E1046" s="34" t="n">
        <v>33790</v>
      </c>
      <c r="F1046" t="inlineStr">
        <is>
          <t>B</t>
        </is>
      </c>
      <c r="G1046" s="34" t="n">
        <v>5395</v>
      </c>
      <c r="H1046" s="34" t="n">
        <v>28395</v>
      </c>
      <c r="I1046" t="inlineStr">
        <is>
          <t>3.2</t>
        </is>
      </c>
      <c r="J1046" t="inlineStr">
        <is>
          <t>Ventas Personas (B2C)</t>
        </is>
      </c>
      <c r="K1046" t="inlineStr">
        <is>
          <t>CH2</t>
        </is>
      </c>
    </row>
    <row r="1047">
      <c r="A1047" s="33" t="n">
        <v>45762</v>
      </c>
      <c r="B1047" t="inlineStr">
        <is>
          <t>2025-04</t>
        </is>
      </c>
      <c r="C1047" t="inlineStr">
        <is>
          <t>Francisca Ramirez</t>
        </is>
      </c>
      <c r="D1047" t="inlineStr">
        <is>
          <t>Mix Sabores</t>
        </is>
      </c>
      <c r="E1047" s="34" t="n">
        <v>22800</v>
      </c>
      <c r="F1047" t="inlineStr">
        <is>
          <t>B</t>
        </is>
      </c>
      <c r="G1047" s="34" t="n">
        <v>3640</v>
      </c>
      <c r="H1047" s="34" t="n">
        <v>19160</v>
      </c>
      <c r="I1047" t="inlineStr">
        <is>
          <t>3.2</t>
        </is>
      </c>
      <c r="J1047" t="inlineStr">
        <is>
          <t>Ventas Personas (B2C)</t>
        </is>
      </c>
      <c r="K1047" t="inlineStr">
        <is>
          <t>CH2</t>
        </is>
      </c>
    </row>
    <row r="1048">
      <c r="A1048" s="33" t="n">
        <v>45762</v>
      </c>
      <c r="B1048" t="inlineStr">
        <is>
          <t>2025-04</t>
        </is>
      </c>
      <c r="C1048" t="inlineStr">
        <is>
          <t>carlos felipe james</t>
        </is>
      </c>
      <c r="D1048" t="inlineStr">
        <is>
          <t>Pascua de Resurrección</t>
        </is>
      </c>
      <c r="E1048" s="34" t="n">
        <v>13410</v>
      </c>
      <c r="F1048" t="inlineStr">
        <is>
          <t>B</t>
        </is>
      </c>
      <c r="G1048" s="34" t="n">
        <v>2141</v>
      </c>
      <c r="H1048" s="34" t="n">
        <v>11269</v>
      </c>
      <c r="I1048" t="inlineStr">
        <is>
          <t>3.2</t>
        </is>
      </c>
      <c r="J1048" t="inlineStr">
        <is>
          <t>Ventas Personas (B2C)</t>
        </is>
      </c>
      <c r="K1048" t="inlineStr">
        <is>
          <t>CH2</t>
        </is>
      </c>
    </row>
    <row r="1049">
      <c r="A1049" s="33" t="n">
        <v>45762</v>
      </c>
      <c r="B1049" t="inlineStr">
        <is>
          <t>2025-04</t>
        </is>
      </c>
      <c r="C1049" t="inlineStr">
        <is>
          <t>Felicidad Piñango Diaz</t>
        </is>
      </c>
      <c r="D1049" t="inlineStr">
        <is>
          <t>Petit Tradicional</t>
        </is>
      </c>
      <c r="E1049" s="34" t="n">
        <v>16890</v>
      </c>
      <c r="F1049" t="inlineStr">
        <is>
          <t>B</t>
        </is>
      </c>
      <c r="G1049" s="34" t="n">
        <v>2697</v>
      </c>
      <c r="H1049" s="34" t="n">
        <v>14193</v>
      </c>
      <c r="I1049" t="inlineStr">
        <is>
          <t>3.2</t>
        </is>
      </c>
      <c r="J1049" t="inlineStr">
        <is>
          <t>Ventas Personas (B2C)</t>
        </is>
      </c>
      <c r="K1049" t="inlineStr">
        <is>
          <t>CH2</t>
        </is>
      </c>
    </row>
    <row r="1050">
      <c r="A1050" s="33" t="n">
        <v>45763</v>
      </c>
      <c r="B1050" t="inlineStr">
        <is>
          <t>2025-04</t>
        </is>
      </c>
      <c r="C1050" t="inlineStr">
        <is>
          <t>Sin cliente</t>
        </is>
      </c>
      <c r="D1050" t="inlineStr">
        <is>
          <t>CANELÉ TRADICIONAL</t>
        </is>
      </c>
      <c r="E1050" s="34" t="n">
        <v>28640</v>
      </c>
      <c r="F1050" t="inlineStr">
        <is>
          <t>B</t>
        </is>
      </c>
      <c r="G1050" s="34" t="n">
        <v>4573</v>
      </c>
      <c r="H1050" s="34" t="n">
        <v>24067</v>
      </c>
      <c r="I1050" t="inlineStr">
        <is>
          <t>3.2</t>
        </is>
      </c>
      <c r="J1050" t="inlineStr">
        <is>
          <t>Ventas Personas (B2C)</t>
        </is>
      </c>
      <c r="K1050" t="inlineStr">
        <is>
          <t>CH2</t>
        </is>
      </c>
    </row>
    <row r="1051">
      <c r="A1051" s="33" t="n">
        <v>45763</v>
      </c>
      <c r="B1051" t="inlineStr">
        <is>
          <t>2025-04</t>
        </is>
      </c>
      <c r="C1051" t="inlineStr">
        <is>
          <t>maria de los angeles drapela</t>
        </is>
      </c>
      <c r="D1051" t="inlineStr">
        <is>
          <t>Pascua de Resurrección</t>
        </is>
      </c>
      <c r="E1051" s="34" t="n">
        <v>14900</v>
      </c>
      <c r="F1051" t="inlineStr">
        <is>
          <t>B</t>
        </is>
      </c>
      <c r="G1051" s="34" t="n">
        <v>2379</v>
      </c>
      <c r="H1051" s="34" t="n">
        <v>12521</v>
      </c>
      <c r="I1051" t="inlineStr">
        <is>
          <t>3.2</t>
        </is>
      </c>
      <c r="J1051" t="inlineStr">
        <is>
          <t>Ventas Personas (B2C)</t>
        </is>
      </c>
      <c r="K1051" t="inlineStr">
        <is>
          <t>CH2</t>
        </is>
      </c>
    </row>
    <row r="1052">
      <c r="A1052" s="33" t="n">
        <v>45763</v>
      </c>
      <c r="B1052" t="inlineStr">
        <is>
          <t>2025-04</t>
        </is>
      </c>
      <c r="C1052" t="inlineStr">
        <is>
          <t>Antonia Hornig</t>
        </is>
      </c>
      <c r="D1052" t="inlineStr">
        <is>
          <t>Pascua de Resurrección</t>
        </is>
      </c>
      <c r="E1052" s="34" t="n">
        <v>17400</v>
      </c>
      <c r="F1052" t="inlineStr">
        <is>
          <t>B</t>
        </is>
      </c>
      <c r="G1052" s="34" t="n">
        <v>2778</v>
      </c>
      <c r="H1052" s="34" t="n">
        <v>14622</v>
      </c>
      <c r="I1052" t="inlineStr">
        <is>
          <t>3.2</t>
        </is>
      </c>
      <c r="J1052" t="inlineStr">
        <is>
          <t>Ventas Personas (B2C)</t>
        </is>
      </c>
      <c r="K1052" t="inlineStr">
        <is>
          <t>CH2</t>
        </is>
      </c>
    </row>
    <row r="1053">
      <c r="A1053" s="33" t="n">
        <v>45763</v>
      </c>
      <c r="B1053" t="inlineStr">
        <is>
          <t>2025-04</t>
        </is>
      </c>
      <c r="C1053" t="inlineStr">
        <is>
          <t>CAFETERIA THE ELEPHANT COFFEE LIMITADA</t>
        </is>
      </c>
      <c r="D1053" t="inlineStr">
        <is>
          <t>HORECA CAFETERIA</t>
        </is>
      </c>
      <c r="E1053" s="34" t="n">
        <v>137940</v>
      </c>
      <c r="F1053" t="inlineStr">
        <is>
          <t>F</t>
        </is>
      </c>
      <c r="G1053" s="34" t="n">
        <v>22024</v>
      </c>
      <c r="H1053" s="34" t="n">
        <v>115916</v>
      </c>
      <c r="I1053" t="inlineStr">
        <is>
          <t>3.1</t>
        </is>
      </c>
      <c r="J1053" t="inlineStr">
        <is>
          <t>Ventas HoReCa</t>
        </is>
      </c>
      <c r="K1053" t="inlineStr">
        <is>
          <t>CH1</t>
        </is>
      </c>
    </row>
    <row r="1054">
      <c r="A1054" s="33" t="n">
        <v>45763</v>
      </c>
      <c r="B1054" t="inlineStr">
        <is>
          <t>2025-04</t>
        </is>
      </c>
      <c r="C1054" t="inlineStr">
        <is>
          <t>CAFE DIARIO ENCOMENDEROS SPA</t>
        </is>
      </c>
      <c r="D1054" t="inlineStr">
        <is>
          <t>HORECA CAFETERIA</t>
        </is>
      </c>
      <c r="E1054" s="34" t="n">
        <v>82830</v>
      </c>
      <c r="F1054" t="inlineStr">
        <is>
          <t>F</t>
        </is>
      </c>
      <c r="G1054" s="34" t="n">
        <v>13225</v>
      </c>
      <c r="H1054" s="34" t="n">
        <v>69605</v>
      </c>
      <c r="I1054" t="inlineStr">
        <is>
          <t>3.1</t>
        </is>
      </c>
      <c r="J1054" t="inlineStr">
        <is>
          <t>Ventas HoReCa</t>
        </is>
      </c>
      <c r="K1054" t="inlineStr">
        <is>
          <t>CH1</t>
        </is>
      </c>
    </row>
    <row r="1055">
      <c r="A1055" s="33" t="n">
        <v>45763</v>
      </c>
      <c r="B1055" t="inlineStr">
        <is>
          <t>2025-04</t>
        </is>
      </c>
      <c r="C1055" t="inlineStr">
        <is>
          <t xml:space="preserve">Café lucerna spa </t>
        </is>
      </c>
      <c r="D1055" t="inlineStr">
        <is>
          <t>HORECA CAFETERIA</t>
        </is>
      </c>
      <c r="E1055" s="34" t="n">
        <v>63990</v>
      </c>
      <c r="F1055" t="inlineStr">
        <is>
          <t>F</t>
        </is>
      </c>
      <c r="G1055" s="34" t="n">
        <v>10217</v>
      </c>
      <c r="H1055" s="34" t="n">
        <v>53773</v>
      </c>
      <c r="I1055" t="inlineStr">
        <is>
          <t>3.1</t>
        </is>
      </c>
      <c r="J1055" t="inlineStr">
        <is>
          <t>Ventas HoReCa</t>
        </is>
      </c>
      <c r="K1055" t="inlineStr">
        <is>
          <t>CH1</t>
        </is>
      </c>
    </row>
    <row r="1056">
      <c r="A1056" s="33" t="n">
        <v>45763</v>
      </c>
      <c r="B1056" t="inlineStr">
        <is>
          <t>2025-04</t>
        </is>
      </c>
      <c r="C1056" t="inlineStr">
        <is>
          <t>Victoria Pey</t>
        </is>
      </c>
      <c r="D1056" t="inlineStr">
        <is>
          <t>CANELÉ TRADICIONAL</t>
        </is>
      </c>
      <c r="E1056" s="34" t="n">
        <v>20889</v>
      </c>
      <c r="F1056" t="inlineStr">
        <is>
          <t>B</t>
        </is>
      </c>
      <c r="G1056" s="34" t="n">
        <v>3335</v>
      </c>
      <c r="H1056" s="34" t="n">
        <v>17554</v>
      </c>
      <c r="I1056" t="inlineStr">
        <is>
          <t>3.2</t>
        </is>
      </c>
      <c r="J1056" t="inlineStr">
        <is>
          <t>Ventas Personas (B2C)</t>
        </is>
      </c>
      <c r="K1056" t="inlineStr">
        <is>
          <t>CH2</t>
        </is>
      </c>
    </row>
    <row r="1057">
      <c r="A1057" s="33" t="n">
        <v>45763</v>
      </c>
      <c r="B1057" t="inlineStr">
        <is>
          <t>2025-04</t>
        </is>
      </c>
      <c r="C1057" t="inlineStr">
        <is>
          <t>Cafeteria de especialidad al paso Michael C. Plaza</t>
        </is>
      </c>
      <c r="D1057" t="inlineStr">
        <is>
          <t>HORECA CAFETERIA</t>
        </is>
      </c>
      <c r="E1057" s="34" t="n">
        <v>69000</v>
      </c>
      <c r="F1057" t="inlineStr">
        <is>
          <t>F</t>
        </is>
      </c>
      <c r="G1057" s="34" t="n">
        <v>11017</v>
      </c>
      <c r="H1057" s="34" t="n">
        <v>57983</v>
      </c>
      <c r="I1057" t="inlineStr">
        <is>
          <t>3.1</t>
        </is>
      </c>
      <c r="J1057" t="inlineStr">
        <is>
          <t>Ventas HoReCa</t>
        </is>
      </c>
      <c r="K1057" t="inlineStr">
        <is>
          <t>CH1</t>
        </is>
      </c>
    </row>
    <row r="1058">
      <c r="A1058" s="33" t="n">
        <v>45763</v>
      </c>
      <c r="B1058" t="inlineStr">
        <is>
          <t>2025-04</t>
        </is>
      </c>
      <c r="C1058" t="inlineStr">
        <is>
          <t>Sin cliente</t>
        </is>
      </c>
      <c r="D1058" t="inlineStr">
        <is>
          <t>Petit Tradicional</t>
        </is>
      </c>
      <c r="E1058" s="34" t="n">
        <v>8900</v>
      </c>
      <c r="F1058" t="inlineStr">
        <is>
          <t>B</t>
        </is>
      </c>
      <c r="G1058" s="34" t="n">
        <v>1421</v>
      </c>
      <c r="H1058" s="34" t="n">
        <v>7479</v>
      </c>
      <c r="I1058" t="inlineStr">
        <is>
          <t>3.2</t>
        </is>
      </c>
      <c r="J1058" t="inlineStr">
        <is>
          <t>Ventas Personas (B2C)</t>
        </is>
      </c>
      <c r="K1058" t="inlineStr">
        <is>
          <t>CH2</t>
        </is>
      </c>
    </row>
    <row r="1059">
      <c r="A1059" s="33" t="n">
        <v>45763</v>
      </c>
      <c r="B1059" t="inlineStr">
        <is>
          <t>2025-04</t>
        </is>
      </c>
      <c r="C1059" t="inlineStr">
        <is>
          <t>Sin cliente</t>
        </is>
      </c>
      <c r="D1059" t="inlineStr">
        <is>
          <t>PLATAFORMAS RAP-PEYA-UBER-GOOD</t>
        </is>
      </c>
      <c r="E1059" s="34" t="n">
        <v>15480</v>
      </c>
      <c r="F1059" t="inlineStr">
        <is>
          <t>B</t>
        </is>
      </c>
      <c r="G1059" s="34" t="n">
        <v>2472</v>
      </c>
      <c r="H1059" s="34" t="n">
        <v>13008</v>
      </c>
      <c r="I1059" t="inlineStr">
        <is>
          <t>3.6</t>
        </is>
      </c>
      <c r="J1059" t="inlineStr">
        <is>
          <t>Ventas Delivery Apps</t>
        </is>
      </c>
      <c r="K1059" t="inlineStr">
        <is>
          <t>CH3</t>
        </is>
      </c>
    </row>
    <row r="1060">
      <c r="A1060" s="33" t="n">
        <v>45763</v>
      </c>
      <c r="B1060" t="inlineStr">
        <is>
          <t>2025-04</t>
        </is>
      </c>
      <c r="C1060" t="inlineStr">
        <is>
          <t>Julian Herman</t>
        </is>
      </c>
      <c r="D1060" t="inlineStr">
        <is>
          <t>PACKS GOURMET</t>
        </is>
      </c>
      <c r="E1060" s="34" t="n">
        <v>38975</v>
      </c>
      <c r="F1060" t="inlineStr">
        <is>
          <t>B</t>
        </is>
      </c>
      <c r="G1060" s="34" t="n">
        <v>6223</v>
      </c>
      <c r="H1060" s="34" t="n">
        <v>32752</v>
      </c>
      <c r="I1060" t="inlineStr">
        <is>
          <t>3.2</t>
        </is>
      </c>
      <c r="J1060" t="inlineStr">
        <is>
          <t>Ventas Personas (B2C)</t>
        </is>
      </c>
      <c r="K1060" t="inlineStr">
        <is>
          <t>CH2</t>
        </is>
      </c>
    </row>
    <row r="1061">
      <c r="A1061" s="33" t="n">
        <v>45763</v>
      </c>
      <c r="B1061" t="inlineStr">
        <is>
          <t>2025-04</t>
        </is>
      </c>
      <c r="C1061" t="inlineStr">
        <is>
          <t>Oscar de la Puente</t>
        </is>
      </c>
      <c r="D1061" t="inlineStr">
        <is>
          <t>Pascua de Resurrección</t>
        </is>
      </c>
      <c r="E1061" s="34" t="n">
        <v>19890</v>
      </c>
      <c r="F1061" t="inlineStr">
        <is>
          <t>B</t>
        </is>
      </c>
      <c r="G1061" s="34" t="n">
        <v>3176</v>
      </c>
      <c r="H1061" s="34" t="n">
        <v>16714</v>
      </c>
      <c r="I1061" t="inlineStr">
        <is>
          <t>3.2</t>
        </is>
      </c>
      <c r="J1061" t="inlineStr">
        <is>
          <t>Ventas Personas (B2C)</t>
        </is>
      </c>
      <c r="K1061" t="inlineStr">
        <is>
          <t>CH2</t>
        </is>
      </c>
    </row>
    <row r="1062">
      <c r="A1062" s="33" t="n">
        <v>45763</v>
      </c>
      <c r="B1062" t="inlineStr">
        <is>
          <t>2025-04</t>
        </is>
      </c>
      <c r="C1062" t="inlineStr">
        <is>
          <t>ximena  melgarejo</t>
        </is>
      </c>
      <c r="D1062" t="inlineStr">
        <is>
          <t>Petit Tradicional</t>
        </is>
      </c>
      <c r="E1062" s="34" t="n">
        <v>8900</v>
      </c>
      <c r="F1062" t="inlineStr">
        <is>
          <t>B</t>
        </is>
      </c>
      <c r="G1062" s="34" t="n">
        <v>1421</v>
      </c>
      <c r="H1062" s="34" t="n">
        <v>7479</v>
      </c>
      <c r="I1062" t="inlineStr">
        <is>
          <t>3.2</t>
        </is>
      </c>
      <c r="J1062" t="inlineStr">
        <is>
          <t>Ventas Personas (B2C)</t>
        </is>
      </c>
      <c r="K1062" t="inlineStr">
        <is>
          <t>CH2</t>
        </is>
      </c>
    </row>
    <row r="1063">
      <c r="A1063" s="33" t="n">
        <v>45763</v>
      </c>
      <c r="B1063" t="inlineStr">
        <is>
          <t>2025-04</t>
        </is>
      </c>
      <c r="C1063" t="inlineStr">
        <is>
          <t>f gougain</t>
        </is>
      </c>
      <c r="D1063" t="inlineStr">
        <is>
          <t>Petit Tradicional</t>
        </is>
      </c>
      <c r="E1063" s="34" t="n">
        <v>12900</v>
      </c>
      <c r="F1063" t="inlineStr">
        <is>
          <t>B</t>
        </is>
      </c>
      <c r="G1063" s="34" t="n">
        <v>2060</v>
      </c>
      <c r="H1063" s="34" t="n">
        <v>10840</v>
      </c>
      <c r="I1063" t="inlineStr">
        <is>
          <t>3.2</t>
        </is>
      </c>
      <c r="J1063" t="inlineStr">
        <is>
          <t>Ventas Personas (B2C)</t>
        </is>
      </c>
      <c r="K1063" t="inlineStr">
        <is>
          <t>CH2</t>
        </is>
      </c>
    </row>
    <row r="1064">
      <c r="A1064" s="33" t="n">
        <v>45763</v>
      </c>
      <c r="B1064" t="inlineStr">
        <is>
          <t>2025-04</t>
        </is>
      </c>
      <c r="C1064" t="inlineStr">
        <is>
          <t>f gougain</t>
        </is>
      </c>
      <c r="D1064" t="inlineStr">
        <is>
          <t>CANELÉ TRADICIONAL</t>
        </is>
      </c>
      <c r="E1064" s="34" t="n">
        <v>2500</v>
      </c>
      <c r="F1064" t="inlineStr">
        <is>
          <t>B</t>
        </is>
      </c>
      <c r="G1064" s="34" t="n">
        <v>399</v>
      </c>
      <c r="H1064" s="34" t="n">
        <v>2101</v>
      </c>
      <c r="I1064" t="inlineStr">
        <is>
          <t>3.2</t>
        </is>
      </c>
      <c r="J1064" t="inlineStr">
        <is>
          <t>Ventas Personas (B2C)</t>
        </is>
      </c>
      <c r="K1064" t="inlineStr">
        <is>
          <t>CH2</t>
        </is>
      </c>
    </row>
    <row r="1065">
      <c r="A1065" s="33" t="n">
        <v>45763</v>
      </c>
      <c r="B1065" t="inlineStr">
        <is>
          <t>2025-04</t>
        </is>
      </c>
      <c r="C1065" t="inlineStr">
        <is>
          <t>Sin cliente</t>
        </is>
      </c>
      <c r="D1065" t="inlineStr">
        <is>
          <t>CANELÉ TRADICIONAL</t>
        </is>
      </c>
      <c r="E1065" s="34" t="n">
        <v>40700</v>
      </c>
      <c r="F1065" t="inlineStr">
        <is>
          <t>B</t>
        </is>
      </c>
      <c r="G1065" s="34" t="n">
        <v>6498</v>
      </c>
      <c r="H1065" s="34" t="n">
        <v>34202</v>
      </c>
      <c r="I1065" t="inlineStr">
        <is>
          <t>3.2</t>
        </is>
      </c>
      <c r="J1065" t="inlineStr">
        <is>
          <t>Ventas Personas (B2C)</t>
        </is>
      </c>
      <c r="K1065" t="inlineStr">
        <is>
          <t>CH2</t>
        </is>
      </c>
    </row>
    <row r="1066">
      <c r="A1066" s="33" t="n">
        <v>45763</v>
      </c>
      <c r="B1066" t="inlineStr">
        <is>
          <t>2025-04</t>
        </is>
      </c>
      <c r="C1066" t="inlineStr">
        <is>
          <t>Sin cliente</t>
        </is>
      </c>
      <c r="D1066" t="inlineStr">
        <is>
          <t>Pascua de Resurrección</t>
        </is>
      </c>
      <c r="E1066" s="34" t="n">
        <v>14900</v>
      </c>
      <c r="F1066" t="inlineStr">
        <is>
          <t>B</t>
        </is>
      </c>
      <c r="G1066" s="34" t="n">
        <v>2379</v>
      </c>
      <c r="H1066" s="34" t="n">
        <v>12521</v>
      </c>
      <c r="I1066" t="inlineStr">
        <is>
          <t>3.2</t>
        </is>
      </c>
      <c r="J1066" t="inlineStr">
        <is>
          <t>Ventas Personas (B2C)</t>
        </is>
      </c>
      <c r="K1066" t="inlineStr">
        <is>
          <t>CH2</t>
        </is>
      </c>
    </row>
    <row r="1067">
      <c r="A1067" s="33" t="n">
        <v>45763</v>
      </c>
      <c r="B1067" t="inlineStr">
        <is>
          <t>2025-04</t>
        </is>
      </c>
      <c r="C1067" t="inlineStr">
        <is>
          <t>Matias Alonso  Aguirre</t>
        </is>
      </c>
      <c r="D1067" t="inlineStr">
        <is>
          <t>CANELÉ TRADICIONAL</t>
        </is>
      </c>
      <c r="E1067" s="34" t="n">
        <v>54600</v>
      </c>
      <c r="F1067" t="inlineStr">
        <is>
          <t>B</t>
        </is>
      </c>
      <c r="G1067" s="34" t="n">
        <v>8718</v>
      </c>
      <c r="H1067" s="34" t="n">
        <v>45882</v>
      </c>
      <c r="I1067" t="inlineStr">
        <is>
          <t>3.2</t>
        </is>
      </c>
      <c r="J1067" t="inlineStr">
        <is>
          <t>Ventas Personas (B2C)</t>
        </is>
      </c>
      <c r="K1067" t="inlineStr">
        <is>
          <t>CH2</t>
        </is>
      </c>
    </row>
    <row r="1068">
      <c r="A1068" s="33" t="n">
        <v>45763</v>
      </c>
      <c r="B1068" t="inlineStr">
        <is>
          <t>2025-04</t>
        </is>
      </c>
      <c r="C1068" t="inlineStr">
        <is>
          <t>antonella lauri</t>
        </is>
      </c>
      <c r="D1068" t="inlineStr">
        <is>
          <t>CANELÉ TRADICIONAL</t>
        </is>
      </c>
      <c r="E1068" s="34" t="n">
        <v>14900</v>
      </c>
      <c r="F1068" t="inlineStr">
        <is>
          <t>B</t>
        </is>
      </c>
      <c r="G1068" s="34" t="n">
        <v>2379</v>
      </c>
      <c r="H1068" s="34" t="n">
        <v>12521</v>
      </c>
      <c r="I1068" t="inlineStr">
        <is>
          <t>3.2</t>
        </is>
      </c>
      <c r="J1068" t="inlineStr">
        <is>
          <t>Ventas Personas (B2C)</t>
        </is>
      </c>
      <c r="K1068" t="inlineStr">
        <is>
          <t>CH2</t>
        </is>
      </c>
    </row>
    <row r="1069">
      <c r="A1069" s="33" t="n">
        <v>45763</v>
      </c>
      <c r="B1069" t="inlineStr">
        <is>
          <t>2025-04</t>
        </is>
      </c>
      <c r="C1069" t="inlineStr">
        <is>
          <t>Manola  Rodriguez</t>
        </is>
      </c>
      <c r="D1069" t="inlineStr">
        <is>
          <t>CANELÉ TRADICIONAL</t>
        </is>
      </c>
      <c r="E1069" s="34" t="n">
        <v>14900</v>
      </c>
      <c r="F1069" t="inlineStr">
        <is>
          <t>B</t>
        </is>
      </c>
      <c r="G1069" s="34" t="n">
        <v>2379</v>
      </c>
      <c r="H1069" s="34" t="n">
        <v>12521</v>
      </c>
      <c r="I1069" t="inlineStr">
        <is>
          <t>3.2</t>
        </is>
      </c>
      <c r="J1069" t="inlineStr">
        <is>
          <t>Ventas Personas (B2C)</t>
        </is>
      </c>
      <c r="K1069" t="inlineStr">
        <is>
          <t>CH2</t>
        </is>
      </c>
    </row>
    <row r="1070">
      <c r="A1070" s="33" t="n">
        <v>45763</v>
      </c>
      <c r="B1070" t="inlineStr">
        <is>
          <t>2025-04</t>
        </is>
      </c>
      <c r="C1070" t="inlineStr">
        <is>
          <t>Santa María spa</t>
        </is>
      </c>
      <c r="D1070" t="inlineStr">
        <is>
          <t>HORECA CAFETERIA</t>
        </is>
      </c>
      <c r="E1070" s="34" t="n">
        <v>178711</v>
      </c>
      <c r="F1070" t="inlineStr">
        <is>
          <t>F</t>
        </is>
      </c>
      <c r="G1070" s="34" t="n">
        <v>28534</v>
      </c>
      <c r="H1070" s="34" t="n">
        <v>150177</v>
      </c>
      <c r="I1070" t="inlineStr">
        <is>
          <t>3.1</t>
        </is>
      </c>
      <c r="J1070" t="inlineStr">
        <is>
          <t>Ventas HoReCa</t>
        </is>
      </c>
      <c r="K1070" t="inlineStr">
        <is>
          <t>CH1</t>
        </is>
      </c>
    </row>
    <row r="1071">
      <c r="A1071" s="33" t="n">
        <v>45763</v>
      </c>
      <c r="B1071" t="inlineStr">
        <is>
          <t>2025-04</t>
        </is>
      </c>
      <c r="C1071" t="inlineStr">
        <is>
          <t>Sin cliente</t>
        </is>
      </c>
      <c r="D1071" t="inlineStr">
        <is>
          <t>CANELÉ TRADICIONAL</t>
        </is>
      </c>
      <c r="E1071" s="34" t="n">
        <v>26900</v>
      </c>
      <c r="F1071" t="inlineStr">
        <is>
          <t>B</t>
        </is>
      </c>
      <c r="G1071" s="34" t="n">
        <v>4295</v>
      </c>
      <c r="H1071" s="34" t="n">
        <v>22605</v>
      </c>
      <c r="I1071" t="inlineStr">
        <is>
          <t>3.2</t>
        </is>
      </c>
      <c r="J1071" t="inlineStr">
        <is>
          <t>Ventas Personas (B2C)</t>
        </is>
      </c>
      <c r="K1071" t="inlineStr">
        <is>
          <t>CH2</t>
        </is>
      </c>
    </row>
    <row r="1072">
      <c r="A1072" s="33" t="n">
        <v>45763</v>
      </c>
      <c r="B1072" t="inlineStr">
        <is>
          <t>2025-04</t>
        </is>
      </c>
      <c r="C1072" t="inlineStr">
        <is>
          <t>Ximena Sandoval</t>
        </is>
      </c>
      <c r="D1072" t="inlineStr">
        <is>
          <t>CANELÉ TRADICIONAL</t>
        </is>
      </c>
      <c r="E1072" s="34" t="n">
        <v>14900</v>
      </c>
      <c r="F1072" t="inlineStr">
        <is>
          <t>B</t>
        </is>
      </c>
      <c r="G1072" s="34" t="n">
        <v>2379</v>
      </c>
      <c r="H1072" s="34" t="n">
        <v>12521</v>
      </c>
      <c r="I1072" t="inlineStr">
        <is>
          <t>3.2</t>
        </is>
      </c>
      <c r="J1072" t="inlineStr">
        <is>
          <t>Ventas Personas (B2C)</t>
        </is>
      </c>
      <c r="K1072" t="inlineStr">
        <is>
          <t>CH2</t>
        </is>
      </c>
    </row>
    <row r="1073">
      <c r="A1073" s="33" t="n">
        <v>45763</v>
      </c>
      <c r="B1073" t="inlineStr">
        <is>
          <t>2025-04</t>
        </is>
      </c>
      <c r="C1073" t="inlineStr">
        <is>
          <t>Natalia Valle gonzalez</t>
        </is>
      </c>
      <c r="D1073" t="inlineStr">
        <is>
          <t>Pascua de Resurrección</t>
        </is>
      </c>
      <c r="E1073" s="34" t="n">
        <v>18890</v>
      </c>
      <c r="F1073" t="inlineStr">
        <is>
          <t>B</t>
        </is>
      </c>
      <c r="G1073" s="34" t="n">
        <v>3016</v>
      </c>
      <c r="H1073" s="34" t="n">
        <v>15874</v>
      </c>
      <c r="I1073" t="inlineStr">
        <is>
          <t>3.2</t>
        </is>
      </c>
      <c r="J1073" t="inlineStr">
        <is>
          <t>Ventas Personas (B2C)</t>
        </is>
      </c>
      <c r="K1073" t="inlineStr">
        <is>
          <t>CH2</t>
        </is>
      </c>
    </row>
    <row r="1074">
      <c r="A1074" s="33" t="n">
        <v>45763</v>
      </c>
      <c r="B1074" t="inlineStr">
        <is>
          <t>2025-04</t>
        </is>
      </c>
      <c r="C1074" t="inlineStr">
        <is>
          <t>Sofia Valdes</t>
        </is>
      </c>
      <c r="D1074" t="inlineStr">
        <is>
          <t>Petit Crunchy</t>
        </is>
      </c>
      <c r="E1074" s="34" t="n">
        <v>25900</v>
      </c>
      <c r="F1074" t="inlineStr">
        <is>
          <t>B</t>
        </is>
      </c>
      <c r="G1074" s="34" t="n">
        <v>4135</v>
      </c>
      <c r="H1074" s="34" t="n">
        <v>21765</v>
      </c>
      <c r="I1074" t="inlineStr">
        <is>
          <t>3.2</t>
        </is>
      </c>
      <c r="J1074" t="inlineStr">
        <is>
          <t>Ventas Personas (B2C)</t>
        </is>
      </c>
      <c r="K1074" t="inlineStr">
        <is>
          <t>CH2</t>
        </is>
      </c>
    </row>
    <row r="1075">
      <c r="A1075" s="33" t="n">
        <v>45763</v>
      </c>
      <c r="B1075" t="inlineStr">
        <is>
          <t>2025-04</t>
        </is>
      </c>
      <c r="C1075" t="inlineStr">
        <is>
          <t>Rodrigo Carreño Nuñez</t>
        </is>
      </c>
      <c r="D1075" t="inlineStr">
        <is>
          <t>Pascua de Resurrección</t>
        </is>
      </c>
      <c r="E1075" s="34" t="n">
        <v>18890</v>
      </c>
      <c r="F1075" t="inlineStr">
        <is>
          <t>B</t>
        </is>
      </c>
      <c r="G1075" s="34" t="n">
        <v>3016</v>
      </c>
      <c r="H1075" s="34" t="n">
        <v>15874</v>
      </c>
      <c r="I1075" t="inlineStr">
        <is>
          <t>3.2</t>
        </is>
      </c>
      <c r="J1075" t="inlineStr">
        <is>
          <t>Ventas Personas (B2C)</t>
        </is>
      </c>
      <c r="K1075" t="inlineStr">
        <is>
          <t>CH2</t>
        </is>
      </c>
    </row>
    <row r="1076">
      <c r="A1076" s="33" t="n">
        <v>45764</v>
      </c>
      <c r="B1076" t="inlineStr">
        <is>
          <t>2025-04</t>
        </is>
      </c>
      <c r="C1076" t="inlineStr">
        <is>
          <t>Panduz panaderia y cafeteria SPA</t>
        </is>
      </c>
      <c r="D1076" t="inlineStr">
        <is>
          <t>HORECA CAFETERIA</t>
        </is>
      </c>
      <c r="E1076" s="34" t="n">
        <v>178711</v>
      </c>
      <c r="F1076" t="inlineStr">
        <is>
          <t>F</t>
        </is>
      </c>
      <c r="G1076" s="34" t="n">
        <v>28534</v>
      </c>
      <c r="H1076" s="34" t="n">
        <v>150177</v>
      </c>
      <c r="I1076" t="inlineStr">
        <is>
          <t>3.1</t>
        </is>
      </c>
      <c r="J1076" t="inlineStr">
        <is>
          <t>Ventas HoReCa</t>
        </is>
      </c>
      <c r="K1076" t="inlineStr">
        <is>
          <t>CH1</t>
        </is>
      </c>
    </row>
    <row r="1077">
      <c r="A1077" s="33" t="n">
        <v>45764</v>
      </c>
      <c r="B1077" t="inlineStr">
        <is>
          <t>2025-04</t>
        </is>
      </c>
      <c r="C1077" t="inlineStr">
        <is>
          <t>Vicente Poblete</t>
        </is>
      </c>
      <c r="D1077" t="inlineStr">
        <is>
          <t>Pascua de Resurrección</t>
        </is>
      </c>
      <c r="E1077" s="34" t="n">
        <v>33790</v>
      </c>
      <c r="F1077" t="inlineStr">
        <is>
          <t>B</t>
        </is>
      </c>
      <c r="G1077" s="34" t="n">
        <v>5395</v>
      </c>
      <c r="H1077" s="34" t="n">
        <v>28395</v>
      </c>
      <c r="I1077" t="inlineStr">
        <is>
          <t>3.2</t>
        </is>
      </c>
      <c r="J1077" t="inlineStr">
        <is>
          <t>Ventas Personas (B2C)</t>
        </is>
      </c>
      <c r="K1077" t="inlineStr">
        <is>
          <t>CH2</t>
        </is>
      </c>
    </row>
    <row r="1078">
      <c r="A1078" s="33" t="n">
        <v>45764</v>
      </c>
      <c r="B1078" t="inlineStr">
        <is>
          <t>2025-04</t>
        </is>
      </c>
      <c r="C1078" t="inlineStr">
        <is>
          <t>Maria Carolina Vilches</t>
        </is>
      </c>
      <c r="D1078" t="inlineStr">
        <is>
          <t>Petit Crunchy</t>
        </is>
      </c>
      <c r="E1078" s="34" t="n">
        <v>29890</v>
      </c>
      <c r="F1078" t="inlineStr">
        <is>
          <t>B</t>
        </is>
      </c>
      <c r="G1078" s="34" t="n">
        <v>4772</v>
      </c>
      <c r="H1078" s="34" t="n">
        <v>25118</v>
      </c>
      <c r="I1078" t="inlineStr">
        <is>
          <t>3.2</t>
        </is>
      </c>
      <c r="J1078" t="inlineStr">
        <is>
          <t>Ventas Personas (B2C)</t>
        </is>
      </c>
      <c r="K1078" t="inlineStr">
        <is>
          <t>CH2</t>
        </is>
      </c>
    </row>
    <row r="1079">
      <c r="A1079" s="33" t="n">
        <v>45764</v>
      </c>
      <c r="B1079" t="inlineStr">
        <is>
          <t>2025-04</t>
        </is>
      </c>
      <c r="C1079" t="inlineStr">
        <is>
          <t>CAFÉ UNDER SPA</t>
        </is>
      </c>
      <c r="D1079" t="inlineStr">
        <is>
          <t>HORECA CAFETERIA</t>
        </is>
      </c>
      <c r="E1079" s="34" t="n">
        <v>63990</v>
      </c>
      <c r="F1079" t="inlineStr">
        <is>
          <t>F</t>
        </is>
      </c>
      <c r="G1079" s="34" t="n">
        <v>10217</v>
      </c>
      <c r="H1079" s="34" t="n">
        <v>53773</v>
      </c>
      <c r="I1079" t="inlineStr">
        <is>
          <t>3.1</t>
        </is>
      </c>
      <c r="J1079" t="inlineStr">
        <is>
          <t>Ventas HoReCa</t>
        </is>
      </c>
      <c r="K1079" t="inlineStr">
        <is>
          <t>CH1</t>
        </is>
      </c>
    </row>
    <row r="1080">
      <c r="A1080" s="33" t="n">
        <v>45764</v>
      </c>
      <c r="B1080" t="inlineStr">
        <is>
          <t>2025-04</t>
        </is>
      </c>
      <c r="C1080" t="inlineStr">
        <is>
          <t>POMPON SPA</t>
        </is>
      </c>
      <c r="D1080" t="inlineStr">
        <is>
          <t>HORECA CAFETERIA</t>
        </is>
      </c>
      <c r="E1080" s="34" t="n">
        <v>220150</v>
      </c>
      <c r="F1080" t="inlineStr">
        <is>
          <t>F</t>
        </is>
      </c>
      <c r="G1080" s="34" t="n">
        <v>35150</v>
      </c>
      <c r="H1080" s="34" t="n">
        <v>185000</v>
      </c>
      <c r="I1080" t="inlineStr">
        <is>
          <t>3.1</t>
        </is>
      </c>
      <c r="J1080" t="inlineStr">
        <is>
          <t>Ventas HoReCa</t>
        </is>
      </c>
      <c r="K1080" t="inlineStr">
        <is>
          <t>CH1</t>
        </is>
      </c>
    </row>
    <row r="1081">
      <c r="A1081" s="33" t="n">
        <v>45764</v>
      </c>
      <c r="B1081" t="inlineStr">
        <is>
          <t>2025-04</t>
        </is>
      </c>
      <c r="C1081" t="inlineStr">
        <is>
          <t>Better Food Spa</t>
        </is>
      </c>
      <c r="D1081" t="inlineStr">
        <is>
          <t>HORECA CAFETERIA</t>
        </is>
      </c>
      <c r="E1081" s="34" t="n">
        <v>329868</v>
      </c>
      <c r="F1081" t="inlineStr">
        <is>
          <t>F</t>
        </is>
      </c>
      <c r="G1081" s="34" t="n">
        <v>52668</v>
      </c>
      <c r="H1081" s="34" t="n">
        <v>277200</v>
      </c>
      <c r="I1081" t="inlineStr">
        <is>
          <t>3.1</t>
        </is>
      </c>
      <c r="J1081" t="inlineStr">
        <is>
          <t>Ventas HoReCa</t>
        </is>
      </c>
      <c r="K1081" t="inlineStr">
        <is>
          <t>CH1</t>
        </is>
      </c>
    </row>
    <row r="1082">
      <c r="A1082" s="33" t="n">
        <v>45764</v>
      </c>
      <c r="B1082" t="inlineStr">
        <is>
          <t>2025-04</t>
        </is>
      </c>
      <c r="C1082" t="inlineStr">
        <is>
          <t>Constanza Soto</t>
        </is>
      </c>
      <c r="D1082" t="inlineStr">
        <is>
          <t>Petit Tradicional</t>
        </is>
      </c>
      <c r="E1082" s="34" t="n">
        <v>16720</v>
      </c>
      <c r="F1082" t="inlineStr">
        <is>
          <t>B</t>
        </is>
      </c>
      <c r="G1082" s="34" t="n">
        <v>2670</v>
      </c>
      <c r="H1082" s="34" t="n">
        <v>14050</v>
      </c>
      <c r="I1082" t="inlineStr">
        <is>
          <t>3.2</t>
        </is>
      </c>
      <c r="J1082" t="inlineStr">
        <is>
          <t>Ventas Personas (B2C)</t>
        </is>
      </c>
      <c r="K1082" t="inlineStr">
        <is>
          <t>CH2</t>
        </is>
      </c>
    </row>
    <row r="1083">
      <c r="A1083" s="33" t="n">
        <v>45764</v>
      </c>
      <c r="B1083" t="inlineStr">
        <is>
          <t>2025-04</t>
        </is>
      </c>
      <c r="C1083" t="inlineStr">
        <is>
          <t>JNCONCEPT SPA</t>
        </is>
      </c>
      <c r="D1083" t="inlineStr">
        <is>
          <t>CANELÉ TRADICIONAL</t>
        </is>
      </c>
      <c r="E1083" s="34" t="n">
        <v>24900</v>
      </c>
      <c r="F1083" t="inlineStr">
        <is>
          <t>F</t>
        </is>
      </c>
      <c r="G1083" s="34" t="n">
        <v>3976</v>
      </c>
      <c r="H1083" s="34" t="n">
        <v>20924</v>
      </c>
      <c r="I1083" t="inlineStr">
        <is>
          <t>3.1</t>
        </is>
      </c>
      <c r="J1083" t="inlineStr">
        <is>
          <t>Ventas HoReCa</t>
        </is>
      </c>
      <c r="K1083" t="inlineStr">
        <is>
          <t>CH1</t>
        </is>
      </c>
    </row>
    <row r="1084">
      <c r="A1084" s="33" t="n">
        <v>45764</v>
      </c>
      <c r="B1084" t="inlineStr">
        <is>
          <t>2025-04</t>
        </is>
      </c>
      <c r="C1084" t="inlineStr">
        <is>
          <t>Carolina Campo - Martinez</t>
        </is>
      </c>
      <c r="D1084" t="inlineStr">
        <is>
          <t>CANELE SIN AZUCAR</t>
        </is>
      </c>
      <c r="E1084" s="34" t="n">
        <v>18960</v>
      </c>
      <c r="F1084" t="inlineStr">
        <is>
          <t>B</t>
        </is>
      </c>
      <c r="G1084" s="34" t="n">
        <v>3027</v>
      </c>
      <c r="H1084" s="34" t="n">
        <v>15933</v>
      </c>
      <c r="I1084" t="inlineStr">
        <is>
          <t>3.2</t>
        </is>
      </c>
      <c r="J1084" t="inlineStr">
        <is>
          <t>Ventas Personas (B2C)</t>
        </is>
      </c>
      <c r="K1084" t="inlineStr">
        <is>
          <t>CH2</t>
        </is>
      </c>
    </row>
    <row r="1085">
      <c r="A1085" s="33" t="n">
        <v>45764</v>
      </c>
      <c r="B1085" t="inlineStr">
        <is>
          <t>2025-04</t>
        </is>
      </c>
      <c r="C1085" t="inlineStr">
        <is>
          <t>Sin cliente</t>
        </is>
      </c>
      <c r="D1085" t="inlineStr">
        <is>
          <t>Petit Tradicional</t>
        </is>
      </c>
      <c r="E1085" s="34" t="n">
        <v>20900</v>
      </c>
      <c r="F1085" t="inlineStr">
        <is>
          <t>B</t>
        </is>
      </c>
      <c r="G1085" s="34" t="n">
        <v>3337</v>
      </c>
      <c r="H1085" s="34" t="n">
        <v>17563</v>
      </c>
      <c r="I1085" t="inlineStr">
        <is>
          <t>3.2</t>
        </is>
      </c>
      <c r="J1085" t="inlineStr">
        <is>
          <t>Ventas Personas (B2C)</t>
        </is>
      </c>
      <c r="K1085" t="inlineStr">
        <is>
          <t>CH2</t>
        </is>
      </c>
    </row>
    <row r="1086">
      <c r="A1086" s="33" t="n">
        <v>45764</v>
      </c>
      <c r="B1086" t="inlineStr">
        <is>
          <t>2025-04</t>
        </is>
      </c>
      <c r="C1086" t="inlineStr">
        <is>
          <t>ANDREA CRUZ</t>
        </is>
      </c>
      <c r="D1086" t="inlineStr">
        <is>
          <t>Pascua de Resurrección</t>
        </is>
      </c>
      <c r="E1086" s="34" t="n">
        <v>33790</v>
      </c>
      <c r="F1086" t="inlineStr">
        <is>
          <t>B</t>
        </is>
      </c>
      <c r="G1086" s="34" t="n">
        <v>5395</v>
      </c>
      <c r="H1086" s="34" t="n">
        <v>28395</v>
      </c>
      <c r="I1086" t="inlineStr">
        <is>
          <t>3.2</t>
        </is>
      </c>
      <c r="J1086" t="inlineStr">
        <is>
          <t>Ventas Personas (B2C)</t>
        </is>
      </c>
      <c r="K1086" t="inlineStr">
        <is>
          <t>CH2</t>
        </is>
      </c>
    </row>
    <row r="1087">
      <c r="A1087" s="33" t="n">
        <v>45764</v>
      </c>
      <c r="B1087" t="inlineStr">
        <is>
          <t>2025-04</t>
        </is>
      </c>
      <c r="C1087" t="inlineStr">
        <is>
          <t>Soledad Caceres</t>
        </is>
      </c>
      <c r="D1087" t="inlineStr">
        <is>
          <t>Petit Crunchy</t>
        </is>
      </c>
      <c r="E1087" s="34" t="n">
        <v>57589</v>
      </c>
      <c r="F1087" t="inlineStr">
        <is>
          <t>B</t>
        </is>
      </c>
      <c r="G1087" s="34" t="n">
        <v>9195</v>
      </c>
      <c r="H1087" s="34" t="n">
        <v>48394</v>
      </c>
      <c r="I1087" t="inlineStr">
        <is>
          <t>3.2</t>
        </is>
      </c>
      <c r="J1087" t="inlineStr">
        <is>
          <t>Ventas Personas (B2C)</t>
        </is>
      </c>
      <c r="K1087" t="inlineStr">
        <is>
          <t>CH2</t>
        </is>
      </c>
    </row>
    <row r="1088">
      <c r="A1088" s="33" t="n">
        <v>45764</v>
      </c>
      <c r="B1088" t="inlineStr">
        <is>
          <t>2025-04</t>
        </is>
      </c>
      <c r="C1088" t="inlineStr">
        <is>
          <t>carolina Roa</t>
        </is>
      </c>
      <c r="D1088" t="inlineStr">
        <is>
          <t>Petit Tradicional</t>
        </is>
      </c>
      <c r="E1088" s="34" t="n">
        <v>25800</v>
      </c>
      <c r="F1088" t="inlineStr">
        <is>
          <t>B</t>
        </is>
      </c>
      <c r="G1088" s="34" t="n">
        <v>4119</v>
      </c>
      <c r="H1088" s="34" t="n">
        <v>21681</v>
      </c>
      <c r="I1088" t="inlineStr">
        <is>
          <t>3.2</t>
        </is>
      </c>
      <c r="J1088" t="inlineStr">
        <is>
          <t>Ventas Personas (B2C)</t>
        </is>
      </c>
      <c r="K1088" t="inlineStr">
        <is>
          <t>CH2</t>
        </is>
      </c>
    </row>
    <row r="1089">
      <c r="A1089" s="33" t="n">
        <v>45764</v>
      </c>
      <c r="B1089" t="inlineStr">
        <is>
          <t>2025-04</t>
        </is>
      </c>
      <c r="C1089" t="inlineStr">
        <is>
          <t>Francisca Ossa</t>
        </is>
      </c>
      <c r="D1089" t="inlineStr">
        <is>
          <t>SALSAS</t>
        </is>
      </c>
      <c r="E1089" s="34" t="n">
        <v>24879</v>
      </c>
      <c r="F1089" t="inlineStr">
        <is>
          <t>B</t>
        </is>
      </c>
      <c r="G1089" s="34" t="n">
        <v>3972</v>
      </c>
      <c r="H1089" s="34" t="n">
        <v>20907</v>
      </c>
      <c r="I1089" t="inlineStr">
        <is>
          <t>3.2</t>
        </is>
      </c>
      <c r="J1089" t="inlineStr">
        <is>
          <t>Ventas Personas (B2C)</t>
        </is>
      </c>
      <c r="K1089" t="inlineStr">
        <is>
          <t>CH2</t>
        </is>
      </c>
    </row>
    <row r="1090">
      <c r="A1090" s="33" t="n">
        <v>45764</v>
      </c>
      <c r="B1090" t="inlineStr">
        <is>
          <t>2025-04</t>
        </is>
      </c>
      <c r="C1090" t="inlineStr">
        <is>
          <t>Oscar Manuel García Chávez</t>
        </is>
      </c>
      <c r="D1090" t="inlineStr">
        <is>
          <t>Mix Sabores</t>
        </is>
      </c>
      <c r="E1090" s="34" t="n">
        <v>44685</v>
      </c>
      <c r="F1090" t="inlineStr">
        <is>
          <t>B</t>
        </is>
      </c>
      <c r="G1090" s="34" t="n">
        <v>7135</v>
      </c>
      <c r="H1090" s="34" t="n">
        <v>37550</v>
      </c>
      <c r="I1090" t="inlineStr">
        <is>
          <t>3.2</t>
        </is>
      </c>
      <c r="J1090" t="inlineStr">
        <is>
          <t>Ventas Personas (B2C)</t>
        </is>
      </c>
      <c r="K1090" t="inlineStr">
        <is>
          <t>CH2</t>
        </is>
      </c>
    </row>
    <row r="1091">
      <c r="A1091" s="33" t="n">
        <v>45764</v>
      </c>
      <c r="B1091" t="inlineStr">
        <is>
          <t>2025-04</t>
        </is>
      </c>
      <c r="C1091" t="inlineStr">
        <is>
          <t>manuel bruna</t>
        </is>
      </c>
      <c r="D1091" t="inlineStr">
        <is>
          <t>Pascua de Resurrección</t>
        </is>
      </c>
      <c r="E1091" s="34" t="n">
        <v>29800</v>
      </c>
      <c r="F1091" t="inlineStr">
        <is>
          <t>B</t>
        </is>
      </c>
      <c r="G1091" s="34" t="n">
        <v>4758</v>
      </c>
      <c r="H1091" s="34" t="n">
        <v>25042</v>
      </c>
      <c r="I1091" t="inlineStr">
        <is>
          <t>3.2</t>
        </is>
      </c>
      <c r="J1091" t="inlineStr">
        <is>
          <t>Ventas Personas (B2C)</t>
        </is>
      </c>
      <c r="K1091" t="inlineStr">
        <is>
          <t>CH2</t>
        </is>
      </c>
    </row>
    <row r="1092">
      <c r="A1092" s="33" t="n">
        <v>45764</v>
      </c>
      <c r="B1092" t="inlineStr">
        <is>
          <t>2025-04</t>
        </is>
      </c>
      <c r="C1092" t="inlineStr">
        <is>
          <t>Cristian Contreras</t>
        </is>
      </c>
      <c r="D1092" t="inlineStr">
        <is>
          <t>CANELÉ TRADICIONAL</t>
        </is>
      </c>
      <c r="E1092" s="34" t="n">
        <v>33890</v>
      </c>
      <c r="F1092" t="inlineStr">
        <is>
          <t>B</t>
        </is>
      </c>
      <c r="G1092" s="34" t="n">
        <v>5411</v>
      </c>
      <c r="H1092" s="34" t="n">
        <v>28479</v>
      </c>
      <c r="I1092" t="inlineStr">
        <is>
          <t>3.2</t>
        </is>
      </c>
      <c r="J1092" t="inlineStr">
        <is>
          <t>Ventas Personas (B2C)</t>
        </is>
      </c>
      <c r="K1092" t="inlineStr">
        <is>
          <t>CH2</t>
        </is>
      </c>
    </row>
    <row r="1093">
      <c r="A1093" s="33" t="n">
        <v>45764</v>
      </c>
      <c r="B1093" t="inlineStr">
        <is>
          <t>2025-04</t>
        </is>
      </c>
      <c r="C1093" t="inlineStr">
        <is>
          <t>COMERCIAL Y PRODUCCIÓN A&amp;B SPA</t>
        </is>
      </c>
      <c r="D1093" t="inlineStr">
        <is>
          <t>Petit Tradicional</t>
        </is>
      </c>
      <c r="E1093" s="34" t="n">
        <v>15400</v>
      </c>
      <c r="F1093" t="inlineStr">
        <is>
          <t>F</t>
        </is>
      </c>
      <c r="G1093" s="34" t="n">
        <v>2459</v>
      </c>
      <c r="H1093" s="34" t="n">
        <v>12941</v>
      </c>
      <c r="I1093" t="inlineStr">
        <is>
          <t>3.1</t>
        </is>
      </c>
      <c r="J1093" t="inlineStr">
        <is>
          <t>Ventas HoReCa</t>
        </is>
      </c>
      <c r="K1093" t="inlineStr">
        <is>
          <t>CH1</t>
        </is>
      </c>
    </row>
    <row r="1094">
      <c r="A1094" s="33" t="n">
        <v>45764</v>
      </c>
      <c r="B1094" t="inlineStr">
        <is>
          <t>2025-04</t>
        </is>
      </c>
      <c r="C1094" t="inlineStr">
        <is>
          <t>ROSE  MEIER</t>
        </is>
      </c>
      <c r="D1094" t="inlineStr">
        <is>
          <t>PACKS GOURMET</t>
        </is>
      </c>
      <c r="E1094" s="34" t="n">
        <v>35986</v>
      </c>
      <c r="F1094" t="inlineStr">
        <is>
          <t>B</t>
        </is>
      </c>
      <c r="G1094" s="34" t="n">
        <v>5746</v>
      </c>
      <c r="H1094" s="34" t="n">
        <v>30240</v>
      </c>
      <c r="I1094" t="inlineStr">
        <is>
          <t>3.2</t>
        </is>
      </c>
      <c r="J1094" t="inlineStr">
        <is>
          <t>Ventas Personas (B2C)</t>
        </is>
      </c>
      <c r="K1094" t="inlineStr">
        <is>
          <t>CH2</t>
        </is>
      </c>
    </row>
    <row r="1095">
      <c r="A1095" s="33" t="n">
        <v>45764</v>
      </c>
      <c r="B1095" t="inlineStr">
        <is>
          <t>2025-04</t>
        </is>
      </c>
      <c r="C1095" t="inlineStr">
        <is>
          <t>paula banda</t>
        </is>
      </c>
      <c r="D1095" t="inlineStr">
        <is>
          <t>CANELÉ TRADICIONAL</t>
        </is>
      </c>
      <c r="E1095" s="34" t="n">
        <v>21890</v>
      </c>
      <c r="F1095" t="inlineStr">
        <is>
          <t>B</t>
        </is>
      </c>
      <c r="G1095" s="34" t="n">
        <v>3495</v>
      </c>
      <c r="H1095" s="34" t="n">
        <v>18395</v>
      </c>
      <c r="I1095" t="inlineStr">
        <is>
          <t>3.2</t>
        </is>
      </c>
      <c r="J1095" t="inlineStr">
        <is>
          <t>Ventas Personas (B2C)</t>
        </is>
      </c>
      <c r="K1095" t="inlineStr">
        <is>
          <t>CH2</t>
        </is>
      </c>
    </row>
    <row r="1096">
      <c r="A1096" s="33" t="n">
        <v>45764</v>
      </c>
      <c r="B1096" t="inlineStr">
        <is>
          <t>2025-04</t>
        </is>
      </c>
      <c r="C1096" t="inlineStr">
        <is>
          <t>Isabel Schild Wenzel</t>
        </is>
      </c>
      <c r="D1096" t="inlineStr">
        <is>
          <t>Pascua de Resurrección</t>
        </is>
      </c>
      <c r="E1096" s="34" t="n">
        <v>29800</v>
      </c>
      <c r="F1096" t="inlineStr">
        <is>
          <t>B</t>
        </is>
      </c>
      <c r="G1096" s="34" t="n">
        <v>4758</v>
      </c>
      <c r="H1096" s="34" t="n">
        <v>25042</v>
      </c>
      <c r="I1096" t="inlineStr">
        <is>
          <t>3.2</t>
        </is>
      </c>
      <c r="J1096" t="inlineStr">
        <is>
          <t>Ventas Personas (B2C)</t>
        </is>
      </c>
      <c r="K1096" t="inlineStr">
        <is>
          <t>CH2</t>
        </is>
      </c>
    </row>
    <row r="1097">
      <c r="A1097" s="33" t="n">
        <v>45764</v>
      </c>
      <c r="B1097" t="inlineStr">
        <is>
          <t>2025-04</t>
        </is>
      </c>
      <c r="C1097" t="inlineStr">
        <is>
          <t>Carolina Molina</t>
        </is>
      </c>
      <c r="D1097" t="inlineStr">
        <is>
          <t>Pascua de Resurrección</t>
        </is>
      </c>
      <c r="E1097" s="34" t="n">
        <v>18889</v>
      </c>
      <c r="F1097" t="inlineStr">
        <is>
          <t>B</t>
        </is>
      </c>
      <c r="G1097" s="34" t="n">
        <v>3016</v>
      </c>
      <c r="H1097" s="34" t="n">
        <v>15873</v>
      </c>
      <c r="I1097" t="inlineStr">
        <is>
          <t>3.2</t>
        </is>
      </c>
      <c r="J1097" t="inlineStr">
        <is>
          <t>Ventas Personas (B2C)</t>
        </is>
      </c>
      <c r="K1097" t="inlineStr">
        <is>
          <t>CH2</t>
        </is>
      </c>
    </row>
    <row r="1098">
      <c r="A1098" s="33" t="n">
        <v>45765</v>
      </c>
      <c r="B1098" t="inlineStr">
        <is>
          <t>2025-04</t>
        </is>
      </c>
      <c r="C1098" t="inlineStr">
        <is>
          <t>DIEGO VARGAS BANQUETERIA Y EVENTOS SPA</t>
        </is>
      </c>
      <c r="D1098" t="inlineStr">
        <is>
          <t>HORECA CATERING</t>
        </is>
      </c>
      <c r="E1098" s="34" t="n">
        <v>162665</v>
      </c>
      <c r="F1098" t="inlineStr">
        <is>
          <t>F</t>
        </is>
      </c>
      <c r="G1098" s="34" t="n">
        <v>25972</v>
      </c>
      <c r="H1098" s="34" t="n">
        <v>136693</v>
      </c>
      <c r="I1098" t="inlineStr">
        <is>
          <t>3.1</t>
        </is>
      </c>
      <c r="J1098" t="inlineStr">
        <is>
          <t>Ventas HoReCa</t>
        </is>
      </c>
      <c r="K1098" t="inlineStr">
        <is>
          <t>CH1</t>
        </is>
      </c>
    </row>
    <row r="1099">
      <c r="A1099" s="33" t="n">
        <v>45765</v>
      </c>
      <c r="B1099" t="inlineStr">
        <is>
          <t>2025-04</t>
        </is>
      </c>
      <c r="C1099" t="inlineStr">
        <is>
          <t>Inversiones Café Dominicos SpA</t>
        </is>
      </c>
      <c r="D1099" t="inlineStr">
        <is>
          <t xml:space="preserve">THE COFFEE STORE </t>
        </is>
      </c>
      <c r="E1099" s="34" t="n">
        <v>36977</v>
      </c>
      <c r="F1099" t="inlineStr">
        <is>
          <t>F</t>
        </is>
      </c>
      <c r="G1099" s="34" t="n">
        <v>5904</v>
      </c>
      <c r="H1099" s="34" t="n">
        <v>31073</v>
      </c>
      <c r="I1099" t="inlineStr">
        <is>
          <t>3.1</t>
        </is>
      </c>
      <c r="J1099" t="inlineStr">
        <is>
          <t>Ventas HoReCa</t>
        </is>
      </c>
      <c r="K1099" t="inlineStr">
        <is>
          <t>CH1</t>
        </is>
      </c>
    </row>
    <row r="1100">
      <c r="A1100" s="33" t="n">
        <v>45765</v>
      </c>
      <c r="B1100" t="inlineStr">
        <is>
          <t>2025-04</t>
        </is>
      </c>
      <c r="C1100" t="inlineStr">
        <is>
          <t>Oscar Manuel García Chávez</t>
        </is>
      </c>
      <c r="D1100" t="inlineStr">
        <is>
          <t>Mix Sabores</t>
        </is>
      </c>
      <c r="E1100" s="34" t="n">
        <v>-44685</v>
      </c>
      <c r="F1100" t="inlineStr">
        <is>
          <t>NC</t>
        </is>
      </c>
      <c r="G1100" s="34" t="n">
        <v>-7135</v>
      </c>
      <c r="H1100" s="34" t="n">
        <v>-37550</v>
      </c>
      <c r="I1100" t="inlineStr">
        <is>
          <t>3.2</t>
        </is>
      </c>
      <c r="J1100" t="inlineStr">
        <is>
          <t>Ventas Personas (B2C)</t>
        </is>
      </c>
      <c r="K1100" t="inlineStr">
        <is>
          <t>CH2</t>
        </is>
      </c>
    </row>
    <row r="1101">
      <c r="A1101" s="33" t="n">
        <v>45765</v>
      </c>
      <c r="B1101" t="inlineStr">
        <is>
          <t>2025-04</t>
        </is>
      </c>
      <c r="C1101" t="inlineStr">
        <is>
          <t>Restaurant Cocina Turka SPA</t>
        </is>
      </c>
      <c r="D1101" t="inlineStr">
        <is>
          <t>Mix Sabores</t>
        </is>
      </c>
      <c r="E1101" s="34" t="n">
        <v>44685</v>
      </c>
      <c r="F1101" t="inlineStr">
        <is>
          <t>F</t>
        </is>
      </c>
      <c r="G1101" s="34" t="n">
        <v>7135</v>
      </c>
      <c r="H1101" s="34" t="n">
        <v>37550</v>
      </c>
      <c r="I1101" t="inlineStr">
        <is>
          <t>3.1</t>
        </is>
      </c>
      <c r="J1101" t="inlineStr">
        <is>
          <t>Ventas HoReCa</t>
        </is>
      </c>
      <c r="K1101" t="inlineStr">
        <is>
          <t>CH1</t>
        </is>
      </c>
    </row>
    <row r="1102">
      <c r="A1102" s="33" t="n">
        <v>45765</v>
      </c>
      <c r="B1102" t="inlineStr">
        <is>
          <t>2025-04</t>
        </is>
      </c>
      <c r="C1102" t="inlineStr">
        <is>
          <t>Katherine Cabello reyes</t>
        </is>
      </c>
      <c r="D1102" t="inlineStr">
        <is>
          <t>CANELÉ TRADICIONAL</t>
        </is>
      </c>
      <c r="E1102" s="34" t="n">
        <v>29889</v>
      </c>
      <c r="F1102" t="inlineStr">
        <is>
          <t>B</t>
        </is>
      </c>
      <c r="G1102" s="34" t="n">
        <v>4772</v>
      </c>
      <c r="H1102" s="34" t="n">
        <v>25117</v>
      </c>
      <c r="I1102" t="inlineStr">
        <is>
          <t>3.2</t>
        </is>
      </c>
      <c r="J1102" t="inlineStr">
        <is>
          <t>Ventas Personas (B2C)</t>
        </is>
      </c>
      <c r="K1102" t="inlineStr">
        <is>
          <t>CH2</t>
        </is>
      </c>
    </row>
    <row r="1103">
      <c r="A1103" s="33" t="n">
        <v>45765</v>
      </c>
      <c r="B1103" t="inlineStr">
        <is>
          <t>2025-04</t>
        </is>
      </c>
      <c r="C1103" t="inlineStr">
        <is>
          <t>Sebastián Acosta Villa</t>
        </is>
      </c>
      <c r="D1103" t="inlineStr">
        <is>
          <t>Pascua de Resurrección</t>
        </is>
      </c>
      <c r="E1103" s="34" t="n">
        <v>18889</v>
      </c>
      <c r="F1103" t="inlineStr">
        <is>
          <t>B</t>
        </is>
      </c>
      <c r="G1103" s="34" t="n">
        <v>3016</v>
      </c>
      <c r="H1103" s="34" t="n">
        <v>15873</v>
      </c>
      <c r="I1103" t="inlineStr">
        <is>
          <t>3.2</t>
        </is>
      </c>
      <c r="J1103" t="inlineStr">
        <is>
          <t>Ventas Personas (B2C)</t>
        </is>
      </c>
      <c r="K1103" t="inlineStr">
        <is>
          <t>CH2</t>
        </is>
      </c>
    </row>
    <row r="1104">
      <c r="A1104" s="33" t="n">
        <v>45765</v>
      </c>
      <c r="B1104" t="inlineStr">
        <is>
          <t>2025-04</t>
        </is>
      </c>
      <c r="C1104" t="inlineStr">
        <is>
          <t>Sin cliente</t>
        </is>
      </c>
      <c r="D1104" t="inlineStr">
        <is>
          <t>Mix Sabores</t>
        </is>
      </c>
      <c r="E1104" s="34" t="n">
        <v>22800</v>
      </c>
      <c r="F1104" t="inlineStr">
        <is>
          <t>B</t>
        </is>
      </c>
      <c r="G1104" s="34" t="n">
        <v>3640</v>
      </c>
      <c r="H1104" s="34" t="n">
        <v>19160</v>
      </c>
      <c r="I1104" t="inlineStr">
        <is>
          <t>3.2</t>
        </is>
      </c>
      <c r="J1104" t="inlineStr">
        <is>
          <t>Ventas Personas (B2C)</t>
        </is>
      </c>
      <c r="K1104" t="inlineStr">
        <is>
          <t>CH2</t>
        </is>
      </c>
    </row>
    <row r="1105">
      <c r="A1105" s="33" t="n">
        <v>45765</v>
      </c>
      <c r="B1105" t="inlineStr">
        <is>
          <t>2025-04</t>
        </is>
      </c>
      <c r="C1105" t="inlineStr">
        <is>
          <t>Sebastian Jimenez</t>
        </is>
      </c>
      <c r="D1105" t="inlineStr">
        <is>
          <t>CANELÉ TRADICIONAL</t>
        </is>
      </c>
      <c r="E1105" s="34" t="n">
        <v>17399</v>
      </c>
      <c r="F1105" t="inlineStr">
        <is>
          <t>B</t>
        </is>
      </c>
      <c r="G1105" s="34" t="n">
        <v>2778</v>
      </c>
      <c r="H1105" s="34" t="n">
        <v>14621</v>
      </c>
      <c r="I1105" t="inlineStr">
        <is>
          <t>3.2</t>
        </is>
      </c>
      <c r="J1105" t="inlineStr">
        <is>
          <t>Ventas Personas (B2C)</t>
        </is>
      </c>
      <c r="K1105" t="inlineStr">
        <is>
          <t>CH2</t>
        </is>
      </c>
    </row>
    <row r="1106">
      <c r="A1106" s="33" t="n">
        <v>45765</v>
      </c>
      <c r="B1106" t="inlineStr">
        <is>
          <t>2025-04</t>
        </is>
      </c>
      <c r="C1106" t="inlineStr">
        <is>
          <t>Maximiliano  Bernal</t>
        </is>
      </c>
      <c r="D1106" t="inlineStr">
        <is>
          <t>CANELÉ TRADICIONAL</t>
        </is>
      </c>
      <c r="E1106" s="34" t="n">
        <v>26900</v>
      </c>
      <c r="F1106" t="inlineStr">
        <is>
          <t>B</t>
        </is>
      </c>
      <c r="G1106" s="34" t="n">
        <v>4295</v>
      </c>
      <c r="H1106" s="34" t="n">
        <v>22605</v>
      </c>
      <c r="I1106" t="inlineStr">
        <is>
          <t>3.2</t>
        </is>
      </c>
      <c r="J1106" t="inlineStr">
        <is>
          <t>Ventas Personas (B2C)</t>
        </is>
      </c>
      <c r="K1106" t="inlineStr">
        <is>
          <t>CH2</t>
        </is>
      </c>
    </row>
    <row r="1107">
      <c r="A1107" s="33" t="n">
        <v>45765</v>
      </c>
      <c r="B1107" t="inlineStr">
        <is>
          <t>2025-04</t>
        </is>
      </c>
      <c r="C1107" t="inlineStr">
        <is>
          <t>sylvina riveros</t>
        </is>
      </c>
      <c r="D1107" t="inlineStr">
        <is>
          <t>CANELÉ TRADICIONAL</t>
        </is>
      </c>
      <c r="E1107" s="34" t="n">
        <v>26900</v>
      </c>
      <c r="F1107" t="inlineStr">
        <is>
          <t>B</t>
        </is>
      </c>
      <c r="G1107" s="34" t="n">
        <v>4295</v>
      </c>
      <c r="H1107" s="34" t="n">
        <v>22605</v>
      </c>
      <c r="I1107" t="inlineStr">
        <is>
          <t>3.2</t>
        </is>
      </c>
      <c r="J1107" t="inlineStr">
        <is>
          <t>Ventas Personas (B2C)</t>
        </is>
      </c>
      <c r="K1107" t="inlineStr">
        <is>
          <t>CH2</t>
        </is>
      </c>
    </row>
    <row r="1108">
      <c r="A1108" s="33" t="n">
        <v>45765</v>
      </c>
      <c r="B1108" t="inlineStr">
        <is>
          <t>2025-04</t>
        </is>
      </c>
      <c r="C1108" t="inlineStr">
        <is>
          <t>María Paz kaplan Blamey</t>
        </is>
      </c>
      <c r="D1108" t="inlineStr">
        <is>
          <t>Pascua de Resurrección</t>
        </is>
      </c>
      <c r="E1108" s="34" t="n">
        <v>32789</v>
      </c>
      <c r="F1108" t="inlineStr">
        <is>
          <t>B</t>
        </is>
      </c>
      <c r="G1108" s="34" t="n">
        <v>5235</v>
      </c>
      <c r="H1108" s="34" t="n">
        <v>27554</v>
      </c>
      <c r="I1108" t="inlineStr">
        <is>
          <t>3.2</t>
        </is>
      </c>
      <c r="J1108" t="inlineStr">
        <is>
          <t>Ventas Personas (B2C)</t>
        </is>
      </c>
      <c r="K1108" t="inlineStr">
        <is>
          <t>CH2</t>
        </is>
      </c>
    </row>
    <row r="1109">
      <c r="A1109" s="33" t="n">
        <v>45765</v>
      </c>
      <c r="B1109" t="inlineStr">
        <is>
          <t>2025-04</t>
        </is>
      </c>
      <c r="C1109" t="inlineStr">
        <is>
          <t>atsushi  hotta</t>
        </is>
      </c>
      <c r="D1109" t="inlineStr">
        <is>
          <t>CANELÉ TRADICIONAL</t>
        </is>
      </c>
      <c r="E1109" s="34" t="n">
        <v>19400</v>
      </c>
      <c r="F1109" t="inlineStr">
        <is>
          <t>B</t>
        </is>
      </c>
      <c r="G1109" s="34" t="n">
        <v>3097</v>
      </c>
      <c r="H1109" s="34" t="n">
        <v>16303</v>
      </c>
      <c r="I1109" t="inlineStr">
        <is>
          <t>3.2</t>
        </is>
      </c>
      <c r="J1109" t="inlineStr">
        <is>
          <t>Ventas Personas (B2C)</t>
        </is>
      </c>
      <c r="K1109" t="inlineStr">
        <is>
          <t>CH2</t>
        </is>
      </c>
    </row>
    <row r="1110">
      <c r="A1110" s="33" t="n">
        <v>45765</v>
      </c>
      <c r="B1110" t="inlineStr">
        <is>
          <t>2025-04</t>
        </is>
      </c>
      <c r="C1110" t="inlineStr">
        <is>
          <t>Daniela Echeverria</t>
        </is>
      </c>
      <c r="D1110" t="inlineStr">
        <is>
          <t>Pascua de Resurrección</t>
        </is>
      </c>
      <c r="E1110" s="34" t="n">
        <v>18890</v>
      </c>
      <c r="F1110" t="inlineStr">
        <is>
          <t>B</t>
        </is>
      </c>
      <c r="G1110" s="34" t="n">
        <v>3016</v>
      </c>
      <c r="H1110" s="34" t="n">
        <v>15874</v>
      </c>
      <c r="I1110" t="inlineStr">
        <is>
          <t>3.2</t>
        </is>
      </c>
      <c r="J1110" t="inlineStr">
        <is>
          <t>Ventas Personas (B2C)</t>
        </is>
      </c>
      <c r="K1110" t="inlineStr">
        <is>
          <t>CH2</t>
        </is>
      </c>
    </row>
    <row r="1111">
      <c r="A1111" s="33" t="n">
        <v>45765</v>
      </c>
      <c r="B1111" t="inlineStr">
        <is>
          <t>2025-04</t>
        </is>
      </c>
      <c r="C1111" t="inlineStr">
        <is>
          <t>Sin cliente</t>
        </is>
      </c>
      <c r="D1111" t="inlineStr">
        <is>
          <t>CANELÉ TRADICIONAL</t>
        </is>
      </c>
      <c r="E1111" s="34" t="n">
        <v>21890</v>
      </c>
      <c r="F1111" t="inlineStr">
        <is>
          <t>B</t>
        </is>
      </c>
      <c r="G1111" s="34" t="n">
        <v>3495</v>
      </c>
      <c r="H1111" s="34" t="n">
        <v>18395</v>
      </c>
      <c r="I1111" t="inlineStr">
        <is>
          <t>3.2</t>
        </is>
      </c>
      <c r="J1111" t="inlineStr">
        <is>
          <t>Ventas Personas (B2C)</t>
        </is>
      </c>
      <c r="K1111" t="inlineStr">
        <is>
          <t>CH2</t>
        </is>
      </c>
    </row>
    <row r="1112">
      <c r="A1112" s="33" t="n">
        <v>45765</v>
      </c>
      <c r="B1112" t="inlineStr">
        <is>
          <t>2025-04</t>
        </is>
      </c>
      <c r="C1112" t="inlineStr">
        <is>
          <t>Sin cliente</t>
        </is>
      </c>
      <c r="D1112" t="inlineStr">
        <is>
          <t>SALSAS</t>
        </is>
      </c>
      <c r="E1112" s="34" t="n">
        <v>35880</v>
      </c>
      <c r="F1112" t="inlineStr">
        <is>
          <t>B</t>
        </is>
      </c>
      <c r="G1112" s="34" t="n">
        <v>5729</v>
      </c>
      <c r="H1112" s="34" t="n">
        <v>30151</v>
      </c>
      <c r="I1112" t="inlineStr">
        <is>
          <t>3.2</t>
        </is>
      </c>
      <c r="J1112" t="inlineStr">
        <is>
          <t>Ventas Personas (B2C)</t>
        </is>
      </c>
      <c r="K1112" t="inlineStr">
        <is>
          <t>CH2</t>
        </is>
      </c>
    </row>
    <row r="1113">
      <c r="A1113" s="33" t="n">
        <v>45765</v>
      </c>
      <c r="B1113" t="inlineStr">
        <is>
          <t>2025-04</t>
        </is>
      </c>
      <c r="C1113" t="inlineStr">
        <is>
          <t>Cristian Barahona</t>
        </is>
      </c>
      <c r="D1113" t="inlineStr">
        <is>
          <t>Pascua de Resurrección</t>
        </is>
      </c>
      <c r="E1113" s="34" t="n">
        <v>17400</v>
      </c>
      <c r="F1113" t="inlineStr">
        <is>
          <t>B</t>
        </is>
      </c>
      <c r="G1113" s="34" t="n">
        <v>2778</v>
      </c>
      <c r="H1113" s="34" t="n">
        <v>14622</v>
      </c>
      <c r="I1113" t="inlineStr">
        <is>
          <t>3.2</t>
        </is>
      </c>
      <c r="J1113" t="inlineStr">
        <is>
          <t>Ventas Personas (B2C)</t>
        </is>
      </c>
      <c r="K1113" t="inlineStr">
        <is>
          <t>CH2</t>
        </is>
      </c>
    </row>
    <row r="1114">
      <c r="A1114" s="33" t="n">
        <v>45766</v>
      </c>
      <c r="B1114" t="inlineStr">
        <is>
          <t>2025-04</t>
        </is>
      </c>
      <c r="C1114" t="inlineStr">
        <is>
          <t>Sylvana Ortega Thomas</t>
        </is>
      </c>
      <c r="D1114" t="inlineStr">
        <is>
          <t>Pascua de Resurrección</t>
        </is>
      </c>
      <c r="E1114" s="34" t="n">
        <v>18890</v>
      </c>
      <c r="F1114" t="inlineStr">
        <is>
          <t>B</t>
        </is>
      </c>
      <c r="G1114" s="34" t="n">
        <v>3016</v>
      </c>
      <c r="H1114" s="34" t="n">
        <v>15874</v>
      </c>
      <c r="I1114" t="inlineStr">
        <is>
          <t>3.2</t>
        </is>
      </c>
      <c r="J1114" t="inlineStr">
        <is>
          <t>Ventas Personas (B2C)</t>
        </is>
      </c>
      <c r="K1114" t="inlineStr">
        <is>
          <t>CH2</t>
        </is>
      </c>
    </row>
    <row r="1115">
      <c r="A1115" s="33" t="n">
        <v>45766</v>
      </c>
      <c r="B1115" t="inlineStr">
        <is>
          <t>2025-04</t>
        </is>
      </c>
      <c r="C1115" t="inlineStr">
        <is>
          <t>Sin cliente</t>
        </is>
      </c>
      <c r="D1115" t="inlineStr">
        <is>
          <t>PLATAFORMAS RAP-PEYA-UBER-GOOD</t>
        </is>
      </c>
      <c r="E1115" s="34" t="n">
        <v>17880</v>
      </c>
      <c r="F1115" t="inlineStr">
        <is>
          <t>B</t>
        </is>
      </c>
      <c r="G1115" s="34" t="n">
        <v>2855</v>
      </c>
      <c r="H1115" s="34" t="n">
        <v>15025</v>
      </c>
      <c r="I1115" t="inlineStr">
        <is>
          <t>3.6</t>
        </is>
      </c>
      <c r="J1115" t="inlineStr">
        <is>
          <t>Ventas Delivery Apps</t>
        </is>
      </c>
      <c r="K1115" t="inlineStr">
        <is>
          <t>CH3</t>
        </is>
      </c>
    </row>
    <row r="1116">
      <c r="A1116" s="33" t="n">
        <v>45766</v>
      </c>
      <c r="B1116" t="inlineStr">
        <is>
          <t>2025-04</t>
        </is>
      </c>
      <c r="C1116" t="inlineStr">
        <is>
          <t>Camilo Edwards Amenábar</t>
        </is>
      </c>
      <c r="D1116" t="inlineStr">
        <is>
          <t>Pascua de Resurrección</t>
        </is>
      </c>
      <c r="E1116" s="34" t="n">
        <v>18890</v>
      </c>
      <c r="F1116" t="inlineStr">
        <is>
          <t>B</t>
        </is>
      </c>
      <c r="G1116" s="34" t="n">
        <v>3016</v>
      </c>
      <c r="H1116" s="34" t="n">
        <v>15874</v>
      </c>
      <c r="I1116" t="inlineStr">
        <is>
          <t>3.2</t>
        </is>
      </c>
      <c r="J1116" t="inlineStr">
        <is>
          <t>Ventas Personas (B2C)</t>
        </is>
      </c>
      <c r="K1116" t="inlineStr">
        <is>
          <t>CH2</t>
        </is>
      </c>
    </row>
    <row r="1117">
      <c r="A1117" s="33" t="n">
        <v>45766</v>
      </c>
      <c r="B1117" t="inlineStr">
        <is>
          <t>2025-04</t>
        </is>
      </c>
      <c r="C1117" t="inlineStr">
        <is>
          <t>Orietta Stefanelli</t>
        </is>
      </c>
      <c r="D1117" t="inlineStr">
        <is>
          <t>Petit Tradicional</t>
        </is>
      </c>
      <c r="E1117" s="34" t="n">
        <v>27800</v>
      </c>
      <c r="F1117" t="inlineStr">
        <is>
          <t>B</t>
        </is>
      </c>
      <c r="G1117" s="34" t="n">
        <v>4439</v>
      </c>
      <c r="H1117" s="34" t="n">
        <v>23361</v>
      </c>
      <c r="I1117" t="inlineStr">
        <is>
          <t>3.2</t>
        </is>
      </c>
      <c r="J1117" t="inlineStr">
        <is>
          <t>Ventas Personas (B2C)</t>
        </is>
      </c>
      <c r="K1117" t="inlineStr">
        <is>
          <t>CH2</t>
        </is>
      </c>
    </row>
    <row r="1118">
      <c r="A1118" s="33" t="n">
        <v>45766</v>
      </c>
      <c r="B1118" t="inlineStr">
        <is>
          <t>2025-04</t>
        </is>
      </c>
      <c r="C1118" t="inlineStr">
        <is>
          <t>Sin cliente</t>
        </is>
      </c>
      <c r="D1118" t="inlineStr">
        <is>
          <t>Petit Tradicional</t>
        </is>
      </c>
      <c r="E1118" s="34" t="n">
        <v>47600</v>
      </c>
      <c r="F1118" t="inlineStr">
        <is>
          <t>B</t>
        </is>
      </c>
      <c r="G1118" s="34" t="n">
        <v>7600</v>
      </c>
      <c r="H1118" s="34" t="n">
        <v>40000</v>
      </c>
      <c r="I1118" t="inlineStr">
        <is>
          <t>3.2</t>
        </is>
      </c>
      <c r="J1118" t="inlineStr">
        <is>
          <t>Ventas Personas (B2C)</t>
        </is>
      </c>
      <c r="K1118" t="inlineStr">
        <is>
          <t>CH2</t>
        </is>
      </c>
    </row>
    <row r="1119">
      <c r="A1119" s="33" t="n">
        <v>45766</v>
      </c>
      <c r="B1119" t="inlineStr">
        <is>
          <t>2025-04</t>
        </is>
      </c>
      <c r="C1119" t="inlineStr">
        <is>
          <t>Lida F</t>
        </is>
      </c>
      <c r="D1119" t="inlineStr">
        <is>
          <t>CANELÉ TRADICIONAL</t>
        </is>
      </c>
      <c r="E1119" s="34" t="n">
        <v>20000</v>
      </c>
      <c r="F1119" t="inlineStr">
        <is>
          <t>B</t>
        </is>
      </c>
      <c r="G1119" s="34" t="n">
        <v>3193</v>
      </c>
      <c r="H1119" s="34" t="n">
        <v>16807</v>
      </c>
      <c r="I1119" t="inlineStr">
        <is>
          <t>3.2</t>
        </is>
      </c>
      <c r="J1119" t="inlineStr">
        <is>
          <t>Ventas Personas (B2C)</t>
        </is>
      </c>
      <c r="K1119" t="inlineStr">
        <is>
          <t>CH2</t>
        </is>
      </c>
    </row>
    <row r="1120">
      <c r="A1120" s="33" t="n">
        <v>45766</v>
      </c>
      <c r="B1120" t="inlineStr">
        <is>
          <t>2025-04</t>
        </is>
      </c>
      <c r="C1120" t="inlineStr">
        <is>
          <t>Andres Cadiz</t>
        </is>
      </c>
      <c r="D1120" t="inlineStr">
        <is>
          <t>Pascua de Resurrección</t>
        </is>
      </c>
      <c r="E1120" s="34" t="n">
        <v>14900</v>
      </c>
      <c r="F1120" t="inlineStr">
        <is>
          <t>B</t>
        </is>
      </c>
      <c r="G1120" s="34" t="n">
        <v>2379</v>
      </c>
      <c r="H1120" s="34" t="n">
        <v>12521</v>
      </c>
      <c r="I1120" t="inlineStr">
        <is>
          <t>3.2</t>
        </is>
      </c>
      <c r="J1120" t="inlineStr">
        <is>
          <t>Ventas Personas (B2C)</t>
        </is>
      </c>
      <c r="K1120" t="inlineStr">
        <is>
          <t>CH2</t>
        </is>
      </c>
    </row>
    <row r="1121">
      <c r="A1121" s="33" t="n">
        <v>45766</v>
      </c>
      <c r="B1121" t="inlineStr">
        <is>
          <t>2025-04</t>
        </is>
      </c>
      <c r="C1121" t="inlineStr">
        <is>
          <t>Carlos  James</t>
        </is>
      </c>
      <c r="D1121" t="inlineStr">
        <is>
          <t>Petit Tradicional</t>
        </is>
      </c>
      <c r="E1121" s="34" t="n">
        <v>8900</v>
      </c>
      <c r="F1121" t="inlineStr">
        <is>
          <t>B</t>
        </is>
      </c>
      <c r="G1121" s="34" t="n">
        <v>1421</v>
      </c>
      <c r="H1121" s="34" t="n">
        <v>7479</v>
      </c>
      <c r="I1121" t="inlineStr">
        <is>
          <t>3.2</t>
        </is>
      </c>
      <c r="J1121" t="inlineStr">
        <is>
          <t>Ventas Personas (B2C)</t>
        </is>
      </c>
      <c r="K1121" t="inlineStr">
        <is>
          <t>CH2</t>
        </is>
      </c>
    </row>
    <row r="1122">
      <c r="A1122" s="33" t="n">
        <v>45766</v>
      </c>
      <c r="B1122" t="inlineStr">
        <is>
          <t>2025-04</t>
        </is>
      </c>
      <c r="C1122" t="inlineStr">
        <is>
          <t>Maho Ishiwata</t>
        </is>
      </c>
      <c r="D1122" t="inlineStr">
        <is>
          <t>Petit Crunchy</t>
        </is>
      </c>
      <c r="E1122" s="34" t="n">
        <v>13900</v>
      </c>
      <c r="F1122" t="inlineStr">
        <is>
          <t>B</t>
        </is>
      </c>
      <c r="G1122" s="34" t="n">
        <v>2219</v>
      </c>
      <c r="H1122" s="34" t="n">
        <v>11681</v>
      </c>
      <c r="I1122" t="inlineStr">
        <is>
          <t>3.2</t>
        </is>
      </c>
      <c r="J1122" t="inlineStr">
        <is>
          <t>Ventas Personas (B2C)</t>
        </is>
      </c>
      <c r="K1122" t="inlineStr">
        <is>
          <t>CH2</t>
        </is>
      </c>
    </row>
    <row r="1123">
      <c r="A1123" s="33" t="n">
        <v>45768</v>
      </c>
      <c r="B1123" t="inlineStr">
        <is>
          <t>2025-04</t>
        </is>
      </c>
      <c r="C1123" t="inlineStr">
        <is>
          <t>Okinawa Spa</t>
        </is>
      </c>
      <c r="D1123" t="inlineStr">
        <is>
          <t>HORECA CAFETERIA</t>
        </is>
      </c>
      <c r="E1123" s="34" t="n">
        <v>149726</v>
      </c>
      <c r="F1123" t="inlineStr">
        <is>
          <t>F</t>
        </is>
      </c>
      <c r="G1123" s="34" t="n">
        <v>23906</v>
      </c>
      <c r="H1123" s="34" t="n">
        <v>125820</v>
      </c>
      <c r="I1123" t="inlineStr">
        <is>
          <t>3.1</t>
        </is>
      </c>
      <c r="J1123" t="inlineStr">
        <is>
          <t>Ventas HoReCa</t>
        </is>
      </c>
      <c r="K1123" t="inlineStr">
        <is>
          <t>CH1</t>
        </is>
      </c>
    </row>
    <row r="1124">
      <c r="A1124" s="33" t="n">
        <v>45768</v>
      </c>
      <c r="B1124" t="inlineStr">
        <is>
          <t>2025-04</t>
        </is>
      </c>
      <c r="C1124" t="inlineStr">
        <is>
          <t>Felipe Nuñez</t>
        </is>
      </c>
      <c r="D1124" t="inlineStr">
        <is>
          <t>CANELÉ TRADICIONAL</t>
        </is>
      </c>
      <c r="E1124" s="34" t="n">
        <v>21990</v>
      </c>
      <c r="F1124" t="inlineStr">
        <is>
          <t>B</t>
        </is>
      </c>
      <c r="G1124" s="34" t="n">
        <v>3511</v>
      </c>
      <c r="H1124" s="34" t="n">
        <v>18479</v>
      </c>
      <c r="I1124" t="inlineStr">
        <is>
          <t>3.2</t>
        </is>
      </c>
      <c r="J1124" t="inlineStr">
        <is>
          <t>Ventas Personas (B2C)</t>
        </is>
      </c>
      <c r="K1124" t="inlineStr">
        <is>
          <t>CH2</t>
        </is>
      </c>
    </row>
    <row r="1125">
      <c r="A1125" s="33" t="n">
        <v>45768</v>
      </c>
      <c r="B1125" t="inlineStr">
        <is>
          <t>2025-04</t>
        </is>
      </c>
      <c r="C1125" t="inlineStr">
        <is>
          <t>CAFETERÍAS MISTER SPA</t>
        </is>
      </c>
      <c r="D1125" t="inlineStr">
        <is>
          <t>HORECA CAFETERIA</t>
        </is>
      </c>
      <c r="E1125" s="34" t="n">
        <v>33978</v>
      </c>
      <c r="F1125" t="inlineStr">
        <is>
          <t>F</t>
        </is>
      </c>
      <c r="G1125" s="34" t="n">
        <v>5425</v>
      </c>
      <c r="H1125" s="34" t="n">
        <v>28553</v>
      </c>
      <c r="I1125" t="inlineStr">
        <is>
          <t>3.1</t>
        </is>
      </c>
      <c r="J1125" t="inlineStr">
        <is>
          <t>Ventas HoReCa</t>
        </is>
      </c>
      <c r="K1125" t="inlineStr">
        <is>
          <t>CH1</t>
        </is>
      </c>
    </row>
    <row r="1126">
      <c r="A1126" s="33" t="n">
        <v>45768</v>
      </c>
      <c r="B1126" t="inlineStr">
        <is>
          <t>2025-04</t>
        </is>
      </c>
      <c r="C1126" t="inlineStr">
        <is>
          <t>CAFETERÍA ALTURA LIMITADA</t>
        </is>
      </c>
      <c r="D1126" t="inlineStr">
        <is>
          <t>HORECA CAFETERIA</t>
        </is>
      </c>
      <c r="E1126" s="34" t="n">
        <v>53910</v>
      </c>
      <c r="F1126" t="inlineStr">
        <is>
          <t>F</t>
        </is>
      </c>
      <c r="G1126" s="34" t="n">
        <v>8607</v>
      </c>
      <c r="H1126" s="34" t="n">
        <v>45303</v>
      </c>
      <c r="I1126" t="inlineStr">
        <is>
          <t>3.1</t>
        </is>
      </c>
      <c r="J1126" t="inlineStr">
        <is>
          <t>Ventas HoReCa</t>
        </is>
      </c>
      <c r="K1126" t="inlineStr">
        <is>
          <t>CH1</t>
        </is>
      </c>
    </row>
    <row r="1127">
      <c r="A1127" s="33" t="n">
        <v>45768</v>
      </c>
      <c r="B1127" t="inlineStr">
        <is>
          <t>2025-04</t>
        </is>
      </c>
      <c r="C1127" t="inlineStr">
        <is>
          <t>INVERSIONES Y COMERCIALIZADORA FED LIMITADA</t>
        </is>
      </c>
      <c r="D1127" t="inlineStr">
        <is>
          <t>HORECA CAFETERIA</t>
        </is>
      </c>
      <c r="E1127" s="34" t="n">
        <v>104830</v>
      </c>
      <c r="F1127" t="inlineStr">
        <is>
          <t>F</t>
        </is>
      </c>
      <c r="G1127" s="34" t="n">
        <v>16738</v>
      </c>
      <c r="H1127" s="34" t="n">
        <v>88092</v>
      </c>
      <c r="I1127" t="inlineStr">
        <is>
          <t>3.1</t>
        </is>
      </c>
      <c r="J1127" t="inlineStr">
        <is>
          <t>Ventas HoReCa</t>
        </is>
      </c>
      <c r="K1127" t="inlineStr">
        <is>
          <t>CH1</t>
        </is>
      </c>
    </row>
    <row r="1128">
      <c r="A1128" s="33" t="n">
        <v>45768</v>
      </c>
      <c r="B1128" t="inlineStr">
        <is>
          <t>2025-04</t>
        </is>
      </c>
      <c r="C1128" t="inlineStr">
        <is>
          <t>INVERSIONES Y COMERCIALIZADORA FED LIMITADA</t>
        </is>
      </c>
      <c r="D1128" t="inlineStr">
        <is>
          <t>HORECA CAFETERIA</t>
        </is>
      </c>
      <c r="E1128" s="34" t="n">
        <v>157257</v>
      </c>
      <c r="F1128" t="inlineStr">
        <is>
          <t>F</t>
        </is>
      </c>
      <c r="G1128" s="34" t="n">
        <v>25108</v>
      </c>
      <c r="H1128" s="34" t="n">
        <v>132149</v>
      </c>
      <c r="I1128" t="inlineStr">
        <is>
          <t>3.1</t>
        </is>
      </c>
      <c r="J1128" t="inlineStr">
        <is>
          <t>Ventas HoReCa</t>
        </is>
      </c>
      <c r="K1128" t="inlineStr">
        <is>
          <t>CH1</t>
        </is>
      </c>
    </row>
    <row r="1129">
      <c r="A1129" s="33" t="n">
        <v>45768</v>
      </c>
      <c r="B1129" t="inlineStr">
        <is>
          <t>2025-04</t>
        </is>
      </c>
      <c r="C1129" t="inlineStr">
        <is>
          <t>INVERSIONES Y ASESORIAS RAVAL LIMITADA</t>
        </is>
      </c>
      <c r="D1129" t="inlineStr">
        <is>
          <t>HORECA CAFETERIA</t>
        </is>
      </c>
      <c r="E1129" s="34" t="n">
        <v>67980</v>
      </c>
      <c r="F1129" t="inlineStr">
        <is>
          <t>F</t>
        </is>
      </c>
      <c r="G1129" s="34" t="n">
        <v>10854</v>
      </c>
      <c r="H1129" s="34" t="n">
        <v>57126</v>
      </c>
      <c r="I1129" t="inlineStr">
        <is>
          <t>3.1</t>
        </is>
      </c>
      <c r="J1129" t="inlineStr">
        <is>
          <t>Ventas HoReCa</t>
        </is>
      </c>
      <c r="K1129" t="inlineStr">
        <is>
          <t>CH1</t>
        </is>
      </c>
    </row>
    <row r="1130">
      <c r="A1130" s="33" t="n">
        <v>45768</v>
      </c>
      <c r="B1130" t="inlineStr">
        <is>
          <t>2025-04</t>
        </is>
      </c>
      <c r="C1130" t="inlineStr">
        <is>
          <t>POMPON SPA</t>
        </is>
      </c>
      <c r="D1130" t="inlineStr">
        <is>
          <t>HORECA CAFETERIA</t>
        </is>
      </c>
      <c r="E1130" s="34" t="n">
        <v>132510</v>
      </c>
      <c r="F1130" t="inlineStr">
        <is>
          <t>F</t>
        </is>
      </c>
      <c r="G1130" s="34" t="n">
        <v>21157</v>
      </c>
      <c r="H1130" s="34" t="n">
        <v>111353</v>
      </c>
      <c r="I1130" t="inlineStr">
        <is>
          <t>3.1</t>
        </is>
      </c>
      <c r="J1130" t="inlineStr">
        <is>
          <t>Ventas HoReCa</t>
        </is>
      </c>
      <c r="K1130" t="inlineStr">
        <is>
          <t>CH1</t>
        </is>
      </c>
    </row>
    <row r="1131">
      <c r="A1131" s="33" t="n">
        <v>45768</v>
      </c>
      <c r="B1131" t="inlineStr">
        <is>
          <t>2025-04</t>
        </is>
      </c>
      <c r="C1131" t="inlineStr">
        <is>
          <t>Carolina Sanchez</t>
        </is>
      </c>
      <c r="D1131" t="inlineStr">
        <is>
          <t>Rellenos</t>
        </is>
      </c>
      <c r="E1131" s="34" t="n">
        <v>24499</v>
      </c>
      <c r="F1131" t="inlineStr">
        <is>
          <t>B</t>
        </is>
      </c>
      <c r="G1131" s="34" t="n">
        <v>3912</v>
      </c>
      <c r="H1131" s="34" t="n">
        <v>20587</v>
      </c>
      <c r="I1131" t="inlineStr">
        <is>
          <t>3.2</t>
        </is>
      </c>
      <c r="J1131" t="inlineStr">
        <is>
          <t>Ventas Personas (B2C)</t>
        </is>
      </c>
      <c r="K1131" t="inlineStr">
        <is>
          <t>CH2</t>
        </is>
      </c>
    </row>
    <row r="1132">
      <c r="A1132" s="33" t="n">
        <v>45768</v>
      </c>
      <c r="B1132" t="inlineStr">
        <is>
          <t>2025-04</t>
        </is>
      </c>
      <c r="C1132" t="inlineStr">
        <is>
          <t>Barbara  Abarca</t>
        </is>
      </c>
      <c r="D1132" t="inlineStr">
        <is>
          <t>PACKS GOURMET</t>
        </is>
      </c>
      <c r="E1132" s="34" t="n">
        <v>21746</v>
      </c>
      <c r="F1132" t="inlineStr">
        <is>
          <t>B</t>
        </is>
      </c>
      <c r="G1132" s="34" t="n">
        <v>3472</v>
      </c>
      <c r="H1132" s="34" t="n">
        <v>18274</v>
      </c>
      <c r="I1132" t="inlineStr">
        <is>
          <t>3.2</t>
        </is>
      </c>
      <c r="J1132" t="inlineStr">
        <is>
          <t>Ventas Personas (B2C)</t>
        </is>
      </c>
      <c r="K1132" t="inlineStr">
        <is>
          <t>CH2</t>
        </is>
      </c>
    </row>
    <row r="1133">
      <c r="A1133" s="33" t="n">
        <v>45768</v>
      </c>
      <c r="B1133" t="inlineStr">
        <is>
          <t>2025-04</t>
        </is>
      </c>
      <c r="C1133" t="inlineStr">
        <is>
          <t>Sebastian Ramos</t>
        </is>
      </c>
      <c r="D1133" t="inlineStr">
        <is>
          <t>Mix Sabores</t>
        </is>
      </c>
      <c r="E1133" s="34" t="n">
        <v>34790</v>
      </c>
      <c r="F1133" t="inlineStr">
        <is>
          <t>B</t>
        </is>
      </c>
      <c r="G1133" s="34" t="n">
        <v>5555</v>
      </c>
      <c r="H1133" s="34" t="n">
        <v>29235</v>
      </c>
      <c r="I1133" t="inlineStr">
        <is>
          <t>3.2</t>
        </is>
      </c>
      <c r="J1133" t="inlineStr">
        <is>
          <t>Ventas Personas (B2C)</t>
        </is>
      </c>
      <c r="K1133" t="inlineStr">
        <is>
          <t>CH2</t>
        </is>
      </c>
    </row>
    <row r="1134">
      <c r="A1134" s="33" t="n">
        <v>45768</v>
      </c>
      <c r="B1134" t="inlineStr">
        <is>
          <t>2025-04</t>
        </is>
      </c>
      <c r="C1134" t="inlineStr">
        <is>
          <t>Sin cliente</t>
        </is>
      </c>
      <c r="D1134" t="inlineStr">
        <is>
          <t>Pascua de Resurrección</t>
        </is>
      </c>
      <c r="E1134" s="34" t="n">
        <v>7450</v>
      </c>
      <c r="F1134" t="inlineStr">
        <is>
          <t>B</t>
        </is>
      </c>
      <c r="G1134" s="34" t="n">
        <v>1189</v>
      </c>
      <c r="H1134" s="34" t="n">
        <v>6261</v>
      </c>
      <c r="I1134" t="inlineStr">
        <is>
          <t>3.2</t>
        </is>
      </c>
      <c r="J1134" t="inlineStr">
        <is>
          <t>Ventas Personas (B2C)</t>
        </is>
      </c>
      <c r="K1134" t="inlineStr">
        <is>
          <t>CH2</t>
        </is>
      </c>
    </row>
    <row r="1135">
      <c r="A1135" s="33" t="n">
        <v>45768</v>
      </c>
      <c r="B1135" t="inlineStr">
        <is>
          <t>2025-04</t>
        </is>
      </c>
      <c r="C1135" t="inlineStr">
        <is>
          <t>Catalina Vásquez Bueno</t>
        </is>
      </c>
      <c r="D1135" t="inlineStr">
        <is>
          <t>CANELÉ TRADICIONAL</t>
        </is>
      </c>
      <c r="E1135" s="34" t="n">
        <v>21890</v>
      </c>
      <c r="F1135" t="inlineStr">
        <is>
          <t>B</t>
        </is>
      </c>
      <c r="G1135" s="34" t="n">
        <v>3495</v>
      </c>
      <c r="H1135" s="34" t="n">
        <v>18395</v>
      </c>
      <c r="I1135" t="inlineStr">
        <is>
          <t>3.2</t>
        </is>
      </c>
      <c r="J1135" t="inlineStr">
        <is>
          <t>Ventas Personas (B2C)</t>
        </is>
      </c>
      <c r="K1135" t="inlineStr">
        <is>
          <t>CH2</t>
        </is>
      </c>
    </row>
    <row r="1136">
      <c r="A1136" s="33" t="n">
        <v>45768</v>
      </c>
      <c r="B1136" t="inlineStr">
        <is>
          <t>2025-04</t>
        </is>
      </c>
      <c r="C1136" t="inlineStr">
        <is>
          <t>Mildred Sustach</t>
        </is>
      </c>
      <c r="D1136" t="inlineStr">
        <is>
          <t>CANELÉ TRADICIONAL</t>
        </is>
      </c>
      <c r="E1136" s="34" t="n">
        <v>25890</v>
      </c>
      <c r="F1136" t="inlineStr">
        <is>
          <t>B</t>
        </is>
      </c>
      <c r="G1136" s="34" t="n">
        <v>4134</v>
      </c>
      <c r="H1136" s="34" t="n">
        <v>21756</v>
      </c>
      <c r="I1136" t="inlineStr">
        <is>
          <t>3.2</t>
        </is>
      </c>
      <c r="J1136" t="inlineStr">
        <is>
          <t>Ventas Personas (B2C)</t>
        </is>
      </c>
      <c r="K1136" t="inlineStr">
        <is>
          <t>CH2</t>
        </is>
      </c>
    </row>
    <row r="1137">
      <c r="A1137" s="33" t="n">
        <v>45769</v>
      </c>
      <c r="B1137" t="inlineStr">
        <is>
          <t>2025-04</t>
        </is>
      </c>
      <c r="C1137" t="inlineStr">
        <is>
          <t>RICO SPA</t>
        </is>
      </c>
      <c r="D1137" t="inlineStr">
        <is>
          <t>HORECA CATERING</t>
        </is>
      </c>
      <c r="E1137" s="34" t="n">
        <v>66045</v>
      </c>
      <c r="F1137" t="inlineStr">
        <is>
          <t>F</t>
        </is>
      </c>
      <c r="G1137" s="34" t="n">
        <v>10545</v>
      </c>
      <c r="H1137" s="34" t="n">
        <v>55500</v>
      </c>
      <c r="I1137" t="inlineStr">
        <is>
          <t>3.1</t>
        </is>
      </c>
      <c r="J1137" t="inlineStr">
        <is>
          <t>Ventas HoReCa</t>
        </is>
      </c>
      <c r="K1137" t="inlineStr">
        <is>
          <t>CH1</t>
        </is>
      </c>
    </row>
    <row r="1138">
      <c r="A1138" s="33" t="n">
        <v>45769</v>
      </c>
      <c r="B1138" t="inlineStr">
        <is>
          <t>2025-04</t>
        </is>
      </c>
      <c r="C1138" t="inlineStr">
        <is>
          <t>Sociedad de inversiones solari y acuña spa</t>
        </is>
      </c>
      <c r="D1138" t="inlineStr">
        <is>
          <t>HORECA CAFETERIA</t>
        </is>
      </c>
      <c r="E1138" s="34" t="n">
        <v>112800</v>
      </c>
      <c r="F1138" t="inlineStr">
        <is>
          <t>F</t>
        </is>
      </c>
      <c r="G1138" s="34" t="n">
        <v>18010</v>
      </c>
      <c r="H1138" s="34" t="n">
        <v>94790</v>
      </c>
      <c r="I1138" t="inlineStr">
        <is>
          <t>3.1</t>
        </is>
      </c>
      <c r="J1138" t="inlineStr">
        <is>
          <t>Ventas HoReCa</t>
        </is>
      </c>
      <c r="K1138" t="inlineStr">
        <is>
          <t>CH1</t>
        </is>
      </c>
    </row>
    <row r="1139">
      <c r="A1139" s="33" t="n">
        <v>45769</v>
      </c>
      <c r="B1139" t="inlineStr">
        <is>
          <t>2025-04</t>
        </is>
      </c>
      <c r="C1139" t="inlineStr">
        <is>
          <t>Inversiones Nagua SPA</t>
        </is>
      </c>
      <c r="D1139" t="inlineStr">
        <is>
          <t>HORECA CAFETERIA</t>
        </is>
      </c>
      <c r="E1139" s="34" t="n">
        <v>63990</v>
      </c>
      <c r="F1139" t="inlineStr">
        <is>
          <t>F</t>
        </is>
      </c>
      <c r="G1139" s="34" t="n">
        <v>10217</v>
      </c>
      <c r="H1139" s="34" t="n">
        <v>53773</v>
      </c>
      <c r="I1139" t="inlineStr">
        <is>
          <t>3.1</t>
        </is>
      </c>
      <c r="J1139" t="inlineStr">
        <is>
          <t>Ventas HoReCa</t>
        </is>
      </c>
      <c r="K1139" t="inlineStr">
        <is>
          <t>CH1</t>
        </is>
      </c>
    </row>
    <row r="1140">
      <c r="A1140" s="33" t="n">
        <v>45769</v>
      </c>
      <c r="B1140" t="inlineStr">
        <is>
          <t>2025-04</t>
        </is>
      </c>
      <c r="C1140" t="inlineStr">
        <is>
          <t>CAFETERÍAS MISTER SPA</t>
        </is>
      </c>
      <c r="D1140" t="inlineStr">
        <is>
          <t>CANELÉ TRADICIONAL</t>
        </is>
      </c>
      <c r="E1140" s="34" t="n">
        <v>539249</v>
      </c>
      <c r="F1140" t="inlineStr">
        <is>
          <t>F</t>
        </is>
      </c>
      <c r="G1140" s="34" t="n">
        <v>86099</v>
      </c>
      <c r="H1140" s="34" t="n">
        <v>453150</v>
      </c>
      <c r="I1140" t="inlineStr">
        <is>
          <t>3.1</t>
        </is>
      </c>
      <c r="J1140" t="inlineStr">
        <is>
          <t>Ventas HoReCa</t>
        </is>
      </c>
      <c r="K1140" t="inlineStr">
        <is>
          <t>CH1</t>
        </is>
      </c>
    </row>
    <row r="1141">
      <c r="A1141" s="33" t="n">
        <v>45769</v>
      </c>
      <c r="B1141" t="inlineStr">
        <is>
          <t>2025-04</t>
        </is>
      </c>
      <c r="C1141" t="inlineStr">
        <is>
          <t>Better Food Spa</t>
        </is>
      </c>
      <c r="D1141" t="inlineStr">
        <is>
          <t>REGION METROPOLITANA</t>
        </is>
      </c>
      <c r="E1141" s="34" t="n">
        <v>-4990</v>
      </c>
      <c r="F1141" t="inlineStr">
        <is>
          <t>NC</t>
        </is>
      </c>
      <c r="G1141" s="34" t="n">
        <v>-797</v>
      </c>
      <c r="H1141" s="34" t="n">
        <v>-4193</v>
      </c>
      <c r="I1141" t="inlineStr">
        <is>
          <t>3.2</t>
        </is>
      </c>
      <c r="J1141" t="inlineStr">
        <is>
          <t>Ventas Personas (B2C)</t>
        </is>
      </c>
      <c r="K1141" t="inlineStr">
        <is>
          <t>CH2</t>
        </is>
      </c>
    </row>
    <row r="1142">
      <c r="A1142" s="33" t="n">
        <v>45769</v>
      </c>
      <c r="B1142" t="inlineStr">
        <is>
          <t>2025-04</t>
        </is>
      </c>
      <c r="C1142" t="inlineStr">
        <is>
          <t>Better Food Spa</t>
        </is>
      </c>
      <c r="D1142" t="inlineStr">
        <is>
          <t>HORECA CAFETERIA</t>
        </is>
      </c>
      <c r="E1142" s="34" t="n">
        <v>-29988</v>
      </c>
      <c r="F1142" t="inlineStr">
        <is>
          <t>NC</t>
        </is>
      </c>
      <c r="G1142" s="34" t="n">
        <v>-4788</v>
      </c>
      <c r="H1142" s="34" t="n">
        <v>-25200</v>
      </c>
      <c r="I1142" t="inlineStr">
        <is>
          <t>3.2</t>
        </is>
      </c>
      <c r="J1142" t="inlineStr">
        <is>
          <t>Ventas Personas (B2C)</t>
        </is>
      </c>
      <c r="K1142" t="inlineStr">
        <is>
          <t>CH2</t>
        </is>
      </c>
    </row>
    <row r="1143">
      <c r="A1143" s="33" t="n">
        <v>45770</v>
      </c>
      <c r="B1143" t="inlineStr">
        <is>
          <t>2025-04</t>
        </is>
      </c>
      <c r="C1143" t="inlineStr">
        <is>
          <t>Eduardo Jose Spencer Eckart Spa</t>
        </is>
      </c>
      <c r="D1143" t="inlineStr">
        <is>
          <t>HORECA CAFETERIA</t>
        </is>
      </c>
      <c r="E1143" s="34" t="n">
        <v>63990</v>
      </c>
      <c r="F1143" t="inlineStr">
        <is>
          <t>F</t>
        </is>
      </c>
      <c r="G1143" s="34" t="n">
        <v>10217</v>
      </c>
      <c r="H1143" s="34" t="n">
        <v>53773</v>
      </c>
      <c r="I1143" t="inlineStr">
        <is>
          <t>3.1</t>
        </is>
      </c>
      <c r="J1143" t="inlineStr">
        <is>
          <t>Ventas HoReCa</t>
        </is>
      </c>
      <c r="K1143" t="inlineStr">
        <is>
          <t>CH1</t>
        </is>
      </c>
    </row>
    <row r="1144">
      <c r="A1144" s="33" t="n">
        <v>45770</v>
      </c>
      <c r="B1144" t="inlineStr">
        <is>
          <t>2025-04</t>
        </is>
      </c>
      <c r="C1144" t="inlineStr">
        <is>
          <t>Camila Belén Carrasco Galleguillos</t>
        </is>
      </c>
      <c r="D1144" t="inlineStr">
        <is>
          <t>Petit Crunchy</t>
        </is>
      </c>
      <c r="E1144" s="34" t="n">
        <v>12510</v>
      </c>
      <c r="F1144" t="inlineStr">
        <is>
          <t>B</t>
        </is>
      </c>
      <c r="G1144" s="34" t="n">
        <v>1997</v>
      </c>
      <c r="H1144" s="34" t="n">
        <v>10513</v>
      </c>
      <c r="I1144" t="inlineStr">
        <is>
          <t>3.2</t>
        </is>
      </c>
      <c r="J1144" t="inlineStr">
        <is>
          <t>Ventas Personas (B2C)</t>
        </is>
      </c>
      <c r="K1144" t="inlineStr">
        <is>
          <t>CH2</t>
        </is>
      </c>
    </row>
    <row r="1145">
      <c r="A1145" s="33" t="n">
        <v>45770</v>
      </c>
      <c r="B1145" t="inlineStr">
        <is>
          <t>2025-04</t>
        </is>
      </c>
      <c r="C1145" t="inlineStr">
        <is>
          <t>Josefina Pereira</t>
        </is>
      </c>
      <c r="D1145" t="inlineStr">
        <is>
          <t>CANELÉ TRADICIONAL</t>
        </is>
      </c>
      <c r="E1145" s="34" t="n">
        <v>26900</v>
      </c>
      <c r="F1145" t="inlineStr">
        <is>
          <t>B</t>
        </is>
      </c>
      <c r="G1145" s="34" t="n">
        <v>4295</v>
      </c>
      <c r="H1145" s="34" t="n">
        <v>22605</v>
      </c>
      <c r="I1145" t="inlineStr">
        <is>
          <t>3.2</t>
        </is>
      </c>
      <c r="J1145" t="inlineStr">
        <is>
          <t>Ventas Personas (B2C)</t>
        </is>
      </c>
      <c r="K1145" t="inlineStr">
        <is>
          <t>CH2</t>
        </is>
      </c>
    </row>
    <row r="1146">
      <c r="A1146" s="33" t="n">
        <v>45770</v>
      </c>
      <c r="B1146" t="inlineStr">
        <is>
          <t>2025-04</t>
        </is>
      </c>
      <c r="C1146" t="inlineStr">
        <is>
          <t>Elisabetta Nenadovich</t>
        </is>
      </c>
      <c r="D1146" t="inlineStr">
        <is>
          <t>CANELÉ TRADICIONAL</t>
        </is>
      </c>
      <c r="E1146" s="34" t="n">
        <v>11920</v>
      </c>
      <c r="F1146" t="inlineStr">
        <is>
          <t>B</t>
        </is>
      </c>
      <c r="G1146" s="34" t="n">
        <v>1903</v>
      </c>
      <c r="H1146" s="34" t="n">
        <v>10017</v>
      </c>
      <c r="I1146" t="inlineStr">
        <is>
          <t>3.2</t>
        </is>
      </c>
      <c r="J1146" t="inlineStr">
        <is>
          <t>Ventas Personas (B2C)</t>
        </is>
      </c>
      <c r="K1146" t="inlineStr">
        <is>
          <t>CH2</t>
        </is>
      </c>
    </row>
    <row r="1147">
      <c r="A1147" s="33" t="n">
        <v>45770</v>
      </c>
      <c r="B1147" t="inlineStr">
        <is>
          <t>2025-04</t>
        </is>
      </c>
      <c r="C1147" t="inlineStr">
        <is>
          <t>the capital coffee spa</t>
        </is>
      </c>
      <c r="D1147" t="inlineStr">
        <is>
          <t>HORECA CAFETERIA</t>
        </is>
      </c>
      <c r="E1147" s="34" t="n">
        <v>203670</v>
      </c>
      <c r="F1147" t="inlineStr">
        <is>
          <t>F</t>
        </is>
      </c>
      <c r="G1147" s="34" t="n">
        <v>32519</v>
      </c>
      <c r="H1147" s="34" t="n">
        <v>171151</v>
      </c>
      <c r="I1147" t="inlineStr">
        <is>
          <t>3.1</t>
        </is>
      </c>
      <c r="J1147" t="inlineStr">
        <is>
          <t>Ventas HoReCa</t>
        </is>
      </c>
      <c r="K1147" t="inlineStr">
        <is>
          <t>CH1</t>
        </is>
      </c>
    </row>
    <row r="1148">
      <c r="A1148" s="33" t="n">
        <v>45770</v>
      </c>
      <c r="B1148" t="inlineStr">
        <is>
          <t>2025-04</t>
        </is>
      </c>
      <c r="C1148" t="inlineStr">
        <is>
          <t>Clark Veloso Valenzuela</t>
        </is>
      </c>
      <c r="D1148" t="inlineStr">
        <is>
          <t>HORECA CAFETERIA</t>
        </is>
      </c>
      <c r="E1148" s="34" t="n">
        <v>64990</v>
      </c>
      <c r="F1148" t="inlineStr">
        <is>
          <t>F</t>
        </is>
      </c>
      <c r="G1148" s="34" t="n">
        <v>10377</v>
      </c>
      <c r="H1148" s="34" t="n">
        <v>54613</v>
      </c>
      <c r="I1148" t="inlineStr">
        <is>
          <t>3.1</t>
        </is>
      </c>
      <c r="J1148" t="inlineStr">
        <is>
          <t>Ventas HoReCa</t>
        </is>
      </c>
      <c r="K1148" t="inlineStr">
        <is>
          <t>CH1</t>
        </is>
      </c>
    </row>
    <row r="1149">
      <c r="A1149" s="33" t="n">
        <v>45770</v>
      </c>
      <c r="B1149" t="inlineStr">
        <is>
          <t>2025-04</t>
        </is>
      </c>
      <c r="C1149" t="inlineStr">
        <is>
          <t>Café Popular SpA</t>
        </is>
      </c>
      <c r="D1149" t="inlineStr">
        <is>
          <t>HORECA CAFETERIA</t>
        </is>
      </c>
      <c r="E1149" s="34" t="n">
        <v>178711</v>
      </c>
      <c r="F1149" t="inlineStr">
        <is>
          <t>F</t>
        </is>
      </c>
      <c r="G1149" s="34" t="n">
        <v>28534</v>
      </c>
      <c r="H1149" s="34" t="n">
        <v>150177</v>
      </c>
      <c r="I1149" t="inlineStr">
        <is>
          <t>3.1</t>
        </is>
      </c>
      <c r="J1149" t="inlineStr">
        <is>
          <t>Ventas HoReCa</t>
        </is>
      </c>
      <c r="K1149" t="inlineStr">
        <is>
          <t>CH1</t>
        </is>
      </c>
    </row>
    <row r="1150">
      <c r="A1150" s="33" t="n">
        <v>45770</v>
      </c>
      <c r="B1150" t="inlineStr">
        <is>
          <t>2025-04</t>
        </is>
      </c>
      <c r="C1150" t="inlineStr">
        <is>
          <t>CAFE DIARIO ENCOMENDEROS SPA</t>
        </is>
      </c>
      <c r="D1150" t="inlineStr">
        <is>
          <t>HORECA CAFETERIA</t>
        </is>
      </c>
      <c r="E1150" s="34" t="n">
        <v>112818</v>
      </c>
      <c r="F1150" t="inlineStr">
        <is>
          <t>F</t>
        </is>
      </c>
      <c r="G1150" s="34" t="n">
        <v>18013</v>
      </c>
      <c r="H1150" s="34" t="n">
        <v>94805</v>
      </c>
      <c r="I1150" t="inlineStr">
        <is>
          <t>3.1</t>
        </is>
      </c>
      <c r="J1150" t="inlineStr">
        <is>
          <t>Ventas HoReCa</t>
        </is>
      </c>
      <c r="K1150" t="inlineStr">
        <is>
          <t>CH1</t>
        </is>
      </c>
    </row>
    <row r="1151">
      <c r="A1151" s="33" t="n">
        <v>45770</v>
      </c>
      <c r="B1151" t="inlineStr">
        <is>
          <t>2025-04</t>
        </is>
      </c>
      <c r="C1151" t="inlineStr">
        <is>
          <t>francisco reyes torres</t>
        </is>
      </c>
      <c r="D1151" t="inlineStr">
        <is>
          <t>Petit Crunchy</t>
        </is>
      </c>
      <c r="E1151" s="34" t="n">
        <v>30890</v>
      </c>
      <c r="F1151" t="inlineStr">
        <is>
          <t>B</t>
        </is>
      </c>
      <c r="G1151" s="34" t="n">
        <v>4932</v>
      </c>
      <c r="H1151" s="34" t="n">
        <v>25958</v>
      </c>
      <c r="I1151" t="inlineStr">
        <is>
          <t>3.2</t>
        </is>
      </c>
      <c r="J1151" t="inlineStr">
        <is>
          <t>Ventas Personas (B2C)</t>
        </is>
      </c>
      <c r="K1151" t="inlineStr">
        <is>
          <t>CH2</t>
        </is>
      </c>
    </row>
    <row r="1152">
      <c r="A1152" s="33" t="n">
        <v>45770</v>
      </c>
      <c r="B1152" t="inlineStr">
        <is>
          <t>2025-04</t>
        </is>
      </c>
      <c r="C1152" t="inlineStr">
        <is>
          <t>Sin cliente</t>
        </is>
      </c>
      <c r="D1152" t="inlineStr">
        <is>
          <t>PLATAFORMAS RAP-PEYA-UBER-GOOD</t>
        </is>
      </c>
      <c r="E1152" s="34" t="n">
        <v>17880</v>
      </c>
      <c r="F1152" t="inlineStr">
        <is>
          <t>B</t>
        </is>
      </c>
      <c r="G1152" s="34" t="n">
        <v>2855</v>
      </c>
      <c r="H1152" s="34" t="n">
        <v>15025</v>
      </c>
      <c r="I1152" t="inlineStr">
        <is>
          <t>3.6</t>
        </is>
      </c>
      <c r="J1152" t="inlineStr">
        <is>
          <t>Ventas Delivery Apps</t>
        </is>
      </c>
      <c r="K1152" t="inlineStr">
        <is>
          <t>CH3</t>
        </is>
      </c>
    </row>
    <row r="1153">
      <c r="A1153" s="33" t="n">
        <v>45770</v>
      </c>
      <c r="B1153" t="inlineStr">
        <is>
          <t>2025-04</t>
        </is>
      </c>
      <c r="C1153" t="inlineStr">
        <is>
          <t>Arturo Chue</t>
        </is>
      </c>
      <c r="D1153" t="inlineStr">
        <is>
          <t>Petit Tradicional</t>
        </is>
      </c>
      <c r="E1153" s="34" t="n">
        <v>41800</v>
      </c>
      <c r="F1153" t="inlineStr">
        <is>
          <t>B</t>
        </is>
      </c>
      <c r="G1153" s="34" t="n">
        <v>6674</v>
      </c>
      <c r="H1153" s="34" t="n">
        <v>35126</v>
      </c>
      <c r="I1153" t="inlineStr">
        <is>
          <t>3.2</t>
        </is>
      </c>
      <c r="J1153" t="inlineStr">
        <is>
          <t>Ventas Personas (B2C)</t>
        </is>
      </c>
      <c r="K1153" t="inlineStr">
        <is>
          <t>CH2</t>
        </is>
      </c>
    </row>
    <row r="1154">
      <c r="A1154" s="33" t="n">
        <v>45770</v>
      </c>
      <c r="B1154" t="inlineStr">
        <is>
          <t>2025-04</t>
        </is>
      </c>
      <c r="C1154" t="inlineStr">
        <is>
          <t>Francisco Coloma Fuenzalida</t>
        </is>
      </c>
      <c r="D1154" t="inlineStr">
        <is>
          <t>CANELÉ TRADICIONAL</t>
        </is>
      </c>
      <c r="E1154" s="34" t="n">
        <v>19200</v>
      </c>
      <c r="F1154" t="inlineStr">
        <is>
          <t>B</t>
        </is>
      </c>
      <c r="G1154" s="34" t="n">
        <v>3066</v>
      </c>
      <c r="H1154" s="34" t="n">
        <v>16134</v>
      </c>
      <c r="I1154" t="inlineStr">
        <is>
          <t>3.2</t>
        </is>
      </c>
      <c r="J1154" t="inlineStr">
        <is>
          <t>Ventas Personas (B2C)</t>
        </is>
      </c>
      <c r="K1154" t="inlineStr">
        <is>
          <t>CH2</t>
        </is>
      </c>
    </row>
    <row r="1155">
      <c r="A1155" s="33" t="n">
        <v>45770</v>
      </c>
      <c r="B1155" t="inlineStr">
        <is>
          <t>2025-04</t>
        </is>
      </c>
      <c r="C1155" t="inlineStr">
        <is>
          <t>Victor Pedrero</t>
        </is>
      </c>
      <c r="D1155" t="inlineStr">
        <is>
          <t>CANELÉ TRADICIONAL</t>
        </is>
      </c>
      <c r="E1155" s="34" t="n">
        <v>31800</v>
      </c>
      <c r="F1155" t="inlineStr">
        <is>
          <t>B</t>
        </is>
      </c>
      <c r="G1155" s="34" t="n">
        <v>5077</v>
      </c>
      <c r="H1155" s="34" t="n">
        <v>26723</v>
      </c>
      <c r="I1155" t="inlineStr">
        <is>
          <t>3.2</t>
        </is>
      </c>
      <c r="J1155" t="inlineStr">
        <is>
          <t>Ventas Personas (B2C)</t>
        </is>
      </c>
      <c r="K1155" t="inlineStr">
        <is>
          <t>CH2</t>
        </is>
      </c>
    </row>
    <row r="1156">
      <c r="A1156" s="33" t="n">
        <v>45770</v>
      </c>
      <c r="B1156" t="inlineStr">
        <is>
          <t>2025-04</t>
        </is>
      </c>
      <c r="C1156" t="inlineStr">
        <is>
          <t>Carmen Mayo</t>
        </is>
      </c>
      <c r="D1156" t="inlineStr">
        <is>
          <t>CANELÉ TRADICIONAL</t>
        </is>
      </c>
      <c r="E1156" s="34" t="n">
        <v>25889</v>
      </c>
      <c r="F1156" t="inlineStr">
        <is>
          <t>B</t>
        </is>
      </c>
      <c r="G1156" s="34" t="n">
        <v>4134</v>
      </c>
      <c r="H1156" s="34" t="n">
        <v>21755</v>
      </c>
      <c r="I1156" t="inlineStr">
        <is>
          <t>3.2</t>
        </is>
      </c>
      <c r="J1156" t="inlineStr">
        <is>
          <t>Ventas Personas (B2C)</t>
        </is>
      </c>
      <c r="K1156" t="inlineStr">
        <is>
          <t>CH2</t>
        </is>
      </c>
    </row>
    <row r="1157">
      <c r="A1157" s="33" t="n">
        <v>45771</v>
      </c>
      <c r="B1157" t="inlineStr">
        <is>
          <t>2025-04</t>
        </is>
      </c>
      <c r="C1157" t="inlineStr">
        <is>
          <t>VILAS BANQUETERIAS SPA</t>
        </is>
      </c>
      <c r="D1157" t="inlineStr">
        <is>
          <t>HORECA CATERING</t>
        </is>
      </c>
      <c r="E1157" s="34" t="n">
        <v>254604</v>
      </c>
      <c r="F1157" t="inlineStr">
        <is>
          <t>F</t>
        </is>
      </c>
      <c r="G1157" s="34" t="n">
        <v>40651</v>
      </c>
      <c r="H1157" s="34" t="n">
        <v>213953</v>
      </c>
      <c r="I1157" t="inlineStr">
        <is>
          <t>3.1</t>
        </is>
      </c>
      <c r="J1157" t="inlineStr">
        <is>
          <t>Ventas HoReCa</t>
        </is>
      </c>
      <c r="K1157" t="inlineStr">
        <is>
          <t>CH1</t>
        </is>
      </c>
    </row>
    <row r="1158">
      <c r="A1158" s="33" t="n">
        <v>45771</v>
      </c>
      <c r="B1158" t="inlineStr">
        <is>
          <t>2025-04</t>
        </is>
      </c>
      <c r="C1158" t="inlineStr">
        <is>
          <t>PRODUCTORA DE EVENTOS AGDV SPA</t>
        </is>
      </c>
      <c r="D1158" t="inlineStr">
        <is>
          <t>HORECA CATERING</t>
        </is>
      </c>
      <c r="E1158" s="34" t="n">
        <v>99076</v>
      </c>
      <c r="F1158" t="inlineStr">
        <is>
          <t>F</t>
        </is>
      </c>
      <c r="G1158" s="34" t="n">
        <v>15819</v>
      </c>
      <c r="H1158" s="34" t="n">
        <v>83257</v>
      </c>
      <c r="I1158" t="inlineStr">
        <is>
          <t>3.1</t>
        </is>
      </c>
      <c r="J1158" t="inlineStr">
        <is>
          <t>Ventas HoReCa</t>
        </is>
      </c>
      <c r="K1158" t="inlineStr">
        <is>
          <t>CH1</t>
        </is>
      </c>
    </row>
    <row r="1159">
      <c r="A1159" s="33" t="n">
        <v>45771</v>
      </c>
      <c r="B1159" t="inlineStr">
        <is>
          <t>2025-04</t>
        </is>
      </c>
      <c r="C1159" t="inlineStr">
        <is>
          <t>CAFÉ UNDER SPA</t>
        </is>
      </c>
      <c r="D1159" t="inlineStr">
        <is>
          <t>HORECA CAFETERIA</t>
        </is>
      </c>
      <c r="E1159" s="34" t="n">
        <v>63990</v>
      </c>
      <c r="F1159" t="inlineStr">
        <is>
          <t>F</t>
        </is>
      </c>
      <c r="G1159" s="34" t="n">
        <v>10217</v>
      </c>
      <c r="H1159" s="34" t="n">
        <v>53773</v>
      </c>
      <c r="I1159" t="inlineStr">
        <is>
          <t>3.1</t>
        </is>
      </c>
      <c r="J1159" t="inlineStr">
        <is>
          <t>Ventas HoReCa</t>
        </is>
      </c>
      <c r="K1159" t="inlineStr">
        <is>
          <t>CH1</t>
        </is>
      </c>
    </row>
    <row r="1160">
      <c r="A1160" s="33" t="n">
        <v>45771</v>
      </c>
      <c r="B1160" t="inlineStr">
        <is>
          <t>2025-04</t>
        </is>
      </c>
      <c r="C1160" t="inlineStr">
        <is>
          <t>Alismar Alvarez Arias</t>
        </is>
      </c>
      <c r="D1160" t="inlineStr">
        <is>
          <t>CANELÉ TRADICIONAL</t>
        </is>
      </c>
      <c r="E1160" s="34" t="n">
        <v>18890</v>
      </c>
      <c r="F1160" t="inlineStr">
        <is>
          <t>B</t>
        </is>
      </c>
      <c r="G1160" s="34" t="n">
        <v>3016</v>
      </c>
      <c r="H1160" s="34" t="n">
        <v>15874</v>
      </c>
      <c r="I1160" t="inlineStr">
        <is>
          <t>3.2</t>
        </is>
      </c>
      <c r="J1160" t="inlineStr">
        <is>
          <t>Ventas Personas (B2C)</t>
        </is>
      </c>
      <c r="K1160" t="inlineStr">
        <is>
          <t>CH2</t>
        </is>
      </c>
    </row>
    <row r="1161">
      <c r="A1161" s="33" t="n">
        <v>45771</v>
      </c>
      <c r="B1161" t="inlineStr">
        <is>
          <t>2025-04</t>
        </is>
      </c>
      <c r="C1161" t="inlineStr">
        <is>
          <t>Bernardita Cubillos</t>
        </is>
      </c>
      <c r="D1161" t="inlineStr">
        <is>
          <t>CANELÉ TRADICIONAL</t>
        </is>
      </c>
      <c r="E1161" s="34" t="n">
        <v>31800</v>
      </c>
      <c r="F1161" t="inlineStr">
        <is>
          <t>B</t>
        </is>
      </c>
      <c r="G1161" s="34" t="n">
        <v>5077</v>
      </c>
      <c r="H1161" s="34" t="n">
        <v>26723</v>
      </c>
      <c r="I1161" t="inlineStr">
        <is>
          <t>3.2</t>
        </is>
      </c>
      <c r="J1161" t="inlineStr">
        <is>
          <t>Ventas Personas (B2C)</t>
        </is>
      </c>
      <c r="K1161" t="inlineStr">
        <is>
          <t>CH2</t>
        </is>
      </c>
    </row>
    <row r="1162">
      <c r="A1162" s="33" t="n">
        <v>45771</v>
      </c>
      <c r="B1162" t="inlineStr">
        <is>
          <t>2025-04</t>
        </is>
      </c>
      <c r="C1162" t="inlineStr">
        <is>
          <t>Eyleen Araya</t>
        </is>
      </c>
      <c r="D1162" t="inlineStr">
        <is>
          <t>CANELÉ TRADICIONAL</t>
        </is>
      </c>
      <c r="E1162" s="34" t="n">
        <v>26890</v>
      </c>
      <c r="F1162" t="inlineStr">
        <is>
          <t>B</t>
        </is>
      </c>
      <c r="G1162" s="34" t="n">
        <v>4293</v>
      </c>
      <c r="H1162" s="34" t="n">
        <v>22597</v>
      </c>
      <c r="I1162" t="inlineStr">
        <is>
          <t>3.2</t>
        </is>
      </c>
      <c r="J1162" t="inlineStr">
        <is>
          <t>Ventas Personas (B2C)</t>
        </is>
      </c>
      <c r="K1162" t="inlineStr">
        <is>
          <t>CH2</t>
        </is>
      </c>
    </row>
    <row r="1163">
      <c r="A1163" s="33" t="n">
        <v>45771</v>
      </c>
      <c r="B1163" t="inlineStr">
        <is>
          <t>2025-04</t>
        </is>
      </c>
      <c r="C1163" t="inlineStr">
        <is>
          <t>Carolina Arbieto</t>
        </is>
      </c>
      <c r="D1163" t="inlineStr">
        <is>
          <t>CANELÉ TRADICIONAL</t>
        </is>
      </c>
      <c r="E1163" s="34" t="n">
        <v>19199</v>
      </c>
      <c r="F1163" t="inlineStr">
        <is>
          <t>B</t>
        </is>
      </c>
      <c r="G1163" s="34" t="n">
        <v>3065</v>
      </c>
      <c r="H1163" s="34" t="n">
        <v>16134</v>
      </c>
      <c r="I1163" t="inlineStr">
        <is>
          <t>3.2</t>
        </is>
      </c>
      <c r="J1163" t="inlineStr">
        <is>
          <t>Ventas Personas (B2C)</t>
        </is>
      </c>
      <c r="K1163" t="inlineStr">
        <is>
          <t>CH2</t>
        </is>
      </c>
    </row>
    <row r="1164">
      <c r="A1164" s="33" t="n">
        <v>45771</v>
      </c>
      <c r="B1164" t="inlineStr">
        <is>
          <t>2025-04</t>
        </is>
      </c>
      <c r="C1164" t="inlineStr">
        <is>
          <t>Constanza Soto</t>
        </is>
      </c>
      <c r="D1164" t="inlineStr">
        <is>
          <t>Petit Tradicional</t>
        </is>
      </c>
      <c r="E1164" s="34" t="n">
        <v>12480</v>
      </c>
      <c r="F1164" t="inlineStr">
        <is>
          <t>B</t>
        </is>
      </c>
      <c r="G1164" s="34" t="n">
        <v>1993</v>
      </c>
      <c r="H1164" s="34" t="n">
        <v>10487</v>
      </c>
      <c r="I1164" t="inlineStr">
        <is>
          <t>3.2</t>
        </is>
      </c>
      <c r="J1164" t="inlineStr">
        <is>
          <t>Ventas Personas (B2C)</t>
        </is>
      </c>
      <c r="K1164" t="inlineStr">
        <is>
          <t>CH2</t>
        </is>
      </c>
    </row>
    <row r="1165">
      <c r="A1165" s="33" t="n">
        <v>45771</v>
      </c>
      <c r="B1165" t="inlineStr">
        <is>
          <t>2025-04</t>
        </is>
      </c>
      <c r="C1165" t="inlineStr">
        <is>
          <t>Patricio Yolito balart</t>
        </is>
      </c>
      <c r="D1165" t="inlineStr">
        <is>
          <t>Rellenos</t>
        </is>
      </c>
      <c r="E1165" s="34" t="n">
        <v>59800</v>
      </c>
      <c r="F1165" t="inlineStr">
        <is>
          <t>B</t>
        </is>
      </c>
      <c r="G1165" s="34" t="n">
        <v>9548</v>
      </c>
      <c r="H1165" s="34" t="n">
        <v>50252</v>
      </c>
      <c r="I1165" t="inlineStr">
        <is>
          <t>3.2</t>
        </is>
      </c>
      <c r="J1165" t="inlineStr">
        <is>
          <t>Ventas Personas (B2C)</t>
        </is>
      </c>
      <c r="K1165" t="inlineStr">
        <is>
          <t>CH2</t>
        </is>
      </c>
    </row>
    <row r="1166">
      <c r="A1166" s="33" t="n">
        <v>45772</v>
      </c>
      <c r="B1166" t="inlineStr">
        <is>
          <t>2025-04</t>
        </is>
      </c>
      <c r="C1166" t="inlineStr">
        <is>
          <t>Better Food Spa</t>
        </is>
      </c>
      <c r="D1166" t="inlineStr">
        <is>
          <t>HORECA CAFETERIA</t>
        </is>
      </c>
      <c r="E1166" s="34" t="n">
        <v>209916</v>
      </c>
      <c r="F1166" t="inlineStr">
        <is>
          <t>F</t>
        </is>
      </c>
      <c r="G1166" s="34" t="n">
        <v>33516</v>
      </c>
      <c r="H1166" s="34" t="n">
        <v>176400</v>
      </c>
      <c r="I1166" t="inlineStr">
        <is>
          <t>3.1</t>
        </is>
      </c>
      <c r="J1166" t="inlineStr">
        <is>
          <t>Ventas HoReCa</t>
        </is>
      </c>
      <c r="K1166" t="inlineStr">
        <is>
          <t>CH1</t>
        </is>
      </c>
    </row>
    <row r="1167">
      <c r="A1167" s="33" t="n">
        <v>45772</v>
      </c>
      <c r="B1167" t="inlineStr">
        <is>
          <t>2025-04</t>
        </is>
      </c>
      <c r="C1167" t="inlineStr">
        <is>
          <t>POMPON SPA</t>
        </is>
      </c>
      <c r="D1167" t="inlineStr">
        <is>
          <t>HORECA CAFETERIA</t>
        </is>
      </c>
      <c r="E1167" s="34" t="n">
        <v>220150</v>
      </c>
      <c r="F1167" t="inlineStr">
        <is>
          <t>F</t>
        </is>
      </c>
      <c r="G1167" s="34" t="n">
        <v>35150</v>
      </c>
      <c r="H1167" s="34" t="n">
        <v>185000</v>
      </c>
      <c r="I1167" t="inlineStr">
        <is>
          <t>3.1</t>
        </is>
      </c>
      <c r="J1167" t="inlineStr">
        <is>
          <t>Ventas HoReCa</t>
        </is>
      </c>
      <c r="K1167" t="inlineStr">
        <is>
          <t>CH1</t>
        </is>
      </c>
    </row>
    <row r="1168">
      <c r="A1168" s="33" t="n">
        <v>45772</v>
      </c>
      <c r="B1168" t="inlineStr">
        <is>
          <t>2025-04</t>
        </is>
      </c>
      <c r="C1168" t="inlineStr">
        <is>
          <t>RC BANQUETERIA SPA</t>
        </is>
      </c>
      <c r="D1168" t="inlineStr">
        <is>
          <t>HORECA CATERING</t>
        </is>
      </c>
      <c r="E1168" s="34" t="n">
        <v>70035</v>
      </c>
      <c r="F1168" t="inlineStr">
        <is>
          <t>F</t>
        </is>
      </c>
      <c r="G1168" s="34" t="n">
        <v>11182</v>
      </c>
      <c r="H1168" s="34" t="n">
        <v>58853</v>
      </c>
      <c r="I1168" t="inlineStr">
        <is>
          <t>3.1</t>
        </is>
      </c>
      <c r="J1168" t="inlineStr">
        <is>
          <t>Ventas HoReCa</t>
        </is>
      </c>
      <c r="K1168" t="inlineStr">
        <is>
          <t>CH1</t>
        </is>
      </c>
    </row>
    <row r="1169">
      <c r="A1169" s="33" t="n">
        <v>45772</v>
      </c>
      <c r="B1169" t="inlineStr">
        <is>
          <t>2025-04</t>
        </is>
      </c>
      <c r="C1169" t="inlineStr">
        <is>
          <t>Inversiones Café Dominicos SpA</t>
        </is>
      </c>
      <c r="D1169" t="inlineStr">
        <is>
          <t xml:space="preserve">THE COFFEE STORE </t>
        </is>
      </c>
      <c r="E1169" s="34" t="n">
        <v>36977</v>
      </c>
      <c r="F1169" t="inlineStr">
        <is>
          <t>F</t>
        </is>
      </c>
      <c r="G1169" s="34" t="n">
        <v>5904</v>
      </c>
      <c r="H1169" s="34" t="n">
        <v>31073</v>
      </c>
      <c r="I1169" t="inlineStr">
        <is>
          <t>3.1</t>
        </is>
      </c>
      <c r="J1169" t="inlineStr">
        <is>
          <t>Ventas HoReCa</t>
        </is>
      </c>
      <c r="K1169" t="inlineStr">
        <is>
          <t>CH1</t>
        </is>
      </c>
    </row>
    <row r="1170">
      <c r="A1170" s="33" t="n">
        <v>45772</v>
      </c>
      <c r="B1170" t="inlineStr">
        <is>
          <t>2025-04</t>
        </is>
      </c>
      <c r="C1170" t="inlineStr">
        <is>
          <t>Inversiones Café Dominicos SpA</t>
        </is>
      </c>
      <c r="D1170" t="inlineStr">
        <is>
          <t xml:space="preserve">THE COFFEE STORE </t>
        </is>
      </c>
      <c r="E1170" s="34" t="n">
        <v>-36977</v>
      </c>
      <c r="F1170" t="inlineStr">
        <is>
          <t>NC</t>
        </is>
      </c>
      <c r="G1170" s="34" t="n">
        <v>-5904</v>
      </c>
      <c r="H1170" s="34" t="n">
        <v>-31073</v>
      </c>
      <c r="I1170" t="inlineStr">
        <is>
          <t>3.2</t>
        </is>
      </c>
      <c r="J1170" t="inlineStr">
        <is>
          <t>Ventas Personas (B2C)</t>
        </is>
      </c>
      <c r="K1170" t="inlineStr">
        <is>
          <t>CH2</t>
        </is>
      </c>
    </row>
    <row r="1171">
      <c r="A1171" s="33" t="n">
        <v>45772</v>
      </c>
      <c r="B1171" t="inlineStr">
        <is>
          <t>2025-04</t>
        </is>
      </c>
      <c r="C1171" t="inlineStr">
        <is>
          <t>Ivonne Pizarro</t>
        </is>
      </c>
      <c r="D1171" t="inlineStr">
        <is>
          <t>CANELÉ TRADICIONAL</t>
        </is>
      </c>
      <c r="E1171" s="34" t="n">
        <v>56700</v>
      </c>
      <c r="F1171" t="inlineStr">
        <is>
          <t>B</t>
        </is>
      </c>
      <c r="G1171" s="34" t="n">
        <v>9053</v>
      </c>
      <c r="H1171" s="34" t="n">
        <v>47647</v>
      </c>
      <c r="I1171" t="inlineStr">
        <is>
          <t>3.2</t>
        </is>
      </c>
      <c r="J1171" t="inlineStr">
        <is>
          <t>Ventas Personas (B2C)</t>
        </is>
      </c>
      <c r="K1171" t="inlineStr">
        <is>
          <t>CH2</t>
        </is>
      </c>
    </row>
    <row r="1172">
      <c r="A1172" s="33" t="n">
        <v>45772</v>
      </c>
      <c r="B1172" t="inlineStr">
        <is>
          <t>2025-04</t>
        </is>
      </c>
      <c r="C1172" t="inlineStr">
        <is>
          <t>Christin Azarian</t>
        </is>
      </c>
      <c r="D1172" t="inlineStr">
        <is>
          <t>CANELÉ TRADICIONAL</t>
        </is>
      </c>
      <c r="E1172" s="34" t="n">
        <v>44790</v>
      </c>
      <c r="F1172" t="inlineStr">
        <is>
          <t>B</t>
        </is>
      </c>
      <c r="G1172" s="34" t="n">
        <v>7151</v>
      </c>
      <c r="H1172" s="34" t="n">
        <v>37639</v>
      </c>
      <c r="I1172" t="inlineStr">
        <is>
          <t>3.2</t>
        </is>
      </c>
      <c r="J1172" t="inlineStr">
        <is>
          <t>Ventas Personas (B2C)</t>
        </is>
      </c>
      <c r="K1172" t="inlineStr">
        <is>
          <t>CH2</t>
        </is>
      </c>
    </row>
    <row r="1173">
      <c r="A1173" s="33" t="n">
        <v>45772</v>
      </c>
      <c r="B1173" t="inlineStr">
        <is>
          <t>2025-04</t>
        </is>
      </c>
      <c r="C1173" t="inlineStr">
        <is>
          <t>ana balona</t>
        </is>
      </c>
      <c r="D1173" t="inlineStr">
        <is>
          <t>Petit Tradicional</t>
        </is>
      </c>
      <c r="E1173" s="34" t="n">
        <v>8900</v>
      </c>
      <c r="F1173" t="inlineStr">
        <is>
          <t>B</t>
        </is>
      </c>
      <c r="G1173" s="34" t="n">
        <v>1421</v>
      </c>
      <c r="H1173" s="34" t="n">
        <v>7479</v>
      </c>
      <c r="I1173" t="inlineStr">
        <is>
          <t>3.2</t>
        </is>
      </c>
      <c r="J1173" t="inlineStr">
        <is>
          <t>Ventas Personas (B2C)</t>
        </is>
      </c>
      <c r="K1173" t="inlineStr">
        <is>
          <t>CH2</t>
        </is>
      </c>
    </row>
    <row r="1174">
      <c r="A1174" s="33" t="n">
        <v>45772</v>
      </c>
      <c r="B1174" t="inlineStr">
        <is>
          <t>2025-04</t>
        </is>
      </c>
      <c r="C1174" t="inlineStr">
        <is>
          <t>Arely Tellez</t>
        </is>
      </c>
      <c r="D1174" t="inlineStr">
        <is>
          <t>CANELÉ TRADICIONAL</t>
        </is>
      </c>
      <c r="E1174" s="34" t="n">
        <v>26900</v>
      </c>
      <c r="F1174" t="inlineStr">
        <is>
          <t>B</t>
        </is>
      </c>
      <c r="G1174" s="34" t="n">
        <v>4295</v>
      </c>
      <c r="H1174" s="34" t="n">
        <v>22605</v>
      </c>
      <c r="I1174" t="inlineStr">
        <is>
          <t>3.2</t>
        </is>
      </c>
      <c r="J1174" t="inlineStr">
        <is>
          <t>Ventas Personas (B2C)</t>
        </is>
      </c>
      <c r="K1174" t="inlineStr">
        <is>
          <t>CH2</t>
        </is>
      </c>
    </row>
    <row r="1175">
      <c r="A1175" s="33" t="n">
        <v>45772</v>
      </c>
      <c r="B1175" t="inlineStr">
        <is>
          <t>2025-04</t>
        </is>
      </c>
      <c r="C1175" t="inlineStr">
        <is>
          <t>Sin cliente</t>
        </is>
      </c>
      <c r="D1175" t="inlineStr">
        <is>
          <t>Petit Tradicional</t>
        </is>
      </c>
      <c r="E1175" s="34" t="n">
        <v>12900</v>
      </c>
      <c r="F1175" t="inlineStr">
        <is>
          <t>B</t>
        </is>
      </c>
      <c r="G1175" s="34" t="n">
        <v>2060</v>
      </c>
      <c r="H1175" s="34" t="n">
        <v>10840</v>
      </c>
      <c r="I1175" t="inlineStr">
        <is>
          <t>3.2</t>
        </is>
      </c>
      <c r="J1175" t="inlineStr">
        <is>
          <t>Ventas Personas (B2C)</t>
        </is>
      </c>
      <c r="K1175" t="inlineStr">
        <is>
          <t>CH2</t>
        </is>
      </c>
    </row>
    <row r="1176">
      <c r="A1176" s="33" t="n">
        <v>45772</v>
      </c>
      <c r="B1176" t="inlineStr">
        <is>
          <t>2025-04</t>
        </is>
      </c>
      <c r="C1176" t="inlineStr">
        <is>
          <t>Sin cliente</t>
        </is>
      </c>
      <c r="D1176" t="inlineStr">
        <is>
          <t>Rellenos</t>
        </is>
      </c>
      <c r="E1176" s="34" t="n">
        <v>23900</v>
      </c>
      <c r="F1176" t="inlineStr">
        <is>
          <t>B</t>
        </is>
      </c>
      <c r="G1176" s="34" t="n">
        <v>3816</v>
      </c>
      <c r="H1176" s="34" t="n">
        <v>20084</v>
      </c>
      <c r="I1176" t="inlineStr">
        <is>
          <t>3.2</t>
        </is>
      </c>
      <c r="J1176" t="inlineStr">
        <is>
          <t>Ventas Personas (B2C)</t>
        </is>
      </c>
      <c r="K1176" t="inlineStr">
        <is>
          <t>CH2</t>
        </is>
      </c>
    </row>
    <row r="1177">
      <c r="A1177" s="33" t="n">
        <v>45772</v>
      </c>
      <c r="B1177" t="inlineStr">
        <is>
          <t>2025-04</t>
        </is>
      </c>
      <c r="C1177" t="inlineStr">
        <is>
          <t>Aida Gana</t>
        </is>
      </c>
      <c r="D1177" t="inlineStr">
        <is>
          <t>CANELÉ TRADICIONAL</t>
        </is>
      </c>
      <c r="E1177" s="34" t="n">
        <v>23900</v>
      </c>
      <c r="F1177" t="inlineStr">
        <is>
          <t>B</t>
        </is>
      </c>
      <c r="G1177" s="34" t="n">
        <v>3816</v>
      </c>
      <c r="H1177" s="34" t="n">
        <v>20084</v>
      </c>
      <c r="I1177" t="inlineStr">
        <is>
          <t>3.2</t>
        </is>
      </c>
      <c r="J1177" t="inlineStr">
        <is>
          <t>Ventas Personas (B2C)</t>
        </is>
      </c>
      <c r="K1177" t="inlineStr">
        <is>
          <t>CH2</t>
        </is>
      </c>
    </row>
    <row r="1178">
      <c r="A1178" s="33" t="n">
        <v>45772</v>
      </c>
      <c r="B1178" t="inlineStr">
        <is>
          <t>2025-04</t>
        </is>
      </c>
      <c r="C1178" t="inlineStr">
        <is>
          <t>GUSTAVO MORENO</t>
        </is>
      </c>
      <c r="D1178" t="inlineStr">
        <is>
          <t>CANELÉ TRADICIONAL</t>
        </is>
      </c>
      <c r="E1178" s="34" t="n">
        <v>26900</v>
      </c>
      <c r="F1178" t="inlineStr">
        <is>
          <t>B</t>
        </is>
      </c>
      <c r="G1178" s="34" t="n">
        <v>4295</v>
      </c>
      <c r="H1178" s="34" t="n">
        <v>22605</v>
      </c>
      <c r="I1178" t="inlineStr">
        <is>
          <t>3.2</t>
        </is>
      </c>
      <c r="J1178" t="inlineStr">
        <is>
          <t>Ventas Personas (B2C)</t>
        </is>
      </c>
      <c r="K1178" t="inlineStr">
        <is>
          <t>CH2</t>
        </is>
      </c>
    </row>
    <row r="1179">
      <c r="A1179" s="33" t="n">
        <v>45772</v>
      </c>
      <c r="B1179" t="inlineStr">
        <is>
          <t>2025-04</t>
        </is>
      </c>
      <c r="C1179" t="inlineStr">
        <is>
          <t>KEKA LAMARCA</t>
        </is>
      </c>
      <c r="D1179" t="inlineStr">
        <is>
          <t>CANELÉ TRADICIONAL</t>
        </is>
      </c>
      <c r="E1179" s="34" t="n">
        <v>7500</v>
      </c>
      <c r="F1179" t="inlineStr">
        <is>
          <t>B</t>
        </is>
      </c>
      <c r="G1179" s="34" t="n">
        <v>1197</v>
      </c>
      <c r="H1179" s="34" t="n">
        <v>6303</v>
      </c>
      <c r="I1179" t="inlineStr">
        <is>
          <t>3.2</t>
        </is>
      </c>
      <c r="J1179" t="inlineStr">
        <is>
          <t>Ventas Personas (B2C)</t>
        </is>
      </c>
      <c r="K1179" t="inlineStr">
        <is>
          <t>CH2</t>
        </is>
      </c>
    </row>
    <row r="1180">
      <c r="A1180" s="33" t="n">
        <v>45772</v>
      </c>
      <c r="B1180" t="inlineStr">
        <is>
          <t>2025-04</t>
        </is>
      </c>
      <c r="C1180" t="inlineStr">
        <is>
          <t>Ivonne Pizarro</t>
        </is>
      </c>
      <c r="D1180" t="inlineStr">
        <is>
          <t>REGION METROPOLITANA</t>
        </is>
      </c>
      <c r="E1180" s="34" t="n">
        <v>3990</v>
      </c>
      <c r="F1180" t="inlineStr">
        <is>
          <t>B</t>
        </is>
      </c>
      <c r="G1180" s="34" t="n">
        <v>637</v>
      </c>
      <c r="H1180" s="34" t="n">
        <v>3353</v>
      </c>
      <c r="I1180" t="inlineStr">
        <is>
          <t>3.2</t>
        </is>
      </c>
      <c r="J1180" t="inlineStr">
        <is>
          <t>Ventas Personas (B2C)</t>
        </is>
      </c>
      <c r="K1180" t="inlineStr">
        <is>
          <t>CH2</t>
        </is>
      </c>
    </row>
    <row r="1181">
      <c r="A1181" s="33" t="n">
        <v>45772</v>
      </c>
      <c r="B1181" t="inlineStr">
        <is>
          <t>2025-04</t>
        </is>
      </c>
      <c r="C1181" t="inlineStr">
        <is>
          <t>andrea ponce</t>
        </is>
      </c>
      <c r="D1181" t="inlineStr">
        <is>
          <t>CANELÉ TRADICIONAL</t>
        </is>
      </c>
      <c r="E1181" s="34" t="n">
        <v>10000</v>
      </c>
      <c r="F1181" t="inlineStr">
        <is>
          <t>B</t>
        </is>
      </c>
      <c r="G1181" s="34" t="n">
        <v>1597</v>
      </c>
      <c r="H1181" s="34" t="n">
        <v>8403</v>
      </c>
      <c r="I1181" t="inlineStr">
        <is>
          <t>3.2</t>
        </is>
      </c>
      <c r="J1181" t="inlineStr">
        <is>
          <t>Ventas Personas (B2C)</t>
        </is>
      </c>
      <c r="K1181" t="inlineStr">
        <is>
          <t>CH2</t>
        </is>
      </c>
    </row>
    <row r="1182">
      <c r="A1182" s="33" t="n">
        <v>45772</v>
      </c>
      <c r="B1182" t="inlineStr">
        <is>
          <t>2025-04</t>
        </is>
      </c>
      <c r="C1182" t="inlineStr">
        <is>
          <t>CAROLINA GREZ</t>
        </is>
      </c>
      <c r="D1182" t="inlineStr">
        <is>
          <t>Petit Crunchy</t>
        </is>
      </c>
      <c r="E1182" s="34" t="n">
        <v>20720</v>
      </c>
      <c r="F1182" t="inlineStr">
        <is>
          <t>B</t>
        </is>
      </c>
      <c r="G1182" s="34" t="n">
        <v>3308</v>
      </c>
      <c r="H1182" s="34" t="n">
        <v>17412</v>
      </c>
      <c r="I1182" t="inlineStr">
        <is>
          <t>3.2</t>
        </is>
      </c>
      <c r="J1182" t="inlineStr">
        <is>
          <t>Ventas Personas (B2C)</t>
        </is>
      </c>
      <c r="K1182" t="inlineStr">
        <is>
          <t>CH2</t>
        </is>
      </c>
    </row>
    <row r="1183">
      <c r="A1183" s="33" t="n">
        <v>45772</v>
      </c>
      <c r="B1183" t="inlineStr">
        <is>
          <t>2025-04</t>
        </is>
      </c>
      <c r="C1183" t="inlineStr">
        <is>
          <t>gerda ortlieb</t>
        </is>
      </c>
      <c r="D1183" t="inlineStr">
        <is>
          <t>Petit Tradicional</t>
        </is>
      </c>
      <c r="E1183" s="34" t="n">
        <v>12900</v>
      </c>
      <c r="F1183" t="inlineStr">
        <is>
          <t>B</t>
        </is>
      </c>
      <c r="G1183" s="34" t="n">
        <v>2060</v>
      </c>
      <c r="H1183" s="34" t="n">
        <v>10840</v>
      </c>
      <c r="I1183" t="inlineStr">
        <is>
          <t>3.2</t>
        </is>
      </c>
      <c r="J1183" t="inlineStr">
        <is>
          <t>Ventas Personas (B2C)</t>
        </is>
      </c>
      <c r="K1183" t="inlineStr">
        <is>
          <t>CH2</t>
        </is>
      </c>
    </row>
    <row r="1184">
      <c r="A1184" s="33" t="n">
        <v>45772</v>
      </c>
      <c r="B1184" t="inlineStr">
        <is>
          <t>2025-04</t>
        </is>
      </c>
      <c r="C1184" t="inlineStr">
        <is>
          <t>Javier Aparicio</t>
        </is>
      </c>
      <c r="D1184" t="inlineStr">
        <is>
          <t>Petit Crunchy</t>
        </is>
      </c>
      <c r="E1184" s="34" t="n">
        <v>32890</v>
      </c>
      <c r="F1184" t="inlineStr">
        <is>
          <t>B</t>
        </is>
      </c>
      <c r="G1184" s="34" t="n">
        <v>5251</v>
      </c>
      <c r="H1184" s="34" t="n">
        <v>27639</v>
      </c>
      <c r="I1184" t="inlineStr">
        <is>
          <t>3.2</t>
        </is>
      </c>
      <c r="J1184" t="inlineStr">
        <is>
          <t>Ventas Personas (B2C)</t>
        </is>
      </c>
      <c r="K1184" t="inlineStr">
        <is>
          <t>CH2</t>
        </is>
      </c>
    </row>
    <row r="1185">
      <c r="A1185" s="33" t="n">
        <v>45773</v>
      </c>
      <c r="B1185" t="inlineStr">
        <is>
          <t>2025-04</t>
        </is>
      </c>
      <c r="C1185" t="inlineStr">
        <is>
          <t>MARTIN ANDRES CORTES TORO</t>
        </is>
      </c>
      <c r="D1185" t="inlineStr">
        <is>
          <t>Petit Tradicional</t>
        </is>
      </c>
      <c r="E1185" s="34" t="n">
        <v>25890</v>
      </c>
      <c r="F1185" t="inlineStr">
        <is>
          <t>F</t>
        </is>
      </c>
      <c r="G1185" s="34" t="n">
        <v>4134</v>
      </c>
      <c r="H1185" s="34" t="n">
        <v>21756</v>
      </c>
      <c r="I1185" t="inlineStr">
        <is>
          <t>3.1</t>
        </is>
      </c>
      <c r="J1185" t="inlineStr">
        <is>
          <t>Ventas HoReCa</t>
        </is>
      </c>
      <c r="K1185" t="inlineStr">
        <is>
          <t>CH1</t>
        </is>
      </c>
    </row>
    <row r="1186">
      <c r="A1186" s="33" t="n">
        <v>45773</v>
      </c>
      <c r="B1186" t="inlineStr">
        <is>
          <t>2025-04</t>
        </is>
      </c>
      <c r="C1186" t="inlineStr">
        <is>
          <t>Victoria fuentes</t>
        </is>
      </c>
      <c r="D1186" t="inlineStr">
        <is>
          <t>CANELÉ TRADICIONAL</t>
        </is>
      </c>
      <c r="E1186" s="34" t="n">
        <v>34790</v>
      </c>
      <c r="F1186" t="inlineStr">
        <is>
          <t>B</t>
        </is>
      </c>
      <c r="G1186" s="34" t="n">
        <v>5555</v>
      </c>
      <c r="H1186" s="34" t="n">
        <v>29235</v>
      </c>
      <c r="I1186" t="inlineStr">
        <is>
          <t>3.2</t>
        </is>
      </c>
      <c r="J1186" t="inlineStr">
        <is>
          <t>Ventas Personas (B2C)</t>
        </is>
      </c>
      <c r="K1186" t="inlineStr">
        <is>
          <t>CH2</t>
        </is>
      </c>
    </row>
    <row r="1187">
      <c r="A1187" s="33" t="n">
        <v>45773</v>
      </c>
      <c r="B1187" t="inlineStr">
        <is>
          <t>2025-04</t>
        </is>
      </c>
      <c r="C1187" t="inlineStr">
        <is>
          <t>Jean Paul  Meunier</t>
        </is>
      </c>
      <c r="D1187" t="inlineStr">
        <is>
          <t>CANELÉ TRADICIONAL</t>
        </is>
      </c>
      <c r="E1187" s="34" t="n">
        <v>14900</v>
      </c>
      <c r="F1187" t="inlineStr">
        <is>
          <t>B</t>
        </is>
      </c>
      <c r="G1187" s="34" t="n">
        <v>2379</v>
      </c>
      <c r="H1187" s="34" t="n">
        <v>12521</v>
      </c>
      <c r="I1187" t="inlineStr">
        <is>
          <t>3.2</t>
        </is>
      </c>
      <c r="J1187" t="inlineStr">
        <is>
          <t>Ventas Personas (B2C)</t>
        </is>
      </c>
      <c r="K1187" t="inlineStr">
        <is>
          <t>CH2</t>
        </is>
      </c>
    </row>
    <row r="1188">
      <c r="A1188" s="33" t="n">
        <v>45773</v>
      </c>
      <c r="B1188" t="inlineStr">
        <is>
          <t>2025-04</t>
        </is>
      </c>
      <c r="C1188" t="inlineStr">
        <is>
          <t>Manuel Galaz</t>
        </is>
      </c>
      <c r="D1188" t="inlineStr">
        <is>
          <t>Petit Crunchy</t>
        </is>
      </c>
      <c r="E1188" s="34" t="n">
        <v>30790</v>
      </c>
      <c r="F1188" t="inlineStr">
        <is>
          <t>B</t>
        </is>
      </c>
      <c r="G1188" s="34" t="n">
        <v>4916</v>
      </c>
      <c r="H1188" s="34" t="n">
        <v>25874</v>
      </c>
      <c r="I1188" t="inlineStr">
        <is>
          <t>3.2</t>
        </is>
      </c>
      <c r="J1188" t="inlineStr">
        <is>
          <t>Ventas Personas (B2C)</t>
        </is>
      </c>
      <c r="K1188" t="inlineStr">
        <is>
          <t>CH2</t>
        </is>
      </c>
    </row>
    <row r="1189">
      <c r="A1189" s="33" t="n">
        <v>45773</v>
      </c>
      <c r="B1189" t="inlineStr">
        <is>
          <t>2025-04</t>
        </is>
      </c>
      <c r="C1189" t="inlineStr">
        <is>
          <t>María José Robles</t>
        </is>
      </c>
      <c r="D1189" t="inlineStr">
        <is>
          <t>Petit Tradicional</t>
        </is>
      </c>
      <c r="E1189" s="34" t="n">
        <v>20900</v>
      </c>
      <c r="F1189" t="inlineStr">
        <is>
          <t>B</t>
        </is>
      </c>
      <c r="G1189" s="34" t="n">
        <v>3337</v>
      </c>
      <c r="H1189" s="34" t="n">
        <v>17563</v>
      </c>
      <c r="I1189" t="inlineStr">
        <is>
          <t>3.2</t>
        </is>
      </c>
      <c r="J1189" t="inlineStr">
        <is>
          <t>Ventas Personas (B2C)</t>
        </is>
      </c>
      <c r="K1189" t="inlineStr">
        <is>
          <t>CH2</t>
        </is>
      </c>
    </row>
    <row r="1190">
      <c r="A1190" s="33" t="n">
        <v>45773</v>
      </c>
      <c r="B1190" t="inlineStr">
        <is>
          <t>2025-04</t>
        </is>
      </c>
      <c r="C1190" t="inlineStr">
        <is>
          <t>Clemente Rubio</t>
        </is>
      </c>
      <c r="D1190" t="inlineStr">
        <is>
          <t>Petit Tradicional</t>
        </is>
      </c>
      <c r="E1190" s="34" t="n">
        <v>15889</v>
      </c>
      <c r="F1190" t="inlineStr">
        <is>
          <t>B</t>
        </is>
      </c>
      <c r="G1190" s="34" t="n">
        <v>2537</v>
      </c>
      <c r="H1190" s="34" t="n">
        <v>13352</v>
      </c>
      <c r="I1190" t="inlineStr">
        <is>
          <t>3.2</t>
        </is>
      </c>
      <c r="J1190" t="inlineStr">
        <is>
          <t>Ventas Personas (B2C)</t>
        </is>
      </c>
      <c r="K1190" t="inlineStr">
        <is>
          <t>CH2</t>
        </is>
      </c>
    </row>
    <row r="1191">
      <c r="A1191" s="33" t="n">
        <v>45773</v>
      </c>
      <c r="B1191" t="inlineStr">
        <is>
          <t>2025-04</t>
        </is>
      </c>
      <c r="C1191" t="inlineStr">
        <is>
          <t>CLAUDIO AVENDANO</t>
        </is>
      </c>
      <c r="D1191" t="inlineStr">
        <is>
          <t>PACKS GOURMET</t>
        </is>
      </c>
      <c r="E1191" s="34" t="n">
        <v>21746</v>
      </c>
      <c r="F1191" t="inlineStr">
        <is>
          <t>B</t>
        </is>
      </c>
      <c r="G1191" s="34" t="n">
        <v>3472</v>
      </c>
      <c r="H1191" s="34" t="n">
        <v>18274</v>
      </c>
      <c r="I1191" t="inlineStr">
        <is>
          <t>3.2</t>
        </is>
      </c>
      <c r="J1191" t="inlineStr">
        <is>
          <t>Ventas Personas (B2C)</t>
        </is>
      </c>
      <c r="K1191" t="inlineStr">
        <is>
          <t>CH2</t>
        </is>
      </c>
    </row>
    <row r="1192">
      <c r="A1192" s="33" t="n">
        <v>45773</v>
      </c>
      <c r="B1192" t="inlineStr">
        <is>
          <t>2025-04</t>
        </is>
      </c>
      <c r="C1192" t="inlineStr">
        <is>
          <t>Sin cliente</t>
        </is>
      </c>
      <c r="D1192" t="inlineStr">
        <is>
          <t>Mix Sabores</t>
        </is>
      </c>
      <c r="E1192" s="34" t="n">
        <v>27360</v>
      </c>
      <c r="F1192" t="inlineStr">
        <is>
          <t>B</t>
        </is>
      </c>
      <c r="G1192" s="34" t="n">
        <v>4368</v>
      </c>
      <c r="H1192" s="34" t="n">
        <v>22992</v>
      </c>
      <c r="I1192" t="inlineStr">
        <is>
          <t>3.6</t>
        </is>
      </c>
      <c r="J1192" t="inlineStr">
        <is>
          <t>Ventas Delivery Apps</t>
        </is>
      </c>
      <c r="K1192" t="inlineStr">
        <is>
          <t>CH3</t>
        </is>
      </c>
    </row>
    <row r="1193">
      <c r="A1193" s="33" t="n">
        <v>45773</v>
      </c>
      <c r="B1193" t="inlineStr">
        <is>
          <t>2025-04</t>
        </is>
      </c>
      <c r="C1193" t="inlineStr">
        <is>
          <t>ignacio rodriguez</t>
        </is>
      </c>
      <c r="D1193" t="inlineStr">
        <is>
          <t>CANELÉ TRADICIONAL</t>
        </is>
      </c>
      <c r="E1193" s="34" t="n">
        <v>16900</v>
      </c>
      <c r="F1193" t="inlineStr">
        <is>
          <t>B</t>
        </is>
      </c>
      <c r="G1193" s="34" t="n">
        <v>2698</v>
      </c>
      <c r="H1193" s="34" t="n">
        <v>14202</v>
      </c>
      <c r="I1193" t="inlineStr">
        <is>
          <t>3.2</t>
        </is>
      </c>
      <c r="J1193" t="inlineStr">
        <is>
          <t>Ventas Personas (B2C)</t>
        </is>
      </c>
      <c r="K1193" t="inlineStr">
        <is>
          <t>CH2</t>
        </is>
      </c>
    </row>
    <row r="1194">
      <c r="A1194" s="33" t="n">
        <v>45773</v>
      </c>
      <c r="B1194" t="inlineStr">
        <is>
          <t>2025-04</t>
        </is>
      </c>
      <c r="C1194" t="inlineStr">
        <is>
          <t>Estela Payen</t>
        </is>
      </c>
      <c r="D1194" t="inlineStr">
        <is>
          <t>Petit Tradicional</t>
        </is>
      </c>
      <c r="E1194" s="34" t="n">
        <v>20900</v>
      </c>
      <c r="F1194" t="inlineStr">
        <is>
          <t>B</t>
        </is>
      </c>
      <c r="G1194" s="34" t="n">
        <v>3337</v>
      </c>
      <c r="H1194" s="34" t="n">
        <v>17563</v>
      </c>
      <c r="I1194" t="inlineStr">
        <is>
          <t>3.2</t>
        </is>
      </c>
      <c r="J1194" t="inlineStr">
        <is>
          <t>Ventas Personas (B2C)</t>
        </is>
      </c>
      <c r="K1194" t="inlineStr">
        <is>
          <t>CH2</t>
        </is>
      </c>
    </row>
    <row r="1195">
      <c r="A1195" s="33" t="n">
        <v>45773</v>
      </c>
      <c r="B1195" t="inlineStr">
        <is>
          <t>2025-04</t>
        </is>
      </c>
      <c r="C1195" t="inlineStr">
        <is>
          <t>Carolina Soto</t>
        </is>
      </c>
      <c r="D1195" t="inlineStr">
        <is>
          <t>CANELÉ TRADICIONAL</t>
        </is>
      </c>
      <c r="E1195" s="34" t="n">
        <v>17520</v>
      </c>
      <c r="F1195" t="inlineStr">
        <is>
          <t>B</t>
        </is>
      </c>
      <c r="G1195" s="34" t="n">
        <v>2797</v>
      </c>
      <c r="H1195" s="34" t="n">
        <v>14723</v>
      </c>
      <c r="I1195" t="inlineStr">
        <is>
          <t>3.2</t>
        </is>
      </c>
      <c r="J1195" t="inlineStr">
        <is>
          <t>Ventas Personas (B2C)</t>
        </is>
      </c>
      <c r="K1195" t="inlineStr">
        <is>
          <t>CH2</t>
        </is>
      </c>
    </row>
    <row r="1196">
      <c r="A1196" s="33" t="n">
        <v>45773</v>
      </c>
      <c r="B1196" t="inlineStr">
        <is>
          <t>2025-04</t>
        </is>
      </c>
      <c r="C1196" t="inlineStr">
        <is>
          <t>Daniel Merino</t>
        </is>
      </c>
      <c r="D1196" t="inlineStr">
        <is>
          <t>Petit Tradicional</t>
        </is>
      </c>
      <c r="E1196" s="34" t="n">
        <v>16890</v>
      </c>
      <c r="F1196" t="inlineStr">
        <is>
          <t>B</t>
        </is>
      </c>
      <c r="G1196" s="34" t="n">
        <v>2697</v>
      </c>
      <c r="H1196" s="34" t="n">
        <v>14193</v>
      </c>
      <c r="I1196" t="inlineStr">
        <is>
          <t>3.2</t>
        </is>
      </c>
      <c r="J1196" t="inlineStr">
        <is>
          <t>Ventas Personas (B2C)</t>
        </is>
      </c>
      <c r="K1196" t="inlineStr">
        <is>
          <t>CH2</t>
        </is>
      </c>
    </row>
    <row r="1197">
      <c r="A1197" s="33" t="n">
        <v>45773</v>
      </c>
      <c r="B1197" t="inlineStr">
        <is>
          <t>2025-04</t>
        </is>
      </c>
      <c r="C1197" t="inlineStr">
        <is>
          <t>Sin cliente</t>
        </is>
      </c>
      <c r="D1197" t="inlineStr">
        <is>
          <t>PLATAFORMAS RAP-PEYA-UBER-GOOD</t>
        </is>
      </c>
      <c r="E1197" s="34" t="n">
        <v>35748</v>
      </c>
      <c r="F1197" t="inlineStr">
        <is>
          <t>B</t>
        </is>
      </c>
      <c r="G1197" s="34" t="n">
        <v>5708</v>
      </c>
      <c r="H1197" s="34" t="n">
        <v>30040</v>
      </c>
      <c r="I1197" t="inlineStr">
        <is>
          <t>3.6</t>
        </is>
      </c>
      <c r="J1197" t="inlineStr">
        <is>
          <t>Ventas Delivery Apps</t>
        </is>
      </c>
      <c r="K1197" t="inlineStr">
        <is>
          <t>CH3</t>
        </is>
      </c>
    </row>
    <row r="1198">
      <c r="A1198" s="33" t="n">
        <v>45773</v>
      </c>
      <c r="B1198" t="inlineStr">
        <is>
          <t>2025-04</t>
        </is>
      </c>
      <c r="C1198" t="inlineStr">
        <is>
          <t>Sin cliente</t>
        </is>
      </c>
      <c r="D1198" t="inlineStr">
        <is>
          <t>PLATAFORMAS RAP-PEYA-UBER-GOOD</t>
        </is>
      </c>
      <c r="E1198" s="34" t="n">
        <v>9800</v>
      </c>
      <c r="F1198" t="inlineStr">
        <is>
          <t>B</t>
        </is>
      </c>
      <c r="G1198" s="34" t="n">
        <v>1565</v>
      </c>
      <c r="H1198" s="34" t="n">
        <v>8235</v>
      </c>
      <c r="I1198" t="inlineStr">
        <is>
          <t>3.6</t>
        </is>
      </c>
      <c r="J1198" t="inlineStr">
        <is>
          <t>Ventas Delivery Apps</t>
        </is>
      </c>
      <c r="K1198" t="inlineStr">
        <is>
          <t>CH3</t>
        </is>
      </c>
    </row>
    <row r="1199">
      <c r="A1199" s="33" t="n">
        <v>45773</v>
      </c>
      <c r="B1199" t="inlineStr">
        <is>
          <t>2025-04</t>
        </is>
      </c>
      <c r="C1199" t="inlineStr">
        <is>
          <t>Sebastian Jaque</t>
        </is>
      </c>
      <c r="D1199" t="inlineStr">
        <is>
          <t>Mix Sabores</t>
        </is>
      </c>
      <c r="E1199" s="34" t="n">
        <v>31810</v>
      </c>
      <c r="F1199" t="inlineStr">
        <is>
          <t>B</t>
        </is>
      </c>
      <c r="G1199" s="34" t="n">
        <v>5079</v>
      </c>
      <c r="H1199" s="34" t="n">
        <v>26731</v>
      </c>
      <c r="I1199" t="inlineStr">
        <is>
          <t>3.2</t>
        </is>
      </c>
      <c r="J1199" t="inlineStr">
        <is>
          <t>Ventas Personas (B2C)</t>
        </is>
      </c>
      <c r="K1199" t="inlineStr">
        <is>
          <t>CH2</t>
        </is>
      </c>
    </row>
    <row r="1200">
      <c r="A1200" s="33" t="n">
        <v>45775</v>
      </c>
      <c r="B1200" t="inlineStr">
        <is>
          <t>2025-04</t>
        </is>
      </c>
      <c r="C1200" t="inlineStr">
        <is>
          <t>POMPON SPA</t>
        </is>
      </c>
      <c r="D1200" t="inlineStr">
        <is>
          <t>HORECA CAFETERIA</t>
        </is>
      </c>
      <c r="E1200" s="34" t="n">
        <v>132510</v>
      </c>
      <c r="F1200" t="inlineStr">
        <is>
          <t>F</t>
        </is>
      </c>
      <c r="G1200" s="34" t="n">
        <v>21157</v>
      </c>
      <c r="H1200" s="34" t="n">
        <v>111353</v>
      </c>
      <c r="I1200" t="inlineStr">
        <is>
          <t>3.1</t>
        </is>
      </c>
      <c r="J1200" t="inlineStr">
        <is>
          <t>Ventas HoReCa</t>
        </is>
      </c>
      <c r="K1200" t="inlineStr">
        <is>
          <t>CH1</t>
        </is>
      </c>
    </row>
    <row r="1201">
      <c r="A1201" s="33" t="n">
        <v>45775</v>
      </c>
      <c r="B1201" t="inlineStr">
        <is>
          <t>2025-04</t>
        </is>
      </c>
      <c r="C1201" t="inlineStr">
        <is>
          <t>INVERSIONES Y ASESORIAS RAVAL LIMITADA</t>
        </is>
      </c>
      <c r="D1201" t="inlineStr">
        <is>
          <t>HORECA CAFETERIA</t>
        </is>
      </c>
      <c r="E1201" s="34" t="n">
        <v>67980</v>
      </c>
      <c r="F1201" t="inlineStr">
        <is>
          <t>F</t>
        </is>
      </c>
      <c r="G1201" s="34" t="n">
        <v>10854</v>
      </c>
      <c r="H1201" s="34" t="n">
        <v>57126</v>
      </c>
      <c r="I1201" t="inlineStr">
        <is>
          <t>3.1</t>
        </is>
      </c>
      <c r="J1201" t="inlineStr">
        <is>
          <t>Ventas HoReCa</t>
        </is>
      </c>
      <c r="K1201" t="inlineStr">
        <is>
          <t>CH1</t>
        </is>
      </c>
    </row>
    <row r="1202">
      <c r="A1202" s="33" t="n">
        <v>45775</v>
      </c>
      <c r="B1202" t="inlineStr">
        <is>
          <t>2025-04</t>
        </is>
      </c>
      <c r="C1202" t="inlineStr">
        <is>
          <t>CAFETERÍA ALTURA LIMITADA</t>
        </is>
      </c>
      <c r="D1202" t="inlineStr">
        <is>
          <t>HORECA CAFETERIA</t>
        </is>
      </c>
      <c r="E1202" s="34" t="n">
        <v>78870</v>
      </c>
      <c r="F1202" t="inlineStr">
        <is>
          <t>F</t>
        </is>
      </c>
      <c r="G1202" s="34" t="n">
        <v>12593</v>
      </c>
      <c r="H1202" s="34" t="n">
        <v>66277</v>
      </c>
      <c r="I1202" t="inlineStr">
        <is>
          <t>3.1</t>
        </is>
      </c>
      <c r="J1202" t="inlineStr">
        <is>
          <t>Ventas HoReCa</t>
        </is>
      </c>
      <c r="K1202" t="inlineStr">
        <is>
          <t>CH1</t>
        </is>
      </c>
    </row>
    <row r="1203">
      <c r="A1203" s="33" t="n">
        <v>45775</v>
      </c>
      <c r="B1203" t="inlineStr">
        <is>
          <t>2025-04</t>
        </is>
      </c>
      <c r="C1203" t="inlineStr">
        <is>
          <t>INVERSIONES Y COMERCIALIZADORA FED LIMITADA</t>
        </is>
      </c>
      <c r="D1203" t="inlineStr">
        <is>
          <t>HORECA CAFETERIA</t>
        </is>
      </c>
      <c r="E1203" s="34" t="n">
        <v>104830</v>
      </c>
      <c r="F1203" t="inlineStr">
        <is>
          <t>F</t>
        </is>
      </c>
      <c r="G1203" s="34" t="n">
        <v>16738</v>
      </c>
      <c r="H1203" s="34" t="n">
        <v>88092</v>
      </c>
      <c r="I1203" t="inlineStr">
        <is>
          <t>3.1</t>
        </is>
      </c>
      <c r="J1203" t="inlineStr">
        <is>
          <t>Ventas HoReCa</t>
        </is>
      </c>
      <c r="K1203" t="inlineStr">
        <is>
          <t>CH1</t>
        </is>
      </c>
    </row>
    <row r="1204">
      <c r="A1204" s="33" t="n">
        <v>45775</v>
      </c>
      <c r="B1204" t="inlineStr">
        <is>
          <t>2025-04</t>
        </is>
      </c>
      <c r="C1204" t="inlineStr">
        <is>
          <t>INVERSIONES Y COMERCIALIZADORA FED LIMITADA</t>
        </is>
      </c>
      <c r="D1204" t="inlineStr">
        <is>
          <t>HORECA CAFETERIA</t>
        </is>
      </c>
      <c r="E1204" s="34" t="n">
        <v>257097</v>
      </c>
      <c r="F1204" t="inlineStr">
        <is>
          <t>F</t>
        </is>
      </c>
      <c r="G1204" s="34" t="n">
        <v>41049</v>
      </c>
      <c r="H1204" s="34" t="n">
        <v>216048</v>
      </c>
      <c r="I1204" t="inlineStr">
        <is>
          <t>3.1</t>
        </is>
      </c>
      <c r="J1204" t="inlineStr">
        <is>
          <t>Ventas HoReCa</t>
        </is>
      </c>
      <c r="K1204" t="inlineStr">
        <is>
          <t>CH1</t>
        </is>
      </c>
    </row>
    <row r="1205">
      <c r="A1205" s="33" t="n">
        <v>45775</v>
      </c>
      <c r="B1205" t="inlineStr">
        <is>
          <t>2025-04</t>
        </is>
      </c>
      <c r="C1205" t="inlineStr">
        <is>
          <t>Andrea Vio Toro</t>
        </is>
      </c>
      <c r="D1205" t="inlineStr">
        <is>
          <t>Delicatessen</t>
        </is>
      </c>
      <c r="E1205" s="34" t="n">
        <v>24510</v>
      </c>
      <c r="F1205" t="inlineStr">
        <is>
          <t>B</t>
        </is>
      </c>
      <c r="G1205" s="34" t="n">
        <v>3913</v>
      </c>
      <c r="H1205" s="34" t="n">
        <v>20597</v>
      </c>
      <c r="I1205" t="inlineStr">
        <is>
          <t>3.2</t>
        </is>
      </c>
      <c r="J1205" t="inlineStr">
        <is>
          <t>Ventas Personas (B2C)</t>
        </is>
      </c>
      <c r="K1205" t="inlineStr">
        <is>
          <t>CH2</t>
        </is>
      </c>
    </row>
    <row r="1206">
      <c r="A1206" s="33" t="n">
        <v>45775</v>
      </c>
      <c r="B1206" t="inlineStr">
        <is>
          <t>2025-04</t>
        </is>
      </c>
      <c r="C1206" t="inlineStr">
        <is>
          <t>magdalena negrete</t>
        </is>
      </c>
      <c r="D1206" t="inlineStr">
        <is>
          <t>Petit Tradicional</t>
        </is>
      </c>
      <c r="E1206" s="34" t="n">
        <v>16890</v>
      </c>
      <c r="F1206" t="inlineStr">
        <is>
          <t>B</t>
        </is>
      </c>
      <c r="G1206" s="34" t="n">
        <v>2697</v>
      </c>
      <c r="H1206" s="34" t="n">
        <v>14193</v>
      </c>
      <c r="I1206" t="inlineStr">
        <is>
          <t>3.2</t>
        </is>
      </c>
      <c r="J1206" t="inlineStr">
        <is>
          <t>Ventas Personas (B2C)</t>
        </is>
      </c>
      <c r="K1206" t="inlineStr">
        <is>
          <t>CH2</t>
        </is>
      </c>
    </row>
    <row r="1207">
      <c r="A1207" s="33" t="n">
        <v>45775</v>
      </c>
      <c r="B1207" t="inlineStr">
        <is>
          <t>2025-04</t>
        </is>
      </c>
      <c r="C1207" t="inlineStr">
        <is>
          <t>RICO SPA</t>
        </is>
      </c>
      <c r="D1207" t="inlineStr">
        <is>
          <t>HORECA CATERING</t>
        </is>
      </c>
      <c r="E1207" s="34" t="n">
        <v>74045</v>
      </c>
      <c r="F1207" t="inlineStr">
        <is>
          <t>F</t>
        </is>
      </c>
      <c r="G1207" s="34" t="n">
        <v>11822</v>
      </c>
      <c r="H1207" s="34" t="n">
        <v>62223</v>
      </c>
      <c r="I1207" t="inlineStr">
        <is>
          <t>3.1</t>
        </is>
      </c>
      <c r="J1207" t="inlineStr">
        <is>
          <t>Ventas HoReCa</t>
        </is>
      </c>
      <c r="K1207" t="inlineStr">
        <is>
          <t>CH1</t>
        </is>
      </c>
    </row>
    <row r="1208">
      <c r="A1208" s="33" t="n">
        <v>45775</v>
      </c>
      <c r="B1208" t="inlineStr">
        <is>
          <t>2025-04</t>
        </is>
      </c>
      <c r="C1208" t="inlineStr">
        <is>
          <t>RICO SPA</t>
        </is>
      </c>
      <c r="D1208" t="inlineStr">
        <is>
          <t>HORECA CATERING</t>
        </is>
      </c>
      <c r="E1208" s="34" t="n">
        <v>-74045</v>
      </c>
      <c r="F1208" t="inlineStr">
        <is>
          <t>NC</t>
        </is>
      </c>
      <c r="G1208" s="34" t="n">
        <v>-11822</v>
      </c>
      <c r="H1208" s="34" t="n">
        <v>-62223</v>
      </c>
      <c r="I1208" t="inlineStr">
        <is>
          <t>3.2</t>
        </is>
      </c>
      <c r="J1208" t="inlineStr">
        <is>
          <t>Ventas Personas (B2C)</t>
        </is>
      </c>
      <c r="K1208" t="inlineStr">
        <is>
          <t>CH2</t>
        </is>
      </c>
    </row>
    <row r="1209">
      <c r="A1209" s="33" t="n">
        <v>45775</v>
      </c>
      <c r="B1209" t="inlineStr">
        <is>
          <t>2025-04</t>
        </is>
      </c>
      <c r="C1209" t="inlineStr">
        <is>
          <t>RICO SPA</t>
        </is>
      </c>
      <c r="D1209" t="inlineStr">
        <is>
          <t>HORECA CATERING</t>
        </is>
      </c>
      <c r="E1209" s="34" t="n">
        <v>70035</v>
      </c>
      <c r="F1209" t="inlineStr">
        <is>
          <t>F</t>
        </is>
      </c>
      <c r="G1209" s="34" t="n">
        <v>11182</v>
      </c>
      <c r="H1209" s="34" t="n">
        <v>58853</v>
      </c>
      <c r="I1209" t="inlineStr">
        <is>
          <t>3.1</t>
        </is>
      </c>
      <c r="J1209" t="inlineStr">
        <is>
          <t>Ventas HoReCa</t>
        </is>
      </c>
      <c r="K1209" t="inlineStr">
        <is>
          <t>CH1</t>
        </is>
      </c>
    </row>
    <row r="1210">
      <c r="A1210" s="33" t="n">
        <v>45775</v>
      </c>
      <c r="B1210" t="inlineStr">
        <is>
          <t>2025-04</t>
        </is>
      </c>
      <c r="C1210" t="inlineStr">
        <is>
          <t>PRODUCTORA DE EVENTOS AGDV SPA</t>
        </is>
      </c>
      <c r="D1210" t="inlineStr">
        <is>
          <t>HORECA CATERING</t>
        </is>
      </c>
      <c r="E1210" s="34" t="n">
        <v>33023</v>
      </c>
      <c r="F1210" t="inlineStr">
        <is>
          <t>F</t>
        </is>
      </c>
      <c r="G1210" s="34" t="n">
        <v>5273</v>
      </c>
      <c r="H1210" s="34" t="n">
        <v>27750</v>
      </c>
      <c r="I1210" t="inlineStr">
        <is>
          <t>3.1</t>
        </is>
      </c>
      <c r="J1210" t="inlineStr">
        <is>
          <t>Ventas HoReCa</t>
        </is>
      </c>
      <c r="K1210" t="inlineStr">
        <is>
          <t>CH1</t>
        </is>
      </c>
    </row>
    <row r="1211">
      <c r="A1211" s="33" t="n">
        <v>45775</v>
      </c>
      <c r="B1211" t="inlineStr">
        <is>
          <t>2025-04</t>
        </is>
      </c>
      <c r="C1211" t="inlineStr">
        <is>
          <t>arturo rios</t>
        </is>
      </c>
      <c r="D1211" t="inlineStr">
        <is>
          <t>CANELÉ TRADICIONAL</t>
        </is>
      </c>
      <c r="E1211" s="34" t="n">
        <v>14900</v>
      </c>
      <c r="F1211" t="inlineStr">
        <is>
          <t>B</t>
        </is>
      </c>
      <c r="G1211" s="34" t="n">
        <v>2379</v>
      </c>
      <c r="H1211" s="34" t="n">
        <v>12521</v>
      </c>
      <c r="I1211" t="inlineStr">
        <is>
          <t>3.2</t>
        </is>
      </c>
      <c r="J1211" t="inlineStr">
        <is>
          <t>Ventas Personas (B2C)</t>
        </is>
      </c>
      <c r="K1211" t="inlineStr">
        <is>
          <t>CH2</t>
        </is>
      </c>
    </row>
    <row r="1212">
      <c r="A1212" s="33" t="n">
        <v>45775</v>
      </c>
      <c r="B1212" t="inlineStr">
        <is>
          <t>2025-04</t>
        </is>
      </c>
      <c r="C1212" t="inlineStr">
        <is>
          <t>nicolas benedetti</t>
        </is>
      </c>
      <c r="D1212" t="inlineStr">
        <is>
          <t>PACKS GOURMET</t>
        </is>
      </c>
      <c r="E1212" s="34" t="n">
        <v>21746</v>
      </c>
      <c r="F1212" t="inlineStr">
        <is>
          <t>B</t>
        </is>
      </c>
      <c r="G1212" s="34" t="n">
        <v>3472</v>
      </c>
      <c r="H1212" s="34" t="n">
        <v>18274</v>
      </c>
      <c r="I1212" t="inlineStr">
        <is>
          <t>3.2</t>
        </is>
      </c>
      <c r="J1212" t="inlineStr">
        <is>
          <t>Ventas Personas (B2C)</t>
        </is>
      </c>
      <c r="K1212" t="inlineStr">
        <is>
          <t>CH2</t>
        </is>
      </c>
    </row>
    <row r="1213">
      <c r="A1213" s="33" t="n">
        <v>45776</v>
      </c>
      <c r="B1213" t="inlineStr">
        <is>
          <t>2025-04</t>
        </is>
      </c>
      <c r="C1213" t="inlineStr">
        <is>
          <t>Tania Vivar</t>
        </is>
      </c>
      <c r="D1213" t="inlineStr">
        <is>
          <t>CANELÉ TRADICIONAL</t>
        </is>
      </c>
      <c r="E1213" s="34" t="n">
        <v>50800</v>
      </c>
      <c r="F1213" t="inlineStr">
        <is>
          <t>B</t>
        </is>
      </c>
      <c r="G1213" s="34" t="n">
        <v>8111</v>
      </c>
      <c r="H1213" s="34" t="n">
        <v>42689</v>
      </c>
      <c r="I1213" t="inlineStr">
        <is>
          <t>3.2</t>
        </is>
      </c>
      <c r="J1213" t="inlineStr">
        <is>
          <t>Ventas Personas (B2C)</t>
        </is>
      </c>
      <c r="K1213" t="inlineStr">
        <is>
          <t>CH2</t>
        </is>
      </c>
    </row>
    <row r="1214">
      <c r="A1214" s="33" t="n">
        <v>45776</v>
      </c>
      <c r="B1214" t="inlineStr">
        <is>
          <t>2025-04</t>
        </is>
      </c>
      <c r="C1214" t="inlineStr">
        <is>
          <t>INVERSIONES SELMAN ANANIAS SPA</t>
        </is>
      </c>
      <c r="D1214" t="inlineStr">
        <is>
          <t>CANELÉ PETIT</t>
        </is>
      </c>
      <c r="E1214" s="34" t="n">
        <v>171780</v>
      </c>
      <c r="F1214" t="inlineStr">
        <is>
          <t>F</t>
        </is>
      </c>
      <c r="G1214" s="34" t="n">
        <v>27427</v>
      </c>
      <c r="H1214" s="34" t="n">
        <v>144353</v>
      </c>
      <c r="I1214" t="inlineStr">
        <is>
          <t>3.1</t>
        </is>
      </c>
      <c r="J1214" t="inlineStr">
        <is>
          <t>Ventas HoReCa</t>
        </is>
      </c>
      <c r="K1214" t="inlineStr">
        <is>
          <t>CH1</t>
        </is>
      </c>
    </row>
    <row r="1215">
      <c r="A1215" s="33" t="n">
        <v>45776</v>
      </c>
      <c r="B1215" t="inlineStr">
        <is>
          <t>2025-04</t>
        </is>
      </c>
      <c r="C1215" t="inlineStr">
        <is>
          <t>CAFÉ MIEL Y CANELA SPA</t>
        </is>
      </c>
      <c r="D1215" t="inlineStr">
        <is>
          <t>SALSAS</t>
        </is>
      </c>
      <c r="E1215" s="34" t="n">
        <v>103880</v>
      </c>
      <c r="F1215" t="inlineStr">
        <is>
          <t>F</t>
        </is>
      </c>
      <c r="G1215" s="34" t="n">
        <v>16586</v>
      </c>
      <c r="H1215" s="34" t="n">
        <v>87294</v>
      </c>
      <c r="I1215" t="inlineStr">
        <is>
          <t>3.1</t>
        </is>
      </c>
      <c r="J1215" t="inlineStr">
        <is>
          <t>Ventas HoReCa</t>
        </is>
      </c>
      <c r="K1215" t="inlineStr">
        <is>
          <t>CH1</t>
        </is>
      </c>
    </row>
    <row r="1216">
      <c r="A1216" s="33" t="n">
        <v>45776</v>
      </c>
      <c r="B1216" t="inlineStr">
        <is>
          <t>2025-04</t>
        </is>
      </c>
      <c r="C1216" t="inlineStr">
        <is>
          <t>CAFE DIARIO ENCOMENDEROS SPA</t>
        </is>
      </c>
      <c r="D1216" t="inlineStr">
        <is>
          <t>HORECA CAFETERIA</t>
        </is>
      </c>
      <c r="E1216" s="34" t="n">
        <v>63990</v>
      </c>
      <c r="F1216" t="inlineStr">
        <is>
          <t>F</t>
        </is>
      </c>
      <c r="G1216" s="34" t="n">
        <v>10217</v>
      </c>
      <c r="H1216" s="34" t="n">
        <v>53773</v>
      </c>
      <c r="I1216" t="inlineStr">
        <is>
          <t>3.1</t>
        </is>
      </c>
      <c r="J1216" t="inlineStr">
        <is>
          <t>Ventas HoReCa</t>
        </is>
      </c>
      <c r="K1216" t="inlineStr">
        <is>
          <t>CH1</t>
        </is>
      </c>
    </row>
    <row r="1217">
      <c r="A1217" s="33" t="n">
        <v>45776</v>
      </c>
      <c r="B1217" t="inlineStr">
        <is>
          <t>2025-04</t>
        </is>
      </c>
      <c r="C1217" t="inlineStr">
        <is>
          <t>Sin cliente</t>
        </is>
      </c>
      <c r="D1217" t="inlineStr">
        <is>
          <t>PLATAFORMAS RAP-PEYA-UBER-GOOD</t>
        </is>
      </c>
      <c r="E1217" s="34" t="n">
        <v>15480</v>
      </c>
      <c r="F1217" t="inlineStr">
        <is>
          <t>B</t>
        </is>
      </c>
      <c r="G1217" s="34" t="n">
        <v>2472</v>
      </c>
      <c r="H1217" s="34" t="n">
        <v>13008</v>
      </c>
      <c r="I1217" t="inlineStr">
        <is>
          <t>3.6</t>
        </is>
      </c>
      <c r="J1217" t="inlineStr">
        <is>
          <t>Ventas Delivery Apps</t>
        </is>
      </c>
      <c r="K1217" t="inlineStr">
        <is>
          <t>CH3</t>
        </is>
      </c>
    </row>
    <row r="1218">
      <c r="A1218" s="33" t="n">
        <v>45776</v>
      </c>
      <c r="B1218" t="inlineStr">
        <is>
          <t>2025-04</t>
        </is>
      </c>
      <c r="C1218" t="inlineStr">
        <is>
          <t>Sin cliente</t>
        </is>
      </c>
      <c r="D1218" t="inlineStr">
        <is>
          <t>Petit Tradicional</t>
        </is>
      </c>
      <c r="E1218" s="34" t="n">
        <v>33400</v>
      </c>
      <c r="F1218" t="inlineStr">
        <is>
          <t>B</t>
        </is>
      </c>
      <c r="G1218" s="34" t="n">
        <v>5333</v>
      </c>
      <c r="H1218" s="34" t="n">
        <v>28067</v>
      </c>
      <c r="I1218" t="inlineStr">
        <is>
          <t>3.2</t>
        </is>
      </c>
      <c r="J1218" t="inlineStr">
        <is>
          <t>Ventas Personas (B2C)</t>
        </is>
      </c>
      <c r="K1218" t="inlineStr">
        <is>
          <t>CH2</t>
        </is>
      </c>
    </row>
    <row r="1219">
      <c r="A1219" s="33" t="n">
        <v>45776</v>
      </c>
      <c r="B1219" t="inlineStr">
        <is>
          <t>2025-04</t>
        </is>
      </c>
      <c r="C1219" t="inlineStr">
        <is>
          <t>Elena Farias</t>
        </is>
      </c>
      <c r="D1219" t="inlineStr">
        <is>
          <t>SALSAS</t>
        </is>
      </c>
      <c r="E1219" s="34" t="n">
        <v>33880</v>
      </c>
      <c r="F1219" t="inlineStr">
        <is>
          <t>B</t>
        </is>
      </c>
      <c r="G1219" s="34" t="n">
        <v>5409</v>
      </c>
      <c r="H1219" s="34" t="n">
        <v>28471</v>
      </c>
      <c r="I1219" t="inlineStr">
        <is>
          <t>3.2</t>
        </is>
      </c>
      <c r="J1219" t="inlineStr">
        <is>
          <t>Ventas Personas (B2C)</t>
        </is>
      </c>
      <c r="K1219" t="inlineStr">
        <is>
          <t>CH2</t>
        </is>
      </c>
    </row>
    <row r="1220">
      <c r="A1220" s="33" t="n">
        <v>45776</v>
      </c>
      <c r="B1220" t="inlineStr">
        <is>
          <t>2025-04</t>
        </is>
      </c>
      <c r="C1220" t="inlineStr">
        <is>
          <t>Isabel Schild Wenzel</t>
        </is>
      </c>
      <c r="D1220" t="inlineStr">
        <is>
          <t>CANELÉ TRADICIONAL</t>
        </is>
      </c>
      <c r="E1220" s="34" t="n">
        <v>45790</v>
      </c>
      <c r="F1220" t="inlineStr">
        <is>
          <t>B</t>
        </is>
      </c>
      <c r="G1220" s="34" t="n">
        <v>7311</v>
      </c>
      <c r="H1220" s="34" t="n">
        <v>38479</v>
      </c>
      <c r="I1220" t="inlineStr">
        <is>
          <t>3.2</t>
        </is>
      </c>
      <c r="J1220" t="inlineStr">
        <is>
          <t>Ventas Personas (B2C)</t>
        </is>
      </c>
      <c r="K1220" t="inlineStr">
        <is>
          <t>CH2</t>
        </is>
      </c>
    </row>
    <row r="1221">
      <c r="A1221" s="33" t="n">
        <v>45776</v>
      </c>
      <c r="B1221" t="inlineStr">
        <is>
          <t>2025-04</t>
        </is>
      </c>
      <c r="C1221" t="inlineStr">
        <is>
          <t>GUSTAVO MORENO</t>
        </is>
      </c>
      <c r="D1221" t="inlineStr">
        <is>
          <t>CANELÉ TRADICIONAL</t>
        </is>
      </c>
      <c r="E1221" s="34" t="n">
        <v>14900</v>
      </c>
      <c r="F1221" t="inlineStr">
        <is>
          <t>B</t>
        </is>
      </c>
      <c r="G1221" s="34" t="n">
        <v>2379</v>
      </c>
      <c r="H1221" s="34" t="n">
        <v>12521</v>
      </c>
      <c r="I1221" t="inlineStr">
        <is>
          <t>3.2</t>
        </is>
      </c>
      <c r="J1221" t="inlineStr">
        <is>
          <t>Ventas Personas (B2C)</t>
        </is>
      </c>
      <c r="K1221" t="inlineStr">
        <is>
          <t>CH2</t>
        </is>
      </c>
    </row>
    <row r="1222">
      <c r="A1222" s="33" t="n">
        <v>45776</v>
      </c>
      <c r="B1222" t="inlineStr">
        <is>
          <t>2025-04</t>
        </is>
      </c>
      <c r="C1222" t="inlineStr">
        <is>
          <t>bruno Barra</t>
        </is>
      </c>
      <c r="D1222" t="inlineStr">
        <is>
          <t>Mix Sabores</t>
        </is>
      </c>
      <c r="E1222" s="34" t="n">
        <v>24509</v>
      </c>
      <c r="F1222" t="inlineStr">
        <is>
          <t>B</t>
        </is>
      </c>
      <c r="G1222" s="34" t="n">
        <v>3913</v>
      </c>
      <c r="H1222" s="34" t="n">
        <v>20596</v>
      </c>
      <c r="I1222" t="inlineStr">
        <is>
          <t>3.2</t>
        </is>
      </c>
      <c r="J1222" t="inlineStr">
        <is>
          <t>Ventas Personas (B2C)</t>
        </is>
      </c>
      <c r="K1222" t="inlineStr">
        <is>
          <t>CH2</t>
        </is>
      </c>
    </row>
    <row r="1223">
      <c r="A1223" s="33" t="n">
        <v>45776</v>
      </c>
      <c r="B1223" t="inlineStr">
        <is>
          <t>2025-04</t>
        </is>
      </c>
      <c r="C1223" t="inlineStr">
        <is>
          <t>Javiera Aravena</t>
        </is>
      </c>
      <c r="D1223" t="inlineStr">
        <is>
          <t>Rellenos</t>
        </is>
      </c>
      <c r="E1223" s="34" t="n">
        <v>24499</v>
      </c>
      <c r="F1223" t="inlineStr">
        <is>
          <t>B</t>
        </is>
      </c>
      <c r="G1223" s="34" t="n">
        <v>3912</v>
      </c>
      <c r="H1223" s="34" t="n">
        <v>20587</v>
      </c>
      <c r="I1223" t="inlineStr">
        <is>
          <t>3.2</t>
        </is>
      </c>
      <c r="J1223" t="inlineStr">
        <is>
          <t>Ventas Personas (B2C)</t>
        </is>
      </c>
      <c r="K1223" t="inlineStr">
        <is>
          <t>CH2</t>
        </is>
      </c>
    </row>
    <row r="1224">
      <c r="A1224" s="33" t="n">
        <v>45776</v>
      </c>
      <c r="B1224" t="inlineStr">
        <is>
          <t>2025-04</t>
        </is>
      </c>
      <c r="C1224" t="inlineStr">
        <is>
          <t>andrea ponce</t>
        </is>
      </c>
      <c r="D1224" t="inlineStr">
        <is>
          <t>CANELÉ TRADICIONAL</t>
        </is>
      </c>
      <c r="E1224" s="34" t="n">
        <v>2000</v>
      </c>
      <c r="F1224" t="inlineStr">
        <is>
          <t>B</t>
        </is>
      </c>
      <c r="G1224" s="34" t="n">
        <v>319</v>
      </c>
      <c r="H1224" s="34" t="n">
        <v>1681</v>
      </c>
      <c r="I1224" t="inlineStr">
        <is>
          <t>3.2</t>
        </is>
      </c>
      <c r="J1224" t="inlineStr">
        <is>
          <t>Ventas Personas (B2C)</t>
        </is>
      </c>
      <c r="K1224" t="inlineStr">
        <is>
          <t>CH2</t>
        </is>
      </c>
    </row>
    <row r="1225">
      <c r="A1225" s="33" t="n">
        <v>45776</v>
      </c>
      <c r="B1225" t="inlineStr">
        <is>
          <t>2025-04</t>
        </is>
      </c>
      <c r="C1225" t="inlineStr">
        <is>
          <t>Laurence  Galopin</t>
        </is>
      </c>
      <c r="D1225" t="inlineStr">
        <is>
          <t>CANELÉ TRADICIONAL</t>
        </is>
      </c>
      <c r="E1225" s="34" t="n">
        <v>25800</v>
      </c>
      <c r="F1225" t="inlineStr">
        <is>
          <t>B</t>
        </is>
      </c>
      <c r="G1225" s="34" t="n">
        <v>4119</v>
      </c>
      <c r="H1225" s="34" t="n">
        <v>21681</v>
      </c>
      <c r="I1225" t="inlineStr">
        <is>
          <t>3.2</t>
        </is>
      </c>
      <c r="J1225" t="inlineStr">
        <is>
          <t>Ventas Personas (B2C)</t>
        </is>
      </c>
      <c r="K1225" t="inlineStr">
        <is>
          <t>CH2</t>
        </is>
      </c>
    </row>
    <row r="1226">
      <c r="A1226" s="33" t="n">
        <v>45776</v>
      </c>
      <c r="B1226" t="inlineStr">
        <is>
          <t>2025-04</t>
        </is>
      </c>
      <c r="C1226" t="inlineStr">
        <is>
          <t>Estelle Payen Santonja</t>
        </is>
      </c>
      <c r="D1226" t="inlineStr">
        <is>
          <t>Petit Tradicional</t>
        </is>
      </c>
      <c r="E1226" s="34" t="n">
        <v>20900</v>
      </c>
      <c r="F1226" t="inlineStr">
        <is>
          <t>B</t>
        </is>
      </c>
      <c r="G1226" s="34" t="n">
        <v>3337</v>
      </c>
      <c r="H1226" s="34" t="n">
        <v>17563</v>
      </c>
      <c r="I1226" t="inlineStr">
        <is>
          <t>3.2</t>
        </is>
      </c>
      <c r="J1226" t="inlineStr">
        <is>
          <t>Ventas Personas (B2C)</t>
        </is>
      </c>
      <c r="K1226" t="inlineStr">
        <is>
          <t>CH2</t>
        </is>
      </c>
    </row>
    <row r="1227">
      <c r="A1227" s="33" t="n">
        <v>45776</v>
      </c>
      <c r="B1227" t="inlineStr">
        <is>
          <t>2025-04</t>
        </is>
      </c>
      <c r="C1227" t="inlineStr">
        <is>
          <t>Susana Ruiz</t>
        </is>
      </c>
      <c r="D1227" t="inlineStr">
        <is>
          <t>Petit Crunchy</t>
        </is>
      </c>
      <c r="E1227" s="34" t="n">
        <v>30890</v>
      </c>
      <c r="F1227" t="inlineStr">
        <is>
          <t>B</t>
        </is>
      </c>
      <c r="G1227" s="34" t="n">
        <v>4932</v>
      </c>
      <c r="H1227" s="34" t="n">
        <v>25958</v>
      </c>
      <c r="I1227" t="inlineStr">
        <is>
          <t>3.2</t>
        </is>
      </c>
      <c r="J1227" t="inlineStr">
        <is>
          <t>Ventas Personas (B2C)</t>
        </is>
      </c>
      <c r="K1227" t="inlineStr">
        <is>
          <t>CH2</t>
        </is>
      </c>
    </row>
    <row r="1228">
      <c r="A1228" s="33" t="n">
        <v>45777</v>
      </c>
      <c r="B1228" t="inlineStr">
        <is>
          <t>2025-04</t>
        </is>
      </c>
      <c r="C1228" t="inlineStr">
        <is>
          <t xml:space="preserve">Pamela  Weisner </t>
        </is>
      </c>
      <c r="D1228" t="inlineStr">
        <is>
          <t>CANELÉ TRADICIONAL</t>
        </is>
      </c>
      <c r="E1228" s="34" t="n">
        <v>21900</v>
      </c>
      <c r="F1228" t="inlineStr">
        <is>
          <t>B</t>
        </is>
      </c>
      <c r="G1228" s="34" t="n">
        <v>3497</v>
      </c>
      <c r="H1228" s="34" t="n">
        <v>18403</v>
      </c>
      <c r="I1228" t="inlineStr">
        <is>
          <t>3.2</t>
        </is>
      </c>
      <c r="J1228" t="inlineStr">
        <is>
          <t>Ventas Personas (B2C)</t>
        </is>
      </c>
      <c r="K1228" t="inlineStr">
        <is>
          <t>CH2</t>
        </is>
      </c>
    </row>
    <row r="1229">
      <c r="A1229" s="33" t="n">
        <v>45777</v>
      </c>
      <c r="B1229" t="inlineStr">
        <is>
          <t>2025-04</t>
        </is>
      </c>
      <c r="C1229" t="inlineStr">
        <is>
          <t>CAFETERIA THE ELEPHANT COFFEE LIMITADA</t>
        </is>
      </c>
      <c r="D1229" t="inlineStr">
        <is>
          <t>HORECA CAFETERIA</t>
        </is>
      </c>
      <c r="E1229" s="34" t="n">
        <v>137940</v>
      </c>
      <c r="F1229" t="inlineStr">
        <is>
          <t>F</t>
        </is>
      </c>
      <c r="G1229" s="34" t="n">
        <v>22024</v>
      </c>
      <c r="H1229" s="34" t="n">
        <v>115916</v>
      </c>
      <c r="I1229" t="inlineStr">
        <is>
          <t>3.1</t>
        </is>
      </c>
      <c r="J1229" t="inlineStr">
        <is>
          <t>Ventas HoReCa</t>
        </is>
      </c>
      <c r="K1229" t="inlineStr">
        <is>
          <t>CH1</t>
        </is>
      </c>
    </row>
    <row r="1230">
      <c r="A1230" s="33" t="n">
        <v>45777</v>
      </c>
      <c r="B1230" t="inlineStr">
        <is>
          <t>2025-04</t>
        </is>
      </c>
      <c r="C1230" t="inlineStr">
        <is>
          <t>CAFETERÍAS MISTER SPA</t>
        </is>
      </c>
      <c r="D1230" t="inlineStr">
        <is>
          <t>HORECA CAFETERIA</t>
        </is>
      </c>
      <c r="E1230" s="34" t="n">
        <v>63990</v>
      </c>
      <c r="F1230" t="inlineStr">
        <is>
          <t>F</t>
        </is>
      </c>
      <c r="G1230" s="34" t="n">
        <v>10217</v>
      </c>
      <c r="H1230" s="34" t="n">
        <v>53773</v>
      </c>
      <c r="I1230" t="inlineStr">
        <is>
          <t>3.1</t>
        </is>
      </c>
      <c r="J1230" t="inlineStr">
        <is>
          <t>Ventas HoReCa</t>
        </is>
      </c>
      <c r="K1230" t="inlineStr">
        <is>
          <t>CH1</t>
        </is>
      </c>
    </row>
    <row r="1231">
      <c r="A1231" s="33" t="n">
        <v>45777</v>
      </c>
      <c r="B1231" t="inlineStr">
        <is>
          <t>2025-04</t>
        </is>
      </c>
      <c r="C1231" t="inlineStr">
        <is>
          <t>BOCCADOS SPA</t>
        </is>
      </c>
      <c r="D1231" t="inlineStr">
        <is>
          <t>HORECA CATERING</t>
        </is>
      </c>
      <c r="E1231" s="34" t="n">
        <v>39628</v>
      </c>
      <c r="F1231" t="inlineStr">
        <is>
          <t>F</t>
        </is>
      </c>
      <c r="G1231" s="34" t="n">
        <v>6327</v>
      </c>
      <c r="H1231" s="34" t="n">
        <v>33301</v>
      </c>
      <c r="I1231" t="inlineStr">
        <is>
          <t>3.1</t>
        </is>
      </c>
      <c r="J1231" t="inlineStr">
        <is>
          <t>Ventas HoReCa</t>
        </is>
      </c>
      <c r="K1231" t="inlineStr">
        <is>
          <t>CH1</t>
        </is>
      </c>
    </row>
    <row r="1232">
      <c r="A1232" s="33" t="n">
        <v>45777</v>
      </c>
      <c r="B1232" t="inlineStr">
        <is>
          <t>2025-04</t>
        </is>
      </c>
      <c r="C1232" t="inlineStr">
        <is>
          <t>Luis Felipe La Corte Castro</t>
        </is>
      </c>
      <c r="D1232" t="inlineStr">
        <is>
          <t>HORECA CAFETERIA</t>
        </is>
      </c>
      <c r="E1232" s="34" t="n">
        <v>88590</v>
      </c>
      <c r="F1232" t="inlineStr">
        <is>
          <t>F</t>
        </is>
      </c>
      <c r="G1232" s="34" t="n">
        <v>14145</v>
      </c>
      <c r="H1232" s="34" t="n">
        <v>74445</v>
      </c>
      <c r="I1232" t="inlineStr">
        <is>
          <t>3.1</t>
        </is>
      </c>
      <c r="J1232" t="inlineStr">
        <is>
          <t>Ventas HoReCa</t>
        </is>
      </c>
      <c r="K1232" t="inlineStr">
        <is>
          <t>CH1</t>
        </is>
      </c>
    </row>
    <row r="1233">
      <c r="A1233" s="33" t="n">
        <v>45777</v>
      </c>
      <c r="B1233" t="inlineStr">
        <is>
          <t>2025-04</t>
        </is>
      </c>
      <c r="C1233" t="inlineStr">
        <is>
          <t>Sin cliente</t>
        </is>
      </c>
      <c r="D1233" t="inlineStr">
        <is>
          <t>CANELÉ TRADICIONAL</t>
        </is>
      </c>
      <c r="E1233" s="34" t="n">
        <v>26900</v>
      </c>
      <c r="F1233" t="inlineStr">
        <is>
          <t>B</t>
        </is>
      </c>
      <c r="G1233" s="34" t="n">
        <v>4295</v>
      </c>
      <c r="H1233" s="34" t="n">
        <v>22605</v>
      </c>
      <c r="I1233" t="inlineStr">
        <is>
          <t>3.2</t>
        </is>
      </c>
      <c r="J1233" t="inlineStr">
        <is>
          <t>Ventas Personas (B2C)</t>
        </is>
      </c>
      <c r="K1233" t="inlineStr">
        <is>
          <t>CH2</t>
        </is>
      </c>
    </row>
    <row r="1234">
      <c r="A1234" s="33" t="n">
        <v>45777</v>
      </c>
      <c r="B1234" t="inlineStr">
        <is>
          <t>2025-04</t>
        </is>
      </c>
      <c r="C1234" t="inlineStr">
        <is>
          <t>Monica Larrain</t>
        </is>
      </c>
      <c r="D1234" t="inlineStr">
        <is>
          <t>Petit Tradicional</t>
        </is>
      </c>
      <c r="E1234" s="34" t="n">
        <v>12900</v>
      </c>
      <c r="F1234" t="inlineStr">
        <is>
          <t>B</t>
        </is>
      </c>
      <c r="G1234" s="34" t="n">
        <v>2060</v>
      </c>
      <c r="H1234" s="34" t="n">
        <v>10840</v>
      </c>
      <c r="I1234" t="inlineStr">
        <is>
          <t>3.2</t>
        </is>
      </c>
      <c r="J1234" t="inlineStr">
        <is>
          <t>Ventas Personas (B2C)</t>
        </is>
      </c>
      <c r="K1234" t="inlineStr">
        <is>
          <t>CH2</t>
        </is>
      </c>
    </row>
    <row r="1235">
      <c r="A1235" s="33" t="n">
        <v>45777</v>
      </c>
      <c r="B1235" t="inlineStr">
        <is>
          <t>2025-04</t>
        </is>
      </c>
      <c r="C1235" t="inlineStr">
        <is>
          <t>Sin cliente</t>
        </is>
      </c>
      <c r="D1235" t="inlineStr">
        <is>
          <t>Delicatessen</t>
        </is>
      </c>
      <c r="E1235" s="34" t="n">
        <v>18240</v>
      </c>
      <c r="F1235" t="inlineStr">
        <is>
          <t>B</t>
        </is>
      </c>
      <c r="G1235" s="34" t="n">
        <v>2912</v>
      </c>
      <c r="H1235" s="34" t="n">
        <v>15328</v>
      </c>
      <c r="I1235" t="inlineStr">
        <is>
          <t>3.2</t>
        </is>
      </c>
      <c r="J1235" t="inlineStr">
        <is>
          <t>Ventas Personas (B2C)</t>
        </is>
      </c>
      <c r="K1235" t="inlineStr">
        <is>
          <t>CH2</t>
        </is>
      </c>
    </row>
    <row r="1236">
      <c r="A1236" s="33" t="n">
        <v>45777</v>
      </c>
      <c r="B1236" t="inlineStr">
        <is>
          <t>2025-04</t>
        </is>
      </c>
      <c r="C1236" t="inlineStr">
        <is>
          <t>josefina  correa</t>
        </is>
      </c>
      <c r="D1236" t="inlineStr">
        <is>
          <t>CANELÉ TRADICIONAL</t>
        </is>
      </c>
      <c r="E1236" s="34" t="n">
        <v>2000</v>
      </c>
      <c r="F1236" t="inlineStr">
        <is>
          <t>B</t>
        </is>
      </c>
      <c r="G1236" s="34" t="n">
        <v>319</v>
      </c>
      <c r="H1236" s="34" t="n">
        <v>1681</v>
      </c>
      <c r="I1236" t="inlineStr">
        <is>
          <t>3.2</t>
        </is>
      </c>
      <c r="J1236" t="inlineStr">
        <is>
          <t>Ventas Personas (B2C)</t>
        </is>
      </c>
      <c r="K1236" t="inlineStr">
        <is>
          <t>CH2</t>
        </is>
      </c>
    </row>
    <row r="1237">
      <c r="A1237" s="33" t="n">
        <v>45778</v>
      </c>
      <c r="B1237" t="inlineStr">
        <is>
          <t>2025-05</t>
        </is>
      </c>
      <c r="C1237" t="inlineStr">
        <is>
          <t>BLUE OAK COFFE SPA</t>
        </is>
      </c>
      <c r="D1237" t="inlineStr">
        <is>
          <t>HORECA CAFETERIA</t>
        </is>
      </c>
      <c r="E1237" s="34" t="n">
        <v>249600</v>
      </c>
      <c r="F1237" t="inlineStr">
        <is>
          <t>F</t>
        </is>
      </c>
      <c r="G1237" s="34" t="n">
        <v>39852</v>
      </c>
      <c r="H1237" s="34" t="n">
        <v>209748</v>
      </c>
      <c r="I1237" t="inlineStr">
        <is>
          <t>3.1</t>
        </is>
      </c>
      <c r="J1237" t="inlineStr">
        <is>
          <t>Ventas HoReCa</t>
        </is>
      </c>
      <c r="K1237" t="inlineStr">
        <is>
          <t>CH1</t>
        </is>
      </c>
    </row>
    <row r="1238">
      <c r="A1238" s="33" t="n">
        <v>45778</v>
      </c>
      <c r="B1238" t="inlineStr">
        <is>
          <t>2025-05</t>
        </is>
      </c>
      <c r="C1238" t="inlineStr">
        <is>
          <t>BLUE OAK COFFE SPA</t>
        </is>
      </c>
      <c r="D1238" t="inlineStr">
        <is>
          <t>HORECA CAFETERIA</t>
        </is>
      </c>
      <c r="E1238" s="34" t="n">
        <v>90394</v>
      </c>
      <c r="F1238" t="inlineStr">
        <is>
          <t>F</t>
        </is>
      </c>
      <c r="G1238" s="34" t="n">
        <v>14433</v>
      </c>
      <c r="H1238" s="34" t="n">
        <v>75961</v>
      </c>
      <c r="I1238" t="inlineStr">
        <is>
          <t>3.1</t>
        </is>
      </c>
      <c r="J1238" t="inlineStr">
        <is>
          <t>Ventas HoReCa</t>
        </is>
      </c>
      <c r="K1238" t="inlineStr">
        <is>
          <t>CH1</t>
        </is>
      </c>
    </row>
    <row r="1239">
      <c r="A1239" s="33" t="n">
        <v>45778</v>
      </c>
      <c r="B1239" t="inlineStr">
        <is>
          <t>2025-05</t>
        </is>
      </c>
      <c r="C1239" t="inlineStr">
        <is>
          <t>Ninoska Bravo</t>
        </is>
      </c>
      <c r="D1239" t="inlineStr">
        <is>
          <t>Petit Tradicional</t>
        </is>
      </c>
      <c r="E1239" s="34" t="n">
        <v>23800</v>
      </c>
      <c r="F1239" t="inlineStr">
        <is>
          <t>B</t>
        </is>
      </c>
      <c r="G1239" s="34" t="n">
        <v>3800</v>
      </c>
      <c r="H1239" s="34" t="n">
        <v>20000</v>
      </c>
      <c r="I1239" t="inlineStr">
        <is>
          <t>3.2</t>
        </is>
      </c>
      <c r="J1239" t="inlineStr">
        <is>
          <t>Ventas Personas (B2C)</t>
        </is>
      </c>
      <c r="K1239" t="inlineStr">
        <is>
          <t>CH2</t>
        </is>
      </c>
    </row>
    <row r="1240">
      <c r="A1240" s="33" t="n">
        <v>45778</v>
      </c>
      <c r="B1240" t="inlineStr">
        <is>
          <t>2025-05</t>
        </is>
      </c>
      <c r="C1240" t="inlineStr">
        <is>
          <t>Eloísa Galaz</t>
        </is>
      </c>
      <c r="D1240" t="inlineStr">
        <is>
          <t>Rellenos</t>
        </is>
      </c>
      <c r="E1240" s="34" t="n">
        <v>45720</v>
      </c>
      <c r="F1240" t="inlineStr">
        <is>
          <t>B</t>
        </is>
      </c>
      <c r="G1240" s="34" t="n">
        <v>7300</v>
      </c>
      <c r="H1240" s="34" t="n">
        <v>38420</v>
      </c>
      <c r="I1240" t="inlineStr">
        <is>
          <t>3.2</t>
        </is>
      </c>
      <c r="J1240" t="inlineStr">
        <is>
          <t>Ventas Personas (B2C)</t>
        </is>
      </c>
      <c r="K1240" t="inlineStr">
        <is>
          <t>CH2</t>
        </is>
      </c>
    </row>
    <row r="1241">
      <c r="A1241" s="33" t="n">
        <v>45778</v>
      </c>
      <c r="B1241" t="inlineStr">
        <is>
          <t>2025-05</t>
        </is>
      </c>
      <c r="C1241" t="inlineStr">
        <is>
          <t>CAFE HAITI AHUMADA LTDA</t>
        </is>
      </c>
      <c r="D1241" t="inlineStr">
        <is>
          <t>HORECA CAFETERIA</t>
        </is>
      </c>
      <c r="E1241" s="34" t="n">
        <v>1148982</v>
      </c>
      <c r="F1241" t="inlineStr">
        <is>
          <t>F</t>
        </is>
      </c>
      <c r="G1241" s="34" t="n">
        <v>183450</v>
      </c>
      <c r="H1241" s="34" t="n">
        <v>965532</v>
      </c>
      <c r="I1241" t="inlineStr">
        <is>
          <t>3.1</t>
        </is>
      </c>
      <c r="J1241" t="inlineStr">
        <is>
          <t>Ventas HoReCa</t>
        </is>
      </c>
      <c r="K1241" t="inlineStr">
        <is>
          <t>CH1</t>
        </is>
      </c>
    </row>
    <row r="1242">
      <c r="A1242" s="33" t="n">
        <v>45779</v>
      </c>
      <c r="B1242" t="inlineStr">
        <is>
          <t>2025-05</t>
        </is>
      </c>
      <c r="C1242" t="inlineStr">
        <is>
          <t>CUATROTRESTRES CAFÉ SPA</t>
        </is>
      </c>
      <c r="D1242" t="inlineStr">
        <is>
          <t>HORECA CAFETERIA</t>
        </is>
      </c>
      <c r="E1242" s="34" t="n">
        <v>176620</v>
      </c>
      <c r="F1242" t="inlineStr">
        <is>
          <t>F</t>
        </is>
      </c>
      <c r="G1242" s="34" t="n">
        <v>28200</v>
      </c>
      <c r="H1242" s="34" t="n">
        <v>148420</v>
      </c>
      <c r="I1242" t="inlineStr">
        <is>
          <t>3.1</t>
        </is>
      </c>
      <c r="J1242" t="inlineStr">
        <is>
          <t>Ventas HoReCa</t>
        </is>
      </c>
      <c r="K1242" t="inlineStr">
        <is>
          <t>CH1</t>
        </is>
      </c>
    </row>
    <row r="1243">
      <c r="A1243" s="33" t="n">
        <v>45779</v>
      </c>
      <c r="B1243" t="inlineStr">
        <is>
          <t>2025-05</t>
        </is>
      </c>
      <c r="C1243" t="inlineStr">
        <is>
          <t>Better Food Spa</t>
        </is>
      </c>
      <c r="D1243" t="inlineStr">
        <is>
          <t>HORECA CAFETERIA</t>
        </is>
      </c>
      <c r="E1243" s="34" t="n">
        <v>149940</v>
      </c>
      <c r="F1243" t="inlineStr">
        <is>
          <t>F</t>
        </is>
      </c>
      <c r="G1243" s="34" t="n">
        <v>23940</v>
      </c>
      <c r="H1243" s="34" t="n">
        <v>126000</v>
      </c>
      <c r="I1243" t="inlineStr">
        <is>
          <t>3.1</t>
        </is>
      </c>
      <c r="J1243" t="inlineStr">
        <is>
          <t>Ventas HoReCa</t>
        </is>
      </c>
      <c r="K1243" t="inlineStr">
        <is>
          <t>CH1</t>
        </is>
      </c>
    </row>
    <row r="1244">
      <c r="A1244" s="33" t="n">
        <v>45779</v>
      </c>
      <c r="B1244" t="inlineStr">
        <is>
          <t>2025-05</t>
        </is>
      </c>
      <c r="C1244" t="inlineStr">
        <is>
          <t>Inversiones Café Dominicos SpA</t>
        </is>
      </c>
      <c r="D1244" t="inlineStr">
        <is>
          <t xml:space="preserve">THE COFFEE STORE </t>
        </is>
      </c>
      <c r="E1244" s="34" t="n">
        <v>36977</v>
      </c>
      <c r="F1244" t="inlineStr">
        <is>
          <t>F</t>
        </is>
      </c>
      <c r="G1244" s="34" t="n">
        <v>5904</v>
      </c>
      <c r="H1244" s="34" t="n">
        <v>31073</v>
      </c>
      <c r="I1244" t="inlineStr">
        <is>
          <t>3.1</t>
        </is>
      </c>
      <c r="J1244" t="inlineStr">
        <is>
          <t>Ventas HoReCa</t>
        </is>
      </c>
      <c r="K1244" t="inlineStr">
        <is>
          <t>CH1</t>
        </is>
      </c>
    </row>
    <row r="1245">
      <c r="A1245" s="33" t="n">
        <v>45779</v>
      </c>
      <c r="B1245" t="inlineStr">
        <is>
          <t>2025-05</t>
        </is>
      </c>
      <c r="C1245" t="inlineStr">
        <is>
          <t>BLUE OAK COFFE SPA</t>
        </is>
      </c>
      <c r="D1245" t="inlineStr">
        <is>
          <t>HORECA CAFETERIA</t>
        </is>
      </c>
      <c r="E1245" s="34" t="n">
        <v>63990</v>
      </c>
      <c r="F1245" t="inlineStr">
        <is>
          <t>F</t>
        </is>
      </c>
      <c r="G1245" s="34" t="n">
        <v>10217</v>
      </c>
      <c r="H1245" s="34" t="n">
        <v>53773</v>
      </c>
      <c r="I1245" t="inlineStr">
        <is>
          <t>3.1</t>
        </is>
      </c>
      <c r="J1245" t="inlineStr">
        <is>
          <t>Ventas HoReCa</t>
        </is>
      </c>
      <c r="K1245" t="inlineStr">
        <is>
          <t>CH1</t>
        </is>
      </c>
    </row>
    <row r="1246">
      <c r="A1246" s="33" t="n">
        <v>45779</v>
      </c>
      <c r="B1246" t="inlineStr">
        <is>
          <t>2025-05</t>
        </is>
      </c>
      <c r="C1246" t="inlineStr">
        <is>
          <t>POMPON SPA</t>
        </is>
      </c>
      <c r="D1246" t="inlineStr">
        <is>
          <t>HORECA CAFETERIA</t>
        </is>
      </c>
      <c r="E1246" s="34" t="n">
        <v>220150</v>
      </c>
      <c r="F1246" t="inlineStr">
        <is>
          <t>F</t>
        </is>
      </c>
      <c r="G1246" s="34" t="n">
        <v>35150</v>
      </c>
      <c r="H1246" s="34" t="n">
        <v>185000</v>
      </c>
      <c r="I1246" t="inlineStr">
        <is>
          <t>3.1</t>
        </is>
      </c>
      <c r="J1246" t="inlineStr">
        <is>
          <t>Ventas HoReCa</t>
        </is>
      </c>
      <c r="K1246" t="inlineStr">
        <is>
          <t>CH1</t>
        </is>
      </c>
    </row>
    <row r="1247">
      <c r="A1247" s="33" t="n">
        <v>45779</v>
      </c>
      <c r="B1247" t="inlineStr">
        <is>
          <t>2025-05</t>
        </is>
      </c>
      <c r="C1247" t="inlineStr">
        <is>
          <t>Inversiones Nagua SPA</t>
        </is>
      </c>
      <c r="D1247" t="inlineStr">
        <is>
          <t>HORECA CAFETERIA</t>
        </is>
      </c>
      <c r="E1247" s="34" t="n">
        <v>63990</v>
      </c>
      <c r="F1247" t="inlineStr">
        <is>
          <t>F</t>
        </is>
      </c>
      <c r="G1247" s="34" t="n">
        <v>10217</v>
      </c>
      <c r="H1247" s="34" t="n">
        <v>53773</v>
      </c>
      <c r="I1247" t="inlineStr">
        <is>
          <t>3.1</t>
        </is>
      </c>
      <c r="J1247" t="inlineStr">
        <is>
          <t>Ventas HoReCa</t>
        </is>
      </c>
      <c r="K1247" t="inlineStr">
        <is>
          <t>CH1</t>
        </is>
      </c>
    </row>
    <row r="1248">
      <c r="A1248" s="33" t="n">
        <v>45779</v>
      </c>
      <c r="B1248" t="inlineStr">
        <is>
          <t>2025-05</t>
        </is>
      </c>
      <c r="C1248" t="inlineStr">
        <is>
          <t>CAFE DIARIO ENCOMENDEROS SPA</t>
        </is>
      </c>
      <c r="D1248" t="inlineStr">
        <is>
          <t>HORECA CAFETERIA</t>
        </is>
      </c>
      <c r="E1248" s="34" t="n">
        <v>82830</v>
      </c>
      <c r="F1248" t="inlineStr">
        <is>
          <t>F</t>
        </is>
      </c>
      <c r="G1248" s="34" t="n">
        <v>13225</v>
      </c>
      <c r="H1248" s="34" t="n">
        <v>69605</v>
      </c>
      <c r="I1248" t="inlineStr">
        <is>
          <t>3.1</t>
        </is>
      </c>
      <c r="J1248" t="inlineStr">
        <is>
          <t>Ventas HoReCa</t>
        </is>
      </c>
      <c r="K1248" t="inlineStr">
        <is>
          <t>CH1</t>
        </is>
      </c>
    </row>
    <row r="1249">
      <c r="A1249" s="33" t="n">
        <v>45779</v>
      </c>
      <c r="B1249" t="inlineStr">
        <is>
          <t>2025-05</t>
        </is>
      </c>
      <c r="C1249" t="inlineStr">
        <is>
          <t>Sociedad de inversiones solari y acuña spa</t>
        </is>
      </c>
      <c r="D1249" t="inlineStr">
        <is>
          <t>HORECA CAFETERIA</t>
        </is>
      </c>
      <c r="E1249" s="34" t="n">
        <v>116790</v>
      </c>
      <c r="F1249" t="inlineStr">
        <is>
          <t>F</t>
        </is>
      </c>
      <c r="G1249" s="34" t="n">
        <v>18647</v>
      </c>
      <c r="H1249" s="34" t="n">
        <v>98143</v>
      </c>
      <c r="I1249" t="inlineStr">
        <is>
          <t>3.1</t>
        </is>
      </c>
      <c r="J1249" t="inlineStr">
        <is>
          <t>Ventas HoReCa</t>
        </is>
      </c>
      <c r="K1249" t="inlineStr">
        <is>
          <t>CH1</t>
        </is>
      </c>
    </row>
    <row r="1250">
      <c r="A1250" s="33" t="n">
        <v>45779</v>
      </c>
      <c r="B1250" t="inlineStr">
        <is>
          <t>2025-05</t>
        </is>
      </c>
      <c r="C1250" t="inlineStr">
        <is>
          <t>daniela Soto</t>
        </is>
      </c>
      <c r="D1250" t="inlineStr">
        <is>
          <t>Petit Tradicional</t>
        </is>
      </c>
      <c r="E1250" s="34" t="n">
        <v>12890</v>
      </c>
      <c r="F1250" t="inlineStr">
        <is>
          <t>B</t>
        </is>
      </c>
      <c r="G1250" s="34" t="n">
        <v>2058</v>
      </c>
      <c r="H1250" s="34" t="n">
        <v>10832</v>
      </c>
      <c r="I1250" t="inlineStr">
        <is>
          <t>3.2</t>
        </is>
      </c>
      <c r="J1250" t="inlineStr">
        <is>
          <t>Ventas Personas (B2C)</t>
        </is>
      </c>
      <c r="K1250" t="inlineStr">
        <is>
          <t>CH2</t>
        </is>
      </c>
    </row>
    <row r="1251">
      <c r="A1251" s="33" t="n">
        <v>45779</v>
      </c>
      <c r="B1251" t="inlineStr">
        <is>
          <t>2025-05</t>
        </is>
      </c>
      <c r="C1251" t="inlineStr">
        <is>
          <t>Constanza Cifuentes</t>
        </is>
      </c>
      <c r="D1251" t="inlineStr">
        <is>
          <t>CANELÉ TRADICIONAL</t>
        </is>
      </c>
      <c r="E1251" s="34" t="n">
        <v>17400</v>
      </c>
      <c r="F1251" t="inlineStr">
        <is>
          <t>B</t>
        </is>
      </c>
      <c r="G1251" s="34" t="n">
        <v>2778</v>
      </c>
      <c r="H1251" s="34" t="n">
        <v>14622</v>
      </c>
      <c r="I1251" t="inlineStr">
        <is>
          <t>3.2</t>
        </is>
      </c>
      <c r="J1251" t="inlineStr">
        <is>
          <t>Ventas Personas (B2C)</t>
        </is>
      </c>
      <c r="K1251" t="inlineStr">
        <is>
          <t>CH2</t>
        </is>
      </c>
    </row>
    <row r="1252">
      <c r="A1252" s="33" t="n">
        <v>45779</v>
      </c>
      <c r="B1252" t="inlineStr">
        <is>
          <t>2025-05</t>
        </is>
      </c>
      <c r="C1252" t="inlineStr">
        <is>
          <t>Patricia Ruiz-Tagle Orellana</t>
        </is>
      </c>
      <c r="D1252" t="inlineStr">
        <is>
          <t>Petit Tradicional</t>
        </is>
      </c>
      <c r="E1252" s="34" t="n">
        <v>24111</v>
      </c>
      <c r="F1252" t="inlineStr">
        <is>
          <t>B</t>
        </is>
      </c>
      <c r="G1252" s="34" t="n">
        <v>3850</v>
      </c>
      <c r="H1252" s="34" t="n">
        <v>20261</v>
      </c>
      <c r="I1252" t="inlineStr">
        <is>
          <t>3.2</t>
        </is>
      </c>
      <c r="J1252" t="inlineStr">
        <is>
          <t>Ventas Personas (B2C)</t>
        </is>
      </c>
      <c r="K1252" t="inlineStr">
        <is>
          <t>CH2</t>
        </is>
      </c>
    </row>
    <row r="1253">
      <c r="A1253" s="33" t="n">
        <v>45779</v>
      </c>
      <c r="B1253" t="inlineStr">
        <is>
          <t>2025-05</t>
        </is>
      </c>
      <c r="C1253" t="inlineStr">
        <is>
          <t>Javiera Amstein gorospe</t>
        </is>
      </c>
      <c r="D1253" t="inlineStr">
        <is>
          <t>Petit Tradicional</t>
        </is>
      </c>
      <c r="E1253" s="34" t="n">
        <v>12000</v>
      </c>
      <c r="F1253" t="inlineStr">
        <is>
          <t>B</t>
        </is>
      </c>
      <c r="G1253" s="34" t="n">
        <v>1916</v>
      </c>
      <c r="H1253" s="34" t="n">
        <v>10084</v>
      </c>
      <c r="I1253" t="inlineStr">
        <is>
          <t>3.2</t>
        </is>
      </c>
      <c r="J1253" t="inlineStr">
        <is>
          <t>Ventas Personas (B2C)</t>
        </is>
      </c>
      <c r="K1253" t="inlineStr">
        <is>
          <t>CH2</t>
        </is>
      </c>
    </row>
    <row r="1254">
      <c r="A1254" s="33" t="n">
        <v>45779</v>
      </c>
      <c r="B1254" t="inlineStr">
        <is>
          <t>2025-05</t>
        </is>
      </c>
      <c r="C1254" t="inlineStr">
        <is>
          <t>Vicente Pavani</t>
        </is>
      </c>
      <c r="D1254" t="inlineStr">
        <is>
          <t>Petit Tradicional</t>
        </is>
      </c>
      <c r="E1254" s="34" t="n">
        <v>14955</v>
      </c>
      <c r="F1254" t="inlineStr">
        <is>
          <t>B</t>
        </is>
      </c>
      <c r="G1254" s="34" t="n">
        <v>2388</v>
      </c>
      <c r="H1254" s="34" t="n">
        <v>12567</v>
      </c>
      <c r="I1254" t="inlineStr">
        <is>
          <t>3.2</t>
        </is>
      </c>
      <c r="J1254" t="inlineStr">
        <is>
          <t>Ventas Personas (B2C)</t>
        </is>
      </c>
      <c r="K1254" t="inlineStr">
        <is>
          <t>CH2</t>
        </is>
      </c>
    </row>
    <row r="1255">
      <c r="A1255" s="33" t="n">
        <v>45779</v>
      </c>
      <c r="B1255" t="inlineStr">
        <is>
          <t>2025-05</t>
        </is>
      </c>
      <c r="C1255" t="inlineStr">
        <is>
          <t>Beatriz Karstegl</t>
        </is>
      </c>
      <c r="D1255" t="inlineStr">
        <is>
          <t>Delicatessen</t>
        </is>
      </c>
      <c r="E1255" s="34" t="n">
        <v>46919</v>
      </c>
      <c r="F1255" t="inlineStr">
        <is>
          <t>B</t>
        </is>
      </c>
      <c r="G1255" s="34" t="n">
        <v>7491</v>
      </c>
      <c r="H1255" s="34" t="n">
        <v>39428</v>
      </c>
      <c r="I1255" t="inlineStr">
        <is>
          <t>3.2</t>
        </is>
      </c>
      <c r="J1255" t="inlineStr">
        <is>
          <t>Ventas Personas (B2C)</t>
        </is>
      </c>
      <c r="K1255" t="inlineStr">
        <is>
          <t>CH2</t>
        </is>
      </c>
    </row>
    <row r="1256">
      <c r="A1256" s="33" t="n">
        <v>45779</v>
      </c>
      <c r="B1256" t="inlineStr">
        <is>
          <t>2025-05</t>
        </is>
      </c>
      <c r="C1256" t="inlineStr">
        <is>
          <t>Barbara  Pinochet</t>
        </is>
      </c>
      <c r="D1256" t="inlineStr">
        <is>
          <t>Petit Tradicional</t>
        </is>
      </c>
      <c r="E1256" s="34" t="n">
        <v>27810</v>
      </c>
      <c r="F1256" t="inlineStr">
        <is>
          <t>B</t>
        </is>
      </c>
      <c r="G1256" s="34" t="n">
        <v>4440</v>
      </c>
      <c r="H1256" s="34" t="n">
        <v>23370</v>
      </c>
      <c r="I1256" t="inlineStr">
        <is>
          <t>3.2</t>
        </is>
      </c>
      <c r="J1256" t="inlineStr">
        <is>
          <t>Ventas Personas (B2C)</t>
        </is>
      </c>
      <c r="K1256" t="inlineStr">
        <is>
          <t>CH2</t>
        </is>
      </c>
    </row>
    <row r="1257">
      <c r="A1257" s="33" t="n">
        <v>45779</v>
      </c>
      <c r="B1257" t="inlineStr">
        <is>
          <t>2025-05</t>
        </is>
      </c>
      <c r="C1257" t="inlineStr">
        <is>
          <t>Catalina Vaccari</t>
        </is>
      </c>
      <c r="D1257" t="inlineStr">
        <is>
          <t>CANELÉ TRADICIONAL</t>
        </is>
      </c>
      <c r="E1257" s="34" t="n">
        <v>16900</v>
      </c>
      <c r="F1257" t="inlineStr">
        <is>
          <t>B</t>
        </is>
      </c>
      <c r="G1257" s="34" t="n">
        <v>2698</v>
      </c>
      <c r="H1257" s="34" t="n">
        <v>14202</v>
      </c>
      <c r="I1257" t="inlineStr">
        <is>
          <t>3.2</t>
        </is>
      </c>
      <c r="J1257" t="inlineStr">
        <is>
          <t>Ventas Personas (B2C)</t>
        </is>
      </c>
      <c r="K1257" t="inlineStr">
        <is>
          <t>CH2</t>
        </is>
      </c>
    </row>
    <row r="1258">
      <c r="A1258" s="33" t="n">
        <v>45779</v>
      </c>
      <c r="B1258" t="inlineStr">
        <is>
          <t>2025-05</t>
        </is>
      </c>
      <c r="C1258" t="inlineStr">
        <is>
          <t>Catalina Vaccari</t>
        </is>
      </c>
      <c r="D1258" t="inlineStr">
        <is>
          <t>Delicatessen</t>
        </is>
      </c>
      <c r="E1258" s="34" t="n">
        <v>27800</v>
      </c>
      <c r="F1258" t="inlineStr">
        <is>
          <t>B</t>
        </is>
      </c>
      <c r="G1258" s="34" t="n">
        <v>4439</v>
      </c>
      <c r="H1258" s="34" t="n">
        <v>23361</v>
      </c>
      <c r="I1258" t="inlineStr">
        <is>
          <t>3.2</t>
        </is>
      </c>
      <c r="J1258" t="inlineStr">
        <is>
          <t>Ventas Personas (B2C)</t>
        </is>
      </c>
      <c r="K1258" t="inlineStr">
        <is>
          <t>CH2</t>
        </is>
      </c>
    </row>
    <row r="1259">
      <c r="A1259" s="33" t="n">
        <v>45779</v>
      </c>
      <c r="B1259" t="inlineStr">
        <is>
          <t>2025-05</t>
        </is>
      </c>
      <c r="C1259" t="inlineStr">
        <is>
          <t>Pablo Cortes</t>
        </is>
      </c>
      <c r="D1259" t="inlineStr">
        <is>
          <t>CANELÉ TRADICIONAL</t>
        </is>
      </c>
      <c r="E1259" s="34" t="n">
        <v>24800</v>
      </c>
      <c r="F1259" t="inlineStr">
        <is>
          <t>B</t>
        </is>
      </c>
      <c r="G1259" s="34" t="n">
        <v>3960</v>
      </c>
      <c r="H1259" s="34" t="n">
        <v>20840</v>
      </c>
      <c r="I1259" t="inlineStr">
        <is>
          <t>3.2</t>
        </is>
      </c>
      <c r="J1259" t="inlineStr">
        <is>
          <t>Ventas Personas (B2C)</t>
        </is>
      </c>
      <c r="K1259" t="inlineStr">
        <is>
          <t>CH2</t>
        </is>
      </c>
    </row>
    <row r="1260">
      <c r="A1260" s="33" t="n">
        <v>45779</v>
      </c>
      <c r="B1260" t="inlineStr">
        <is>
          <t>2025-05</t>
        </is>
      </c>
      <c r="C1260" t="inlineStr">
        <is>
          <t>Frank  Smith</t>
        </is>
      </c>
      <c r="D1260" t="inlineStr">
        <is>
          <t>CANELÉ TRADICIONAL</t>
        </is>
      </c>
      <c r="E1260" s="34" t="n">
        <v>2500</v>
      </c>
      <c r="F1260" t="inlineStr">
        <is>
          <t>B</t>
        </is>
      </c>
      <c r="G1260" s="34" t="n">
        <v>399</v>
      </c>
      <c r="H1260" s="34" t="n">
        <v>2101</v>
      </c>
      <c r="I1260" t="inlineStr">
        <is>
          <t>3.2</t>
        </is>
      </c>
      <c r="J1260" t="inlineStr">
        <is>
          <t>Ventas Personas (B2C)</t>
        </is>
      </c>
      <c r="K1260" t="inlineStr">
        <is>
          <t>CH2</t>
        </is>
      </c>
    </row>
    <row r="1261">
      <c r="A1261" s="33" t="n">
        <v>45779</v>
      </c>
      <c r="B1261" t="inlineStr">
        <is>
          <t>2025-05</t>
        </is>
      </c>
      <c r="C1261" t="inlineStr">
        <is>
          <t>Felipe  Zamorano</t>
        </is>
      </c>
      <c r="D1261" t="inlineStr">
        <is>
          <t>CANELÉ TRADICIONAL</t>
        </is>
      </c>
      <c r="E1261" s="34" t="n">
        <v>14900</v>
      </c>
      <c r="F1261" t="inlineStr">
        <is>
          <t>B</t>
        </is>
      </c>
      <c r="G1261" s="34" t="n">
        <v>2379</v>
      </c>
      <c r="H1261" s="34" t="n">
        <v>12521</v>
      </c>
      <c r="I1261" t="inlineStr">
        <is>
          <t>3.2</t>
        </is>
      </c>
      <c r="J1261" t="inlineStr">
        <is>
          <t>Ventas Personas (B2C)</t>
        </is>
      </c>
      <c r="K1261" t="inlineStr">
        <is>
          <t>CH2</t>
        </is>
      </c>
    </row>
    <row r="1262">
      <c r="A1262" s="33" t="n">
        <v>45779</v>
      </c>
      <c r="B1262" t="inlineStr">
        <is>
          <t>2025-05</t>
        </is>
      </c>
      <c r="C1262" t="inlineStr">
        <is>
          <t>Isidora Riveros</t>
        </is>
      </c>
      <c r="D1262" t="inlineStr">
        <is>
          <t>CANELÉ TRADICIONAL</t>
        </is>
      </c>
      <c r="E1262" s="34" t="n">
        <v>32070</v>
      </c>
      <c r="F1262" t="inlineStr">
        <is>
          <t>B</t>
        </is>
      </c>
      <c r="G1262" s="34" t="n">
        <v>5120</v>
      </c>
      <c r="H1262" s="34" t="n">
        <v>26950</v>
      </c>
      <c r="I1262" t="inlineStr">
        <is>
          <t>3.2</t>
        </is>
      </c>
      <c r="J1262" t="inlineStr">
        <is>
          <t>Ventas Personas (B2C)</t>
        </is>
      </c>
      <c r="K1262" t="inlineStr">
        <is>
          <t>CH2</t>
        </is>
      </c>
    </row>
    <row r="1263">
      <c r="A1263" s="33" t="n">
        <v>45779</v>
      </c>
      <c r="B1263" t="inlineStr">
        <is>
          <t>2025-05</t>
        </is>
      </c>
      <c r="C1263" t="inlineStr">
        <is>
          <t>Maria jose Sanchez</t>
        </is>
      </c>
      <c r="D1263" t="inlineStr">
        <is>
          <t>Petit Tradicional</t>
        </is>
      </c>
      <c r="E1263" s="34" t="n">
        <v>15600</v>
      </c>
      <c r="F1263" t="inlineStr">
        <is>
          <t>B</t>
        </is>
      </c>
      <c r="G1263" s="34" t="n">
        <v>2491</v>
      </c>
      <c r="H1263" s="34" t="n">
        <v>13109</v>
      </c>
      <c r="I1263" t="inlineStr">
        <is>
          <t>3.2</t>
        </is>
      </c>
      <c r="J1263" t="inlineStr">
        <is>
          <t>Ventas Personas (B2C)</t>
        </is>
      </c>
      <c r="K1263" t="inlineStr">
        <is>
          <t>CH2</t>
        </is>
      </c>
    </row>
    <row r="1264">
      <c r="A1264" s="33" t="n">
        <v>45780</v>
      </c>
      <c r="B1264" t="inlineStr">
        <is>
          <t>2025-05</t>
        </is>
      </c>
      <c r="C1264" t="inlineStr">
        <is>
          <t>Stephanie Vidal Acuña</t>
        </is>
      </c>
      <c r="D1264" t="inlineStr">
        <is>
          <t>Petit Tradicional</t>
        </is>
      </c>
      <c r="E1264" s="34" t="n">
        <v>24890</v>
      </c>
      <c r="F1264" t="inlineStr">
        <is>
          <t>B</t>
        </is>
      </c>
      <c r="G1264" s="34" t="n">
        <v>3974</v>
      </c>
      <c r="H1264" s="34" t="n">
        <v>20916</v>
      </c>
      <c r="I1264" t="inlineStr">
        <is>
          <t>3.2</t>
        </is>
      </c>
      <c r="J1264" t="inlineStr">
        <is>
          <t>Ventas Personas (B2C)</t>
        </is>
      </c>
      <c r="K1264" t="inlineStr">
        <is>
          <t>CH2</t>
        </is>
      </c>
    </row>
    <row r="1265">
      <c r="A1265" s="33" t="n">
        <v>45780</v>
      </c>
      <c r="B1265" t="inlineStr">
        <is>
          <t>2025-05</t>
        </is>
      </c>
      <c r="C1265" t="inlineStr">
        <is>
          <t>Valentina Pantoja</t>
        </is>
      </c>
      <c r="D1265" t="inlineStr">
        <is>
          <t>Petit Crunchy</t>
        </is>
      </c>
      <c r="E1265" s="34" t="n">
        <v>12510</v>
      </c>
      <c r="F1265" t="inlineStr">
        <is>
          <t>B</t>
        </is>
      </c>
      <c r="G1265" s="34" t="n">
        <v>1997</v>
      </c>
      <c r="H1265" s="34" t="n">
        <v>10513</v>
      </c>
      <c r="I1265" t="inlineStr">
        <is>
          <t>3.2</t>
        </is>
      </c>
      <c r="J1265" t="inlineStr">
        <is>
          <t>Ventas Personas (B2C)</t>
        </is>
      </c>
      <c r="K1265" t="inlineStr">
        <is>
          <t>CH2</t>
        </is>
      </c>
    </row>
    <row r="1266">
      <c r="A1266" s="33" t="n">
        <v>45780</v>
      </c>
      <c r="B1266" t="inlineStr">
        <is>
          <t>2025-05</t>
        </is>
      </c>
      <c r="C1266" t="inlineStr">
        <is>
          <t>Geraldine Carreño Gonzalez</t>
        </is>
      </c>
      <c r="D1266" t="inlineStr">
        <is>
          <t>CANELÉ TRADICIONAL</t>
        </is>
      </c>
      <c r="E1266" s="34" t="n">
        <v>20100</v>
      </c>
      <c r="F1266" t="inlineStr">
        <is>
          <t>B</t>
        </is>
      </c>
      <c r="G1266" s="34" t="n">
        <v>3209</v>
      </c>
      <c r="H1266" s="34" t="n">
        <v>16891</v>
      </c>
      <c r="I1266" t="inlineStr">
        <is>
          <t>3.2</t>
        </is>
      </c>
      <c r="J1266" t="inlineStr">
        <is>
          <t>Ventas Personas (B2C)</t>
        </is>
      </c>
      <c r="K1266" t="inlineStr">
        <is>
          <t>CH2</t>
        </is>
      </c>
    </row>
    <row r="1267">
      <c r="A1267" s="33" t="n">
        <v>45780</v>
      </c>
      <c r="B1267" t="inlineStr">
        <is>
          <t>2025-05</t>
        </is>
      </c>
      <c r="C1267" t="inlineStr">
        <is>
          <t>Orietta Stefanelli</t>
        </is>
      </c>
      <c r="D1267" t="inlineStr">
        <is>
          <t>Petit Tradicional</t>
        </is>
      </c>
      <c r="E1267" s="34" t="n">
        <v>12900</v>
      </c>
      <c r="F1267" t="inlineStr">
        <is>
          <t>B</t>
        </is>
      </c>
      <c r="G1267" s="34" t="n">
        <v>2060</v>
      </c>
      <c r="H1267" s="34" t="n">
        <v>10840</v>
      </c>
      <c r="I1267" t="inlineStr">
        <is>
          <t>3.2</t>
        </is>
      </c>
      <c r="J1267" t="inlineStr">
        <is>
          <t>Ventas Personas (B2C)</t>
        </is>
      </c>
      <c r="K1267" t="inlineStr">
        <is>
          <t>CH2</t>
        </is>
      </c>
    </row>
    <row r="1268">
      <c r="A1268" s="33" t="n">
        <v>45780</v>
      </c>
      <c r="B1268" t="inlineStr">
        <is>
          <t>2025-05</t>
        </is>
      </c>
      <c r="C1268" t="inlineStr">
        <is>
          <t>María Paz kaplan Blamey</t>
        </is>
      </c>
      <c r="D1268" t="inlineStr">
        <is>
          <t>Petit Crunchy</t>
        </is>
      </c>
      <c r="E1268" s="34" t="n">
        <v>37889</v>
      </c>
      <c r="F1268" t="inlineStr">
        <is>
          <t>B</t>
        </is>
      </c>
      <c r="G1268" s="34" t="n">
        <v>6050</v>
      </c>
      <c r="H1268" s="34" t="n">
        <v>31839</v>
      </c>
      <c r="I1268" t="inlineStr">
        <is>
          <t>3.2</t>
        </is>
      </c>
      <c r="J1268" t="inlineStr">
        <is>
          <t>Ventas Personas (B2C)</t>
        </is>
      </c>
      <c r="K1268" t="inlineStr">
        <is>
          <t>CH2</t>
        </is>
      </c>
    </row>
    <row r="1269">
      <c r="A1269" s="33" t="n">
        <v>45781</v>
      </c>
      <c r="B1269" t="inlineStr">
        <is>
          <t>2025-05</t>
        </is>
      </c>
      <c r="C1269" t="inlineStr">
        <is>
          <t>Claudio Bascuñan Elgueta</t>
        </is>
      </c>
      <c r="D1269" t="inlineStr">
        <is>
          <t>Petit Tradicional</t>
        </is>
      </c>
      <c r="E1269" s="34" t="n">
        <v>28020</v>
      </c>
      <c r="F1269" t="inlineStr">
        <is>
          <t>B</t>
        </is>
      </c>
      <c r="G1269" s="34" t="n">
        <v>4474</v>
      </c>
      <c r="H1269" s="34" t="n">
        <v>23546</v>
      </c>
      <c r="I1269" t="inlineStr">
        <is>
          <t>3.2</t>
        </is>
      </c>
      <c r="J1269" t="inlineStr">
        <is>
          <t>Ventas Personas (B2C)</t>
        </is>
      </c>
      <c r="K1269" t="inlineStr">
        <is>
          <t>CH2</t>
        </is>
      </c>
    </row>
    <row r="1270">
      <c r="A1270" s="33" t="n">
        <v>45781</v>
      </c>
      <c r="B1270" t="inlineStr">
        <is>
          <t>2025-05</t>
        </is>
      </c>
      <c r="C1270" t="inlineStr">
        <is>
          <t>Nicolas Filippi Zamorano</t>
        </is>
      </c>
      <c r="D1270" t="inlineStr">
        <is>
          <t>Petit Crunchy</t>
        </is>
      </c>
      <c r="E1270" s="34" t="n">
        <v>29890</v>
      </c>
      <c r="F1270" t="inlineStr">
        <is>
          <t>B</t>
        </is>
      </c>
      <c r="G1270" s="34" t="n">
        <v>4772</v>
      </c>
      <c r="H1270" s="34" t="n">
        <v>25118</v>
      </c>
      <c r="I1270" t="inlineStr">
        <is>
          <t>3.2</t>
        </is>
      </c>
      <c r="J1270" t="inlineStr">
        <is>
          <t>Ventas Personas (B2C)</t>
        </is>
      </c>
      <c r="K1270" t="inlineStr">
        <is>
          <t>CH2</t>
        </is>
      </c>
    </row>
    <row r="1271">
      <c r="A1271" s="33" t="n">
        <v>45782</v>
      </c>
      <c r="B1271" t="inlineStr">
        <is>
          <t>2025-05</t>
        </is>
      </c>
      <c r="C1271" t="inlineStr">
        <is>
          <t>Francisca Álvarez</t>
        </is>
      </c>
      <c r="D1271" t="inlineStr">
        <is>
          <t>Petit Tradicional</t>
        </is>
      </c>
      <c r="E1271" s="34" t="n">
        <v>11610</v>
      </c>
      <c r="F1271" t="inlineStr">
        <is>
          <t>B</t>
        </is>
      </c>
      <c r="G1271" s="34" t="n">
        <v>1854</v>
      </c>
      <c r="H1271" s="34" t="n">
        <v>9756</v>
      </c>
      <c r="I1271" t="inlineStr">
        <is>
          <t>3.2</t>
        </is>
      </c>
      <c r="J1271" t="inlineStr">
        <is>
          <t>Ventas Personas (B2C)</t>
        </is>
      </c>
      <c r="K1271" t="inlineStr">
        <is>
          <t>CH2</t>
        </is>
      </c>
    </row>
    <row r="1272">
      <c r="A1272" s="33" t="n">
        <v>45782</v>
      </c>
      <c r="B1272" t="inlineStr">
        <is>
          <t>2025-05</t>
        </is>
      </c>
      <c r="C1272" t="inlineStr">
        <is>
          <t>Rafael Ortiz Sarkis</t>
        </is>
      </c>
      <c r="D1272" t="inlineStr">
        <is>
          <t>Mix Sabores</t>
        </is>
      </c>
      <c r="E1272" s="34" t="n">
        <v>26790</v>
      </c>
      <c r="F1272" t="inlineStr">
        <is>
          <t>B</t>
        </is>
      </c>
      <c r="G1272" s="34" t="n">
        <v>4277</v>
      </c>
      <c r="H1272" s="34" t="n">
        <v>22513</v>
      </c>
      <c r="I1272" t="inlineStr">
        <is>
          <t>3.2</t>
        </is>
      </c>
      <c r="J1272" t="inlineStr">
        <is>
          <t>Ventas Personas (B2C)</t>
        </is>
      </c>
      <c r="K1272" t="inlineStr">
        <is>
          <t>CH2</t>
        </is>
      </c>
    </row>
    <row r="1273">
      <c r="A1273" s="33" t="n">
        <v>45782</v>
      </c>
      <c r="B1273" t="inlineStr">
        <is>
          <t>2025-05</t>
        </is>
      </c>
      <c r="C1273" t="inlineStr">
        <is>
          <t>D&amp;S SERVICIOS DE ALIMENTACIÓN SpA</t>
        </is>
      </c>
      <c r="D1273" t="inlineStr">
        <is>
          <t xml:space="preserve">THE COFFEE STORE </t>
        </is>
      </c>
      <c r="E1273" s="34" t="n">
        <v>37977</v>
      </c>
      <c r="F1273" t="inlineStr">
        <is>
          <t>F</t>
        </is>
      </c>
      <c r="G1273" s="34" t="n">
        <v>6064</v>
      </c>
      <c r="H1273" s="34" t="n">
        <v>31913</v>
      </c>
      <c r="I1273" t="inlineStr">
        <is>
          <t>3.1</t>
        </is>
      </c>
      <c r="J1273" t="inlineStr">
        <is>
          <t>Ventas HoReCa</t>
        </is>
      </c>
      <c r="K1273" t="inlineStr">
        <is>
          <t>CH1</t>
        </is>
      </c>
    </row>
    <row r="1274">
      <c r="A1274" s="33" t="n">
        <v>45782</v>
      </c>
      <c r="B1274" t="inlineStr">
        <is>
          <t>2025-05</t>
        </is>
      </c>
      <c r="C1274" t="inlineStr">
        <is>
          <t>CAFETERÍA ALTURA LIMITADA</t>
        </is>
      </c>
      <c r="D1274" t="inlineStr">
        <is>
          <t>HORECA CAFETERIA</t>
        </is>
      </c>
      <c r="E1274" s="34" t="n">
        <v>53910</v>
      </c>
      <c r="F1274" t="inlineStr">
        <is>
          <t>F</t>
        </is>
      </c>
      <c r="G1274" s="34" t="n">
        <v>8607</v>
      </c>
      <c r="H1274" s="34" t="n">
        <v>45303</v>
      </c>
      <c r="I1274" t="inlineStr">
        <is>
          <t>3.1</t>
        </is>
      </c>
      <c r="J1274" t="inlineStr">
        <is>
          <t>Ventas HoReCa</t>
        </is>
      </c>
      <c r="K1274" t="inlineStr">
        <is>
          <t>CH1</t>
        </is>
      </c>
    </row>
    <row r="1275">
      <c r="A1275" s="33" t="n">
        <v>45782</v>
      </c>
      <c r="B1275" t="inlineStr">
        <is>
          <t>2025-05</t>
        </is>
      </c>
      <c r="C1275" t="inlineStr">
        <is>
          <t>INVERSIONES Y COMERCIALIZADORA FED LIMITADA</t>
        </is>
      </c>
      <c r="D1275" t="inlineStr">
        <is>
          <t>HORECA CAFETERIA</t>
        </is>
      </c>
      <c r="E1275" s="34" t="n">
        <v>79869</v>
      </c>
      <c r="F1275" t="inlineStr">
        <is>
          <t>F</t>
        </is>
      </c>
      <c r="G1275" s="34" t="n">
        <v>12752</v>
      </c>
      <c r="H1275" s="34" t="n">
        <v>67117</v>
      </c>
      <c r="I1275" t="inlineStr">
        <is>
          <t>3.1</t>
        </is>
      </c>
      <c r="J1275" t="inlineStr">
        <is>
          <t>Ventas HoReCa</t>
        </is>
      </c>
      <c r="K1275" t="inlineStr">
        <is>
          <t>CH1</t>
        </is>
      </c>
    </row>
    <row r="1276">
      <c r="A1276" s="33" t="n">
        <v>45782</v>
      </c>
      <c r="B1276" t="inlineStr">
        <is>
          <t>2025-05</t>
        </is>
      </c>
      <c r="C1276" t="inlineStr">
        <is>
          <t>INVERSIONES Y COMERCIALIZADORA FED LIMITADA</t>
        </is>
      </c>
      <c r="D1276" t="inlineStr">
        <is>
          <t>HORECA CAFETERIA</t>
        </is>
      </c>
      <c r="E1276" s="34" t="n">
        <v>82377</v>
      </c>
      <c r="F1276" t="inlineStr">
        <is>
          <t>F</t>
        </is>
      </c>
      <c r="G1276" s="34" t="n">
        <v>13153</v>
      </c>
      <c r="H1276" s="34" t="n">
        <v>69224</v>
      </c>
      <c r="I1276" t="inlineStr">
        <is>
          <t>3.1</t>
        </is>
      </c>
      <c r="J1276" t="inlineStr">
        <is>
          <t>Ventas HoReCa</t>
        </is>
      </c>
      <c r="K1276" t="inlineStr">
        <is>
          <t>CH1</t>
        </is>
      </c>
    </row>
    <row r="1277">
      <c r="A1277" s="33" t="n">
        <v>45782</v>
      </c>
      <c r="B1277" t="inlineStr">
        <is>
          <t>2025-05</t>
        </is>
      </c>
      <c r="C1277" t="inlineStr">
        <is>
          <t>POMPON SPA</t>
        </is>
      </c>
      <c r="D1277" t="inlineStr">
        <is>
          <t>HORECA CAFETERIA</t>
        </is>
      </c>
      <c r="E1277" s="34" t="n">
        <v>132510</v>
      </c>
      <c r="F1277" t="inlineStr">
        <is>
          <t>F</t>
        </is>
      </c>
      <c r="G1277" s="34" t="n">
        <v>21157</v>
      </c>
      <c r="H1277" s="34" t="n">
        <v>111353</v>
      </c>
      <c r="I1277" t="inlineStr">
        <is>
          <t>3.1</t>
        </is>
      </c>
      <c r="J1277" t="inlineStr">
        <is>
          <t>Ventas HoReCa</t>
        </is>
      </c>
      <c r="K1277" t="inlineStr">
        <is>
          <t>CH1</t>
        </is>
      </c>
    </row>
    <row r="1278">
      <c r="A1278" s="33" t="n">
        <v>45782</v>
      </c>
      <c r="B1278" t="inlineStr">
        <is>
          <t>2025-05</t>
        </is>
      </c>
      <c r="C1278" t="inlineStr">
        <is>
          <t>INVERSIONES Y ASESORIAS RAVAL LIMITADA</t>
        </is>
      </c>
      <c r="D1278" t="inlineStr">
        <is>
          <t>HORECA CAFETERIA</t>
        </is>
      </c>
      <c r="E1278" s="34" t="n">
        <v>67980</v>
      </c>
      <c r="F1278" t="inlineStr">
        <is>
          <t>F</t>
        </is>
      </c>
      <c r="G1278" s="34" t="n">
        <v>10854</v>
      </c>
      <c r="H1278" s="34" t="n">
        <v>57126</v>
      </c>
      <c r="I1278" t="inlineStr">
        <is>
          <t>3.1</t>
        </is>
      </c>
      <c r="J1278" t="inlineStr">
        <is>
          <t>Ventas HoReCa</t>
        </is>
      </c>
      <c r="K1278" t="inlineStr">
        <is>
          <t>CH1</t>
        </is>
      </c>
    </row>
    <row r="1279">
      <c r="A1279" s="33" t="n">
        <v>45782</v>
      </c>
      <c r="B1279" t="inlineStr">
        <is>
          <t>2025-05</t>
        </is>
      </c>
      <c r="C1279" t="inlineStr">
        <is>
          <t>GABRIELA BAUTISTA</t>
        </is>
      </c>
      <c r="D1279" t="inlineStr">
        <is>
          <t>Petit Tradicional</t>
        </is>
      </c>
      <c r="E1279" s="34" t="n">
        <v>58390</v>
      </c>
      <c r="F1279" t="inlineStr">
        <is>
          <t>B</t>
        </is>
      </c>
      <c r="G1279" s="34" t="n">
        <v>9323</v>
      </c>
      <c r="H1279" s="34" t="n">
        <v>49067</v>
      </c>
      <c r="I1279" t="inlineStr">
        <is>
          <t>3.2</t>
        </is>
      </c>
      <c r="J1279" t="inlineStr">
        <is>
          <t>Ventas Personas (B2C)</t>
        </is>
      </c>
      <c r="K1279" t="inlineStr">
        <is>
          <t>CH2</t>
        </is>
      </c>
    </row>
    <row r="1280">
      <c r="A1280" s="33" t="n">
        <v>45782</v>
      </c>
      <c r="B1280" t="inlineStr">
        <is>
          <t>2025-05</t>
        </is>
      </c>
      <c r="C1280" t="inlineStr">
        <is>
          <t>Maria Valencia</t>
        </is>
      </c>
      <c r="D1280" t="inlineStr">
        <is>
          <t>Mix Sabores</t>
        </is>
      </c>
      <c r="E1280" s="34" t="n">
        <v>51690</v>
      </c>
      <c r="F1280" t="inlineStr">
        <is>
          <t>B</t>
        </is>
      </c>
      <c r="G1280" s="34" t="n">
        <v>8253</v>
      </c>
      <c r="H1280" s="34" t="n">
        <v>43437</v>
      </c>
      <c r="I1280" t="inlineStr">
        <is>
          <t>3.2</t>
        </is>
      </c>
      <c r="J1280" t="inlineStr">
        <is>
          <t>Ventas Personas (B2C)</t>
        </is>
      </c>
      <c r="K1280" t="inlineStr">
        <is>
          <t>CH2</t>
        </is>
      </c>
    </row>
    <row r="1281">
      <c r="A1281" s="33" t="n">
        <v>45782</v>
      </c>
      <c r="B1281" t="inlineStr">
        <is>
          <t>2025-05</t>
        </is>
      </c>
      <c r="C1281" t="inlineStr">
        <is>
          <t>Consuelo Rivas</t>
        </is>
      </c>
      <c r="D1281" t="inlineStr">
        <is>
          <t>Petit Tradicional</t>
        </is>
      </c>
      <c r="E1281" s="34" t="n">
        <v>21755</v>
      </c>
      <c r="F1281" t="inlineStr">
        <is>
          <t>B</t>
        </is>
      </c>
      <c r="G1281" s="34" t="n">
        <v>3473</v>
      </c>
      <c r="H1281" s="34" t="n">
        <v>18282</v>
      </c>
      <c r="I1281" t="inlineStr">
        <is>
          <t>3.2</t>
        </is>
      </c>
      <c r="J1281" t="inlineStr">
        <is>
          <t>Ventas Personas (B2C)</t>
        </is>
      </c>
      <c r="K1281" t="inlineStr">
        <is>
          <t>CH2</t>
        </is>
      </c>
    </row>
    <row r="1282">
      <c r="A1282" s="33" t="n">
        <v>45782</v>
      </c>
      <c r="B1282" t="inlineStr">
        <is>
          <t>2025-05</t>
        </is>
      </c>
      <c r="C1282" t="inlineStr">
        <is>
          <t>didier santonja</t>
        </is>
      </c>
      <c r="D1282" t="inlineStr">
        <is>
          <t>Petit Tradicional</t>
        </is>
      </c>
      <c r="E1282" s="34" t="n">
        <v>20900</v>
      </c>
      <c r="F1282" t="inlineStr">
        <is>
          <t>B</t>
        </is>
      </c>
      <c r="G1282" s="34" t="n">
        <v>3337</v>
      </c>
      <c r="H1282" s="34" t="n">
        <v>17563</v>
      </c>
      <c r="I1282" t="inlineStr">
        <is>
          <t>3.2</t>
        </is>
      </c>
      <c r="J1282" t="inlineStr">
        <is>
          <t>Ventas Personas (B2C)</t>
        </is>
      </c>
      <c r="K1282" t="inlineStr">
        <is>
          <t>CH2</t>
        </is>
      </c>
    </row>
    <row r="1283">
      <c r="A1283" s="33" t="n">
        <v>45782</v>
      </c>
      <c r="B1283" t="inlineStr">
        <is>
          <t>2025-05</t>
        </is>
      </c>
      <c r="C1283" t="inlineStr">
        <is>
          <t>Ingrid Mariela CONCHA</t>
        </is>
      </c>
      <c r="D1283" t="inlineStr">
        <is>
          <t>Petit Crunchy</t>
        </is>
      </c>
      <c r="E1283" s="34" t="n">
        <v>22800</v>
      </c>
      <c r="F1283" t="inlineStr">
        <is>
          <t>B</t>
        </is>
      </c>
      <c r="G1283" s="34" t="n">
        <v>3640</v>
      </c>
      <c r="H1283" s="34" t="n">
        <v>19160</v>
      </c>
      <c r="I1283" t="inlineStr">
        <is>
          <t>3.2</t>
        </is>
      </c>
      <c r="J1283" t="inlineStr">
        <is>
          <t>Ventas Personas (B2C)</t>
        </is>
      </c>
      <c r="K1283" t="inlineStr">
        <is>
          <t>CH2</t>
        </is>
      </c>
    </row>
    <row r="1284">
      <c r="A1284" s="33" t="n">
        <v>45782</v>
      </c>
      <c r="B1284" t="inlineStr">
        <is>
          <t>2025-05</t>
        </is>
      </c>
      <c r="C1284" t="inlineStr">
        <is>
          <t>José Miguel Valdés</t>
        </is>
      </c>
      <c r="D1284" t="inlineStr">
        <is>
          <t>Petit Crunchy</t>
        </is>
      </c>
      <c r="E1284" s="34" t="n">
        <v>30789</v>
      </c>
      <c r="F1284" t="inlineStr">
        <is>
          <t>B</t>
        </is>
      </c>
      <c r="G1284" s="34" t="n">
        <v>4916</v>
      </c>
      <c r="H1284" s="34" t="n">
        <v>25873</v>
      </c>
      <c r="I1284" t="inlineStr">
        <is>
          <t>3.2</t>
        </is>
      </c>
      <c r="J1284" t="inlineStr">
        <is>
          <t>Ventas Personas (B2C)</t>
        </is>
      </c>
      <c r="K1284" t="inlineStr">
        <is>
          <t>CH2</t>
        </is>
      </c>
    </row>
    <row r="1285">
      <c r="A1285" s="33" t="n">
        <v>45782</v>
      </c>
      <c r="B1285" t="inlineStr">
        <is>
          <t>2025-05</t>
        </is>
      </c>
      <c r="C1285" t="inlineStr">
        <is>
          <t>Carmen Mayo</t>
        </is>
      </c>
      <c r="D1285" t="inlineStr">
        <is>
          <t>CANELÉ TRADICIONAL</t>
        </is>
      </c>
      <c r="E1285" s="34" t="n">
        <v>52590</v>
      </c>
      <c r="F1285" t="inlineStr">
        <is>
          <t>B</t>
        </is>
      </c>
      <c r="G1285" s="34" t="n">
        <v>8397</v>
      </c>
      <c r="H1285" s="34" t="n">
        <v>44193</v>
      </c>
      <c r="I1285" t="inlineStr">
        <is>
          <t>3.2</t>
        </is>
      </c>
      <c r="J1285" t="inlineStr">
        <is>
          <t>Ventas Personas (B2C)</t>
        </is>
      </c>
      <c r="K1285" t="inlineStr">
        <is>
          <t>CH2</t>
        </is>
      </c>
    </row>
    <row r="1286">
      <c r="A1286" s="33" t="n">
        <v>45782</v>
      </c>
      <c r="B1286" t="inlineStr">
        <is>
          <t>2025-05</t>
        </is>
      </c>
      <c r="C1286" t="inlineStr">
        <is>
          <t>gustavo  moreno</t>
        </is>
      </c>
      <c r="D1286" t="inlineStr">
        <is>
          <t>CANELÉ TRADICIONAL</t>
        </is>
      </c>
      <c r="E1286" s="34" t="n">
        <v>14900</v>
      </c>
      <c r="F1286" t="inlineStr">
        <is>
          <t>B</t>
        </is>
      </c>
      <c r="G1286" s="34" t="n">
        <v>2379</v>
      </c>
      <c r="H1286" s="34" t="n">
        <v>12521</v>
      </c>
      <c r="I1286" t="inlineStr">
        <is>
          <t>3.2</t>
        </is>
      </c>
      <c r="J1286" t="inlineStr">
        <is>
          <t>Ventas Personas (B2C)</t>
        </is>
      </c>
      <c r="K1286" t="inlineStr">
        <is>
          <t>CH2</t>
        </is>
      </c>
    </row>
    <row r="1287">
      <c r="A1287" s="33" t="n">
        <v>45782</v>
      </c>
      <c r="B1287" t="inlineStr">
        <is>
          <t>2025-05</t>
        </is>
      </c>
      <c r="C1287" t="inlineStr">
        <is>
          <t>Sin cliente</t>
        </is>
      </c>
      <c r="D1287" t="inlineStr">
        <is>
          <t>CANELÉ TRADICIONAL</t>
        </is>
      </c>
      <c r="E1287" s="34" t="n">
        <v>14900</v>
      </c>
      <c r="F1287" t="inlineStr">
        <is>
          <t>B</t>
        </is>
      </c>
      <c r="G1287" s="34" t="n">
        <v>2379</v>
      </c>
      <c r="H1287" s="34" t="n">
        <v>12521</v>
      </c>
      <c r="I1287" t="inlineStr">
        <is>
          <t>3.2</t>
        </is>
      </c>
      <c r="J1287" t="inlineStr">
        <is>
          <t>Ventas Personas (B2C)</t>
        </is>
      </c>
      <c r="K1287" t="inlineStr">
        <is>
          <t>CH2</t>
        </is>
      </c>
    </row>
    <row r="1288">
      <c r="A1288" s="33" t="n">
        <v>45782</v>
      </c>
      <c r="B1288" t="inlineStr">
        <is>
          <t>2025-05</t>
        </is>
      </c>
      <c r="C1288" t="inlineStr">
        <is>
          <t>Sin cliente</t>
        </is>
      </c>
      <c r="D1288" t="inlineStr">
        <is>
          <t>Petit Tradicional</t>
        </is>
      </c>
      <c r="E1288" s="34" t="n">
        <v>20900</v>
      </c>
      <c r="F1288" t="inlineStr">
        <is>
          <t>B</t>
        </is>
      </c>
      <c r="G1288" s="34" t="n">
        <v>3337</v>
      </c>
      <c r="H1288" s="34" t="n">
        <v>17563</v>
      </c>
      <c r="I1288" t="inlineStr">
        <is>
          <t>3.2</t>
        </is>
      </c>
      <c r="J1288" t="inlineStr">
        <is>
          <t>Ventas Personas (B2C)</t>
        </is>
      </c>
      <c r="K1288" t="inlineStr">
        <is>
          <t>CH2</t>
        </is>
      </c>
    </row>
    <row r="1289">
      <c r="A1289" s="33" t="n">
        <v>45782</v>
      </c>
      <c r="B1289" t="inlineStr">
        <is>
          <t>2025-05</t>
        </is>
      </c>
      <c r="C1289" t="inlineStr">
        <is>
          <t>Antonia Francia</t>
        </is>
      </c>
      <c r="D1289" t="inlineStr">
        <is>
          <t>Petit Crunchy</t>
        </is>
      </c>
      <c r="E1289" s="34" t="n">
        <v>17890</v>
      </c>
      <c r="F1289" t="inlineStr">
        <is>
          <t>B</t>
        </is>
      </c>
      <c r="G1289" s="34" t="n">
        <v>2856</v>
      </c>
      <c r="H1289" s="34" t="n">
        <v>15034</v>
      </c>
      <c r="I1289" t="inlineStr">
        <is>
          <t>3.2</t>
        </is>
      </c>
      <c r="J1289" t="inlineStr">
        <is>
          <t>Ventas Personas (B2C)</t>
        </is>
      </c>
      <c r="K1289" t="inlineStr">
        <is>
          <t>CH2</t>
        </is>
      </c>
    </row>
    <row r="1290">
      <c r="A1290" s="33" t="n">
        <v>45782</v>
      </c>
      <c r="B1290" t="inlineStr">
        <is>
          <t>2025-05</t>
        </is>
      </c>
      <c r="C1290" t="inlineStr">
        <is>
          <t>Sin cliente</t>
        </is>
      </c>
      <c r="D1290" t="inlineStr">
        <is>
          <t>Petit Tradicional</t>
        </is>
      </c>
      <c r="E1290" s="34" t="n">
        <v>20900</v>
      </c>
      <c r="F1290" t="inlineStr">
        <is>
          <t>B</t>
        </is>
      </c>
      <c r="G1290" s="34" t="n">
        <v>3337</v>
      </c>
      <c r="H1290" s="34" t="n">
        <v>17563</v>
      </c>
      <c r="I1290" t="inlineStr">
        <is>
          <t>3.2</t>
        </is>
      </c>
      <c r="J1290" t="inlineStr">
        <is>
          <t>Ventas Personas (B2C)</t>
        </is>
      </c>
      <c r="K1290" t="inlineStr">
        <is>
          <t>CH2</t>
        </is>
      </c>
    </row>
    <row r="1291">
      <c r="A1291" s="33" t="n">
        <v>45782</v>
      </c>
      <c r="B1291" t="inlineStr">
        <is>
          <t>2025-05</t>
        </is>
      </c>
      <c r="C1291" t="inlineStr">
        <is>
          <t>Sin cliente</t>
        </is>
      </c>
      <c r="D1291" t="inlineStr">
        <is>
          <t>CANELÉ TRADICIONAL</t>
        </is>
      </c>
      <c r="E1291" s="34" t="n">
        <v>14900</v>
      </c>
      <c r="F1291" t="inlineStr">
        <is>
          <t>B</t>
        </is>
      </c>
      <c r="G1291" s="34" t="n">
        <v>2379</v>
      </c>
      <c r="H1291" s="34" t="n">
        <v>12521</v>
      </c>
      <c r="I1291" t="inlineStr">
        <is>
          <t>3.2</t>
        </is>
      </c>
      <c r="J1291" t="inlineStr">
        <is>
          <t>Ventas Personas (B2C)</t>
        </is>
      </c>
      <c r="K1291" t="inlineStr">
        <is>
          <t>CH2</t>
        </is>
      </c>
    </row>
    <row r="1292">
      <c r="A1292" s="33" t="n">
        <v>45782</v>
      </c>
      <c r="B1292" t="inlineStr">
        <is>
          <t>2025-05</t>
        </is>
      </c>
      <c r="C1292" t="inlineStr">
        <is>
          <t>Sin cliente</t>
        </is>
      </c>
      <c r="D1292" t="inlineStr">
        <is>
          <t>CANELÉ TRADICIONAL</t>
        </is>
      </c>
      <c r="E1292" s="34" t="n">
        <v>4000</v>
      </c>
      <c r="F1292" t="inlineStr">
        <is>
          <t>B</t>
        </is>
      </c>
      <c r="G1292" s="34" t="n">
        <v>639</v>
      </c>
      <c r="H1292" s="34" t="n">
        <v>3361</v>
      </c>
      <c r="I1292" t="inlineStr">
        <is>
          <t>3.2</t>
        </is>
      </c>
      <c r="J1292" t="inlineStr">
        <is>
          <t>Ventas Personas (B2C)</t>
        </is>
      </c>
      <c r="K1292" t="inlineStr">
        <is>
          <t>CH2</t>
        </is>
      </c>
    </row>
    <row r="1293">
      <c r="A1293" s="33" t="n">
        <v>45782</v>
      </c>
      <c r="B1293" t="inlineStr">
        <is>
          <t>2025-05</t>
        </is>
      </c>
      <c r="C1293" t="inlineStr">
        <is>
          <t>Julio Burotto Wegner</t>
        </is>
      </c>
      <c r="D1293" t="inlineStr">
        <is>
          <t>CANELÉ TRADICIONAL</t>
        </is>
      </c>
      <c r="E1293" s="34" t="n">
        <v>35800</v>
      </c>
      <c r="F1293" t="inlineStr">
        <is>
          <t>B</t>
        </is>
      </c>
      <c r="G1293" s="34" t="n">
        <v>5716</v>
      </c>
      <c r="H1293" s="34" t="n">
        <v>30084</v>
      </c>
      <c r="I1293" t="inlineStr">
        <is>
          <t>3.2</t>
        </is>
      </c>
      <c r="J1293" t="inlineStr">
        <is>
          <t>Ventas Personas (B2C)</t>
        </is>
      </c>
      <c r="K1293" t="inlineStr">
        <is>
          <t>CH2</t>
        </is>
      </c>
    </row>
    <row r="1294">
      <c r="A1294" s="33" t="n">
        <v>45782</v>
      </c>
      <c r="B1294" t="inlineStr">
        <is>
          <t>2025-05</t>
        </is>
      </c>
      <c r="C1294" t="inlineStr">
        <is>
          <t>Sin cliente</t>
        </is>
      </c>
      <c r="D1294" t="inlineStr">
        <is>
          <t>PLATAFORMAS RAP-PEYA-UBER-GOOD</t>
        </is>
      </c>
      <c r="E1294" s="34" t="n">
        <v>26280</v>
      </c>
      <c r="F1294" t="inlineStr">
        <is>
          <t>B</t>
        </is>
      </c>
      <c r="G1294" s="34" t="n">
        <v>4196</v>
      </c>
      <c r="H1294" s="34" t="n">
        <v>22084</v>
      </c>
      <c r="I1294" t="inlineStr">
        <is>
          <t>3.6</t>
        </is>
      </c>
      <c r="J1294" t="inlineStr">
        <is>
          <t>Ventas Delivery Apps</t>
        </is>
      </c>
      <c r="K1294" t="inlineStr">
        <is>
          <t>CH3</t>
        </is>
      </c>
    </row>
    <row r="1295">
      <c r="A1295" s="33" t="n">
        <v>45782</v>
      </c>
      <c r="B1295" t="inlineStr">
        <is>
          <t>2025-05</t>
        </is>
      </c>
      <c r="C1295" t="inlineStr">
        <is>
          <t>PRODUCTORA DE EVENTOS AGDV SPA</t>
        </is>
      </c>
      <c r="D1295" t="inlineStr">
        <is>
          <t>BROCHURE CATERING</t>
        </is>
      </c>
      <c r="E1295" s="34" t="n">
        <v>171717</v>
      </c>
      <c r="F1295" t="inlineStr">
        <is>
          <t>F</t>
        </is>
      </c>
      <c r="G1295" s="34" t="n">
        <v>27417</v>
      </c>
      <c r="H1295" s="34" t="n">
        <v>144300</v>
      </c>
      <c r="I1295" t="inlineStr">
        <is>
          <t>3.1</t>
        </is>
      </c>
      <c r="J1295" t="inlineStr">
        <is>
          <t>Ventas HoReCa</t>
        </is>
      </c>
      <c r="K1295" t="inlineStr">
        <is>
          <t>CH1</t>
        </is>
      </c>
    </row>
    <row r="1296">
      <c r="A1296" s="33" t="n">
        <v>45782</v>
      </c>
      <c r="B1296" t="inlineStr">
        <is>
          <t>2025-05</t>
        </is>
      </c>
      <c r="C1296" t="inlineStr">
        <is>
          <t>Thomas Buddemberg</t>
        </is>
      </c>
      <c r="D1296" t="inlineStr">
        <is>
          <t>Mix Sabores</t>
        </is>
      </c>
      <c r="E1296" s="34" t="n">
        <v>19890</v>
      </c>
      <c r="F1296" t="inlineStr">
        <is>
          <t>B</t>
        </is>
      </c>
      <c r="G1296" s="34" t="n">
        <v>3176</v>
      </c>
      <c r="H1296" s="34" t="n">
        <v>16714</v>
      </c>
      <c r="I1296" t="inlineStr">
        <is>
          <t>3.2</t>
        </is>
      </c>
      <c r="J1296" t="inlineStr">
        <is>
          <t>Ventas Personas (B2C)</t>
        </is>
      </c>
      <c r="K1296" t="inlineStr">
        <is>
          <t>CH2</t>
        </is>
      </c>
    </row>
    <row r="1297">
      <c r="A1297" s="33" t="n">
        <v>45782</v>
      </c>
      <c r="B1297" t="inlineStr">
        <is>
          <t>2025-05</t>
        </is>
      </c>
      <c r="C1297" t="inlineStr">
        <is>
          <t>Ignacia Sepulveda</t>
        </is>
      </c>
      <c r="D1297" t="inlineStr">
        <is>
          <t>CANELÉ TRADICIONAL</t>
        </is>
      </c>
      <c r="E1297" s="34" t="n">
        <v>17900</v>
      </c>
      <c r="F1297" t="inlineStr">
        <is>
          <t>B</t>
        </is>
      </c>
      <c r="G1297" s="34" t="n">
        <v>2858</v>
      </c>
      <c r="H1297" s="34" t="n">
        <v>15042</v>
      </c>
      <c r="I1297" t="inlineStr">
        <is>
          <t>3.2</t>
        </is>
      </c>
      <c r="J1297" t="inlineStr">
        <is>
          <t>Ventas Personas (B2C)</t>
        </is>
      </c>
      <c r="K1297" t="inlineStr">
        <is>
          <t>CH2</t>
        </is>
      </c>
    </row>
    <row r="1298">
      <c r="A1298" s="33" t="n">
        <v>45782</v>
      </c>
      <c r="B1298" t="inlineStr">
        <is>
          <t>2025-05</t>
        </is>
      </c>
      <c r="C1298" t="inlineStr">
        <is>
          <t>Daniela Torregrosa Atal</t>
        </is>
      </c>
      <c r="D1298" t="inlineStr">
        <is>
          <t>Petit Crunchy</t>
        </is>
      </c>
      <c r="E1298" s="34" t="n">
        <v>13900</v>
      </c>
      <c r="F1298" t="inlineStr">
        <is>
          <t>B</t>
        </is>
      </c>
      <c r="G1298" s="34" t="n">
        <v>2219</v>
      </c>
      <c r="H1298" s="34" t="n">
        <v>11681</v>
      </c>
      <c r="I1298" t="inlineStr">
        <is>
          <t>3.2</t>
        </is>
      </c>
      <c r="J1298" t="inlineStr">
        <is>
          <t>Ventas Personas (B2C)</t>
        </is>
      </c>
      <c r="K1298" t="inlineStr">
        <is>
          <t>CH2</t>
        </is>
      </c>
    </row>
    <row r="1299">
      <c r="A1299" s="33" t="n">
        <v>45783</v>
      </c>
      <c r="B1299" t="inlineStr">
        <is>
          <t>2025-05</t>
        </is>
      </c>
      <c r="C1299" t="inlineStr">
        <is>
          <t>Clark Veloso Valenzuela</t>
        </is>
      </c>
      <c r="D1299" t="inlineStr">
        <is>
          <t>BROCHURE CAFETERIAS</t>
        </is>
      </c>
      <c r="E1299" s="34" t="n">
        <v>64966</v>
      </c>
      <c r="F1299" t="inlineStr">
        <is>
          <t>F</t>
        </is>
      </c>
      <c r="G1299" s="34" t="n">
        <v>10373</v>
      </c>
      <c r="H1299" s="34" t="n">
        <v>54593</v>
      </c>
      <c r="I1299" t="inlineStr">
        <is>
          <t>3.1</t>
        </is>
      </c>
      <c r="J1299" t="inlineStr">
        <is>
          <t>Ventas HoReCa</t>
        </is>
      </c>
      <c r="K1299" t="inlineStr">
        <is>
          <t>CH1</t>
        </is>
      </c>
    </row>
    <row r="1300">
      <c r="A1300" s="33" t="n">
        <v>45783</v>
      </c>
      <c r="B1300" t="inlineStr">
        <is>
          <t>2025-05</t>
        </is>
      </c>
      <c r="C1300" t="inlineStr">
        <is>
          <t>Julio Burotto Wegner</t>
        </is>
      </c>
      <c r="D1300" t="inlineStr">
        <is>
          <t>Otras Regiones</t>
        </is>
      </c>
      <c r="E1300" s="34" t="n">
        <v>7500</v>
      </c>
      <c r="F1300" t="inlineStr">
        <is>
          <t>B</t>
        </is>
      </c>
      <c r="G1300" s="34" t="n">
        <v>1197</v>
      </c>
      <c r="H1300" s="34" t="n">
        <v>6303</v>
      </c>
      <c r="I1300" t="inlineStr">
        <is>
          <t>3.2</t>
        </is>
      </c>
      <c r="J1300" t="inlineStr">
        <is>
          <t>Ventas Personas (B2C)</t>
        </is>
      </c>
      <c r="K1300" t="inlineStr">
        <is>
          <t>CH2</t>
        </is>
      </c>
    </row>
    <row r="1301">
      <c r="A1301" s="33" t="n">
        <v>45783</v>
      </c>
      <c r="B1301" t="inlineStr">
        <is>
          <t>2025-05</t>
        </is>
      </c>
      <c r="C1301" t="inlineStr">
        <is>
          <t>Quintana&amp;Rivera SpA</t>
        </is>
      </c>
      <c r="D1301" t="inlineStr">
        <is>
          <t>BROCHURE CAFETERIAS</t>
        </is>
      </c>
      <c r="E1301" s="34" t="n">
        <v>64966</v>
      </c>
      <c r="F1301" t="inlineStr">
        <is>
          <t>F</t>
        </is>
      </c>
      <c r="G1301" s="34" t="n">
        <v>10373</v>
      </c>
      <c r="H1301" s="34" t="n">
        <v>54593</v>
      </c>
      <c r="I1301" t="inlineStr">
        <is>
          <t>3.1</t>
        </is>
      </c>
      <c r="J1301" t="inlineStr">
        <is>
          <t>Ventas HoReCa</t>
        </is>
      </c>
      <c r="K1301" t="inlineStr">
        <is>
          <t>CH1</t>
        </is>
      </c>
    </row>
    <row r="1302">
      <c r="A1302" s="33" t="n">
        <v>45783</v>
      </c>
      <c r="B1302" t="inlineStr">
        <is>
          <t>2025-05</t>
        </is>
      </c>
      <c r="C1302" t="inlineStr">
        <is>
          <t>Javiera Zúñiga</t>
        </is>
      </c>
      <c r="D1302" t="inlineStr">
        <is>
          <t>Petit Tradicional</t>
        </is>
      </c>
      <c r="E1302" s="34" t="n">
        <v>18291</v>
      </c>
      <c r="F1302" t="inlineStr">
        <is>
          <t>B</t>
        </is>
      </c>
      <c r="G1302" s="34" t="n">
        <v>2920</v>
      </c>
      <c r="H1302" s="34" t="n">
        <v>15371</v>
      </c>
      <c r="I1302" t="inlineStr">
        <is>
          <t>3.2</t>
        </is>
      </c>
      <c r="J1302" t="inlineStr">
        <is>
          <t>Ventas Personas (B2C)</t>
        </is>
      </c>
      <c r="K1302" t="inlineStr">
        <is>
          <t>CH2</t>
        </is>
      </c>
    </row>
    <row r="1303">
      <c r="A1303" s="33" t="n">
        <v>45783</v>
      </c>
      <c r="B1303" t="inlineStr">
        <is>
          <t>2025-05</t>
        </is>
      </c>
      <c r="C1303" t="inlineStr">
        <is>
          <t>Daniela Portuguez</t>
        </is>
      </c>
      <c r="D1303" t="inlineStr">
        <is>
          <t>CANELÉ TRADICIONAL</t>
        </is>
      </c>
      <c r="E1303" s="34" t="n">
        <v>26890</v>
      </c>
      <c r="F1303" t="inlineStr">
        <is>
          <t>B</t>
        </is>
      </c>
      <c r="G1303" s="34" t="n">
        <v>4293</v>
      </c>
      <c r="H1303" s="34" t="n">
        <v>22597</v>
      </c>
      <c r="I1303" t="inlineStr">
        <is>
          <t>3.2</t>
        </is>
      </c>
      <c r="J1303" t="inlineStr">
        <is>
          <t>Ventas Personas (B2C)</t>
        </is>
      </c>
      <c r="K1303" t="inlineStr">
        <is>
          <t>CH2</t>
        </is>
      </c>
    </row>
    <row r="1304">
      <c r="A1304" s="33" t="n">
        <v>45783</v>
      </c>
      <c r="B1304" t="inlineStr">
        <is>
          <t>2025-05</t>
        </is>
      </c>
      <c r="C1304" t="inlineStr">
        <is>
          <t>Eyleen Araya Fuentes</t>
        </is>
      </c>
      <c r="D1304" t="inlineStr">
        <is>
          <t>CANELÉ TRADICIONAL</t>
        </is>
      </c>
      <c r="E1304" s="34" t="n">
        <v>26890</v>
      </c>
      <c r="F1304" t="inlineStr">
        <is>
          <t>B</t>
        </is>
      </c>
      <c r="G1304" s="34" t="n">
        <v>4293</v>
      </c>
      <c r="H1304" s="34" t="n">
        <v>22597</v>
      </c>
      <c r="I1304" t="inlineStr">
        <is>
          <t>3.2</t>
        </is>
      </c>
      <c r="J1304" t="inlineStr">
        <is>
          <t>Ventas Personas (B2C)</t>
        </is>
      </c>
      <c r="K1304" t="inlineStr">
        <is>
          <t>CH2</t>
        </is>
      </c>
    </row>
    <row r="1305">
      <c r="A1305" s="33" t="n">
        <v>45783</v>
      </c>
      <c r="B1305" t="inlineStr">
        <is>
          <t>2025-05</t>
        </is>
      </c>
      <c r="C1305" t="inlineStr">
        <is>
          <t>GUSTAVO MORENO</t>
        </is>
      </c>
      <c r="D1305" t="inlineStr">
        <is>
          <t>CANELÉ TRADICIONAL</t>
        </is>
      </c>
      <c r="E1305" s="34" t="n">
        <v>54690</v>
      </c>
      <c r="F1305" t="inlineStr">
        <is>
          <t>B</t>
        </is>
      </c>
      <c r="G1305" s="34" t="n">
        <v>8732</v>
      </c>
      <c r="H1305" s="34" t="n">
        <v>45958</v>
      </c>
      <c r="I1305" t="inlineStr">
        <is>
          <t>3.2</t>
        </is>
      </c>
      <c r="J1305" t="inlineStr">
        <is>
          <t>Ventas Personas (B2C)</t>
        </is>
      </c>
      <c r="K1305" t="inlineStr">
        <is>
          <t>CH2</t>
        </is>
      </c>
    </row>
    <row r="1306">
      <c r="A1306" s="33" t="n">
        <v>45783</v>
      </c>
      <c r="B1306" t="inlineStr">
        <is>
          <t>2025-05</t>
        </is>
      </c>
      <c r="C1306" t="inlineStr">
        <is>
          <t>Jaime  Vergara</t>
        </is>
      </c>
      <c r="D1306" t="inlineStr">
        <is>
          <t>CANELÉ TRADICIONAL</t>
        </is>
      </c>
      <c r="E1306" s="34" t="n">
        <v>5000</v>
      </c>
      <c r="F1306" t="inlineStr">
        <is>
          <t>B</t>
        </is>
      </c>
      <c r="G1306" s="34" t="n">
        <v>798</v>
      </c>
      <c r="H1306" s="34" t="n">
        <v>4202</v>
      </c>
      <c r="I1306" t="inlineStr">
        <is>
          <t>3.2</t>
        </is>
      </c>
      <c r="J1306" t="inlineStr">
        <is>
          <t>Ventas Personas (B2C)</t>
        </is>
      </c>
      <c r="K1306" t="inlineStr">
        <is>
          <t>CH2</t>
        </is>
      </c>
    </row>
    <row r="1307">
      <c r="A1307" s="33" t="n">
        <v>45783</v>
      </c>
      <c r="B1307" t="inlineStr">
        <is>
          <t>2025-05</t>
        </is>
      </c>
      <c r="C1307" t="inlineStr">
        <is>
          <t>Sofia Castillo</t>
        </is>
      </c>
      <c r="D1307" t="inlineStr">
        <is>
          <t>CANELÉ TRADICIONAL</t>
        </is>
      </c>
      <c r="E1307" s="34" t="n">
        <v>21900</v>
      </c>
      <c r="F1307" t="inlineStr">
        <is>
          <t>B</t>
        </is>
      </c>
      <c r="G1307" s="34" t="n">
        <v>3497</v>
      </c>
      <c r="H1307" s="34" t="n">
        <v>18403</v>
      </c>
      <c r="I1307" t="inlineStr">
        <is>
          <t>3.2</t>
        </is>
      </c>
      <c r="J1307" t="inlineStr">
        <is>
          <t>Ventas Personas (B2C)</t>
        </is>
      </c>
      <c r="K1307" t="inlineStr">
        <is>
          <t>CH2</t>
        </is>
      </c>
    </row>
    <row r="1308">
      <c r="A1308" s="33" t="n">
        <v>45783</v>
      </c>
      <c r="B1308" t="inlineStr">
        <is>
          <t>2025-05</t>
        </is>
      </c>
      <c r="C1308" t="inlineStr">
        <is>
          <t>Sin cliente</t>
        </is>
      </c>
      <c r="D1308" t="inlineStr">
        <is>
          <t>Petit Tradicional</t>
        </is>
      </c>
      <c r="E1308" s="34" t="n">
        <v>12900</v>
      </c>
      <c r="F1308" t="inlineStr">
        <is>
          <t>B</t>
        </is>
      </c>
      <c r="G1308" s="34" t="n">
        <v>2060</v>
      </c>
      <c r="H1308" s="34" t="n">
        <v>10840</v>
      </c>
      <c r="I1308" t="inlineStr">
        <is>
          <t>3.2</t>
        </is>
      </c>
      <c r="J1308" t="inlineStr">
        <is>
          <t>Ventas Personas (B2C)</t>
        </is>
      </c>
      <c r="K1308" t="inlineStr">
        <is>
          <t>CH2</t>
        </is>
      </c>
    </row>
    <row r="1309">
      <c r="A1309" s="33" t="n">
        <v>45783</v>
      </c>
      <c r="B1309" t="inlineStr">
        <is>
          <t>2025-05</t>
        </is>
      </c>
      <c r="C1309" t="inlineStr">
        <is>
          <t>Sebastian Jimenez</t>
        </is>
      </c>
      <c r="D1309" t="inlineStr">
        <is>
          <t>CANELÉ TRADICIONAL</t>
        </is>
      </c>
      <c r="E1309" s="34" t="n">
        <v>25890</v>
      </c>
      <c r="F1309" t="inlineStr">
        <is>
          <t>B</t>
        </is>
      </c>
      <c r="G1309" s="34" t="n">
        <v>4134</v>
      </c>
      <c r="H1309" s="34" t="n">
        <v>21756</v>
      </c>
      <c r="I1309" t="inlineStr">
        <is>
          <t>3.2</t>
        </is>
      </c>
      <c r="J1309" t="inlineStr">
        <is>
          <t>Ventas Personas (B2C)</t>
        </is>
      </c>
      <c r="K1309" t="inlineStr">
        <is>
          <t>CH2</t>
        </is>
      </c>
    </row>
    <row r="1310">
      <c r="A1310" s="33" t="n">
        <v>45783</v>
      </c>
      <c r="B1310" t="inlineStr">
        <is>
          <t>2025-05</t>
        </is>
      </c>
      <c r="C1310" t="inlineStr">
        <is>
          <t>Alejandro Bascur Bruce</t>
        </is>
      </c>
      <c r="D1310" t="inlineStr">
        <is>
          <t>Petit Tradicional</t>
        </is>
      </c>
      <c r="E1310" s="34" t="n">
        <v>34790</v>
      </c>
      <c r="F1310" t="inlineStr">
        <is>
          <t>B</t>
        </is>
      </c>
      <c r="G1310" s="34" t="n">
        <v>5555</v>
      </c>
      <c r="H1310" s="34" t="n">
        <v>29235</v>
      </c>
      <c r="I1310" t="inlineStr">
        <is>
          <t>3.2</t>
        </is>
      </c>
      <c r="J1310" t="inlineStr">
        <is>
          <t>Ventas Personas (B2C)</t>
        </is>
      </c>
      <c r="K1310" t="inlineStr">
        <is>
          <t>CH2</t>
        </is>
      </c>
    </row>
    <row r="1311">
      <c r="A1311" s="33" t="n">
        <v>45783</v>
      </c>
      <c r="B1311" t="inlineStr">
        <is>
          <t>2025-05</t>
        </is>
      </c>
      <c r="C1311" t="inlineStr">
        <is>
          <t>Alvaro Guerra Gutierrez</t>
        </is>
      </c>
      <c r="D1311" t="inlineStr">
        <is>
          <t>Petit Tradicional</t>
        </is>
      </c>
      <c r="E1311" s="34" t="n">
        <v>12890</v>
      </c>
      <c r="F1311" t="inlineStr">
        <is>
          <t>B</t>
        </is>
      </c>
      <c r="G1311" s="34" t="n">
        <v>2058</v>
      </c>
      <c r="H1311" s="34" t="n">
        <v>10832</v>
      </c>
      <c r="I1311" t="inlineStr">
        <is>
          <t>3.2</t>
        </is>
      </c>
      <c r="J1311" t="inlineStr">
        <is>
          <t>Ventas Personas (B2C)</t>
        </is>
      </c>
      <c r="K1311" t="inlineStr">
        <is>
          <t>CH2</t>
        </is>
      </c>
    </row>
    <row r="1312">
      <c r="A1312" s="33" t="n">
        <v>45783</v>
      </c>
      <c r="B1312" t="inlineStr">
        <is>
          <t>2025-05</t>
        </is>
      </c>
      <c r="C1312" t="inlineStr">
        <is>
          <t>Andrea Godoy</t>
        </is>
      </c>
      <c r="D1312" t="inlineStr">
        <is>
          <t>Petit Tradicional</t>
        </is>
      </c>
      <c r="E1312" s="34" t="n">
        <v>8900</v>
      </c>
      <c r="F1312" t="inlineStr">
        <is>
          <t>B</t>
        </is>
      </c>
      <c r="G1312" s="34" t="n">
        <v>1421</v>
      </c>
      <c r="H1312" s="34" t="n">
        <v>7479</v>
      </c>
      <c r="I1312" t="inlineStr">
        <is>
          <t>3.2</t>
        </is>
      </c>
      <c r="J1312" t="inlineStr">
        <is>
          <t>Ventas Personas (B2C)</t>
        </is>
      </c>
      <c r="K1312" t="inlineStr">
        <is>
          <t>CH2</t>
        </is>
      </c>
    </row>
    <row r="1313">
      <c r="A1313" s="33" t="n">
        <v>45783</v>
      </c>
      <c r="B1313" t="inlineStr">
        <is>
          <t>2025-05</t>
        </is>
      </c>
      <c r="C1313" t="inlineStr">
        <is>
          <t>Sin cliente</t>
        </is>
      </c>
      <c r="D1313" t="inlineStr">
        <is>
          <t>PLATAFORMAS RAP-PEYA-UBER-GOOD</t>
        </is>
      </c>
      <c r="E1313" s="34" t="n">
        <v>12960</v>
      </c>
      <c r="F1313" t="inlineStr">
        <is>
          <t>B</t>
        </is>
      </c>
      <c r="G1313" s="34" t="n">
        <v>2069</v>
      </c>
      <c r="H1313" s="34" t="n">
        <v>10891</v>
      </c>
      <c r="I1313" t="inlineStr">
        <is>
          <t>3.6</t>
        </is>
      </c>
      <c r="J1313" t="inlineStr">
        <is>
          <t>Ventas Delivery Apps</t>
        </is>
      </c>
      <c r="K1313" t="inlineStr">
        <is>
          <t>CH3</t>
        </is>
      </c>
    </row>
    <row r="1314">
      <c r="A1314" s="33" t="n">
        <v>45784</v>
      </c>
      <c r="B1314" t="inlineStr">
        <is>
          <t>2025-05</t>
        </is>
      </c>
      <c r="C1314" t="inlineStr">
        <is>
          <t>krishna gonzález salgado</t>
        </is>
      </c>
      <c r="D1314" t="inlineStr">
        <is>
          <t>Petit Crunchy</t>
        </is>
      </c>
      <c r="E1314" s="34" t="n">
        <v>12510</v>
      </c>
      <c r="F1314" t="inlineStr">
        <is>
          <t>B</t>
        </is>
      </c>
      <c r="G1314" s="34" t="n">
        <v>1997</v>
      </c>
      <c r="H1314" s="34" t="n">
        <v>10513</v>
      </c>
      <c r="I1314" t="inlineStr">
        <is>
          <t>3.2</t>
        </is>
      </c>
      <c r="J1314" t="inlineStr">
        <is>
          <t>Ventas Personas (B2C)</t>
        </is>
      </c>
      <c r="K1314" t="inlineStr">
        <is>
          <t>CH2</t>
        </is>
      </c>
    </row>
    <row r="1315">
      <c r="A1315" s="33" t="n">
        <v>45784</v>
      </c>
      <c r="B1315" t="inlineStr">
        <is>
          <t>2025-05</t>
        </is>
      </c>
      <c r="C1315" t="inlineStr">
        <is>
          <t>Andrea Ceballos</t>
        </is>
      </c>
      <c r="D1315" t="inlineStr">
        <is>
          <t>Petit Crunchy</t>
        </is>
      </c>
      <c r="E1315" s="34" t="n">
        <v>41520</v>
      </c>
      <c r="F1315" t="inlineStr">
        <is>
          <t>B</t>
        </is>
      </c>
      <c r="G1315" s="34" t="n">
        <v>6629</v>
      </c>
      <c r="H1315" s="34" t="n">
        <v>34891</v>
      </c>
      <c r="I1315" t="inlineStr">
        <is>
          <t>3.2</t>
        </is>
      </c>
      <c r="J1315" t="inlineStr">
        <is>
          <t>Ventas Personas (B2C)</t>
        </is>
      </c>
      <c r="K1315" t="inlineStr">
        <is>
          <t>CH2</t>
        </is>
      </c>
    </row>
    <row r="1316">
      <c r="A1316" s="33" t="n">
        <v>45784</v>
      </c>
      <c r="B1316" t="inlineStr">
        <is>
          <t>2025-05</t>
        </is>
      </c>
      <c r="C1316" t="inlineStr">
        <is>
          <t>Javiera Díaz</t>
        </is>
      </c>
      <c r="D1316" t="inlineStr">
        <is>
          <t>Petit Crunchy</t>
        </is>
      </c>
      <c r="E1316" s="34" t="n">
        <v>16500</v>
      </c>
      <c r="F1316" t="inlineStr">
        <is>
          <t>B</t>
        </is>
      </c>
      <c r="G1316" s="34" t="n">
        <v>2634</v>
      </c>
      <c r="H1316" s="34" t="n">
        <v>13866</v>
      </c>
      <c r="I1316" t="inlineStr">
        <is>
          <t>3.2</t>
        </is>
      </c>
      <c r="J1316" t="inlineStr">
        <is>
          <t>Ventas Personas (B2C)</t>
        </is>
      </c>
      <c r="K1316" t="inlineStr">
        <is>
          <t>CH2</t>
        </is>
      </c>
    </row>
    <row r="1317">
      <c r="A1317" s="33" t="n">
        <v>45784</v>
      </c>
      <c r="B1317" t="inlineStr">
        <is>
          <t>2025-05</t>
        </is>
      </c>
      <c r="C1317" t="inlineStr">
        <is>
          <t xml:space="preserve">Café lucerna spa </t>
        </is>
      </c>
      <c r="D1317" t="inlineStr">
        <is>
          <t>BROCHURE CAFETERIAS</t>
        </is>
      </c>
      <c r="E1317" s="34" t="n">
        <v>63966</v>
      </c>
      <c r="F1317" t="inlineStr">
        <is>
          <t>F</t>
        </is>
      </c>
      <c r="G1317" s="34" t="n">
        <v>10213</v>
      </c>
      <c r="H1317" s="34" t="n">
        <v>53753</v>
      </c>
      <c r="I1317" t="inlineStr">
        <is>
          <t>3.1</t>
        </is>
      </c>
      <c r="J1317" t="inlineStr">
        <is>
          <t>Ventas HoReCa</t>
        </is>
      </c>
      <c r="K1317" t="inlineStr">
        <is>
          <t>CH1</t>
        </is>
      </c>
    </row>
    <row r="1318">
      <c r="A1318" s="33" t="n">
        <v>45784</v>
      </c>
      <c r="B1318" t="inlineStr">
        <is>
          <t>2025-05</t>
        </is>
      </c>
      <c r="C1318" t="inlineStr">
        <is>
          <t>Nicol Kunze</t>
        </is>
      </c>
      <c r="D1318" t="inlineStr">
        <is>
          <t>Petit Tradicional</t>
        </is>
      </c>
      <c r="E1318" s="34" t="n">
        <v>12000</v>
      </c>
      <c r="F1318" t="inlineStr">
        <is>
          <t>B</t>
        </is>
      </c>
      <c r="G1318" s="34" t="n">
        <v>1916</v>
      </c>
      <c r="H1318" s="34" t="n">
        <v>10084</v>
      </c>
      <c r="I1318" t="inlineStr">
        <is>
          <t>3.2</t>
        </is>
      </c>
      <c r="J1318" t="inlineStr">
        <is>
          <t>Ventas Personas (B2C)</t>
        </is>
      </c>
      <c r="K1318" t="inlineStr">
        <is>
          <t>CH2</t>
        </is>
      </c>
    </row>
    <row r="1319">
      <c r="A1319" s="33" t="n">
        <v>45784</v>
      </c>
      <c r="B1319" t="inlineStr">
        <is>
          <t>2025-05</t>
        </is>
      </c>
      <c r="C1319" t="inlineStr">
        <is>
          <t>PAOLA VALDEBENITO</t>
        </is>
      </c>
      <c r="D1319" t="inlineStr">
        <is>
          <t>CANELÉ TRADICIONAL</t>
        </is>
      </c>
      <c r="E1319" s="34" t="n">
        <v>5000</v>
      </c>
      <c r="F1319" t="inlineStr">
        <is>
          <t>B</t>
        </is>
      </c>
      <c r="G1319" s="34" t="n">
        <v>798</v>
      </c>
      <c r="H1319" s="34" t="n">
        <v>4202</v>
      </c>
      <c r="I1319" t="inlineStr">
        <is>
          <t>3.2</t>
        </is>
      </c>
      <c r="J1319" t="inlineStr">
        <is>
          <t>Ventas Personas (B2C)</t>
        </is>
      </c>
      <c r="K1319" t="inlineStr">
        <is>
          <t>CH2</t>
        </is>
      </c>
    </row>
    <row r="1320">
      <c r="A1320" s="33" t="n">
        <v>45784</v>
      </c>
      <c r="B1320" t="inlineStr">
        <is>
          <t>2025-05</t>
        </is>
      </c>
      <c r="C1320" t="inlineStr">
        <is>
          <t>Claudio Gómez</t>
        </is>
      </c>
      <c r="D1320" t="inlineStr">
        <is>
          <t>CANELÉ TRADICIONAL</t>
        </is>
      </c>
      <c r="E1320" s="34" t="n">
        <v>20250</v>
      </c>
      <c r="F1320" t="inlineStr">
        <is>
          <t>B</t>
        </is>
      </c>
      <c r="G1320" s="34" t="n">
        <v>3233</v>
      </c>
      <c r="H1320" s="34" t="n">
        <v>17017</v>
      </c>
      <c r="I1320" t="inlineStr">
        <is>
          <t>3.2</t>
        </is>
      </c>
      <c r="J1320" t="inlineStr">
        <is>
          <t>Ventas Personas (B2C)</t>
        </is>
      </c>
      <c r="K1320" t="inlineStr">
        <is>
          <t>CH2</t>
        </is>
      </c>
    </row>
    <row r="1321">
      <c r="A1321" s="33" t="n">
        <v>45784</v>
      </c>
      <c r="B1321" t="inlineStr">
        <is>
          <t>2025-05</t>
        </is>
      </c>
      <c r="C1321" t="inlineStr">
        <is>
          <t>Sin cliente</t>
        </is>
      </c>
      <c r="D1321" t="inlineStr">
        <is>
          <t>Mix Sabores</t>
        </is>
      </c>
      <c r="E1321" s="34" t="n">
        <v>7950</v>
      </c>
      <c r="F1321" t="inlineStr">
        <is>
          <t>B</t>
        </is>
      </c>
      <c r="G1321" s="34" t="n">
        <v>1269</v>
      </c>
      <c r="H1321" s="34" t="n">
        <v>6681</v>
      </c>
      <c r="I1321" t="inlineStr">
        <is>
          <t>3.2</t>
        </is>
      </c>
      <c r="J1321" t="inlineStr">
        <is>
          <t>Ventas Personas (B2C)</t>
        </is>
      </c>
      <c r="K1321" t="inlineStr">
        <is>
          <t>CH2</t>
        </is>
      </c>
    </row>
    <row r="1322">
      <c r="A1322" s="33" t="n">
        <v>45784</v>
      </c>
      <c r="B1322" t="inlineStr">
        <is>
          <t>2025-05</t>
        </is>
      </c>
      <c r="C1322" t="inlineStr">
        <is>
          <t>Sin cliente</t>
        </is>
      </c>
      <c r="D1322" t="inlineStr">
        <is>
          <t>Petit Crunchy</t>
        </is>
      </c>
      <c r="E1322" s="34" t="n">
        <v>8340</v>
      </c>
      <c r="F1322" t="inlineStr">
        <is>
          <t>B</t>
        </is>
      </c>
      <c r="G1322" s="34" t="n">
        <v>1332</v>
      </c>
      <c r="H1322" s="34" t="n">
        <v>7008</v>
      </c>
      <c r="I1322" t="inlineStr">
        <is>
          <t>3.2</t>
        </is>
      </c>
      <c r="J1322" t="inlineStr">
        <is>
          <t>Ventas Personas (B2C)</t>
        </is>
      </c>
      <c r="K1322" t="inlineStr">
        <is>
          <t>CH2</t>
        </is>
      </c>
    </row>
    <row r="1323">
      <c r="A1323" s="33" t="n">
        <v>45784</v>
      </c>
      <c r="B1323" t="inlineStr">
        <is>
          <t>2025-05</t>
        </is>
      </c>
      <c r="C1323" t="inlineStr">
        <is>
          <t>Sin cliente</t>
        </is>
      </c>
      <c r="D1323" t="inlineStr">
        <is>
          <t>PLATAFORMAS RAP-PEYA-UBER-GOOD</t>
        </is>
      </c>
      <c r="E1323" s="34" t="n">
        <v>20000</v>
      </c>
      <c r="F1323" t="inlineStr">
        <is>
          <t>B</t>
        </is>
      </c>
      <c r="G1323" s="34" t="n">
        <v>3193</v>
      </c>
      <c r="H1323" s="34" t="n">
        <v>16807</v>
      </c>
      <c r="I1323" t="inlineStr">
        <is>
          <t>3.6</t>
        </is>
      </c>
      <c r="J1323" t="inlineStr">
        <is>
          <t>Ventas Delivery Apps</t>
        </is>
      </c>
      <c r="K1323" t="inlineStr">
        <is>
          <t>CH3</t>
        </is>
      </c>
    </row>
    <row r="1324">
      <c r="A1324" s="33" t="n">
        <v>45784</v>
      </c>
      <c r="B1324" t="inlineStr">
        <is>
          <t>2025-05</t>
        </is>
      </c>
      <c r="C1324" t="inlineStr">
        <is>
          <t>Eugenia Aguirre</t>
        </is>
      </c>
      <c r="D1324" t="inlineStr">
        <is>
          <t>Petit Tradicional</t>
        </is>
      </c>
      <c r="E1324" s="34" t="n">
        <v>16890</v>
      </c>
      <c r="F1324" t="inlineStr">
        <is>
          <t>B</t>
        </is>
      </c>
      <c r="G1324" s="34" t="n">
        <v>2697</v>
      </c>
      <c r="H1324" s="34" t="n">
        <v>14193</v>
      </c>
      <c r="I1324" t="inlineStr">
        <is>
          <t>3.2</t>
        </is>
      </c>
      <c r="J1324" t="inlineStr">
        <is>
          <t>Ventas Personas (B2C)</t>
        </is>
      </c>
      <c r="K1324" t="inlineStr">
        <is>
          <t>CH2</t>
        </is>
      </c>
    </row>
    <row r="1325">
      <c r="A1325" s="33" t="n">
        <v>45784</v>
      </c>
      <c r="B1325" t="inlineStr">
        <is>
          <t>2025-05</t>
        </is>
      </c>
      <c r="C1325" t="inlineStr">
        <is>
          <t>Carolina Mc Leod</t>
        </is>
      </c>
      <c r="D1325" t="inlineStr">
        <is>
          <t>Petit Tradicional</t>
        </is>
      </c>
      <c r="E1325" s="34" t="n">
        <v>12900</v>
      </c>
      <c r="F1325" t="inlineStr">
        <is>
          <t>B</t>
        </is>
      </c>
      <c r="G1325" s="34" t="n">
        <v>2060</v>
      </c>
      <c r="H1325" s="34" t="n">
        <v>10840</v>
      </c>
      <c r="I1325" t="inlineStr">
        <is>
          <t>3.2</t>
        </is>
      </c>
      <c r="J1325" t="inlineStr">
        <is>
          <t>Ventas Personas (B2C)</t>
        </is>
      </c>
      <c r="K1325" t="inlineStr">
        <is>
          <t>CH2</t>
        </is>
      </c>
    </row>
    <row r="1326">
      <c r="A1326" s="33" t="n">
        <v>45784</v>
      </c>
      <c r="B1326" t="inlineStr">
        <is>
          <t>2025-05</t>
        </is>
      </c>
      <c r="C1326" t="inlineStr">
        <is>
          <t>Daniel Labbé Valdés</t>
        </is>
      </c>
      <c r="D1326" t="inlineStr">
        <is>
          <t>Petit Tradicional</t>
        </is>
      </c>
      <c r="E1326" s="34" t="n">
        <v>24890</v>
      </c>
      <c r="F1326" t="inlineStr">
        <is>
          <t>B</t>
        </is>
      </c>
      <c r="G1326" s="34" t="n">
        <v>3974</v>
      </c>
      <c r="H1326" s="34" t="n">
        <v>20916</v>
      </c>
      <c r="I1326" t="inlineStr">
        <is>
          <t>3.2</t>
        </is>
      </c>
      <c r="J1326" t="inlineStr">
        <is>
          <t>Ventas Personas (B2C)</t>
        </is>
      </c>
      <c r="K1326" t="inlineStr">
        <is>
          <t>CH2</t>
        </is>
      </c>
    </row>
    <row r="1327">
      <c r="A1327" s="33" t="n">
        <v>45784</v>
      </c>
      <c r="B1327" t="inlineStr">
        <is>
          <t>2025-05</t>
        </is>
      </c>
      <c r="C1327" t="inlineStr">
        <is>
          <t>Joselin Barrios</t>
        </is>
      </c>
      <c r="D1327" t="inlineStr">
        <is>
          <t>Petit Tradicional</t>
        </is>
      </c>
      <c r="E1327" s="34" t="n">
        <v>21010</v>
      </c>
      <c r="F1327" t="inlineStr">
        <is>
          <t>B</t>
        </is>
      </c>
      <c r="G1327" s="34" t="n">
        <v>3355</v>
      </c>
      <c r="H1327" s="34" t="n">
        <v>17655</v>
      </c>
      <c r="I1327" t="inlineStr">
        <is>
          <t>3.2</t>
        </is>
      </c>
      <c r="J1327" t="inlineStr">
        <is>
          <t>Ventas Personas (B2C)</t>
        </is>
      </c>
      <c r="K1327" t="inlineStr">
        <is>
          <t>CH2</t>
        </is>
      </c>
    </row>
    <row r="1328">
      <c r="A1328" s="33" t="n">
        <v>45784</v>
      </c>
      <c r="B1328" t="inlineStr">
        <is>
          <t>2025-05</t>
        </is>
      </c>
      <c r="C1328" t="inlineStr">
        <is>
          <t>Florencia Silva</t>
        </is>
      </c>
      <c r="D1328" t="inlineStr">
        <is>
          <t>Petit Tradicional</t>
        </is>
      </c>
      <c r="E1328" s="34" t="n">
        <v>12000</v>
      </c>
      <c r="F1328" t="inlineStr">
        <is>
          <t>B</t>
        </is>
      </c>
      <c r="G1328" s="34" t="n">
        <v>1916</v>
      </c>
      <c r="H1328" s="34" t="n">
        <v>10084</v>
      </c>
      <c r="I1328" t="inlineStr">
        <is>
          <t>3.2</t>
        </is>
      </c>
      <c r="J1328" t="inlineStr">
        <is>
          <t>Ventas Personas (B2C)</t>
        </is>
      </c>
      <c r="K1328" t="inlineStr">
        <is>
          <t>CH2</t>
        </is>
      </c>
    </row>
    <row r="1329">
      <c r="A1329" s="33" t="n">
        <v>45784</v>
      </c>
      <c r="B1329" t="inlineStr">
        <is>
          <t>2025-05</t>
        </is>
      </c>
      <c r="C1329" t="inlineStr">
        <is>
          <t>Sin cliente</t>
        </is>
      </c>
      <c r="D1329" t="inlineStr">
        <is>
          <t>PLATAFORMAS RAP-PEYA-UBER-GOOD</t>
        </is>
      </c>
      <c r="E1329" s="34" t="n">
        <v>17880</v>
      </c>
      <c r="F1329" t="inlineStr">
        <is>
          <t>B</t>
        </is>
      </c>
      <c r="G1329" s="34" t="n">
        <v>2855</v>
      </c>
      <c r="H1329" s="34" t="n">
        <v>15025</v>
      </c>
      <c r="I1329" t="inlineStr">
        <is>
          <t>3.6</t>
        </is>
      </c>
      <c r="J1329" t="inlineStr">
        <is>
          <t>Ventas Delivery Apps</t>
        </is>
      </c>
      <c r="K1329" t="inlineStr">
        <is>
          <t>CH3</t>
        </is>
      </c>
    </row>
    <row r="1330">
      <c r="A1330" s="33" t="n">
        <v>45785</v>
      </c>
      <c r="B1330" t="inlineStr">
        <is>
          <t>2025-05</t>
        </is>
      </c>
      <c r="C1330" t="inlineStr">
        <is>
          <t>Carolina Molina</t>
        </is>
      </c>
      <c r="D1330" t="inlineStr">
        <is>
          <t>Petit Tradicional</t>
        </is>
      </c>
      <c r="E1330" s="34" t="n">
        <v>28290</v>
      </c>
      <c r="F1330" t="inlineStr">
        <is>
          <t>B</t>
        </is>
      </c>
      <c r="G1330" s="34" t="n">
        <v>4517</v>
      </c>
      <c r="H1330" s="34" t="n">
        <v>23773</v>
      </c>
      <c r="I1330" t="inlineStr">
        <is>
          <t>3.2</t>
        </is>
      </c>
      <c r="J1330" t="inlineStr">
        <is>
          <t>Ventas Personas (B2C)</t>
        </is>
      </c>
      <c r="K1330" t="inlineStr">
        <is>
          <t>CH2</t>
        </is>
      </c>
    </row>
    <row r="1331">
      <c r="A1331" s="33" t="n">
        <v>45785</v>
      </c>
      <c r="B1331" t="inlineStr">
        <is>
          <t>2025-05</t>
        </is>
      </c>
      <c r="C1331" t="inlineStr">
        <is>
          <t>Camila Ordenes Huanca</t>
        </is>
      </c>
      <c r="D1331" t="inlineStr">
        <is>
          <t>CANELÉ TRADICIONAL</t>
        </is>
      </c>
      <c r="E1331" s="34" t="n">
        <v>16110</v>
      </c>
      <c r="F1331" t="inlineStr">
        <is>
          <t>B</t>
        </is>
      </c>
      <c r="G1331" s="34" t="n">
        <v>2572</v>
      </c>
      <c r="H1331" s="34" t="n">
        <v>13538</v>
      </c>
      <c r="I1331" t="inlineStr">
        <is>
          <t>3.2</t>
        </is>
      </c>
      <c r="J1331" t="inlineStr">
        <is>
          <t>Ventas Personas (B2C)</t>
        </is>
      </c>
      <c r="K1331" t="inlineStr">
        <is>
          <t>CH2</t>
        </is>
      </c>
    </row>
    <row r="1332">
      <c r="A1332" s="33" t="n">
        <v>45785</v>
      </c>
      <c r="B1332" t="inlineStr">
        <is>
          <t>2025-05</t>
        </is>
      </c>
      <c r="C1332" t="inlineStr">
        <is>
          <t>Daniela Traub</t>
        </is>
      </c>
      <c r="D1332" t="inlineStr">
        <is>
          <t>Petit Tradicional</t>
        </is>
      </c>
      <c r="E1332" s="34" t="n">
        <v>12890</v>
      </c>
      <c r="F1332" t="inlineStr">
        <is>
          <t>B</t>
        </is>
      </c>
      <c r="G1332" s="34" t="n">
        <v>2058</v>
      </c>
      <c r="H1332" s="34" t="n">
        <v>10832</v>
      </c>
      <c r="I1332" t="inlineStr">
        <is>
          <t>3.2</t>
        </is>
      </c>
      <c r="J1332" t="inlineStr">
        <is>
          <t>Ventas Personas (B2C)</t>
        </is>
      </c>
      <c r="K1332" t="inlineStr">
        <is>
          <t>CH2</t>
        </is>
      </c>
    </row>
    <row r="1333">
      <c r="A1333" s="33" t="n">
        <v>45785</v>
      </c>
      <c r="B1333" t="inlineStr">
        <is>
          <t>2025-05</t>
        </is>
      </c>
      <c r="C1333" t="inlineStr">
        <is>
          <t>BUSTORF LARSEN Y COMPANIA LIMITADA</t>
        </is>
      </c>
      <c r="D1333" t="inlineStr">
        <is>
          <t>BROCHURE CAFETERIAS</t>
        </is>
      </c>
      <c r="E1333" s="34" t="n">
        <v>64966</v>
      </c>
      <c r="F1333" t="inlineStr">
        <is>
          <t>F</t>
        </is>
      </c>
      <c r="G1333" s="34" t="n">
        <v>10373</v>
      </c>
      <c r="H1333" s="34" t="n">
        <v>54593</v>
      </c>
      <c r="I1333" t="inlineStr">
        <is>
          <t>3.1</t>
        </is>
      </c>
      <c r="J1333" t="inlineStr">
        <is>
          <t>Ventas HoReCa</t>
        </is>
      </c>
      <c r="K1333" t="inlineStr">
        <is>
          <t>CH1</t>
        </is>
      </c>
    </row>
    <row r="1334">
      <c r="A1334" s="33" t="n">
        <v>45785</v>
      </c>
      <c r="B1334" t="inlineStr">
        <is>
          <t>2025-05</t>
        </is>
      </c>
      <c r="C1334" t="inlineStr">
        <is>
          <t>CAFÉ UNDER SPA</t>
        </is>
      </c>
      <c r="D1334" t="inlineStr">
        <is>
          <t>BROCHURE CAFETERIAS</t>
        </is>
      </c>
      <c r="E1334" s="34" t="n">
        <v>63966</v>
      </c>
      <c r="F1334" t="inlineStr">
        <is>
          <t>F</t>
        </is>
      </c>
      <c r="G1334" s="34" t="n">
        <v>10213</v>
      </c>
      <c r="H1334" s="34" t="n">
        <v>53753</v>
      </c>
      <c r="I1334" t="inlineStr">
        <is>
          <t>3.1</t>
        </is>
      </c>
      <c r="J1334" t="inlineStr">
        <is>
          <t>Ventas HoReCa</t>
        </is>
      </c>
      <c r="K1334" t="inlineStr">
        <is>
          <t>CH1</t>
        </is>
      </c>
    </row>
    <row r="1335">
      <c r="A1335" s="33" t="n">
        <v>45785</v>
      </c>
      <c r="B1335" t="inlineStr">
        <is>
          <t>2025-05</t>
        </is>
      </c>
      <c r="C1335" t="inlineStr">
        <is>
          <t>Carolina Leonvendagar</t>
        </is>
      </c>
      <c r="D1335" t="inlineStr">
        <is>
          <t>Rellenos</t>
        </is>
      </c>
      <c r="E1335" s="34" t="n">
        <v>27890</v>
      </c>
      <c r="F1335" t="inlineStr">
        <is>
          <t>B</t>
        </is>
      </c>
      <c r="G1335" s="34" t="n">
        <v>4453</v>
      </c>
      <c r="H1335" s="34" t="n">
        <v>23437</v>
      </c>
      <c r="I1335" t="inlineStr">
        <is>
          <t>3.2</t>
        </is>
      </c>
      <c r="J1335" t="inlineStr">
        <is>
          <t>Ventas Personas (B2C)</t>
        </is>
      </c>
      <c r="K1335" t="inlineStr">
        <is>
          <t>CH2</t>
        </is>
      </c>
    </row>
    <row r="1336">
      <c r="A1336" s="33" t="n">
        <v>45785</v>
      </c>
      <c r="B1336" t="inlineStr">
        <is>
          <t>2025-05</t>
        </is>
      </c>
      <c r="C1336" t="inlineStr">
        <is>
          <t>Jorge Reyes Pereira</t>
        </is>
      </c>
      <c r="D1336" t="inlineStr">
        <is>
          <t>Delicatessen</t>
        </is>
      </c>
      <c r="E1336" s="34" t="n">
        <v>31810</v>
      </c>
      <c r="F1336" t="inlineStr">
        <is>
          <t>B</t>
        </is>
      </c>
      <c r="G1336" s="34" t="n">
        <v>5079</v>
      </c>
      <c r="H1336" s="34" t="n">
        <v>26731</v>
      </c>
      <c r="I1336" t="inlineStr">
        <is>
          <t>3.2</t>
        </is>
      </c>
      <c r="J1336" t="inlineStr">
        <is>
          <t>Ventas Personas (B2C)</t>
        </is>
      </c>
      <c r="K1336" t="inlineStr">
        <is>
          <t>CH2</t>
        </is>
      </c>
    </row>
    <row r="1337">
      <c r="A1337" s="33" t="n">
        <v>45785</v>
      </c>
      <c r="B1337" t="inlineStr">
        <is>
          <t>2025-05</t>
        </is>
      </c>
      <c r="C1337" t="inlineStr">
        <is>
          <t>Sofia Carrasco</t>
        </is>
      </c>
      <c r="D1337" t="inlineStr">
        <is>
          <t>Mix Sabores</t>
        </is>
      </c>
      <c r="E1337" s="34" t="n">
        <v>22800</v>
      </c>
      <c r="F1337" t="inlineStr">
        <is>
          <t>B</t>
        </is>
      </c>
      <c r="G1337" s="34" t="n">
        <v>3640</v>
      </c>
      <c r="H1337" s="34" t="n">
        <v>19160</v>
      </c>
      <c r="I1337" t="inlineStr">
        <is>
          <t>3.2</t>
        </is>
      </c>
      <c r="J1337" t="inlineStr">
        <is>
          <t>Ventas Personas (B2C)</t>
        </is>
      </c>
      <c r="K1337" t="inlineStr">
        <is>
          <t>CH2</t>
        </is>
      </c>
    </row>
    <row r="1338">
      <c r="A1338" s="33" t="n">
        <v>45785</v>
      </c>
      <c r="B1338" t="inlineStr">
        <is>
          <t>2025-05</t>
        </is>
      </c>
      <c r="C1338" t="inlineStr">
        <is>
          <t>Paula Maldonado Santelices</t>
        </is>
      </c>
      <c r="D1338" t="inlineStr">
        <is>
          <t>SALSAS</t>
        </is>
      </c>
      <c r="E1338" s="34" t="n">
        <v>50759</v>
      </c>
      <c r="F1338" t="inlineStr">
        <is>
          <t>B</t>
        </is>
      </c>
      <c r="G1338" s="34" t="n">
        <v>8104</v>
      </c>
      <c r="H1338" s="34" t="n">
        <v>42655</v>
      </c>
      <c r="I1338" t="inlineStr">
        <is>
          <t>3.2</t>
        </is>
      </c>
      <c r="J1338" t="inlineStr">
        <is>
          <t>Ventas Personas (B2C)</t>
        </is>
      </c>
      <c r="K1338" t="inlineStr">
        <is>
          <t>CH2</t>
        </is>
      </c>
    </row>
    <row r="1339">
      <c r="A1339" s="33" t="n">
        <v>45785</v>
      </c>
      <c r="B1339" t="inlineStr">
        <is>
          <t>2025-05</t>
        </is>
      </c>
      <c r="C1339" t="inlineStr">
        <is>
          <t>Andrea Bennett</t>
        </is>
      </c>
      <c r="D1339" t="inlineStr">
        <is>
          <t>CANELÉ TRADICIONAL</t>
        </is>
      </c>
      <c r="E1339" s="34" t="n">
        <v>21889</v>
      </c>
      <c r="F1339" t="inlineStr">
        <is>
          <t>B</t>
        </is>
      </c>
      <c r="G1339" s="34" t="n">
        <v>3495</v>
      </c>
      <c r="H1339" s="34" t="n">
        <v>18394</v>
      </c>
      <c r="I1339" t="inlineStr">
        <is>
          <t>3.2</t>
        </is>
      </c>
      <c r="J1339" t="inlineStr">
        <is>
          <t>Ventas Personas (B2C)</t>
        </is>
      </c>
      <c r="K1339" t="inlineStr">
        <is>
          <t>CH2</t>
        </is>
      </c>
    </row>
    <row r="1340">
      <c r="A1340" s="33" t="n">
        <v>45785</v>
      </c>
      <c r="B1340" t="inlineStr">
        <is>
          <t>2025-05</t>
        </is>
      </c>
      <c r="C1340" t="inlineStr">
        <is>
          <t>Sin cliente</t>
        </is>
      </c>
      <c r="D1340" t="inlineStr">
        <is>
          <t>Petit Tradicional</t>
        </is>
      </c>
      <c r="E1340" s="34" t="n">
        <v>14650</v>
      </c>
      <c r="F1340" t="inlineStr">
        <is>
          <t>B</t>
        </is>
      </c>
      <c r="G1340" s="34" t="n">
        <v>2339</v>
      </c>
      <c r="H1340" s="34" t="n">
        <v>12311</v>
      </c>
      <c r="I1340" t="inlineStr">
        <is>
          <t>3.2</t>
        </is>
      </c>
      <c r="J1340" t="inlineStr">
        <is>
          <t>Ventas Personas (B2C)</t>
        </is>
      </c>
      <c r="K1340" t="inlineStr">
        <is>
          <t>CH2</t>
        </is>
      </c>
    </row>
    <row r="1341">
      <c r="A1341" s="33" t="n">
        <v>45785</v>
      </c>
      <c r="B1341" t="inlineStr">
        <is>
          <t>2025-05</t>
        </is>
      </c>
      <c r="C1341" t="inlineStr">
        <is>
          <t>andrea ponce</t>
        </is>
      </c>
      <c r="D1341" t="inlineStr">
        <is>
          <t>Toppings</t>
        </is>
      </c>
      <c r="E1341" s="34" t="n">
        <v>2000</v>
      </c>
      <c r="F1341" t="inlineStr">
        <is>
          <t>B</t>
        </is>
      </c>
      <c r="G1341" s="34" t="n">
        <v>319</v>
      </c>
      <c r="H1341" s="34" t="n">
        <v>1681</v>
      </c>
      <c r="I1341" t="inlineStr">
        <is>
          <t>3.2</t>
        </is>
      </c>
      <c r="J1341" t="inlineStr">
        <is>
          <t>Ventas Personas (B2C)</t>
        </is>
      </c>
      <c r="K1341" t="inlineStr">
        <is>
          <t>CH2</t>
        </is>
      </c>
    </row>
    <row r="1342">
      <c r="A1342" s="33" t="n">
        <v>45785</v>
      </c>
      <c r="B1342" t="inlineStr">
        <is>
          <t>2025-05</t>
        </is>
      </c>
      <c r="C1342" t="inlineStr">
        <is>
          <t>Maria Alejandra Morales Arellano</t>
        </is>
      </c>
      <c r="D1342" t="inlineStr">
        <is>
          <t>SALSAS</t>
        </is>
      </c>
      <c r="E1342" s="34" t="n">
        <v>27890</v>
      </c>
      <c r="F1342" t="inlineStr">
        <is>
          <t>B</t>
        </is>
      </c>
      <c r="G1342" s="34" t="n">
        <v>4453</v>
      </c>
      <c r="H1342" s="34" t="n">
        <v>23437</v>
      </c>
      <c r="I1342" t="inlineStr">
        <is>
          <t>3.2</t>
        </is>
      </c>
      <c r="J1342" t="inlineStr">
        <is>
          <t>Ventas Personas (B2C)</t>
        </is>
      </c>
      <c r="K1342" t="inlineStr">
        <is>
          <t>CH2</t>
        </is>
      </c>
    </row>
    <row r="1343">
      <c r="A1343" s="33" t="n">
        <v>45785</v>
      </c>
      <c r="B1343" t="inlineStr">
        <is>
          <t>2025-05</t>
        </is>
      </c>
      <c r="C1343" t="inlineStr">
        <is>
          <t>LUIS DELPIANO</t>
        </is>
      </c>
      <c r="D1343" t="inlineStr">
        <is>
          <t>Rellenos</t>
        </is>
      </c>
      <c r="E1343" s="34" t="n">
        <v>35880</v>
      </c>
      <c r="F1343" t="inlineStr">
        <is>
          <t>B</t>
        </is>
      </c>
      <c r="G1343" s="34" t="n">
        <v>5729</v>
      </c>
      <c r="H1343" s="34" t="n">
        <v>30151</v>
      </c>
      <c r="I1343" t="inlineStr">
        <is>
          <t>3.2</t>
        </is>
      </c>
      <c r="J1343" t="inlineStr">
        <is>
          <t>Ventas Personas (B2C)</t>
        </is>
      </c>
      <c r="K1343" t="inlineStr">
        <is>
          <t>CH2</t>
        </is>
      </c>
    </row>
    <row r="1344">
      <c r="A1344" s="33" t="n">
        <v>45785</v>
      </c>
      <c r="B1344" t="inlineStr">
        <is>
          <t>2025-05</t>
        </is>
      </c>
      <c r="C1344" t="inlineStr">
        <is>
          <t>Patricia Letelier</t>
        </is>
      </c>
      <c r="D1344" t="inlineStr">
        <is>
          <t>SALSAS</t>
        </is>
      </c>
      <c r="E1344" s="34" t="n">
        <v>61770</v>
      </c>
      <c r="F1344" t="inlineStr">
        <is>
          <t>B</t>
        </is>
      </c>
      <c r="G1344" s="34" t="n">
        <v>9862</v>
      </c>
      <c r="H1344" s="34" t="n">
        <v>51908</v>
      </c>
      <c r="I1344" t="inlineStr">
        <is>
          <t>3.2</t>
        </is>
      </c>
      <c r="J1344" t="inlineStr">
        <is>
          <t>Ventas Personas (B2C)</t>
        </is>
      </c>
      <c r="K1344" t="inlineStr">
        <is>
          <t>CH2</t>
        </is>
      </c>
    </row>
    <row r="1345">
      <c r="A1345" s="33" t="n">
        <v>45786</v>
      </c>
      <c r="B1345" t="inlineStr">
        <is>
          <t>2025-05</t>
        </is>
      </c>
      <c r="C1345" t="inlineStr">
        <is>
          <t>Monica Lagos Charme</t>
        </is>
      </c>
      <c r="D1345" t="inlineStr">
        <is>
          <t>Petit Tradicional</t>
        </is>
      </c>
      <c r="E1345" s="34" t="n">
        <v>30900</v>
      </c>
      <c r="F1345" t="inlineStr">
        <is>
          <t>B</t>
        </is>
      </c>
      <c r="G1345" s="34" t="n">
        <v>4934</v>
      </c>
      <c r="H1345" s="34" t="n">
        <v>25966</v>
      </c>
      <c r="I1345" t="inlineStr">
        <is>
          <t>3.2</t>
        </is>
      </c>
      <c r="J1345" t="inlineStr">
        <is>
          <t>Ventas Personas (B2C)</t>
        </is>
      </c>
      <c r="K1345" t="inlineStr">
        <is>
          <t>CH2</t>
        </is>
      </c>
    </row>
    <row r="1346">
      <c r="A1346" s="33" t="n">
        <v>45786</v>
      </c>
      <c r="B1346" t="inlineStr">
        <is>
          <t>2025-05</t>
        </is>
      </c>
      <c r="C1346" t="inlineStr">
        <is>
          <t>Carolina Molina</t>
        </is>
      </c>
      <c r="D1346" t="inlineStr">
        <is>
          <t>CANELÉ TRADICIONAL</t>
        </is>
      </c>
      <c r="E1346" s="34" t="n">
        <v>26400</v>
      </c>
      <c r="F1346" t="inlineStr">
        <is>
          <t>B</t>
        </is>
      </c>
      <c r="G1346" s="34" t="n">
        <v>4215</v>
      </c>
      <c r="H1346" s="34" t="n">
        <v>22185</v>
      </c>
      <c r="I1346" t="inlineStr">
        <is>
          <t>3.2</t>
        </is>
      </c>
      <c r="J1346" t="inlineStr">
        <is>
          <t>Ventas Personas (B2C)</t>
        </is>
      </c>
      <c r="K1346" t="inlineStr">
        <is>
          <t>CH2</t>
        </is>
      </c>
    </row>
    <row r="1347">
      <c r="A1347" s="33" t="n">
        <v>45786</v>
      </c>
      <c r="B1347" t="inlineStr">
        <is>
          <t>2025-05</t>
        </is>
      </c>
      <c r="C1347" t="inlineStr">
        <is>
          <t>NAncy Lu</t>
        </is>
      </c>
      <c r="D1347" t="inlineStr">
        <is>
          <t>CANELÉ TRADICIONAL</t>
        </is>
      </c>
      <c r="E1347" s="34" t="n">
        <v>46909</v>
      </c>
      <c r="F1347" t="inlineStr">
        <is>
          <t>B</t>
        </is>
      </c>
      <c r="G1347" s="34" t="n">
        <v>7490</v>
      </c>
      <c r="H1347" s="34" t="n">
        <v>39419</v>
      </c>
      <c r="I1347" t="inlineStr">
        <is>
          <t>3.2</t>
        </is>
      </c>
      <c r="J1347" t="inlineStr">
        <is>
          <t>Ventas Personas (B2C)</t>
        </is>
      </c>
      <c r="K1347" t="inlineStr">
        <is>
          <t>CH2</t>
        </is>
      </c>
    </row>
    <row r="1348">
      <c r="A1348" s="33" t="n">
        <v>45786</v>
      </c>
      <c r="B1348" t="inlineStr">
        <is>
          <t>2025-05</t>
        </is>
      </c>
      <c r="C1348" t="inlineStr">
        <is>
          <t>Pamela Busch</t>
        </is>
      </c>
      <c r="D1348" t="inlineStr">
        <is>
          <t>Petit Crunchy</t>
        </is>
      </c>
      <c r="E1348" s="34" t="n">
        <v>17889</v>
      </c>
      <c r="F1348" t="inlineStr">
        <is>
          <t>B</t>
        </is>
      </c>
      <c r="G1348" s="34" t="n">
        <v>2856</v>
      </c>
      <c r="H1348" s="34" t="n">
        <v>15033</v>
      </c>
      <c r="I1348" t="inlineStr">
        <is>
          <t>3.2</t>
        </is>
      </c>
      <c r="J1348" t="inlineStr">
        <is>
          <t>Ventas Personas (B2C)</t>
        </is>
      </c>
      <c r="K1348" t="inlineStr">
        <is>
          <t>CH2</t>
        </is>
      </c>
    </row>
    <row r="1349">
      <c r="A1349" s="33" t="n">
        <v>45786</v>
      </c>
      <c r="B1349" t="inlineStr">
        <is>
          <t>2025-05</t>
        </is>
      </c>
      <c r="C1349" t="inlineStr">
        <is>
          <t>Benjamin Bulnes Leon</t>
        </is>
      </c>
      <c r="D1349" t="inlineStr">
        <is>
          <t>Petit Crunchy</t>
        </is>
      </c>
      <c r="E1349" s="34" t="n">
        <v>32790</v>
      </c>
      <c r="F1349" t="inlineStr">
        <is>
          <t>B</t>
        </is>
      </c>
      <c r="G1349" s="34" t="n">
        <v>5235</v>
      </c>
      <c r="H1349" s="34" t="n">
        <v>27555</v>
      </c>
      <c r="I1349" t="inlineStr">
        <is>
          <t>3.2</t>
        </is>
      </c>
      <c r="J1349" t="inlineStr">
        <is>
          <t>Ventas Personas (B2C)</t>
        </is>
      </c>
      <c r="K1349" t="inlineStr">
        <is>
          <t>CH2</t>
        </is>
      </c>
    </row>
    <row r="1350">
      <c r="A1350" s="33" t="n">
        <v>45786</v>
      </c>
      <c r="B1350" t="inlineStr">
        <is>
          <t>2025-05</t>
        </is>
      </c>
      <c r="C1350" t="inlineStr">
        <is>
          <t>DIEGO VARGAS BANQUETERIA Y EVENTOS SPA</t>
        </is>
      </c>
      <c r="D1350" t="inlineStr">
        <is>
          <t>HORECA CATERING</t>
        </is>
      </c>
      <c r="E1350" s="34" t="n">
        <v>104066</v>
      </c>
      <c r="F1350" t="inlineStr">
        <is>
          <t>F</t>
        </is>
      </c>
      <c r="G1350" s="34" t="n">
        <v>16616</v>
      </c>
      <c r="H1350" s="34" t="n">
        <v>87450</v>
      </c>
      <c r="I1350" t="inlineStr">
        <is>
          <t>3.1</t>
        </is>
      </c>
      <c r="J1350" t="inlineStr">
        <is>
          <t>Ventas HoReCa</t>
        </is>
      </c>
      <c r="K1350" t="inlineStr">
        <is>
          <t>CH1</t>
        </is>
      </c>
    </row>
    <row r="1351">
      <c r="A1351" s="33" t="n">
        <v>45786</v>
      </c>
      <c r="B1351" t="inlineStr">
        <is>
          <t>2025-05</t>
        </is>
      </c>
      <c r="C1351" t="inlineStr">
        <is>
          <t>CAFE DIARIO ENCOMENDEROS SPA</t>
        </is>
      </c>
      <c r="D1351" t="inlineStr">
        <is>
          <t>HORECA CAFETERIA</t>
        </is>
      </c>
      <c r="E1351" s="34" t="n">
        <v>82830</v>
      </c>
      <c r="F1351" t="inlineStr">
        <is>
          <t>F</t>
        </is>
      </c>
      <c r="G1351" s="34" t="n">
        <v>13225</v>
      </c>
      <c r="H1351" s="34" t="n">
        <v>69605</v>
      </c>
      <c r="I1351" t="inlineStr">
        <is>
          <t>3.1</t>
        </is>
      </c>
      <c r="J1351" t="inlineStr">
        <is>
          <t>Ventas HoReCa</t>
        </is>
      </c>
      <c r="K1351" t="inlineStr">
        <is>
          <t>CH1</t>
        </is>
      </c>
    </row>
    <row r="1352">
      <c r="A1352" s="33" t="n">
        <v>45786</v>
      </c>
      <c r="B1352" t="inlineStr">
        <is>
          <t>2025-05</t>
        </is>
      </c>
      <c r="C1352" t="inlineStr">
        <is>
          <t>CAFE DIARIO ENCOMENDEROS SPA</t>
        </is>
      </c>
      <c r="D1352" t="inlineStr">
        <is>
          <t>HORECA CAFETERIA</t>
        </is>
      </c>
      <c r="E1352" s="34" t="n">
        <v>29988</v>
      </c>
      <c r="F1352" t="inlineStr">
        <is>
          <t>F</t>
        </is>
      </c>
      <c r="G1352" s="34" t="n">
        <v>4788</v>
      </c>
      <c r="H1352" s="34" t="n">
        <v>25200</v>
      </c>
      <c r="I1352" t="inlineStr">
        <is>
          <t>3.1</t>
        </is>
      </c>
      <c r="J1352" t="inlineStr">
        <is>
          <t>Ventas HoReCa</t>
        </is>
      </c>
      <c r="K1352" t="inlineStr">
        <is>
          <t>CH1</t>
        </is>
      </c>
    </row>
    <row r="1353">
      <c r="A1353" s="33" t="n">
        <v>45786</v>
      </c>
      <c r="B1353" t="inlineStr">
        <is>
          <t>2025-05</t>
        </is>
      </c>
      <c r="C1353" t="inlineStr">
        <is>
          <t>Better Food Spa</t>
        </is>
      </c>
      <c r="D1353" t="inlineStr">
        <is>
          <t>HORECA CAFETERIA</t>
        </is>
      </c>
      <c r="E1353" s="34" t="n">
        <v>179928</v>
      </c>
      <c r="F1353" t="inlineStr">
        <is>
          <t>F</t>
        </is>
      </c>
      <c r="G1353" s="34" t="n">
        <v>28728</v>
      </c>
      <c r="H1353" s="34" t="n">
        <v>151200</v>
      </c>
      <c r="I1353" t="inlineStr">
        <is>
          <t>3.1</t>
        </is>
      </c>
      <c r="J1353" t="inlineStr">
        <is>
          <t>Ventas HoReCa</t>
        </is>
      </c>
      <c r="K1353" t="inlineStr">
        <is>
          <t>CH1</t>
        </is>
      </c>
    </row>
    <row r="1354">
      <c r="A1354" s="33" t="n">
        <v>45786</v>
      </c>
      <c r="B1354" t="inlineStr">
        <is>
          <t>2025-05</t>
        </is>
      </c>
      <c r="C1354" t="inlineStr">
        <is>
          <t>POMPON SPA</t>
        </is>
      </c>
      <c r="D1354" t="inlineStr">
        <is>
          <t>HORECA CAFETERIA</t>
        </is>
      </c>
      <c r="E1354" s="34" t="n">
        <v>220150</v>
      </c>
      <c r="F1354" t="inlineStr">
        <is>
          <t>F</t>
        </is>
      </c>
      <c r="G1354" s="34" t="n">
        <v>35150</v>
      </c>
      <c r="H1354" s="34" t="n">
        <v>185000</v>
      </c>
      <c r="I1354" t="inlineStr">
        <is>
          <t>3.1</t>
        </is>
      </c>
      <c r="J1354" t="inlineStr">
        <is>
          <t>Ventas HoReCa</t>
        </is>
      </c>
      <c r="K1354" t="inlineStr">
        <is>
          <t>CH1</t>
        </is>
      </c>
    </row>
    <row r="1355">
      <c r="A1355" s="33" t="n">
        <v>45786</v>
      </c>
      <c r="B1355" t="inlineStr">
        <is>
          <t>2025-05</t>
        </is>
      </c>
      <c r="C1355" t="inlineStr">
        <is>
          <t>VILAS BANQUETERIAS SPA</t>
        </is>
      </c>
      <c r="D1355" t="inlineStr">
        <is>
          <t>HORECA CATERING</t>
        </is>
      </c>
      <c r="E1355" s="34" t="n">
        <v>103066</v>
      </c>
      <c r="F1355" t="inlineStr">
        <is>
          <t>F</t>
        </is>
      </c>
      <c r="G1355" s="34" t="n">
        <v>16456</v>
      </c>
      <c r="H1355" s="34" t="n">
        <v>86610</v>
      </c>
      <c r="I1355" t="inlineStr">
        <is>
          <t>3.1</t>
        </is>
      </c>
      <c r="J1355" t="inlineStr">
        <is>
          <t>Ventas HoReCa</t>
        </is>
      </c>
      <c r="K1355" t="inlineStr">
        <is>
          <t>CH1</t>
        </is>
      </c>
    </row>
    <row r="1356">
      <c r="A1356" s="33" t="n">
        <v>45786</v>
      </c>
      <c r="B1356" t="inlineStr">
        <is>
          <t>2025-05</t>
        </is>
      </c>
      <c r="C1356" t="inlineStr">
        <is>
          <t>Camila Ordenes Huanca</t>
        </is>
      </c>
      <c r="D1356" t="inlineStr">
        <is>
          <t>REGION METROPOLITANA</t>
        </is>
      </c>
      <c r="E1356" s="34" t="n">
        <v>4990</v>
      </c>
      <c r="F1356" t="inlineStr">
        <is>
          <t>B</t>
        </is>
      </c>
      <c r="G1356" s="34" t="n">
        <v>797</v>
      </c>
      <c r="H1356" s="34" t="n">
        <v>4193</v>
      </c>
      <c r="I1356" t="inlineStr">
        <is>
          <t>3.2</t>
        </is>
      </c>
      <c r="J1356" t="inlineStr">
        <is>
          <t>Ventas Personas (B2C)</t>
        </is>
      </c>
      <c r="K1356" t="inlineStr">
        <is>
          <t>CH2</t>
        </is>
      </c>
    </row>
    <row r="1357">
      <c r="A1357" s="33" t="n">
        <v>45786</v>
      </c>
      <c r="B1357" t="inlineStr">
        <is>
          <t>2025-05</t>
        </is>
      </c>
      <c r="C1357" t="inlineStr">
        <is>
          <t>Carolina Arbieto</t>
        </is>
      </c>
      <c r="D1357" t="inlineStr">
        <is>
          <t>Petit Crunchy</t>
        </is>
      </c>
      <c r="E1357" s="34" t="n">
        <v>17889</v>
      </c>
      <c r="F1357" t="inlineStr">
        <is>
          <t>B</t>
        </is>
      </c>
      <c r="G1357" s="34" t="n">
        <v>2856</v>
      </c>
      <c r="H1357" s="34" t="n">
        <v>15033</v>
      </c>
      <c r="I1357" t="inlineStr">
        <is>
          <t>3.2</t>
        </is>
      </c>
      <c r="J1357" t="inlineStr">
        <is>
          <t>Ventas Personas (B2C)</t>
        </is>
      </c>
      <c r="K1357" t="inlineStr">
        <is>
          <t>CH2</t>
        </is>
      </c>
    </row>
    <row r="1358">
      <c r="A1358" s="33" t="n">
        <v>45786</v>
      </c>
      <c r="B1358" t="inlineStr">
        <is>
          <t>2025-05</t>
        </is>
      </c>
      <c r="C1358" t="inlineStr">
        <is>
          <t>Arely Tellez</t>
        </is>
      </c>
      <c r="D1358" t="inlineStr">
        <is>
          <t>CANELÉ TRADICIONAL</t>
        </is>
      </c>
      <c r="E1358" s="34" t="n">
        <v>30890</v>
      </c>
      <c r="F1358" t="inlineStr">
        <is>
          <t>B</t>
        </is>
      </c>
      <c r="G1358" s="34" t="n">
        <v>4932</v>
      </c>
      <c r="H1358" s="34" t="n">
        <v>25958</v>
      </c>
      <c r="I1358" t="inlineStr">
        <is>
          <t>3.2</t>
        </is>
      </c>
      <c r="J1358" t="inlineStr">
        <is>
          <t>Ventas Personas (B2C)</t>
        </is>
      </c>
      <c r="K1358" t="inlineStr">
        <is>
          <t>CH2</t>
        </is>
      </c>
    </row>
    <row r="1359">
      <c r="A1359" s="33" t="n">
        <v>45786</v>
      </c>
      <c r="B1359" t="inlineStr">
        <is>
          <t>2025-05</t>
        </is>
      </c>
      <c r="C1359" t="inlineStr">
        <is>
          <t>Antonia Diaz</t>
        </is>
      </c>
      <c r="D1359" t="inlineStr">
        <is>
          <t>Petit Crunchy</t>
        </is>
      </c>
      <c r="E1359" s="34" t="n">
        <v>18890</v>
      </c>
      <c r="F1359" t="inlineStr">
        <is>
          <t>B</t>
        </is>
      </c>
      <c r="G1359" s="34" t="n">
        <v>3016</v>
      </c>
      <c r="H1359" s="34" t="n">
        <v>15874</v>
      </c>
      <c r="I1359" t="inlineStr">
        <is>
          <t>3.2</t>
        </is>
      </c>
      <c r="J1359" t="inlineStr">
        <is>
          <t>Ventas Personas (B2C)</t>
        </is>
      </c>
      <c r="K1359" t="inlineStr">
        <is>
          <t>CH2</t>
        </is>
      </c>
    </row>
    <row r="1360">
      <c r="A1360" s="33" t="n">
        <v>45786</v>
      </c>
      <c r="B1360" t="inlineStr">
        <is>
          <t>2025-05</t>
        </is>
      </c>
      <c r="C1360" t="inlineStr">
        <is>
          <t>Camila Muñoz</t>
        </is>
      </c>
      <c r="D1360" t="inlineStr">
        <is>
          <t>CANELÉ TRADICIONAL</t>
        </is>
      </c>
      <c r="E1360" s="34" t="n">
        <v>25890</v>
      </c>
      <c r="F1360" t="inlineStr">
        <is>
          <t>B</t>
        </is>
      </c>
      <c r="G1360" s="34" t="n">
        <v>4134</v>
      </c>
      <c r="H1360" s="34" t="n">
        <v>21756</v>
      </c>
      <c r="I1360" t="inlineStr">
        <is>
          <t>3.2</t>
        </is>
      </c>
      <c r="J1360" t="inlineStr">
        <is>
          <t>Ventas Personas (B2C)</t>
        </is>
      </c>
      <c r="K1360" t="inlineStr">
        <is>
          <t>CH2</t>
        </is>
      </c>
    </row>
    <row r="1361">
      <c r="A1361" s="33" t="n">
        <v>45786</v>
      </c>
      <c r="B1361" t="inlineStr">
        <is>
          <t>2025-05</t>
        </is>
      </c>
      <c r="C1361" t="inlineStr">
        <is>
          <t>Lulu Kuo</t>
        </is>
      </c>
      <c r="D1361" t="inlineStr">
        <is>
          <t>Petit Tradicional</t>
        </is>
      </c>
      <c r="E1361" s="34" t="n">
        <v>24120</v>
      </c>
      <c r="F1361" t="inlineStr">
        <is>
          <t>B</t>
        </is>
      </c>
      <c r="G1361" s="34" t="n">
        <v>3851</v>
      </c>
      <c r="H1361" s="34" t="n">
        <v>20269</v>
      </c>
      <c r="I1361" t="inlineStr">
        <is>
          <t>3.2</t>
        </is>
      </c>
      <c r="J1361" t="inlineStr">
        <is>
          <t>Ventas Personas (B2C)</t>
        </is>
      </c>
      <c r="K1361" t="inlineStr">
        <is>
          <t>CH2</t>
        </is>
      </c>
    </row>
    <row r="1362">
      <c r="A1362" s="33" t="n">
        <v>45786</v>
      </c>
      <c r="B1362" t="inlineStr">
        <is>
          <t>2025-05</t>
        </is>
      </c>
      <c r="C1362" t="inlineStr">
        <is>
          <t>Daniela Aguilar</t>
        </is>
      </c>
      <c r="D1362" t="inlineStr">
        <is>
          <t>Petit Tradicional</t>
        </is>
      </c>
      <c r="E1362" s="34" t="n">
        <v>55739</v>
      </c>
      <c r="F1362" t="inlineStr">
        <is>
          <t>B</t>
        </is>
      </c>
      <c r="G1362" s="34" t="n">
        <v>8900</v>
      </c>
      <c r="H1362" s="34" t="n">
        <v>46839</v>
      </c>
      <c r="I1362" t="inlineStr">
        <is>
          <t>3.2</t>
        </is>
      </c>
      <c r="J1362" t="inlineStr">
        <is>
          <t>Ventas Personas (B2C)</t>
        </is>
      </c>
      <c r="K1362" t="inlineStr">
        <is>
          <t>CH2</t>
        </is>
      </c>
    </row>
    <row r="1363">
      <c r="A1363" s="33" t="n">
        <v>45786</v>
      </c>
      <c r="B1363" t="inlineStr">
        <is>
          <t>2025-05</t>
        </is>
      </c>
      <c r="C1363" t="inlineStr">
        <is>
          <t>Alismar Alvarez Arias</t>
        </is>
      </c>
      <c r="D1363" t="inlineStr">
        <is>
          <t>CANELE SIN AZUCAR</t>
        </is>
      </c>
      <c r="E1363" s="34" t="n">
        <v>21890</v>
      </c>
      <c r="F1363" t="inlineStr">
        <is>
          <t>B</t>
        </is>
      </c>
      <c r="G1363" s="34" t="n">
        <v>3495</v>
      </c>
      <c r="H1363" s="34" t="n">
        <v>18395</v>
      </c>
      <c r="I1363" t="inlineStr">
        <is>
          <t>3.2</t>
        </is>
      </c>
      <c r="J1363" t="inlineStr">
        <is>
          <t>Ventas Personas (B2C)</t>
        </is>
      </c>
      <c r="K1363" t="inlineStr">
        <is>
          <t>CH2</t>
        </is>
      </c>
    </row>
    <row r="1364">
      <c r="A1364" s="33" t="n">
        <v>45786</v>
      </c>
      <c r="B1364" t="inlineStr">
        <is>
          <t>2025-05</t>
        </is>
      </c>
      <c r="C1364" t="inlineStr">
        <is>
          <t>Victor  Badillo</t>
        </is>
      </c>
      <c r="D1364" t="inlineStr">
        <is>
          <t>CANELÉ TRADICIONAL</t>
        </is>
      </c>
      <c r="E1364" s="34" t="n">
        <v>67050</v>
      </c>
      <c r="F1364" t="inlineStr">
        <is>
          <t>B</t>
        </is>
      </c>
      <c r="G1364" s="34" t="n">
        <v>10705</v>
      </c>
      <c r="H1364" s="34" t="n">
        <v>56345</v>
      </c>
      <c r="I1364" t="inlineStr">
        <is>
          <t>3.2</t>
        </is>
      </c>
      <c r="J1364" t="inlineStr">
        <is>
          <t>Ventas Personas (B2C)</t>
        </is>
      </c>
      <c r="K1364" t="inlineStr">
        <is>
          <t>CH2</t>
        </is>
      </c>
    </row>
    <row r="1365">
      <c r="A1365" s="33" t="n">
        <v>45786</v>
      </c>
      <c r="B1365" t="inlineStr">
        <is>
          <t>2025-05</t>
        </is>
      </c>
      <c r="C1365" t="inlineStr">
        <is>
          <t>felipe diban</t>
        </is>
      </c>
      <c r="D1365" t="inlineStr">
        <is>
          <t>Petit Tradicional</t>
        </is>
      </c>
      <c r="E1365" s="34" t="n">
        <v>20900</v>
      </c>
      <c r="F1365" t="inlineStr">
        <is>
          <t>B</t>
        </is>
      </c>
      <c r="G1365" s="34" t="n">
        <v>3337</v>
      </c>
      <c r="H1365" s="34" t="n">
        <v>17563</v>
      </c>
      <c r="I1365" t="inlineStr">
        <is>
          <t>3.2</t>
        </is>
      </c>
      <c r="J1365" t="inlineStr">
        <is>
          <t>Ventas Personas (B2C)</t>
        </is>
      </c>
      <c r="K1365" t="inlineStr">
        <is>
          <t>CH2</t>
        </is>
      </c>
    </row>
    <row r="1366">
      <c r="A1366" s="33" t="n">
        <v>45786</v>
      </c>
      <c r="B1366" t="inlineStr">
        <is>
          <t>2025-05</t>
        </is>
      </c>
      <c r="C1366" t="inlineStr">
        <is>
          <t>Claudio Gómez</t>
        </is>
      </c>
      <c r="D1366" t="inlineStr">
        <is>
          <t>Petit Tradicional</t>
        </is>
      </c>
      <c r="E1366" s="34" t="n">
        <v>11400</v>
      </c>
      <c r="F1366" t="inlineStr">
        <is>
          <t>B</t>
        </is>
      </c>
      <c r="G1366" s="34" t="n">
        <v>1820</v>
      </c>
      <c r="H1366" s="34" t="n">
        <v>9580</v>
      </c>
      <c r="I1366" t="inlineStr">
        <is>
          <t>3.2</t>
        </is>
      </c>
      <c r="J1366" t="inlineStr">
        <is>
          <t>Ventas Personas (B2C)</t>
        </is>
      </c>
      <c r="K1366" t="inlineStr">
        <is>
          <t>CH2</t>
        </is>
      </c>
    </row>
    <row r="1367">
      <c r="A1367" s="33" t="n">
        <v>45786</v>
      </c>
      <c r="B1367" t="inlineStr">
        <is>
          <t>2025-05</t>
        </is>
      </c>
      <c r="C1367" t="inlineStr">
        <is>
          <t>paola Nadal</t>
        </is>
      </c>
      <c r="D1367" t="inlineStr">
        <is>
          <t>CANELÉ TRADICIONAL</t>
        </is>
      </c>
      <c r="E1367" s="34" t="n">
        <v>14900</v>
      </c>
      <c r="F1367" t="inlineStr">
        <is>
          <t>B</t>
        </is>
      </c>
      <c r="G1367" s="34" t="n">
        <v>2379</v>
      </c>
      <c r="H1367" s="34" t="n">
        <v>12521</v>
      </c>
      <c r="I1367" t="inlineStr">
        <is>
          <t>3.2</t>
        </is>
      </c>
      <c r="J1367" t="inlineStr">
        <is>
          <t>Ventas Personas (B2C)</t>
        </is>
      </c>
      <c r="K1367" t="inlineStr">
        <is>
          <t>CH2</t>
        </is>
      </c>
    </row>
    <row r="1368">
      <c r="A1368" s="33" t="n">
        <v>45786</v>
      </c>
      <c r="B1368" t="inlineStr">
        <is>
          <t>2025-05</t>
        </is>
      </c>
      <c r="C1368" t="inlineStr">
        <is>
          <t>paola Nadal</t>
        </is>
      </c>
      <c r="D1368" t="inlineStr">
        <is>
          <t>Petit Tradicional</t>
        </is>
      </c>
      <c r="E1368" s="34" t="n">
        <v>8900</v>
      </c>
      <c r="F1368" t="inlineStr">
        <is>
          <t>B</t>
        </is>
      </c>
      <c r="G1368" s="34" t="n">
        <v>1421</v>
      </c>
      <c r="H1368" s="34" t="n">
        <v>7479</v>
      </c>
      <c r="I1368" t="inlineStr">
        <is>
          <t>3.2</t>
        </is>
      </c>
      <c r="J1368" t="inlineStr">
        <is>
          <t>Ventas Personas (B2C)</t>
        </is>
      </c>
      <c r="K1368" t="inlineStr">
        <is>
          <t>CH2</t>
        </is>
      </c>
    </row>
    <row r="1369">
      <c r="A1369" s="33" t="n">
        <v>45786</v>
      </c>
      <c r="B1369" t="inlineStr">
        <is>
          <t>2025-05</t>
        </is>
      </c>
      <c r="C1369" t="inlineStr">
        <is>
          <t>GUSTAVO MORENO</t>
        </is>
      </c>
      <c r="D1369" t="inlineStr">
        <is>
          <t>CANELÉ TRADICIONAL</t>
        </is>
      </c>
      <c r="E1369" s="34" t="n">
        <v>14900</v>
      </c>
      <c r="F1369" t="inlineStr">
        <is>
          <t>B</t>
        </is>
      </c>
      <c r="G1369" s="34" t="n">
        <v>2379</v>
      </c>
      <c r="H1369" s="34" t="n">
        <v>12521</v>
      </c>
      <c r="I1369" t="inlineStr">
        <is>
          <t>3.2</t>
        </is>
      </c>
      <c r="J1369" t="inlineStr">
        <is>
          <t>Ventas Personas (B2C)</t>
        </is>
      </c>
      <c r="K1369" t="inlineStr">
        <is>
          <t>CH2</t>
        </is>
      </c>
    </row>
    <row r="1370">
      <c r="A1370" s="33" t="n">
        <v>45786</v>
      </c>
      <c r="B1370" t="inlineStr">
        <is>
          <t>2025-05</t>
        </is>
      </c>
      <c r="C1370" t="inlineStr">
        <is>
          <t>Liliana Guerra</t>
        </is>
      </c>
      <c r="D1370" t="inlineStr">
        <is>
          <t>CANELÉ TRADICIONAL</t>
        </is>
      </c>
      <c r="E1370" s="34" t="n">
        <v>33890</v>
      </c>
      <c r="F1370" t="inlineStr">
        <is>
          <t>B</t>
        </is>
      </c>
      <c r="G1370" s="34" t="n">
        <v>5411</v>
      </c>
      <c r="H1370" s="34" t="n">
        <v>28479</v>
      </c>
      <c r="I1370" t="inlineStr">
        <is>
          <t>3.2</t>
        </is>
      </c>
      <c r="J1370" t="inlineStr">
        <is>
          <t>Ventas Personas (B2C)</t>
        </is>
      </c>
      <c r="K1370" t="inlineStr">
        <is>
          <t>CH2</t>
        </is>
      </c>
    </row>
    <row r="1371">
      <c r="A1371" s="33" t="n">
        <v>45786</v>
      </c>
      <c r="B1371" t="inlineStr">
        <is>
          <t>2025-05</t>
        </is>
      </c>
      <c r="C1371" t="inlineStr">
        <is>
          <t>Felipe Reyes M.</t>
        </is>
      </c>
      <c r="D1371" t="inlineStr">
        <is>
          <t>Petit Crunchy</t>
        </is>
      </c>
      <c r="E1371" s="34" t="n">
        <v>39635</v>
      </c>
      <c r="F1371" t="inlineStr">
        <is>
          <t>B</t>
        </is>
      </c>
      <c r="G1371" s="34" t="n">
        <v>6328</v>
      </c>
      <c r="H1371" s="34" t="n">
        <v>33307</v>
      </c>
      <c r="I1371" t="inlineStr">
        <is>
          <t>3.2</t>
        </is>
      </c>
      <c r="J1371" t="inlineStr">
        <is>
          <t>Ventas Personas (B2C)</t>
        </is>
      </c>
      <c r="K1371" t="inlineStr">
        <is>
          <t>CH2</t>
        </is>
      </c>
    </row>
    <row r="1372">
      <c r="A1372" s="33" t="n">
        <v>45786</v>
      </c>
      <c r="B1372" t="inlineStr">
        <is>
          <t>2025-05</t>
        </is>
      </c>
      <c r="C1372" t="inlineStr">
        <is>
          <t>María Ossandón</t>
        </is>
      </c>
      <c r="D1372" t="inlineStr">
        <is>
          <t>Petit Tradicional</t>
        </is>
      </c>
      <c r="E1372" s="34" t="n">
        <v>24880</v>
      </c>
      <c r="F1372" t="inlineStr">
        <is>
          <t>B</t>
        </is>
      </c>
      <c r="G1372" s="34" t="n">
        <v>3972</v>
      </c>
      <c r="H1372" s="34" t="n">
        <v>20908</v>
      </c>
      <c r="I1372" t="inlineStr">
        <is>
          <t>3.2</t>
        </is>
      </c>
      <c r="J1372" t="inlineStr">
        <is>
          <t>Ventas Personas (B2C)</t>
        </is>
      </c>
      <c r="K1372" t="inlineStr">
        <is>
          <t>CH2</t>
        </is>
      </c>
    </row>
    <row r="1373">
      <c r="A1373" s="33" t="n">
        <v>45786</v>
      </c>
      <c r="B1373" t="inlineStr">
        <is>
          <t>2025-05</t>
        </is>
      </c>
      <c r="C1373" t="inlineStr">
        <is>
          <t>Alejandra Marin</t>
        </is>
      </c>
      <c r="D1373" t="inlineStr">
        <is>
          <t>Petit Crunchy</t>
        </is>
      </c>
      <c r="E1373" s="34" t="n">
        <v>41700</v>
      </c>
      <c r="F1373" t="inlineStr">
        <is>
          <t>B</t>
        </is>
      </c>
      <c r="G1373" s="34" t="n">
        <v>6658</v>
      </c>
      <c r="H1373" s="34" t="n">
        <v>35042</v>
      </c>
      <c r="I1373" t="inlineStr">
        <is>
          <t>3.2</t>
        </is>
      </c>
      <c r="J1373" t="inlineStr">
        <is>
          <t>Ventas Personas (B2C)</t>
        </is>
      </c>
      <c r="K1373" t="inlineStr">
        <is>
          <t>CH2</t>
        </is>
      </c>
    </row>
    <row r="1374">
      <c r="A1374" s="33" t="n">
        <v>45786</v>
      </c>
      <c r="B1374" t="inlineStr">
        <is>
          <t>2025-05</t>
        </is>
      </c>
      <c r="C1374" t="inlineStr">
        <is>
          <t>Andrés Stocker</t>
        </is>
      </c>
      <c r="D1374" t="inlineStr">
        <is>
          <t>CANELÉ TRADICIONAL</t>
        </is>
      </c>
      <c r="E1374" s="34" t="n">
        <v>18890</v>
      </c>
      <c r="F1374" t="inlineStr">
        <is>
          <t>B</t>
        </is>
      </c>
      <c r="G1374" s="34" t="n">
        <v>3016</v>
      </c>
      <c r="H1374" s="34" t="n">
        <v>15874</v>
      </c>
      <c r="I1374" t="inlineStr">
        <is>
          <t>3.2</t>
        </is>
      </c>
      <c r="J1374" t="inlineStr">
        <is>
          <t>Ventas Personas (B2C)</t>
        </is>
      </c>
      <c r="K1374" t="inlineStr">
        <is>
          <t>CH2</t>
        </is>
      </c>
    </row>
    <row r="1375">
      <c r="A1375" s="33" t="n">
        <v>45786</v>
      </c>
      <c r="B1375" t="inlineStr">
        <is>
          <t>2025-05</t>
        </is>
      </c>
      <c r="C1375" t="inlineStr">
        <is>
          <t>Maria Fernanda Sáez</t>
        </is>
      </c>
      <c r="D1375" t="inlineStr">
        <is>
          <t>CANELÉ TRADICIONAL</t>
        </is>
      </c>
      <c r="E1375" s="34" t="n">
        <v>35790</v>
      </c>
      <c r="F1375" t="inlineStr">
        <is>
          <t>B</t>
        </is>
      </c>
      <c r="G1375" s="34" t="n">
        <v>5714</v>
      </c>
      <c r="H1375" s="34" t="n">
        <v>30076</v>
      </c>
      <c r="I1375" t="inlineStr">
        <is>
          <t>3.2</t>
        </is>
      </c>
      <c r="J1375" t="inlineStr">
        <is>
          <t>Ventas Personas (B2C)</t>
        </is>
      </c>
      <c r="K1375" t="inlineStr">
        <is>
          <t>CH2</t>
        </is>
      </c>
    </row>
    <row r="1376">
      <c r="A1376" s="33" t="n">
        <v>45786</v>
      </c>
      <c r="B1376" t="inlineStr">
        <is>
          <t>2025-05</t>
        </is>
      </c>
      <c r="C1376" t="inlineStr">
        <is>
          <t>Daniela Traub</t>
        </is>
      </c>
      <c r="D1376" t="inlineStr">
        <is>
          <t>Mix Sabores</t>
        </is>
      </c>
      <c r="E1376" s="34" t="n">
        <v>30390</v>
      </c>
      <c r="F1376" t="inlineStr">
        <is>
          <t>B</t>
        </is>
      </c>
      <c r="G1376" s="34" t="n">
        <v>4852</v>
      </c>
      <c r="H1376" s="34" t="n">
        <v>25538</v>
      </c>
      <c r="I1376" t="inlineStr">
        <is>
          <t>3.2</t>
        </is>
      </c>
      <c r="J1376" t="inlineStr">
        <is>
          <t>Ventas Personas (B2C)</t>
        </is>
      </c>
      <c r="K1376" t="inlineStr">
        <is>
          <t>CH2</t>
        </is>
      </c>
    </row>
    <row r="1377">
      <c r="A1377" s="33" t="n">
        <v>45786</v>
      </c>
      <c r="B1377" t="inlineStr">
        <is>
          <t>2025-05</t>
        </is>
      </c>
      <c r="C1377" t="inlineStr">
        <is>
          <t>Francesca Notari</t>
        </is>
      </c>
      <c r="D1377" t="inlineStr">
        <is>
          <t>Petit Tradicional</t>
        </is>
      </c>
      <c r="E1377" s="34" t="n">
        <v>30255</v>
      </c>
      <c r="F1377" t="inlineStr">
        <is>
          <t>B</t>
        </is>
      </c>
      <c r="G1377" s="34" t="n">
        <v>4831</v>
      </c>
      <c r="H1377" s="34" t="n">
        <v>25424</v>
      </c>
      <c r="I1377" t="inlineStr">
        <is>
          <t>3.2</t>
        </is>
      </c>
      <c r="J1377" t="inlineStr">
        <is>
          <t>Ventas Personas (B2C)</t>
        </is>
      </c>
      <c r="K1377" t="inlineStr">
        <is>
          <t>CH2</t>
        </is>
      </c>
    </row>
    <row r="1378">
      <c r="A1378" s="33" t="n">
        <v>45786</v>
      </c>
      <c r="B1378" t="inlineStr">
        <is>
          <t>2025-05</t>
        </is>
      </c>
      <c r="C1378" t="inlineStr">
        <is>
          <t>Sin cliente</t>
        </is>
      </c>
      <c r="D1378" t="inlineStr">
        <is>
          <t>PLATAFORMAS RAP-PEYA-UBER-GOOD</t>
        </is>
      </c>
      <c r="E1378" s="34" t="n">
        <v>25080</v>
      </c>
      <c r="F1378" t="inlineStr">
        <is>
          <t>B</t>
        </is>
      </c>
      <c r="G1378" s="34" t="n">
        <v>4004</v>
      </c>
      <c r="H1378" s="34" t="n">
        <v>21076</v>
      </c>
      <c r="I1378" t="inlineStr">
        <is>
          <t>3.6</t>
        </is>
      </c>
      <c r="J1378" t="inlineStr">
        <is>
          <t>Ventas Delivery Apps</t>
        </is>
      </c>
      <c r="K1378" t="inlineStr">
        <is>
          <t>CH3</t>
        </is>
      </c>
    </row>
    <row r="1379">
      <c r="A1379" s="33" t="n">
        <v>45787</v>
      </c>
      <c r="B1379" t="inlineStr">
        <is>
          <t>2025-05</t>
        </is>
      </c>
      <c r="C1379" t="inlineStr">
        <is>
          <t>Bastian Apellido</t>
        </is>
      </c>
      <c r="D1379" t="inlineStr">
        <is>
          <t>Petit Tradicional</t>
        </is>
      </c>
      <c r="E1379" s="34" t="n">
        <v>16890</v>
      </c>
      <c r="F1379" t="inlineStr">
        <is>
          <t>B</t>
        </is>
      </c>
      <c r="G1379" s="34" t="n">
        <v>2697</v>
      </c>
      <c r="H1379" s="34" t="n">
        <v>14193</v>
      </c>
      <c r="I1379" t="inlineStr">
        <is>
          <t>3.2</t>
        </is>
      </c>
      <c r="J1379" t="inlineStr">
        <is>
          <t>Ventas Personas (B2C)</t>
        </is>
      </c>
      <c r="K1379" t="inlineStr">
        <is>
          <t>CH2</t>
        </is>
      </c>
    </row>
    <row r="1380">
      <c r="A1380" s="33" t="n">
        <v>45787</v>
      </c>
      <c r="B1380" t="inlineStr">
        <is>
          <t>2025-05</t>
        </is>
      </c>
      <c r="C1380" t="inlineStr">
        <is>
          <t>BEMVINDO CAFE</t>
        </is>
      </c>
      <c r="D1380" t="inlineStr">
        <is>
          <t>HORECA CAFETERIA</t>
        </is>
      </c>
      <c r="E1380" s="34" t="n">
        <v>36414</v>
      </c>
      <c r="F1380" t="inlineStr">
        <is>
          <t>F</t>
        </is>
      </c>
      <c r="G1380" s="34" t="n">
        <v>5814</v>
      </c>
      <c r="H1380" s="34" t="n">
        <v>30600</v>
      </c>
      <c r="I1380" t="inlineStr">
        <is>
          <t>3.1</t>
        </is>
      </c>
      <c r="J1380" t="inlineStr">
        <is>
          <t>Ventas HoReCa</t>
        </is>
      </c>
      <c r="K1380" t="inlineStr">
        <is>
          <t>CH1</t>
        </is>
      </c>
    </row>
    <row r="1381">
      <c r="A1381" s="33" t="n">
        <v>45787</v>
      </c>
      <c r="B1381" t="inlineStr">
        <is>
          <t>2025-05</t>
        </is>
      </c>
      <c r="C1381" t="inlineStr">
        <is>
          <t>Nicolas Flores Paez</t>
        </is>
      </c>
      <c r="D1381" t="inlineStr">
        <is>
          <t>Petit Tradicional</t>
        </is>
      </c>
      <c r="E1381" s="34" t="n">
        <v>18600</v>
      </c>
      <c r="F1381" t="inlineStr">
        <is>
          <t>B</t>
        </is>
      </c>
      <c r="G1381" s="34" t="n">
        <v>2970</v>
      </c>
      <c r="H1381" s="34" t="n">
        <v>15630</v>
      </c>
      <c r="I1381" t="inlineStr">
        <is>
          <t>3.2</t>
        </is>
      </c>
      <c r="J1381" t="inlineStr">
        <is>
          <t>Ventas Personas (B2C)</t>
        </is>
      </c>
      <c r="K1381" t="inlineStr">
        <is>
          <t>CH2</t>
        </is>
      </c>
    </row>
    <row r="1382">
      <c r="A1382" s="33" t="n">
        <v>45787</v>
      </c>
      <c r="B1382" t="inlineStr">
        <is>
          <t>2025-05</t>
        </is>
      </c>
      <c r="C1382" t="inlineStr">
        <is>
          <t>Daniel Ruz</t>
        </is>
      </c>
      <c r="D1382" t="inlineStr">
        <is>
          <t>Mix Sabores</t>
        </is>
      </c>
      <c r="E1382" s="34" t="n">
        <v>59600</v>
      </c>
      <c r="F1382" t="inlineStr">
        <is>
          <t>B</t>
        </is>
      </c>
      <c r="G1382" s="34" t="n">
        <v>9516</v>
      </c>
      <c r="H1382" s="34" t="n">
        <v>50084</v>
      </c>
      <c r="I1382" t="inlineStr">
        <is>
          <t>3.2</t>
        </is>
      </c>
      <c r="J1382" t="inlineStr">
        <is>
          <t>Ventas Personas (B2C)</t>
        </is>
      </c>
      <c r="K1382" t="inlineStr">
        <is>
          <t>CH2</t>
        </is>
      </c>
    </row>
    <row r="1383">
      <c r="A1383" s="33" t="n">
        <v>45787</v>
      </c>
      <c r="B1383" t="inlineStr">
        <is>
          <t>2025-05</t>
        </is>
      </c>
      <c r="C1383" t="inlineStr">
        <is>
          <t>Pedro Lluch</t>
        </is>
      </c>
      <c r="D1383" t="inlineStr">
        <is>
          <t>PLATAFORMAS RAP-PEYA-UBER-GOOD</t>
        </is>
      </c>
      <c r="E1383" s="34" t="n">
        <v>29160</v>
      </c>
      <c r="F1383" t="inlineStr">
        <is>
          <t>B</t>
        </is>
      </c>
      <c r="G1383" s="34" t="n">
        <v>4656</v>
      </c>
      <c r="H1383" s="34" t="n">
        <v>24504</v>
      </c>
      <c r="I1383" t="inlineStr">
        <is>
          <t>3.6</t>
        </is>
      </c>
      <c r="J1383" t="inlineStr">
        <is>
          <t>Ventas Delivery Apps</t>
        </is>
      </c>
      <c r="K1383" t="inlineStr">
        <is>
          <t>CH3</t>
        </is>
      </c>
    </row>
    <row r="1384">
      <c r="A1384" s="33" t="n">
        <v>45787</v>
      </c>
      <c r="B1384" t="inlineStr">
        <is>
          <t>2025-05</t>
        </is>
      </c>
      <c r="C1384" t="inlineStr">
        <is>
          <t>Josefina Ortigosa</t>
        </is>
      </c>
      <c r="D1384" t="inlineStr">
        <is>
          <t>CANELÉ TRADICIONAL</t>
        </is>
      </c>
      <c r="E1384" s="34" t="n">
        <v>16900</v>
      </c>
      <c r="F1384" t="inlineStr">
        <is>
          <t>B</t>
        </is>
      </c>
      <c r="G1384" s="34" t="n">
        <v>2698</v>
      </c>
      <c r="H1384" s="34" t="n">
        <v>14202</v>
      </c>
      <c r="I1384" t="inlineStr">
        <is>
          <t>3.2</t>
        </is>
      </c>
      <c r="J1384" t="inlineStr">
        <is>
          <t>Ventas Personas (B2C)</t>
        </is>
      </c>
      <c r="K1384" t="inlineStr">
        <is>
          <t>CH2</t>
        </is>
      </c>
    </row>
    <row r="1385">
      <c r="A1385" s="33" t="n">
        <v>45787</v>
      </c>
      <c r="B1385" t="inlineStr">
        <is>
          <t>2025-05</t>
        </is>
      </c>
      <c r="C1385" t="inlineStr">
        <is>
          <t>Juan ignacio Paez</t>
        </is>
      </c>
      <c r="D1385" t="inlineStr">
        <is>
          <t>Delicatessen</t>
        </is>
      </c>
      <c r="E1385" s="34" t="n">
        <v>34789</v>
      </c>
      <c r="F1385" t="inlineStr">
        <is>
          <t>B</t>
        </is>
      </c>
      <c r="G1385" s="34" t="n">
        <v>5555</v>
      </c>
      <c r="H1385" s="34" t="n">
        <v>29234</v>
      </c>
      <c r="I1385" t="inlineStr">
        <is>
          <t>3.2</t>
        </is>
      </c>
      <c r="J1385" t="inlineStr">
        <is>
          <t>Ventas Personas (B2C)</t>
        </is>
      </c>
      <c r="K1385" t="inlineStr">
        <is>
          <t>CH2</t>
        </is>
      </c>
    </row>
    <row r="1386">
      <c r="A1386" s="33" t="n">
        <v>45787</v>
      </c>
      <c r="B1386" t="inlineStr">
        <is>
          <t>2025-05</t>
        </is>
      </c>
      <c r="C1386" t="inlineStr">
        <is>
          <t>Mariela Cordova</t>
        </is>
      </c>
      <c r="D1386" t="inlineStr">
        <is>
          <t>CANELÉ TRADICIONAL</t>
        </is>
      </c>
      <c r="E1386" s="34" t="n">
        <v>28890</v>
      </c>
      <c r="F1386" t="inlineStr">
        <is>
          <t>B</t>
        </is>
      </c>
      <c r="G1386" s="34" t="n">
        <v>4613</v>
      </c>
      <c r="H1386" s="34" t="n">
        <v>24277</v>
      </c>
      <c r="I1386" t="inlineStr">
        <is>
          <t>3.2</t>
        </is>
      </c>
      <c r="J1386" t="inlineStr">
        <is>
          <t>Ventas Personas (B2C)</t>
        </is>
      </c>
      <c r="K1386" t="inlineStr">
        <is>
          <t>CH2</t>
        </is>
      </c>
    </row>
    <row r="1387">
      <c r="A1387" s="33" t="n">
        <v>45787</v>
      </c>
      <c r="B1387" t="inlineStr">
        <is>
          <t>2025-05</t>
        </is>
      </c>
      <c r="C1387" t="inlineStr">
        <is>
          <t>Josefina Vivanco Forster</t>
        </is>
      </c>
      <c r="D1387" t="inlineStr">
        <is>
          <t>SALSAS</t>
        </is>
      </c>
      <c r="E1387" s="34" t="n">
        <v>21891</v>
      </c>
      <c r="F1387" t="inlineStr">
        <is>
          <t>B</t>
        </is>
      </c>
      <c r="G1387" s="34" t="n">
        <v>3495</v>
      </c>
      <c r="H1387" s="34" t="n">
        <v>18396</v>
      </c>
      <c r="I1387" t="inlineStr">
        <is>
          <t>3.2</t>
        </is>
      </c>
      <c r="J1387" t="inlineStr">
        <is>
          <t>Ventas Personas (B2C)</t>
        </is>
      </c>
      <c r="K1387" t="inlineStr">
        <is>
          <t>CH2</t>
        </is>
      </c>
    </row>
    <row r="1388">
      <c r="A1388" s="33" t="n">
        <v>45787</v>
      </c>
      <c r="B1388" t="inlineStr">
        <is>
          <t>2025-05</t>
        </is>
      </c>
      <c r="C1388" t="inlineStr">
        <is>
          <t>Sin cliente</t>
        </is>
      </c>
      <c r="D1388" t="inlineStr">
        <is>
          <t>Petit Tradicional</t>
        </is>
      </c>
      <c r="E1388" s="34" t="n">
        <v>12900</v>
      </c>
      <c r="F1388" t="inlineStr">
        <is>
          <t>B</t>
        </is>
      </c>
      <c r="G1388" s="34" t="n">
        <v>2060</v>
      </c>
      <c r="H1388" s="34" t="n">
        <v>10840</v>
      </c>
      <c r="I1388" t="inlineStr">
        <is>
          <t>3.2</t>
        </is>
      </c>
      <c r="J1388" t="inlineStr">
        <is>
          <t>Ventas Personas (B2C)</t>
        </is>
      </c>
      <c r="K1388" t="inlineStr">
        <is>
          <t>CH2</t>
        </is>
      </c>
    </row>
    <row r="1389">
      <c r="A1389" s="33" t="n">
        <v>45787</v>
      </c>
      <c r="B1389" t="inlineStr">
        <is>
          <t>2025-05</t>
        </is>
      </c>
      <c r="C1389" t="inlineStr">
        <is>
          <t>Agustina Lopez</t>
        </is>
      </c>
      <c r="D1389" t="inlineStr">
        <is>
          <t>CANELÉ TRADICIONAL</t>
        </is>
      </c>
      <c r="E1389" s="34" t="n">
        <v>17889</v>
      </c>
      <c r="F1389" t="inlineStr">
        <is>
          <t>B</t>
        </is>
      </c>
      <c r="G1389" s="34" t="n">
        <v>2856</v>
      </c>
      <c r="H1389" s="34" t="n">
        <v>15033</v>
      </c>
      <c r="I1389" t="inlineStr">
        <is>
          <t>3.2</t>
        </is>
      </c>
      <c r="J1389" t="inlineStr">
        <is>
          <t>Ventas Personas (B2C)</t>
        </is>
      </c>
      <c r="K1389" t="inlineStr">
        <is>
          <t>CH2</t>
        </is>
      </c>
    </row>
    <row r="1390">
      <c r="A1390" s="33" t="n">
        <v>45787</v>
      </c>
      <c r="B1390" t="inlineStr">
        <is>
          <t>2025-05</t>
        </is>
      </c>
      <c r="C1390" t="inlineStr">
        <is>
          <t>Maria Aravena</t>
        </is>
      </c>
      <c r="D1390" t="inlineStr">
        <is>
          <t>CANELÉ TRADICIONAL</t>
        </is>
      </c>
      <c r="E1390" s="34" t="n">
        <v>21900</v>
      </c>
      <c r="F1390" t="inlineStr">
        <is>
          <t>B</t>
        </is>
      </c>
      <c r="G1390" s="34" t="n">
        <v>3497</v>
      </c>
      <c r="H1390" s="34" t="n">
        <v>18403</v>
      </c>
      <c r="I1390" t="inlineStr">
        <is>
          <t>3.2</t>
        </is>
      </c>
      <c r="J1390" t="inlineStr">
        <is>
          <t>Ventas Personas (B2C)</t>
        </is>
      </c>
      <c r="K1390" t="inlineStr">
        <is>
          <t>CH2</t>
        </is>
      </c>
    </row>
    <row r="1391">
      <c r="A1391" s="33" t="n">
        <v>45787</v>
      </c>
      <c r="B1391" t="inlineStr">
        <is>
          <t>2025-05</t>
        </is>
      </c>
      <c r="C1391" t="inlineStr">
        <is>
          <t>Maria Aravena</t>
        </is>
      </c>
      <c r="D1391" t="inlineStr">
        <is>
          <t>CANELÉ TRADICIONAL</t>
        </is>
      </c>
      <c r="E1391" s="34" t="n">
        <v>21900</v>
      </c>
      <c r="F1391" t="inlineStr">
        <is>
          <t>B</t>
        </is>
      </c>
      <c r="G1391" s="34" t="n">
        <v>3497</v>
      </c>
      <c r="H1391" s="34" t="n">
        <v>18403</v>
      </c>
      <c r="I1391" t="inlineStr">
        <is>
          <t>3.2</t>
        </is>
      </c>
      <c r="J1391" t="inlineStr">
        <is>
          <t>Ventas Personas (B2C)</t>
        </is>
      </c>
      <c r="K1391" t="inlineStr">
        <is>
          <t>CH2</t>
        </is>
      </c>
    </row>
    <row r="1392">
      <c r="A1392" s="33" t="n">
        <v>45787</v>
      </c>
      <c r="B1392" t="inlineStr">
        <is>
          <t>2025-05</t>
        </is>
      </c>
      <c r="C1392" t="inlineStr">
        <is>
          <t>Diego Gallagher</t>
        </is>
      </c>
      <c r="D1392" t="inlineStr">
        <is>
          <t>CANELÉ TRADICIONAL</t>
        </is>
      </c>
      <c r="E1392" s="34" t="n">
        <v>29800</v>
      </c>
      <c r="F1392" t="inlineStr">
        <is>
          <t>B</t>
        </is>
      </c>
      <c r="G1392" s="34" t="n">
        <v>4758</v>
      </c>
      <c r="H1392" s="34" t="n">
        <v>25042</v>
      </c>
      <c r="I1392" t="inlineStr">
        <is>
          <t>3.2</t>
        </is>
      </c>
      <c r="J1392" t="inlineStr">
        <is>
          <t>Ventas Personas (B2C)</t>
        </is>
      </c>
      <c r="K1392" t="inlineStr">
        <is>
          <t>CH2</t>
        </is>
      </c>
    </row>
    <row r="1393">
      <c r="A1393" s="33" t="n">
        <v>45787</v>
      </c>
      <c r="B1393" t="inlineStr">
        <is>
          <t>2025-05</t>
        </is>
      </c>
      <c r="C1393" t="inlineStr">
        <is>
          <t>Marcos Guridi</t>
        </is>
      </c>
      <c r="D1393" t="inlineStr">
        <is>
          <t>CANELÉ TRADICIONAL</t>
        </is>
      </c>
      <c r="E1393" s="34" t="n">
        <v>14900</v>
      </c>
      <c r="F1393" t="inlineStr">
        <is>
          <t>B</t>
        </is>
      </c>
      <c r="G1393" s="34" t="n">
        <v>2379</v>
      </c>
      <c r="H1393" s="34" t="n">
        <v>12521</v>
      </c>
      <c r="I1393" t="inlineStr">
        <is>
          <t>3.2</t>
        </is>
      </c>
      <c r="J1393" t="inlineStr">
        <is>
          <t>Ventas Personas (B2C)</t>
        </is>
      </c>
      <c r="K1393" t="inlineStr">
        <is>
          <t>CH2</t>
        </is>
      </c>
    </row>
    <row r="1394">
      <c r="A1394" s="33" t="n">
        <v>45787</v>
      </c>
      <c r="B1394" t="inlineStr">
        <is>
          <t>2025-05</t>
        </is>
      </c>
      <c r="C1394" t="inlineStr">
        <is>
          <t>Orietta Stefanelli</t>
        </is>
      </c>
      <c r="D1394" t="inlineStr">
        <is>
          <t>Petit Tradicional</t>
        </is>
      </c>
      <c r="E1394" s="34" t="n">
        <v>27890</v>
      </c>
      <c r="F1394" t="inlineStr">
        <is>
          <t>B</t>
        </is>
      </c>
      <c r="G1394" s="34" t="n">
        <v>4453</v>
      </c>
      <c r="H1394" s="34" t="n">
        <v>23437</v>
      </c>
      <c r="I1394" t="inlineStr">
        <is>
          <t>3.2</t>
        </is>
      </c>
      <c r="J1394" t="inlineStr">
        <is>
          <t>Ventas Personas (B2C)</t>
        </is>
      </c>
      <c r="K1394" t="inlineStr">
        <is>
          <t>CH2</t>
        </is>
      </c>
    </row>
    <row r="1395">
      <c r="A1395" s="33" t="n">
        <v>45787</v>
      </c>
      <c r="B1395" t="inlineStr">
        <is>
          <t>2025-05</t>
        </is>
      </c>
      <c r="C1395" t="inlineStr">
        <is>
          <t>Constanza Soto</t>
        </is>
      </c>
      <c r="D1395" t="inlineStr">
        <is>
          <t>Petit Tradicional</t>
        </is>
      </c>
      <c r="E1395" s="34" t="n">
        <v>10320</v>
      </c>
      <c r="F1395" t="inlineStr">
        <is>
          <t>B</t>
        </is>
      </c>
      <c r="G1395" s="34" t="n">
        <v>1648</v>
      </c>
      <c r="H1395" s="34" t="n">
        <v>8672</v>
      </c>
      <c r="I1395" t="inlineStr">
        <is>
          <t>3.2</t>
        </is>
      </c>
      <c r="J1395" t="inlineStr">
        <is>
          <t>Ventas Personas (B2C)</t>
        </is>
      </c>
      <c r="K1395" t="inlineStr">
        <is>
          <t>CH2</t>
        </is>
      </c>
    </row>
    <row r="1396">
      <c r="A1396" s="33" t="n">
        <v>45787</v>
      </c>
      <c r="B1396" t="inlineStr">
        <is>
          <t>2025-05</t>
        </is>
      </c>
      <c r="C1396" t="inlineStr">
        <is>
          <t>Constanza Soto</t>
        </is>
      </c>
      <c r="D1396" t="inlineStr">
        <is>
          <t>Petit Tradicional</t>
        </is>
      </c>
      <c r="E1396" s="34" t="n">
        <v>19840</v>
      </c>
      <c r="F1396" t="inlineStr">
        <is>
          <t>B</t>
        </is>
      </c>
      <c r="G1396" s="34" t="n">
        <v>3168</v>
      </c>
      <c r="H1396" s="34" t="n">
        <v>16672</v>
      </c>
      <c r="I1396" t="inlineStr">
        <is>
          <t>3.2</t>
        </is>
      </c>
      <c r="J1396" t="inlineStr">
        <is>
          <t>Ventas Personas (B2C)</t>
        </is>
      </c>
      <c r="K1396" t="inlineStr">
        <is>
          <t>CH2</t>
        </is>
      </c>
    </row>
    <row r="1397">
      <c r="A1397" s="33" t="n">
        <v>45787</v>
      </c>
      <c r="B1397" t="inlineStr">
        <is>
          <t>2025-05</t>
        </is>
      </c>
      <c r="C1397" t="inlineStr">
        <is>
          <t>Diego Gaete</t>
        </is>
      </c>
      <c r="D1397" t="inlineStr">
        <is>
          <t>CANELÉ TRADICIONAL</t>
        </is>
      </c>
      <c r="E1397" s="34" t="n">
        <v>20890</v>
      </c>
      <c r="F1397" t="inlineStr">
        <is>
          <t>B</t>
        </is>
      </c>
      <c r="G1397" s="34" t="n">
        <v>3335</v>
      </c>
      <c r="H1397" s="34" t="n">
        <v>17555</v>
      </c>
      <c r="I1397" t="inlineStr">
        <is>
          <t>3.2</t>
        </is>
      </c>
      <c r="J1397" t="inlineStr">
        <is>
          <t>Ventas Personas (B2C)</t>
        </is>
      </c>
      <c r="K1397" t="inlineStr">
        <is>
          <t>CH2</t>
        </is>
      </c>
    </row>
    <row r="1398">
      <c r="A1398" s="33" t="n">
        <v>45787</v>
      </c>
      <c r="B1398" t="inlineStr">
        <is>
          <t>2025-05</t>
        </is>
      </c>
      <c r="C1398" t="inlineStr">
        <is>
          <t>Eugenia Gonel</t>
        </is>
      </c>
      <c r="D1398" t="inlineStr">
        <is>
          <t>Mix Sabores</t>
        </is>
      </c>
      <c r="E1398" s="34" t="n">
        <v>19890</v>
      </c>
      <c r="F1398" t="inlineStr">
        <is>
          <t>B</t>
        </is>
      </c>
      <c r="G1398" s="34" t="n">
        <v>3176</v>
      </c>
      <c r="H1398" s="34" t="n">
        <v>16714</v>
      </c>
      <c r="I1398" t="inlineStr">
        <is>
          <t>3.2</t>
        </is>
      </c>
      <c r="J1398" t="inlineStr">
        <is>
          <t>Ventas Personas (B2C)</t>
        </is>
      </c>
      <c r="K1398" t="inlineStr">
        <is>
          <t>CH2</t>
        </is>
      </c>
    </row>
    <row r="1399">
      <c r="A1399" s="33" t="n">
        <v>45788</v>
      </c>
      <c r="B1399" t="inlineStr">
        <is>
          <t>2025-05</t>
        </is>
      </c>
      <c r="C1399" t="inlineStr">
        <is>
          <t>Sin cliente</t>
        </is>
      </c>
      <c r="D1399" t="inlineStr">
        <is>
          <t>Petit Crunchy</t>
        </is>
      </c>
      <c r="E1399" s="34" t="n">
        <v>44790</v>
      </c>
      <c r="F1399" t="inlineStr">
        <is>
          <t>B</t>
        </is>
      </c>
      <c r="G1399" s="34" t="n">
        <v>7151</v>
      </c>
      <c r="H1399" s="34" t="n">
        <v>37639</v>
      </c>
      <c r="I1399" t="inlineStr">
        <is>
          <t>3.2</t>
        </is>
      </c>
      <c r="J1399" t="inlineStr">
        <is>
          <t>Ventas Personas (B2C)</t>
        </is>
      </c>
      <c r="K1399" t="inlineStr">
        <is>
          <t>CH2</t>
        </is>
      </c>
    </row>
    <row r="1400">
      <c r="A1400" s="33" t="n">
        <v>45788</v>
      </c>
      <c r="B1400" t="inlineStr">
        <is>
          <t>2025-05</t>
        </is>
      </c>
      <c r="C1400" t="inlineStr">
        <is>
          <t>Mariela Christiansen Vargas</t>
        </is>
      </c>
      <c r="D1400" t="inlineStr">
        <is>
          <t>Petit Tradicional</t>
        </is>
      </c>
      <c r="E1400" s="34" t="n">
        <v>29789</v>
      </c>
      <c r="F1400" t="inlineStr">
        <is>
          <t>B</t>
        </is>
      </c>
      <c r="G1400" s="34" t="n">
        <v>4756</v>
      </c>
      <c r="H1400" s="34" t="n">
        <v>25033</v>
      </c>
      <c r="I1400" t="inlineStr">
        <is>
          <t>3.2</t>
        </is>
      </c>
      <c r="J1400" t="inlineStr">
        <is>
          <t>Ventas Personas (B2C)</t>
        </is>
      </c>
      <c r="K1400" t="inlineStr">
        <is>
          <t>CH2</t>
        </is>
      </c>
    </row>
    <row r="1401">
      <c r="A1401" s="33" t="n">
        <v>45788</v>
      </c>
      <c r="B1401" t="inlineStr">
        <is>
          <t>2025-05</t>
        </is>
      </c>
      <c r="C1401" t="inlineStr">
        <is>
          <t>Sin cliente</t>
        </is>
      </c>
      <c r="D1401" t="inlineStr">
        <is>
          <t>Delicatessen</t>
        </is>
      </c>
      <c r="E1401" s="34" t="n">
        <v>13900</v>
      </c>
      <c r="F1401" t="inlineStr">
        <is>
          <t>B</t>
        </is>
      </c>
      <c r="G1401" s="34" t="n">
        <v>2219</v>
      </c>
      <c r="H1401" s="34" t="n">
        <v>11681</v>
      </c>
      <c r="I1401" t="inlineStr">
        <is>
          <t>3.2</t>
        </is>
      </c>
      <c r="J1401" t="inlineStr">
        <is>
          <t>Ventas Personas (B2C)</t>
        </is>
      </c>
      <c r="K1401" t="inlineStr">
        <is>
          <t>CH2</t>
        </is>
      </c>
    </row>
    <row r="1402">
      <c r="A1402" s="33" t="n">
        <v>45788</v>
      </c>
      <c r="B1402" t="inlineStr">
        <is>
          <t>2025-05</t>
        </is>
      </c>
      <c r="C1402" t="inlineStr">
        <is>
          <t>Felipe Beckdorf</t>
        </is>
      </c>
      <c r="D1402" t="inlineStr">
        <is>
          <t>Petit Tradicional</t>
        </is>
      </c>
      <c r="E1402" s="34" t="n">
        <v>16890</v>
      </c>
      <c r="F1402" t="inlineStr">
        <is>
          <t>B</t>
        </is>
      </c>
      <c r="G1402" s="34" t="n">
        <v>2697</v>
      </c>
      <c r="H1402" s="34" t="n">
        <v>14193</v>
      </c>
      <c r="I1402" t="inlineStr">
        <is>
          <t>3.2</t>
        </is>
      </c>
      <c r="J1402" t="inlineStr">
        <is>
          <t>Ventas Personas (B2C)</t>
        </is>
      </c>
      <c r="K1402" t="inlineStr">
        <is>
          <t>CH2</t>
        </is>
      </c>
    </row>
    <row r="1403">
      <c r="A1403" s="33" t="n">
        <v>45789</v>
      </c>
      <c r="B1403" t="inlineStr">
        <is>
          <t>2025-05</t>
        </is>
      </c>
      <c r="C1403" t="inlineStr">
        <is>
          <t>Bernardita Moreno</t>
        </is>
      </c>
      <c r="D1403" t="inlineStr">
        <is>
          <t>Petit Tradicional</t>
        </is>
      </c>
      <c r="E1403" s="34" t="n">
        <v>11610</v>
      </c>
      <c r="F1403" t="inlineStr">
        <is>
          <t>B</t>
        </is>
      </c>
      <c r="G1403" s="34" t="n">
        <v>1854</v>
      </c>
      <c r="H1403" s="34" t="n">
        <v>9756</v>
      </c>
      <c r="I1403" t="inlineStr">
        <is>
          <t>3.2</t>
        </is>
      </c>
      <c r="J1403" t="inlineStr">
        <is>
          <t>Ventas Personas (B2C)</t>
        </is>
      </c>
      <c r="K1403" t="inlineStr">
        <is>
          <t>CH2</t>
        </is>
      </c>
    </row>
    <row r="1404">
      <c r="A1404" s="33" t="n">
        <v>45789</v>
      </c>
      <c r="B1404" t="inlineStr">
        <is>
          <t>2025-05</t>
        </is>
      </c>
      <c r="C1404" t="inlineStr">
        <is>
          <t>Andres Kipreos</t>
        </is>
      </c>
      <c r="D1404" t="inlineStr">
        <is>
          <t>Petit Tradicional</t>
        </is>
      </c>
      <c r="E1404" s="34" t="n">
        <v>16889</v>
      </c>
      <c r="F1404" t="inlineStr">
        <is>
          <t>B</t>
        </is>
      </c>
      <c r="G1404" s="34" t="n">
        <v>2697</v>
      </c>
      <c r="H1404" s="34" t="n">
        <v>14192</v>
      </c>
      <c r="I1404" t="inlineStr">
        <is>
          <t>3.2</t>
        </is>
      </c>
      <c r="J1404" t="inlineStr">
        <is>
          <t>Ventas Personas (B2C)</t>
        </is>
      </c>
      <c r="K1404" t="inlineStr">
        <is>
          <t>CH2</t>
        </is>
      </c>
    </row>
    <row r="1405">
      <c r="A1405" s="33" t="n">
        <v>45789</v>
      </c>
      <c r="B1405" t="inlineStr">
        <is>
          <t>2025-05</t>
        </is>
      </c>
      <c r="C1405" t="inlineStr">
        <is>
          <t>POMPON SPA</t>
        </is>
      </c>
      <c r="D1405" t="inlineStr">
        <is>
          <t>HORECA CAFETERIA</t>
        </is>
      </c>
      <c r="E1405" s="34" t="n">
        <v>132510</v>
      </c>
      <c r="F1405" t="inlineStr">
        <is>
          <t>F</t>
        </is>
      </c>
      <c r="G1405" s="34" t="n">
        <v>21157</v>
      </c>
      <c r="H1405" s="34" t="n">
        <v>111353</v>
      </c>
      <c r="I1405" t="inlineStr">
        <is>
          <t>3.1</t>
        </is>
      </c>
      <c r="J1405" t="inlineStr">
        <is>
          <t>Ventas HoReCa</t>
        </is>
      </c>
      <c r="K1405" t="inlineStr">
        <is>
          <t>CH1</t>
        </is>
      </c>
    </row>
    <row r="1406">
      <c r="A1406" s="33" t="n">
        <v>45789</v>
      </c>
      <c r="B1406" t="inlineStr">
        <is>
          <t>2025-05</t>
        </is>
      </c>
      <c r="C1406" t="inlineStr">
        <is>
          <t>CAFETERÍA ALTURA LIMITADA</t>
        </is>
      </c>
      <c r="D1406" t="inlineStr">
        <is>
          <t>HORECA CAFETERIA</t>
        </is>
      </c>
      <c r="E1406" s="34" t="n">
        <v>53950</v>
      </c>
      <c r="F1406" t="inlineStr">
        <is>
          <t>F</t>
        </is>
      </c>
      <c r="G1406" s="34" t="n">
        <v>8614</v>
      </c>
      <c r="H1406" s="34" t="n">
        <v>45336</v>
      </c>
      <c r="I1406" t="inlineStr">
        <is>
          <t>3.1</t>
        </is>
      </c>
      <c r="J1406" t="inlineStr">
        <is>
          <t>Ventas HoReCa</t>
        </is>
      </c>
      <c r="K1406" t="inlineStr">
        <is>
          <t>CH1</t>
        </is>
      </c>
    </row>
    <row r="1407">
      <c r="A1407" s="33" t="n">
        <v>45789</v>
      </c>
      <c r="B1407" t="inlineStr">
        <is>
          <t>2025-05</t>
        </is>
      </c>
      <c r="C1407" t="inlineStr">
        <is>
          <t>INVERSIONES Y COMERCIALIZADORA FED LIMITADA</t>
        </is>
      </c>
      <c r="D1407" t="inlineStr">
        <is>
          <t>HORECA CAFETERIA</t>
        </is>
      </c>
      <c r="E1407" s="34" t="n">
        <v>129890</v>
      </c>
      <c r="F1407" t="inlineStr">
        <is>
          <t>F</t>
        </is>
      </c>
      <c r="G1407" s="34" t="n">
        <v>20739</v>
      </c>
      <c r="H1407" s="34" t="n">
        <v>109151</v>
      </c>
      <c r="I1407" t="inlineStr">
        <is>
          <t>3.1</t>
        </is>
      </c>
      <c r="J1407" t="inlineStr">
        <is>
          <t>Ventas HoReCa</t>
        </is>
      </c>
      <c r="K1407" t="inlineStr">
        <is>
          <t>CH1</t>
        </is>
      </c>
    </row>
    <row r="1408">
      <c r="A1408" s="33" t="n">
        <v>45789</v>
      </c>
      <c r="B1408" t="inlineStr">
        <is>
          <t>2025-05</t>
        </is>
      </c>
      <c r="C1408" t="inlineStr">
        <is>
          <t>INVERSIONES Y COMERCIALIZADORA FED LIMITADA</t>
        </is>
      </c>
      <c r="D1408" t="inlineStr">
        <is>
          <t>HORECA CAFETERIA</t>
        </is>
      </c>
      <c r="E1408" s="34" t="n">
        <v>282277</v>
      </c>
      <c r="F1408" t="inlineStr">
        <is>
          <t>F</t>
        </is>
      </c>
      <c r="G1408" s="34" t="n">
        <v>45069</v>
      </c>
      <c r="H1408" s="34" t="n">
        <v>237208</v>
      </c>
      <c r="I1408" t="inlineStr">
        <is>
          <t>3.1</t>
        </is>
      </c>
      <c r="J1408" t="inlineStr">
        <is>
          <t>Ventas HoReCa</t>
        </is>
      </c>
      <c r="K1408" t="inlineStr">
        <is>
          <t>CH1</t>
        </is>
      </c>
    </row>
    <row r="1409">
      <c r="A1409" s="33" t="n">
        <v>45789</v>
      </c>
      <c r="B1409" t="inlineStr">
        <is>
          <t>2025-05</t>
        </is>
      </c>
      <c r="C1409" t="inlineStr">
        <is>
          <t>INVERSIONES Y ASESORIAS RAVAL LIMITADA</t>
        </is>
      </c>
      <c r="D1409" t="inlineStr">
        <is>
          <t>HORECA CAFETERIA</t>
        </is>
      </c>
      <c r="E1409" s="34" t="n">
        <v>67956</v>
      </c>
      <c r="F1409" t="inlineStr">
        <is>
          <t>F</t>
        </is>
      </c>
      <c r="G1409" s="34" t="n">
        <v>10850</v>
      </c>
      <c r="H1409" s="34" t="n">
        <v>57106</v>
      </c>
      <c r="I1409" t="inlineStr">
        <is>
          <t>3.1</t>
        </is>
      </c>
      <c r="J1409" t="inlineStr">
        <is>
          <t>Ventas HoReCa</t>
        </is>
      </c>
      <c r="K1409" t="inlineStr">
        <is>
          <t>CH1</t>
        </is>
      </c>
    </row>
    <row r="1410">
      <c r="A1410" s="33" t="n">
        <v>45789</v>
      </c>
      <c r="B1410" t="inlineStr">
        <is>
          <t>2025-05</t>
        </is>
      </c>
      <c r="C1410" t="inlineStr">
        <is>
          <t>Cafeteria de especialidad al paso Michael C. Plaza</t>
        </is>
      </c>
      <c r="D1410" t="inlineStr">
        <is>
          <t>HORECA CAFETERIA</t>
        </is>
      </c>
      <c r="E1410" s="34" t="n">
        <v>68976</v>
      </c>
      <c r="F1410" t="inlineStr">
        <is>
          <t>F</t>
        </is>
      </c>
      <c r="G1410" s="34" t="n">
        <v>11013</v>
      </c>
      <c r="H1410" s="34" t="n">
        <v>57963</v>
      </c>
      <c r="I1410" t="inlineStr">
        <is>
          <t>3.1</t>
        </is>
      </c>
      <c r="J1410" t="inlineStr">
        <is>
          <t>Ventas HoReCa</t>
        </is>
      </c>
      <c r="K1410" t="inlineStr">
        <is>
          <t>CH1</t>
        </is>
      </c>
    </row>
    <row r="1411">
      <c r="A1411" s="33" t="n">
        <v>45789</v>
      </c>
      <c r="B1411" t="inlineStr">
        <is>
          <t>2025-05</t>
        </is>
      </c>
      <c r="C1411" t="inlineStr">
        <is>
          <t>Café del Parque SpA</t>
        </is>
      </c>
      <c r="D1411" t="inlineStr">
        <is>
          <t>HORECA CAFETERIA</t>
        </is>
      </c>
      <c r="E1411" s="34" t="n">
        <v>71106</v>
      </c>
      <c r="F1411" t="inlineStr">
        <is>
          <t>F</t>
        </is>
      </c>
      <c r="G1411" s="34" t="n">
        <v>11353</v>
      </c>
      <c r="H1411" s="34" t="n">
        <v>59753</v>
      </c>
      <c r="I1411" t="inlineStr">
        <is>
          <t>3.1</t>
        </is>
      </c>
      <c r="J1411" t="inlineStr">
        <is>
          <t>Ventas HoReCa</t>
        </is>
      </c>
      <c r="K1411" t="inlineStr">
        <is>
          <t>CH1</t>
        </is>
      </c>
    </row>
    <row r="1412">
      <c r="A1412" s="33" t="n">
        <v>45789</v>
      </c>
      <c r="B1412" t="inlineStr">
        <is>
          <t>2025-05</t>
        </is>
      </c>
      <c r="C1412" t="inlineStr">
        <is>
          <t>BAZÁN Y MUSSO SPA</t>
        </is>
      </c>
      <c r="D1412" t="inlineStr">
        <is>
          <t>Petit Tradicional</t>
        </is>
      </c>
      <c r="E1412" s="34" t="n">
        <v>-90899</v>
      </c>
      <c r="F1412" t="inlineStr">
        <is>
          <t>NC</t>
        </is>
      </c>
      <c r="G1412" s="34" t="n">
        <v>-14513</v>
      </c>
      <c r="H1412" s="34" t="n">
        <v>-76386</v>
      </c>
      <c r="I1412" t="inlineStr">
        <is>
          <t>3.1</t>
        </is>
      </c>
      <c r="J1412" t="inlineStr">
        <is>
          <t>Ventas HoReCa</t>
        </is>
      </c>
      <c r="K1412" t="inlineStr">
        <is>
          <t>CH1</t>
        </is>
      </c>
    </row>
    <row r="1413">
      <c r="A1413" s="33" t="n">
        <v>45789</v>
      </c>
      <c r="B1413" t="inlineStr">
        <is>
          <t>2025-05</t>
        </is>
      </c>
      <c r="C1413" t="inlineStr">
        <is>
          <t>AMBROSIA RESTAURANT SPA</t>
        </is>
      </c>
      <c r="D1413" t="inlineStr">
        <is>
          <t>Petit Tradicional</t>
        </is>
      </c>
      <c r="E1413" s="34" t="n">
        <v>90876</v>
      </c>
      <c r="F1413" t="inlineStr">
        <is>
          <t>F</t>
        </is>
      </c>
      <c r="G1413" s="34" t="n">
        <v>14510</v>
      </c>
      <c r="H1413" s="34" t="n">
        <v>76366</v>
      </c>
      <c r="I1413" t="inlineStr">
        <is>
          <t>3.1</t>
        </is>
      </c>
      <c r="J1413" t="inlineStr">
        <is>
          <t>Ventas HoReCa</t>
        </is>
      </c>
      <c r="K1413" t="inlineStr">
        <is>
          <t>CH1</t>
        </is>
      </c>
    </row>
    <row r="1414">
      <c r="A1414" s="33" t="n">
        <v>45789</v>
      </c>
      <c r="B1414" t="inlineStr">
        <is>
          <t>2025-05</t>
        </is>
      </c>
      <c r="C1414" t="inlineStr">
        <is>
          <t>Joselin Barrios</t>
        </is>
      </c>
      <c r="D1414" t="inlineStr">
        <is>
          <t>Rellenos</t>
        </is>
      </c>
      <c r="E1414" s="34" t="n">
        <v>34890</v>
      </c>
      <c r="F1414" t="inlineStr">
        <is>
          <t>B</t>
        </is>
      </c>
      <c r="G1414" s="34" t="n">
        <v>5571</v>
      </c>
      <c r="H1414" s="34" t="n">
        <v>29319</v>
      </c>
      <c r="I1414" t="inlineStr">
        <is>
          <t>3.2</t>
        </is>
      </c>
      <c r="J1414" t="inlineStr">
        <is>
          <t>Ventas Personas (B2C)</t>
        </is>
      </c>
      <c r="K1414" t="inlineStr">
        <is>
          <t>CH2</t>
        </is>
      </c>
    </row>
    <row r="1415">
      <c r="A1415" s="33" t="n">
        <v>45789</v>
      </c>
      <c r="B1415" t="inlineStr">
        <is>
          <t>2025-05</t>
        </is>
      </c>
      <c r="C1415" t="inlineStr">
        <is>
          <t>Emilio Rubilar</t>
        </is>
      </c>
      <c r="D1415" t="inlineStr">
        <is>
          <t>Petit Crunchy</t>
        </is>
      </c>
      <c r="E1415" s="34" t="n">
        <v>17890</v>
      </c>
      <c r="F1415" t="inlineStr">
        <is>
          <t>B</t>
        </is>
      </c>
      <c r="G1415" s="34" t="n">
        <v>2856</v>
      </c>
      <c r="H1415" s="34" t="n">
        <v>15034</v>
      </c>
      <c r="I1415" t="inlineStr">
        <is>
          <t>3.2</t>
        </is>
      </c>
      <c r="J1415" t="inlineStr">
        <is>
          <t>Ventas Personas (B2C)</t>
        </is>
      </c>
      <c r="K1415" t="inlineStr">
        <is>
          <t>CH2</t>
        </is>
      </c>
    </row>
    <row r="1416">
      <c r="A1416" s="33" t="n">
        <v>45789</v>
      </c>
      <c r="B1416" t="inlineStr">
        <is>
          <t>2025-05</t>
        </is>
      </c>
      <c r="C1416" t="inlineStr">
        <is>
          <t>Sin cliente</t>
        </is>
      </c>
      <c r="D1416" t="inlineStr">
        <is>
          <t>CANELÉ TRADICIONAL</t>
        </is>
      </c>
      <c r="E1416" s="34" t="n">
        <v>14900</v>
      </c>
      <c r="F1416" t="inlineStr">
        <is>
          <t>B</t>
        </is>
      </c>
      <c r="G1416" s="34" t="n">
        <v>2379</v>
      </c>
      <c r="H1416" s="34" t="n">
        <v>12521</v>
      </c>
      <c r="I1416" t="inlineStr">
        <is>
          <t>3.2</t>
        </is>
      </c>
      <c r="J1416" t="inlineStr">
        <is>
          <t>Ventas Personas (B2C)</t>
        </is>
      </c>
      <c r="K1416" t="inlineStr">
        <is>
          <t>CH2</t>
        </is>
      </c>
    </row>
    <row r="1417">
      <c r="A1417" s="33" t="n">
        <v>45790</v>
      </c>
      <c r="B1417" t="inlineStr">
        <is>
          <t>2025-05</t>
        </is>
      </c>
      <c r="C1417" t="inlineStr">
        <is>
          <t>Tiaren Quezada</t>
        </is>
      </c>
      <c r="D1417" t="inlineStr">
        <is>
          <t>Petit Tradicional</t>
        </is>
      </c>
      <c r="E1417" s="34" t="n">
        <v>21799</v>
      </c>
      <c r="F1417" t="inlineStr">
        <is>
          <t>B</t>
        </is>
      </c>
      <c r="G1417" s="34" t="n">
        <v>3481</v>
      </c>
      <c r="H1417" s="34" t="n">
        <v>18318</v>
      </c>
      <c r="I1417" t="inlineStr">
        <is>
          <t>3.2</t>
        </is>
      </c>
      <c r="J1417" t="inlineStr">
        <is>
          <t>Ventas Personas (B2C)</t>
        </is>
      </c>
      <c r="K1417" t="inlineStr">
        <is>
          <t>CH2</t>
        </is>
      </c>
    </row>
    <row r="1418">
      <c r="A1418" s="33" t="n">
        <v>45790</v>
      </c>
      <c r="B1418" t="inlineStr">
        <is>
          <t>2025-05</t>
        </is>
      </c>
      <c r="C1418" t="inlineStr">
        <is>
          <t>Begoña Royo</t>
        </is>
      </c>
      <c r="D1418" t="inlineStr">
        <is>
          <t>PACKS GOURMET</t>
        </is>
      </c>
      <c r="E1418" s="34" t="n">
        <v>39976</v>
      </c>
      <c r="F1418" t="inlineStr">
        <is>
          <t>B</t>
        </is>
      </c>
      <c r="G1418" s="34" t="n">
        <v>6383</v>
      </c>
      <c r="H1418" s="34" t="n">
        <v>33593</v>
      </c>
      <c r="I1418" t="inlineStr">
        <is>
          <t>3.2</t>
        </is>
      </c>
      <c r="J1418" t="inlineStr">
        <is>
          <t>Ventas Personas (B2C)</t>
        </is>
      </c>
      <c r="K1418" t="inlineStr">
        <is>
          <t>CH2</t>
        </is>
      </c>
    </row>
    <row r="1419">
      <c r="A1419" s="33" t="n">
        <v>45790</v>
      </c>
      <c r="B1419" t="inlineStr">
        <is>
          <t>2025-05</t>
        </is>
      </c>
      <c r="C1419" t="inlineStr">
        <is>
          <t>Inversiones Café Dominicos SpA</t>
        </is>
      </c>
      <c r="D1419" t="inlineStr">
        <is>
          <t xml:space="preserve">THE COFFEE STORE </t>
        </is>
      </c>
      <c r="E1419" s="34" t="n">
        <v>36977</v>
      </c>
      <c r="F1419" t="inlineStr">
        <is>
          <t>F</t>
        </is>
      </c>
      <c r="G1419" s="34" t="n">
        <v>5904</v>
      </c>
      <c r="H1419" s="34" t="n">
        <v>31073</v>
      </c>
      <c r="I1419" t="inlineStr">
        <is>
          <t>3.1</t>
        </is>
      </c>
      <c r="J1419" t="inlineStr">
        <is>
          <t>Ventas HoReCa</t>
        </is>
      </c>
      <c r="K1419" t="inlineStr">
        <is>
          <t>CH1</t>
        </is>
      </c>
    </row>
    <row r="1420">
      <c r="A1420" s="33" t="n">
        <v>45790</v>
      </c>
      <c r="B1420" t="inlineStr">
        <is>
          <t>2025-05</t>
        </is>
      </c>
      <c r="C1420" t="inlineStr">
        <is>
          <t>BLUE OAK COFFE SPA</t>
        </is>
      </c>
      <c r="D1420" t="inlineStr">
        <is>
          <t>HORECA CAFETERIA</t>
        </is>
      </c>
      <c r="E1420" s="34" t="n">
        <v>63476</v>
      </c>
      <c r="F1420" t="inlineStr">
        <is>
          <t>F</t>
        </is>
      </c>
      <c r="G1420" s="34" t="n">
        <v>10135</v>
      </c>
      <c r="H1420" s="34" t="n">
        <v>53341</v>
      </c>
      <c r="I1420" t="inlineStr">
        <is>
          <t>3.1</t>
        </is>
      </c>
      <c r="J1420" t="inlineStr">
        <is>
          <t>Ventas HoReCa</t>
        </is>
      </c>
      <c r="K1420" t="inlineStr">
        <is>
          <t>CH1</t>
        </is>
      </c>
    </row>
    <row r="1421">
      <c r="A1421" s="33" t="n">
        <v>45790</v>
      </c>
      <c r="B1421" t="inlineStr">
        <is>
          <t>2025-05</t>
        </is>
      </c>
      <c r="C1421" t="inlineStr">
        <is>
          <t>Sociedad de inversiones solari y acuña spa</t>
        </is>
      </c>
      <c r="D1421" t="inlineStr">
        <is>
          <t>HORECA CAFETERIA</t>
        </is>
      </c>
      <c r="E1421" s="34" t="n">
        <v>112755</v>
      </c>
      <c r="F1421" t="inlineStr">
        <is>
          <t>F</t>
        </is>
      </c>
      <c r="G1421" s="34" t="n">
        <v>18003</v>
      </c>
      <c r="H1421" s="34" t="n">
        <v>94752</v>
      </c>
      <c r="I1421" t="inlineStr">
        <is>
          <t>3.1</t>
        </is>
      </c>
      <c r="J1421" t="inlineStr">
        <is>
          <t>Ventas HoReCa</t>
        </is>
      </c>
      <c r="K1421" t="inlineStr">
        <is>
          <t>CH1</t>
        </is>
      </c>
    </row>
    <row r="1422">
      <c r="A1422" s="33" t="n">
        <v>45790</v>
      </c>
      <c r="B1422" t="inlineStr">
        <is>
          <t>2025-05</t>
        </is>
      </c>
      <c r="C1422" t="inlineStr">
        <is>
          <t>RICHARD Carrasco</t>
        </is>
      </c>
      <c r="D1422" t="inlineStr">
        <is>
          <t>Petit Crunchy</t>
        </is>
      </c>
      <c r="E1422" s="34" t="n">
        <v>52689</v>
      </c>
      <c r="F1422" t="inlineStr">
        <is>
          <t>B</t>
        </is>
      </c>
      <c r="G1422" s="34" t="n">
        <v>8413</v>
      </c>
      <c r="H1422" s="34" t="n">
        <v>44276</v>
      </c>
      <c r="I1422" t="inlineStr">
        <is>
          <t>3.2</t>
        </is>
      </c>
      <c r="J1422" t="inlineStr">
        <is>
          <t>Ventas Personas (B2C)</t>
        </is>
      </c>
      <c r="K1422" t="inlineStr">
        <is>
          <t>CH2</t>
        </is>
      </c>
    </row>
    <row r="1423">
      <c r="A1423" s="33" t="n">
        <v>45790</v>
      </c>
      <c r="B1423" t="inlineStr">
        <is>
          <t>2025-05</t>
        </is>
      </c>
      <c r="C1423" t="inlineStr">
        <is>
          <t>Okinawa Spa</t>
        </is>
      </c>
      <c r="D1423" t="inlineStr">
        <is>
          <t>HORECA CAFETERIA</t>
        </is>
      </c>
      <c r="E1423" s="34" t="n">
        <v>17437</v>
      </c>
      <c r="F1423" t="inlineStr">
        <is>
          <t>F</t>
        </is>
      </c>
      <c r="G1423" s="34" t="n">
        <v>2784</v>
      </c>
      <c r="H1423" s="34" t="n">
        <v>14653</v>
      </c>
      <c r="I1423" t="inlineStr">
        <is>
          <t>3.1</t>
        </is>
      </c>
      <c r="J1423" t="inlineStr">
        <is>
          <t>Ventas HoReCa</t>
        </is>
      </c>
      <c r="K1423" t="inlineStr">
        <is>
          <t>CH1</t>
        </is>
      </c>
    </row>
    <row r="1424">
      <c r="A1424" s="33" t="n">
        <v>45790</v>
      </c>
      <c r="B1424" t="inlineStr">
        <is>
          <t>2025-05</t>
        </is>
      </c>
      <c r="C1424" t="inlineStr">
        <is>
          <t>CAFE DIARIO ENCOMENDEROS SPA</t>
        </is>
      </c>
      <c r="D1424" t="inlineStr">
        <is>
          <t>HORECA CAFETERIA</t>
        </is>
      </c>
      <c r="E1424" s="34" t="n">
        <v>82830</v>
      </c>
      <c r="F1424" t="inlineStr">
        <is>
          <t>F</t>
        </is>
      </c>
      <c r="G1424" s="34" t="n">
        <v>13225</v>
      </c>
      <c r="H1424" s="34" t="n">
        <v>69605</v>
      </c>
      <c r="I1424" t="inlineStr">
        <is>
          <t>3.1</t>
        </is>
      </c>
      <c r="J1424" t="inlineStr">
        <is>
          <t>Ventas HoReCa</t>
        </is>
      </c>
      <c r="K1424" t="inlineStr">
        <is>
          <t>CH1</t>
        </is>
      </c>
    </row>
    <row r="1425">
      <c r="A1425" s="33" t="n">
        <v>45790</v>
      </c>
      <c r="B1425" t="inlineStr">
        <is>
          <t>2025-05</t>
        </is>
      </c>
      <c r="C1425" t="inlineStr">
        <is>
          <t>Gabriela Molina</t>
        </is>
      </c>
      <c r="D1425" t="inlineStr">
        <is>
          <t>CANELÉ TRADICIONAL</t>
        </is>
      </c>
      <c r="E1425" s="34" t="n">
        <v>24149</v>
      </c>
      <c r="F1425" t="inlineStr">
        <is>
          <t>B</t>
        </is>
      </c>
      <c r="G1425" s="34" t="n">
        <v>3856</v>
      </c>
      <c r="H1425" s="34" t="n">
        <v>20293</v>
      </c>
      <c r="I1425" t="inlineStr">
        <is>
          <t>3.2</t>
        </is>
      </c>
      <c r="J1425" t="inlineStr">
        <is>
          <t>Ventas Personas (B2C)</t>
        </is>
      </c>
      <c r="K1425" t="inlineStr">
        <is>
          <t>CH2</t>
        </is>
      </c>
    </row>
    <row r="1426">
      <c r="A1426" s="33" t="n">
        <v>45790</v>
      </c>
      <c r="B1426" t="inlineStr">
        <is>
          <t>2025-05</t>
        </is>
      </c>
      <c r="C1426" t="inlineStr">
        <is>
          <t>RICO SPA</t>
        </is>
      </c>
      <c r="D1426" t="inlineStr">
        <is>
          <t>HORECA CATERING</t>
        </is>
      </c>
      <c r="E1426" s="34" t="n">
        <v>174280</v>
      </c>
      <c r="F1426" t="inlineStr">
        <is>
          <t>F</t>
        </is>
      </c>
      <c r="G1426" s="34" t="n">
        <v>27826</v>
      </c>
      <c r="H1426" s="34" t="n">
        <v>146454</v>
      </c>
      <c r="I1426" t="inlineStr">
        <is>
          <t>3.1</t>
        </is>
      </c>
      <c r="J1426" t="inlineStr">
        <is>
          <t>Ventas HoReCa</t>
        </is>
      </c>
      <c r="K1426" t="inlineStr">
        <is>
          <t>CH1</t>
        </is>
      </c>
    </row>
    <row r="1427">
      <c r="A1427" s="33" t="n">
        <v>45790</v>
      </c>
      <c r="B1427" t="inlineStr">
        <is>
          <t>2025-05</t>
        </is>
      </c>
      <c r="C1427" t="inlineStr">
        <is>
          <t>luis  bocas</t>
        </is>
      </c>
      <c r="D1427" t="inlineStr">
        <is>
          <t>CANELÉ TRADICIONAL</t>
        </is>
      </c>
      <c r="E1427" s="34" t="n">
        <v>17900</v>
      </c>
      <c r="F1427" t="inlineStr">
        <is>
          <t>B</t>
        </is>
      </c>
      <c r="G1427" s="34" t="n">
        <v>2858</v>
      </c>
      <c r="H1427" s="34" t="n">
        <v>15042</v>
      </c>
      <c r="I1427" t="inlineStr">
        <is>
          <t>3.2</t>
        </is>
      </c>
      <c r="J1427" t="inlineStr">
        <is>
          <t>Ventas Personas (B2C)</t>
        </is>
      </c>
      <c r="K1427" t="inlineStr">
        <is>
          <t>CH2</t>
        </is>
      </c>
    </row>
    <row r="1428">
      <c r="A1428" s="33" t="n">
        <v>45790</v>
      </c>
      <c r="B1428" t="inlineStr">
        <is>
          <t>2025-05</t>
        </is>
      </c>
      <c r="C1428" t="inlineStr">
        <is>
          <t>consuelo cruz</t>
        </is>
      </c>
      <c r="D1428" t="inlineStr">
        <is>
          <t>Petit Tradicional</t>
        </is>
      </c>
      <c r="E1428" s="34" t="n">
        <v>25800</v>
      </c>
      <c r="F1428" t="inlineStr">
        <is>
          <t>B</t>
        </is>
      </c>
      <c r="G1428" s="34" t="n">
        <v>4119</v>
      </c>
      <c r="H1428" s="34" t="n">
        <v>21681</v>
      </c>
      <c r="I1428" t="inlineStr">
        <is>
          <t>3.2</t>
        </is>
      </c>
      <c r="J1428" t="inlineStr">
        <is>
          <t>Ventas Personas (B2C)</t>
        </is>
      </c>
      <c r="K1428" t="inlineStr">
        <is>
          <t>CH2</t>
        </is>
      </c>
    </row>
    <row r="1429">
      <c r="A1429" s="33" t="n">
        <v>45790</v>
      </c>
      <c r="B1429" t="inlineStr">
        <is>
          <t>2025-05</t>
        </is>
      </c>
      <c r="C1429" t="inlineStr">
        <is>
          <t>Alexander Rivano Fuentes</t>
        </is>
      </c>
      <c r="D1429" t="inlineStr">
        <is>
          <t>Petit Crunchy</t>
        </is>
      </c>
      <c r="E1429" s="34" t="n">
        <v>30790</v>
      </c>
      <c r="F1429" t="inlineStr">
        <is>
          <t>B</t>
        </is>
      </c>
      <c r="G1429" s="34" t="n">
        <v>4916</v>
      </c>
      <c r="H1429" s="34" t="n">
        <v>25874</v>
      </c>
      <c r="I1429" t="inlineStr">
        <is>
          <t>3.2</t>
        </is>
      </c>
      <c r="J1429" t="inlineStr">
        <is>
          <t>Ventas Personas (B2C)</t>
        </is>
      </c>
      <c r="K1429" t="inlineStr">
        <is>
          <t>CH2</t>
        </is>
      </c>
    </row>
    <row r="1430">
      <c r="A1430" s="33" t="n">
        <v>45790</v>
      </c>
      <c r="B1430" t="inlineStr">
        <is>
          <t>2025-05</t>
        </is>
      </c>
      <c r="C1430" t="inlineStr">
        <is>
          <t>CRISTOBAL ESPINOSA</t>
        </is>
      </c>
      <c r="D1430" t="inlineStr">
        <is>
          <t>Petit Tradicional</t>
        </is>
      </c>
      <c r="E1430" s="34" t="n">
        <v>26800</v>
      </c>
      <c r="F1430" t="inlineStr">
        <is>
          <t>B</t>
        </is>
      </c>
      <c r="G1430" s="34" t="n">
        <v>4279</v>
      </c>
      <c r="H1430" s="34" t="n">
        <v>22521</v>
      </c>
      <c r="I1430" t="inlineStr">
        <is>
          <t>3.2</t>
        </is>
      </c>
      <c r="J1430" t="inlineStr">
        <is>
          <t>Ventas Personas (B2C)</t>
        </is>
      </c>
      <c r="K1430" t="inlineStr">
        <is>
          <t>CH2</t>
        </is>
      </c>
    </row>
    <row r="1431">
      <c r="A1431" s="33" t="n">
        <v>45790</v>
      </c>
      <c r="B1431" t="inlineStr">
        <is>
          <t>2025-05</t>
        </is>
      </c>
      <c r="C1431" t="inlineStr">
        <is>
          <t>José Manuel Peralta Salinas</t>
        </is>
      </c>
      <c r="D1431" t="inlineStr">
        <is>
          <t>Petit Crunchy</t>
        </is>
      </c>
      <c r="E1431" s="34" t="n">
        <v>18890</v>
      </c>
      <c r="F1431" t="inlineStr">
        <is>
          <t>B</t>
        </is>
      </c>
      <c r="G1431" s="34" t="n">
        <v>3016</v>
      </c>
      <c r="H1431" s="34" t="n">
        <v>15874</v>
      </c>
      <c r="I1431" t="inlineStr">
        <is>
          <t>3.2</t>
        </is>
      </c>
      <c r="J1431" t="inlineStr">
        <is>
          <t>Ventas Personas (B2C)</t>
        </is>
      </c>
      <c r="K1431" t="inlineStr">
        <is>
          <t>CH2</t>
        </is>
      </c>
    </row>
    <row r="1432">
      <c r="A1432" s="33" t="n">
        <v>45791</v>
      </c>
      <c r="B1432" t="inlineStr">
        <is>
          <t>2025-05</t>
        </is>
      </c>
      <c r="C1432" t="inlineStr">
        <is>
          <t>D&amp;S SERVICIOS DE ALIMENTACIÓN SpA</t>
        </is>
      </c>
      <c r="D1432" t="inlineStr">
        <is>
          <t xml:space="preserve">THE COFFEE STORE </t>
        </is>
      </c>
      <c r="E1432" s="34" t="n">
        <v>37977</v>
      </c>
      <c r="F1432" t="inlineStr">
        <is>
          <t>F</t>
        </is>
      </c>
      <c r="G1432" s="34" t="n">
        <v>6064</v>
      </c>
      <c r="H1432" s="34" t="n">
        <v>31913</v>
      </c>
      <c r="I1432" t="inlineStr">
        <is>
          <t>3.1</t>
        </is>
      </c>
      <c r="J1432" t="inlineStr">
        <is>
          <t>Ventas HoReCa</t>
        </is>
      </c>
      <c r="K1432" t="inlineStr">
        <is>
          <t>CH1</t>
        </is>
      </c>
    </row>
    <row r="1433">
      <c r="A1433" s="33" t="n">
        <v>45791</v>
      </c>
      <c r="B1433" t="inlineStr">
        <is>
          <t>2025-05</t>
        </is>
      </c>
      <c r="C1433" t="inlineStr">
        <is>
          <t>Santa María spa</t>
        </is>
      </c>
      <c r="D1433" t="inlineStr">
        <is>
          <t>HORECA CAFETERIA</t>
        </is>
      </c>
      <c r="E1433" s="34" t="n">
        <v>178850</v>
      </c>
      <c r="F1433" t="inlineStr">
        <is>
          <t>F</t>
        </is>
      </c>
      <c r="G1433" s="34" t="n">
        <v>28556</v>
      </c>
      <c r="H1433" s="34" t="n">
        <v>150294</v>
      </c>
      <c r="I1433" t="inlineStr">
        <is>
          <t>3.1</t>
        </is>
      </c>
      <c r="J1433" t="inlineStr">
        <is>
          <t>Ventas HoReCa</t>
        </is>
      </c>
      <c r="K1433" t="inlineStr">
        <is>
          <t>CH1</t>
        </is>
      </c>
    </row>
    <row r="1434">
      <c r="A1434" s="33" t="n">
        <v>45791</v>
      </c>
      <c r="B1434" t="inlineStr">
        <is>
          <t>2025-05</t>
        </is>
      </c>
      <c r="C1434" t="inlineStr">
        <is>
          <t>CAFETERIA THE ELEPHANT COFFEE LIMITADA</t>
        </is>
      </c>
      <c r="D1434" t="inlineStr">
        <is>
          <t>HORECA CAFETERIA</t>
        </is>
      </c>
      <c r="E1434" s="34" t="n">
        <v>138036</v>
      </c>
      <c r="F1434" t="inlineStr">
        <is>
          <t>F</t>
        </is>
      </c>
      <c r="G1434" s="34" t="n">
        <v>22039</v>
      </c>
      <c r="H1434" s="34" t="n">
        <v>115997</v>
      </c>
      <c r="I1434" t="inlineStr">
        <is>
          <t>3.1</t>
        </is>
      </c>
      <c r="J1434" t="inlineStr">
        <is>
          <t>Ventas HoReCa</t>
        </is>
      </c>
      <c r="K1434" t="inlineStr">
        <is>
          <t>CH1</t>
        </is>
      </c>
    </row>
    <row r="1435">
      <c r="A1435" s="33" t="n">
        <v>45791</v>
      </c>
      <c r="B1435" t="inlineStr">
        <is>
          <t>2025-05</t>
        </is>
      </c>
      <c r="C1435" t="inlineStr">
        <is>
          <t>Santiago Restrepo</t>
        </is>
      </c>
      <c r="D1435" t="inlineStr">
        <is>
          <t>Rellenos</t>
        </is>
      </c>
      <c r="E1435" s="34" t="n">
        <v>27890</v>
      </c>
      <c r="F1435" t="inlineStr">
        <is>
          <t>B</t>
        </is>
      </c>
      <c r="G1435" s="34" t="n">
        <v>4453</v>
      </c>
      <c r="H1435" s="34" t="n">
        <v>23437</v>
      </c>
      <c r="I1435" t="inlineStr">
        <is>
          <t>3.2</t>
        </is>
      </c>
      <c r="J1435" t="inlineStr">
        <is>
          <t>Ventas Personas (B2C)</t>
        </is>
      </c>
      <c r="K1435" t="inlineStr">
        <is>
          <t>CH2</t>
        </is>
      </c>
    </row>
    <row r="1436">
      <c r="A1436" s="33" t="n">
        <v>45791</v>
      </c>
      <c r="B1436" t="inlineStr">
        <is>
          <t>2025-05</t>
        </is>
      </c>
      <c r="C1436" t="inlineStr">
        <is>
          <t>Amanda Labbe</t>
        </is>
      </c>
      <c r="D1436" t="inlineStr">
        <is>
          <t>CANELÉ TRADICIONAL</t>
        </is>
      </c>
      <c r="E1436" s="34" t="n">
        <v>26890</v>
      </c>
      <c r="F1436" t="inlineStr">
        <is>
          <t>B</t>
        </is>
      </c>
      <c r="G1436" s="34" t="n">
        <v>4293</v>
      </c>
      <c r="H1436" s="34" t="n">
        <v>22597</v>
      </c>
      <c r="I1436" t="inlineStr">
        <is>
          <t>3.2</t>
        </is>
      </c>
      <c r="J1436" t="inlineStr">
        <is>
          <t>Ventas Personas (B2C)</t>
        </is>
      </c>
      <c r="K1436" t="inlineStr">
        <is>
          <t>CH2</t>
        </is>
      </c>
    </row>
    <row r="1437">
      <c r="A1437" s="33" t="n">
        <v>45791</v>
      </c>
      <c r="B1437" t="inlineStr">
        <is>
          <t>2025-05</t>
        </is>
      </c>
      <c r="C1437" t="inlineStr">
        <is>
          <t>nicolas gutierrez</t>
        </is>
      </c>
      <c r="D1437" t="inlineStr">
        <is>
          <t>CANELÉ TRADICIONAL</t>
        </is>
      </c>
      <c r="E1437" s="34" t="n">
        <v>30800</v>
      </c>
      <c r="F1437" t="inlineStr">
        <is>
          <t>B</t>
        </is>
      </c>
      <c r="G1437" s="34" t="n">
        <v>4918</v>
      </c>
      <c r="H1437" s="34" t="n">
        <v>25882</v>
      </c>
      <c r="I1437" t="inlineStr">
        <is>
          <t>3.2</t>
        </is>
      </c>
      <c r="J1437" t="inlineStr">
        <is>
          <t>Ventas Personas (B2C)</t>
        </is>
      </c>
      <c r="K1437" t="inlineStr">
        <is>
          <t>CH2</t>
        </is>
      </c>
    </row>
    <row r="1438">
      <c r="A1438" s="33" t="n">
        <v>45791</v>
      </c>
      <c r="B1438" t="inlineStr">
        <is>
          <t>2025-05</t>
        </is>
      </c>
      <c r="C1438" t="inlineStr">
        <is>
          <t>Sin cliente</t>
        </is>
      </c>
      <c r="D1438" t="inlineStr">
        <is>
          <t>REGION METROPOLITANA</t>
        </is>
      </c>
      <c r="E1438" s="34" t="n">
        <v>2989</v>
      </c>
      <c r="F1438" t="inlineStr">
        <is>
          <t>B</t>
        </is>
      </c>
      <c r="G1438" s="34" t="n">
        <v>477</v>
      </c>
      <c r="H1438" s="34" t="n">
        <v>2512</v>
      </c>
      <c r="I1438" t="inlineStr">
        <is>
          <t>3.2</t>
        </is>
      </c>
      <c r="J1438" t="inlineStr">
        <is>
          <t>Ventas Personas (B2C)</t>
        </is>
      </c>
      <c r="K1438" t="inlineStr">
        <is>
          <t>CH2</t>
        </is>
      </c>
    </row>
    <row r="1439">
      <c r="A1439" s="33" t="n">
        <v>45791</v>
      </c>
      <c r="B1439" t="inlineStr">
        <is>
          <t>2025-05</t>
        </is>
      </c>
      <c r="C1439" t="inlineStr">
        <is>
          <t>Sin cliente</t>
        </is>
      </c>
      <c r="D1439" t="inlineStr">
        <is>
          <t>PLATAFORMAS RAP-PEYA-UBER-GOOD</t>
        </is>
      </c>
      <c r="E1439" s="34" t="n">
        <v>15480</v>
      </c>
      <c r="F1439" t="inlineStr">
        <is>
          <t>B</t>
        </is>
      </c>
      <c r="G1439" s="34" t="n">
        <v>2472</v>
      </c>
      <c r="H1439" s="34" t="n">
        <v>13008</v>
      </c>
      <c r="I1439" t="inlineStr">
        <is>
          <t>3.6</t>
        </is>
      </c>
      <c r="J1439" t="inlineStr">
        <is>
          <t>Ventas Delivery Apps</t>
        </is>
      </c>
      <c r="K1439" t="inlineStr">
        <is>
          <t>CH3</t>
        </is>
      </c>
    </row>
    <row r="1440">
      <c r="A1440" s="33" t="n">
        <v>45792</v>
      </c>
      <c r="B1440" t="inlineStr">
        <is>
          <t>2025-05</t>
        </is>
      </c>
      <c r="C1440" t="inlineStr">
        <is>
          <t>CAFÉ UNDER SPA</t>
        </is>
      </c>
      <c r="D1440" t="inlineStr">
        <is>
          <t>HORECA CAFETERIA</t>
        </is>
      </c>
      <c r="E1440" s="34" t="n">
        <v>63966</v>
      </c>
      <c r="F1440" t="inlineStr">
        <is>
          <t>F</t>
        </is>
      </c>
      <c r="G1440" s="34" t="n">
        <v>10213</v>
      </c>
      <c r="H1440" s="34" t="n">
        <v>53753</v>
      </c>
      <c r="I1440" t="inlineStr">
        <is>
          <t>3.1</t>
        </is>
      </c>
      <c r="J1440" t="inlineStr">
        <is>
          <t>Ventas HoReCa</t>
        </is>
      </c>
      <c r="K1440" t="inlineStr">
        <is>
          <t>CH1</t>
        </is>
      </c>
    </row>
    <row r="1441">
      <c r="A1441" s="33" t="n">
        <v>45792</v>
      </c>
      <c r="B1441" t="inlineStr">
        <is>
          <t>2025-05</t>
        </is>
      </c>
      <c r="C1441" t="inlineStr">
        <is>
          <t>HUERTO SUR LIMITADA</t>
        </is>
      </c>
      <c r="D1441" t="inlineStr">
        <is>
          <t>HORECA CAFETERIA</t>
        </is>
      </c>
      <c r="E1441" s="34" t="n">
        <v>165846</v>
      </c>
      <c r="F1441" t="inlineStr">
        <is>
          <t>F</t>
        </is>
      </c>
      <c r="G1441" s="34" t="n">
        <v>26480</v>
      </c>
      <c r="H1441" s="34" t="n">
        <v>139366</v>
      </c>
      <c r="I1441" t="inlineStr">
        <is>
          <t>3.1</t>
        </is>
      </c>
      <c r="J1441" t="inlineStr">
        <is>
          <t>Ventas HoReCa</t>
        </is>
      </c>
      <c r="K1441" t="inlineStr">
        <is>
          <t>CH1</t>
        </is>
      </c>
    </row>
    <row r="1442">
      <c r="A1442" s="33" t="n">
        <v>45792</v>
      </c>
      <c r="B1442" t="inlineStr">
        <is>
          <t>2025-05</t>
        </is>
      </c>
      <c r="C1442" t="inlineStr">
        <is>
          <t>Alexandra Moya</t>
        </is>
      </c>
      <c r="D1442" t="inlineStr">
        <is>
          <t>Petit Crunchy</t>
        </is>
      </c>
      <c r="E1442" s="34" t="n">
        <v>31789</v>
      </c>
      <c r="F1442" t="inlineStr">
        <is>
          <t>B</t>
        </is>
      </c>
      <c r="G1442" s="34" t="n">
        <v>5076</v>
      </c>
      <c r="H1442" s="34" t="n">
        <v>26713</v>
      </c>
      <c r="I1442" t="inlineStr">
        <is>
          <t>3.2</t>
        </is>
      </c>
      <c r="J1442" t="inlineStr">
        <is>
          <t>Ventas Personas (B2C)</t>
        </is>
      </c>
      <c r="K1442" t="inlineStr">
        <is>
          <t>CH2</t>
        </is>
      </c>
    </row>
    <row r="1443">
      <c r="A1443" s="33" t="n">
        <v>45792</v>
      </c>
      <c r="B1443" t="inlineStr">
        <is>
          <t>2025-05</t>
        </is>
      </c>
      <c r="C1443" t="inlineStr">
        <is>
          <t>Carolina Campo - Martinez</t>
        </is>
      </c>
      <c r="D1443" t="inlineStr">
        <is>
          <t>CANELE SIN AZUCAR</t>
        </is>
      </c>
      <c r="E1443" s="34" t="n">
        <v>24640</v>
      </c>
      <c r="F1443" t="inlineStr">
        <is>
          <t>B</t>
        </is>
      </c>
      <c r="G1443" s="34" t="n">
        <v>3934</v>
      </c>
      <c r="H1443" s="34" t="n">
        <v>20706</v>
      </c>
      <c r="I1443" t="inlineStr">
        <is>
          <t>3.2</t>
        </is>
      </c>
      <c r="J1443" t="inlineStr">
        <is>
          <t>Ventas Personas (B2C)</t>
        </is>
      </c>
      <c r="K1443" t="inlineStr">
        <is>
          <t>CH2</t>
        </is>
      </c>
    </row>
    <row r="1444">
      <c r="A1444" s="33" t="n">
        <v>45792</v>
      </c>
      <c r="B1444" t="inlineStr">
        <is>
          <t>2025-05</t>
        </is>
      </c>
      <c r="C1444" t="inlineStr">
        <is>
          <t>RC BANQUETERIA SPA</t>
        </is>
      </c>
      <c r="D1444" t="inlineStr">
        <is>
          <t>CANELÉ TRADICIONAL</t>
        </is>
      </c>
      <c r="E1444" s="34" t="n">
        <v>53800</v>
      </c>
      <c r="F1444" t="inlineStr">
        <is>
          <t>F</t>
        </is>
      </c>
      <c r="G1444" s="34" t="n">
        <v>8590</v>
      </c>
      <c r="H1444" s="34" t="n">
        <v>45210</v>
      </c>
      <c r="I1444" t="inlineStr">
        <is>
          <t>3.1</t>
        </is>
      </c>
      <c r="J1444" t="inlineStr">
        <is>
          <t>Ventas HoReCa</t>
        </is>
      </c>
      <c r="K1444" t="inlineStr">
        <is>
          <t>CH1</t>
        </is>
      </c>
    </row>
    <row r="1445">
      <c r="A1445" s="33" t="n">
        <v>45792</v>
      </c>
      <c r="B1445" t="inlineStr">
        <is>
          <t>2025-05</t>
        </is>
      </c>
      <c r="C1445" t="inlineStr">
        <is>
          <t>RC BANQUETERIA SPA</t>
        </is>
      </c>
      <c r="D1445" t="inlineStr">
        <is>
          <t>REGION METROPOLITANA</t>
        </is>
      </c>
      <c r="E1445" s="34" t="n">
        <v>3990</v>
      </c>
      <c r="F1445" t="inlineStr">
        <is>
          <t>F</t>
        </is>
      </c>
      <c r="G1445" s="34" t="n">
        <v>637</v>
      </c>
      <c r="H1445" s="34" t="n">
        <v>3353</v>
      </c>
      <c r="I1445" t="inlineStr">
        <is>
          <t>3.1</t>
        </is>
      </c>
      <c r="J1445" t="inlineStr">
        <is>
          <t>Ventas HoReCa</t>
        </is>
      </c>
      <c r="K1445" t="inlineStr">
        <is>
          <t>CH1</t>
        </is>
      </c>
    </row>
    <row r="1446">
      <c r="A1446" s="33" t="n">
        <v>45792</v>
      </c>
      <c r="B1446" t="inlineStr">
        <is>
          <t>2025-05</t>
        </is>
      </c>
      <c r="C1446" t="inlineStr">
        <is>
          <t>Eyleen Araya Fuentes</t>
        </is>
      </c>
      <c r="D1446" t="inlineStr">
        <is>
          <t>Petit Tradicional</t>
        </is>
      </c>
      <c r="E1446" s="34" t="n">
        <v>25890</v>
      </c>
      <c r="F1446" t="inlineStr">
        <is>
          <t>B</t>
        </is>
      </c>
      <c r="G1446" s="34" t="n">
        <v>4134</v>
      </c>
      <c r="H1446" s="34" t="n">
        <v>21756</v>
      </c>
      <c r="I1446" t="inlineStr">
        <is>
          <t>3.2</t>
        </is>
      </c>
      <c r="J1446" t="inlineStr">
        <is>
          <t>Ventas Personas (B2C)</t>
        </is>
      </c>
      <c r="K1446" t="inlineStr">
        <is>
          <t>CH2</t>
        </is>
      </c>
    </row>
    <row r="1447">
      <c r="A1447" s="33" t="n">
        <v>45792</v>
      </c>
      <c r="B1447" t="inlineStr">
        <is>
          <t>2025-05</t>
        </is>
      </c>
      <c r="C1447" t="inlineStr">
        <is>
          <t>RC BANQUETERIA SPA</t>
        </is>
      </c>
      <c r="D1447" t="inlineStr">
        <is>
          <t>REGION METROPOLITANA</t>
        </is>
      </c>
      <c r="E1447" s="34" t="n">
        <v>-3990</v>
      </c>
      <c r="F1447" t="inlineStr">
        <is>
          <t>NC</t>
        </is>
      </c>
      <c r="G1447" s="34" t="n">
        <v>-637</v>
      </c>
      <c r="H1447" s="34" t="n">
        <v>-3353</v>
      </c>
      <c r="I1447" t="inlineStr">
        <is>
          <t>3.2</t>
        </is>
      </c>
      <c r="J1447" t="inlineStr">
        <is>
          <t>Ventas Personas (B2C)</t>
        </is>
      </c>
      <c r="K1447" t="inlineStr">
        <is>
          <t>CH2</t>
        </is>
      </c>
    </row>
    <row r="1448">
      <c r="A1448" s="33" t="n">
        <v>45792</v>
      </c>
      <c r="B1448" t="inlineStr">
        <is>
          <t>2025-05</t>
        </is>
      </c>
      <c r="C1448" t="inlineStr">
        <is>
          <t>RC BANQUETERIA SPA</t>
        </is>
      </c>
      <c r="D1448" t="inlineStr">
        <is>
          <t>CANELÉ TRADICIONAL</t>
        </is>
      </c>
      <c r="E1448" s="34" t="n">
        <v>-53800</v>
      </c>
      <c r="F1448" t="inlineStr">
        <is>
          <t>NC</t>
        </is>
      </c>
      <c r="G1448" s="34" t="n">
        <v>-8590</v>
      </c>
      <c r="H1448" s="34" t="n">
        <v>-45210</v>
      </c>
      <c r="I1448" t="inlineStr">
        <is>
          <t>3.2</t>
        </is>
      </c>
      <c r="J1448" t="inlineStr">
        <is>
          <t>Ventas Personas (B2C)</t>
        </is>
      </c>
      <c r="K1448" t="inlineStr">
        <is>
          <t>CH2</t>
        </is>
      </c>
    </row>
    <row r="1449">
      <c r="A1449" s="33" t="n">
        <v>45792</v>
      </c>
      <c r="B1449" t="inlineStr">
        <is>
          <t>2025-05</t>
        </is>
      </c>
      <c r="C1449" t="inlineStr">
        <is>
          <t>Arturo Chue</t>
        </is>
      </c>
      <c r="D1449" t="inlineStr">
        <is>
          <t>Petit Tradicional</t>
        </is>
      </c>
      <c r="E1449" s="34" t="n">
        <v>47690</v>
      </c>
      <c r="F1449" t="inlineStr">
        <is>
          <t>B</t>
        </is>
      </c>
      <c r="G1449" s="34" t="n">
        <v>7614</v>
      </c>
      <c r="H1449" s="34" t="n">
        <v>40076</v>
      </c>
      <c r="I1449" t="inlineStr">
        <is>
          <t>3.2</t>
        </is>
      </c>
      <c r="J1449" t="inlineStr">
        <is>
          <t>Ventas Personas (B2C)</t>
        </is>
      </c>
      <c r="K1449" t="inlineStr">
        <is>
          <t>CH2</t>
        </is>
      </c>
    </row>
    <row r="1450">
      <c r="A1450" s="33" t="n">
        <v>45792</v>
      </c>
      <c r="B1450" t="inlineStr">
        <is>
          <t>2025-05</t>
        </is>
      </c>
      <c r="C1450" t="inlineStr">
        <is>
          <t>Alicia Rebolledo iglesias</t>
        </is>
      </c>
      <c r="D1450" t="inlineStr">
        <is>
          <t>SALSAS</t>
        </is>
      </c>
      <c r="E1450" s="34" t="n">
        <v>64670</v>
      </c>
      <c r="F1450" t="inlineStr">
        <is>
          <t>B</t>
        </is>
      </c>
      <c r="G1450" s="34" t="n">
        <v>10325</v>
      </c>
      <c r="H1450" s="34" t="n">
        <v>54345</v>
      </c>
      <c r="I1450" t="inlineStr">
        <is>
          <t>3.2</t>
        </is>
      </c>
      <c r="J1450" t="inlineStr">
        <is>
          <t>Ventas Personas (B2C)</t>
        </is>
      </c>
      <c r="K1450" t="inlineStr">
        <is>
          <t>CH2</t>
        </is>
      </c>
    </row>
    <row r="1451">
      <c r="A1451" s="33" t="n">
        <v>45792</v>
      </c>
      <c r="B1451" t="inlineStr">
        <is>
          <t>2025-05</t>
        </is>
      </c>
      <c r="C1451" t="inlineStr">
        <is>
          <t>Sin cliente</t>
        </is>
      </c>
      <c r="D1451" t="inlineStr">
        <is>
          <t>CANELÉ TRADICIONAL</t>
        </is>
      </c>
      <c r="E1451" s="34" t="n">
        <v>29800</v>
      </c>
      <c r="F1451" t="inlineStr">
        <is>
          <t>B</t>
        </is>
      </c>
      <c r="G1451" s="34" t="n">
        <v>4758</v>
      </c>
      <c r="H1451" s="34" t="n">
        <v>25042</v>
      </c>
      <c r="I1451" t="inlineStr">
        <is>
          <t>3.2</t>
        </is>
      </c>
      <c r="J1451" t="inlineStr">
        <is>
          <t>Ventas Personas (B2C)</t>
        </is>
      </c>
      <c r="K1451" t="inlineStr">
        <is>
          <t>CH2</t>
        </is>
      </c>
    </row>
    <row r="1452">
      <c r="A1452" s="33" t="n">
        <v>45792</v>
      </c>
      <c r="B1452" t="inlineStr">
        <is>
          <t>2025-05</t>
        </is>
      </c>
      <c r="C1452" t="inlineStr">
        <is>
          <t>Marcelo Hormazábal</t>
        </is>
      </c>
      <c r="D1452" t="inlineStr">
        <is>
          <t>CANELE SIN AZUCAR</t>
        </is>
      </c>
      <c r="E1452" s="34" t="n">
        <v>26289</v>
      </c>
      <c r="F1452" t="inlineStr">
        <is>
          <t>B</t>
        </is>
      </c>
      <c r="G1452" s="34" t="n">
        <v>4197</v>
      </c>
      <c r="H1452" s="34" t="n">
        <v>22092</v>
      </c>
      <c r="I1452" t="inlineStr">
        <is>
          <t>3.2</t>
        </is>
      </c>
      <c r="J1452" t="inlineStr">
        <is>
          <t>Ventas Personas (B2C)</t>
        </is>
      </c>
      <c r="K1452" t="inlineStr">
        <is>
          <t>CH2</t>
        </is>
      </c>
    </row>
    <row r="1453">
      <c r="A1453" s="33" t="n">
        <v>45792</v>
      </c>
      <c r="B1453" t="inlineStr">
        <is>
          <t>2025-05</t>
        </is>
      </c>
      <c r="C1453" t="inlineStr">
        <is>
          <t>Sin cliente</t>
        </is>
      </c>
      <c r="D1453" t="inlineStr">
        <is>
          <t>CANELÉ TRADICIONAL</t>
        </is>
      </c>
      <c r="E1453" s="34" t="n">
        <v>26900</v>
      </c>
      <c r="F1453" t="inlineStr">
        <is>
          <t>B</t>
        </is>
      </c>
      <c r="G1453" s="34" t="n">
        <v>4295</v>
      </c>
      <c r="H1453" s="34" t="n">
        <v>22605</v>
      </c>
      <c r="I1453" t="inlineStr">
        <is>
          <t>3.2</t>
        </is>
      </c>
      <c r="J1453" t="inlineStr">
        <is>
          <t>Ventas Personas (B2C)</t>
        </is>
      </c>
      <c r="K1453" t="inlineStr">
        <is>
          <t>CH2</t>
        </is>
      </c>
    </row>
    <row r="1454">
      <c r="A1454" s="33" t="n">
        <v>45792</v>
      </c>
      <c r="B1454" t="inlineStr">
        <is>
          <t>2025-05</t>
        </is>
      </c>
      <c r="C1454" t="inlineStr">
        <is>
          <t>Sin cliente</t>
        </is>
      </c>
      <c r="D1454" t="inlineStr">
        <is>
          <t>Petit Crunchy</t>
        </is>
      </c>
      <c r="E1454" s="34" t="n">
        <v>13900</v>
      </c>
      <c r="F1454" t="inlineStr">
        <is>
          <t>B</t>
        </is>
      </c>
      <c r="G1454" s="34" t="n">
        <v>2219</v>
      </c>
      <c r="H1454" s="34" t="n">
        <v>11681</v>
      </c>
      <c r="I1454" t="inlineStr">
        <is>
          <t>3.2</t>
        </is>
      </c>
      <c r="J1454" t="inlineStr">
        <is>
          <t>Ventas Personas (B2C)</t>
        </is>
      </c>
      <c r="K1454" t="inlineStr">
        <is>
          <t>CH2</t>
        </is>
      </c>
    </row>
    <row r="1455">
      <c r="A1455" s="33" t="n">
        <v>45792</v>
      </c>
      <c r="B1455" t="inlineStr">
        <is>
          <t>2025-05</t>
        </is>
      </c>
      <c r="C1455" t="inlineStr">
        <is>
          <t>Douglas  Guetat</t>
        </is>
      </c>
      <c r="D1455" t="inlineStr">
        <is>
          <t>CANELÉ TRADICIONAL</t>
        </is>
      </c>
      <c r="E1455" s="34" t="n">
        <v>36800</v>
      </c>
      <c r="F1455" t="inlineStr">
        <is>
          <t>B</t>
        </is>
      </c>
      <c r="G1455" s="34" t="n">
        <v>5876</v>
      </c>
      <c r="H1455" s="34" t="n">
        <v>30924</v>
      </c>
      <c r="I1455" t="inlineStr">
        <is>
          <t>3.2</t>
        </is>
      </c>
      <c r="J1455" t="inlineStr">
        <is>
          <t>Ventas Personas (B2C)</t>
        </is>
      </c>
      <c r="K1455" t="inlineStr">
        <is>
          <t>CH2</t>
        </is>
      </c>
    </row>
    <row r="1456">
      <c r="A1456" s="33" t="n">
        <v>45792</v>
      </c>
      <c r="B1456" t="inlineStr">
        <is>
          <t>2025-05</t>
        </is>
      </c>
      <c r="C1456" t="inlineStr">
        <is>
          <t>RC BANQUETERIA SPA</t>
        </is>
      </c>
      <c r="D1456" t="inlineStr">
        <is>
          <t>HORECA CATERING</t>
        </is>
      </c>
      <c r="E1456" s="34" t="n">
        <v>37013</v>
      </c>
      <c r="F1456" t="inlineStr">
        <is>
          <t>F</t>
        </is>
      </c>
      <c r="G1456" s="34" t="n">
        <v>5910</v>
      </c>
      <c r="H1456" s="34" t="n">
        <v>31103</v>
      </c>
      <c r="I1456" t="inlineStr">
        <is>
          <t>3.1</t>
        </is>
      </c>
      <c r="J1456" t="inlineStr">
        <is>
          <t>Ventas HoReCa</t>
        </is>
      </c>
      <c r="K1456" t="inlineStr">
        <is>
          <t>CH1</t>
        </is>
      </c>
    </row>
    <row r="1457">
      <c r="A1457" s="33" t="n">
        <v>45793</v>
      </c>
      <c r="B1457" t="inlineStr">
        <is>
          <t>2025-05</t>
        </is>
      </c>
      <c r="C1457" t="inlineStr">
        <is>
          <t>POMPON SPA</t>
        </is>
      </c>
      <c r="D1457" t="inlineStr">
        <is>
          <t>HORECA CAFETERIA</t>
        </is>
      </c>
      <c r="E1457" s="34" t="n">
        <v>220150</v>
      </c>
      <c r="F1457" t="inlineStr">
        <is>
          <t>F</t>
        </is>
      </c>
      <c r="G1457" s="34" t="n">
        <v>35150</v>
      </c>
      <c r="H1457" s="34" t="n">
        <v>185000</v>
      </c>
      <c r="I1457" t="inlineStr">
        <is>
          <t>3.1</t>
        </is>
      </c>
      <c r="J1457" t="inlineStr">
        <is>
          <t>Ventas HoReCa</t>
        </is>
      </c>
      <c r="K1457" t="inlineStr">
        <is>
          <t>CH1</t>
        </is>
      </c>
    </row>
    <row r="1458">
      <c r="A1458" s="33" t="n">
        <v>45793</v>
      </c>
      <c r="B1458" t="inlineStr">
        <is>
          <t>2025-05</t>
        </is>
      </c>
      <c r="C1458" t="inlineStr">
        <is>
          <t>Better Food Spa</t>
        </is>
      </c>
      <c r="D1458" t="inlineStr">
        <is>
          <t>HORECA CAFETERIA</t>
        </is>
      </c>
      <c r="E1458" s="34" t="n">
        <v>449820</v>
      </c>
      <c r="F1458" t="inlineStr">
        <is>
          <t>F</t>
        </is>
      </c>
      <c r="G1458" s="34" t="n">
        <v>71820</v>
      </c>
      <c r="H1458" s="34" t="n">
        <v>378000</v>
      </c>
      <c r="I1458" t="inlineStr">
        <is>
          <t>3.1</t>
        </is>
      </c>
      <c r="J1458" t="inlineStr">
        <is>
          <t>Ventas HoReCa</t>
        </is>
      </c>
      <c r="K1458" t="inlineStr">
        <is>
          <t>CH1</t>
        </is>
      </c>
    </row>
    <row r="1459">
      <c r="A1459" s="33" t="n">
        <v>45793</v>
      </c>
      <c r="B1459" t="inlineStr">
        <is>
          <t>2025-05</t>
        </is>
      </c>
      <c r="C1459" t="inlineStr">
        <is>
          <t>CUATROTRESTRES CAFÉ SPA</t>
        </is>
      </c>
      <c r="D1459" t="inlineStr">
        <is>
          <t>HORECA CAFETERIA</t>
        </is>
      </c>
      <c r="E1459" s="34" t="n">
        <v>47425</v>
      </c>
      <c r="F1459" t="inlineStr">
        <is>
          <t>F</t>
        </is>
      </c>
      <c r="G1459" s="34" t="n">
        <v>7572</v>
      </c>
      <c r="H1459" s="34" t="n">
        <v>39853</v>
      </c>
      <c r="I1459" t="inlineStr">
        <is>
          <t>3.1</t>
        </is>
      </c>
      <c r="J1459" t="inlineStr">
        <is>
          <t>Ventas HoReCa</t>
        </is>
      </c>
      <c r="K1459" t="inlineStr">
        <is>
          <t>CH1</t>
        </is>
      </c>
    </row>
    <row r="1460">
      <c r="A1460" s="33" t="n">
        <v>45793</v>
      </c>
      <c r="B1460" t="inlineStr">
        <is>
          <t>2025-05</t>
        </is>
      </c>
      <c r="C1460" t="inlineStr">
        <is>
          <t>Alismar Alvarez Arias</t>
        </is>
      </c>
      <c r="D1460" t="inlineStr">
        <is>
          <t>CANELE SIN AZUCAR</t>
        </is>
      </c>
      <c r="E1460" s="34" t="n">
        <v>24690</v>
      </c>
      <c r="F1460" t="inlineStr">
        <is>
          <t>B</t>
        </is>
      </c>
      <c r="G1460" s="34" t="n">
        <v>3942</v>
      </c>
      <c r="H1460" s="34" t="n">
        <v>20748</v>
      </c>
      <c r="I1460" t="inlineStr">
        <is>
          <t>3.2</t>
        </is>
      </c>
      <c r="J1460" t="inlineStr">
        <is>
          <t>Ventas Personas (B2C)</t>
        </is>
      </c>
      <c r="K1460" t="inlineStr">
        <is>
          <t>CH2</t>
        </is>
      </c>
    </row>
    <row r="1461">
      <c r="A1461" s="33" t="n">
        <v>45793</v>
      </c>
      <c r="B1461" t="inlineStr">
        <is>
          <t>2025-05</t>
        </is>
      </c>
      <c r="C1461" t="inlineStr">
        <is>
          <t>VILAS BANQUETERIAS SPA</t>
        </is>
      </c>
      <c r="D1461" t="inlineStr">
        <is>
          <t>HORECA CATERING</t>
        </is>
      </c>
      <c r="E1461" s="34" t="n">
        <v>232506</v>
      </c>
      <c r="F1461" t="inlineStr">
        <is>
          <t>F</t>
        </is>
      </c>
      <c r="G1461" s="34" t="n">
        <v>37123</v>
      </c>
      <c r="H1461" s="34" t="n">
        <v>195383</v>
      </c>
      <c r="I1461" t="inlineStr">
        <is>
          <t>3.1</t>
        </is>
      </c>
      <c r="J1461" t="inlineStr">
        <is>
          <t>Ventas HoReCa</t>
        </is>
      </c>
      <c r="K1461" t="inlineStr">
        <is>
          <t>CH1</t>
        </is>
      </c>
    </row>
    <row r="1462">
      <c r="A1462" s="33" t="n">
        <v>45793</v>
      </c>
      <c r="B1462" t="inlineStr">
        <is>
          <t>2025-05</t>
        </is>
      </c>
      <c r="C1462" t="inlineStr">
        <is>
          <t>CAFETERÍAS MISTER SPA</t>
        </is>
      </c>
      <c r="D1462" t="inlineStr">
        <is>
          <t>HORECA CAFETERIA</t>
        </is>
      </c>
      <c r="E1462" s="34" t="n">
        <v>33978</v>
      </c>
      <c r="F1462" t="inlineStr">
        <is>
          <t>F</t>
        </is>
      </c>
      <c r="G1462" s="34" t="n">
        <v>5425</v>
      </c>
      <c r="H1462" s="34" t="n">
        <v>28553</v>
      </c>
      <c r="I1462" t="inlineStr">
        <is>
          <t>3.1</t>
        </is>
      </c>
      <c r="J1462" t="inlineStr">
        <is>
          <t>Ventas HoReCa</t>
        </is>
      </c>
      <c r="K1462" t="inlineStr">
        <is>
          <t>CH1</t>
        </is>
      </c>
    </row>
    <row r="1463">
      <c r="A1463" s="33" t="n">
        <v>45793</v>
      </c>
      <c r="B1463" t="inlineStr">
        <is>
          <t>2025-05</t>
        </is>
      </c>
      <c r="C1463" t="inlineStr">
        <is>
          <t>CUATROTRESTRES CAFÉ SPA</t>
        </is>
      </c>
      <c r="D1463" t="inlineStr">
        <is>
          <t>HORECA CAFETERIA</t>
        </is>
      </c>
      <c r="E1463" s="34" t="n">
        <v>-47425</v>
      </c>
      <c r="F1463" t="inlineStr">
        <is>
          <t>NC</t>
        </is>
      </c>
      <c r="G1463" s="34" t="n">
        <v>-7572</v>
      </c>
      <c r="H1463" s="34" t="n">
        <v>-39853</v>
      </c>
      <c r="I1463" t="inlineStr">
        <is>
          <t>3.1</t>
        </is>
      </c>
      <c r="J1463" t="inlineStr">
        <is>
          <t>Ventas HoReCa</t>
        </is>
      </c>
      <c r="K1463" t="inlineStr">
        <is>
          <t>CH1</t>
        </is>
      </c>
    </row>
    <row r="1464">
      <c r="A1464" s="33" t="n">
        <v>45793</v>
      </c>
      <c r="B1464" t="inlineStr">
        <is>
          <t>2025-05</t>
        </is>
      </c>
      <c r="C1464" t="inlineStr">
        <is>
          <t>Gisela Awad</t>
        </is>
      </c>
      <c r="D1464" t="inlineStr">
        <is>
          <t>Delicatessen</t>
        </is>
      </c>
      <c r="E1464" s="34" t="n">
        <v>42690</v>
      </c>
      <c r="F1464" t="inlineStr">
        <is>
          <t>B</t>
        </is>
      </c>
      <c r="G1464" s="34" t="n">
        <v>6816</v>
      </c>
      <c r="H1464" s="34" t="n">
        <v>35874</v>
      </c>
      <c r="I1464" t="inlineStr">
        <is>
          <t>3.2</t>
        </is>
      </c>
      <c r="J1464" t="inlineStr">
        <is>
          <t>Ventas Personas (B2C)</t>
        </is>
      </c>
      <c r="K1464" t="inlineStr">
        <is>
          <t>CH2</t>
        </is>
      </c>
    </row>
    <row r="1465">
      <c r="A1465" s="33" t="n">
        <v>45793</v>
      </c>
      <c r="B1465" t="inlineStr">
        <is>
          <t>2025-05</t>
        </is>
      </c>
      <c r="C1465" t="inlineStr">
        <is>
          <t>CUATROTRESTRES CAFÉ SPA</t>
        </is>
      </c>
      <c r="D1465" t="inlineStr">
        <is>
          <t>HORECA CAFETERIA</t>
        </is>
      </c>
      <c r="E1465" s="34" t="n">
        <v>126322</v>
      </c>
      <c r="F1465" t="inlineStr">
        <is>
          <t>F</t>
        </is>
      </c>
      <c r="G1465" s="34" t="n">
        <v>20169</v>
      </c>
      <c r="H1465" s="34" t="n">
        <v>106153</v>
      </c>
      <c r="I1465" t="inlineStr">
        <is>
          <t>3.1</t>
        </is>
      </c>
      <c r="J1465" t="inlineStr">
        <is>
          <t>Ventas HoReCa</t>
        </is>
      </c>
      <c r="K1465" t="inlineStr">
        <is>
          <t>CH1</t>
        </is>
      </c>
    </row>
    <row r="1466">
      <c r="A1466" s="33" t="n">
        <v>45793</v>
      </c>
      <c r="B1466" t="inlineStr">
        <is>
          <t>2025-05</t>
        </is>
      </c>
      <c r="C1466" t="inlineStr">
        <is>
          <t>BLUE OAK COFFE SPA</t>
        </is>
      </c>
      <c r="D1466" t="inlineStr">
        <is>
          <t>HORECA CAFETERIA</t>
        </is>
      </c>
      <c r="E1466" s="34" t="n">
        <v>43435</v>
      </c>
      <c r="F1466" t="inlineStr">
        <is>
          <t>F</t>
        </is>
      </c>
      <c r="G1466" s="34" t="n">
        <v>6935</v>
      </c>
      <c r="H1466" s="34" t="n">
        <v>36500</v>
      </c>
      <c r="I1466" t="inlineStr">
        <is>
          <t>3.1</t>
        </is>
      </c>
      <c r="J1466" t="inlineStr">
        <is>
          <t>Ventas HoReCa</t>
        </is>
      </c>
      <c r="K1466" t="inlineStr">
        <is>
          <t>CH1</t>
        </is>
      </c>
    </row>
    <row r="1467">
      <c r="A1467" s="33" t="n">
        <v>45793</v>
      </c>
      <c r="B1467" t="inlineStr">
        <is>
          <t>2025-05</t>
        </is>
      </c>
      <c r="C1467" t="inlineStr">
        <is>
          <t>BLUE OAK COFFE SPA</t>
        </is>
      </c>
      <c r="D1467" t="inlineStr">
        <is>
          <t>REGION METROPOLITANA</t>
        </is>
      </c>
      <c r="E1467" s="34" t="n">
        <v>3500</v>
      </c>
      <c r="F1467" t="inlineStr">
        <is>
          <t>F</t>
        </is>
      </c>
      <c r="G1467" s="34" t="n">
        <v>559</v>
      </c>
      <c r="H1467" s="34" t="n">
        <v>2941</v>
      </c>
      <c r="I1467" t="inlineStr">
        <is>
          <t>3.1</t>
        </is>
      </c>
      <c r="J1467" t="inlineStr">
        <is>
          <t>Ventas HoReCa</t>
        </is>
      </c>
      <c r="K1467" t="inlineStr">
        <is>
          <t>CH1</t>
        </is>
      </c>
    </row>
    <row r="1468">
      <c r="A1468" s="33" t="n">
        <v>45793</v>
      </c>
      <c r="B1468" t="inlineStr">
        <is>
          <t>2025-05</t>
        </is>
      </c>
      <c r="C1468" t="inlineStr">
        <is>
          <t>gustavo  moreno</t>
        </is>
      </c>
      <c r="D1468" t="inlineStr">
        <is>
          <t>CANELÉ TRADICIONAL</t>
        </is>
      </c>
      <c r="E1468" s="34" t="n">
        <v>21900</v>
      </c>
      <c r="F1468" t="inlineStr">
        <is>
          <t>B</t>
        </is>
      </c>
      <c r="G1468" s="34" t="n">
        <v>3497</v>
      </c>
      <c r="H1468" s="34" t="n">
        <v>18403</v>
      </c>
      <c r="I1468" t="inlineStr">
        <is>
          <t>3.2</t>
        </is>
      </c>
      <c r="J1468" t="inlineStr">
        <is>
          <t>Ventas Personas (B2C)</t>
        </is>
      </c>
      <c r="K1468" t="inlineStr">
        <is>
          <t>CH2</t>
        </is>
      </c>
    </row>
    <row r="1469">
      <c r="A1469" s="33" t="n">
        <v>45793</v>
      </c>
      <c r="B1469" t="inlineStr">
        <is>
          <t>2025-05</t>
        </is>
      </c>
      <c r="C1469" t="inlineStr">
        <is>
          <t>Sin cliente</t>
        </is>
      </c>
      <c r="D1469" t="inlineStr">
        <is>
          <t>PLATAFORMAS RAP-PEYA-UBER-GOOD</t>
        </is>
      </c>
      <c r="E1469" s="34" t="n">
        <v>15480</v>
      </c>
      <c r="F1469" t="inlineStr">
        <is>
          <t>B</t>
        </is>
      </c>
      <c r="G1469" s="34" t="n">
        <v>2472</v>
      </c>
      <c r="H1469" s="34" t="n">
        <v>13008</v>
      </c>
      <c r="I1469" t="inlineStr">
        <is>
          <t>3.6</t>
        </is>
      </c>
      <c r="J1469" t="inlineStr">
        <is>
          <t>Ventas Delivery Apps</t>
        </is>
      </c>
      <c r="K1469" t="inlineStr">
        <is>
          <t>CH3</t>
        </is>
      </c>
    </row>
    <row r="1470">
      <c r="A1470" s="33" t="n">
        <v>45793</v>
      </c>
      <c r="B1470" t="inlineStr">
        <is>
          <t>2025-05</t>
        </is>
      </c>
      <c r="C1470" t="inlineStr">
        <is>
          <t>Nicole Naser</t>
        </is>
      </c>
      <c r="D1470" t="inlineStr">
        <is>
          <t>CANELÉ TRADICIONAL</t>
        </is>
      </c>
      <c r="E1470" s="34" t="n">
        <v>13410</v>
      </c>
      <c r="F1470" t="inlineStr">
        <is>
          <t>B</t>
        </is>
      </c>
      <c r="G1470" s="34" t="n">
        <v>2141</v>
      </c>
      <c r="H1470" s="34" t="n">
        <v>11269</v>
      </c>
      <c r="I1470" t="inlineStr">
        <is>
          <t>3.2</t>
        </is>
      </c>
      <c r="J1470" t="inlineStr">
        <is>
          <t>Ventas Personas (B2C)</t>
        </is>
      </c>
      <c r="K1470" t="inlineStr">
        <is>
          <t>CH2</t>
        </is>
      </c>
    </row>
    <row r="1471">
      <c r="A1471" s="33" t="n">
        <v>45793</v>
      </c>
      <c r="B1471" t="inlineStr">
        <is>
          <t>2025-05</t>
        </is>
      </c>
      <c r="C1471" t="inlineStr">
        <is>
          <t>Sin cliente</t>
        </is>
      </c>
      <c r="D1471" t="inlineStr">
        <is>
          <t>CANELÉ TRADICIONAL</t>
        </is>
      </c>
      <c r="E1471" s="34" t="n">
        <v>115400</v>
      </c>
      <c r="F1471" t="inlineStr">
        <is>
          <t>B</t>
        </is>
      </c>
      <c r="G1471" s="34" t="n">
        <v>18425</v>
      </c>
      <c r="H1471" s="34" t="n">
        <v>96975</v>
      </c>
      <c r="I1471" t="inlineStr">
        <is>
          <t>3.2</t>
        </is>
      </c>
      <c r="J1471" t="inlineStr">
        <is>
          <t>Ventas Personas (B2C)</t>
        </is>
      </c>
      <c r="K1471" t="inlineStr">
        <is>
          <t>CH2</t>
        </is>
      </c>
    </row>
    <row r="1472">
      <c r="A1472" s="33" t="n">
        <v>45793</v>
      </c>
      <c r="B1472" t="inlineStr">
        <is>
          <t>2025-05</t>
        </is>
      </c>
      <c r="C1472" t="inlineStr">
        <is>
          <t>Elisa Miquel</t>
        </is>
      </c>
      <c r="D1472" t="inlineStr">
        <is>
          <t>Petit Tradicional</t>
        </is>
      </c>
      <c r="E1472" s="34" t="n">
        <v>33800</v>
      </c>
      <c r="F1472" t="inlineStr">
        <is>
          <t>B</t>
        </is>
      </c>
      <c r="G1472" s="34" t="n">
        <v>5397</v>
      </c>
      <c r="H1472" s="34" t="n">
        <v>28403</v>
      </c>
      <c r="I1472" t="inlineStr">
        <is>
          <t>3.2</t>
        </is>
      </c>
      <c r="J1472" t="inlineStr">
        <is>
          <t>Ventas Personas (B2C)</t>
        </is>
      </c>
      <c r="K1472" t="inlineStr">
        <is>
          <t>CH2</t>
        </is>
      </c>
    </row>
    <row r="1473">
      <c r="A1473" s="33" t="n">
        <v>45793</v>
      </c>
      <c r="B1473" t="inlineStr">
        <is>
          <t>2025-05</t>
        </is>
      </c>
      <c r="C1473" t="inlineStr">
        <is>
          <t>Cristobal Ramirez</t>
        </is>
      </c>
      <c r="D1473" t="inlineStr">
        <is>
          <t>Petit Tradicional</t>
        </is>
      </c>
      <c r="E1473" s="34" t="n">
        <v>19890</v>
      </c>
      <c r="F1473" t="inlineStr">
        <is>
          <t>B</t>
        </is>
      </c>
      <c r="G1473" s="34" t="n">
        <v>3176</v>
      </c>
      <c r="H1473" s="34" t="n">
        <v>16714</v>
      </c>
      <c r="I1473" t="inlineStr">
        <is>
          <t>3.2</t>
        </is>
      </c>
      <c r="J1473" t="inlineStr">
        <is>
          <t>Ventas Personas (B2C)</t>
        </is>
      </c>
      <c r="K1473" t="inlineStr">
        <is>
          <t>CH2</t>
        </is>
      </c>
    </row>
    <row r="1474">
      <c r="A1474" s="33" t="n">
        <v>45793</v>
      </c>
      <c r="B1474" t="inlineStr">
        <is>
          <t>2025-05</t>
        </is>
      </c>
      <c r="C1474" t="inlineStr">
        <is>
          <t>Victor Hernandez</t>
        </is>
      </c>
      <c r="D1474" t="inlineStr">
        <is>
          <t>CANELÉ TRADICIONAL</t>
        </is>
      </c>
      <c r="E1474" s="34" t="n">
        <v>21900</v>
      </c>
      <c r="F1474" t="inlineStr">
        <is>
          <t>B</t>
        </is>
      </c>
      <c r="G1474" s="34" t="n">
        <v>3497</v>
      </c>
      <c r="H1474" s="34" t="n">
        <v>18403</v>
      </c>
      <c r="I1474" t="inlineStr">
        <is>
          <t>3.2</t>
        </is>
      </c>
      <c r="J1474" t="inlineStr">
        <is>
          <t>Ventas Personas (B2C)</t>
        </is>
      </c>
      <c r="K1474" t="inlineStr">
        <is>
          <t>CH2</t>
        </is>
      </c>
    </row>
    <row r="1475">
      <c r="A1475" s="33" t="n">
        <v>45793</v>
      </c>
      <c r="B1475" t="inlineStr">
        <is>
          <t>2025-05</t>
        </is>
      </c>
      <c r="C1475" t="inlineStr">
        <is>
          <t>Sin cliente</t>
        </is>
      </c>
      <c r="D1475" t="inlineStr">
        <is>
          <t>PLATAFORMAS RAP-PEYA-UBER-GOOD</t>
        </is>
      </c>
      <c r="E1475" s="34" t="n">
        <v>48960</v>
      </c>
      <c r="F1475" t="inlineStr">
        <is>
          <t>B</t>
        </is>
      </c>
      <c r="G1475" s="34" t="n">
        <v>7817</v>
      </c>
      <c r="H1475" s="34" t="n">
        <v>41143</v>
      </c>
      <c r="I1475" t="inlineStr">
        <is>
          <t>3.6</t>
        </is>
      </c>
      <c r="J1475" t="inlineStr">
        <is>
          <t>Ventas Delivery Apps</t>
        </is>
      </c>
      <c r="K1475" t="inlineStr">
        <is>
          <t>CH3</t>
        </is>
      </c>
    </row>
    <row r="1476">
      <c r="A1476" s="33" t="n">
        <v>45794</v>
      </c>
      <c r="B1476" t="inlineStr">
        <is>
          <t>2025-05</t>
        </is>
      </c>
      <c r="C1476" t="inlineStr">
        <is>
          <t>Felipe Bernal</t>
        </is>
      </c>
      <c r="D1476" t="inlineStr">
        <is>
          <t>CANELÉ TRADICIONAL</t>
        </is>
      </c>
      <c r="E1476" s="34" t="n">
        <v>20889</v>
      </c>
      <c r="F1476" t="inlineStr">
        <is>
          <t>B</t>
        </is>
      </c>
      <c r="G1476" s="34" t="n">
        <v>3335</v>
      </c>
      <c r="H1476" s="34" t="n">
        <v>17554</v>
      </c>
      <c r="I1476" t="inlineStr">
        <is>
          <t>3.2</t>
        </is>
      </c>
      <c r="J1476" t="inlineStr">
        <is>
          <t>Ventas Personas (B2C)</t>
        </is>
      </c>
      <c r="K1476" t="inlineStr">
        <is>
          <t>CH2</t>
        </is>
      </c>
    </row>
    <row r="1477">
      <c r="A1477" s="33" t="n">
        <v>45794</v>
      </c>
      <c r="B1477" t="inlineStr">
        <is>
          <t>2025-05</t>
        </is>
      </c>
      <c r="C1477" t="inlineStr">
        <is>
          <t>Marcelo Victoria</t>
        </is>
      </c>
      <c r="D1477" t="inlineStr">
        <is>
          <t>Petit Crunchy</t>
        </is>
      </c>
      <c r="E1477" s="34" t="n">
        <v>25900</v>
      </c>
      <c r="F1477" t="inlineStr">
        <is>
          <t>B</t>
        </is>
      </c>
      <c r="G1477" s="34" t="n">
        <v>4135</v>
      </c>
      <c r="H1477" s="34" t="n">
        <v>21765</v>
      </c>
      <c r="I1477" t="inlineStr">
        <is>
          <t>3.2</t>
        </is>
      </c>
      <c r="J1477" t="inlineStr">
        <is>
          <t>Ventas Personas (B2C)</t>
        </is>
      </c>
      <c r="K1477" t="inlineStr">
        <is>
          <t>CH2</t>
        </is>
      </c>
    </row>
    <row r="1478">
      <c r="A1478" s="33" t="n">
        <v>45794</v>
      </c>
      <c r="B1478" t="inlineStr">
        <is>
          <t>2025-05</t>
        </is>
      </c>
      <c r="C1478" t="inlineStr">
        <is>
          <t>Cristobal Correa Ehlers</t>
        </is>
      </c>
      <c r="D1478" t="inlineStr">
        <is>
          <t>Delicatessen</t>
        </is>
      </c>
      <c r="E1478" s="34" t="n">
        <v>94390</v>
      </c>
      <c r="F1478" t="inlineStr">
        <is>
          <t>B</t>
        </is>
      </c>
      <c r="G1478" s="34" t="n">
        <v>15071</v>
      </c>
      <c r="H1478" s="34" t="n">
        <v>79319</v>
      </c>
      <c r="I1478" t="inlineStr">
        <is>
          <t>3.2</t>
        </is>
      </c>
      <c r="J1478" t="inlineStr">
        <is>
          <t>Ventas Personas (B2C)</t>
        </is>
      </c>
      <c r="K1478" t="inlineStr">
        <is>
          <t>CH2</t>
        </is>
      </c>
    </row>
    <row r="1479">
      <c r="A1479" s="33" t="n">
        <v>45794</v>
      </c>
      <c r="B1479" t="inlineStr">
        <is>
          <t>2025-05</t>
        </is>
      </c>
      <c r="C1479" t="inlineStr">
        <is>
          <t>Sin cliente</t>
        </is>
      </c>
      <c r="D1479" t="inlineStr">
        <is>
          <t>CANELÉ TRADICIONAL</t>
        </is>
      </c>
      <c r="E1479" s="34" t="n">
        <v>65700</v>
      </c>
      <c r="F1479" t="inlineStr">
        <is>
          <t>B</t>
        </is>
      </c>
      <c r="G1479" s="34" t="n">
        <v>10490</v>
      </c>
      <c r="H1479" s="34" t="n">
        <v>55210</v>
      </c>
      <c r="I1479" t="inlineStr">
        <is>
          <t>3.2</t>
        </is>
      </c>
      <c r="J1479" t="inlineStr">
        <is>
          <t>Ventas Personas (B2C)</t>
        </is>
      </c>
      <c r="K1479" t="inlineStr">
        <is>
          <t>CH2</t>
        </is>
      </c>
    </row>
    <row r="1480">
      <c r="A1480" s="33" t="n">
        <v>45794</v>
      </c>
      <c r="B1480" t="inlineStr">
        <is>
          <t>2025-05</t>
        </is>
      </c>
      <c r="C1480" t="inlineStr">
        <is>
          <t>Sin cliente</t>
        </is>
      </c>
      <c r="D1480" t="inlineStr">
        <is>
          <t>Petit Tradicional</t>
        </is>
      </c>
      <c r="E1480" s="34" t="n">
        <v>19890</v>
      </c>
      <c r="F1480" t="inlineStr">
        <is>
          <t>B</t>
        </is>
      </c>
      <c r="G1480" s="34" t="n">
        <v>3176</v>
      </c>
      <c r="H1480" s="34" t="n">
        <v>16714</v>
      </c>
      <c r="I1480" t="inlineStr">
        <is>
          <t>3.2</t>
        </is>
      </c>
      <c r="J1480" t="inlineStr">
        <is>
          <t>Ventas Personas (B2C)</t>
        </is>
      </c>
      <c r="K1480" t="inlineStr">
        <is>
          <t>CH2</t>
        </is>
      </c>
    </row>
    <row r="1481">
      <c r="A1481" s="33" t="n">
        <v>45794</v>
      </c>
      <c r="B1481" t="inlineStr">
        <is>
          <t>2025-05</t>
        </is>
      </c>
      <c r="C1481" t="inlineStr">
        <is>
          <t>Lucas Noguera</t>
        </is>
      </c>
      <c r="D1481" t="inlineStr">
        <is>
          <t>CANELÉ TRADICIONAL</t>
        </is>
      </c>
      <c r="E1481" s="34" t="n">
        <v>28620</v>
      </c>
      <c r="F1481" t="inlineStr">
        <is>
          <t>B</t>
        </is>
      </c>
      <c r="G1481" s="34" t="n">
        <v>4570</v>
      </c>
      <c r="H1481" s="34" t="n">
        <v>24050</v>
      </c>
      <c r="I1481" t="inlineStr">
        <is>
          <t>3.2</t>
        </is>
      </c>
      <c r="J1481" t="inlineStr">
        <is>
          <t>Ventas Personas (B2C)</t>
        </is>
      </c>
      <c r="K1481" t="inlineStr">
        <is>
          <t>CH2</t>
        </is>
      </c>
    </row>
    <row r="1482">
      <c r="A1482" s="33" t="n">
        <v>45794</v>
      </c>
      <c r="B1482" t="inlineStr">
        <is>
          <t>2025-05</t>
        </is>
      </c>
      <c r="C1482" t="inlineStr">
        <is>
          <t>Carolina Brunetto</t>
        </is>
      </c>
      <c r="D1482" t="inlineStr">
        <is>
          <t>SALSAS</t>
        </is>
      </c>
      <c r="E1482" s="34" t="n">
        <v>35491</v>
      </c>
      <c r="F1482" t="inlineStr">
        <is>
          <t>B</t>
        </is>
      </c>
      <c r="G1482" s="34" t="n">
        <v>5667</v>
      </c>
      <c r="H1482" s="34" t="n">
        <v>29824</v>
      </c>
      <c r="I1482" t="inlineStr">
        <is>
          <t>3.2</t>
        </is>
      </c>
      <c r="J1482" t="inlineStr">
        <is>
          <t>Ventas Personas (B2C)</t>
        </is>
      </c>
      <c r="K1482" t="inlineStr">
        <is>
          <t>CH2</t>
        </is>
      </c>
    </row>
    <row r="1483">
      <c r="A1483" s="33" t="n">
        <v>45794</v>
      </c>
      <c r="B1483" t="inlineStr">
        <is>
          <t>2025-05</t>
        </is>
      </c>
      <c r="C1483" t="inlineStr">
        <is>
          <t>Felipe Reyes M.</t>
        </is>
      </c>
      <c r="D1483" t="inlineStr">
        <is>
          <t>Petit Crunchy</t>
        </is>
      </c>
      <c r="E1483" s="34" t="n">
        <v>29789</v>
      </c>
      <c r="F1483" t="inlineStr">
        <is>
          <t>B</t>
        </is>
      </c>
      <c r="G1483" s="34" t="n">
        <v>4756</v>
      </c>
      <c r="H1483" s="34" t="n">
        <v>25033</v>
      </c>
      <c r="I1483" t="inlineStr">
        <is>
          <t>3.2</t>
        </is>
      </c>
      <c r="J1483" t="inlineStr">
        <is>
          <t>Ventas Personas (B2C)</t>
        </is>
      </c>
      <c r="K1483" t="inlineStr">
        <is>
          <t>CH2</t>
        </is>
      </c>
    </row>
    <row r="1484">
      <c r="A1484" s="33" t="n">
        <v>45794</v>
      </c>
      <c r="B1484" t="inlineStr">
        <is>
          <t>2025-05</t>
        </is>
      </c>
      <c r="C1484" t="inlineStr">
        <is>
          <t>Sin cliente</t>
        </is>
      </c>
      <c r="D1484" t="inlineStr">
        <is>
          <t>CANELÉ TRADICIONAL</t>
        </is>
      </c>
      <c r="E1484" s="34" t="n">
        <v>21900</v>
      </c>
      <c r="F1484" t="inlineStr">
        <is>
          <t>B</t>
        </is>
      </c>
      <c r="G1484" s="34" t="n">
        <v>3497</v>
      </c>
      <c r="H1484" s="34" t="n">
        <v>18403</v>
      </c>
      <c r="I1484" t="inlineStr">
        <is>
          <t>3.2</t>
        </is>
      </c>
      <c r="J1484" t="inlineStr">
        <is>
          <t>Ventas Personas (B2C)</t>
        </is>
      </c>
      <c r="K1484" t="inlineStr">
        <is>
          <t>CH2</t>
        </is>
      </c>
    </row>
    <row r="1485">
      <c r="A1485" s="33" t="n">
        <v>45794</v>
      </c>
      <c r="B1485" t="inlineStr">
        <is>
          <t>2025-05</t>
        </is>
      </c>
      <c r="C1485" t="inlineStr">
        <is>
          <t>Juan Ignacio Mella</t>
        </is>
      </c>
      <c r="D1485" t="inlineStr">
        <is>
          <t>CANELÉ TRADICIONAL</t>
        </is>
      </c>
      <c r="E1485" s="34" t="n">
        <v>14900</v>
      </c>
      <c r="F1485" t="inlineStr">
        <is>
          <t>B</t>
        </is>
      </c>
      <c r="G1485" s="34" t="n">
        <v>2379</v>
      </c>
      <c r="H1485" s="34" t="n">
        <v>12521</v>
      </c>
      <c r="I1485" t="inlineStr">
        <is>
          <t>3.2</t>
        </is>
      </c>
      <c r="J1485" t="inlineStr">
        <is>
          <t>Ventas Personas (B2C)</t>
        </is>
      </c>
      <c r="K1485" t="inlineStr">
        <is>
          <t>CH2</t>
        </is>
      </c>
    </row>
    <row r="1486">
      <c r="A1486" s="33" t="n">
        <v>45794</v>
      </c>
      <c r="B1486" t="inlineStr">
        <is>
          <t>2025-05</t>
        </is>
      </c>
      <c r="C1486" t="inlineStr">
        <is>
          <t>Alexandra Moya</t>
        </is>
      </c>
      <c r="D1486" t="inlineStr">
        <is>
          <t>Mix Sabores</t>
        </is>
      </c>
      <c r="E1486" s="34" t="n">
        <v>22800</v>
      </c>
      <c r="F1486" t="inlineStr">
        <is>
          <t>B</t>
        </is>
      </c>
      <c r="G1486" s="34" t="n">
        <v>3640</v>
      </c>
      <c r="H1486" s="34" t="n">
        <v>19160</v>
      </c>
      <c r="I1486" t="inlineStr">
        <is>
          <t>3.2</t>
        </is>
      </c>
      <c r="J1486" t="inlineStr">
        <is>
          <t>Ventas Personas (B2C)</t>
        </is>
      </c>
      <c r="K1486" t="inlineStr">
        <is>
          <t>CH2</t>
        </is>
      </c>
    </row>
    <row r="1487">
      <c r="A1487" s="33" t="n">
        <v>45794</v>
      </c>
      <c r="B1487" t="inlineStr">
        <is>
          <t>2025-05</t>
        </is>
      </c>
      <c r="C1487" t="inlineStr">
        <is>
          <t>Sin cliente</t>
        </is>
      </c>
      <c r="D1487" t="inlineStr">
        <is>
          <t>CANELÉ TRADICIONAL</t>
        </is>
      </c>
      <c r="E1487" s="34" t="n">
        <v>26900</v>
      </c>
      <c r="F1487" t="inlineStr">
        <is>
          <t>B</t>
        </is>
      </c>
      <c r="G1487" s="34" t="n">
        <v>4295</v>
      </c>
      <c r="H1487" s="34" t="n">
        <v>22605</v>
      </c>
      <c r="I1487" t="inlineStr">
        <is>
          <t>3.2</t>
        </is>
      </c>
      <c r="J1487" t="inlineStr">
        <is>
          <t>Ventas Personas (B2C)</t>
        </is>
      </c>
      <c r="K1487" t="inlineStr">
        <is>
          <t>CH2</t>
        </is>
      </c>
    </row>
    <row r="1488">
      <c r="A1488" s="33" t="n">
        <v>45794</v>
      </c>
      <c r="B1488" t="inlineStr">
        <is>
          <t>2025-05</t>
        </is>
      </c>
      <c r="C1488" t="inlineStr">
        <is>
          <t>Sin cliente</t>
        </is>
      </c>
      <c r="D1488" t="inlineStr">
        <is>
          <t>Petit Tradicional</t>
        </is>
      </c>
      <c r="E1488" s="34" t="n">
        <v>20900</v>
      </c>
      <c r="F1488" t="inlineStr">
        <is>
          <t>B</t>
        </is>
      </c>
      <c r="G1488" s="34" t="n">
        <v>3337</v>
      </c>
      <c r="H1488" s="34" t="n">
        <v>17563</v>
      </c>
      <c r="I1488" t="inlineStr">
        <is>
          <t>3.2</t>
        </is>
      </c>
      <c r="J1488" t="inlineStr">
        <is>
          <t>Ventas Personas (B2C)</t>
        </is>
      </c>
      <c r="K1488" t="inlineStr">
        <is>
          <t>CH2</t>
        </is>
      </c>
    </row>
    <row r="1489">
      <c r="A1489" s="33" t="n">
        <v>45794</v>
      </c>
      <c r="B1489" t="inlineStr">
        <is>
          <t>2025-05</t>
        </is>
      </c>
      <c r="C1489" t="inlineStr">
        <is>
          <t>Sin cliente</t>
        </is>
      </c>
      <c r="D1489" t="inlineStr">
        <is>
          <t>PLATAFORMAS RAP-PEYA-UBER-GOOD</t>
        </is>
      </c>
      <c r="E1489" s="34" t="n">
        <v>15480</v>
      </c>
      <c r="F1489" t="inlineStr">
        <is>
          <t>B</t>
        </is>
      </c>
      <c r="G1489" s="34" t="n">
        <v>2472</v>
      </c>
      <c r="H1489" s="34" t="n">
        <v>13008</v>
      </c>
      <c r="I1489" t="inlineStr">
        <is>
          <t>3.6</t>
        </is>
      </c>
      <c r="J1489" t="inlineStr">
        <is>
          <t>Ventas Delivery Apps</t>
        </is>
      </c>
      <c r="K1489" t="inlineStr">
        <is>
          <t>CH3</t>
        </is>
      </c>
    </row>
    <row r="1490">
      <c r="A1490" s="33" t="n">
        <v>45794</v>
      </c>
      <c r="B1490" t="inlineStr">
        <is>
          <t>2025-05</t>
        </is>
      </c>
      <c r="C1490" t="inlineStr">
        <is>
          <t>Sin cliente</t>
        </is>
      </c>
      <c r="D1490" t="inlineStr">
        <is>
          <t>CANELÉ TRADICIONAL</t>
        </is>
      </c>
      <c r="E1490" s="34" t="n">
        <v>14900</v>
      </c>
      <c r="F1490" t="inlineStr">
        <is>
          <t>B</t>
        </is>
      </c>
      <c r="G1490" s="34" t="n">
        <v>2379</v>
      </c>
      <c r="H1490" s="34" t="n">
        <v>12521</v>
      </c>
      <c r="I1490" t="inlineStr">
        <is>
          <t>3.2</t>
        </is>
      </c>
      <c r="J1490" t="inlineStr">
        <is>
          <t>Ventas Personas (B2C)</t>
        </is>
      </c>
      <c r="K1490" t="inlineStr">
        <is>
          <t>CH2</t>
        </is>
      </c>
    </row>
    <row r="1491">
      <c r="A1491" s="33" t="n">
        <v>45795</v>
      </c>
      <c r="B1491" t="inlineStr">
        <is>
          <t>2025-05</t>
        </is>
      </c>
      <c r="C1491" t="inlineStr">
        <is>
          <t>Mónica Cornejo Sotelo</t>
        </is>
      </c>
      <c r="D1491" t="inlineStr">
        <is>
          <t>Petit Crunchy</t>
        </is>
      </c>
      <c r="E1491" s="34" t="n">
        <v>16500</v>
      </c>
      <c r="F1491" t="inlineStr">
        <is>
          <t>B</t>
        </is>
      </c>
      <c r="G1491" s="34" t="n">
        <v>2634</v>
      </c>
      <c r="H1491" s="34" t="n">
        <v>13866</v>
      </c>
      <c r="I1491" t="inlineStr">
        <is>
          <t>3.2</t>
        </is>
      </c>
      <c r="J1491" t="inlineStr">
        <is>
          <t>Ventas Personas (B2C)</t>
        </is>
      </c>
      <c r="K1491" t="inlineStr">
        <is>
          <t>CH2</t>
        </is>
      </c>
    </row>
    <row r="1492">
      <c r="A1492" s="33" t="n">
        <v>45795</v>
      </c>
      <c r="B1492" t="inlineStr">
        <is>
          <t>2025-05</t>
        </is>
      </c>
      <c r="C1492" t="inlineStr">
        <is>
          <t>Valeria Fuenzalida</t>
        </is>
      </c>
      <c r="D1492" t="inlineStr">
        <is>
          <t>CANELÉ TRADICIONAL</t>
        </is>
      </c>
      <c r="E1492" s="34" t="n">
        <v>18400</v>
      </c>
      <c r="F1492" t="inlineStr">
        <is>
          <t>B</t>
        </is>
      </c>
      <c r="G1492" s="34" t="n">
        <v>2938</v>
      </c>
      <c r="H1492" s="34" t="n">
        <v>15462</v>
      </c>
      <c r="I1492" t="inlineStr">
        <is>
          <t>3.2</t>
        </is>
      </c>
      <c r="J1492" t="inlineStr">
        <is>
          <t>Ventas Personas (B2C)</t>
        </is>
      </c>
      <c r="K1492" t="inlineStr">
        <is>
          <t>CH2</t>
        </is>
      </c>
    </row>
    <row r="1493">
      <c r="A1493" s="33" t="n">
        <v>45796</v>
      </c>
      <c r="B1493" t="inlineStr">
        <is>
          <t>2025-05</t>
        </is>
      </c>
      <c r="C1493" t="inlineStr">
        <is>
          <t>INVERSIONES Y ASESORIAS RAVAL LIMITADA</t>
        </is>
      </c>
      <c r="D1493" t="inlineStr">
        <is>
          <t>HORECA CAFETERIA</t>
        </is>
      </c>
      <c r="E1493" s="34" t="n">
        <v>67956</v>
      </c>
      <c r="F1493" t="inlineStr">
        <is>
          <t>F</t>
        </is>
      </c>
      <c r="G1493" s="34" t="n">
        <v>10850</v>
      </c>
      <c r="H1493" s="34" t="n">
        <v>57106</v>
      </c>
      <c r="I1493" t="inlineStr">
        <is>
          <t>3.1</t>
        </is>
      </c>
      <c r="J1493" t="inlineStr">
        <is>
          <t>Ventas HoReCa</t>
        </is>
      </c>
      <c r="K1493" t="inlineStr">
        <is>
          <t>CH1</t>
        </is>
      </c>
    </row>
    <row r="1494">
      <c r="A1494" s="33" t="n">
        <v>45796</v>
      </c>
      <c r="B1494" t="inlineStr">
        <is>
          <t>2025-05</t>
        </is>
      </c>
      <c r="C1494" t="inlineStr">
        <is>
          <t>CAFETERÍA ALTURA LIMITADA</t>
        </is>
      </c>
      <c r="D1494" t="inlineStr">
        <is>
          <t>HORECA CAFETERIA</t>
        </is>
      </c>
      <c r="E1494" s="34" t="n">
        <v>78870</v>
      </c>
      <c r="F1494" t="inlineStr">
        <is>
          <t>F</t>
        </is>
      </c>
      <c r="G1494" s="34" t="n">
        <v>12593</v>
      </c>
      <c r="H1494" s="34" t="n">
        <v>66277</v>
      </c>
      <c r="I1494" t="inlineStr">
        <is>
          <t>3.1</t>
        </is>
      </c>
      <c r="J1494" t="inlineStr">
        <is>
          <t>Ventas HoReCa</t>
        </is>
      </c>
      <c r="K1494" t="inlineStr">
        <is>
          <t>CH1</t>
        </is>
      </c>
    </row>
    <row r="1495">
      <c r="A1495" s="33" t="n">
        <v>45796</v>
      </c>
      <c r="B1495" t="inlineStr">
        <is>
          <t>2025-05</t>
        </is>
      </c>
      <c r="C1495" t="inlineStr">
        <is>
          <t>INVERSIONES Y COMERCIALIZADORA FED LIMITADA</t>
        </is>
      </c>
      <c r="D1495" t="inlineStr">
        <is>
          <t>HORECA CAFETERIA</t>
        </is>
      </c>
      <c r="E1495" s="34" t="n">
        <v>79870</v>
      </c>
      <c r="F1495" t="inlineStr">
        <is>
          <t>F</t>
        </is>
      </c>
      <c r="G1495" s="34" t="n">
        <v>12752</v>
      </c>
      <c r="H1495" s="34" t="n">
        <v>67117</v>
      </c>
      <c r="I1495" t="inlineStr">
        <is>
          <t>3.1</t>
        </is>
      </c>
      <c r="J1495" t="inlineStr">
        <is>
          <t>Ventas HoReCa</t>
        </is>
      </c>
      <c r="K1495" t="inlineStr">
        <is>
          <t>CH1</t>
        </is>
      </c>
    </row>
    <row r="1496">
      <c r="A1496" s="33" t="n">
        <v>45796</v>
      </c>
      <c r="B1496" t="inlineStr">
        <is>
          <t>2025-05</t>
        </is>
      </c>
      <c r="C1496" t="inlineStr">
        <is>
          <t>INVERSIONES Y COMERCIALIZADORA FED LIMITADA</t>
        </is>
      </c>
      <c r="D1496" t="inlineStr">
        <is>
          <t>HORECA CAFETERIA</t>
        </is>
      </c>
      <c r="E1496" s="34" t="n">
        <v>182218</v>
      </c>
      <c r="F1496" t="inlineStr">
        <is>
          <t>F</t>
        </is>
      </c>
      <c r="G1496" s="34" t="n">
        <v>29094</v>
      </c>
      <c r="H1496" s="34" t="n">
        <v>153124</v>
      </c>
      <c r="I1496" t="inlineStr">
        <is>
          <t>3.1</t>
        </is>
      </c>
      <c r="J1496" t="inlineStr">
        <is>
          <t>Ventas HoReCa</t>
        </is>
      </c>
      <c r="K1496" t="inlineStr">
        <is>
          <t>CH1</t>
        </is>
      </c>
    </row>
    <row r="1497">
      <c r="A1497" s="33" t="n">
        <v>45796</v>
      </c>
      <c r="B1497" t="inlineStr">
        <is>
          <t>2025-05</t>
        </is>
      </c>
      <c r="C1497" t="inlineStr">
        <is>
          <t>Sin cliente</t>
        </is>
      </c>
      <c r="D1497" t="inlineStr">
        <is>
          <t>CANELÉ TRADICIONAL</t>
        </is>
      </c>
      <c r="E1497" s="34" t="n">
        <v>9600</v>
      </c>
      <c r="F1497" t="inlineStr">
        <is>
          <t>B</t>
        </is>
      </c>
      <c r="G1497" s="34" t="n">
        <v>1533</v>
      </c>
      <c r="H1497" s="34" t="n">
        <v>8067</v>
      </c>
      <c r="I1497" t="inlineStr">
        <is>
          <t>3.2</t>
        </is>
      </c>
      <c r="J1497" t="inlineStr">
        <is>
          <t>Ventas Personas (B2C)</t>
        </is>
      </c>
      <c r="K1497" t="inlineStr">
        <is>
          <t>CH2</t>
        </is>
      </c>
    </row>
    <row r="1498">
      <c r="A1498" s="33" t="n">
        <v>45796</v>
      </c>
      <c r="B1498" t="inlineStr">
        <is>
          <t>2025-05</t>
        </is>
      </c>
      <c r="C1498" t="inlineStr">
        <is>
          <t>Antonia López</t>
        </is>
      </c>
      <c r="D1498" t="inlineStr">
        <is>
          <t>Petit Tradicional</t>
        </is>
      </c>
      <c r="E1498" s="34" t="n">
        <v>20900</v>
      </c>
      <c r="F1498" t="inlineStr">
        <is>
          <t>B</t>
        </is>
      </c>
      <c r="G1498" s="34" t="n">
        <v>3337</v>
      </c>
      <c r="H1498" s="34" t="n">
        <v>17563</v>
      </c>
      <c r="I1498" t="inlineStr">
        <is>
          <t>3.2</t>
        </is>
      </c>
      <c r="J1498" t="inlineStr">
        <is>
          <t>Ventas Personas (B2C)</t>
        </is>
      </c>
      <c r="K1498" t="inlineStr">
        <is>
          <t>CH2</t>
        </is>
      </c>
    </row>
    <row r="1499">
      <c r="A1499" s="33" t="n">
        <v>45796</v>
      </c>
      <c r="B1499" t="inlineStr">
        <is>
          <t>2025-05</t>
        </is>
      </c>
      <c r="C1499" t="inlineStr">
        <is>
          <t>Inversiones Nagua SPA</t>
        </is>
      </c>
      <c r="D1499" t="inlineStr">
        <is>
          <t>HORECA CAFETERIA</t>
        </is>
      </c>
      <c r="E1499" s="34" t="n">
        <v>63966</v>
      </c>
      <c r="F1499" t="inlineStr">
        <is>
          <t>F</t>
        </is>
      </c>
      <c r="G1499" s="34" t="n">
        <v>10213</v>
      </c>
      <c r="H1499" s="34" t="n">
        <v>53753</v>
      </c>
      <c r="I1499" t="inlineStr">
        <is>
          <t>3.1</t>
        </is>
      </c>
      <c r="J1499" t="inlineStr">
        <is>
          <t>Ventas HoReCa</t>
        </is>
      </c>
      <c r="K1499" t="inlineStr">
        <is>
          <t>CH1</t>
        </is>
      </c>
    </row>
    <row r="1500">
      <c r="A1500" s="33" t="n">
        <v>45796</v>
      </c>
      <c r="B1500" t="inlineStr">
        <is>
          <t>2025-05</t>
        </is>
      </c>
      <c r="C1500" t="inlineStr">
        <is>
          <t>Sin cliente</t>
        </is>
      </c>
      <c r="D1500" t="inlineStr">
        <is>
          <t>PLATAFORMAS RAP-PEYA-UBER-GOOD</t>
        </is>
      </c>
      <c r="E1500" s="34" t="n">
        <v>12540</v>
      </c>
      <c r="F1500" t="inlineStr">
        <is>
          <t>B</t>
        </is>
      </c>
      <c r="G1500" s="34" t="n">
        <v>2002</v>
      </c>
      <c r="H1500" s="34" t="n">
        <v>10538</v>
      </c>
      <c r="I1500" t="inlineStr">
        <is>
          <t>3.6</t>
        </is>
      </c>
      <c r="J1500" t="inlineStr">
        <is>
          <t>Ventas Delivery Apps</t>
        </is>
      </c>
      <c r="K1500" t="inlineStr">
        <is>
          <t>CH3</t>
        </is>
      </c>
    </row>
    <row r="1501">
      <c r="A1501" s="33" t="n">
        <v>45796</v>
      </c>
      <c r="B1501" t="inlineStr">
        <is>
          <t>2025-05</t>
        </is>
      </c>
      <c r="C1501" t="inlineStr">
        <is>
          <t>Ting Ting Lee</t>
        </is>
      </c>
      <c r="D1501" t="inlineStr">
        <is>
          <t>Petit Crunchy</t>
        </is>
      </c>
      <c r="E1501" s="34" t="n">
        <v>39800</v>
      </c>
      <c r="F1501" t="inlineStr">
        <is>
          <t>B</t>
        </is>
      </c>
      <c r="G1501" s="34" t="n">
        <v>6355</v>
      </c>
      <c r="H1501" s="34" t="n">
        <v>33445</v>
      </c>
      <c r="I1501" t="inlineStr">
        <is>
          <t>3.2</t>
        </is>
      </c>
      <c r="J1501" t="inlineStr">
        <is>
          <t>Ventas Personas (B2C)</t>
        </is>
      </c>
      <c r="K1501" t="inlineStr">
        <is>
          <t>CH2</t>
        </is>
      </c>
    </row>
    <row r="1502">
      <c r="A1502" s="33" t="n">
        <v>45796</v>
      </c>
      <c r="B1502" t="inlineStr">
        <is>
          <t>2025-05</t>
        </is>
      </c>
      <c r="C1502" t="inlineStr">
        <is>
          <t>Isabel Schild</t>
        </is>
      </c>
      <c r="D1502" t="inlineStr">
        <is>
          <t>PACKS GOURMET</t>
        </is>
      </c>
      <c r="E1502" s="34" t="n">
        <v>51886</v>
      </c>
      <c r="F1502" t="inlineStr">
        <is>
          <t>B</t>
        </is>
      </c>
      <c r="G1502" s="34" t="n">
        <v>8284</v>
      </c>
      <c r="H1502" s="34" t="n">
        <v>43602</v>
      </c>
      <c r="I1502" t="inlineStr">
        <is>
          <t>3.2</t>
        </is>
      </c>
      <c r="J1502" t="inlineStr">
        <is>
          <t>Ventas Personas (B2C)</t>
        </is>
      </c>
      <c r="K1502" t="inlineStr">
        <is>
          <t>CH2</t>
        </is>
      </c>
    </row>
    <row r="1503">
      <c r="A1503" s="33" t="n">
        <v>45796</v>
      </c>
      <c r="B1503" t="inlineStr">
        <is>
          <t>2025-05</t>
        </is>
      </c>
      <c r="C1503" t="inlineStr">
        <is>
          <t>Laura Serna Zamora</t>
        </is>
      </c>
      <c r="D1503" t="inlineStr">
        <is>
          <t>Rellenos</t>
        </is>
      </c>
      <c r="E1503" s="34" t="n">
        <v>27889</v>
      </c>
      <c r="F1503" t="inlineStr">
        <is>
          <t>B</t>
        </is>
      </c>
      <c r="G1503" s="34" t="n">
        <v>4453</v>
      </c>
      <c r="H1503" s="34" t="n">
        <v>23436</v>
      </c>
      <c r="I1503" t="inlineStr">
        <is>
          <t>3.2</t>
        </is>
      </c>
      <c r="J1503" t="inlineStr">
        <is>
          <t>Ventas Personas (B2C)</t>
        </is>
      </c>
      <c r="K1503" t="inlineStr">
        <is>
          <t>CH2</t>
        </is>
      </c>
    </row>
    <row r="1504">
      <c r="A1504" s="33" t="n">
        <v>45796</v>
      </c>
      <c r="B1504" t="inlineStr">
        <is>
          <t>2025-05</t>
        </is>
      </c>
      <c r="C1504" t="inlineStr">
        <is>
          <t>RICO SPA</t>
        </is>
      </c>
      <c r="D1504" t="inlineStr">
        <is>
          <t>CANELÉ TRADICIONAL</t>
        </is>
      </c>
      <c r="E1504" s="34" t="n">
        <v>32500</v>
      </c>
      <c r="F1504" t="inlineStr">
        <is>
          <t>F</t>
        </is>
      </c>
      <c r="G1504" s="34" t="n">
        <v>5189</v>
      </c>
      <c r="H1504" s="34" t="n">
        <v>27311</v>
      </c>
      <c r="I1504" t="inlineStr">
        <is>
          <t>3.1</t>
        </is>
      </c>
      <c r="J1504" t="inlineStr">
        <is>
          <t>Ventas HoReCa</t>
        </is>
      </c>
      <c r="K1504" t="inlineStr">
        <is>
          <t>CH1</t>
        </is>
      </c>
    </row>
    <row r="1505">
      <c r="A1505" s="33" t="n">
        <v>45796</v>
      </c>
      <c r="B1505" t="inlineStr">
        <is>
          <t>2025-05</t>
        </is>
      </c>
      <c r="C1505" t="inlineStr">
        <is>
          <t>Sin cliente</t>
        </is>
      </c>
      <c r="D1505" t="inlineStr">
        <is>
          <t>CANELÉ TRADICIONAL</t>
        </is>
      </c>
      <c r="E1505" s="34" t="n">
        <v>14900</v>
      </c>
      <c r="F1505" t="inlineStr">
        <is>
          <t>B</t>
        </is>
      </c>
      <c r="G1505" s="34" t="n">
        <v>2379</v>
      </c>
      <c r="H1505" s="34" t="n">
        <v>12521</v>
      </c>
      <c r="I1505" t="inlineStr">
        <is>
          <t>3.2</t>
        </is>
      </c>
      <c r="J1505" t="inlineStr">
        <is>
          <t>Ventas Personas (B2C)</t>
        </is>
      </c>
      <c r="K1505" t="inlineStr">
        <is>
          <t>CH2</t>
        </is>
      </c>
    </row>
    <row r="1506">
      <c r="A1506" s="33" t="n">
        <v>45797</v>
      </c>
      <c r="B1506" t="inlineStr">
        <is>
          <t>2025-05</t>
        </is>
      </c>
      <c r="C1506" t="inlineStr">
        <is>
          <t>B KOFI SPA</t>
        </is>
      </c>
      <c r="D1506" t="inlineStr">
        <is>
          <t>HORECA CAFETERIA</t>
        </is>
      </c>
      <c r="E1506" s="34" t="n">
        <v>107600</v>
      </c>
      <c r="F1506" t="inlineStr">
        <is>
          <t>F</t>
        </is>
      </c>
      <c r="G1506" s="34" t="n">
        <v>17180</v>
      </c>
      <c r="H1506" s="34" t="n">
        <v>90420</v>
      </c>
      <c r="I1506" t="inlineStr">
        <is>
          <t>3.1</t>
        </is>
      </c>
      <c r="J1506" t="inlineStr">
        <is>
          <t>Ventas HoReCa</t>
        </is>
      </c>
      <c r="K1506" t="inlineStr">
        <is>
          <t>CH1</t>
        </is>
      </c>
    </row>
    <row r="1507">
      <c r="A1507" s="33" t="n">
        <v>45797</v>
      </c>
      <c r="B1507" t="inlineStr">
        <is>
          <t>2025-05</t>
        </is>
      </c>
      <c r="C1507" t="inlineStr">
        <is>
          <t>OH SOME SPA</t>
        </is>
      </c>
      <c r="D1507" t="inlineStr">
        <is>
          <t>HORECA CAFETERIA</t>
        </is>
      </c>
      <c r="E1507" s="34" t="n">
        <v>116790</v>
      </c>
      <c r="F1507" t="inlineStr">
        <is>
          <t>F</t>
        </is>
      </c>
      <c r="G1507" s="34" t="n">
        <v>18647</v>
      </c>
      <c r="H1507" s="34" t="n">
        <v>98143</v>
      </c>
      <c r="I1507" t="inlineStr">
        <is>
          <t>3.1</t>
        </is>
      </c>
      <c r="J1507" t="inlineStr">
        <is>
          <t>Ventas HoReCa</t>
        </is>
      </c>
      <c r="K1507" t="inlineStr">
        <is>
          <t>CH1</t>
        </is>
      </c>
    </row>
    <row r="1508">
      <c r="A1508" s="33" t="n">
        <v>45797</v>
      </c>
      <c r="B1508" t="inlineStr">
        <is>
          <t>2025-05</t>
        </is>
      </c>
      <c r="C1508" t="inlineStr">
        <is>
          <t>BLUE OAK COFFE SPA</t>
        </is>
      </c>
      <c r="D1508" t="inlineStr">
        <is>
          <t>HORECA CAFETERIA</t>
        </is>
      </c>
      <c r="E1508" s="34" t="n">
        <v>63476</v>
      </c>
      <c r="F1508" t="inlineStr">
        <is>
          <t>F</t>
        </is>
      </c>
      <c r="G1508" s="34" t="n">
        <v>10135</v>
      </c>
      <c r="H1508" s="34" t="n">
        <v>53341</v>
      </c>
      <c r="I1508" t="inlineStr">
        <is>
          <t>3.1</t>
        </is>
      </c>
      <c r="J1508" t="inlineStr">
        <is>
          <t>Ventas HoReCa</t>
        </is>
      </c>
      <c r="K1508" t="inlineStr">
        <is>
          <t>CH1</t>
        </is>
      </c>
    </row>
    <row r="1509">
      <c r="A1509" s="33" t="n">
        <v>45797</v>
      </c>
      <c r="B1509" t="inlineStr">
        <is>
          <t>2025-05</t>
        </is>
      </c>
      <c r="C1509" t="inlineStr">
        <is>
          <t>D&amp;S SERVICIOS DE ALIMENTACIÓN SpA</t>
        </is>
      </c>
      <c r="D1509" t="inlineStr">
        <is>
          <t xml:space="preserve">THE COFFEE STORE </t>
        </is>
      </c>
      <c r="E1509" s="34" t="n">
        <v>37977</v>
      </c>
      <c r="F1509" t="inlineStr">
        <is>
          <t>F</t>
        </is>
      </c>
      <c r="G1509" s="34" t="n">
        <v>6064</v>
      </c>
      <c r="H1509" s="34" t="n">
        <v>31913</v>
      </c>
      <c r="I1509" t="inlineStr">
        <is>
          <t>3.1</t>
        </is>
      </c>
      <c r="J1509" t="inlineStr">
        <is>
          <t>Ventas HoReCa</t>
        </is>
      </c>
      <c r="K1509" t="inlineStr">
        <is>
          <t>CH1</t>
        </is>
      </c>
    </row>
    <row r="1510">
      <c r="A1510" s="33" t="n">
        <v>45797</v>
      </c>
      <c r="B1510" t="inlineStr">
        <is>
          <t>2025-05</t>
        </is>
      </c>
      <c r="C1510" t="inlineStr">
        <is>
          <t>CAFE DIARIO ENCOMENDEROS SPA</t>
        </is>
      </c>
      <c r="D1510" t="inlineStr">
        <is>
          <t>HORECA CAFETERIA</t>
        </is>
      </c>
      <c r="E1510" s="34" t="n">
        <v>82830</v>
      </c>
      <c r="F1510" t="inlineStr">
        <is>
          <t>F</t>
        </is>
      </c>
      <c r="G1510" s="34" t="n">
        <v>13225</v>
      </c>
      <c r="H1510" s="34" t="n">
        <v>69605</v>
      </c>
      <c r="I1510" t="inlineStr">
        <is>
          <t>3.1</t>
        </is>
      </c>
      <c r="J1510" t="inlineStr">
        <is>
          <t>Ventas HoReCa</t>
        </is>
      </c>
      <c r="K1510" t="inlineStr">
        <is>
          <t>CH1</t>
        </is>
      </c>
    </row>
    <row r="1511">
      <c r="A1511" s="33" t="n">
        <v>45797</v>
      </c>
      <c r="B1511" t="inlineStr">
        <is>
          <t>2025-05</t>
        </is>
      </c>
      <c r="C1511" t="inlineStr">
        <is>
          <t>Katherine  Galindo fuentes</t>
        </is>
      </c>
      <c r="D1511" t="inlineStr">
        <is>
          <t>Mix Sabores</t>
        </is>
      </c>
      <c r="E1511" s="34" t="n">
        <v>34780</v>
      </c>
      <c r="F1511" t="inlineStr">
        <is>
          <t>B</t>
        </is>
      </c>
      <c r="G1511" s="34" t="n">
        <v>5553</v>
      </c>
      <c r="H1511" s="34" t="n">
        <v>29227</v>
      </c>
      <c r="I1511" t="inlineStr">
        <is>
          <t>3.2</t>
        </is>
      </c>
      <c r="J1511" t="inlineStr">
        <is>
          <t>Ventas Personas (B2C)</t>
        </is>
      </c>
      <c r="K1511" t="inlineStr">
        <is>
          <t>CH2</t>
        </is>
      </c>
    </row>
    <row r="1512">
      <c r="A1512" s="33" t="n">
        <v>45797</v>
      </c>
      <c r="B1512" t="inlineStr">
        <is>
          <t>2025-05</t>
        </is>
      </c>
      <c r="C1512" t="inlineStr">
        <is>
          <t>Fernanda Mayo</t>
        </is>
      </c>
      <c r="D1512" t="inlineStr">
        <is>
          <t>Petit Tradicional</t>
        </is>
      </c>
      <c r="E1512" s="34" t="n">
        <v>30900</v>
      </c>
      <c r="F1512" t="inlineStr">
        <is>
          <t>B</t>
        </is>
      </c>
      <c r="G1512" s="34" t="n">
        <v>4934</v>
      </c>
      <c r="H1512" s="34" t="n">
        <v>25966</v>
      </c>
      <c r="I1512" t="inlineStr">
        <is>
          <t>3.2</t>
        </is>
      </c>
      <c r="J1512" t="inlineStr">
        <is>
          <t>Ventas Personas (B2C)</t>
        </is>
      </c>
      <c r="K1512" t="inlineStr">
        <is>
          <t>CH2</t>
        </is>
      </c>
    </row>
    <row r="1513">
      <c r="A1513" s="33" t="n">
        <v>45797</v>
      </c>
      <c r="B1513" t="inlineStr">
        <is>
          <t>2025-05</t>
        </is>
      </c>
      <c r="C1513" t="inlineStr">
        <is>
          <t>Catalina Flores</t>
        </is>
      </c>
      <c r="D1513" t="inlineStr">
        <is>
          <t>Petit Tradicional</t>
        </is>
      </c>
      <c r="E1513" s="34" t="n">
        <v>14599</v>
      </c>
      <c r="F1513" t="inlineStr">
        <is>
          <t>B</t>
        </is>
      </c>
      <c r="G1513" s="34" t="n">
        <v>2331</v>
      </c>
      <c r="H1513" s="34" t="n">
        <v>12268</v>
      </c>
      <c r="I1513" t="inlineStr">
        <is>
          <t>3.2</t>
        </is>
      </c>
      <c r="J1513" t="inlineStr">
        <is>
          <t>Ventas Personas (B2C)</t>
        </is>
      </c>
      <c r="K1513" t="inlineStr">
        <is>
          <t>CH2</t>
        </is>
      </c>
    </row>
    <row r="1514">
      <c r="A1514" s="33" t="n">
        <v>45797</v>
      </c>
      <c r="B1514" t="inlineStr">
        <is>
          <t>2025-05</t>
        </is>
      </c>
      <c r="C1514" t="inlineStr">
        <is>
          <t>Janet Awad</t>
        </is>
      </c>
      <c r="D1514" t="inlineStr">
        <is>
          <t>Petit Tradicional</t>
        </is>
      </c>
      <c r="E1514" s="34" t="n">
        <v>42690</v>
      </c>
      <c r="F1514" t="inlineStr">
        <is>
          <t>B</t>
        </is>
      </c>
      <c r="G1514" s="34" t="n">
        <v>6816</v>
      </c>
      <c r="H1514" s="34" t="n">
        <v>35874</v>
      </c>
      <c r="I1514" t="inlineStr">
        <is>
          <t>3.2</t>
        </is>
      </c>
      <c r="J1514" t="inlineStr">
        <is>
          <t>Ventas Personas (B2C)</t>
        </is>
      </c>
      <c r="K1514" t="inlineStr">
        <is>
          <t>CH2</t>
        </is>
      </c>
    </row>
    <row r="1515">
      <c r="A1515" s="33" t="n">
        <v>45797</v>
      </c>
      <c r="B1515" t="inlineStr">
        <is>
          <t>2025-05</t>
        </is>
      </c>
      <c r="C1515" t="inlineStr">
        <is>
          <t>marcela bonnefoy</t>
        </is>
      </c>
      <c r="D1515" t="inlineStr">
        <is>
          <t>Petit Crunchy</t>
        </is>
      </c>
      <c r="E1515" s="34" t="n">
        <v>25900</v>
      </c>
      <c r="F1515" t="inlineStr">
        <is>
          <t>B</t>
        </is>
      </c>
      <c r="G1515" s="34" t="n">
        <v>4135</v>
      </c>
      <c r="H1515" s="34" t="n">
        <v>21765</v>
      </c>
      <c r="I1515" t="inlineStr">
        <is>
          <t>3.2</t>
        </is>
      </c>
      <c r="J1515" t="inlineStr">
        <is>
          <t>Ventas Personas (B2C)</t>
        </is>
      </c>
      <c r="K1515" t="inlineStr">
        <is>
          <t>CH2</t>
        </is>
      </c>
    </row>
    <row r="1516">
      <c r="A1516" s="33" t="n">
        <v>45797</v>
      </c>
      <c r="B1516" t="inlineStr">
        <is>
          <t>2025-05</t>
        </is>
      </c>
      <c r="C1516" t="inlineStr">
        <is>
          <t>rodrigo olate</t>
        </is>
      </c>
      <c r="D1516" t="inlineStr">
        <is>
          <t>CANELÉ TRADICIONAL</t>
        </is>
      </c>
      <c r="E1516" s="34" t="n">
        <v>14900</v>
      </c>
      <c r="F1516" t="inlineStr">
        <is>
          <t>B</t>
        </is>
      </c>
      <c r="G1516" s="34" t="n">
        <v>2379</v>
      </c>
      <c r="H1516" s="34" t="n">
        <v>12521</v>
      </c>
      <c r="I1516" t="inlineStr">
        <is>
          <t>3.2</t>
        </is>
      </c>
      <c r="J1516" t="inlineStr">
        <is>
          <t>Ventas Personas (B2C)</t>
        </is>
      </c>
      <c r="K1516" t="inlineStr">
        <is>
          <t>CH2</t>
        </is>
      </c>
    </row>
    <row r="1517">
      <c r="A1517" s="33" t="n">
        <v>45797</v>
      </c>
      <c r="B1517" t="inlineStr">
        <is>
          <t>2025-05</t>
        </is>
      </c>
      <c r="C1517" t="inlineStr">
        <is>
          <t>Sin cliente</t>
        </is>
      </c>
      <c r="D1517" t="inlineStr">
        <is>
          <t>PLATAFORMAS RAP-PEYA-UBER-GOOD</t>
        </is>
      </c>
      <c r="E1517" s="34" t="n">
        <v>26280</v>
      </c>
      <c r="F1517" t="inlineStr">
        <is>
          <t>B</t>
        </is>
      </c>
      <c r="G1517" s="34" t="n">
        <v>4196</v>
      </c>
      <c r="H1517" s="34" t="n">
        <v>22084</v>
      </c>
      <c r="I1517" t="inlineStr">
        <is>
          <t>3.6</t>
        </is>
      </c>
      <c r="J1517" t="inlineStr">
        <is>
          <t>Ventas Delivery Apps</t>
        </is>
      </c>
      <c r="K1517" t="inlineStr">
        <is>
          <t>CH3</t>
        </is>
      </c>
    </row>
    <row r="1518">
      <c r="A1518" s="33" t="n">
        <v>45797</v>
      </c>
      <c r="B1518" t="inlineStr">
        <is>
          <t>2025-05</t>
        </is>
      </c>
      <c r="C1518" t="inlineStr">
        <is>
          <t>Diego Anguita Ossa</t>
        </is>
      </c>
      <c r="D1518" t="inlineStr">
        <is>
          <t>CANELÉ TRADICIONAL</t>
        </is>
      </c>
      <c r="E1518" s="34" t="n">
        <v>18889</v>
      </c>
      <c r="F1518" t="inlineStr">
        <is>
          <t>B</t>
        </is>
      </c>
      <c r="G1518" s="34" t="n">
        <v>3016</v>
      </c>
      <c r="H1518" s="34" t="n">
        <v>15873</v>
      </c>
      <c r="I1518" t="inlineStr">
        <is>
          <t>3.2</t>
        </is>
      </c>
      <c r="J1518" t="inlineStr">
        <is>
          <t>Ventas Personas (B2C)</t>
        </is>
      </c>
      <c r="K1518" t="inlineStr">
        <is>
          <t>CH2</t>
        </is>
      </c>
    </row>
    <row r="1519">
      <c r="A1519" s="33" t="n">
        <v>45798</v>
      </c>
      <c r="B1519" t="inlineStr">
        <is>
          <t>2025-05</t>
        </is>
      </c>
      <c r="C1519" t="inlineStr">
        <is>
          <t>RATIO COFFEE COMPANY SPA</t>
        </is>
      </c>
      <c r="D1519" t="inlineStr">
        <is>
          <t>HORECA CAFETERIA</t>
        </is>
      </c>
      <c r="E1519" s="34" t="n">
        <v>179710</v>
      </c>
      <c r="F1519" t="inlineStr">
        <is>
          <t>F</t>
        </is>
      </c>
      <c r="G1519" s="34" t="n">
        <v>28693</v>
      </c>
      <c r="H1519" s="34" t="n">
        <v>151017</v>
      </c>
      <c r="I1519" t="inlineStr">
        <is>
          <t>3.1</t>
        </is>
      </c>
      <c r="J1519" t="inlineStr">
        <is>
          <t>Ventas HoReCa</t>
        </is>
      </c>
      <c r="K1519" t="inlineStr">
        <is>
          <t>CH1</t>
        </is>
      </c>
    </row>
    <row r="1520">
      <c r="A1520" s="33" t="n">
        <v>45798</v>
      </c>
      <c r="B1520" t="inlineStr">
        <is>
          <t>2025-05</t>
        </is>
      </c>
      <c r="C1520" t="inlineStr">
        <is>
          <t>Clark Veloso Valenzuela</t>
        </is>
      </c>
      <c r="D1520" t="inlineStr">
        <is>
          <t>HORECA CAFETERIA</t>
        </is>
      </c>
      <c r="E1520" s="34" t="n">
        <v>64966</v>
      </c>
      <c r="F1520" t="inlineStr">
        <is>
          <t>F</t>
        </is>
      </c>
      <c r="G1520" s="34" t="n">
        <v>10373</v>
      </c>
      <c r="H1520" s="34" t="n">
        <v>54593</v>
      </c>
      <c r="I1520" t="inlineStr">
        <is>
          <t>3.1</t>
        </is>
      </c>
      <c r="J1520" t="inlineStr">
        <is>
          <t>Ventas HoReCa</t>
        </is>
      </c>
      <c r="K1520" t="inlineStr">
        <is>
          <t>CH1</t>
        </is>
      </c>
    </row>
    <row r="1521">
      <c r="A1521" s="33" t="n">
        <v>45798</v>
      </c>
      <c r="B1521" t="inlineStr">
        <is>
          <t>2025-05</t>
        </is>
      </c>
      <c r="C1521" t="inlineStr">
        <is>
          <t>RICO SPA</t>
        </is>
      </c>
      <c r="D1521" t="inlineStr">
        <is>
          <t>CANELÉ TRADICIONAL</t>
        </is>
      </c>
      <c r="E1521" s="34" t="n">
        <v>89640</v>
      </c>
      <c r="F1521" t="inlineStr">
        <is>
          <t>F</t>
        </is>
      </c>
      <c r="G1521" s="34" t="n">
        <v>14312</v>
      </c>
      <c r="H1521" s="34" t="n">
        <v>75328</v>
      </c>
      <c r="I1521" t="inlineStr">
        <is>
          <t>3.1</t>
        </is>
      </c>
      <c r="J1521" t="inlineStr">
        <is>
          <t>Ventas HoReCa</t>
        </is>
      </c>
      <c r="K1521" t="inlineStr">
        <is>
          <t>CH1</t>
        </is>
      </c>
    </row>
    <row r="1522">
      <c r="A1522" s="33" t="n">
        <v>45798</v>
      </c>
      <c r="B1522" t="inlineStr">
        <is>
          <t>2025-05</t>
        </is>
      </c>
      <c r="C1522" t="inlineStr">
        <is>
          <t>Sheila Lefever Vidal</t>
        </is>
      </c>
      <c r="D1522" t="inlineStr">
        <is>
          <t>Rellenos</t>
        </is>
      </c>
      <c r="E1522" s="34" t="n">
        <v>26889</v>
      </c>
      <c r="F1522" t="inlineStr">
        <is>
          <t>B</t>
        </is>
      </c>
      <c r="G1522" s="34" t="n">
        <v>4293</v>
      </c>
      <c r="H1522" s="34" t="n">
        <v>22596</v>
      </c>
      <c r="I1522" t="inlineStr">
        <is>
          <t>3.2</t>
        </is>
      </c>
      <c r="J1522" t="inlineStr">
        <is>
          <t>Ventas Personas (B2C)</t>
        </is>
      </c>
      <c r="K1522" t="inlineStr">
        <is>
          <t>CH2</t>
        </is>
      </c>
    </row>
    <row r="1523">
      <c r="A1523" s="33" t="n">
        <v>45798</v>
      </c>
      <c r="B1523" t="inlineStr">
        <is>
          <t>2025-05</t>
        </is>
      </c>
      <c r="C1523" t="inlineStr">
        <is>
          <t>Pablo Carrillo</t>
        </is>
      </c>
      <c r="D1523" t="inlineStr">
        <is>
          <t>CANELÉ TRADICIONAL</t>
        </is>
      </c>
      <c r="E1523" s="34" t="n">
        <v>18199</v>
      </c>
      <c r="F1523" t="inlineStr">
        <is>
          <t>B</t>
        </is>
      </c>
      <c r="G1523" s="34" t="n">
        <v>2906</v>
      </c>
      <c r="H1523" s="34" t="n">
        <v>15293</v>
      </c>
      <c r="I1523" t="inlineStr">
        <is>
          <t>3.2</t>
        </is>
      </c>
      <c r="J1523" t="inlineStr">
        <is>
          <t>Ventas Personas (B2C)</t>
        </is>
      </c>
      <c r="K1523" t="inlineStr">
        <is>
          <t>CH2</t>
        </is>
      </c>
    </row>
    <row r="1524">
      <c r="A1524" s="33" t="n">
        <v>45798</v>
      </c>
      <c r="B1524" t="inlineStr">
        <is>
          <t>2025-05</t>
        </is>
      </c>
      <c r="C1524" t="inlineStr">
        <is>
          <t>Sin cliente</t>
        </is>
      </c>
      <c r="D1524" t="inlineStr">
        <is>
          <t>Petit Crunchy</t>
        </is>
      </c>
      <c r="E1524" s="34" t="n">
        <v>25900</v>
      </c>
      <c r="F1524" t="inlineStr">
        <is>
          <t>B</t>
        </is>
      </c>
      <c r="G1524" s="34" t="n">
        <v>4135</v>
      </c>
      <c r="H1524" s="34" t="n">
        <v>21765</v>
      </c>
      <c r="I1524" t="inlineStr">
        <is>
          <t>3.2</t>
        </is>
      </c>
      <c r="J1524" t="inlineStr">
        <is>
          <t>Ventas Personas (B2C)</t>
        </is>
      </c>
      <c r="K1524" t="inlineStr">
        <is>
          <t>CH2</t>
        </is>
      </c>
    </row>
    <row r="1525">
      <c r="A1525" s="33" t="n">
        <v>45798</v>
      </c>
      <c r="B1525" t="inlineStr">
        <is>
          <t>2025-05</t>
        </is>
      </c>
      <c r="C1525" t="inlineStr">
        <is>
          <t>Sin cliente</t>
        </is>
      </c>
      <c r="D1525" t="inlineStr">
        <is>
          <t>PLATAFORMAS RAP-PEYA-UBER-GOOD</t>
        </is>
      </c>
      <c r="E1525" s="34" t="n">
        <v>52440</v>
      </c>
      <c r="F1525" t="inlineStr">
        <is>
          <t>B</t>
        </is>
      </c>
      <c r="G1525" s="34" t="n">
        <v>8373</v>
      </c>
      <c r="H1525" s="34" t="n">
        <v>44067</v>
      </c>
      <c r="I1525" t="inlineStr">
        <is>
          <t>3.6</t>
        </is>
      </c>
      <c r="J1525" t="inlineStr">
        <is>
          <t>Ventas Delivery Apps</t>
        </is>
      </c>
      <c r="K1525" t="inlineStr">
        <is>
          <t>CH3</t>
        </is>
      </c>
    </row>
    <row r="1526">
      <c r="A1526" s="33" t="n">
        <v>45798</v>
      </c>
      <c r="B1526" t="inlineStr">
        <is>
          <t>2025-05</t>
        </is>
      </c>
      <c r="C1526" t="inlineStr">
        <is>
          <t>Sin cliente</t>
        </is>
      </c>
      <c r="D1526" t="inlineStr">
        <is>
          <t>PLATAFORMAS RAP-PEYA-UBER-GOOD</t>
        </is>
      </c>
      <c r="E1526" s="34" t="n">
        <v>34668</v>
      </c>
      <c r="F1526" t="inlineStr">
        <is>
          <t>B</t>
        </is>
      </c>
      <c r="G1526" s="34" t="n">
        <v>5535</v>
      </c>
      <c r="H1526" s="34" t="n">
        <v>29133</v>
      </c>
      <c r="I1526" t="inlineStr">
        <is>
          <t>3.6</t>
        </is>
      </c>
      <c r="J1526" t="inlineStr">
        <is>
          <t>Ventas Delivery Apps</t>
        </is>
      </c>
      <c r="K1526" t="inlineStr">
        <is>
          <t>CH3</t>
        </is>
      </c>
    </row>
    <row r="1527">
      <c r="A1527" s="33" t="n">
        <v>45798</v>
      </c>
      <c r="B1527" t="inlineStr">
        <is>
          <t>2025-05</t>
        </is>
      </c>
      <c r="C1527" t="inlineStr">
        <is>
          <t>Sin cliente</t>
        </is>
      </c>
      <c r="D1527" t="inlineStr">
        <is>
          <t>CANELÉ TRADICIONAL</t>
        </is>
      </c>
      <c r="E1527" s="34" t="n">
        <v>14900</v>
      </c>
      <c r="F1527" t="inlineStr">
        <is>
          <t>B</t>
        </is>
      </c>
      <c r="G1527" s="34" t="n">
        <v>2379</v>
      </c>
      <c r="H1527" s="34" t="n">
        <v>12521</v>
      </c>
      <c r="I1527" t="inlineStr">
        <is>
          <t>3.2</t>
        </is>
      </c>
      <c r="J1527" t="inlineStr">
        <is>
          <t>Ventas Personas (B2C)</t>
        </is>
      </c>
      <c r="K1527" t="inlineStr">
        <is>
          <t>CH2</t>
        </is>
      </c>
    </row>
    <row r="1528">
      <c r="A1528" s="33" t="n">
        <v>45798</v>
      </c>
      <c r="B1528" t="inlineStr">
        <is>
          <t>2025-05</t>
        </is>
      </c>
      <c r="C1528" t="inlineStr">
        <is>
          <t>Sin cliente</t>
        </is>
      </c>
      <c r="D1528" t="inlineStr">
        <is>
          <t>CANELÉ TRADICIONAL</t>
        </is>
      </c>
      <c r="E1528" s="34" t="n">
        <v>21900</v>
      </c>
      <c r="F1528" t="inlineStr">
        <is>
          <t>B</t>
        </is>
      </c>
      <c r="G1528" s="34" t="n">
        <v>3497</v>
      </c>
      <c r="H1528" s="34" t="n">
        <v>18403</v>
      </c>
      <c r="I1528" t="inlineStr">
        <is>
          <t>3.2</t>
        </is>
      </c>
      <c r="J1528" t="inlineStr">
        <is>
          <t>Ventas Personas (B2C)</t>
        </is>
      </c>
      <c r="K1528" t="inlineStr">
        <is>
          <t>CH2</t>
        </is>
      </c>
    </row>
    <row r="1529">
      <c r="A1529" s="33" t="n">
        <v>45798</v>
      </c>
      <c r="B1529" t="inlineStr">
        <is>
          <t>2025-05</t>
        </is>
      </c>
      <c r="C1529" t="inlineStr">
        <is>
          <t>Sin cliente</t>
        </is>
      </c>
      <c r="D1529" t="inlineStr">
        <is>
          <t>Petit Tradicional</t>
        </is>
      </c>
      <c r="E1529" s="34" t="n">
        <v>20900</v>
      </c>
      <c r="F1529" t="inlineStr">
        <is>
          <t>B</t>
        </is>
      </c>
      <c r="G1529" s="34" t="n">
        <v>3337</v>
      </c>
      <c r="H1529" s="34" t="n">
        <v>17563</v>
      </c>
      <c r="I1529" t="inlineStr">
        <is>
          <t>3.2</t>
        </is>
      </c>
      <c r="J1529" t="inlineStr">
        <is>
          <t>Ventas Personas (B2C)</t>
        </is>
      </c>
      <c r="K1529" t="inlineStr">
        <is>
          <t>CH2</t>
        </is>
      </c>
    </row>
    <row r="1530">
      <c r="A1530" s="33" t="n">
        <v>45798</v>
      </c>
      <c r="B1530" t="inlineStr">
        <is>
          <t>2025-05</t>
        </is>
      </c>
      <c r="C1530" t="inlineStr">
        <is>
          <t>Sin cliente</t>
        </is>
      </c>
      <c r="D1530" t="inlineStr">
        <is>
          <t>PLATAFORMAS RAP-PEYA-UBER-GOOD</t>
        </is>
      </c>
      <c r="E1530" s="34" t="n">
        <v>26280</v>
      </c>
      <c r="F1530" t="inlineStr">
        <is>
          <t>B</t>
        </is>
      </c>
      <c r="G1530" s="34" t="n">
        <v>4196</v>
      </c>
      <c r="H1530" s="34" t="n">
        <v>22084</v>
      </c>
      <c r="I1530" t="inlineStr">
        <is>
          <t>3.6</t>
        </is>
      </c>
      <c r="J1530" t="inlineStr">
        <is>
          <t>Ventas Delivery Apps</t>
        </is>
      </c>
      <c r="K1530" t="inlineStr">
        <is>
          <t>CH3</t>
        </is>
      </c>
    </row>
    <row r="1531">
      <c r="A1531" s="33" t="n">
        <v>45798</v>
      </c>
      <c r="B1531" t="inlineStr">
        <is>
          <t>2025-05</t>
        </is>
      </c>
      <c r="C1531" t="inlineStr">
        <is>
          <t>Sin cliente</t>
        </is>
      </c>
      <c r="D1531" t="inlineStr">
        <is>
          <t>PLATAFORMAS RAP-PEYA-UBER-GOOD</t>
        </is>
      </c>
      <c r="E1531" s="34" t="n">
        <v>25080</v>
      </c>
      <c r="F1531" t="inlineStr">
        <is>
          <t>B</t>
        </is>
      </c>
      <c r="G1531" s="34" t="n">
        <v>4004</v>
      </c>
      <c r="H1531" s="34" t="n">
        <v>21076</v>
      </c>
      <c r="I1531" t="inlineStr">
        <is>
          <t>3.6</t>
        </is>
      </c>
      <c r="J1531" t="inlineStr">
        <is>
          <t>Ventas Delivery Apps</t>
        </is>
      </c>
      <c r="K1531" t="inlineStr">
        <is>
          <t>CH3</t>
        </is>
      </c>
    </row>
    <row r="1532">
      <c r="A1532" s="33" t="n">
        <v>45798</v>
      </c>
      <c r="B1532" t="inlineStr">
        <is>
          <t>2025-05</t>
        </is>
      </c>
      <c r="C1532" t="inlineStr">
        <is>
          <t>Claudia Alcivar Pincay</t>
        </is>
      </c>
      <c r="D1532" t="inlineStr">
        <is>
          <t>Petit Crunchy</t>
        </is>
      </c>
      <c r="E1532" s="34" t="n">
        <v>31789</v>
      </c>
      <c r="F1532" t="inlineStr">
        <is>
          <t>B</t>
        </is>
      </c>
      <c r="G1532" s="34" t="n">
        <v>5076</v>
      </c>
      <c r="H1532" s="34" t="n">
        <v>26713</v>
      </c>
      <c r="I1532" t="inlineStr">
        <is>
          <t>3.2</t>
        </is>
      </c>
      <c r="J1532" t="inlineStr">
        <is>
          <t>Ventas Personas (B2C)</t>
        </is>
      </c>
      <c r="K1532" t="inlineStr">
        <is>
          <t>CH2</t>
        </is>
      </c>
    </row>
    <row r="1533">
      <c r="A1533" s="33" t="n">
        <v>45798</v>
      </c>
      <c r="B1533" t="inlineStr">
        <is>
          <t>2025-05</t>
        </is>
      </c>
      <c r="C1533" t="inlineStr">
        <is>
          <t>Sofia Castillo López</t>
        </is>
      </c>
      <c r="D1533" t="inlineStr">
        <is>
          <t>Mix Sabores</t>
        </is>
      </c>
      <c r="E1533" s="34" t="n">
        <v>26789</v>
      </c>
      <c r="F1533" t="inlineStr">
        <is>
          <t>B</t>
        </is>
      </c>
      <c r="G1533" s="34" t="n">
        <v>4277</v>
      </c>
      <c r="H1533" s="34" t="n">
        <v>22512</v>
      </c>
      <c r="I1533" t="inlineStr">
        <is>
          <t>3.2</t>
        </is>
      </c>
      <c r="J1533" t="inlineStr">
        <is>
          <t>Ventas Personas (B2C)</t>
        </is>
      </c>
      <c r="K1533" t="inlineStr">
        <is>
          <t>CH2</t>
        </is>
      </c>
    </row>
    <row r="1534">
      <c r="A1534" s="33" t="n">
        <v>45798</v>
      </c>
      <c r="B1534" t="inlineStr">
        <is>
          <t>2025-05</t>
        </is>
      </c>
      <c r="C1534" t="inlineStr">
        <is>
          <t>Sin cliente</t>
        </is>
      </c>
      <c r="D1534" t="inlineStr">
        <is>
          <t>Mix Sabores</t>
        </is>
      </c>
      <c r="E1534" s="34" t="n">
        <v>18240</v>
      </c>
      <c r="F1534" t="inlineStr">
        <is>
          <t>B</t>
        </is>
      </c>
      <c r="G1534" s="34" t="n">
        <v>2912</v>
      </c>
      <c r="H1534" s="34" t="n">
        <v>15328</v>
      </c>
      <c r="I1534" t="inlineStr">
        <is>
          <t>3.2</t>
        </is>
      </c>
      <c r="J1534" t="inlineStr">
        <is>
          <t>Ventas Personas (B2C)</t>
        </is>
      </c>
      <c r="K1534" t="inlineStr">
        <is>
          <t>CH2</t>
        </is>
      </c>
    </row>
    <row r="1535">
      <c r="A1535" s="33" t="n">
        <v>45798</v>
      </c>
      <c r="B1535" t="inlineStr">
        <is>
          <t>2025-05</t>
        </is>
      </c>
      <c r="C1535" t="inlineStr">
        <is>
          <t>Maria Jose Grez</t>
        </is>
      </c>
      <c r="D1535" t="inlineStr">
        <is>
          <t>Petit Tradicional</t>
        </is>
      </c>
      <c r="E1535" s="34" t="n">
        <v>-20900</v>
      </c>
      <c r="F1535" t="inlineStr">
        <is>
          <t>NC</t>
        </is>
      </c>
      <c r="G1535" s="34" t="n">
        <v>-3337</v>
      </c>
      <c r="H1535" s="34" t="n">
        <v>-17563</v>
      </c>
      <c r="I1535" t="inlineStr">
        <is>
          <t>3.2</t>
        </is>
      </c>
      <c r="J1535" t="inlineStr">
        <is>
          <t>Ventas Personas (B2C)</t>
        </is>
      </c>
      <c r="K1535" t="inlineStr">
        <is>
          <t>CH2</t>
        </is>
      </c>
    </row>
    <row r="1536">
      <c r="A1536" s="33" t="n">
        <v>45799</v>
      </c>
      <c r="B1536" t="inlineStr">
        <is>
          <t>2025-05</t>
        </is>
      </c>
      <c r="C1536" t="inlineStr">
        <is>
          <t>the capital coffee spa</t>
        </is>
      </c>
      <c r="D1536" t="inlineStr">
        <is>
          <t>HORECA CAFETERIA</t>
        </is>
      </c>
      <c r="E1536" s="34" t="n">
        <v>203670</v>
      </c>
      <c r="F1536" t="inlineStr">
        <is>
          <t>F</t>
        </is>
      </c>
      <c r="G1536" s="34" t="n">
        <v>32519</v>
      </c>
      <c r="H1536" s="34" t="n">
        <v>171151</v>
      </c>
      <c r="I1536" t="inlineStr">
        <is>
          <t>3.1</t>
        </is>
      </c>
      <c r="J1536" t="inlineStr">
        <is>
          <t>Ventas HoReCa</t>
        </is>
      </c>
      <c r="K1536" t="inlineStr">
        <is>
          <t>CH1</t>
        </is>
      </c>
    </row>
    <row r="1537">
      <c r="A1537" s="33" t="n">
        <v>45799</v>
      </c>
      <c r="B1537" t="inlineStr">
        <is>
          <t>2025-05</t>
        </is>
      </c>
      <c r="C1537" t="inlineStr">
        <is>
          <t>BEMVINDO CAFE</t>
        </is>
      </c>
      <c r="D1537" t="inlineStr">
        <is>
          <t>HORECA CAFETERIA</t>
        </is>
      </c>
      <c r="E1537" s="34" t="n">
        <v>36414</v>
      </c>
      <c r="F1537" t="inlineStr">
        <is>
          <t>F</t>
        </is>
      </c>
      <c r="G1537" s="34" t="n">
        <v>5814</v>
      </c>
      <c r="H1537" s="34" t="n">
        <v>30600</v>
      </c>
      <c r="I1537" t="inlineStr">
        <is>
          <t>3.1</t>
        </is>
      </c>
      <c r="J1537" t="inlineStr">
        <is>
          <t>Ventas HoReCa</t>
        </is>
      </c>
      <c r="K1537" t="inlineStr">
        <is>
          <t>CH1</t>
        </is>
      </c>
    </row>
    <row r="1538">
      <c r="A1538" s="33" t="n">
        <v>45799</v>
      </c>
      <c r="B1538" t="inlineStr">
        <is>
          <t>2025-05</t>
        </is>
      </c>
      <c r="C1538" t="inlineStr">
        <is>
          <t>NatashaNatasha Cabello</t>
        </is>
      </c>
      <c r="D1538" t="inlineStr">
        <is>
          <t>Petit Tradicional</t>
        </is>
      </c>
      <c r="E1538" s="34" t="n">
        <v>12890</v>
      </c>
      <c r="F1538" t="inlineStr">
        <is>
          <t>B</t>
        </is>
      </c>
      <c r="G1538" s="34" t="n">
        <v>2058</v>
      </c>
      <c r="H1538" s="34" t="n">
        <v>10832</v>
      </c>
      <c r="I1538" t="inlineStr">
        <is>
          <t>3.2</t>
        </is>
      </c>
      <c r="J1538" t="inlineStr">
        <is>
          <t>Ventas Personas (B2C)</t>
        </is>
      </c>
      <c r="K1538" t="inlineStr">
        <is>
          <t>CH2</t>
        </is>
      </c>
    </row>
    <row r="1539">
      <c r="A1539" s="33" t="n">
        <v>45799</v>
      </c>
      <c r="B1539" t="inlineStr">
        <is>
          <t>2025-05</t>
        </is>
      </c>
      <c r="C1539" t="inlineStr">
        <is>
          <t>Luis Ramos</t>
        </is>
      </c>
      <c r="D1539" t="inlineStr">
        <is>
          <t>CANELÉ TRADICIONAL</t>
        </is>
      </c>
      <c r="E1539" s="34" t="n">
        <v>26900</v>
      </c>
      <c r="F1539" t="inlineStr">
        <is>
          <t>B</t>
        </is>
      </c>
      <c r="G1539" s="34" t="n">
        <v>4295</v>
      </c>
      <c r="H1539" s="34" t="n">
        <v>22605</v>
      </c>
      <c r="I1539" t="inlineStr">
        <is>
          <t>3.2</t>
        </is>
      </c>
      <c r="J1539" t="inlineStr">
        <is>
          <t>Ventas Personas (B2C)</t>
        </is>
      </c>
      <c r="K1539" t="inlineStr">
        <is>
          <t>CH2</t>
        </is>
      </c>
    </row>
    <row r="1540">
      <c r="A1540" s="33" t="n">
        <v>45799</v>
      </c>
      <c r="B1540" t="inlineStr">
        <is>
          <t>2025-05</t>
        </is>
      </c>
      <c r="C1540" t="inlineStr">
        <is>
          <t>Sin cliente</t>
        </is>
      </c>
      <c r="D1540" t="inlineStr">
        <is>
          <t>CANELÉ TRADICIONAL</t>
        </is>
      </c>
      <c r="E1540" s="34" t="n">
        <v>21900</v>
      </c>
      <c r="F1540" t="inlineStr">
        <is>
          <t>B</t>
        </is>
      </c>
      <c r="G1540" s="34" t="n">
        <v>3497</v>
      </c>
      <c r="H1540" s="34" t="n">
        <v>18403</v>
      </c>
      <c r="I1540" t="inlineStr">
        <is>
          <t>3.2</t>
        </is>
      </c>
      <c r="J1540" t="inlineStr">
        <is>
          <t>Ventas Personas (B2C)</t>
        </is>
      </c>
      <c r="K1540" t="inlineStr">
        <is>
          <t>CH2</t>
        </is>
      </c>
    </row>
    <row r="1541">
      <c r="A1541" s="33" t="n">
        <v>45799</v>
      </c>
      <c r="B1541" t="inlineStr">
        <is>
          <t>2025-05</t>
        </is>
      </c>
      <c r="C1541" t="inlineStr">
        <is>
          <t>CAFETERÍAS MISTER SPA</t>
        </is>
      </c>
      <c r="D1541" t="inlineStr">
        <is>
          <t>CANELÉ TRADICIONAL</t>
        </is>
      </c>
      <c r="E1541" s="34" t="n">
        <v>996880</v>
      </c>
      <c r="F1541" t="inlineStr">
        <is>
          <t>F</t>
        </is>
      </c>
      <c r="G1541" s="34" t="n">
        <v>159166</v>
      </c>
      <c r="H1541" s="34" t="n">
        <v>837714</v>
      </c>
      <c r="I1541" t="inlineStr">
        <is>
          <t>3.1</t>
        </is>
      </c>
      <c r="J1541" t="inlineStr">
        <is>
          <t>Ventas HoReCa</t>
        </is>
      </c>
      <c r="K1541" t="inlineStr">
        <is>
          <t>CH1</t>
        </is>
      </c>
    </row>
    <row r="1542">
      <c r="A1542" s="33" t="n">
        <v>45799</v>
      </c>
      <c r="B1542" t="inlineStr">
        <is>
          <t>2025-05</t>
        </is>
      </c>
      <c r="C1542" t="inlineStr">
        <is>
          <t>Tania Vivar</t>
        </is>
      </c>
      <c r="D1542" t="inlineStr">
        <is>
          <t>Petit Tradicional</t>
        </is>
      </c>
      <c r="E1542" s="34" t="n">
        <v>65700</v>
      </c>
      <c r="F1542" t="inlineStr">
        <is>
          <t>B</t>
        </is>
      </c>
      <c r="G1542" s="34" t="n">
        <v>10490</v>
      </c>
      <c r="H1542" s="34" t="n">
        <v>55210</v>
      </c>
      <c r="I1542" t="inlineStr">
        <is>
          <t>3.2</t>
        </is>
      </c>
      <c r="J1542" t="inlineStr">
        <is>
          <t>Ventas Personas (B2C)</t>
        </is>
      </c>
      <c r="K1542" t="inlineStr">
        <is>
          <t>CH2</t>
        </is>
      </c>
    </row>
    <row r="1543">
      <c r="A1543" s="33" t="n">
        <v>45799</v>
      </c>
      <c r="B1543" t="inlineStr">
        <is>
          <t>2025-05</t>
        </is>
      </c>
      <c r="C1543" t="inlineStr">
        <is>
          <t>Tania Vivar</t>
        </is>
      </c>
      <c r="D1543" t="inlineStr">
        <is>
          <t>Petit Crunchy</t>
        </is>
      </c>
      <c r="E1543" s="34" t="n">
        <v>54700</v>
      </c>
      <c r="F1543" t="inlineStr">
        <is>
          <t>B</t>
        </is>
      </c>
      <c r="G1543" s="34" t="n">
        <v>8734</v>
      </c>
      <c r="H1543" s="34" t="n">
        <v>45966</v>
      </c>
      <c r="I1543" t="inlineStr">
        <is>
          <t>3.2</t>
        </is>
      </c>
      <c r="J1543" t="inlineStr">
        <is>
          <t>Ventas Personas (B2C)</t>
        </is>
      </c>
      <c r="K1543" t="inlineStr">
        <is>
          <t>CH2</t>
        </is>
      </c>
    </row>
    <row r="1544">
      <c r="A1544" s="33" t="n">
        <v>45799</v>
      </c>
      <c r="B1544" t="inlineStr">
        <is>
          <t>2025-05</t>
        </is>
      </c>
      <c r="C1544" t="inlineStr">
        <is>
          <t>Javier Fuentes</t>
        </is>
      </c>
      <c r="D1544" t="inlineStr">
        <is>
          <t>CANELÉ TRADICIONAL</t>
        </is>
      </c>
      <c r="E1544" s="34" t="n">
        <v>22890</v>
      </c>
      <c r="F1544" t="inlineStr">
        <is>
          <t>B</t>
        </is>
      </c>
      <c r="G1544" s="34" t="n">
        <v>3655</v>
      </c>
      <c r="H1544" s="34" t="n">
        <v>19235</v>
      </c>
      <c r="I1544" t="inlineStr">
        <is>
          <t>3.2</t>
        </is>
      </c>
      <c r="J1544" t="inlineStr">
        <is>
          <t>Ventas Personas (B2C)</t>
        </is>
      </c>
      <c r="K1544" t="inlineStr">
        <is>
          <t>CH2</t>
        </is>
      </c>
    </row>
    <row r="1545">
      <c r="A1545" s="33" t="n">
        <v>45799</v>
      </c>
      <c r="B1545" t="inlineStr">
        <is>
          <t>2025-05</t>
        </is>
      </c>
      <c r="C1545" t="inlineStr">
        <is>
          <t>Luis Herrera</t>
        </is>
      </c>
      <c r="D1545" t="inlineStr">
        <is>
          <t>Petit Crunchy</t>
        </is>
      </c>
      <c r="E1545" s="34" t="n">
        <v>55840</v>
      </c>
      <c r="F1545" t="inlineStr">
        <is>
          <t>B</t>
        </is>
      </c>
      <c r="G1545" s="34" t="n">
        <v>8916</v>
      </c>
      <c r="H1545" s="34" t="n">
        <v>46924</v>
      </c>
      <c r="I1545" t="inlineStr">
        <is>
          <t>3.2</t>
        </is>
      </c>
      <c r="J1545" t="inlineStr">
        <is>
          <t>Ventas Personas (B2C)</t>
        </is>
      </c>
      <c r="K1545" t="inlineStr">
        <is>
          <t>CH2</t>
        </is>
      </c>
    </row>
    <row r="1546">
      <c r="A1546" s="33" t="n">
        <v>45800</v>
      </c>
      <c r="B1546" t="inlineStr">
        <is>
          <t>2025-05</t>
        </is>
      </c>
      <c r="C1546" t="inlineStr">
        <is>
          <t>PRODUCTORA GALDAMES CORTEZ LIMITADA</t>
        </is>
      </c>
      <c r="D1546" t="inlineStr">
        <is>
          <t>HORECA CATERING</t>
        </is>
      </c>
      <c r="E1546" s="34" t="n">
        <v>59500</v>
      </c>
      <c r="F1546" t="inlineStr">
        <is>
          <t>F</t>
        </is>
      </c>
      <c r="G1546" s="34" t="n">
        <v>9500</v>
      </c>
      <c r="H1546" s="34" t="n">
        <v>50000</v>
      </c>
      <c r="I1546" t="inlineStr">
        <is>
          <t>3.1</t>
        </is>
      </c>
      <c r="J1546" t="inlineStr">
        <is>
          <t>Ventas HoReCa</t>
        </is>
      </c>
      <c r="K1546" t="inlineStr">
        <is>
          <t>CH1</t>
        </is>
      </c>
    </row>
    <row r="1547">
      <c r="A1547" s="33" t="n">
        <v>45800</v>
      </c>
      <c r="B1547" t="inlineStr">
        <is>
          <t>2025-05</t>
        </is>
      </c>
      <c r="C1547" t="inlineStr">
        <is>
          <t>Better Food Spa</t>
        </is>
      </c>
      <c r="D1547" t="inlineStr">
        <is>
          <t>HORECA CAFETERIA</t>
        </is>
      </c>
      <c r="E1547" s="34" t="n">
        <v>209916</v>
      </c>
      <c r="F1547" t="inlineStr">
        <is>
          <t>F</t>
        </is>
      </c>
      <c r="G1547" s="34" t="n">
        <v>33516</v>
      </c>
      <c r="H1547" s="34" t="n">
        <v>176400</v>
      </c>
      <c r="I1547" t="inlineStr">
        <is>
          <t>3.1</t>
        </is>
      </c>
      <c r="J1547" t="inlineStr">
        <is>
          <t>Ventas HoReCa</t>
        </is>
      </c>
      <c r="K1547" t="inlineStr">
        <is>
          <t>CH1</t>
        </is>
      </c>
    </row>
    <row r="1548">
      <c r="A1548" s="33" t="n">
        <v>45800</v>
      </c>
      <c r="B1548" t="inlineStr">
        <is>
          <t>2025-05</t>
        </is>
      </c>
      <c r="C1548" t="inlineStr">
        <is>
          <t>POMPON SPA</t>
        </is>
      </c>
      <c r="D1548" t="inlineStr">
        <is>
          <t>HORECA CAFETERIA</t>
        </is>
      </c>
      <c r="E1548" s="34" t="n">
        <v>91630</v>
      </c>
      <c r="F1548" t="inlineStr">
        <is>
          <t>F</t>
        </is>
      </c>
      <c r="G1548" s="34" t="n">
        <v>14630</v>
      </c>
      <c r="H1548" s="34" t="n">
        <v>77000</v>
      </c>
      <c r="I1548" t="inlineStr">
        <is>
          <t>3.1</t>
        </is>
      </c>
      <c r="J1548" t="inlineStr">
        <is>
          <t>Ventas HoReCa</t>
        </is>
      </c>
      <c r="K1548" t="inlineStr">
        <is>
          <t>CH1</t>
        </is>
      </c>
    </row>
    <row r="1549">
      <c r="A1549" s="33" t="n">
        <v>45800</v>
      </c>
      <c r="B1549" t="inlineStr">
        <is>
          <t>2025-05</t>
        </is>
      </c>
      <c r="C1549" t="inlineStr">
        <is>
          <t>Sociedad de inversiones solari y acuña spa</t>
        </is>
      </c>
      <c r="D1549" t="inlineStr">
        <is>
          <t>HORECA CAFETERIA</t>
        </is>
      </c>
      <c r="E1549" s="34" t="n">
        <v>112800</v>
      </c>
      <c r="F1549" t="inlineStr">
        <is>
          <t>F</t>
        </is>
      </c>
      <c r="G1549" s="34" t="n">
        <v>18010</v>
      </c>
      <c r="H1549" s="34" t="n">
        <v>94790</v>
      </c>
      <c r="I1549" t="inlineStr">
        <is>
          <t>3.1</t>
        </is>
      </c>
      <c r="J1549" t="inlineStr">
        <is>
          <t>Ventas HoReCa</t>
        </is>
      </c>
      <c r="K1549" t="inlineStr">
        <is>
          <t>CH1</t>
        </is>
      </c>
    </row>
    <row r="1550">
      <c r="A1550" s="33" t="n">
        <v>45800</v>
      </c>
      <c r="B1550" t="inlineStr">
        <is>
          <t>2025-05</t>
        </is>
      </c>
      <c r="C1550" t="inlineStr">
        <is>
          <t>GALVEZ Y HEUSSER SPA</t>
        </is>
      </c>
      <c r="D1550" t="inlineStr">
        <is>
          <t>HORECA CATERING</t>
        </is>
      </c>
      <c r="E1550" s="34" t="n">
        <v>157616</v>
      </c>
      <c r="F1550" t="inlineStr">
        <is>
          <t>F</t>
        </is>
      </c>
      <c r="G1550" s="34" t="n">
        <v>25166</v>
      </c>
      <c r="H1550" s="34" t="n">
        <v>132450</v>
      </c>
      <c r="I1550" t="inlineStr">
        <is>
          <t>3.1</t>
        </is>
      </c>
      <c r="J1550" t="inlineStr">
        <is>
          <t>Ventas HoReCa</t>
        </is>
      </c>
      <c r="K1550" t="inlineStr">
        <is>
          <t>CH1</t>
        </is>
      </c>
    </row>
    <row r="1551">
      <c r="A1551" s="33" t="n">
        <v>45800</v>
      </c>
      <c r="B1551" t="inlineStr">
        <is>
          <t>2025-05</t>
        </is>
      </c>
      <c r="C1551" t="inlineStr">
        <is>
          <t>Marcelo Victoria</t>
        </is>
      </c>
      <c r="D1551" t="inlineStr">
        <is>
          <t>SALSAS</t>
        </is>
      </c>
      <c r="E1551" s="34" t="n">
        <v>37879</v>
      </c>
      <c r="F1551" t="inlineStr">
        <is>
          <t>B</t>
        </is>
      </c>
      <c r="G1551" s="34" t="n">
        <v>6048</v>
      </c>
      <c r="H1551" s="34" t="n">
        <v>31831</v>
      </c>
      <c r="I1551" t="inlineStr">
        <is>
          <t>3.2</t>
        </is>
      </c>
      <c r="J1551" t="inlineStr">
        <is>
          <t>Ventas Personas (B2C)</t>
        </is>
      </c>
      <c r="K1551" t="inlineStr">
        <is>
          <t>CH2</t>
        </is>
      </c>
    </row>
    <row r="1552">
      <c r="A1552" s="33" t="n">
        <v>45800</v>
      </c>
      <c r="B1552" t="inlineStr">
        <is>
          <t>2025-05</t>
        </is>
      </c>
      <c r="C1552" t="inlineStr">
        <is>
          <t>Claudia Villaseca</t>
        </is>
      </c>
      <c r="D1552" t="inlineStr">
        <is>
          <t>Petit Tradicional</t>
        </is>
      </c>
      <c r="E1552" s="34" t="n">
        <v>18810</v>
      </c>
      <c r="F1552" t="inlineStr">
        <is>
          <t>B</t>
        </is>
      </c>
      <c r="G1552" s="34" t="n">
        <v>3003</v>
      </c>
      <c r="H1552" s="34" t="n">
        <v>15807</v>
      </c>
      <c r="I1552" t="inlineStr">
        <is>
          <t>3.2</t>
        </is>
      </c>
      <c r="J1552" t="inlineStr">
        <is>
          <t>Ventas Personas (B2C)</t>
        </is>
      </c>
      <c r="K1552" t="inlineStr">
        <is>
          <t>CH2</t>
        </is>
      </c>
    </row>
    <row r="1553">
      <c r="A1553" s="33" t="n">
        <v>45800</v>
      </c>
      <c r="B1553" t="inlineStr">
        <is>
          <t>2025-05</t>
        </is>
      </c>
      <c r="C1553" t="inlineStr">
        <is>
          <t>Sin cliente</t>
        </is>
      </c>
      <c r="D1553" t="inlineStr">
        <is>
          <t>PLATAFORMAS RAP-PEYA-UBER-GOOD</t>
        </is>
      </c>
      <c r="E1553" s="34" t="n">
        <v>12540</v>
      </c>
      <c r="F1553" t="inlineStr">
        <is>
          <t>B</t>
        </is>
      </c>
      <c r="G1553" s="34" t="n">
        <v>2002</v>
      </c>
      <c r="H1553" s="34" t="n">
        <v>10538</v>
      </c>
      <c r="I1553" t="inlineStr">
        <is>
          <t>3.6</t>
        </is>
      </c>
      <c r="J1553" t="inlineStr">
        <is>
          <t>Ventas Delivery Apps</t>
        </is>
      </c>
      <c r="K1553" t="inlineStr">
        <is>
          <t>CH3</t>
        </is>
      </c>
    </row>
    <row r="1554">
      <c r="A1554" s="33" t="n">
        <v>45800</v>
      </c>
      <c r="B1554" t="inlineStr">
        <is>
          <t>2025-05</t>
        </is>
      </c>
      <c r="C1554" t="inlineStr">
        <is>
          <t>Sin cliente</t>
        </is>
      </c>
      <c r="D1554" t="inlineStr">
        <is>
          <t>REGION METROPOLITANA</t>
        </is>
      </c>
      <c r="E1554" s="34" t="n">
        <v>3990</v>
      </c>
      <c r="F1554" t="inlineStr">
        <is>
          <t>B</t>
        </is>
      </c>
      <c r="G1554" s="34" t="n">
        <v>637</v>
      </c>
      <c r="H1554" s="34" t="n">
        <v>3353</v>
      </c>
      <c r="I1554" t="inlineStr">
        <is>
          <t>3.2</t>
        </is>
      </c>
      <c r="J1554" t="inlineStr">
        <is>
          <t>Ventas Personas (B2C)</t>
        </is>
      </c>
      <c r="K1554" t="inlineStr">
        <is>
          <t>CH2</t>
        </is>
      </c>
    </row>
    <row r="1555">
      <c r="A1555" s="33" t="n">
        <v>45800</v>
      </c>
      <c r="B1555" t="inlineStr">
        <is>
          <t>2025-05</t>
        </is>
      </c>
      <c r="C1555" t="inlineStr">
        <is>
          <t>Yuri Uehiro</t>
        </is>
      </c>
      <c r="D1555" t="inlineStr">
        <is>
          <t>CANELÉ TRADICIONAL</t>
        </is>
      </c>
      <c r="E1555" s="34" t="n">
        <v>36210</v>
      </c>
      <c r="F1555" t="inlineStr">
        <is>
          <t>B</t>
        </is>
      </c>
      <c r="G1555" s="34" t="n">
        <v>5781</v>
      </c>
      <c r="H1555" s="34" t="n">
        <v>30429</v>
      </c>
      <c r="I1555" t="inlineStr">
        <is>
          <t>3.2</t>
        </is>
      </c>
      <c r="J1555" t="inlineStr">
        <is>
          <t>Ventas Personas (B2C)</t>
        </is>
      </c>
      <c r="K1555" t="inlineStr">
        <is>
          <t>CH2</t>
        </is>
      </c>
    </row>
    <row r="1556">
      <c r="A1556" s="33" t="n">
        <v>45800</v>
      </c>
      <c r="B1556" t="inlineStr">
        <is>
          <t>2025-05</t>
        </is>
      </c>
      <c r="C1556" t="inlineStr">
        <is>
          <t>Jorge Roman</t>
        </is>
      </c>
      <c r="D1556" t="inlineStr">
        <is>
          <t>PLATAFORMAS RAP-PEYA-UBER-GOOD</t>
        </is>
      </c>
      <c r="E1556" s="34" t="n">
        <v>18540</v>
      </c>
      <c r="F1556" t="inlineStr">
        <is>
          <t>B</t>
        </is>
      </c>
      <c r="G1556" s="34" t="n">
        <v>2960</v>
      </c>
      <c r="H1556" s="34" t="n">
        <v>15580</v>
      </c>
      <c r="I1556" t="inlineStr">
        <is>
          <t>3.6</t>
        </is>
      </c>
      <c r="J1556" t="inlineStr">
        <is>
          <t>Ventas Delivery Apps</t>
        </is>
      </c>
      <c r="K1556" t="inlineStr">
        <is>
          <t>CH3</t>
        </is>
      </c>
    </row>
    <row r="1557">
      <c r="A1557" s="33" t="n">
        <v>45800</v>
      </c>
      <c r="B1557" t="inlineStr">
        <is>
          <t>2025-05</t>
        </is>
      </c>
      <c r="C1557" t="inlineStr">
        <is>
          <t>Rosario Baeza</t>
        </is>
      </c>
      <c r="D1557" t="inlineStr">
        <is>
          <t>PLATAFORMAS RAP-PEYA-UBER-GOOD</t>
        </is>
      </c>
      <c r="E1557" s="34" t="n">
        <v>25080</v>
      </c>
      <c r="F1557" t="inlineStr">
        <is>
          <t>B</t>
        </is>
      </c>
      <c r="G1557" s="34" t="n">
        <v>4004</v>
      </c>
      <c r="H1557" s="34" t="n">
        <v>21076</v>
      </c>
      <c r="I1557" t="inlineStr">
        <is>
          <t>3.6</t>
        </is>
      </c>
      <c r="J1557" t="inlineStr">
        <is>
          <t>Ventas Delivery Apps</t>
        </is>
      </c>
      <c r="K1557" t="inlineStr">
        <is>
          <t>CH3</t>
        </is>
      </c>
    </row>
    <row r="1558">
      <c r="A1558" s="33" t="n">
        <v>45800</v>
      </c>
      <c r="B1558" t="inlineStr">
        <is>
          <t>2025-05</t>
        </is>
      </c>
      <c r="C1558" t="inlineStr">
        <is>
          <t>Lida Frasani</t>
        </is>
      </c>
      <c r="D1558" t="inlineStr">
        <is>
          <t>Petit Tradicional</t>
        </is>
      </c>
      <c r="E1558" s="34" t="n">
        <v>10900</v>
      </c>
      <c r="F1558" t="inlineStr">
        <is>
          <t>B</t>
        </is>
      </c>
      <c r="G1558" s="34" t="n">
        <v>1740</v>
      </c>
      <c r="H1558" s="34" t="n">
        <v>9160</v>
      </c>
      <c r="I1558" t="inlineStr">
        <is>
          <t>3.2</t>
        </is>
      </c>
      <c r="J1558" t="inlineStr">
        <is>
          <t>Ventas Personas (B2C)</t>
        </is>
      </c>
      <c r="K1558" t="inlineStr">
        <is>
          <t>CH2</t>
        </is>
      </c>
    </row>
    <row r="1559">
      <c r="A1559" s="33" t="n">
        <v>45800</v>
      </c>
      <c r="B1559" t="inlineStr">
        <is>
          <t>2025-05</t>
        </is>
      </c>
      <c r="C1559" t="inlineStr">
        <is>
          <t>Maria Estrella Rabat</t>
        </is>
      </c>
      <c r="D1559" t="inlineStr">
        <is>
          <t>CANELÉ TRADICIONAL</t>
        </is>
      </c>
      <c r="E1559" s="34" t="n">
        <v>26900</v>
      </c>
      <c r="F1559" t="inlineStr">
        <is>
          <t>B</t>
        </is>
      </c>
      <c r="G1559" s="34" t="n">
        <v>4295</v>
      </c>
      <c r="H1559" s="34" t="n">
        <v>22605</v>
      </c>
      <c r="I1559" t="inlineStr">
        <is>
          <t>3.2</t>
        </is>
      </c>
      <c r="J1559" t="inlineStr">
        <is>
          <t>Ventas Personas (B2C)</t>
        </is>
      </c>
      <c r="K1559" t="inlineStr">
        <is>
          <t>CH2</t>
        </is>
      </c>
    </row>
    <row r="1560">
      <c r="A1560" s="33" t="n">
        <v>45800</v>
      </c>
      <c r="B1560" t="inlineStr">
        <is>
          <t>2025-05</t>
        </is>
      </c>
      <c r="C1560" t="inlineStr">
        <is>
          <t>Rafa Loyola</t>
        </is>
      </c>
      <c r="D1560" t="inlineStr">
        <is>
          <t>Mix Sabores</t>
        </is>
      </c>
      <c r="E1560" s="34" t="n">
        <v>33030</v>
      </c>
      <c r="F1560" t="inlineStr">
        <is>
          <t>B</t>
        </is>
      </c>
      <c r="G1560" s="34" t="n">
        <v>5274</v>
      </c>
      <c r="H1560" s="34" t="n">
        <v>27756</v>
      </c>
      <c r="I1560" t="inlineStr">
        <is>
          <t>3.2</t>
        </is>
      </c>
      <c r="J1560" t="inlineStr">
        <is>
          <t>Ventas Personas (B2C)</t>
        </is>
      </c>
      <c r="K1560" t="inlineStr">
        <is>
          <t>CH2</t>
        </is>
      </c>
    </row>
    <row r="1561">
      <c r="A1561" s="33" t="n">
        <v>45800</v>
      </c>
      <c r="B1561" t="inlineStr">
        <is>
          <t>2025-05</t>
        </is>
      </c>
      <c r="C1561" t="inlineStr">
        <is>
          <t>Flavia Cardoso</t>
        </is>
      </c>
      <c r="D1561" t="inlineStr">
        <is>
          <t>SALSAS</t>
        </is>
      </c>
      <c r="E1561" s="34" t="n">
        <v>32782</v>
      </c>
      <c r="F1561" t="inlineStr">
        <is>
          <t>B</t>
        </is>
      </c>
      <c r="G1561" s="34" t="n">
        <v>5234</v>
      </c>
      <c r="H1561" s="34" t="n">
        <v>27548</v>
      </c>
      <c r="I1561" t="inlineStr">
        <is>
          <t>3.2</t>
        </is>
      </c>
      <c r="J1561" t="inlineStr">
        <is>
          <t>Ventas Personas (B2C)</t>
        </is>
      </c>
      <c r="K1561" t="inlineStr">
        <is>
          <t>CH2</t>
        </is>
      </c>
    </row>
    <row r="1562">
      <c r="A1562" s="33" t="n">
        <v>45800</v>
      </c>
      <c r="B1562" t="inlineStr">
        <is>
          <t>2025-05</t>
        </is>
      </c>
      <c r="C1562" t="inlineStr">
        <is>
          <t>Sin cliente</t>
        </is>
      </c>
      <c r="D1562" t="inlineStr">
        <is>
          <t>PLATAFORMAS RAP-PEYA-UBER-GOOD</t>
        </is>
      </c>
      <c r="E1562" s="34" t="n">
        <v>17880</v>
      </c>
      <c r="F1562" t="inlineStr">
        <is>
          <t>B</t>
        </is>
      </c>
      <c r="G1562" s="34" t="n">
        <v>2855</v>
      </c>
      <c r="H1562" s="34" t="n">
        <v>15025</v>
      </c>
      <c r="I1562" t="inlineStr">
        <is>
          <t>3.6</t>
        </is>
      </c>
      <c r="J1562" t="inlineStr">
        <is>
          <t>Ventas Delivery Apps</t>
        </is>
      </c>
      <c r="K1562" t="inlineStr">
        <is>
          <t>CH3</t>
        </is>
      </c>
    </row>
    <row r="1563">
      <c r="A1563" s="33" t="n">
        <v>45800</v>
      </c>
      <c r="B1563" t="inlineStr">
        <is>
          <t>2025-05</t>
        </is>
      </c>
      <c r="C1563" t="inlineStr">
        <is>
          <t>Sin cliente</t>
        </is>
      </c>
      <c r="D1563" t="inlineStr">
        <is>
          <t>CANELÉ TRADICIONAL</t>
        </is>
      </c>
      <c r="E1563" s="34" t="n">
        <v>14900</v>
      </c>
      <c r="F1563" t="inlineStr">
        <is>
          <t>B</t>
        </is>
      </c>
      <c r="G1563" s="34" t="n">
        <v>2379</v>
      </c>
      <c r="H1563" s="34" t="n">
        <v>12521</v>
      </c>
      <c r="I1563" t="inlineStr">
        <is>
          <t>3.2</t>
        </is>
      </c>
      <c r="J1563" t="inlineStr">
        <is>
          <t>Ventas Personas (B2C)</t>
        </is>
      </c>
      <c r="K1563" t="inlineStr">
        <is>
          <t>CH2</t>
        </is>
      </c>
    </row>
    <row r="1564">
      <c r="A1564" s="33" t="n">
        <v>45800</v>
      </c>
      <c r="B1564" t="inlineStr">
        <is>
          <t>2025-05</t>
        </is>
      </c>
      <c r="C1564" t="inlineStr">
        <is>
          <t>Chirine Jabbour</t>
        </is>
      </c>
      <c r="D1564" t="inlineStr">
        <is>
          <t>Mix Sabores</t>
        </is>
      </c>
      <c r="E1564" s="34" t="n">
        <v>22800</v>
      </c>
      <c r="F1564" t="inlineStr">
        <is>
          <t>B</t>
        </is>
      </c>
      <c r="G1564" s="34" t="n">
        <v>3640</v>
      </c>
      <c r="H1564" s="34" t="n">
        <v>19160</v>
      </c>
      <c r="I1564" t="inlineStr">
        <is>
          <t>3.2</t>
        </is>
      </c>
      <c r="J1564" t="inlineStr">
        <is>
          <t>Ventas Personas (B2C)</t>
        </is>
      </c>
      <c r="K1564" t="inlineStr">
        <is>
          <t>CH2</t>
        </is>
      </c>
    </row>
    <row r="1565">
      <c r="A1565" s="33" t="n">
        <v>45800</v>
      </c>
      <c r="B1565" t="inlineStr">
        <is>
          <t>2025-05</t>
        </is>
      </c>
      <c r="C1565" t="inlineStr">
        <is>
          <t>Genesis Gonzalez</t>
        </is>
      </c>
      <c r="D1565" t="inlineStr">
        <is>
          <t>Petit Crunchy</t>
        </is>
      </c>
      <c r="E1565" s="34" t="n">
        <v>23310</v>
      </c>
      <c r="F1565" t="inlineStr">
        <is>
          <t>B</t>
        </is>
      </c>
      <c r="G1565" s="34" t="n">
        <v>3722</v>
      </c>
      <c r="H1565" s="34" t="n">
        <v>19588</v>
      </c>
      <c r="I1565" t="inlineStr">
        <is>
          <t>3.2</t>
        </is>
      </c>
      <c r="J1565" t="inlineStr">
        <is>
          <t>Ventas Personas (B2C)</t>
        </is>
      </c>
      <c r="K1565" t="inlineStr">
        <is>
          <t>CH2</t>
        </is>
      </c>
    </row>
    <row r="1566">
      <c r="A1566" s="33" t="n">
        <v>45800</v>
      </c>
      <c r="B1566" t="inlineStr">
        <is>
          <t>2025-05</t>
        </is>
      </c>
      <c r="C1566" t="inlineStr">
        <is>
          <t>Sin cliente</t>
        </is>
      </c>
      <c r="D1566" t="inlineStr">
        <is>
          <t>REGION METROPOLITANA</t>
        </is>
      </c>
      <c r="E1566" s="34" t="n">
        <v>4990</v>
      </c>
      <c r="F1566" t="inlineStr">
        <is>
          <t>B</t>
        </is>
      </c>
      <c r="G1566" s="34" t="n">
        <v>797</v>
      </c>
      <c r="H1566" s="34" t="n">
        <v>4193</v>
      </c>
      <c r="I1566" t="inlineStr">
        <is>
          <t>3.2</t>
        </is>
      </c>
      <c r="J1566" t="inlineStr">
        <is>
          <t>Ventas Personas (B2C)</t>
        </is>
      </c>
      <c r="K1566" t="inlineStr">
        <is>
          <t>CH2</t>
        </is>
      </c>
    </row>
    <row r="1567">
      <c r="A1567" s="33" t="n">
        <v>45800</v>
      </c>
      <c r="B1567" t="inlineStr">
        <is>
          <t>2025-05</t>
        </is>
      </c>
      <c r="C1567" t="inlineStr">
        <is>
          <t>Sebastian Torres Seguel</t>
        </is>
      </c>
      <c r="D1567" t="inlineStr">
        <is>
          <t>Petit Tradicional</t>
        </is>
      </c>
      <c r="E1567" s="34" t="n">
        <v>34890</v>
      </c>
      <c r="F1567" t="inlineStr">
        <is>
          <t>B</t>
        </is>
      </c>
      <c r="G1567" s="34" t="n">
        <v>5571</v>
      </c>
      <c r="H1567" s="34" t="n">
        <v>29319</v>
      </c>
      <c r="I1567" t="inlineStr">
        <is>
          <t>3.2</t>
        </is>
      </c>
      <c r="J1567" t="inlineStr">
        <is>
          <t>Ventas Personas (B2C)</t>
        </is>
      </c>
      <c r="K1567" t="inlineStr">
        <is>
          <t>CH2</t>
        </is>
      </c>
    </row>
    <row r="1568">
      <c r="A1568" s="33" t="n">
        <v>45800</v>
      </c>
      <c r="B1568" t="inlineStr">
        <is>
          <t>2025-05</t>
        </is>
      </c>
      <c r="C1568" t="inlineStr">
        <is>
          <t>Maria Jose Grez</t>
        </is>
      </c>
      <c r="D1568" t="inlineStr">
        <is>
          <t>PLATAFORMAS RAP-PEYA-UBER-GOOD</t>
        </is>
      </c>
      <c r="E1568" s="34" t="n">
        <v>-25080</v>
      </c>
      <c r="F1568" t="inlineStr">
        <is>
          <t>NC</t>
        </is>
      </c>
      <c r="G1568" s="34" t="n">
        <v>-4004</v>
      </c>
      <c r="H1568" s="34" t="n">
        <v>-21076</v>
      </c>
      <c r="I1568" t="inlineStr">
        <is>
          <t>3.6</t>
        </is>
      </c>
      <c r="J1568" t="inlineStr">
        <is>
          <t>Ventas Delivery Apps</t>
        </is>
      </c>
      <c r="K1568" t="inlineStr">
        <is>
          <t>CH3</t>
        </is>
      </c>
    </row>
    <row r="1569">
      <c r="A1569" s="33" t="n">
        <v>45800</v>
      </c>
      <c r="B1569" t="inlineStr">
        <is>
          <t>2025-05</t>
        </is>
      </c>
      <c r="C1569" t="inlineStr">
        <is>
          <t>Sin cliente</t>
        </is>
      </c>
      <c r="D1569" t="inlineStr">
        <is>
          <t>PLATAFORMAS RAP-PEYA-UBER-GOOD</t>
        </is>
      </c>
      <c r="E1569" s="34" t="n">
        <v>12540</v>
      </c>
      <c r="F1569" t="inlineStr">
        <is>
          <t>B</t>
        </is>
      </c>
      <c r="G1569" s="34" t="n">
        <v>2002</v>
      </c>
      <c r="H1569" s="34" t="n">
        <v>10538</v>
      </c>
      <c r="I1569" t="inlineStr">
        <is>
          <t>3.6</t>
        </is>
      </c>
      <c r="J1569" t="inlineStr">
        <is>
          <t>Ventas Delivery Apps</t>
        </is>
      </c>
      <c r="K1569" t="inlineStr">
        <is>
          <t>CH3</t>
        </is>
      </c>
    </row>
    <row r="1570">
      <c r="A1570" s="33" t="n">
        <v>45801</v>
      </c>
      <c r="B1570" t="inlineStr">
        <is>
          <t>2025-05</t>
        </is>
      </c>
      <c r="C1570" t="inlineStr">
        <is>
          <t>Pedro Lluch</t>
        </is>
      </c>
      <c r="D1570" t="inlineStr">
        <is>
          <t>Mix Sabores</t>
        </is>
      </c>
      <c r="E1570" s="34" t="n">
        <v>19080</v>
      </c>
      <c r="F1570" t="inlineStr">
        <is>
          <t>B</t>
        </is>
      </c>
      <c r="G1570" s="34" t="n">
        <v>3046</v>
      </c>
      <c r="H1570" s="34" t="n">
        <v>16034</v>
      </c>
      <c r="I1570" t="inlineStr">
        <is>
          <t>3.2</t>
        </is>
      </c>
      <c r="J1570" t="inlineStr">
        <is>
          <t>Ventas Personas (B2C)</t>
        </is>
      </c>
      <c r="K1570" t="inlineStr">
        <is>
          <t>CH2</t>
        </is>
      </c>
    </row>
    <row r="1571">
      <c r="A1571" s="33" t="n">
        <v>45801</v>
      </c>
      <c r="B1571" t="inlineStr">
        <is>
          <t>2025-05</t>
        </is>
      </c>
      <c r="C1571" t="inlineStr">
        <is>
          <t>Barbara  Moomber</t>
        </is>
      </c>
      <c r="D1571" t="inlineStr">
        <is>
          <t>CANELÉ TRADICIONAL</t>
        </is>
      </c>
      <c r="E1571" s="34" t="n">
        <v>21900</v>
      </c>
      <c r="F1571" t="inlineStr">
        <is>
          <t>B</t>
        </is>
      </c>
      <c r="G1571" s="34" t="n">
        <v>3497</v>
      </c>
      <c r="H1571" s="34" t="n">
        <v>18403</v>
      </c>
      <c r="I1571" t="inlineStr">
        <is>
          <t>3.2</t>
        </is>
      </c>
      <c r="J1571" t="inlineStr">
        <is>
          <t>Ventas Personas (B2C)</t>
        </is>
      </c>
      <c r="K1571" t="inlineStr">
        <is>
          <t>CH2</t>
        </is>
      </c>
    </row>
    <row r="1572">
      <c r="A1572" s="33" t="n">
        <v>45801</v>
      </c>
      <c r="B1572" t="inlineStr">
        <is>
          <t>2025-05</t>
        </is>
      </c>
      <c r="C1572" t="inlineStr">
        <is>
          <t>Sin cliente</t>
        </is>
      </c>
      <c r="D1572" t="inlineStr">
        <is>
          <t>Petit Crunchy</t>
        </is>
      </c>
      <c r="E1572" s="34" t="n">
        <v>6950</v>
      </c>
      <c r="F1572" t="inlineStr">
        <is>
          <t>B</t>
        </is>
      </c>
      <c r="G1572" s="34" t="n">
        <v>1110</v>
      </c>
      <c r="H1572" s="34" t="n">
        <v>5840</v>
      </c>
      <c r="I1572" t="inlineStr">
        <is>
          <t>3.2</t>
        </is>
      </c>
      <c r="J1572" t="inlineStr">
        <is>
          <t>Ventas Personas (B2C)</t>
        </is>
      </c>
      <c r="K1572" t="inlineStr">
        <is>
          <t>CH2</t>
        </is>
      </c>
    </row>
    <row r="1573">
      <c r="A1573" s="33" t="n">
        <v>45801</v>
      </c>
      <c r="B1573" t="inlineStr">
        <is>
          <t>2025-05</t>
        </is>
      </c>
      <c r="C1573" t="inlineStr">
        <is>
          <t>Sin cliente</t>
        </is>
      </c>
      <c r="D1573" t="inlineStr">
        <is>
          <t>Mix Sabores</t>
        </is>
      </c>
      <c r="E1573" s="34" t="n">
        <v>11400</v>
      </c>
      <c r="F1573" t="inlineStr">
        <is>
          <t>B</t>
        </is>
      </c>
      <c r="G1573" s="34" t="n">
        <v>1820</v>
      </c>
      <c r="H1573" s="34" t="n">
        <v>9580</v>
      </c>
      <c r="I1573" t="inlineStr">
        <is>
          <t>3.2</t>
        </is>
      </c>
      <c r="J1573" t="inlineStr">
        <is>
          <t>Ventas Personas (B2C)</t>
        </is>
      </c>
      <c r="K1573" t="inlineStr">
        <is>
          <t>CH2</t>
        </is>
      </c>
    </row>
    <row r="1574">
      <c r="A1574" s="33" t="n">
        <v>45801</v>
      </c>
      <c r="B1574" t="inlineStr">
        <is>
          <t>2025-05</t>
        </is>
      </c>
      <c r="C1574" t="inlineStr">
        <is>
          <t>Mia Marotta</t>
        </is>
      </c>
      <c r="D1574" t="inlineStr">
        <is>
          <t>CANELE SIN AZUCAR</t>
        </is>
      </c>
      <c r="E1574" s="34" t="n">
        <v>20970</v>
      </c>
      <c r="F1574" t="inlineStr">
        <is>
          <t>B</t>
        </is>
      </c>
      <c r="G1574" s="34" t="n">
        <v>3348</v>
      </c>
      <c r="H1574" s="34" t="n">
        <v>17622</v>
      </c>
      <c r="I1574" t="inlineStr">
        <is>
          <t>3.2</t>
        </is>
      </c>
      <c r="J1574" t="inlineStr">
        <is>
          <t>Ventas Personas (B2C)</t>
        </is>
      </c>
      <c r="K1574" t="inlineStr">
        <is>
          <t>CH2</t>
        </is>
      </c>
    </row>
    <row r="1575">
      <c r="A1575" s="33" t="n">
        <v>45801</v>
      </c>
      <c r="B1575" t="inlineStr">
        <is>
          <t>2025-05</t>
        </is>
      </c>
      <c r="C1575" t="inlineStr">
        <is>
          <t>Sin cliente</t>
        </is>
      </c>
      <c r="D1575" t="inlineStr">
        <is>
          <t>CANELÉ TRADICIONAL</t>
        </is>
      </c>
      <c r="E1575" s="34" t="n">
        <v>14900</v>
      </c>
      <c r="F1575" t="inlineStr">
        <is>
          <t>B</t>
        </is>
      </c>
      <c r="G1575" s="34" t="n">
        <v>2379</v>
      </c>
      <c r="H1575" s="34" t="n">
        <v>12521</v>
      </c>
      <c r="I1575" t="inlineStr">
        <is>
          <t>3.2</t>
        </is>
      </c>
      <c r="J1575" t="inlineStr">
        <is>
          <t>Ventas Personas (B2C)</t>
        </is>
      </c>
      <c r="K1575" t="inlineStr">
        <is>
          <t>CH2</t>
        </is>
      </c>
    </row>
    <row r="1576">
      <c r="A1576" s="33" t="n">
        <v>45802</v>
      </c>
      <c r="B1576" t="inlineStr">
        <is>
          <t>2025-05</t>
        </is>
      </c>
      <c r="C1576" t="inlineStr">
        <is>
          <t>Carolina Rojas</t>
        </is>
      </c>
      <c r="D1576" t="inlineStr">
        <is>
          <t>PACKS GOURMET</t>
        </is>
      </c>
      <c r="E1576" s="34" t="n">
        <v>25736</v>
      </c>
      <c r="F1576" t="inlineStr">
        <is>
          <t>B</t>
        </is>
      </c>
      <c r="G1576" s="34" t="n">
        <v>4109</v>
      </c>
      <c r="H1576" s="34" t="n">
        <v>21627</v>
      </c>
      <c r="I1576" t="inlineStr">
        <is>
          <t>3.2</t>
        </is>
      </c>
      <c r="J1576" t="inlineStr">
        <is>
          <t>Ventas Personas (B2C)</t>
        </is>
      </c>
      <c r="K1576" t="inlineStr">
        <is>
          <t>CH2</t>
        </is>
      </c>
    </row>
    <row r="1577">
      <c r="A1577" s="33" t="n">
        <v>45803</v>
      </c>
      <c r="B1577" t="inlineStr">
        <is>
          <t>2025-05</t>
        </is>
      </c>
      <c r="C1577" t="inlineStr">
        <is>
          <t>Lulu Kuo</t>
        </is>
      </c>
      <c r="D1577" t="inlineStr">
        <is>
          <t>Petit Crunchy</t>
        </is>
      </c>
      <c r="E1577" s="34" t="n">
        <v>22800</v>
      </c>
      <c r="F1577" t="inlineStr">
        <is>
          <t>B</t>
        </is>
      </c>
      <c r="G1577" s="34" t="n">
        <v>3640</v>
      </c>
      <c r="H1577" s="34" t="n">
        <v>19160</v>
      </c>
      <c r="I1577" t="inlineStr">
        <is>
          <t>3.2</t>
        </is>
      </c>
      <c r="J1577" t="inlineStr">
        <is>
          <t>Ventas Personas (B2C)</t>
        </is>
      </c>
      <c r="K1577" t="inlineStr">
        <is>
          <t>CH2</t>
        </is>
      </c>
    </row>
    <row r="1578">
      <c r="A1578" s="33" t="n">
        <v>45803</v>
      </c>
      <c r="B1578" t="inlineStr">
        <is>
          <t>2025-05</t>
        </is>
      </c>
      <c r="C1578" t="inlineStr">
        <is>
          <t>Inversiones Café Dominicos SpA</t>
        </is>
      </c>
      <c r="D1578" t="inlineStr">
        <is>
          <t xml:space="preserve">THE COFFEE STORE </t>
        </is>
      </c>
      <c r="E1578" s="34" t="n">
        <v>36977</v>
      </c>
      <c r="F1578" t="inlineStr">
        <is>
          <t>F</t>
        </is>
      </c>
      <c r="G1578" s="34" t="n">
        <v>5904</v>
      </c>
      <c r="H1578" s="34" t="n">
        <v>31073</v>
      </c>
      <c r="I1578" t="inlineStr">
        <is>
          <t>3.1</t>
        </is>
      </c>
      <c r="J1578" t="inlineStr">
        <is>
          <t>Ventas HoReCa</t>
        </is>
      </c>
      <c r="K1578" t="inlineStr">
        <is>
          <t>CH1</t>
        </is>
      </c>
    </row>
    <row r="1579">
      <c r="A1579" s="33" t="n">
        <v>45803</v>
      </c>
      <c r="B1579" t="inlineStr">
        <is>
          <t>2025-05</t>
        </is>
      </c>
      <c r="C1579" t="inlineStr">
        <is>
          <t>INVERSIONES Y ASESORIAS RAVAL LIMITADA</t>
        </is>
      </c>
      <c r="D1579" t="inlineStr">
        <is>
          <t>HORECA CAFETERIA</t>
        </is>
      </c>
      <c r="E1579" s="34" t="n">
        <v>67956</v>
      </c>
      <c r="F1579" t="inlineStr">
        <is>
          <t>F</t>
        </is>
      </c>
      <c r="G1579" s="34" t="n">
        <v>10850</v>
      </c>
      <c r="H1579" s="34" t="n">
        <v>57106</v>
      </c>
      <c r="I1579" t="inlineStr">
        <is>
          <t>3.1</t>
        </is>
      </c>
      <c r="J1579" t="inlineStr">
        <is>
          <t>Ventas HoReCa</t>
        </is>
      </c>
      <c r="K1579" t="inlineStr">
        <is>
          <t>CH1</t>
        </is>
      </c>
    </row>
    <row r="1580">
      <c r="A1580" s="33" t="n">
        <v>45803</v>
      </c>
      <c r="B1580" t="inlineStr">
        <is>
          <t>2025-05</t>
        </is>
      </c>
      <c r="C1580" t="inlineStr">
        <is>
          <t>POMPON SPA</t>
        </is>
      </c>
      <c r="D1580" t="inlineStr">
        <is>
          <t>HORECA CAFETERIA</t>
        </is>
      </c>
      <c r="E1580" s="34" t="n">
        <v>132510</v>
      </c>
      <c r="F1580" t="inlineStr">
        <is>
          <t>F</t>
        </is>
      </c>
      <c r="G1580" s="34" t="n">
        <v>21157</v>
      </c>
      <c r="H1580" s="34" t="n">
        <v>111353</v>
      </c>
      <c r="I1580" t="inlineStr">
        <is>
          <t>3.1</t>
        </is>
      </c>
      <c r="J1580" t="inlineStr">
        <is>
          <t>Ventas HoReCa</t>
        </is>
      </c>
      <c r="K1580" t="inlineStr">
        <is>
          <t>CH1</t>
        </is>
      </c>
    </row>
    <row r="1581">
      <c r="A1581" s="33" t="n">
        <v>45803</v>
      </c>
      <c r="B1581" t="inlineStr">
        <is>
          <t>2025-05</t>
        </is>
      </c>
      <c r="C1581" t="inlineStr">
        <is>
          <t>CAFETERÍA ALTURA LIMITADA</t>
        </is>
      </c>
      <c r="D1581" t="inlineStr">
        <is>
          <t>HORECA CAFETERIA</t>
        </is>
      </c>
      <c r="E1581" s="34" t="n">
        <v>78853</v>
      </c>
      <c r="F1581" t="inlineStr">
        <is>
          <t>F</t>
        </is>
      </c>
      <c r="G1581" s="34" t="n">
        <v>12590</v>
      </c>
      <c r="H1581" s="34" t="n">
        <v>66263</v>
      </c>
      <c r="I1581" t="inlineStr">
        <is>
          <t>3.1</t>
        </is>
      </c>
      <c r="J1581" t="inlineStr">
        <is>
          <t>Ventas HoReCa</t>
        </is>
      </c>
      <c r="K1581" t="inlineStr">
        <is>
          <t>CH1</t>
        </is>
      </c>
    </row>
    <row r="1582">
      <c r="A1582" s="33" t="n">
        <v>45803</v>
      </c>
      <c r="B1582" t="inlineStr">
        <is>
          <t>2025-05</t>
        </is>
      </c>
      <c r="C1582" t="inlineStr">
        <is>
          <t>INVERSIONES Y COMERCIALIZADORA FED LIMITADA</t>
        </is>
      </c>
      <c r="D1582" t="inlineStr">
        <is>
          <t>HORECA CAFETERIA</t>
        </is>
      </c>
      <c r="E1582" s="34" t="n">
        <v>129762</v>
      </c>
      <c r="F1582" t="inlineStr">
        <is>
          <t>F</t>
        </is>
      </c>
      <c r="G1582" s="34" t="n">
        <v>20718</v>
      </c>
      <c r="H1582" s="34" t="n">
        <v>109043</v>
      </c>
      <c r="I1582" t="inlineStr">
        <is>
          <t>3.1</t>
        </is>
      </c>
      <c r="J1582" t="inlineStr">
        <is>
          <t>Ventas HoReCa</t>
        </is>
      </c>
      <c r="K1582" t="inlineStr">
        <is>
          <t>CH1</t>
        </is>
      </c>
    </row>
    <row r="1583">
      <c r="A1583" s="33" t="n">
        <v>45803</v>
      </c>
      <c r="B1583" t="inlineStr">
        <is>
          <t>2025-05</t>
        </is>
      </c>
      <c r="C1583" t="inlineStr">
        <is>
          <t>INVERSIONES Y COMERCIALIZADORA FED LIMITADA</t>
        </is>
      </c>
      <c r="D1583" t="inlineStr">
        <is>
          <t>HORECA CAFETERIA</t>
        </is>
      </c>
      <c r="E1583" s="34" t="n">
        <v>182177</v>
      </c>
      <c r="F1583" t="inlineStr">
        <is>
          <t>F</t>
        </is>
      </c>
      <c r="G1583" s="34" t="n">
        <v>29087</v>
      </c>
      <c r="H1583" s="34" t="n">
        <v>153090</v>
      </c>
      <c r="I1583" t="inlineStr">
        <is>
          <t>3.1</t>
        </is>
      </c>
      <c r="J1583" t="inlineStr">
        <is>
          <t>Ventas HoReCa</t>
        </is>
      </c>
      <c r="K1583" t="inlineStr">
        <is>
          <t>CH1</t>
        </is>
      </c>
    </row>
    <row r="1584">
      <c r="A1584" s="33" t="n">
        <v>45803</v>
      </c>
      <c r="B1584" t="inlineStr">
        <is>
          <t>2025-05</t>
        </is>
      </c>
      <c r="C1584" t="inlineStr">
        <is>
          <t>RICO SPA</t>
        </is>
      </c>
      <c r="D1584" t="inlineStr">
        <is>
          <t>CANELÉ TRADICIONAL</t>
        </is>
      </c>
      <c r="E1584" s="34" t="n">
        <v>239785</v>
      </c>
      <c r="F1584" t="inlineStr">
        <is>
          <t>F</t>
        </is>
      </c>
      <c r="G1584" s="34" t="n">
        <v>38285</v>
      </c>
      <c r="H1584" s="34" t="n">
        <v>201500</v>
      </c>
      <c r="I1584" t="inlineStr">
        <is>
          <t>3.1</t>
        </is>
      </c>
      <c r="J1584" t="inlineStr">
        <is>
          <t>Ventas HoReCa</t>
        </is>
      </c>
      <c r="K1584" t="inlineStr">
        <is>
          <t>CH1</t>
        </is>
      </c>
    </row>
    <row r="1585">
      <c r="A1585" s="33" t="n">
        <v>45803</v>
      </c>
      <c r="B1585" t="inlineStr">
        <is>
          <t>2025-05</t>
        </is>
      </c>
      <c r="C1585" t="inlineStr">
        <is>
          <t>Valeria Fuenzalida</t>
        </is>
      </c>
      <c r="D1585" t="inlineStr">
        <is>
          <t>CANELÉ TRADICIONAL</t>
        </is>
      </c>
      <c r="E1585" s="34" t="n">
        <v>19890</v>
      </c>
      <c r="F1585" t="inlineStr">
        <is>
          <t>B</t>
        </is>
      </c>
      <c r="G1585" s="34" t="n">
        <v>3176</v>
      </c>
      <c r="H1585" s="34" t="n">
        <v>16714</v>
      </c>
      <c r="I1585" t="inlineStr">
        <is>
          <t>3.2</t>
        </is>
      </c>
      <c r="J1585" t="inlineStr">
        <is>
          <t>Ventas Personas (B2C)</t>
        </is>
      </c>
      <c r="K1585" t="inlineStr">
        <is>
          <t>CH2</t>
        </is>
      </c>
    </row>
    <row r="1586">
      <c r="A1586" s="33" t="n">
        <v>45803</v>
      </c>
      <c r="B1586" t="inlineStr">
        <is>
          <t>2025-05</t>
        </is>
      </c>
      <c r="C1586" t="inlineStr">
        <is>
          <t>INVERSIONES Y COMERCIALIZADORA FED LIMITADA</t>
        </is>
      </c>
      <c r="D1586" t="inlineStr">
        <is>
          <t>HORECA CAFETERIA</t>
        </is>
      </c>
      <c r="E1586" s="34" t="n">
        <v>-24954</v>
      </c>
      <c r="F1586" t="inlineStr">
        <is>
          <t>NC</t>
        </is>
      </c>
      <c r="G1586" s="34" t="n">
        <v>-3984</v>
      </c>
      <c r="H1586" s="34" t="n">
        <v>-20970</v>
      </c>
      <c r="I1586" t="inlineStr">
        <is>
          <t>3.1</t>
        </is>
      </c>
      <c r="J1586" t="inlineStr">
        <is>
          <t>Ventas HoReCa</t>
        </is>
      </c>
      <c r="K1586" t="inlineStr">
        <is>
          <t>CH1</t>
        </is>
      </c>
    </row>
    <row r="1587">
      <c r="A1587" s="33" t="n">
        <v>45803</v>
      </c>
      <c r="B1587" t="inlineStr">
        <is>
          <t>2025-05</t>
        </is>
      </c>
      <c r="C1587" t="inlineStr">
        <is>
          <t>Sin cliente</t>
        </is>
      </c>
      <c r="D1587" t="inlineStr">
        <is>
          <t>PLATAFORMAS RAP-PEYA-UBER-GOOD</t>
        </is>
      </c>
      <c r="E1587" s="34" t="n">
        <v>26280</v>
      </c>
      <c r="F1587" t="inlineStr">
        <is>
          <t>B</t>
        </is>
      </c>
      <c r="G1587" s="34" t="n">
        <v>4196</v>
      </c>
      <c r="H1587" s="34" t="n">
        <v>22084</v>
      </c>
      <c r="I1587" t="inlineStr">
        <is>
          <t>3.6</t>
        </is>
      </c>
      <c r="J1587" t="inlineStr">
        <is>
          <t>Ventas Delivery Apps</t>
        </is>
      </c>
      <c r="K1587" t="inlineStr">
        <is>
          <t>CH3</t>
        </is>
      </c>
    </row>
    <row r="1588">
      <c r="A1588" s="33" t="n">
        <v>45803</v>
      </c>
      <c r="B1588" t="inlineStr">
        <is>
          <t>2025-05</t>
        </is>
      </c>
      <c r="C1588" t="inlineStr">
        <is>
          <t>Maria Salinas leiva</t>
        </is>
      </c>
      <c r="D1588" t="inlineStr">
        <is>
          <t>CANELÉ TRADICIONAL</t>
        </is>
      </c>
      <c r="E1588" s="34" t="n">
        <v>26890</v>
      </c>
      <c r="F1588" t="inlineStr">
        <is>
          <t>B</t>
        </is>
      </c>
      <c r="G1588" s="34" t="n">
        <v>4293</v>
      </c>
      <c r="H1588" s="34" t="n">
        <v>22597</v>
      </c>
      <c r="I1588" t="inlineStr">
        <is>
          <t>3.2</t>
        </is>
      </c>
      <c r="J1588" t="inlineStr">
        <is>
          <t>Ventas Personas (B2C)</t>
        </is>
      </c>
      <c r="K1588" t="inlineStr">
        <is>
          <t>CH2</t>
        </is>
      </c>
    </row>
    <row r="1589">
      <c r="A1589" s="33" t="n">
        <v>45804</v>
      </c>
      <c r="B1589" t="inlineStr">
        <is>
          <t>2025-05</t>
        </is>
      </c>
      <c r="C1589" t="inlineStr">
        <is>
          <t>Eduardo Jose Spencer Eckart Spa</t>
        </is>
      </c>
      <c r="D1589" t="inlineStr">
        <is>
          <t>HORECA CAFETERIA</t>
        </is>
      </c>
      <c r="E1589" s="34" t="n">
        <v>63966</v>
      </c>
      <c r="F1589" t="inlineStr">
        <is>
          <t>F</t>
        </is>
      </c>
      <c r="G1589" s="34" t="n">
        <v>10213</v>
      </c>
      <c r="H1589" s="34" t="n">
        <v>53753</v>
      </c>
      <c r="I1589" t="inlineStr">
        <is>
          <t>3.1</t>
        </is>
      </c>
      <c r="J1589" t="inlineStr">
        <is>
          <t>Ventas HoReCa</t>
        </is>
      </c>
      <c r="K1589" t="inlineStr">
        <is>
          <t>CH1</t>
        </is>
      </c>
    </row>
    <row r="1590">
      <c r="A1590" s="33" t="n">
        <v>45804</v>
      </c>
      <c r="B1590" t="inlineStr">
        <is>
          <t>2025-05</t>
        </is>
      </c>
      <c r="C1590" t="inlineStr">
        <is>
          <t>Café del Parque SpA</t>
        </is>
      </c>
      <c r="D1590" t="inlineStr">
        <is>
          <t>HORECA CAFETERIA</t>
        </is>
      </c>
      <c r="E1590" s="34" t="n">
        <v>37548</v>
      </c>
      <c r="F1590" t="inlineStr">
        <is>
          <t>F</t>
        </is>
      </c>
      <c r="G1590" s="34" t="n">
        <v>5995</v>
      </c>
      <c r="H1590" s="34" t="n">
        <v>31553</v>
      </c>
      <c r="I1590" t="inlineStr">
        <is>
          <t>3.1</t>
        </is>
      </c>
      <c r="J1590" t="inlineStr">
        <is>
          <t>Ventas HoReCa</t>
        </is>
      </c>
      <c r="K1590" t="inlineStr">
        <is>
          <t>CH1</t>
        </is>
      </c>
    </row>
    <row r="1591">
      <c r="A1591" s="33" t="n">
        <v>45804</v>
      </c>
      <c r="B1591" t="inlineStr">
        <is>
          <t>2025-05</t>
        </is>
      </c>
      <c r="C1591" t="inlineStr">
        <is>
          <t>CAFETERÍAS MISTER SPA</t>
        </is>
      </c>
      <c r="D1591" t="inlineStr">
        <is>
          <t>HORECA CAFETERIA</t>
        </is>
      </c>
      <c r="E1591" s="34" t="n">
        <v>63966</v>
      </c>
      <c r="F1591" t="inlineStr">
        <is>
          <t>F</t>
        </is>
      </c>
      <c r="G1591" s="34" t="n">
        <v>10213</v>
      </c>
      <c r="H1591" s="34" t="n">
        <v>53753</v>
      </c>
      <c r="I1591" t="inlineStr">
        <is>
          <t>3.1</t>
        </is>
      </c>
      <c r="J1591" t="inlineStr">
        <is>
          <t>Ventas HoReCa</t>
        </is>
      </c>
      <c r="K1591" t="inlineStr">
        <is>
          <t>CH1</t>
        </is>
      </c>
    </row>
    <row r="1592">
      <c r="A1592" s="33" t="n">
        <v>45804</v>
      </c>
      <c r="B1592" t="inlineStr">
        <is>
          <t>2025-05</t>
        </is>
      </c>
      <c r="C1592" t="inlineStr">
        <is>
          <t>Lotte Van Meijel</t>
        </is>
      </c>
      <c r="D1592" t="inlineStr">
        <is>
          <t>Mix Sabores</t>
        </is>
      </c>
      <c r="E1592" s="34" t="n">
        <v>36800</v>
      </c>
      <c r="F1592" t="inlineStr">
        <is>
          <t>B</t>
        </is>
      </c>
      <c r="G1592" s="34" t="n">
        <v>5876</v>
      </c>
      <c r="H1592" s="34" t="n">
        <v>30924</v>
      </c>
      <c r="I1592" t="inlineStr">
        <is>
          <t>3.2</t>
        </is>
      </c>
      <c r="J1592" t="inlineStr">
        <is>
          <t>Ventas Personas (B2C)</t>
        </is>
      </c>
      <c r="K1592" t="inlineStr">
        <is>
          <t>CH2</t>
        </is>
      </c>
    </row>
    <row r="1593">
      <c r="A1593" s="33" t="n">
        <v>45804</v>
      </c>
      <c r="B1593" t="inlineStr">
        <is>
          <t>2025-05</t>
        </is>
      </c>
      <c r="C1593" t="inlineStr">
        <is>
          <t>Mariangel Riedemann</t>
        </is>
      </c>
      <c r="D1593" t="inlineStr">
        <is>
          <t>PACKS GOURMET</t>
        </is>
      </c>
      <c r="E1593" s="34" t="n">
        <v>39976</v>
      </c>
      <c r="F1593" t="inlineStr">
        <is>
          <t>B</t>
        </is>
      </c>
      <c r="G1593" s="34" t="n">
        <v>6383</v>
      </c>
      <c r="H1593" s="34" t="n">
        <v>33593</v>
      </c>
      <c r="I1593" t="inlineStr">
        <is>
          <t>3.2</t>
        </is>
      </c>
      <c r="J1593" t="inlineStr">
        <is>
          <t>Ventas Personas (B2C)</t>
        </is>
      </c>
      <c r="K1593" t="inlineStr">
        <is>
          <t>CH2</t>
        </is>
      </c>
    </row>
    <row r="1594">
      <c r="A1594" s="33" t="n">
        <v>45804</v>
      </c>
      <c r="B1594" t="inlineStr">
        <is>
          <t>2025-05</t>
        </is>
      </c>
      <c r="C1594" t="inlineStr">
        <is>
          <t>FERNANDA MAYO</t>
        </is>
      </c>
      <c r="D1594" t="inlineStr">
        <is>
          <t>Petit Tradicional</t>
        </is>
      </c>
      <c r="E1594" s="34" t="n">
        <v>30900</v>
      </c>
      <c r="F1594" t="inlineStr">
        <is>
          <t>B</t>
        </is>
      </c>
      <c r="G1594" s="34" t="n">
        <v>4934</v>
      </c>
      <c r="H1594" s="34" t="n">
        <v>25966</v>
      </c>
      <c r="I1594" t="inlineStr">
        <is>
          <t>3.2</t>
        </is>
      </c>
      <c r="J1594" t="inlineStr">
        <is>
          <t>Ventas Personas (B2C)</t>
        </is>
      </c>
      <c r="K1594" t="inlineStr">
        <is>
          <t>CH2</t>
        </is>
      </c>
    </row>
    <row r="1595">
      <c r="A1595" s="33" t="n">
        <v>45804</v>
      </c>
      <c r="B1595" t="inlineStr">
        <is>
          <t>2025-05</t>
        </is>
      </c>
      <c r="C1595" t="inlineStr">
        <is>
          <t>Sin cliente</t>
        </is>
      </c>
      <c r="D1595" t="inlineStr">
        <is>
          <t>CANELÉ TRADICIONAL</t>
        </is>
      </c>
      <c r="E1595" s="34" t="n">
        <v>21890</v>
      </c>
      <c r="F1595" t="inlineStr">
        <is>
          <t>B</t>
        </is>
      </c>
      <c r="G1595" s="34" t="n">
        <v>3495</v>
      </c>
      <c r="H1595" s="34" t="n">
        <v>18395</v>
      </c>
      <c r="I1595" t="inlineStr">
        <is>
          <t>3.2</t>
        </is>
      </c>
      <c r="J1595" t="inlineStr">
        <is>
          <t>Ventas Personas (B2C)</t>
        </is>
      </c>
      <c r="K1595" t="inlineStr">
        <is>
          <t>CH2</t>
        </is>
      </c>
    </row>
    <row r="1596">
      <c r="A1596" s="33" t="n">
        <v>45805</v>
      </c>
      <c r="B1596" t="inlineStr">
        <is>
          <t>2025-05</t>
        </is>
      </c>
      <c r="C1596" t="inlineStr">
        <is>
          <t>CAFETERIA THE ELEPHANT COFFEE LIMITADA</t>
        </is>
      </c>
      <c r="D1596" t="inlineStr">
        <is>
          <t>HORECA CAFETERIA</t>
        </is>
      </c>
      <c r="E1596" s="34" t="n">
        <v>137940</v>
      </c>
      <c r="F1596" t="inlineStr">
        <is>
          <t>F</t>
        </is>
      </c>
      <c r="G1596" s="34" t="n">
        <v>22024</v>
      </c>
      <c r="H1596" s="34" t="n">
        <v>115916</v>
      </c>
      <c r="I1596" t="inlineStr">
        <is>
          <t>3.1</t>
        </is>
      </c>
      <c r="J1596" t="inlineStr">
        <is>
          <t>Ventas HoReCa</t>
        </is>
      </c>
      <c r="K1596" t="inlineStr">
        <is>
          <t>CH1</t>
        </is>
      </c>
    </row>
    <row r="1597">
      <c r="A1597" s="33" t="n">
        <v>45805</v>
      </c>
      <c r="B1597" t="inlineStr">
        <is>
          <t>2025-05</t>
        </is>
      </c>
      <c r="C1597" t="inlineStr">
        <is>
          <t>paola garcia</t>
        </is>
      </c>
      <c r="D1597" t="inlineStr">
        <is>
          <t>CANELÉ TRADICIONAL</t>
        </is>
      </c>
      <c r="E1597" s="34" t="n">
        <v>43790</v>
      </c>
      <c r="F1597" t="inlineStr">
        <is>
          <t>B</t>
        </is>
      </c>
      <c r="G1597" s="34" t="n">
        <v>6992</v>
      </c>
      <c r="H1597" s="34" t="n">
        <v>36798</v>
      </c>
      <c r="I1597" t="inlineStr">
        <is>
          <t>3.2</t>
        </is>
      </c>
      <c r="J1597" t="inlineStr">
        <is>
          <t>Ventas Personas (B2C)</t>
        </is>
      </c>
      <c r="K1597" t="inlineStr">
        <is>
          <t>CH2</t>
        </is>
      </c>
    </row>
    <row r="1598">
      <c r="A1598" s="33" t="n">
        <v>45805</v>
      </c>
      <c r="B1598" t="inlineStr">
        <is>
          <t>2025-05</t>
        </is>
      </c>
      <c r="C1598" t="inlineStr">
        <is>
          <t>Sin cliente</t>
        </is>
      </c>
      <c r="D1598" t="inlineStr">
        <is>
          <t>Petit Tradicional</t>
        </is>
      </c>
      <c r="E1598" s="34" t="n">
        <v>11400</v>
      </c>
      <c r="F1598" t="inlineStr">
        <is>
          <t>B</t>
        </is>
      </c>
      <c r="G1598" s="34" t="n">
        <v>1820</v>
      </c>
      <c r="H1598" s="34" t="n">
        <v>9580</v>
      </c>
      <c r="I1598" t="inlineStr">
        <is>
          <t>3.2</t>
        </is>
      </c>
      <c r="J1598" t="inlineStr">
        <is>
          <t>Ventas Personas (B2C)</t>
        </is>
      </c>
      <c r="K1598" t="inlineStr">
        <is>
          <t>CH2</t>
        </is>
      </c>
    </row>
    <row r="1599">
      <c r="A1599" s="33" t="n">
        <v>45805</v>
      </c>
      <c r="B1599" t="inlineStr">
        <is>
          <t>2025-05</t>
        </is>
      </c>
      <c r="C1599" t="inlineStr">
        <is>
          <t>OPA SPA</t>
        </is>
      </c>
      <c r="D1599" t="inlineStr">
        <is>
          <t>HORECA CAFETERIA</t>
        </is>
      </c>
      <c r="E1599" s="34" t="n">
        <v>29988</v>
      </c>
      <c r="F1599" t="inlineStr">
        <is>
          <t>F</t>
        </is>
      </c>
      <c r="G1599" s="34" t="n">
        <v>4788</v>
      </c>
      <c r="H1599" s="34" t="n">
        <v>25200</v>
      </c>
      <c r="I1599" t="inlineStr">
        <is>
          <t>3.1</t>
        </is>
      </c>
      <c r="J1599" t="inlineStr">
        <is>
          <t>Ventas HoReCa</t>
        </is>
      </c>
      <c r="K1599" t="inlineStr">
        <is>
          <t>CH1</t>
        </is>
      </c>
    </row>
    <row r="1600">
      <c r="A1600" s="33" t="n">
        <v>45805</v>
      </c>
      <c r="B1600" t="inlineStr">
        <is>
          <t>2025-05</t>
        </is>
      </c>
      <c r="C1600" t="inlineStr">
        <is>
          <t>Claudia Andrea Veto Rechter</t>
        </is>
      </c>
      <c r="D1600" t="inlineStr">
        <is>
          <t>Petit Crunchy</t>
        </is>
      </c>
      <c r="E1600" s="34" t="n">
        <v>27800</v>
      </c>
      <c r="F1600" t="inlineStr">
        <is>
          <t>B</t>
        </is>
      </c>
      <c r="G1600" s="34" t="n">
        <v>4439</v>
      </c>
      <c r="H1600" s="34" t="n">
        <v>23361</v>
      </c>
      <c r="I1600" t="inlineStr">
        <is>
          <t>3.2</t>
        </is>
      </c>
      <c r="J1600" t="inlineStr">
        <is>
          <t>Ventas Personas (B2C)</t>
        </is>
      </c>
      <c r="K1600" t="inlineStr">
        <is>
          <t>CH2</t>
        </is>
      </c>
    </row>
    <row r="1601">
      <c r="A1601" s="33" t="n">
        <v>45806</v>
      </c>
      <c r="B1601" t="inlineStr">
        <is>
          <t>2025-05</t>
        </is>
      </c>
      <c r="C1601" t="inlineStr">
        <is>
          <t>CAFÉ UNDER SPA</t>
        </is>
      </c>
      <c r="D1601" t="inlineStr">
        <is>
          <t>HORECA CAFETERIA</t>
        </is>
      </c>
      <c r="E1601" s="34" t="n">
        <v>63966</v>
      </c>
      <c r="F1601" t="inlineStr">
        <is>
          <t>F</t>
        </is>
      </c>
      <c r="G1601" s="34" t="n">
        <v>10213</v>
      </c>
      <c r="H1601" s="34" t="n">
        <v>53753</v>
      </c>
      <c r="I1601" t="inlineStr">
        <is>
          <t>3.1</t>
        </is>
      </c>
      <c r="J1601" t="inlineStr">
        <is>
          <t>Ventas HoReCa</t>
        </is>
      </c>
      <c r="K1601" t="inlineStr">
        <is>
          <t>CH1</t>
        </is>
      </c>
    </row>
    <row r="1602">
      <c r="A1602" s="33" t="n">
        <v>45806</v>
      </c>
      <c r="B1602" t="inlineStr">
        <is>
          <t>2025-05</t>
        </is>
      </c>
      <c r="C1602" t="inlineStr">
        <is>
          <t>BUSTORF LARSEN Y COMPANIA LIMITADA</t>
        </is>
      </c>
      <c r="D1602" t="inlineStr">
        <is>
          <t>HORECA CAFETERIA</t>
        </is>
      </c>
      <c r="E1602" s="34" t="n">
        <v>64966</v>
      </c>
      <c r="F1602" t="inlineStr">
        <is>
          <t>F</t>
        </is>
      </c>
      <c r="G1602" s="34" t="n">
        <v>10373</v>
      </c>
      <c r="H1602" s="34" t="n">
        <v>54593</v>
      </c>
      <c r="I1602" t="inlineStr">
        <is>
          <t>3.1</t>
        </is>
      </c>
      <c r="J1602" t="inlineStr">
        <is>
          <t>Ventas HoReCa</t>
        </is>
      </c>
      <c r="K1602" t="inlineStr">
        <is>
          <t>CH1</t>
        </is>
      </c>
    </row>
    <row r="1603">
      <c r="A1603" s="33" t="n">
        <v>45806</v>
      </c>
      <c r="B1603" t="inlineStr">
        <is>
          <t>2025-05</t>
        </is>
      </c>
      <c r="C1603" t="inlineStr">
        <is>
          <t>Inversiones Nagua SPA</t>
        </is>
      </c>
      <c r="D1603" t="inlineStr">
        <is>
          <t>HORECA CAFETERIA</t>
        </is>
      </c>
      <c r="E1603" s="34" t="n">
        <v>63966</v>
      </c>
      <c r="F1603" t="inlineStr">
        <is>
          <t>F</t>
        </is>
      </c>
      <c r="G1603" s="34" t="n">
        <v>10213</v>
      </c>
      <c r="H1603" s="34" t="n">
        <v>53753</v>
      </c>
      <c r="I1603" t="inlineStr">
        <is>
          <t>3.1</t>
        </is>
      </c>
      <c r="J1603" t="inlineStr">
        <is>
          <t>Ventas HoReCa</t>
        </is>
      </c>
      <c r="K1603" t="inlineStr">
        <is>
          <t>CH1</t>
        </is>
      </c>
    </row>
    <row r="1604">
      <c r="A1604" s="33" t="n">
        <v>45806</v>
      </c>
      <c r="B1604" t="inlineStr">
        <is>
          <t>2025-05</t>
        </is>
      </c>
      <c r="C1604" t="inlineStr">
        <is>
          <t>CAFE DIARIO ENCOMENDEROS SPA</t>
        </is>
      </c>
      <c r="D1604" t="inlineStr">
        <is>
          <t>HORECA CAFETERIA</t>
        </is>
      </c>
      <c r="E1604" s="34" t="n">
        <v>82830</v>
      </c>
      <c r="F1604" t="inlineStr">
        <is>
          <t>F</t>
        </is>
      </c>
      <c r="G1604" s="34" t="n">
        <v>13225</v>
      </c>
      <c r="H1604" s="34" t="n">
        <v>69605</v>
      </c>
      <c r="I1604" t="inlineStr">
        <is>
          <t>3.1</t>
        </is>
      </c>
      <c r="J1604" t="inlineStr">
        <is>
          <t>Ventas HoReCa</t>
        </is>
      </c>
      <c r="K1604" t="inlineStr">
        <is>
          <t>CH1</t>
        </is>
      </c>
    </row>
    <row r="1605">
      <c r="A1605" s="33" t="n">
        <v>45806</v>
      </c>
      <c r="B1605" t="inlineStr">
        <is>
          <t>2025-05</t>
        </is>
      </c>
      <c r="C1605" t="inlineStr">
        <is>
          <t xml:space="preserve">Café lucerna spa </t>
        </is>
      </c>
      <c r="D1605" t="inlineStr">
        <is>
          <t>HORECA CAFETERIA</t>
        </is>
      </c>
      <c r="E1605" s="34" t="n">
        <v>63966</v>
      </c>
      <c r="F1605" t="inlineStr">
        <is>
          <t>F</t>
        </is>
      </c>
      <c r="G1605" s="34" t="n">
        <v>10213</v>
      </c>
      <c r="H1605" s="34" t="n">
        <v>53753</v>
      </c>
      <c r="I1605" t="inlineStr">
        <is>
          <t>3.1</t>
        </is>
      </c>
      <c r="J1605" t="inlineStr">
        <is>
          <t>Ventas HoReCa</t>
        </is>
      </c>
      <c r="K1605" t="inlineStr">
        <is>
          <t>CH1</t>
        </is>
      </c>
    </row>
    <row r="1606">
      <c r="A1606" s="33" t="n">
        <v>45806</v>
      </c>
      <c r="B1606" t="inlineStr">
        <is>
          <t>2025-05</t>
        </is>
      </c>
      <c r="C1606" t="inlineStr">
        <is>
          <t>Barbara Fernandez barrios</t>
        </is>
      </c>
      <c r="D1606" t="inlineStr">
        <is>
          <t>Mix Sabores</t>
        </is>
      </c>
      <c r="E1606" s="34" t="n">
        <v>18299</v>
      </c>
      <c r="F1606" t="inlineStr">
        <is>
          <t>B</t>
        </is>
      </c>
      <c r="G1606" s="34" t="n">
        <v>2922</v>
      </c>
      <c r="H1606" s="34" t="n">
        <v>15377</v>
      </c>
      <c r="I1606" t="inlineStr">
        <is>
          <t>3.2</t>
        </is>
      </c>
      <c r="J1606" t="inlineStr">
        <is>
          <t>Ventas Personas (B2C)</t>
        </is>
      </c>
      <c r="K1606" t="inlineStr">
        <is>
          <t>CH2</t>
        </is>
      </c>
    </row>
    <row r="1607">
      <c r="A1607" s="33" t="n">
        <v>45806</v>
      </c>
      <c r="B1607" t="inlineStr">
        <is>
          <t>2025-05</t>
        </is>
      </c>
      <c r="C1607" t="inlineStr">
        <is>
          <t>MARIA JOSE GREZ</t>
        </is>
      </c>
      <c r="D1607" t="inlineStr">
        <is>
          <t>CANELÉ TRADICIONAL</t>
        </is>
      </c>
      <c r="E1607" s="34" t="n">
        <v>14900</v>
      </c>
      <c r="F1607" t="inlineStr">
        <is>
          <t>B</t>
        </is>
      </c>
      <c r="G1607" s="34" t="n">
        <v>2379</v>
      </c>
      <c r="H1607" s="34" t="n">
        <v>12521</v>
      </c>
      <c r="I1607" t="inlineStr">
        <is>
          <t>3.2</t>
        </is>
      </c>
      <c r="J1607" t="inlineStr">
        <is>
          <t>Ventas Personas (B2C)</t>
        </is>
      </c>
      <c r="K1607" t="inlineStr">
        <is>
          <t>CH2</t>
        </is>
      </c>
    </row>
    <row r="1608">
      <c r="A1608" s="33" t="n">
        <v>45806</v>
      </c>
      <c r="B1608" t="inlineStr">
        <is>
          <t>2025-05</t>
        </is>
      </c>
      <c r="C1608" t="inlineStr">
        <is>
          <t>Alejandro Bruna</t>
        </is>
      </c>
      <c r="D1608" t="inlineStr">
        <is>
          <t>Petit Tradicional</t>
        </is>
      </c>
      <c r="E1608" s="34" t="n">
        <v>20400</v>
      </c>
      <c r="F1608" t="inlineStr">
        <is>
          <t>B</t>
        </is>
      </c>
      <c r="G1608" s="34" t="n">
        <v>3257</v>
      </c>
      <c r="H1608" s="34" t="n">
        <v>17143</v>
      </c>
      <c r="I1608" t="inlineStr">
        <is>
          <t>3.2</t>
        </is>
      </c>
      <c r="J1608" t="inlineStr">
        <is>
          <t>Ventas Personas (B2C)</t>
        </is>
      </c>
      <c r="K1608" t="inlineStr">
        <is>
          <t>CH2</t>
        </is>
      </c>
    </row>
    <row r="1609">
      <c r="A1609" s="33" t="n">
        <v>45806</v>
      </c>
      <c r="B1609" t="inlineStr">
        <is>
          <t>2025-05</t>
        </is>
      </c>
      <c r="C1609" t="inlineStr">
        <is>
          <t>Fernando Castillo</t>
        </is>
      </c>
      <c r="D1609" t="inlineStr">
        <is>
          <t>Petit Tradicional</t>
        </is>
      </c>
      <c r="E1609" s="34" t="n">
        <v>8900</v>
      </c>
      <c r="F1609" t="inlineStr">
        <is>
          <t>B</t>
        </is>
      </c>
      <c r="G1609" s="34" t="n">
        <v>1421</v>
      </c>
      <c r="H1609" s="34" t="n">
        <v>7479</v>
      </c>
      <c r="I1609" t="inlineStr">
        <is>
          <t>3.2</t>
        </is>
      </c>
      <c r="J1609" t="inlineStr">
        <is>
          <t>Ventas Personas (B2C)</t>
        </is>
      </c>
      <c r="K1609" t="inlineStr">
        <is>
          <t>CH2</t>
        </is>
      </c>
    </row>
    <row r="1610">
      <c r="A1610" s="33" t="n">
        <v>45807</v>
      </c>
      <c r="B1610" t="inlineStr">
        <is>
          <t>2025-05</t>
        </is>
      </c>
      <c r="C1610" t="inlineStr">
        <is>
          <t>POMPON SPA</t>
        </is>
      </c>
      <c r="D1610" t="inlineStr">
        <is>
          <t>HORECA CAFETERIA</t>
        </is>
      </c>
      <c r="E1610" s="34" t="n">
        <v>134470</v>
      </c>
      <c r="F1610" t="inlineStr">
        <is>
          <t>F</t>
        </is>
      </c>
      <c r="G1610" s="34" t="n">
        <v>21470</v>
      </c>
      <c r="H1610" s="34" t="n">
        <v>113000</v>
      </c>
      <c r="I1610" t="inlineStr">
        <is>
          <t>3.1</t>
        </is>
      </c>
      <c r="J1610" t="inlineStr">
        <is>
          <t>Ventas HoReCa</t>
        </is>
      </c>
      <c r="K1610" t="inlineStr">
        <is>
          <t>CH1</t>
        </is>
      </c>
    </row>
    <row r="1611">
      <c r="A1611" s="33" t="n">
        <v>45807</v>
      </c>
      <c r="B1611" t="inlineStr">
        <is>
          <t>2025-05</t>
        </is>
      </c>
      <c r="C1611" t="inlineStr">
        <is>
          <t>Better Food Spa</t>
        </is>
      </c>
      <c r="D1611" t="inlineStr">
        <is>
          <t>HORECA CAFETERIA</t>
        </is>
      </c>
      <c r="E1611" s="34" t="n">
        <v>269892</v>
      </c>
      <c r="F1611" t="inlineStr">
        <is>
          <t>F</t>
        </is>
      </c>
      <c r="G1611" s="34" t="n">
        <v>43092</v>
      </c>
      <c r="H1611" s="34" t="n">
        <v>226800</v>
      </c>
      <c r="I1611" t="inlineStr">
        <is>
          <t>3.1</t>
        </is>
      </c>
      <c r="J1611" t="inlineStr">
        <is>
          <t>Ventas HoReCa</t>
        </is>
      </c>
      <c r="K1611" t="inlineStr">
        <is>
          <t>CH1</t>
        </is>
      </c>
    </row>
    <row r="1612">
      <c r="A1612" s="33" t="n">
        <v>45807</v>
      </c>
      <c r="B1612" t="inlineStr">
        <is>
          <t>2025-05</t>
        </is>
      </c>
      <c r="C1612" t="inlineStr">
        <is>
          <t>GALVEZ Y HEUSSER SPA</t>
        </is>
      </c>
      <c r="D1612" t="inlineStr">
        <is>
          <t>HORECA CATERING</t>
        </is>
      </c>
      <c r="E1612" s="34" t="n">
        <v>157608</v>
      </c>
      <c r="F1612" t="inlineStr">
        <is>
          <t>F</t>
        </is>
      </c>
      <c r="G1612" s="34" t="n">
        <v>25164</v>
      </c>
      <c r="H1612" s="34" t="n">
        <v>132444</v>
      </c>
      <c r="I1612" t="inlineStr">
        <is>
          <t>3.1</t>
        </is>
      </c>
      <c r="J1612" t="inlineStr">
        <is>
          <t>Ventas HoReCa</t>
        </is>
      </c>
      <c r="K1612" t="inlineStr">
        <is>
          <t>CH1</t>
        </is>
      </c>
    </row>
    <row r="1613">
      <c r="A1613" s="33" t="n">
        <v>45807</v>
      </c>
      <c r="B1613" t="inlineStr">
        <is>
          <t>2025-05</t>
        </is>
      </c>
      <c r="C1613" t="inlineStr">
        <is>
          <t>VILAS BANQUETERIAS SPA</t>
        </is>
      </c>
      <c r="D1613" t="inlineStr">
        <is>
          <t>HORECA CATERING</t>
        </is>
      </c>
      <c r="E1613" s="34" t="n">
        <v>196770</v>
      </c>
      <c r="F1613" t="inlineStr">
        <is>
          <t>F</t>
        </is>
      </c>
      <c r="G1613" s="34" t="n">
        <v>31417</v>
      </c>
      <c r="H1613" s="34" t="n">
        <v>165353</v>
      </c>
      <c r="I1613" t="inlineStr">
        <is>
          <t>3.1</t>
        </is>
      </c>
      <c r="J1613" t="inlineStr">
        <is>
          <t>Ventas HoReCa</t>
        </is>
      </c>
      <c r="K1613" t="inlineStr">
        <is>
          <t>CH1</t>
        </is>
      </c>
    </row>
    <row r="1614">
      <c r="A1614" s="33" t="n">
        <v>45807</v>
      </c>
      <c r="B1614" t="inlineStr">
        <is>
          <t>2025-05</t>
        </is>
      </c>
      <c r="C1614" t="inlineStr">
        <is>
          <t>Cafeteria de especialidad al paso Michael C. Plaza</t>
        </is>
      </c>
      <c r="D1614" t="inlineStr">
        <is>
          <t>HORECA CAFETERIA</t>
        </is>
      </c>
      <c r="E1614" s="34" t="n">
        <v>94466</v>
      </c>
      <c r="F1614" t="inlineStr">
        <is>
          <t>F</t>
        </is>
      </c>
      <c r="G1614" s="34" t="n">
        <v>15083</v>
      </c>
      <c r="H1614" s="34" t="n">
        <v>79383</v>
      </c>
      <c r="I1614" t="inlineStr">
        <is>
          <t>3.1</t>
        </is>
      </c>
      <c r="J1614" t="inlineStr">
        <is>
          <t>Ventas HoReCa</t>
        </is>
      </c>
      <c r="K1614" t="inlineStr">
        <is>
          <t>CH1</t>
        </is>
      </c>
    </row>
    <row r="1615">
      <c r="A1615" s="33" t="n">
        <v>45807</v>
      </c>
      <c r="B1615" t="inlineStr">
        <is>
          <t>2025-05</t>
        </is>
      </c>
      <c r="C1615" t="inlineStr">
        <is>
          <t>Florencia Alcalde</t>
        </is>
      </c>
      <c r="D1615" t="inlineStr">
        <is>
          <t>Petit Crunchy</t>
        </is>
      </c>
      <c r="E1615" s="34" t="n">
        <v>12510</v>
      </c>
      <c r="F1615" t="inlineStr">
        <is>
          <t>B</t>
        </is>
      </c>
      <c r="G1615" s="34" t="n">
        <v>1997</v>
      </c>
      <c r="H1615" s="34" t="n">
        <v>10513</v>
      </c>
      <c r="I1615" t="inlineStr">
        <is>
          <t>3.2</t>
        </is>
      </c>
      <c r="J1615" t="inlineStr">
        <is>
          <t>Ventas Personas (B2C)</t>
        </is>
      </c>
      <c r="K1615" t="inlineStr">
        <is>
          <t>CH2</t>
        </is>
      </c>
    </row>
    <row r="1616">
      <c r="A1616" s="33" t="n">
        <v>45807</v>
      </c>
      <c r="B1616" t="inlineStr">
        <is>
          <t>2025-05</t>
        </is>
      </c>
      <c r="C1616" t="inlineStr">
        <is>
          <t>Sociedad de inversiones solari y acuña spa</t>
        </is>
      </c>
      <c r="D1616" t="inlineStr">
        <is>
          <t>HORECA CAFETERIA</t>
        </is>
      </c>
      <c r="E1616" s="34" t="n">
        <v>124950</v>
      </c>
      <c r="F1616" t="inlineStr">
        <is>
          <t>F</t>
        </is>
      </c>
      <c r="G1616" s="34" t="n">
        <v>19950</v>
      </c>
      <c r="H1616" s="34" t="n">
        <v>105000</v>
      </c>
      <c r="I1616" t="inlineStr">
        <is>
          <t>3.1</t>
        </is>
      </c>
      <c r="J1616" t="inlineStr">
        <is>
          <t>Ventas HoReCa</t>
        </is>
      </c>
      <c r="K1616" t="inlineStr">
        <is>
          <t>CH1</t>
        </is>
      </c>
    </row>
    <row r="1617">
      <c r="A1617" s="33" t="n">
        <v>45807</v>
      </c>
      <c r="B1617" t="inlineStr">
        <is>
          <t>2025-05</t>
        </is>
      </c>
      <c r="C1617" t="inlineStr">
        <is>
          <t>Carla Selene</t>
        </is>
      </c>
      <c r="D1617" t="inlineStr">
        <is>
          <t>CANELÉ TRADICIONAL</t>
        </is>
      </c>
      <c r="E1617" s="34" t="n">
        <v>51409</v>
      </c>
      <c r="F1617" t="inlineStr">
        <is>
          <t>B</t>
        </is>
      </c>
      <c r="G1617" s="34" t="n">
        <v>8208</v>
      </c>
      <c r="H1617" s="34" t="n">
        <v>43201</v>
      </c>
      <c r="I1617" t="inlineStr">
        <is>
          <t>3.2</t>
        </is>
      </c>
      <c r="J1617" t="inlineStr">
        <is>
          <t>Ventas Personas (B2C)</t>
        </is>
      </c>
      <c r="K1617" t="inlineStr">
        <is>
          <t>CH2</t>
        </is>
      </c>
    </row>
    <row r="1618">
      <c r="A1618" s="33" t="n">
        <v>45807</v>
      </c>
      <c r="B1618" t="inlineStr">
        <is>
          <t>2025-05</t>
        </is>
      </c>
      <c r="C1618" t="inlineStr">
        <is>
          <t>Sin cliente</t>
        </is>
      </c>
      <c r="D1618" t="inlineStr">
        <is>
          <t>Petit Crunchy</t>
        </is>
      </c>
      <c r="E1618" s="34" t="n">
        <v>20930</v>
      </c>
      <c r="F1618" t="inlineStr">
        <is>
          <t>B</t>
        </is>
      </c>
      <c r="G1618" s="34" t="n">
        <v>3342</v>
      </c>
      <c r="H1618" s="34" t="n">
        <v>17588</v>
      </c>
      <c r="I1618" t="inlineStr">
        <is>
          <t>3.6</t>
        </is>
      </c>
      <c r="J1618" t="inlineStr">
        <is>
          <t>Ventas Delivery Apps</t>
        </is>
      </c>
      <c r="K1618" t="inlineStr">
        <is>
          <t>CH3</t>
        </is>
      </c>
    </row>
    <row r="1619">
      <c r="A1619" s="33" t="n">
        <v>45807</v>
      </c>
      <c r="B1619" t="inlineStr">
        <is>
          <t>2025-05</t>
        </is>
      </c>
      <c r="C1619" t="inlineStr">
        <is>
          <t>Sin cliente</t>
        </is>
      </c>
      <c r="D1619" t="inlineStr">
        <is>
          <t>PLATAFORMAS RAP-PEYA-UBER-GOOD</t>
        </is>
      </c>
      <c r="E1619" s="34" t="n">
        <v>23930</v>
      </c>
      <c r="F1619" t="inlineStr">
        <is>
          <t>B</t>
        </is>
      </c>
      <c r="G1619" s="34" t="n">
        <v>3821</v>
      </c>
      <c r="H1619" s="34" t="n">
        <v>20109</v>
      </c>
      <c r="I1619" t="inlineStr">
        <is>
          <t>3.6</t>
        </is>
      </c>
      <c r="J1619" t="inlineStr">
        <is>
          <t>Ventas Delivery Apps</t>
        </is>
      </c>
      <c r="K1619" t="inlineStr">
        <is>
          <t>CH3</t>
        </is>
      </c>
    </row>
    <row r="1620">
      <c r="A1620" s="33" t="n">
        <v>45807</v>
      </c>
      <c r="B1620" t="inlineStr">
        <is>
          <t>2025-05</t>
        </is>
      </c>
      <c r="C1620" t="inlineStr">
        <is>
          <t>MARIA JOSE GREZ</t>
        </is>
      </c>
      <c r="D1620" t="inlineStr">
        <is>
          <t>CANELÉ TRADICIONAL</t>
        </is>
      </c>
      <c r="E1620" s="34" t="n">
        <v>-14900</v>
      </c>
      <c r="F1620" t="inlineStr">
        <is>
          <t>NC</t>
        </is>
      </c>
      <c r="G1620" s="34" t="n">
        <v>-2379</v>
      </c>
      <c r="H1620" s="34" t="n">
        <v>-12521</v>
      </c>
      <c r="I1620" t="inlineStr">
        <is>
          <t>3.2</t>
        </is>
      </c>
      <c r="J1620" t="inlineStr">
        <is>
          <t>Ventas Personas (B2C)</t>
        </is>
      </c>
      <c r="K1620" t="inlineStr">
        <is>
          <t>CH2</t>
        </is>
      </c>
    </row>
    <row r="1621">
      <c r="A1621" s="33" t="n">
        <v>45807</v>
      </c>
      <c r="B1621" t="inlineStr">
        <is>
          <t>2025-05</t>
        </is>
      </c>
      <c r="C1621" t="inlineStr">
        <is>
          <t>Sin cliente</t>
        </is>
      </c>
      <c r="D1621" t="inlineStr">
        <is>
          <t>CANELÉ TRADICIONAL</t>
        </is>
      </c>
      <c r="E1621" s="34" t="n">
        <v>11920</v>
      </c>
      <c r="F1621" t="inlineStr">
        <is>
          <t>B</t>
        </is>
      </c>
      <c r="G1621" s="34" t="n">
        <v>1903</v>
      </c>
      <c r="H1621" s="34" t="n">
        <v>10017</v>
      </c>
      <c r="I1621" t="inlineStr">
        <is>
          <t>3.2</t>
        </is>
      </c>
      <c r="J1621" t="inlineStr">
        <is>
          <t>Ventas Personas (B2C)</t>
        </is>
      </c>
      <c r="K1621" t="inlineStr">
        <is>
          <t>CH2</t>
        </is>
      </c>
    </row>
    <row r="1622">
      <c r="A1622" s="33" t="n">
        <v>45807</v>
      </c>
      <c r="B1622" t="inlineStr">
        <is>
          <t>2025-05</t>
        </is>
      </c>
      <c r="C1622" t="inlineStr">
        <is>
          <t>Maria Jose Grez</t>
        </is>
      </c>
      <c r="D1622" t="inlineStr">
        <is>
          <t>Petit Tradicional</t>
        </is>
      </c>
      <c r="E1622" s="34" t="n">
        <v>-20400</v>
      </c>
      <c r="F1622" t="inlineStr">
        <is>
          <t>NC</t>
        </is>
      </c>
      <c r="G1622" s="34" t="n">
        <v>-3257</v>
      </c>
      <c r="H1622" s="34" t="n">
        <v>-17143</v>
      </c>
      <c r="I1622" t="inlineStr">
        <is>
          <t>3.2</t>
        </is>
      </c>
      <c r="J1622" t="inlineStr">
        <is>
          <t>Ventas Personas (B2C)</t>
        </is>
      </c>
      <c r="K1622" t="inlineStr">
        <is>
          <t>CH2</t>
        </is>
      </c>
    </row>
    <row r="1623">
      <c r="A1623" s="33" t="n">
        <v>45807</v>
      </c>
      <c r="B1623" t="inlineStr">
        <is>
          <t>2025-05</t>
        </is>
      </c>
      <c r="C1623" t="inlineStr">
        <is>
          <t>Maria Jose Grez</t>
        </is>
      </c>
      <c r="D1623" t="inlineStr">
        <is>
          <t>Petit Tradicional</t>
        </is>
      </c>
      <c r="E1623" s="34" t="n">
        <v>46300</v>
      </c>
      <c r="F1623" t="inlineStr">
        <is>
          <t>B</t>
        </is>
      </c>
      <c r="G1623" s="34" t="n">
        <v>7392</v>
      </c>
      <c r="H1623" s="34" t="n">
        <v>38908</v>
      </c>
      <c r="I1623" t="inlineStr">
        <is>
          <t>3.2</t>
        </is>
      </c>
      <c r="J1623" t="inlineStr">
        <is>
          <t>Ventas Personas (B2C)</t>
        </is>
      </c>
      <c r="K1623" t="inlineStr">
        <is>
          <t>CH2</t>
        </is>
      </c>
    </row>
    <row r="1624">
      <c r="A1624" s="33" t="n">
        <v>45807</v>
      </c>
      <c r="B1624" t="inlineStr">
        <is>
          <t>2025-05</t>
        </is>
      </c>
      <c r="C1624" t="inlineStr">
        <is>
          <t>Sofia Mereles</t>
        </is>
      </c>
      <c r="D1624" t="inlineStr">
        <is>
          <t>Mix Sabores</t>
        </is>
      </c>
      <c r="E1624" s="34" t="n">
        <v>36790</v>
      </c>
      <c r="F1624" t="inlineStr">
        <is>
          <t>B</t>
        </is>
      </c>
      <c r="G1624" s="34" t="n">
        <v>5874</v>
      </c>
      <c r="H1624" s="34" t="n">
        <v>30916</v>
      </c>
      <c r="I1624" t="inlineStr">
        <is>
          <t>3.2</t>
        </is>
      </c>
      <c r="J1624" t="inlineStr">
        <is>
          <t>Ventas Personas (B2C)</t>
        </is>
      </c>
      <c r="K1624" t="inlineStr">
        <is>
          <t>CH2</t>
        </is>
      </c>
    </row>
    <row r="1625">
      <c r="A1625" s="33" t="n">
        <v>45807</v>
      </c>
      <c r="B1625" t="inlineStr">
        <is>
          <t>2025-05</t>
        </is>
      </c>
      <c r="C1625" t="inlineStr">
        <is>
          <t>Sin cliente</t>
        </is>
      </c>
      <c r="D1625" t="inlineStr">
        <is>
          <t>PLATAFORMAS RAP-PEYA-UBER-GOOD</t>
        </is>
      </c>
      <c r="E1625" s="34" t="n">
        <v>25080</v>
      </c>
      <c r="F1625" t="inlineStr">
        <is>
          <t>B</t>
        </is>
      </c>
      <c r="G1625" s="34" t="n">
        <v>4004</v>
      </c>
      <c r="H1625" s="34" t="n">
        <v>21076</v>
      </c>
      <c r="I1625" t="inlineStr">
        <is>
          <t>3.6</t>
        </is>
      </c>
      <c r="J1625" t="inlineStr">
        <is>
          <t>Ventas Delivery Apps</t>
        </is>
      </c>
      <c r="K1625" t="inlineStr">
        <is>
          <t>CH3</t>
        </is>
      </c>
    </row>
    <row r="1626">
      <c r="A1626" s="33" t="n">
        <v>45807</v>
      </c>
      <c r="B1626" t="inlineStr">
        <is>
          <t>2025-05</t>
        </is>
      </c>
      <c r="C1626" t="inlineStr">
        <is>
          <t>Sin cliente</t>
        </is>
      </c>
      <c r="D1626" t="inlineStr">
        <is>
          <t>PLATAFORMAS RAP-PEYA-UBER-GOOD</t>
        </is>
      </c>
      <c r="E1626" s="34" t="n">
        <v>25068</v>
      </c>
      <c r="F1626" t="inlineStr">
        <is>
          <t>B</t>
        </is>
      </c>
      <c r="G1626" s="34" t="n">
        <v>4002</v>
      </c>
      <c r="H1626" s="34" t="n">
        <v>21066</v>
      </c>
      <c r="I1626" t="inlineStr">
        <is>
          <t>3.6</t>
        </is>
      </c>
      <c r="J1626" t="inlineStr">
        <is>
          <t>Ventas Delivery Apps</t>
        </is>
      </c>
      <c r="K1626" t="inlineStr">
        <is>
          <t>CH3</t>
        </is>
      </c>
    </row>
    <row r="1627">
      <c r="A1627" s="33" t="n">
        <v>45807</v>
      </c>
      <c r="B1627" t="inlineStr">
        <is>
          <t>2025-05</t>
        </is>
      </c>
      <c r="C1627" t="inlineStr">
        <is>
          <t>Sin cliente</t>
        </is>
      </c>
      <c r="D1627" t="inlineStr">
        <is>
          <t>PLATAFORMAS RAP-PEYA-UBER-GOOD</t>
        </is>
      </c>
      <c r="E1627" s="34" t="n">
        <v>8280</v>
      </c>
      <c r="F1627" t="inlineStr">
        <is>
          <t>B</t>
        </is>
      </c>
      <c r="G1627" s="34" t="n">
        <v>1322</v>
      </c>
      <c r="H1627" s="34" t="n">
        <v>6958</v>
      </c>
      <c r="I1627" t="inlineStr">
        <is>
          <t>3.6</t>
        </is>
      </c>
      <c r="J1627" t="inlineStr">
        <is>
          <t>Ventas Delivery Apps</t>
        </is>
      </c>
      <c r="K1627" t="inlineStr">
        <is>
          <t>CH3</t>
        </is>
      </c>
    </row>
    <row r="1628">
      <c r="A1628" s="33" t="n">
        <v>45807</v>
      </c>
      <c r="B1628" t="inlineStr">
        <is>
          <t>2025-05</t>
        </is>
      </c>
      <c r="C1628" t="inlineStr">
        <is>
          <t>josefina dominguez</t>
        </is>
      </c>
      <c r="D1628" t="inlineStr">
        <is>
          <t>MERENGUITOS</t>
        </is>
      </c>
      <c r="E1628" s="34" t="n">
        <v>24800</v>
      </c>
      <c r="F1628" t="inlineStr">
        <is>
          <t>B</t>
        </is>
      </c>
      <c r="G1628" s="34" t="n">
        <v>3960</v>
      </c>
      <c r="H1628" s="34" t="n">
        <v>20840</v>
      </c>
      <c r="I1628" t="inlineStr">
        <is>
          <t>3.2</t>
        </is>
      </c>
      <c r="J1628" t="inlineStr">
        <is>
          <t>Ventas Personas (B2C)</t>
        </is>
      </c>
      <c r="K1628" t="inlineStr">
        <is>
          <t>CH2</t>
        </is>
      </c>
    </row>
    <row r="1629">
      <c r="A1629" s="33" t="n">
        <v>45807</v>
      </c>
      <c r="B1629" t="inlineStr">
        <is>
          <t>2025-05</t>
        </is>
      </c>
      <c r="C1629" t="inlineStr">
        <is>
          <t>gustavo  moreno</t>
        </is>
      </c>
      <c r="D1629" t="inlineStr">
        <is>
          <t>CANELÉ TRADICIONAL</t>
        </is>
      </c>
      <c r="E1629" s="34" t="n">
        <v>26900</v>
      </c>
      <c r="F1629" t="inlineStr">
        <is>
          <t>B</t>
        </is>
      </c>
      <c r="G1629" s="34" t="n">
        <v>4295</v>
      </c>
      <c r="H1629" s="34" t="n">
        <v>22605</v>
      </c>
      <c r="I1629" t="inlineStr">
        <is>
          <t>3.2</t>
        </is>
      </c>
      <c r="J1629" t="inlineStr">
        <is>
          <t>Ventas Personas (B2C)</t>
        </is>
      </c>
      <c r="K1629" t="inlineStr">
        <is>
          <t>CH2</t>
        </is>
      </c>
    </row>
    <row r="1630">
      <c r="A1630" s="33" t="n">
        <v>45807</v>
      </c>
      <c r="B1630" t="inlineStr">
        <is>
          <t>2025-05</t>
        </is>
      </c>
      <c r="C1630" t="inlineStr">
        <is>
          <t>Luis Bassignana</t>
        </is>
      </c>
      <c r="D1630" t="inlineStr">
        <is>
          <t>SALSAS</t>
        </is>
      </c>
      <c r="E1630" s="34" t="n">
        <v>43869</v>
      </c>
      <c r="F1630" t="inlineStr">
        <is>
          <t>B</t>
        </is>
      </c>
      <c r="G1630" s="34" t="n">
        <v>7004</v>
      </c>
      <c r="H1630" s="34" t="n">
        <v>36865</v>
      </c>
      <c r="I1630" t="inlineStr">
        <is>
          <t>3.2</t>
        </is>
      </c>
      <c r="J1630" t="inlineStr">
        <is>
          <t>Ventas Personas (B2C)</t>
        </is>
      </c>
      <c r="K1630" t="inlineStr">
        <is>
          <t>CH2</t>
        </is>
      </c>
    </row>
    <row r="1631">
      <c r="A1631" s="33" t="n">
        <v>45808</v>
      </c>
      <c r="B1631" t="inlineStr">
        <is>
          <t>2025-05</t>
        </is>
      </c>
      <c r="C1631" t="inlineStr">
        <is>
          <t>Sofia Castillo</t>
        </is>
      </c>
      <c r="D1631" t="inlineStr">
        <is>
          <t>CANELÉ TRADICIONAL</t>
        </is>
      </c>
      <c r="E1631" s="34" t="n">
        <v>35890</v>
      </c>
      <c r="F1631" t="inlineStr">
        <is>
          <t>B</t>
        </is>
      </c>
      <c r="G1631" s="34" t="n">
        <v>5730</v>
      </c>
      <c r="H1631" s="34" t="n">
        <v>30160</v>
      </c>
      <c r="I1631" t="inlineStr">
        <is>
          <t>3.2</t>
        </is>
      </c>
      <c r="J1631" t="inlineStr">
        <is>
          <t>Ventas Personas (B2C)</t>
        </is>
      </c>
      <c r="K1631" t="inlineStr">
        <is>
          <t>CH2</t>
        </is>
      </c>
    </row>
    <row r="1632">
      <c r="A1632" s="33" t="n">
        <v>45808</v>
      </c>
      <c r="B1632" t="inlineStr">
        <is>
          <t>2025-05</t>
        </is>
      </c>
      <c r="C1632" t="inlineStr">
        <is>
          <t>Sin cliente</t>
        </is>
      </c>
      <c r="D1632" t="inlineStr">
        <is>
          <t>PLATAFORMAS RAP-PEYA-UBER-GOOD</t>
        </is>
      </c>
      <c r="E1632" s="34" t="n">
        <v>32280</v>
      </c>
      <c r="F1632" t="inlineStr">
        <is>
          <t>B</t>
        </is>
      </c>
      <c r="G1632" s="34" t="n">
        <v>5154</v>
      </c>
      <c r="H1632" s="34" t="n">
        <v>27126</v>
      </c>
      <c r="I1632" t="inlineStr">
        <is>
          <t>3.6</t>
        </is>
      </c>
      <c r="J1632" t="inlineStr">
        <is>
          <t>Ventas Delivery Apps</t>
        </is>
      </c>
      <c r="K1632" t="inlineStr">
        <is>
          <t>CH3</t>
        </is>
      </c>
    </row>
    <row r="1633">
      <c r="A1633" s="33" t="n">
        <v>45808</v>
      </c>
      <c r="B1633" t="inlineStr">
        <is>
          <t>2025-05</t>
        </is>
      </c>
      <c r="C1633" t="inlineStr">
        <is>
          <t>Sin cliente</t>
        </is>
      </c>
      <c r="D1633" t="inlineStr">
        <is>
          <t>Petit Tradicional</t>
        </is>
      </c>
      <c r="E1633" s="34" t="n">
        <v>41800</v>
      </c>
      <c r="F1633" t="inlineStr">
        <is>
          <t>B</t>
        </is>
      </c>
      <c r="G1633" s="34" t="n">
        <v>6674</v>
      </c>
      <c r="H1633" s="34" t="n">
        <v>35126</v>
      </c>
      <c r="I1633" t="inlineStr">
        <is>
          <t>3.2</t>
        </is>
      </c>
      <c r="J1633" t="inlineStr">
        <is>
          <t>Ventas Personas (B2C)</t>
        </is>
      </c>
      <c r="K1633" t="inlineStr">
        <is>
          <t>CH2</t>
        </is>
      </c>
    </row>
    <row r="1634">
      <c r="A1634" s="33" t="n">
        <v>45808</v>
      </c>
      <c r="B1634" t="inlineStr">
        <is>
          <t>2025-05</t>
        </is>
      </c>
      <c r="C1634" t="inlineStr">
        <is>
          <t>Benjamin Espinace</t>
        </is>
      </c>
      <c r="D1634" t="inlineStr">
        <is>
          <t>Petit Crunchy</t>
        </is>
      </c>
      <c r="E1634" s="34" t="n">
        <v>32790</v>
      </c>
      <c r="F1634" t="inlineStr">
        <is>
          <t>B</t>
        </is>
      </c>
      <c r="G1634" s="34" t="n">
        <v>5235</v>
      </c>
      <c r="H1634" s="34" t="n">
        <v>27555</v>
      </c>
      <c r="I1634" t="inlineStr">
        <is>
          <t>3.2</t>
        </is>
      </c>
      <c r="J1634" t="inlineStr">
        <is>
          <t>Ventas Personas (B2C)</t>
        </is>
      </c>
      <c r="K1634" t="inlineStr">
        <is>
          <t>CH2</t>
        </is>
      </c>
    </row>
    <row r="1635">
      <c r="A1635" s="33" t="n">
        <v>45808</v>
      </c>
      <c r="B1635" t="inlineStr">
        <is>
          <t>2025-05</t>
        </is>
      </c>
      <c r="C1635" t="inlineStr">
        <is>
          <t>Guillermo Machado</t>
        </is>
      </c>
      <c r="D1635" t="inlineStr">
        <is>
          <t>Petit Tradicional</t>
        </is>
      </c>
      <c r="E1635" s="34" t="n">
        <v>34889</v>
      </c>
      <c r="F1635" t="inlineStr">
        <is>
          <t>B</t>
        </is>
      </c>
      <c r="G1635" s="34" t="n">
        <v>5571</v>
      </c>
      <c r="H1635" s="34" t="n">
        <v>29318</v>
      </c>
      <c r="I1635" t="inlineStr">
        <is>
          <t>3.2</t>
        </is>
      </c>
      <c r="J1635" t="inlineStr">
        <is>
          <t>Ventas Personas (B2C)</t>
        </is>
      </c>
      <c r="K1635" t="inlineStr">
        <is>
          <t>CH2</t>
        </is>
      </c>
    </row>
    <row r="1636">
      <c r="A1636" s="33" t="n">
        <v>45808</v>
      </c>
      <c r="B1636" t="inlineStr">
        <is>
          <t>2025-05</t>
        </is>
      </c>
      <c r="C1636" t="inlineStr">
        <is>
          <t>Sin cliente</t>
        </is>
      </c>
      <c r="D1636" t="inlineStr">
        <is>
          <t>SALSAS</t>
        </is>
      </c>
      <c r="E1636" s="34" t="n">
        <v>67780</v>
      </c>
      <c r="F1636" t="inlineStr">
        <is>
          <t>B</t>
        </is>
      </c>
      <c r="G1636" s="34" t="n">
        <v>10822</v>
      </c>
      <c r="H1636" s="34" t="n">
        <v>56958</v>
      </c>
      <c r="I1636" t="inlineStr">
        <is>
          <t>3.2</t>
        </is>
      </c>
      <c r="J1636" t="inlineStr">
        <is>
          <t>Ventas Personas (B2C)</t>
        </is>
      </c>
      <c r="K1636" t="inlineStr">
        <is>
          <t>CH2</t>
        </is>
      </c>
    </row>
    <row r="1637">
      <c r="A1637" s="33" t="n">
        <v>45808</v>
      </c>
      <c r="B1637" t="inlineStr">
        <is>
          <t>2025-05</t>
        </is>
      </c>
      <c r="C1637" t="inlineStr">
        <is>
          <t>Douglas  Guetat</t>
        </is>
      </c>
      <c r="D1637" t="inlineStr">
        <is>
          <t>Petit Crunchy</t>
        </is>
      </c>
      <c r="E1637" s="34" t="n">
        <v>13900</v>
      </c>
      <c r="F1637" t="inlineStr">
        <is>
          <t>B</t>
        </is>
      </c>
      <c r="G1637" s="34" t="n">
        <v>2219</v>
      </c>
      <c r="H1637" s="34" t="n">
        <v>11681</v>
      </c>
      <c r="I1637" t="inlineStr">
        <is>
          <t>3.2</t>
        </is>
      </c>
      <c r="J1637" t="inlineStr">
        <is>
          <t>Ventas Personas (B2C)</t>
        </is>
      </c>
      <c r="K1637" t="inlineStr">
        <is>
          <t>CH2</t>
        </is>
      </c>
    </row>
    <row r="1638">
      <c r="A1638" s="33" t="n">
        <v>45809</v>
      </c>
      <c r="B1638" t="inlineStr">
        <is>
          <t>2025-06</t>
        </is>
      </c>
      <c r="C1638" t="inlineStr">
        <is>
          <t>BLUE OAK COFFE SPA</t>
        </is>
      </c>
      <c r="D1638" t="inlineStr">
        <is>
          <t>HORECA CAFETERIA</t>
        </is>
      </c>
      <c r="E1638" s="34" t="n">
        <v>303331</v>
      </c>
      <c r="F1638" t="inlineStr">
        <is>
          <t>F</t>
        </is>
      </c>
      <c r="G1638" s="34" t="n">
        <v>48431</v>
      </c>
      <c r="H1638" s="34" t="n">
        <v>254900</v>
      </c>
      <c r="I1638" t="inlineStr">
        <is>
          <t>3.1</t>
        </is>
      </c>
      <c r="J1638" t="inlineStr">
        <is>
          <t>Ventas HoReCa</t>
        </is>
      </c>
      <c r="K1638" t="inlineStr">
        <is>
          <t>CH1</t>
        </is>
      </c>
    </row>
    <row r="1639">
      <c r="A1639" s="33" t="n">
        <v>45809</v>
      </c>
      <c r="B1639" t="inlineStr">
        <is>
          <t>2025-06</t>
        </is>
      </c>
      <c r="C1639" t="inlineStr">
        <is>
          <t>BLUE OAK COFFE SPA</t>
        </is>
      </c>
      <c r="D1639" t="inlineStr">
        <is>
          <t>HORECA CAFETERIA</t>
        </is>
      </c>
      <c r="E1639" s="34" t="n">
        <v>88109</v>
      </c>
      <c r="F1639" t="inlineStr">
        <is>
          <t>F</t>
        </is>
      </c>
      <c r="G1639" s="34" t="n">
        <v>14068</v>
      </c>
      <c r="H1639" s="34" t="n">
        <v>74041</v>
      </c>
      <c r="I1639" t="inlineStr">
        <is>
          <t>3.1</t>
        </is>
      </c>
      <c r="J1639" t="inlineStr">
        <is>
          <t>Ventas HoReCa</t>
        </is>
      </c>
      <c r="K1639" t="inlineStr">
        <is>
          <t>CH1</t>
        </is>
      </c>
    </row>
    <row r="1640">
      <c r="A1640" s="33" t="n">
        <v>45809</v>
      </c>
      <c r="B1640" t="inlineStr">
        <is>
          <t>2025-06</t>
        </is>
      </c>
      <c r="C1640" t="inlineStr">
        <is>
          <t>Matias Salas</t>
        </is>
      </c>
      <c r="D1640" t="inlineStr">
        <is>
          <t>Petit Crunchy</t>
        </is>
      </c>
      <c r="E1640" s="34" t="n">
        <v>18890</v>
      </c>
      <c r="F1640" t="inlineStr">
        <is>
          <t>B</t>
        </is>
      </c>
      <c r="G1640" s="34" t="n">
        <v>3016</v>
      </c>
      <c r="H1640" s="34" t="n">
        <v>15874</v>
      </c>
      <c r="I1640" t="inlineStr">
        <is>
          <t>3.2</t>
        </is>
      </c>
      <c r="J1640" t="inlineStr">
        <is>
          <t>Ventas Personas (B2C)</t>
        </is>
      </c>
      <c r="K1640" t="inlineStr">
        <is>
          <t>CH2</t>
        </is>
      </c>
    </row>
    <row r="1641">
      <c r="A1641" s="33" t="n">
        <v>45809</v>
      </c>
      <c r="B1641" t="inlineStr">
        <is>
          <t>2025-06</t>
        </is>
      </c>
      <c r="C1641" t="inlineStr">
        <is>
          <t>Lorena Ramírez</t>
        </is>
      </c>
      <c r="D1641" t="inlineStr">
        <is>
          <t>CANELÉ TRADICIONAL</t>
        </is>
      </c>
      <c r="E1641" s="34" t="n">
        <v>83489</v>
      </c>
      <c r="F1641" t="inlineStr">
        <is>
          <t>B</t>
        </is>
      </c>
      <c r="G1641" s="34" t="n">
        <v>13330</v>
      </c>
      <c r="H1641" s="34" t="n">
        <v>70159</v>
      </c>
      <c r="I1641" t="inlineStr">
        <is>
          <t>3.2</t>
        </is>
      </c>
      <c r="J1641" t="inlineStr">
        <is>
          <t>Ventas Personas (B2C)</t>
        </is>
      </c>
      <c r="K1641" t="inlineStr">
        <is>
          <t>CH2</t>
        </is>
      </c>
    </row>
    <row r="1642">
      <c r="A1642" s="33" t="n">
        <v>45809</v>
      </c>
      <c r="B1642" t="inlineStr">
        <is>
          <t>2025-06</t>
        </is>
      </c>
      <c r="C1642" t="inlineStr">
        <is>
          <t>CAFE HAITI AHUMADA LTDA</t>
        </is>
      </c>
      <c r="D1642" t="inlineStr">
        <is>
          <t>HORECA CAFETERIA</t>
        </is>
      </c>
      <c r="E1642" s="34" t="n">
        <v>1244724</v>
      </c>
      <c r="F1642" t="inlineStr">
        <is>
          <t>F</t>
        </is>
      </c>
      <c r="G1642" s="34" t="n">
        <v>198737</v>
      </c>
      <c r="H1642" s="34" t="n">
        <v>1045987</v>
      </c>
      <c r="I1642" t="inlineStr">
        <is>
          <t>3.1</t>
        </is>
      </c>
      <c r="J1642" t="inlineStr">
        <is>
          <t>Ventas HoReCa</t>
        </is>
      </c>
      <c r="K1642" t="inlineStr">
        <is>
          <t>CH1</t>
        </is>
      </c>
    </row>
    <row r="1643">
      <c r="A1643" s="33" t="n">
        <v>45810</v>
      </c>
      <c r="B1643" t="inlineStr">
        <is>
          <t>2025-06</t>
        </is>
      </c>
      <c r="C1643" t="inlineStr">
        <is>
          <t>BÁRBARA Rios LARRAÍN</t>
        </is>
      </c>
      <c r="D1643" t="inlineStr">
        <is>
          <t>CANELÉ TRADICIONAL</t>
        </is>
      </c>
      <c r="E1643" s="34" t="n">
        <v>21510</v>
      </c>
      <c r="F1643" t="inlineStr">
        <is>
          <t>B</t>
        </is>
      </c>
      <c r="G1643" s="34" t="n">
        <v>3434</v>
      </c>
      <c r="H1643" s="34" t="n">
        <v>18076</v>
      </c>
      <c r="I1643" t="inlineStr">
        <is>
          <t>3.2</t>
        </is>
      </c>
      <c r="J1643" t="inlineStr">
        <is>
          <t>Ventas Personas (B2C)</t>
        </is>
      </c>
      <c r="K1643" t="inlineStr">
        <is>
          <t>CH2</t>
        </is>
      </c>
    </row>
    <row r="1644">
      <c r="A1644" s="33" t="n">
        <v>45810</v>
      </c>
      <c r="B1644" t="inlineStr">
        <is>
          <t>2025-06</t>
        </is>
      </c>
      <c r="C1644" t="inlineStr">
        <is>
          <t>CRISTIAN MARQUEZ</t>
        </is>
      </c>
      <c r="D1644" t="inlineStr">
        <is>
          <t>Mix Sabores</t>
        </is>
      </c>
      <c r="E1644" s="34" t="n">
        <v>22890</v>
      </c>
      <c r="F1644" t="inlineStr">
        <is>
          <t>B</t>
        </is>
      </c>
      <c r="G1644" s="34" t="n">
        <v>3655</v>
      </c>
      <c r="H1644" s="34" t="n">
        <v>19235</v>
      </c>
      <c r="I1644" t="inlineStr">
        <is>
          <t>3.2</t>
        </is>
      </c>
      <c r="J1644" t="inlineStr">
        <is>
          <t>Ventas Personas (B2C)</t>
        </is>
      </c>
      <c r="K1644" t="inlineStr">
        <is>
          <t>CH2</t>
        </is>
      </c>
    </row>
    <row r="1645">
      <c r="A1645" s="33" t="n">
        <v>45810</v>
      </c>
      <c r="B1645" t="inlineStr">
        <is>
          <t>2025-06</t>
        </is>
      </c>
      <c r="C1645" t="inlineStr">
        <is>
          <t>D&amp;S SERVICIOS DE ALIMENTACIÓN SpA</t>
        </is>
      </c>
      <c r="D1645" t="inlineStr">
        <is>
          <t xml:space="preserve">THE COFFEE STORE </t>
        </is>
      </c>
      <c r="E1645" s="34" t="n">
        <v>37977</v>
      </c>
      <c r="F1645" t="inlineStr">
        <is>
          <t>F</t>
        </is>
      </c>
      <c r="G1645" s="34" t="n">
        <v>6064</v>
      </c>
      <c r="H1645" s="34" t="n">
        <v>31913</v>
      </c>
      <c r="I1645" t="inlineStr">
        <is>
          <t>3.1</t>
        </is>
      </c>
      <c r="J1645" t="inlineStr">
        <is>
          <t>Ventas HoReCa</t>
        </is>
      </c>
      <c r="K1645" t="inlineStr">
        <is>
          <t>CH1</t>
        </is>
      </c>
    </row>
    <row r="1646">
      <c r="A1646" s="33" t="n">
        <v>45810</v>
      </c>
      <c r="B1646" t="inlineStr">
        <is>
          <t>2025-06</t>
        </is>
      </c>
      <c r="C1646" t="inlineStr">
        <is>
          <t>POMPON SPA</t>
        </is>
      </c>
      <c r="D1646" t="inlineStr">
        <is>
          <t>HORECA CAFETERIA</t>
        </is>
      </c>
      <c r="E1646" s="34" t="n">
        <v>132510</v>
      </c>
      <c r="F1646" t="inlineStr">
        <is>
          <t>F</t>
        </is>
      </c>
      <c r="G1646" s="34" t="n">
        <v>21157</v>
      </c>
      <c r="H1646" s="34" t="n">
        <v>111353</v>
      </c>
      <c r="I1646" t="inlineStr">
        <is>
          <t>3.1</t>
        </is>
      </c>
      <c r="J1646" t="inlineStr">
        <is>
          <t>Ventas HoReCa</t>
        </is>
      </c>
      <c r="K1646" t="inlineStr">
        <is>
          <t>CH1</t>
        </is>
      </c>
    </row>
    <row r="1647">
      <c r="A1647" s="33" t="n">
        <v>45810</v>
      </c>
      <c r="B1647" t="inlineStr">
        <is>
          <t>2025-06</t>
        </is>
      </c>
      <c r="C1647" t="inlineStr">
        <is>
          <t>INVERSIONES Y ASESORIAS RAVAL LIMITADA</t>
        </is>
      </c>
      <c r="D1647" t="inlineStr">
        <is>
          <t>HORECA CAFETERIA</t>
        </is>
      </c>
      <c r="E1647" s="34" t="n">
        <v>67956</v>
      </c>
      <c r="F1647" t="inlineStr">
        <is>
          <t>F</t>
        </is>
      </c>
      <c r="G1647" s="34" t="n">
        <v>10850</v>
      </c>
      <c r="H1647" s="34" t="n">
        <v>57106</v>
      </c>
      <c r="I1647" t="inlineStr">
        <is>
          <t>3.1</t>
        </is>
      </c>
      <c r="J1647" t="inlineStr">
        <is>
          <t>Ventas HoReCa</t>
        </is>
      </c>
      <c r="K1647" t="inlineStr">
        <is>
          <t>CH1</t>
        </is>
      </c>
    </row>
    <row r="1648">
      <c r="A1648" s="33" t="n">
        <v>45810</v>
      </c>
      <c r="B1648" t="inlineStr">
        <is>
          <t>2025-06</t>
        </is>
      </c>
      <c r="C1648" t="inlineStr">
        <is>
          <t>CAFETERÍA ALTURA LIMITADA</t>
        </is>
      </c>
      <c r="D1648" t="inlineStr">
        <is>
          <t>HORECA CAFETERIA</t>
        </is>
      </c>
      <c r="E1648" s="34" t="n">
        <v>93954</v>
      </c>
      <c r="F1648" t="inlineStr">
        <is>
          <t>F</t>
        </is>
      </c>
      <c r="G1648" s="34" t="n">
        <v>15001</v>
      </c>
      <c r="H1648" s="34" t="n">
        <v>78953</v>
      </c>
      <c r="I1648" t="inlineStr">
        <is>
          <t>3.1</t>
        </is>
      </c>
      <c r="J1648" t="inlineStr">
        <is>
          <t>Ventas HoReCa</t>
        </is>
      </c>
      <c r="K1648" t="inlineStr">
        <is>
          <t>CH1</t>
        </is>
      </c>
    </row>
    <row r="1649">
      <c r="A1649" s="33" t="n">
        <v>45810</v>
      </c>
      <c r="B1649" t="inlineStr">
        <is>
          <t>2025-06</t>
        </is>
      </c>
      <c r="C1649" t="inlineStr">
        <is>
          <t>CAFETERÍA ALTURA LIMITADA</t>
        </is>
      </c>
      <c r="D1649" t="inlineStr">
        <is>
          <t>HORECA CAFETERIA</t>
        </is>
      </c>
      <c r="E1649" s="34" t="n">
        <v>-93954</v>
      </c>
      <c r="F1649" t="inlineStr">
        <is>
          <t>NC</t>
        </is>
      </c>
      <c r="G1649" s="34" t="n">
        <v>-15001</v>
      </c>
      <c r="H1649" s="34" t="n">
        <v>-78953</v>
      </c>
      <c r="I1649" t="inlineStr">
        <is>
          <t>3.1</t>
        </is>
      </c>
      <c r="J1649" t="inlineStr">
        <is>
          <t>Ventas HoReCa</t>
        </is>
      </c>
      <c r="K1649" t="inlineStr">
        <is>
          <t>CH1</t>
        </is>
      </c>
    </row>
    <row r="1650">
      <c r="A1650" s="33" t="n">
        <v>45810</v>
      </c>
      <c r="B1650" t="inlineStr">
        <is>
          <t>2025-06</t>
        </is>
      </c>
      <c r="C1650" t="inlineStr">
        <is>
          <t>CAFETERÍA ALTURA LIMITADA</t>
        </is>
      </c>
      <c r="D1650" t="inlineStr">
        <is>
          <t>HORECA CAFETERIA</t>
        </is>
      </c>
      <c r="E1650" s="34" t="n">
        <v>78853</v>
      </c>
      <c r="F1650" t="inlineStr">
        <is>
          <t>F</t>
        </is>
      </c>
      <c r="G1650" s="34" t="n">
        <v>12590</v>
      </c>
      <c r="H1650" s="34" t="n">
        <v>66263</v>
      </c>
      <c r="I1650" t="inlineStr">
        <is>
          <t>3.1</t>
        </is>
      </c>
      <c r="J1650" t="inlineStr">
        <is>
          <t>Ventas HoReCa</t>
        </is>
      </c>
      <c r="K1650" t="inlineStr">
        <is>
          <t>CH1</t>
        </is>
      </c>
    </row>
    <row r="1651">
      <c r="A1651" s="33" t="n">
        <v>45810</v>
      </c>
      <c r="B1651" t="inlineStr">
        <is>
          <t>2025-06</t>
        </is>
      </c>
      <c r="C1651" t="inlineStr">
        <is>
          <t>INVERSIONES Y COMERCIALIZADORA FED LIMITADA</t>
        </is>
      </c>
      <c r="D1651" t="inlineStr">
        <is>
          <t>HORECA CAFETERIA</t>
        </is>
      </c>
      <c r="E1651" s="34" t="n">
        <v>129763</v>
      </c>
      <c r="F1651" t="inlineStr">
        <is>
          <t>F</t>
        </is>
      </c>
      <c r="G1651" s="34" t="n">
        <v>20719</v>
      </c>
      <c r="H1651" s="34" t="n">
        <v>109045</v>
      </c>
      <c r="I1651" t="inlineStr">
        <is>
          <t>3.1</t>
        </is>
      </c>
      <c r="J1651" t="inlineStr">
        <is>
          <t>Ventas HoReCa</t>
        </is>
      </c>
      <c r="K1651" t="inlineStr">
        <is>
          <t>CH1</t>
        </is>
      </c>
    </row>
    <row r="1652">
      <c r="A1652" s="33" t="n">
        <v>45810</v>
      </c>
      <c r="B1652" t="inlineStr">
        <is>
          <t>2025-06</t>
        </is>
      </c>
      <c r="C1652" t="inlineStr">
        <is>
          <t>INVERSIONES Y COMERCIALIZADORA FED LIMITADA</t>
        </is>
      </c>
      <c r="D1652" t="inlineStr">
        <is>
          <t>HORECA CAFETERIA</t>
        </is>
      </c>
      <c r="E1652" s="34" t="n">
        <v>232086</v>
      </c>
      <c r="F1652" t="inlineStr">
        <is>
          <t>F</t>
        </is>
      </c>
      <c r="G1652" s="34" t="n">
        <v>37056</v>
      </c>
      <c r="H1652" s="34" t="n">
        <v>195030</v>
      </c>
      <c r="I1652" t="inlineStr">
        <is>
          <t>3.1</t>
        </is>
      </c>
      <c r="J1652" t="inlineStr">
        <is>
          <t>Ventas HoReCa</t>
        </is>
      </c>
      <c r="K1652" t="inlineStr">
        <is>
          <t>CH1</t>
        </is>
      </c>
    </row>
    <row r="1653">
      <c r="A1653" s="33" t="n">
        <v>45810</v>
      </c>
      <c r="B1653" t="inlineStr">
        <is>
          <t>2025-06</t>
        </is>
      </c>
      <c r="C1653" t="inlineStr">
        <is>
          <t>Anna Kuller</t>
        </is>
      </c>
      <c r="D1653" t="inlineStr">
        <is>
          <t>Mix Sabores</t>
        </is>
      </c>
      <c r="E1653" s="34" t="n">
        <v>42949</v>
      </c>
      <c r="F1653" t="inlineStr">
        <is>
          <t>B</t>
        </is>
      </c>
      <c r="G1653" s="34" t="n">
        <v>6857</v>
      </c>
      <c r="H1653" s="34" t="n">
        <v>36092</v>
      </c>
      <c r="I1653" t="inlineStr">
        <is>
          <t>3.2</t>
        </is>
      </c>
      <c r="J1653" t="inlineStr">
        <is>
          <t>Ventas Personas (B2C)</t>
        </is>
      </c>
      <c r="K1653" t="inlineStr">
        <is>
          <t>CH2</t>
        </is>
      </c>
    </row>
    <row r="1654">
      <c r="A1654" s="33" t="n">
        <v>45810</v>
      </c>
      <c r="B1654" t="inlineStr">
        <is>
          <t>2025-06</t>
        </is>
      </c>
      <c r="C1654" t="inlineStr">
        <is>
          <t>Camila Cortés Pacheco</t>
        </is>
      </c>
      <c r="D1654" t="inlineStr">
        <is>
          <t>CANELÉ TRADICIONAL</t>
        </is>
      </c>
      <c r="E1654" s="34" t="n">
        <v>21509</v>
      </c>
      <c r="F1654" t="inlineStr">
        <is>
          <t>B</t>
        </is>
      </c>
      <c r="G1654" s="34" t="n">
        <v>3434</v>
      </c>
      <c r="H1654" s="34" t="n">
        <v>18075</v>
      </c>
      <c r="I1654" t="inlineStr">
        <is>
          <t>3.2</t>
        </is>
      </c>
      <c r="J1654" t="inlineStr">
        <is>
          <t>Ventas Personas (B2C)</t>
        </is>
      </c>
      <c r="K1654" t="inlineStr">
        <is>
          <t>CH2</t>
        </is>
      </c>
    </row>
    <row r="1655">
      <c r="A1655" s="33" t="n">
        <v>45810</v>
      </c>
      <c r="B1655" t="inlineStr">
        <is>
          <t>2025-06</t>
        </is>
      </c>
      <c r="C1655" t="inlineStr">
        <is>
          <t>RICO SPA</t>
        </is>
      </c>
      <c r="D1655" t="inlineStr">
        <is>
          <t>CANELÉ TRADICIONAL</t>
        </is>
      </c>
      <c r="E1655" s="34" t="n">
        <v>70000</v>
      </c>
      <c r="F1655" t="inlineStr">
        <is>
          <t>F</t>
        </is>
      </c>
      <c r="G1655" s="34" t="n">
        <v>11176</v>
      </c>
      <c r="H1655" s="34" t="n">
        <v>58824</v>
      </c>
      <c r="I1655" t="inlineStr">
        <is>
          <t>3.1</t>
        </is>
      </c>
      <c r="J1655" t="inlineStr">
        <is>
          <t>Ventas HoReCa</t>
        </is>
      </c>
      <c r="K1655" t="inlineStr">
        <is>
          <t>CH1</t>
        </is>
      </c>
    </row>
    <row r="1656">
      <c r="A1656" s="33" t="n">
        <v>45810</v>
      </c>
      <c r="B1656" t="inlineStr">
        <is>
          <t>2025-06</t>
        </is>
      </c>
      <c r="C1656" t="inlineStr">
        <is>
          <t>Carmen Mayo</t>
        </is>
      </c>
      <c r="D1656" t="inlineStr">
        <is>
          <t>CANELÉ TRADICIONAL</t>
        </is>
      </c>
      <c r="E1656" s="34" t="n">
        <v>21509</v>
      </c>
      <c r="F1656" t="inlineStr">
        <is>
          <t>B</t>
        </is>
      </c>
      <c r="G1656" s="34" t="n">
        <v>3434</v>
      </c>
      <c r="H1656" s="34" t="n">
        <v>18075</v>
      </c>
      <c r="I1656" t="inlineStr">
        <is>
          <t>3.2</t>
        </is>
      </c>
      <c r="J1656" t="inlineStr">
        <is>
          <t>Ventas Personas (B2C)</t>
        </is>
      </c>
      <c r="K1656" t="inlineStr">
        <is>
          <t>CH2</t>
        </is>
      </c>
    </row>
    <row r="1657">
      <c r="A1657" s="33" t="n">
        <v>45810</v>
      </c>
      <c r="B1657" t="inlineStr">
        <is>
          <t>2025-06</t>
        </is>
      </c>
      <c r="C1657" t="inlineStr">
        <is>
          <t>Katiuska Esmelinda HeufemannAviles</t>
        </is>
      </c>
      <c r="D1657" t="inlineStr">
        <is>
          <t>CANELÉ TRADICIONAL</t>
        </is>
      </c>
      <c r="E1657" s="34" t="n">
        <v>23510</v>
      </c>
      <c r="F1657" t="inlineStr">
        <is>
          <t>B</t>
        </is>
      </c>
      <c r="G1657" s="34" t="n">
        <v>3754</v>
      </c>
      <c r="H1657" s="34" t="n">
        <v>19756</v>
      </c>
      <c r="I1657" t="inlineStr">
        <is>
          <t>3.2</t>
        </is>
      </c>
      <c r="J1657" t="inlineStr">
        <is>
          <t>Ventas Personas (B2C)</t>
        </is>
      </c>
      <c r="K1657" t="inlineStr">
        <is>
          <t>CH2</t>
        </is>
      </c>
    </row>
    <row r="1658">
      <c r="A1658" s="33" t="n">
        <v>45810</v>
      </c>
      <c r="B1658" t="inlineStr">
        <is>
          <t>2025-06</t>
        </is>
      </c>
      <c r="C1658" t="inlineStr">
        <is>
          <t>Hugo Osorio</t>
        </is>
      </c>
      <c r="D1658" t="inlineStr">
        <is>
          <t>Petit Tradicional</t>
        </is>
      </c>
      <c r="E1658" s="34" t="n">
        <v>29129</v>
      </c>
      <c r="F1658" t="inlineStr">
        <is>
          <t>B</t>
        </is>
      </c>
      <c r="G1658" s="34" t="n">
        <v>4651</v>
      </c>
      <c r="H1658" s="34" t="n">
        <v>24478</v>
      </c>
      <c r="I1658" t="inlineStr">
        <is>
          <t>3.2</t>
        </is>
      </c>
      <c r="J1658" t="inlineStr">
        <is>
          <t>Ventas Personas (B2C)</t>
        </is>
      </c>
      <c r="K1658" t="inlineStr">
        <is>
          <t>CH2</t>
        </is>
      </c>
    </row>
    <row r="1659">
      <c r="A1659" s="33" t="n">
        <v>45810</v>
      </c>
      <c r="B1659" t="inlineStr">
        <is>
          <t>2025-06</t>
        </is>
      </c>
      <c r="C1659" t="inlineStr">
        <is>
          <t>Sin cliente</t>
        </is>
      </c>
      <c r="D1659" t="inlineStr">
        <is>
          <t>PLATAFORMAS RAP-PEYA-UBER-GOOD</t>
        </is>
      </c>
      <c r="E1659" s="34" t="n">
        <v>15480</v>
      </c>
      <c r="F1659" t="inlineStr">
        <is>
          <t>B</t>
        </is>
      </c>
      <c r="G1659" s="34" t="n">
        <v>2472</v>
      </c>
      <c r="H1659" s="34" t="n">
        <v>13008</v>
      </c>
      <c r="I1659" t="inlineStr">
        <is>
          <t>3.6</t>
        </is>
      </c>
      <c r="J1659" t="inlineStr">
        <is>
          <t>Ventas Delivery Apps</t>
        </is>
      </c>
      <c r="K1659" t="inlineStr">
        <is>
          <t>CH3</t>
        </is>
      </c>
    </row>
    <row r="1660">
      <c r="A1660" s="33" t="n">
        <v>45810</v>
      </c>
      <c r="B1660" t="inlineStr">
        <is>
          <t>2025-06</t>
        </is>
      </c>
      <c r="C1660" t="inlineStr">
        <is>
          <t>Sithbunnawath Mao</t>
        </is>
      </c>
      <c r="D1660" t="inlineStr">
        <is>
          <t>Mix Sabores</t>
        </is>
      </c>
      <c r="E1660" s="34" t="n">
        <v>22229</v>
      </c>
      <c r="F1660" t="inlineStr">
        <is>
          <t>B</t>
        </is>
      </c>
      <c r="G1660" s="34" t="n">
        <v>3549</v>
      </c>
      <c r="H1660" s="34" t="n">
        <v>18680</v>
      </c>
      <c r="I1660" t="inlineStr">
        <is>
          <t>3.2</t>
        </is>
      </c>
      <c r="J1660" t="inlineStr">
        <is>
          <t>Ventas Personas (B2C)</t>
        </is>
      </c>
      <c r="K1660" t="inlineStr">
        <is>
          <t>CH2</t>
        </is>
      </c>
    </row>
    <row r="1661">
      <c r="A1661" s="33" t="n">
        <v>45810</v>
      </c>
      <c r="B1661" t="inlineStr">
        <is>
          <t>2025-06</t>
        </is>
      </c>
      <c r="C1661" t="inlineStr">
        <is>
          <t>Alejandra fernandez</t>
        </is>
      </c>
      <c r="D1661" t="inlineStr">
        <is>
          <t>CANELÉ TRADICIONAL</t>
        </is>
      </c>
      <c r="E1661" s="34" t="n">
        <v>33890</v>
      </c>
      <c r="F1661" t="inlineStr">
        <is>
          <t>B</t>
        </is>
      </c>
      <c r="G1661" s="34" t="n">
        <v>5411</v>
      </c>
      <c r="H1661" s="34" t="n">
        <v>28479</v>
      </c>
      <c r="I1661" t="inlineStr">
        <is>
          <t>3.2</t>
        </is>
      </c>
      <c r="J1661" t="inlineStr">
        <is>
          <t>Ventas Personas (B2C)</t>
        </is>
      </c>
      <c r="K1661" t="inlineStr">
        <is>
          <t>CH2</t>
        </is>
      </c>
    </row>
    <row r="1662">
      <c r="A1662" s="33" t="n">
        <v>45810</v>
      </c>
      <c r="B1662" t="inlineStr">
        <is>
          <t>2025-06</t>
        </is>
      </c>
      <c r="C1662" t="inlineStr">
        <is>
          <t>Stephanie Vidal Acuña</t>
        </is>
      </c>
      <c r="D1662" t="inlineStr">
        <is>
          <t>Petit Tradicional</t>
        </is>
      </c>
      <c r="E1662" s="34" t="n">
        <v>20710</v>
      </c>
      <c r="F1662" t="inlineStr">
        <is>
          <t>B</t>
        </is>
      </c>
      <c r="G1662" s="34" t="n">
        <v>3307</v>
      </c>
      <c r="H1662" s="34" t="n">
        <v>17403</v>
      </c>
      <c r="I1662" t="inlineStr">
        <is>
          <t>3.2</t>
        </is>
      </c>
      <c r="J1662" t="inlineStr">
        <is>
          <t>Ventas Personas (B2C)</t>
        </is>
      </c>
      <c r="K1662" t="inlineStr">
        <is>
          <t>CH2</t>
        </is>
      </c>
    </row>
    <row r="1663">
      <c r="A1663" s="33" t="n">
        <v>45810</v>
      </c>
      <c r="B1663" t="inlineStr">
        <is>
          <t>2025-06</t>
        </is>
      </c>
      <c r="C1663" t="inlineStr">
        <is>
          <t>carla vilches carrasco</t>
        </is>
      </c>
      <c r="D1663" t="inlineStr">
        <is>
          <t>CANELÉ TRADICIONAL</t>
        </is>
      </c>
      <c r="E1663" s="34" t="n">
        <v>20890</v>
      </c>
      <c r="F1663" t="inlineStr">
        <is>
          <t>B</t>
        </is>
      </c>
      <c r="G1663" s="34" t="n">
        <v>3335</v>
      </c>
      <c r="H1663" s="34" t="n">
        <v>17555</v>
      </c>
      <c r="I1663" t="inlineStr">
        <is>
          <t>3.2</t>
        </is>
      </c>
      <c r="J1663" t="inlineStr">
        <is>
          <t>Ventas Personas (B2C)</t>
        </is>
      </c>
      <c r="K1663" t="inlineStr">
        <is>
          <t>CH2</t>
        </is>
      </c>
    </row>
    <row r="1664">
      <c r="A1664" s="33" t="n">
        <v>45811</v>
      </c>
      <c r="B1664" t="inlineStr">
        <is>
          <t>2025-06</t>
        </is>
      </c>
      <c r="C1664" t="inlineStr">
        <is>
          <t>Eduardo Munita Madrid</t>
        </is>
      </c>
      <c r="D1664" t="inlineStr">
        <is>
          <t>SALSAS</t>
        </is>
      </c>
      <c r="E1664" s="34" t="n">
        <v>31500</v>
      </c>
      <c r="F1664" t="inlineStr">
        <is>
          <t>B</t>
        </is>
      </c>
      <c r="G1664" s="34" t="n">
        <v>5029</v>
      </c>
      <c r="H1664" s="34" t="n">
        <v>26471</v>
      </c>
      <c r="I1664" t="inlineStr">
        <is>
          <t>3.2</t>
        </is>
      </c>
      <c r="J1664" t="inlineStr">
        <is>
          <t>Ventas Personas (B2C)</t>
        </is>
      </c>
      <c r="K1664" t="inlineStr">
        <is>
          <t>CH2</t>
        </is>
      </c>
    </row>
    <row r="1665">
      <c r="A1665" s="33" t="n">
        <v>45811</v>
      </c>
      <c r="B1665" t="inlineStr">
        <is>
          <t>2025-06</t>
        </is>
      </c>
      <c r="C1665" t="inlineStr">
        <is>
          <t>Valentina Jofré</t>
        </is>
      </c>
      <c r="D1665" t="inlineStr">
        <is>
          <t>Mix Sabores</t>
        </is>
      </c>
      <c r="E1665" s="34" t="n">
        <v>23230</v>
      </c>
      <c r="F1665" t="inlineStr">
        <is>
          <t>B</t>
        </is>
      </c>
      <c r="G1665" s="34" t="n">
        <v>3709</v>
      </c>
      <c r="H1665" s="34" t="n">
        <v>19521</v>
      </c>
      <c r="I1665" t="inlineStr">
        <is>
          <t>3.2</t>
        </is>
      </c>
      <c r="J1665" t="inlineStr">
        <is>
          <t>Ventas Personas (B2C)</t>
        </is>
      </c>
      <c r="K1665" t="inlineStr">
        <is>
          <t>CH2</t>
        </is>
      </c>
    </row>
    <row r="1666">
      <c r="A1666" s="33" t="n">
        <v>45811</v>
      </c>
      <c r="B1666" t="inlineStr">
        <is>
          <t>2025-06</t>
        </is>
      </c>
      <c r="C1666" t="inlineStr">
        <is>
          <t>Carlos Otero</t>
        </is>
      </c>
      <c r="D1666" t="inlineStr">
        <is>
          <t>Mix Sabores</t>
        </is>
      </c>
      <c r="E1666" s="34" t="n">
        <v>22230</v>
      </c>
      <c r="F1666" t="inlineStr">
        <is>
          <t>B</t>
        </is>
      </c>
      <c r="G1666" s="34" t="n">
        <v>3549</v>
      </c>
      <c r="H1666" s="34" t="n">
        <v>18681</v>
      </c>
      <c r="I1666" t="inlineStr">
        <is>
          <t>3.2</t>
        </is>
      </c>
      <c r="J1666" t="inlineStr">
        <is>
          <t>Ventas Personas (B2C)</t>
        </is>
      </c>
      <c r="K1666" t="inlineStr">
        <is>
          <t>CH2</t>
        </is>
      </c>
    </row>
    <row r="1667">
      <c r="A1667" s="33" t="n">
        <v>45811</v>
      </c>
      <c r="B1667" t="inlineStr">
        <is>
          <t>2025-06</t>
        </is>
      </c>
      <c r="C1667" t="inlineStr">
        <is>
          <t>CAFE DIARIO ENCOMENDEROS SPA</t>
        </is>
      </c>
      <c r="D1667" t="inlineStr">
        <is>
          <t>HORECA CAFETERIA</t>
        </is>
      </c>
      <c r="E1667" s="34" t="n">
        <v>82830</v>
      </c>
      <c r="F1667" t="inlineStr">
        <is>
          <t>F</t>
        </is>
      </c>
      <c r="G1667" s="34" t="n">
        <v>13225</v>
      </c>
      <c r="H1667" s="34" t="n">
        <v>69605</v>
      </c>
      <c r="I1667" t="inlineStr">
        <is>
          <t>3.1</t>
        </is>
      </c>
      <c r="J1667" t="inlineStr">
        <is>
          <t>Ventas HoReCa</t>
        </is>
      </c>
      <c r="K1667" t="inlineStr">
        <is>
          <t>CH1</t>
        </is>
      </c>
    </row>
    <row r="1668">
      <c r="A1668" s="33" t="n">
        <v>45811</v>
      </c>
      <c r="B1668" t="inlineStr">
        <is>
          <t>2025-06</t>
        </is>
      </c>
      <c r="C1668" t="inlineStr">
        <is>
          <t>Luis Felipe La Corte Castro</t>
        </is>
      </c>
      <c r="D1668" t="inlineStr">
        <is>
          <t>HORECA CAFETERIA</t>
        </is>
      </c>
      <c r="E1668" s="34" t="n">
        <v>88599</v>
      </c>
      <c r="F1668" t="inlineStr">
        <is>
          <t>F</t>
        </is>
      </c>
      <c r="G1668" s="34" t="n">
        <v>14146</v>
      </c>
      <c r="H1668" s="34" t="n">
        <v>74453</v>
      </c>
      <c r="I1668" t="inlineStr">
        <is>
          <t>3.1</t>
        </is>
      </c>
      <c r="J1668" t="inlineStr">
        <is>
          <t>Ventas HoReCa</t>
        </is>
      </c>
      <c r="K1668" t="inlineStr">
        <is>
          <t>CH1</t>
        </is>
      </c>
    </row>
    <row r="1669">
      <c r="A1669" s="33" t="n">
        <v>45811</v>
      </c>
      <c r="B1669" t="inlineStr">
        <is>
          <t>2025-06</t>
        </is>
      </c>
      <c r="C1669" t="inlineStr">
        <is>
          <t>BEMVINDO CAFE</t>
        </is>
      </c>
      <c r="D1669" t="inlineStr">
        <is>
          <t>HORECA CAFETERIA</t>
        </is>
      </c>
      <c r="E1669" s="34" t="n">
        <v>36414</v>
      </c>
      <c r="F1669" t="inlineStr">
        <is>
          <t>F</t>
        </is>
      </c>
      <c r="G1669" s="34" t="n">
        <v>5814</v>
      </c>
      <c r="H1669" s="34" t="n">
        <v>30600</v>
      </c>
      <c r="I1669" t="inlineStr">
        <is>
          <t>3.1</t>
        </is>
      </c>
      <c r="J1669" t="inlineStr">
        <is>
          <t>Ventas HoReCa</t>
        </is>
      </c>
      <c r="K1669" t="inlineStr">
        <is>
          <t>CH1</t>
        </is>
      </c>
    </row>
    <row r="1670">
      <c r="A1670" s="33" t="n">
        <v>45811</v>
      </c>
      <c r="B1670" t="inlineStr">
        <is>
          <t>2025-06</t>
        </is>
      </c>
      <c r="C1670" t="inlineStr">
        <is>
          <t>Rocio Mendoza</t>
        </is>
      </c>
      <c r="D1670" t="inlineStr">
        <is>
          <t>Mix Sabores</t>
        </is>
      </c>
      <c r="E1670" s="34" t="n">
        <v>22229</v>
      </c>
      <c r="F1670" t="inlineStr">
        <is>
          <t>B</t>
        </is>
      </c>
      <c r="G1670" s="34" t="n">
        <v>3549</v>
      </c>
      <c r="H1670" s="34" t="n">
        <v>18680</v>
      </c>
      <c r="I1670" t="inlineStr">
        <is>
          <t>3.2</t>
        </is>
      </c>
      <c r="J1670" t="inlineStr">
        <is>
          <t>Ventas Personas (B2C)</t>
        </is>
      </c>
      <c r="K1670" t="inlineStr">
        <is>
          <t>CH2</t>
        </is>
      </c>
    </row>
    <row r="1671">
      <c r="A1671" s="33" t="n">
        <v>45811</v>
      </c>
      <c r="B1671" t="inlineStr">
        <is>
          <t>2025-06</t>
        </is>
      </c>
      <c r="C1671" t="inlineStr">
        <is>
          <t>CAFETERÍAS MISTER SPA</t>
        </is>
      </c>
      <c r="D1671" t="inlineStr">
        <is>
          <t>HORECA CAFETERIA</t>
        </is>
      </c>
      <c r="E1671" s="34" t="n">
        <v>33978</v>
      </c>
      <c r="F1671" t="inlineStr">
        <is>
          <t>F</t>
        </is>
      </c>
      <c r="G1671" s="34" t="n">
        <v>5425</v>
      </c>
      <c r="H1671" s="34" t="n">
        <v>28553</v>
      </c>
      <c r="I1671" t="inlineStr">
        <is>
          <t>3.1</t>
        </is>
      </c>
      <c r="J1671" t="inlineStr">
        <is>
          <t>Ventas HoReCa</t>
        </is>
      </c>
      <c r="K1671" t="inlineStr">
        <is>
          <t>CH1</t>
        </is>
      </c>
    </row>
    <row r="1672">
      <c r="A1672" s="33" t="n">
        <v>45811</v>
      </c>
      <c r="B1672" t="inlineStr">
        <is>
          <t>2025-06</t>
        </is>
      </c>
      <c r="C1672" t="inlineStr">
        <is>
          <t>Claudia San Nicolás</t>
        </is>
      </c>
      <c r="D1672" t="inlineStr">
        <is>
          <t>Petit Tradicional</t>
        </is>
      </c>
      <c r="E1672" s="34" t="n">
        <v>37430</v>
      </c>
      <c r="F1672" t="inlineStr">
        <is>
          <t>B</t>
        </is>
      </c>
      <c r="G1672" s="34" t="n">
        <v>5976</v>
      </c>
      <c r="H1672" s="34" t="n">
        <v>31454</v>
      </c>
      <c r="I1672" t="inlineStr">
        <is>
          <t>3.2</t>
        </is>
      </c>
      <c r="J1672" t="inlineStr">
        <is>
          <t>Ventas Personas (B2C)</t>
        </is>
      </c>
      <c r="K1672" t="inlineStr">
        <is>
          <t>CH2</t>
        </is>
      </c>
    </row>
    <row r="1673">
      <c r="A1673" s="33" t="n">
        <v>45811</v>
      </c>
      <c r="B1673" t="inlineStr">
        <is>
          <t>2025-06</t>
        </is>
      </c>
      <c r="C1673" t="inlineStr">
        <is>
          <t>Santa María spa</t>
        </is>
      </c>
      <c r="D1673" t="inlineStr">
        <is>
          <t>HORECA CAFETERIA</t>
        </is>
      </c>
      <c r="E1673" s="34" t="n">
        <v>178670</v>
      </c>
      <c r="F1673" t="inlineStr">
        <is>
          <t>F</t>
        </is>
      </c>
      <c r="G1673" s="34" t="n">
        <v>28527</v>
      </c>
      <c r="H1673" s="34" t="n">
        <v>150143</v>
      </c>
      <c r="I1673" t="inlineStr">
        <is>
          <t>3.1</t>
        </is>
      </c>
      <c r="J1673" t="inlineStr">
        <is>
          <t>Ventas HoReCa</t>
        </is>
      </c>
      <c r="K1673" t="inlineStr">
        <is>
          <t>CH1</t>
        </is>
      </c>
    </row>
    <row r="1674">
      <c r="A1674" s="33" t="n">
        <v>45811</v>
      </c>
      <c r="B1674" t="inlineStr">
        <is>
          <t>2025-06</t>
        </is>
      </c>
      <c r="C1674" t="inlineStr">
        <is>
          <t>Sociedad de inversiones solari y acuña spa</t>
        </is>
      </c>
      <c r="D1674" t="inlineStr">
        <is>
          <t>HORECA CAFETERIA</t>
        </is>
      </c>
      <c r="E1674" s="34" t="n">
        <v>149726</v>
      </c>
      <c r="F1674" t="inlineStr">
        <is>
          <t>F</t>
        </is>
      </c>
      <c r="G1674" s="34" t="n">
        <v>23906</v>
      </c>
      <c r="H1674" s="34" t="n">
        <v>125820</v>
      </c>
      <c r="I1674" t="inlineStr">
        <is>
          <t>3.1</t>
        </is>
      </c>
      <c r="J1674" t="inlineStr">
        <is>
          <t>Ventas HoReCa</t>
        </is>
      </c>
      <c r="K1674" t="inlineStr">
        <is>
          <t>CH1</t>
        </is>
      </c>
    </row>
    <row r="1675">
      <c r="A1675" s="33" t="n">
        <v>45811</v>
      </c>
      <c r="B1675" t="inlineStr">
        <is>
          <t>2025-06</t>
        </is>
      </c>
      <c r="C1675" t="inlineStr">
        <is>
          <t>FERNANDA MAYO</t>
        </is>
      </c>
      <c r="D1675" t="inlineStr">
        <is>
          <t>Petit Tradicional</t>
        </is>
      </c>
      <c r="E1675" s="34" t="n">
        <v>33440</v>
      </c>
      <c r="F1675" t="inlineStr">
        <is>
          <t>B</t>
        </is>
      </c>
      <c r="G1675" s="34" t="n">
        <v>5339</v>
      </c>
      <c r="H1675" s="34" t="n">
        <v>28101</v>
      </c>
      <c r="I1675" t="inlineStr">
        <is>
          <t>3.2</t>
        </is>
      </c>
      <c r="J1675" t="inlineStr">
        <is>
          <t>Ventas Personas (B2C)</t>
        </is>
      </c>
      <c r="K1675" t="inlineStr">
        <is>
          <t>CH2</t>
        </is>
      </c>
    </row>
    <row r="1676">
      <c r="A1676" s="33" t="n">
        <v>45811</v>
      </c>
      <c r="B1676" t="inlineStr">
        <is>
          <t>2025-06</t>
        </is>
      </c>
      <c r="C1676" t="inlineStr">
        <is>
          <t>Flavio Boaventura Garcia</t>
        </is>
      </c>
      <c r="D1676" t="inlineStr">
        <is>
          <t>Mix Sabores</t>
        </is>
      </c>
      <c r="E1676" s="34" t="n">
        <v>22229</v>
      </c>
      <c r="F1676" t="inlineStr">
        <is>
          <t>B</t>
        </is>
      </c>
      <c r="G1676" s="34" t="n">
        <v>3549</v>
      </c>
      <c r="H1676" s="34" t="n">
        <v>18680</v>
      </c>
      <c r="I1676" t="inlineStr">
        <is>
          <t>3.2</t>
        </is>
      </c>
      <c r="J1676" t="inlineStr">
        <is>
          <t>Ventas Personas (B2C)</t>
        </is>
      </c>
      <c r="K1676" t="inlineStr">
        <is>
          <t>CH2</t>
        </is>
      </c>
    </row>
    <row r="1677">
      <c r="A1677" s="33" t="n">
        <v>45811</v>
      </c>
      <c r="B1677" t="inlineStr">
        <is>
          <t>2025-06</t>
        </is>
      </c>
      <c r="C1677" t="inlineStr">
        <is>
          <t>Cecilia Camacho Neira</t>
        </is>
      </c>
      <c r="D1677" t="inlineStr">
        <is>
          <t>CANELÉ TRADICIONAL</t>
        </is>
      </c>
      <c r="E1677" s="34" t="n">
        <v>17520</v>
      </c>
      <c r="F1677" t="inlineStr">
        <is>
          <t>B</t>
        </is>
      </c>
      <c r="G1677" s="34" t="n">
        <v>2797</v>
      </c>
      <c r="H1677" s="34" t="n">
        <v>14723</v>
      </c>
      <c r="I1677" t="inlineStr">
        <is>
          <t>3.2</t>
        </is>
      </c>
      <c r="J1677" t="inlineStr">
        <is>
          <t>Ventas Personas (B2C)</t>
        </is>
      </c>
      <c r="K1677" t="inlineStr">
        <is>
          <t>CH2</t>
        </is>
      </c>
    </row>
    <row r="1678">
      <c r="A1678" s="33" t="n">
        <v>45811</v>
      </c>
      <c r="B1678" t="inlineStr">
        <is>
          <t>2025-06</t>
        </is>
      </c>
      <c r="C1678" t="inlineStr">
        <is>
          <t>Rodrigo Rivera Salinas</t>
        </is>
      </c>
      <c r="D1678" t="inlineStr">
        <is>
          <t>Mix Sabores</t>
        </is>
      </c>
      <c r="E1678" s="34" t="n">
        <v>18240</v>
      </c>
      <c r="F1678" t="inlineStr">
        <is>
          <t>B</t>
        </is>
      </c>
      <c r="G1678" s="34" t="n">
        <v>2912</v>
      </c>
      <c r="H1678" s="34" t="n">
        <v>15328</v>
      </c>
      <c r="I1678" t="inlineStr">
        <is>
          <t>3.2</t>
        </is>
      </c>
      <c r="J1678" t="inlineStr">
        <is>
          <t>Ventas Personas (B2C)</t>
        </is>
      </c>
      <c r="K1678" t="inlineStr">
        <is>
          <t>CH2</t>
        </is>
      </c>
    </row>
    <row r="1679">
      <c r="A1679" s="33" t="n">
        <v>45811</v>
      </c>
      <c r="B1679" t="inlineStr">
        <is>
          <t>2025-06</t>
        </is>
      </c>
      <c r="C1679" t="inlineStr">
        <is>
          <t>Sin cliente</t>
        </is>
      </c>
      <c r="D1679" t="inlineStr">
        <is>
          <t>Petit Crunchy</t>
        </is>
      </c>
      <c r="E1679" s="34" t="n">
        <v>25900</v>
      </c>
      <c r="F1679" t="inlineStr">
        <is>
          <t>B</t>
        </is>
      </c>
      <c r="G1679" s="34" t="n">
        <v>4135</v>
      </c>
      <c r="H1679" s="34" t="n">
        <v>21765</v>
      </c>
      <c r="I1679" t="inlineStr">
        <is>
          <t>3.2</t>
        </is>
      </c>
      <c r="J1679" t="inlineStr">
        <is>
          <t>Ventas Personas (B2C)</t>
        </is>
      </c>
      <c r="K1679" t="inlineStr">
        <is>
          <t>CH2</t>
        </is>
      </c>
    </row>
    <row r="1680">
      <c r="A1680" s="33" t="n">
        <v>45811</v>
      </c>
      <c r="B1680" t="inlineStr">
        <is>
          <t>2025-06</t>
        </is>
      </c>
      <c r="C1680" t="inlineStr">
        <is>
          <t>Macarena Rencoret</t>
        </is>
      </c>
      <c r="D1680" t="inlineStr">
        <is>
          <t>CANELÉ TRADICIONAL</t>
        </is>
      </c>
      <c r="E1680" s="34" t="n">
        <v>21509</v>
      </c>
      <c r="F1680" t="inlineStr">
        <is>
          <t>B</t>
        </is>
      </c>
      <c r="G1680" s="34" t="n">
        <v>3434</v>
      </c>
      <c r="H1680" s="34" t="n">
        <v>18075</v>
      </c>
      <c r="I1680" t="inlineStr">
        <is>
          <t>3.2</t>
        </is>
      </c>
      <c r="J1680" t="inlineStr">
        <is>
          <t>Ventas Personas (B2C)</t>
        </is>
      </c>
      <c r="K1680" t="inlineStr">
        <is>
          <t>CH2</t>
        </is>
      </c>
    </row>
    <row r="1681">
      <c r="A1681" s="33" t="n">
        <v>45811</v>
      </c>
      <c r="B1681" t="inlineStr">
        <is>
          <t>2025-06</t>
        </is>
      </c>
      <c r="C1681" t="inlineStr">
        <is>
          <t>Carolina Valenzuela</t>
        </is>
      </c>
      <c r="D1681" t="inlineStr">
        <is>
          <t>Petit Tradicional</t>
        </is>
      </c>
      <c r="E1681" s="34" t="n">
        <v>20710</v>
      </c>
      <c r="F1681" t="inlineStr">
        <is>
          <t>B</t>
        </is>
      </c>
      <c r="G1681" s="34" t="n">
        <v>3307</v>
      </c>
      <c r="H1681" s="34" t="n">
        <v>17403</v>
      </c>
      <c r="I1681" t="inlineStr">
        <is>
          <t>3.2</t>
        </is>
      </c>
      <c r="J1681" t="inlineStr">
        <is>
          <t>Ventas Personas (B2C)</t>
        </is>
      </c>
      <c r="K1681" t="inlineStr">
        <is>
          <t>CH2</t>
        </is>
      </c>
    </row>
    <row r="1682">
      <c r="A1682" s="33" t="n">
        <v>45811</v>
      </c>
      <c r="B1682" t="inlineStr">
        <is>
          <t>2025-06</t>
        </is>
      </c>
      <c r="C1682" t="inlineStr">
        <is>
          <t>Margarita Bascuñán</t>
        </is>
      </c>
      <c r="D1682" t="inlineStr">
        <is>
          <t>Petit Tradicional</t>
        </is>
      </c>
      <c r="E1682" s="34" t="n">
        <v>20710</v>
      </c>
      <c r="F1682" t="inlineStr">
        <is>
          <t>B</t>
        </is>
      </c>
      <c r="G1682" s="34" t="n">
        <v>3307</v>
      </c>
      <c r="H1682" s="34" t="n">
        <v>17403</v>
      </c>
      <c r="I1682" t="inlineStr">
        <is>
          <t>3.2</t>
        </is>
      </c>
      <c r="J1682" t="inlineStr">
        <is>
          <t>Ventas Personas (B2C)</t>
        </is>
      </c>
      <c r="K1682" t="inlineStr">
        <is>
          <t>CH2</t>
        </is>
      </c>
    </row>
    <row r="1683">
      <c r="A1683" s="33" t="n">
        <v>45811</v>
      </c>
      <c r="B1683" t="inlineStr">
        <is>
          <t>2025-06</t>
        </is>
      </c>
      <c r="C1683" t="inlineStr">
        <is>
          <t>Minna Yu</t>
        </is>
      </c>
      <c r="D1683" t="inlineStr">
        <is>
          <t>Mix Sabores</t>
        </is>
      </c>
      <c r="E1683" s="34" t="n">
        <v>40470</v>
      </c>
      <c r="F1683" t="inlineStr">
        <is>
          <t>B</t>
        </is>
      </c>
      <c r="G1683" s="34" t="n">
        <v>6462</v>
      </c>
      <c r="H1683" s="34" t="n">
        <v>34008</v>
      </c>
      <c r="I1683" t="inlineStr">
        <is>
          <t>3.2</t>
        </is>
      </c>
      <c r="J1683" t="inlineStr">
        <is>
          <t>Ventas Personas (B2C)</t>
        </is>
      </c>
      <c r="K1683" t="inlineStr">
        <is>
          <t>CH2</t>
        </is>
      </c>
    </row>
    <row r="1684">
      <c r="A1684" s="33" t="n">
        <v>45812</v>
      </c>
      <c r="B1684" t="inlineStr">
        <is>
          <t>2025-06</t>
        </is>
      </c>
      <c r="C1684" t="inlineStr">
        <is>
          <t>Café Popular SpA</t>
        </is>
      </c>
      <c r="D1684" t="inlineStr">
        <is>
          <t>HORECA CAFETERIA</t>
        </is>
      </c>
      <c r="E1684" s="34" t="n">
        <v>178670</v>
      </c>
      <c r="F1684" t="inlineStr">
        <is>
          <t>F</t>
        </is>
      </c>
      <c r="G1684" s="34" t="n">
        <v>28527</v>
      </c>
      <c r="H1684" s="34" t="n">
        <v>150143</v>
      </c>
      <c r="I1684" t="inlineStr">
        <is>
          <t>3.1</t>
        </is>
      </c>
      <c r="J1684" t="inlineStr">
        <is>
          <t>Ventas HoReCa</t>
        </is>
      </c>
      <c r="K1684" t="inlineStr">
        <is>
          <t>CH1</t>
        </is>
      </c>
    </row>
    <row r="1685">
      <c r="A1685" s="33" t="n">
        <v>45812</v>
      </c>
      <c r="B1685" t="inlineStr">
        <is>
          <t>2025-06</t>
        </is>
      </c>
      <c r="C1685" t="inlineStr">
        <is>
          <t>CUATROTRESTRES CAFÉ SPA</t>
        </is>
      </c>
      <c r="D1685" t="inlineStr">
        <is>
          <t>HORECA CAFETERIA</t>
        </is>
      </c>
      <c r="E1685" s="34" t="n">
        <v>153153</v>
      </c>
      <c r="F1685" t="inlineStr">
        <is>
          <t>F</t>
        </is>
      </c>
      <c r="G1685" s="34" t="n">
        <v>24453</v>
      </c>
      <c r="H1685" s="34" t="n">
        <v>128700</v>
      </c>
      <c r="I1685" t="inlineStr">
        <is>
          <t>3.1</t>
        </is>
      </c>
      <c r="J1685" t="inlineStr">
        <is>
          <t>Ventas HoReCa</t>
        </is>
      </c>
      <c r="K1685" t="inlineStr">
        <is>
          <t>CH1</t>
        </is>
      </c>
    </row>
    <row r="1686">
      <c r="A1686" s="33" t="n">
        <v>45812</v>
      </c>
      <c r="B1686" t="inlineStr">
        <is>
          <t>2025-06</t>
        </is>
      </c>
      <c r="C1686" t="inlineStr">
        <is>
          <t>BLUE OAK COFFE SPA</t>
        </is>
      </c>
      <c r="D1686" t="inlineStr">
        <is>
          <t>HORECA CAFETERIA</t>
        </is>
      </c>
      <c r="E1686" s="34" t="n">
        <v>63966</v>
      </c>
      <c r="F1686" t="inlineStr">
        <is>
          <t>F</t>
        </is>
      </c>
      <c r="G1686" s="34" t="n">
        <v>10213</v>
      </c>
      <c r="H1686" s="34" t="n">
        <v>53753</v>
      </c>
      <c r="I1686" t="inlineStr">
        <is>
          <t>3.1</t>
        </is>
      </c>
      <c r="J1686" t="inlineStr">
        <is>
          <t>Ventas HoReCa</t>
        </is>
      </c>
      <c r="K1686" t="inlineStr">
        <is>
          <t>CH1</t>
        </is>
      </c>
    </row>
    <row r="1687">
      <c r="A1687" s="33" t="n">
        <v>45812</v>
      </c>
      <c r="B1687" t="inlineStr">
        <is>
          <t>2025-06</t>
        </is>
      </c>
      <c r="C1687" t="inlineStr">
        <is>
          <t>Jorge Pacheco</t>
        </is>
      </c>
      <c r="D1687" t="inlineStr">
        <is>
          <t>Mix Sabores</t>
        </is>
      </c>
      <c r="E1687" s="34" t="n">
        <v>22229</v>
      </c>
      <c r="F1687" t="inlineStr">
        <is>
          <t>B</t>
        </is>
      </c>
      <c r="G1687" s="34" t="n">
        <v>3549</v>
      </c>
      <c r="H1687" s="34" t="n">
        <v>18680</v>
      </c>
      <c r="I1687" t="inlineStr">
        <is>
          <t>3.2</t>
        </is>
      </c>
      <c r="J1687" t="inlineStr">
        <is>
          <t>Ventas Personas (B2C)</t>
        </is>
      </c>
      <c r="K1687" t="inlineStr">
        <is>
          <t>CH2</t>
        </is>
      </c>
    </row>
    <row r="1688">
      <c r="A1688" s="33" t="n">
        <v>45812</v>
      </c>
      <c r="B1688" t="inlineStr">
        <is>
          <t>2025-06</t>
        </is>
      </c>
      <c r="C1688" t="inlineStr">
        <is>
          <t>Renato Pérez Herrera</t>
        </is>
      </c>
      <c r="D1688" t="inlineStr">
        <is>
          <t>CANELÉ TRADICIONAL</t>
        </is>
      </c>
      <c r="E1688" s="34" t="n">
        <v>21509</v>
      </c>
      <c r="F1688" t="inlineStr">
        <is>
          <t>B</t>
        </is>
      </c>
      <c r="G1688" s="34" t="n">
        <v>3434</v>
      </c>
      <c r="H1688" s="34" t="n">
        <v>18075</v>
      </c>
      <c r="I1688" t="inlineStr">
        <is>
          <t>3.2</t>
        </is>
      </c>
      <c r="J1688" t="inlineStr">
        <is>
          <t>Ventas Personas (B2C)</t>
        </is>
      </c>
      <c r="K1688" t="inlineStr">
        <is>
          <t>CH2</t>
        </is>
      </c>
    </row>
    <row r="1689">
      <c r="A1689" s="33" t="n">
        <v>45812</v>
      </c>
      <c r="B1689" t="inlineStr">
        <is>
          <t>2025-06</t>
        </is>
      </c>
      <c r="C1689" t="inlineStr">
        <is>
          <t>Aida Gana</t>
        </is>
      </c>
      <c r="D1689" t="inlineStr">
        <is>
          <t>Petit Tradicional</t>
        </is>
      </c>
      <c r="E1689" s="34" t="n">
        <v>13900</v>
      </c>
      <c r="F1689" t="inlineStr">
        <is>
          <t>B</t>
        </is>
      </c>
      <c r="G1689" s="34" t="n">
        <v>2219</v>
      </c>
      <c r="H1689" s="34" t="n">
        <v>11681</v>
      </c>
      <c r="I1689" t="inlineStr">
        <is>
          <t>3.2</t>
        </is>
      </c>
      <c r="J1689" t="inlineStr">
        <is>
          <t>Ventas Personas (B2C)</t>
        </is>
      </c>
      <c r="K1689" t="inlineStr">
        <is>
          <t>CH2</t>
        </is>
      </c>
    </row>
    <row r="1690">
      <c r="A1690" s="33" t="n">
        <v>45812</v>
      </c>
      <c r="B1690" t="inlineStr">
        <is>
          <t>2025-06</t>
        </is>
      </c>
      <c r="C1690" t="inlineStr">
        <is>
          <t>Sin cliente</t>
        </is>
      </c>
      <c r="D1690" t="inlineStr">
        <is>
          <t>Petit Crunchy</t>
        </is>
      </c>
      <c r="E1690" s="34" t="n">
        <v>12950</v>
      </c>
      <c r="F1690" t="inlineStr">
        <is>
          <t>B</t>
        </is>
      </c>
      <c r="G1690" s="34" t="n">
        <v>2068</v>
      </c>
      <c r="H1690" s="34" t="n">
        <v>10882</v>
      </c>
      <c r="I1690" t="inlineStr">
        <is>
          <t>3.2</t>
        </is>
      </c>
      <c r="J1690" t="inlineStr">
        <is>
          <t>Ventas Personas (B2C)</t>
        </is>
      </c>
      <c r="K1690" t="inlineStr">
        <is>
          <t>CH2</t>
        </is>
      </c>
    </row>
    <row r="1691">
      <c r="A1691" s="33" t="n">
        <v>45812</v>
      </c>
      <c r="B1691" t="inlineStr">
        <is>
          <t>2025-06</t>
        </is>
      </c>
      <c r="C1691" t="inlineStr">
        <is>
          <t xml:space="preserve">Carolina Cen </t>
        </is>
      </c>
      <c r="D1691" t="inlineStr">
        <is>
          <t>CANELÉ TRADICIONAL</t>
        </is>
      </c>
      <c r="E1691" s="34" t="n">
        <v>16900</v>
      </c>
      <c r="F1691" t="inlineStr">
        <is>
          <t>B</t>
        </is>
      </c>
      <c r="G1691" s="34" t="n">
        <v>2698</v>
      </c>
      <c r="H1691" s="34" t="n">
        <v>14202</v>
      </c>
      <c r="I1691" t="inlineStr">
        <is>
          <t>3.2</t>
        </is>
      </c>
      <c r="J1691" t="inlineStr">
        <is>
          <t>Ventas Personas (B2C)</t>
        </is>
      </c>
      <c r="K1691" t="inlineStr">
        <is>
          <t>CH2</t>
        </is>
      </c>
    </row>
    <row r="1692">
      <c r="A1692" s="33" t="n">
        <v>45812</v>
      </c>
      <c r="B1692" t="inlineStr">
        <is>
          <t>2025-06</t>
        </is>
      </c>
      <c r="C1692" t="inlineStr">
        <is>
          <t>Natalia Leporati rosselot</t>
        </is>
      </c>
      <c r="D1692" t="inlineStr">
        <is>
          <t>Petit Crunchy</t>
        </is>
      </c>
      <c r="E1692" s="34" t="n">
        <v>25710</v>
      </c>
      <c r="F1692" t="inlineStr">
        <is>
          <t>B</t>
        </is>
      </c>
      <c r="G1692" s="34" t="n">
        <v>4105</v>
      </c>
      <c r="H1692" s="34" t="n">
        <v>21605</v>
      </c>
      <c r="I1692" t="inlineStr">
        <is>
          <t>3.2</t>
        </is>
      </c>
      <c r="J1692" t="inlineStr">
        <is>
          <t>Ventas Personas (B2C)</t>
        </is>
      </c>
      <c r="K1692" t="inlineStr">
        <is>
          <t>CH2</t>
        </is>
      </c>
    </row>
    <row r="1693">
      <c r="A1693" s="33" t="n">
        <v>45812</v>
      </c>
      <c r="B1693" t="inlineStr">
        <is>
          <t>2025-06</t>
        </is>
      </c>
      <c r="C1693" t="inlineStr">
        <is>
          <t>Maria pia Cancino</t>
        </is>
      </c>
      <c r="D1693" t="inlineStr">
        <is>
          <t>CANELÉ TRADICIONAL</t>
        </is>
      </c>
      <c r="E1693" s="34" t="n">
        <v>22510</v>
      </c>
      <c r="F1693" t="inlineStr">
        <is>
          <t>B</t>
        </is>
      </c>
      <c r="G1693" s="34" t="n">
        <v>3594</v>
      </c>
      <c r="H1693" s="34" t="n">
        <v>18916</v>
      </c>
      <c r="I1693" t="inlineStr">
        <is>
          <t>3.2</t>
        </is>
      </c>
      <c r="J1693" t="inlineStr">
        <is>
          <t>Ventas Personas (B2C)</t>
        </is>
      </c>
      <c r="K1693" t="inlineStr">
        <is>
          <t>CH2</t>
        </is>
      </c>
    </row>
    <row r="1694">
      <c r="A1694" s="33" t="n">
        <v>45812</v>
      </c>
      <c r="B1694" t="inlineStr">
        <is>
          <t>2025-06</t>
        </is>
      </c>
      <c r="C1694" t="inlineStr">
        <is>
          <t>Ting Ting Lee</t>
        </is>
      </c>
      <c r="D1694" t="inlineStr">
        <is>
          <t>Mix Sabores</t>
        </is>
      </c>
      <c r="E1694" s="34" t="n">
        <v>18240</v>
      </c>
      <c r="F1694" t="inlineStr">
        <is>
          <t>B</t>
        </is>
      </c>
      <c r="G1694" s="34" t="n">
        <v>2912</v>
      </c>
      <c r="H1694" s="34" t="n">
        <v>15328</v>
      </c>
      <c r="I1694" t="inlineStr">
        <is>
          <t>3.2</t>
        </is>
      </c>
      <c r="J1694" t="inlineStr">
        <is>
          <t>Ventas Personas (B2C)</t>
        </is>
      </c>
      <c r="K1694" t="inlineStr">
        <is>
          <t>CH2</t>
        </is>
      </c>
    </row>
    <row r="1695">
      <c r="A1695" s="33" t="n">
        <v>45812</v>
      </c>
      <c r="B1695" t="inlineStr">
        <is>
          <t>2025-06</t>
        </is>
      </c>
      <c r="C1695" t="inlineStr">
        <is>
          <t>Ting Ting Lee</t>
        </is>
      </c>
      <c r="D1695" t="inlineStr">
        <is>
          <t>Petit Crunchy</t>
        </is>
      </c>
      <c r="E1695" s="34" t="n">
        <v>20720</v>
      </c>
      <c r="F1695" t="inlineStr">
        <is>
          <t>B</t>
        </is>
      </c>
      <c r="G1695" s="34" t="n">
        <v>3308</v>
      </c>
      <c r="H1695" s="34" t="n">
        <v>17412</v>
      </c>
      <c r="I1695" t="inlineStr">
        <is>
          <t>3.2</t>
        </is>
      </c>
      <c r="J1695" t="inlineStr">
        <is>
          <t>Ventas Personas (B2C)</t>
        </is>
      </c>
      <c r="K1695" t="inlineStr">
        <is>
          <t>CH2</t>
        </is>
      </c>
    </row>
    <row r="1696">
      <c r="A1696" s="33" t="n">
        <v>45812</v>
      </c>
      <c r="B1696" t="inlineStr">
        <is>
          <t>2025-06</t>
        </is>
      </c>
      <c r="C1696" t="inlineStr">
        <is>
          <t>Diego Leon</t>
        </is>
      </c>
      <c r="D1696" t="inlineStr">
        <is>
          <t>Petit Crunchy</t>
        </is>
      </c>
      <c r="E1696" s="34" t="n">
        <v>25710</v>
      </c>
      <c r="F1696" t="inlineStr">
        <is>
          <t>B</t>
        </is>
      </c>
      <c r="G1696" s="34" t="n">
        <v>4105</v>
      </c>
      <c r="H1696" s="34" t="n">
        <v>21605</v>
      </c>
      <c r="I1696" t="inlineStr">
        <is>
          <t>3.2</t>
        </is>
      </c>
      <c r="J1696" t="inlineStr">
        <is>
          <t>Ventas Personas (B2C)</t>
        </is>
      </c>
      <c r="K1696" t="inlineStr">
        <is>
          <t>CH2</t>
        </is>
      </c>
    </row>
    <row r="1697">
      <c r="A1697" s="33" t="n">
        <v>45812</v>
      </c>
      <c r="B1697" t="inlineStr">
        <is>
          <t>2025-06</t>
        </is>
      </c>
      <c r="C1697" t="inlineStr">
        <is>
          <t>Natalia Pereira</t>
        </is>
      </c>
      <c r="D1697" t="inlineStr">
        <is>
          <t>Petit Crunchy</t>
        </is>
      </c>
      <c r="E1697" s="34" t="n">
        <v>20720</v>
      </c>
      <c r="F1697" t="inlineStr">
        <is>
          <t>B</t>
        </is>
      </c>
      <c r="G1697" s="34" t="n">
        <v>3308</v>
      </c>
      <c r="H1697" s="34" t="n">
        <v>17412</v>
      </c>
      <c r="I1697" t="inlineStr">
        <is>
          <t>3.2</t>
        </is>
      </c>
      <c r="J1697" t="inlineStr">
        <is>
          <t>Ventas Personas (B2C)</t>
        </is>
      </c>
      <c r="K1697" t="inlineStr">
        <is>
          <t>CH2</t>
        </is>
      </c>
    </row>
    <row r="1698">
      <c r="A1698" s="33" t="n">
        <v>45812</v>
      </c>
      <c r="B1698" t="inlineStr">
        <is>
          <t>2025-06</t>
        </is>
      </c>
      <c r="C1698" t="inlineStr">
        <is>
          <t>Andrea guzmán</t>
        </is>
      </c>
      <c r="D1698" t="inlineStr">
        <is>
          <t>Petit Tradicional</t>
        </is>
      </c>
      <c r="E1698" s="34" t="n">
        <v>20710</v>
      </c>
      <c r="F1698" t="inlineStr">
        <is>
          <t>B</t>
        </is>
      </c>
      <c r="G1698" s="34" t="n">
        <v>3307</v>
      </c>
      <c r="H1698" s="34" t="n">
        <v>17403</v>
      </c>
      <c r="I1698" t="inlineStr">
        <is>
          <t>3.2</t>
        </is>
      </c>
      <c r="J1698" t="inlineStr">
        <is>
          <t>Ventas Personas (B2C)</t>
        </is>
      </c>
      <c r="K1698" t="inlineStr">
        <is>
          <t>CH2</t>
        </is>
      </c>
    </row>
    <row r="1699">
      <c r="A1699" s="33" t="n">
        <v>45812</v>
      </c>
      <c r="B1699" t="inlineStr">
        <is>
          <t>2025-06</t>
        </is>
      </c>
      <c r="C1699" t="inlineStr">
        <is>
          <t>LORENA MCLEOD</t>
        </is>
      </c>
      <c r="D1699" t="inlineStr">
        <is>
          <t>CANELÉ TRADICIONAL</t>
        </is>
      </c>
      <c r="E1699" s="34" t="n">
        <v>17520</v>
      </c>
      <c r="F1699" t="inlineStr">
        <is>
          <t>B</t>
        </is>
      </c>
      <c r="G1699" s="34" t="n">
        <v>2797</v>
      </c>
      <c r="H1699" s="34" t="n">
        <v>14723</v>
      </c>
      <c r="I1699" t="inlineStr">
        <is>
          <t>3.2</t>
        </is>
      </c>
      <c r="J1699" t="inlineStr">
        <is>
          <t>Ventas Personas (B2C)</t>
        </is>
      </c>
      <c r="K1699" t="inlineStr">
        <is>
          <t>CH2</t>
        </is>
      </c>
    </row>
    <row r="1700">
      <c r="A1700" s="33" t="n">
        <v>45812</v>
      </c>
      <c r="B1700" t="inlineStr">
        <is>
          <t>2025-06</t>
        </is>
      </c>
      <c r="C1700" t="inlineStr">
        <is>
          <t>Montserrat Calvo</t>
        </is>
      </c>
      <c r="D1700" t="inlineStr">
        <is>
          <t>Petit Crunchy</t>
        </is>
      </c>
      <c r="E1700" s="34" t="n">
        <v>34900</v>
      </c>
      <c r="F1700" t="inlineStr">
        <is>
          <t>B</t>
        </is>
      </c>
      <c r="G1700" s="34" t="n">
        <v>5572</v>
      </c>
      <c r="H1700" s="34" t="n">
        <v>29328</v>
      </c>
      <c r="I1700" t="inlineStr">
        <is>
          <t>3.2</t>
        </is>
      </c>
      <c r="J1700" t="inlineStr">
        <is>
          <t>Ventas Personas (B2C)</t>
        </is>
      </c>
      <c r="K1700" t="inlineStr">
        <is>
          <t>CH2</t>
        </is>
      </c>
    </row>
    <row r="1701">
      <c r="A1701" s="33" t="n">
        <v>45812</v>
      </c>
      <c r="B1701" t="inlineStr">
        <is>
          <t>2025-06</t>
        </is>
      </c>
      <c r="C1701" t="inlineStr">
        <is>
          <t>Paola  Madriaga</t>
        </is>
      </c>
      <c r="D1701" t="inlineStr">
        <is>
          <t>CANELÉ TRADICIONAL</t>
        </is>
      </c>
      <c r="E1701" s="34" t="n">
        <v>5500</v>
      </c>
      <c r="F1701" t="inlineStr">
        <is>
          <t>B</t>
        </is>
      </c>
      <c r="G1701" s="34" t="n">
        <v>878</v>
      </c>
      <c r="H1701" s="34" t="n">
        <v>4622</v>
      </c>
      <c r="I1701" t="inlineStr">
        <is>
          <t>3.2</t>
        </is>
      </c>
      <c r="J1701" t="inlineStr">
        <is>
          <t>Ventas Personas (B2C)</t>
        </is>
      </c>
      <c r="K1701" t="inlineStr">
        <is>
          <t>CH2</t>
        </is>
      </c>
    </row>
    <row r="1702">
      <c r="A1702" s="33" t="n">
        <v>45812</v>
      </c>
      <c r="B1702" t="inlineStr">
        <is>
          <t>2025-06</t>
        </is>
      </c>
      <c r="C1702" t="inlineStr">
        <is>
          <t>LUIS DELPIANO</t>
        </is>
      </c>
      <c r="D1702" t="inlineStr">
        <is>
          <t>Mix Sabores</t>
        </is>
      </c>
      <c r="E1702" s="34" t="n">
        <v>23230</v>
      </c>
      <c r="F1702" t="inlineStr">
        <is>
          <t>B</t>
        </is>
      </c>
      <c r="G1702" s="34" t="n">
        <v>3709</v>
      </c>
      <c r="H1702" s="34" t="n">
        <v>19521</v>
      </c>
      <c r="I1702" t="inlineStr">
        <is>
          <t>3.2</t>
        </is>
      </c>
      <c r="J1702" t="inlineStr">
        <is>
          <t>Ventas Personas (B2C)</t>
        </is>
      </c>
      <c r="K1702" t="inlineStr">
        <is>
          <t>CH2</t>
        </is>
      </c>
    </row>
    <row r="1703">
      <c r="A1703" s="33" t="n">
        <v>45812</v>
      </c>
      <c r="B1703" t="inlineStr">
        <is>
          <t>2025-06</t>
        </is>
      </c>
      <c r="C1703" t="inlineStr">
        <is>
          <t>Javiera Sanchez Tellez</t>
        </is>
      </c>
      <c r="D1703" t="inlineStr">
        <is>
          <t>CANELÉ TRADICIONAL</t>
        </is>
      </c>
      <c r="E1703" s="34" t="n">
        <v>21889</v>
      </c>
      <c r="F1703" t="inlineStr">
        <is>
          <t>B</t>
        </is>
      </c>
      <c r="G1703" s="34" t="n">
        <v>3495</v>
      </c>
      <c r="H1703" s="34" t="n">
        <v>18394</v>
      </c>
      <c r="I1703" t="inlineStr">
        <is>
          <t>3.2</t>
        </is>
      </c>
      <c r="J1703" t="inlineStr">
        <is>
          <t>Ventas Personas (B2C)</t>
        </is>
      </c>
      <c r="K1703" t="inlineStr">
        <is>
          <t>CH2</t>
        </is>
      </c>
    </row>
    <row r="1704">
      <c r="A1704" s="33" t="n">
        <v>45812</v>
      </c>
      <c r="B1704" t="inlineStr">
        <is>
          <t>2025-06</t>
        </is>
      </c>
      <c r="C1704" t="inlineStr">
        <is>
          <t>Mónica Pérez Novoa</t>
        </is>
      </c>
      <c r="D1704" t="inlineStr">
        <is>
          <t>CANELÉ TRADICIONAL</t>
        </is>
      </c>
      <c r="E1704" s="34" t="n">
        <v>39029</v>
      </c>
      <c r="F1704" t="inlineStr">
        <is>
          <t>B</t>
        </is>
      </c>
      <c r="G1704" s="34" t="n">
        <v>6232</v>
      </c>
      <c r="H1704" s="34" t="n">
        <v>32797</v>
      </c>
      <c r="I1704" t="inlineStr">
        <is>
          <t>3.2</t>
        </is>
      </c>
      <c r="J1704" t="inlineStr">
        <is>
          <t>Ventas Personas (B2C)</t>
        </is>
      </c>
      <c r="K1704" t="inlineStr">
        <is>
          <t>CH2</t>
        </is>
      </c>
    </row>
    <row r="1705">
      <c r="A1705" s="33" t="n">
        <v>45812</v>
      </c>
      <c r="B1705" t="inlineStr">
        <is>
          <t>2025-06</t>
        </is>
      </c>
      <c r="C1705" t="inlineStr">
        <is>
          <t>Sebastian Jimenez</t>
        </is>
      </c>
      <c r="D1705" t="inlineStr">
        <is>
          <t>CANELÉ TRADICIONAL</t>
        </is>
      </c>
      <c r="E1705" s="34" t="n">
        <v>21510</v>
      </c>
      <c r="F1705" t="inlineStr">
        <is>
          <t>B</t>
        </is>
      </c>
      <c r="G1705" s="34" t="n">
        <v>3434</v>
      </c>
      <c r="H1705" s="34" t="n">
        <v>18076</v>
      </c>
      <c r="I1705" t="inlineStr">
        <is>
          <t>3.2</t>
        </is>
      </c>
      <c r="J1705" t="inlineStr">
        <is>
          <t>Ventas Personas (B2C)</t>
        </is>
      </c>
      <c r="K1705" t="inlineStr">
        <is>
          <t>CH2</t>
        </is>
      </c>
    </row>
    <row r="1706">
      <c r="A1706" s="33" t="n">
        <v>45812</v>
      </c>
      <c r="B1706" t="inlineStr">
        <is>
          <t>2025-06</t>
        </is>
      </c>
      <c r="C1706" t="inlineStr">
        <is>
          <t>Álvaro Cárcamo Lobos</t>
        </is>
      </c>
      <c r="D1706" t="inlineStr">
        <is>
          <t>Mix Sabores</t>
        </is>
      </c>
      <c r="E1706" s="34" t="n">
        <v>24230</v>
      </c>
      <c r="F1706" t="inlineStr">
        <is>
          <t>B</t>
        </is>
      </c>
      <c r="G1706" s="34" t="n">
        <v>3869</v>
      </c>
      <c r="H1706" s="34" t="n">
        <v>20361</v>
      </c>
      <c r="I1706" t="inlineStr">
        <is>
          <t>3.2</t>
        </is>
      </c>
      <c r="J1706" t="inlineStr">
        <is>
          <t>Ventas Personas (B2C)</t>
        </is>
      </c>
      <c r="K1706" t="inlineStr">
        <is>
          <t>CH2</t>
        </is>
      </c>
    </row>
    <row r="1707">
      <c r="A1707" s="33" t="n">
        <v>45812</v>
      </c>
      <c r="B1707" t="inlineStr">
        <is>
          <t>2025-06</t>
        </is>
      </c>
      <c r="C1707" t="inlineStr">
        <is>
          <t>Carolina Molina</t>
        </is>
      </c>
      <c r="D1707" t="inlineStr">
        <is>
          <t>Petit Tradicional</t>
        </is>
      </c>
      <c r="E1707" s="34" t="n">
        <v>16720</v>
      </c>
      <c r="F1707" t="inlineStr">
        <is>
          <t>B</t>
        </is>
      </c>
      <c r="G1707" s="34" t="n">
        <v>2670</v>
      </c>
      <c r="H1707" s="34" t="n">
        <v>14050</v>
      </c>
      <c r="I1707" t="inlineStr">
        <is>
          <t>3.2</t>
        </is>
      </c>
      <c r="J1707" t="inlineStr">
        <is>
          <t>Ventas Personas (B2C)</t>
        </is>
      </c>
      <c r="K1707" t="inlineStr">
        <is>
          <t>CH2</t>
        </is>
      </c>
    </row>
    <row r="1708">
      <c r="A1708" s="33" t="n">
        <v>45812</v>
      </c>
      <c r="B1708" t="inlineStr">
        <is>
          <t>2025-06</t>
        </is>
      </c>
      <c r="C1708" t="inlineStr">
        <is>
          <t>PAULA PESSE DELPIANO</t>
        </is>
      </c>
      <c r="D1708" t="inlineStr">
        <is>
          <t>Mix Sabores</t>
        </is>
      </c>
      <c r="E1708" s="34" t="n">
        <v>18240</v>
      </c>
      <c r="F1708" t="inlineStr">
        <is>
          <t>B</t>
        </is>
      </c>
      <c r="G1708" s="34" t="n">
        <v>2912</v>
      </c>
      <c r="H1708" s="34" t="n">
        <v>15328</v>
      </c>
      <c r="I1708" t="inlineStr">
        <is>
          <t>3.2</t>
        </is>
      </c>
      <c r="J1708" t="inlineStr">
        <is>
          <t>Ventas Personas (B2C)</t>
        </is>
      </c>
      <c r="K1708" t="inlineStr">
        <is>
          <t>CH2</t>
        </is>
      </c>
    </row>
    <row r="1709">
      <c r="A1709" s="33" t="n">
        <v>45812</v>
      </c>
      <c r="B1709" t="inlineStr">
        <is>
          <t>2025-06</t>
        </is>
      </c>
      <c r="C1709" t="inlineStr">
        <is>
          <t>Azusa Wada Tamura</t>
        </is>
      </c>
      <c r="D1709" t="inlineStr">
        <is>
          <t>CANELÉ TRADICIONAL</t>
        </is>
      </c>
      <c r="E1709" s="34" t="n">
        <v>39030</v>
      </c>
      <c r="F1709" t="inlineStr">
        <is>
          <t>B</t>
        </is>
      </c>
      <c r="G1709" s="34" t="n">
        <v>6232</v>
      </c>
      <c r="H1709" s="34" t="n">
        <v>32798</v>
      </c>
      <c r="I1709" t="inlineStr">
        <is>
          <t>3.2</t>
        </is>
      </c>
      <c r="J1709" t="inlineStr">
        <is>
          <t>Ventas Personas (B2C)</t>
        </is>
      </c>
      <c r="K1709" t="inlineStr">
        <is>
          <t>CH2</t>
        </is>
      </c>
    </row>
    <row r="1710">
      <c r="A1710" s="33" t="n">
        <v>45812</v>
      </c>
      <c r="B1710" t="inlineStr">
        <is>
          <t>2025-06</t>
        </is>
      </c>
      <c r="C1710" t="inlineStr">
        <is>
          <t>Natalia Troncoso</t>
        </is>
      </c>
      <c r="D1710" t="inlineStr">
        <is>
          <t>CANELÉ TRADICIONAL</t>
        </is>
      </c>
      <c r="E1710" s="34" t="n">
        <v>17520</v>
      </c>
      <c r="F1710" t="inlineStr">
        <is>
          <t>B</t>
        </is>
      </c>
      <c r="G1710" s="34" t="n">
        <v>2797</v>
      </c>
      <c r="H1710" s="34" t="n">
        <v>14723</v>
      </c>
      <c r="I1710" t="inlineStr">
        <is>
          <t>3.2</t>
        </is>
      </c>
      <c r="J1710" t="inlineStr">
        <is>
          <t>Ventas Personas (B2C)</t>
        </is>
      </c>
      <c r="K1710" t="inlineStr">
        <is>
          <t>CH2</t>
        </is>
      </c>
    </row>
    <row r="1711">
      <c r="A1711" s="33" t="n">
        <v>45812</v>
      </c>
      <c r="B1711" t="inlineStr">
        <is>
          <t>2025-06</t>
        </is>
      </c>
      <c r="C1711" t="inlineStr">
        <is>
          <t>Norma Heredia Sepúlveda</t>
        </is>
      </c>
      <c r="D1711" t="inlineStr">
        <is>
          <t>Petit Crunchy</t>
        </is>
      </c>
      <c r="E1711" s="34" t="n">
        <v>17890</v>
      </c>
      <c r="F1711" t="inlineStr">
        <is>
          <t>B</t>
        </is>
      </c>
      <c r="G1711" s="34" t="n">
        <v>2856</v>
      </c>
      <c r="H1711" s="34" t="n">
        <v>15034</v>
      </c>
      <c r="I1711" t="inlineStr">
        <is>
          <t>3.2</t>
        </is>
      </c>
      <c r="J1711" t="inlineStr">
        <is>
          <t>Ventas Personas (B2C)</t>
        </is>
      </c>
      <c r="K1711" t="inlineStr">
        <is>
          <t>CH2</t>
        </is>
      </c>
    </row>
    <row r="1712">
      <c r="A1712" s="33" t="n">
        <v>45812</v>
      </c>
      <c r="B1712" t="inlineStr">
        <is>
          <t>2025-06</t>
        </is>
      </c>
      <c r="C1712" t="inlineStr">
        <is>
          <t>MIGUEL GONZALEZ ARAVENA</t>
        </is>
      </c>
      <c r="D1712" t="inlineStr">
        <is>
          <t>Mix Sabores</t>
        </is>
      </c>
      <c r="E1712" s="34" t="n">
        <v>22230</v>
      </c>
      <c r="F1712" t="inlineStr">
        <is>
          <t>B</t>
        </is>
      </c>
      <c r="G1712" s="34" t="n">
        <v>3549</v>
      </c>
      <c r="H1712" s="34" t="n">
        <v>18681</v>
      </c>
      <c r="I1712" t="inlineStr">
        <is>
          <t>3.2</t>
        </is>
      </c>
      <c r="J1712" t="inlineStr">
        <is>
          <t>Ventas Personas (B2C)</t>
        </is>
      </c>
      <c r="K1712" t="inlineStr">
        <is>
          <t>CH2</t>
        </is>
      </c>
    </row>
    <row r="1713">
      <c r="A1713" s="33" t="n">
        <v>45813</v>
      </c>
      <c r="B1713" t="inlineStr">
        <is>
          <t>2025-06</t>
        </is>
      </c>
      <c r="C1713" t="inlineStr">
        <is>
          <t>PRODUCTORA GALDAMES CORTEZ LIMITADA</t>
        </is>
      </c>
      <c r="D1713" t="inlineStr">
        <is>
          <t>HORECA CATERING</t>
        </is>
      </c>
      <c r="E1713" s="34" t="n">
        <v>59500</v>
      </c>
      <c r="F1713" t="inlineStr">
        <is>
          <t>F</t>
        </is>
      </c>
      <c r="G1713" s="34" t="n">
        <v>9500</v>
      </c>
      <c r="H1713" s="34" t="n">
        <v>50000</v>
      </c>
      <c r="I1713" t="inlineStr">
        <is>
          <t>3.1</t>
        </is>
      </c>
      <c r="J1713" t="inlineStr">
        <is>
          <t>Ventas HoReCa</t>
        </is>
      </c>
      <c r="K1713" t="inlineStr">
        <is>
          <t>CH1</t>
        </is>
      </c>
    </row>
    <row r="1714">
      <c r="A1714" s="33" t="n">
        <v>45813</v>
      </c>
      <c r="B1714" t="inlineStr">
        <is>
          <t>2025-06</t>
        </is>
      </c>
      <c r="C1714" t="inlineStr">
        <is>
          <t>CAFÉ UNDER SPA</t>
        </is>
      </c>
      <c r="D1714" t="inlineStr">
        <is>
          <t>HORECA CAFETERIA</t>
        </is>
      </c>
      <c r="E1714" s="34" t="n">
        <v>63966</v>
      </c>
      <c r="F1714" t="inlineStr">
        <is>
          <t>F</t>
        </is>
      </c>
      <c r="G1714" s="34" t="n">
        <v>10213</v>
      </c>
      <c r="H1714" s="34" t="n">
        <v>53753</v>
      </c>
      <c r="I1714" t="inlineStr">
        <is>
          <t>3.1</t>
        </is>
      </c>
      <c r="J1714" t="inlineStr">
        <is>
          <t>Ventas HoReCa</t>
        </is>
      </c>
      <c r="K1714" t="inlineStr">
        <is>
          <t>CH1</t>
        </is>
      </c>
    </row>
    <row r="1715">
      <c r="A1715" s="33" t="n">
        <v>45813</v>
      </c>
      <c r="B1715" t="inlineStr">
        <is>
          <t>2025-06</t>
        </is>
      </c>
      <c r="C1715" t="inlineStr">
        <is>
          <t>PRODUCTORA DE EVENTOS AGDV SPA</t>
        </is>
      </c>
      <c r="D1715" t="inlineStr">
        <is>
          <t>HORECA CATERING</t>
        </is>
      </c>
      <c r="E1715" s="34" t="n">
        <v>43618</v>
      </c>
      <c r="F1715" t="inlineStr">
        <is>
          <t>F</t>
        </is>
      </c>
      <c r="G1715" s="34" t="n">
        <v>6964</v>
      </c>
      <c r="H1715" s="34" t="n">
        <v>36654</v>
      </c>
      <c r="I1715" t="inlineStr">
        <is>
          <t>3.1</t>
        </is>
      </c>
      <c r="J1715" t="inlineStr">
        <is>
          <t>Ventas HoReCa</t>
        </is>
      </c>
      <c r="K1715" t="inlineStr">
        <is>
          <t>CH1</t>
        </is>
      </c>
    </row>
    <row r="1716">
      <c r="A1716" s="33" t="n">
        <v>45813</v>
      </c>
      <c r="B1716" t="inlineStr">
        <is>
          <t>2025-06</t>
        </is>
      </c>
      <c r="C1716" t="inlineStr">
        <is>
          <t>Paulina Coster</t>
        </is>
      </c>
      <c r="D1716" t="inlineStr">
        <is>
          <t>Petit Crunchy</t>
        </is>
      </c>
      <c r="E1716" s="34" t="n">
        <v>24709</v>
      </c>
      <c r="F1716" t="inlineStr">
        <is>
          <t>B</t>
        </is>
      </c>
      <c r="G1716" s="34" t="n">
        <v>3945</v>
      </c>
      <c r="H1716" s="34" t="n">
        <v>20764</v>
      </c>
      <c r="I1716" t="inlineStr">
        <is>
          <t>3.2</t>
        </is>
      </c>
      <c r="J1716" t="inlineStr">
        <is>
          <t>Ventas Personas (B2C)</t>
        </is>
      </c>
      <c r="K1716" t="inlineStr">
        <is>
          <t>CH2</t>
        </is>
      </c>
    </row>
    <row r="1717">
      <c r="A1717" s="33" t="n">
        <v>45813</v>
      </c>
      <c r="B1717" t="inlineStr">
        <is>
          <t>2025-06</t>
        </is>
      </c>
      <c r="C1717" t="inlineStr">
        <is>
          <t>Daniela  Atenas Figueroa</t>
        </is>
      </c>
      <c r="D1717" t="inlineStr">
        <is>
          <t>Petit Tradicional</t>
        </is>
      </c>
      <c r="E1717" s="34" t="n">
        <v>42790</v>
      </c>
      <c r="F1717" t="inlineStr">
        <is>
          <t>B</t>
        </is>
      </c>
      <c r="G1717" s="34" t="n">
        <v>6832</v>
      </c>
      <c r="H1717" s="34" t="n">
        <v>35958</v>
      </c>
      <c r="I1717" t="inlineStr">
        <is>
          <t>3.2</t>
        </is>
      </c>
      <c r="J1717" t="inlineStr">
        <is>
          <t>Ventas Personas (B2C)</t>
        </is>
      </c>
      <c r="K1717" t="inlineStr">
        <is>
          <t>CH2</t>
        </is>
      </c>
    </row>
    <row r="1718">
      <c r="A1718" s="33" t="n">
        <v>45813</v>
      </c>
      <c r="B1718" t="inlineStr">
        <is>
          <t>2025-06</t>
        </is>
      </c>
      <c r="C1718" t="inlineStr">
        <is>
          <t>PRISCILA OVIEDO</t>
        </is>
      </c>
      <c r="D1718" t="inlineStr">
        <is>
          <t>Petit Crunchy</t>
        </is>
      </c>
      <c r="E1718" s="34" t="n">
        <v>151440</v>
      </c>
      <c r="F1718" t="inlineStr">
        <is>
          <t>B</t>
        </is>
      </c>
      <c r="G1718" s="34" t="n">
        <v>24179</v>
      </c>
      <c r="H1718" s="34" t="n">
        <v>127261</v>
      </c>
      <c r="I1718" t="inlineStr">
        <is>
          <t>3.2</t>
        </is>
      </c>
      <c r="J1718" t="inlineStr">
        <is>
          <t>Ventas Personas (B2C)</t>
        </is>
      </c>
      <c r="K1718" t="inlineStr">
        <is>
          <t>CH2</t>
        </is>
      </c>
    </row>
    <row r="1719">
      <c r="A1719" s="33" t="n">
        <v>45813</v>
      </c>
      <c r="B1719" t="inlineStr">
        <is>
          <t>2025-06</t>
        </is>
      </c>
      <c r="C1719" t="inlineStr">
        <is>
          <t>Okinawa Spa</t>
        </is>
      </c>
      <c r="D1719" t="inlineStr">
        <is>
          <t>HORECA CAFETERIA</t>
        </is>
      </c>
      <c r="E1719" s="34" t="n">
        <v>149726</v>
      </c>
      <c r="F1719" t="inlineStr">
        <is>
          <t>F</t>
        </is>
      </c>
      <c r="G1719" s="34" t="n">
        <v>23906</v>
      </c>
      <c r="H1719" s="34" t="n">
        <v>125820</v>
      </c>
      <c r="I1719" t="inlineStr">
        <is>
          <t>3.1</t>
        </is>
      </c>
      <c r="J1719" t="inlineStr">
        <is>
          <t>Ventas HoReCa</t>
        </is>
      </c>
      <c r="K1719" t="inlineStr">
        <is>
          <t>CH1</t>
        </is>
      </c>
    </row>
    <row r="1720">
      <c r="A1720" s="33" t="n">
        <v>45813</v>
      </c>
      <c r="B1720" t="inlineStr">
        <is>
          <t>2025-06</t>
        </is>
      </c>
      <c r="C1720" t="inlineStr">
        <is>
          <t>Sin cliente</t>
        </is>
      </c>
      <c r="D1720" t="inlineStr">
        <is>
          <t>PLATAFORMAS RAP-PEYA-UBER-GOOD</t>
        </is>
      </c>
      <c r="E1720" s="34" t="n">
        <v>17880</v>
      </c>
      <c r="F1720" t="inlineStr">
        <is>
          <t>B</t>
        </is>
      </c>
      <c r="G1720" s="34" t="n">
        <v>2855</v>
      </c>
      <c r="H1720" s="34" t="n">
        <v>15025</v>
      </c>
      <c r="I1720" t="inlineStr">
        <is>
          <t>3.6</t>
        </is>
      </c>
      <c r="J1720" t="inlineStr">
        <is>
          <t>Ventas Delivery Apps</t>
        </is>
      </c>
      <c r="K1720" t="inlineStr">
        <is>
          <t>CH3</t>
        </is>
      </c>
    </row>
    <row r="1721">
      <c r="A1721" s="33" t="n">
        <v>45813</v>
      </c>
      <c r="B1721" t="inlineStr">
        <is>
          <t>2025-06</t>
        </is>
      </c>
      <c r="C1721" t="inlineStr">
        <is>
          <t>Vicente Bustos</t>
        </is>
      </c>
      <c r="D1721" t="inlineStr">
        <is>
          <t>HORECA CAFETERIA</t>
        </is>
      </c>
      <c r="E1721" s="34" t="n">
        <v>139936</v>
      </c>
      <c r="F1721" t="inlineStr">
        <is>
          <t>B</t>
        </is>
      </c>
      <c r="G1721" s="34" t="n">
        <v>22343</v>
      </c>
      <c r="H1721" s="34" t="n">
        <v>117593</v>
      </c>
      <c r="I1721" t="inlineStr">
        <is>
          <t>3.1</t>
        </is>
      </c>
      <c r="J1721" t="inlineStr">
        <is>
          <t>Ventas HoReCa</t>
        </is>
      </c>
      <c r="K1721" t="inlineStr">
        <is>
          <t>CH1</t>
        </is>
      </c>
    </row>
    <row r="1722">
      <c r="A1722" s="33" t="n">
        <v>45813</v>
      </c>
      <c r="B1722" t="inlineStr">
        <is>
          <t>2025-06</t>
        </is>
      </c>
      <c r="C1722" t="inlineStr">
        <is>
          <t>Sin cliente</t>
        </is>
      </c>
      <c r="D1722" t="inlineStr">
        <is>
          <t>PLATAFORMAS RAP-PEYA-UBER-GOOD</t>
        </is>
      </c>
      <c r="E1722" s="34" t="n">
        <v>26280</v>
      </c>
      <c r="F1722" t="inlineStr">
        <is>
          <t>B</t>
        </is>
      </c>
      <c r="G1722" s="34" t="n">
        <v>4196</v>
      </c>
      <c r="H1722" s="34" t="n">
        <v>22084</v>
      </c>
      <c r="I1722" t="inlineStr">
        <is>
          <t>3.6</t>
        </is>
      </c>
      <c r="J1722" t="inlineStr">
        <is>
          <t>Ventas Delivery Apps</t>
        </is>
      </c>
      <c r="K1722" t="inlineStr">
        <is>
          <t>CH3</t>
        </is>
      </c>
    </row>
    <row r="1723">
      <c r="A1723" s="33" t="n">
        <v>45813</v>
      </c>
      <c r="B1723" t="inlineStr">
        <is>
          <t>2025-06</t>
        </is>
      </c>
      <c r="C1723" t="inlineStr">
        <is>
          <t>Karin Keim Moreira</t>
        </is>
      </c>
      <c r="D1723" t="inlineStr">
        <is>
          <t>CANELÉ TRADICIONAL</t>
        </is>
      </c>
      <c r="E1723" s="34" t="n">
        <v>23112</v>
      </c>
      <c r="F1723" t="inlineStr">
        <is>
          <t>B</t>
        </is>
      </c>
      <c r="G1723" s="34" t="n">
        <v>3690</v>
      </c>
      <c r="H1723" s="34" t="n">
        <v>19422</v>
      </c>
      <c r="I1723" t="inlineStr">
        <is>
          <t>3.2</t>
        </is>
      </c>
      <c r="J1723" t="inlineStr">
        <is>
          <t>Ventas Personas (B2C)</t>
        </is>
      </c>
      <c r="K1723" t="inlineStr">
        <is>
          <t>CH2</t>
        </is>
      </c>
    </row>
    <row r="1724">
      <c r="A1724" s="33" t="n">
        <v>45813</v>
      </c>
      <c r="B1724" t="inlineStr">
        <is>
          <t>2025-06</t>
        </is>
      </c>
      <c r="C1724" t="inlineStr">
        <is>
          <t>Margarita Bascuñán</t>
        </is>
      </c>
      <c r="D1724" t="inlineStr">
        <is>
          <t>Petit Tradicional</t>
        </is>
      </c>
      <c r="E1724" s="34" t="n">
        <v>24890</v>
      </c>
      <c r="F1724" t="inlineStr">
        <is>
          <t>B</t>
        </is>
      </c>
      <c r="G1724" s="34" t="n">
        <v>3974</v>
      </c>
      <c r="H1724" s="34" t="n">
        <v>20916</v>
      </c>
      <c r="I1724" t="inlineStr">
        <is>
          <t>3.2</t>
        </is>
      </c>
      <c r="J1724" t="inlineStr">
        <is>
          <t>Ventas Personas (B2C)</t>
        </is>
      </c>
      <c r="K1724" t="inlineStr">
        <is>
          <t>CH2</t>
        </is>
      </c>
    </row>
    <row r="1725">
      <c r="A1725" s="33" t="n">
        <v>45814</v>
      </c>
      <c r="B1725" t="inlineStr">
        <is>
          <t>2025-06</t>
        </is>
      </c>
      <c r="C1725" t="inlineStr">
        <is>
          <t>POMPON SPA</t>
        </is>
      </c>
      <c r="D1725" t="inlineStr">
        <is>
          <t>HORECA CAFETERIA</t>
        </is>
      </c>
      <c r="E1725" s="34" t="n">
        <v>262990</v>
      </c>
      <c r="F1725" t="inlineStr">
        <is>
          <t>F</t>
        </is>
      </c>
      <c r="G1725" s="34" t="n">
        <v>41990</v>
      </c>
      <c r="H1725" s="34" t="n">
        <v>221000</v>
      </c>
      <c r="I1725" t="inlineStr">
        <is>
          <t>3.1</t>
        </is>
      </c>
      <c r="J1725" t="inlineStr">
        <is>
          <t>Ventas HoReCa</t>
        </is>
      </c>
      <c r="K1725" t="inlineStr">
        <is>
          <t>CH1</t>
        </is>
      </c>
    </row>
    <row r="1726">
      <c r="A1726" s="33" t="n">
        <v>45814</v>
      </c>
      <c r="B1726" t="inlineStr">
        <is>
          <t>2025-06</t>
        </is>
      </c>
      <c r="C1726" t="inlineStr">
        <is>
          <t>Better Food Spa</t>
        </is>
      </c>
      <c r="D1726" t="inlineStr">
        <is>
          <t>HORECA CAFETERIA</t>
        </is>
      </c>
      <c r="E1726" s="34" t="n">
        <v>149940</v>
      </c>
      <c r="F1726" t="inlineStr">
        <is>
          <t>F</t>
        </is>
      </c>
      <c r="G1726" s="34" t="n">
        <v>23940</v>
      </c>
      <c r="H1726" s="34" t="n">
        <v>126000</v>
      </c>
      <c r="I1726" t="inlineStr">
        <is>
          <t>3.1</t>
        </is>
      </c>
      <c r="J1726" t="inlineStr">
        <is>
          <t>Ventas HoReCa</t>
        </is>
      </c>
      <c r="K1726" t="inlineStr">
        <is>
          <t>CH1</t>
        </is>
      </c>
    </row>
    <row r="1727">
      <c r="A1727" s="33" t="n">
        <v>45814</v>
      </c>
      <c r="B1727" t="inlineStr">
        <is>
          <t>2025-06</t>
        </is>
      </c>
      <c r="C1727" t="inlineStr">
        <is>
          <t>Inversiones Nagua SPA</t>
        </is>
      </c>
      <c r="D1727" t="inlineStr">
        <is>
          <t>HORECA CAFETERIA</t>
        </is>
      </c>
      <c r="E1727" s="34" t="n">
        <v>63966</v>
      </c>
      <c r="F1727" t="inlineStr">
        <is>
          <t>F</t>
        </is>
      </c>
      <c r="G1727" s="34" t="n">
        <v>10213</v>
      </c>
      <c r="H1727" s="34" t="n">
        <v>53753</v>
      </c>
      <c r="I1727" t="inlineStr">
        <is>
          <t>3.1</t>
        </is>
      </c>
      <c r="J1727" t="inlineStr">
        <is>
          <t>Ventas HoReCa</t>
        </is>
      </c>
      <c r="K1727" t="inlineStr">
        <is>
          <t>CH1</t>
        </is>
      </c>
    </row>
    <row r="1728">
      <c r="A1728" s="33" t="n">
        <v>45814</v>
      </c>
      <c r="B1728" t="inlineStr">
        <is>
          <t>2025-06</t>
        </is>
      </c>
      <c r="C1728" t="inlineStr">
        <is>
          <t>Inversiones Café Dominicos SpA</t>
        </is>
      </c>
      <c r="D1728" t="inlineStr">
        <is>
          <t xml:space="preserve">THE COFFEE STORE </t>
        </is>
      </c>
      <c r="E1728" s="34" t="n">
        <v>36977</v>
      </c>
      <c r="F1728" t="inlineStr">
        <is>
          <t>F</t>
        </is>
      </c>
      <c r="G1728" s="34" t="n">
        <v>5904</v>
      </c>
      <c r="H1728" s="34" t="n">
        <v>31073</v>
      </c>
      <c r="I1728" t="inlineStr">
        <is>
          <t>3.1</t>
        </is>
      </c>
      <c r="J1728" t="inlineStr">
        <is>
          <t>Ventas HoReCa</t>
        </is>
      </c>
      <c r="K1728" t="inlineStr">
        <is>
          <t>CH1</t>
        </is>
      </c>
    </row>
    <row r="1729">
      <c r="A1729" s="33" t="n">
        <v>45814</v>
      </c>
      <c r="B1729" t="inlineStr">
        <is>
          <t>2025-06</t>
        </is>
      </c>
      <c r="C1729" t="inlineStr">
        <is>
          <t>Alejandra Perez</t>
        </is>
      </c>
      <c r="D1729" t="inlineStr">
        <is>
          <t>Petit Tradicional</t>
        </is>
      </c>
      <c r="E1729" s="34" t="n">
        <v>25890</v>
      </c>
      <c r="F1729" t="inlineStr">
        <is>
          <t>B</t>
        </is>
      </c>
      <c r="G1729" s="34" t="n">
        <v>4134</v>
      </c>
      <c r="H1729" s="34" t="n">
        <v>21756</v>
      </c>
      <c r="I1729" t="inlineStr">
        <is>
          <t>3.2</t>
        </is>
      </c>
      <c r="J1729" t="inlineStr">
        <is>
          <t>Ventas Personas (B2C)</t>
        </is>
      </c>
      <c r="K1729" t="inlineStr">
        <is>
          <t>CH2</t>
        </is>
      </c>
    </row>
    <row r="1730">
      <c r="A1730" s="33" t="n">
        <v>45814</v>
      </c>
      <c r="B1730" t="inlineStr">
        <is>
          <t>2025-06</t>
        </is>
      </c>
      <c r="C1730" t="inlineStr">
        <is>
          <t>Benjamin Huenchuñir</t>
        </is>
      </c>
      <c r="D1730" t="inlineStr">
        <is>
          <t>Petit Crunchy</t>
        </is>
      </c>
      <c r="E1730" s="34" t="n">
        <v>16500</v>
      </c>
      <c r="F1730" t="inlineStr">
        <is>
          <t>B</t>
        </is>
      </c>
      <c r="G1730" s="34" t="n">
        <v>2634</v>
      </c>
      <c r="H1730" s="34" t="n">
        <v>13866</v>
      </c>
      <c r="I1730" t="inlineStr">
        <is>
          <t>3.2</t>
        </is>
      </c>
      <c r="J1730" t="inlineStr">
        <is>
          <t>Ventas Personas (B2C)</t>
        </is>
      </c>
      <c r="K1730" t="inlineStr">
        <is>
          <t>CH2</t>
        </is>
      </c>
    </row>
    <row r="1731">
      <c r="A1731" s="33" t="n">
        <v>45814</v>
      </c>
      <c r="B1731" t="inlineStr">
        <is>
          <t>2025-06</t>
        </is>
      </c>
      <c r="C1731" t="inlineStr">
        <is>
          <t>Cristian Olivares</t>
        </is>
      </c>
      <c r="D1731" t="inlineStr">
        <is>
          <t>CANELÉ TRADICIONAL</t>
        </is>
      </c>
      <c r="E1731" s="34" t="n">
        <v>30809</v>
      </c>
      <c r="F1731" t="inlineStr">
        <is>
          <t>B</t>
        </is>
      </c>
      <c r="G1731" s="34" t="n">
        <v>4919</v>
      </c>
      <c r="H1731" s="34" t="n">
        <v>25890</v>
      </c>
      <c r="I1731" t="inlineStr">
        <is>
          <t>3.2</t>
        </is>
      </c>
      <c r="J1731" t="inlineStr">
        <is>
          <t>Ventas Personas (B2C)</t>
        </is>
      </c>
      <c r="K1731" t="inlineStr">
        <is>
          <t>CH2</t>
        </is>
      </c>
    </row>
    <row r="1732">
      <c r="A1732" s="33" t="n">
        <v>45814</v>
      </c>
      <c r="B1732" t="inlineStr">
        <is>
          <t>2025-06</t>
        </is>
      </c>
      <c r="C1732" t="inlineStr">
        <is>
          <t>Sin cliente</t>
        </is>
      </c>
      <c r="D1732" t="inlineStr">
        <is>
          <t>Delicatessen</t>
        </is>
      </c>
      <c r="E1732" s="34" t="n">
        <v>41352</v>
      </c>
      <c r="F1732" t="inlineStr">
        <is>
          <t>B</t>
        </is>
      </c>
      <c r="G1732" s="34" t="n">
        <v>6602</v>
      </c>
      <c r="H1732" s="34" t="n">
        <v>34750</v>
      </c>
      <c r="I1732" t="inlineStr">
        <is>
          <t>3.2</t>
        </is>
      </c>
      <c r="J1732" t="inlineStr">
        <is>
          <t>Ventas Personas (B2C)</t>
        </is>
      </c>
      <c r="K1732" t="inlineStr">
        <is>
          <t>CH2</t>
        </is>
      </c>
    </row>
    <row r="1733">
      <c r="A1733" s="33" t="n">
        <v>45814</v>
      </c>
      <c r="B1733" t="inlineStr">
        <is>
          <t>2025-06</t>
        </is>
      </c>
      <c r="C1733" t="inlineStr">
        <is>
          <t>Sin cliente</t>
        </is>
      </c>
      <c r="D1733" t="inlineStr">
        <is>
          <t>CANELÉ TRADICIONAL</t>
        </is>
      </c>
      <c r="E1733" s="34" t="n">
        <v>14900</v>
      </c>
      <c r="F1733" t="inlineStr">
        <is>
          <t>B</t>
        </is>
      </c>
      <c r="G1733" s="34" t="n">
        <v>2379</v>
      </c>
      <c r="H1733" s="34" t="n">
        <v>12521</v>
      </c>
      <c r="I1733" t="inlineStr">
        <is>
          <t>3.2</t>
        </is>
      </c>
      <c r="J1733" t="inlineStr">
        <is>
          <t>Ventas Personas (B2C)</t>
        </is>
      </c>
      <c r="K1733" t="inlineStr">
        <is>
          <t>CH2</t>
        </is>
      </c>
    </row>
    <row r="1734">
      <c r="A1734" s="33" t="n">
        <v>45814</v>
      </c>
      <c r="B1734" t="inlineStr">
        <is>
          <t>2025-06</t>
        </is>
      </c>
      <c r="C1734" t="inlineStr">
        <is>
          <t>Sin cliente</t>
        </is>
      </c>
      <c r="D1734" t="inlineStr">
        <is>
          <t>CANELÉ TRADICIONAL</t>
        </is>
      </c>
      <c r="E1734" s="34" t="n">
        <v>21900</v>
      </c>
      <c r="F1734" t="inlineStr">
        <is>
          <t>B</t>
        </is>
      </c>
      <c r="G1734" s="34" t="n">
        <v>3497</v>
      </c>
      <c r="H1734" s="34" t="n">
        <v>18403</v>
      </c>
      <c r="I1734" t="inlineStr">
        <is>
          <t>3.2</t>
        </is>
      </c>
      <c r="J1734" t="inlineStr">
        <is>
          <t>Ventas Personas (B2C)</t>
        </is>
      </c>
      <c r="K1734" t="inlineStr">
        <is>
          <t>CH2</t>
        </is>
      </c>
    </row>
    <row r="1735">
      <c r="A1735" s="33" t="n">
        <v>45814</v>
      </c>
      <c r="B1735" t="inlineStr">
        <is>
          <t>2025-06</t>
        </is>
      </c>
      <c r="C1735" t="inlineStr">
        <is>
          <t>Sin cliente</t>
        </is>
      </c>
      <c r="D1735" t="inlineStr">
        <is>
          <t>CANELÉ TRADICIONAL</t>
        </is>
      </c>
      <c r="E1735" s="34" t="n">
        <v>21900</v>
      </c>
      <c r="F1735" t="inlineStr">
        <is>
          <t>B</t>
        </is>
      </c>
      <c r="G1735" s="34" t="n">
        <v>3497</v>
      </c>
      <c r="H1735" s="34" t="n">
        <v>18403</v>
      </c>
      <c r="I1735" t="inlineStr">
        <is>
          <t>3.2</t>
        </is>
      </c>
      <c r="J1735" t="inlineStr">
        <is>
          <t>Ventas Personas (B2C)</t>
        </is>
      </c>
      <c r="K1735" t="inlineStr">
        <is>
          <t>CH2</t>
        </is>
      </c>
    </row>
    <row r="1736">
      <c r="A1736" s="33" t="n">
        <v>45814</v>
      </c>
      <c r="B1736" t="inlineStr">
        <is>
          <t>2025-06</t>
        </is>
      </c>
      <c r="C1736" t="inlineStr">
        <is>
          <t>Josefina González</t>
        </is>
      </c>
      <c r="D1736" t="inlineStr">
        <is>
          <t>Petit Tradicional</t>
        </is>
      </c>
      <c r="E1736" s="34" t="n">
        <v>37690</v>
      </c>
      <c r="F1736" t="inlineStr">
        <is>
          <t>B</t>
        </is>
      </c>
      <c r="G1736" s="34" t="n">
        <v>6018</v>
      </c>
      <c r="H1736" s="34" t="n">
        <v>31672</v>
      </c>
      <c r="I1736" t="inlineStr">
        <is>
          <t>3.2</t>
        </is>
      </c>
      <c r="J1736" t="inlineStr">
        <is>
          <t>Ventas Personas (B2C)</t>
        </is>
      </c>
      <c r="K1736" t="inlineStr">
        <is>
          <t>CH2</t>
        </is>
      </c>
    </row>
    <row r="1737">
      <c r="A1737" s="33" t="n">
        <v>45815</v>
      </c>
      <c r="B1737" t="inlineStr">
        <is>
          <t>2025-06</t>
        </is>
      </c>
      <c r="C1737" t="inlineStr">
        <is>
          <t>Iñigo Lin</t>
        </is>
      </c>
      <c r="D1737" t="inlineStr">
        <is>
          <t>Petit Crunchy</t>
        </is>
      </c>
      <c r="E1737" s="34" t="n">
        <v>29890</v>
      </c>
      <c r="F1737" t="inlineStr">
        <is>
          <t>B</t>
        </is>
      </c>
      <c r="G1737" s="34" t="n">
        <v>4772</v>
      </c>
      <c r="H1737" s="34" t="n">
        <v>25118</v>
      </c>
      <c r="I1737" t="inlineStr">
        <is>
          <t>3.2</t>
        </is>
      </c>
      <c r="J1737" t="inlineStr">
        <is>
          <t>Ventas Personas (B2C)</t>
        </is>
      </c>
      <c r="K1737" t="inlineStr">
        <is>
          <t>CH2</t>
        </is>
      </c>
    </row>
    <row r="1738">
      <c r="A1738" s="33" t="n">
        <v>45815</v>
      </c>
      <c r="B1738" t="inlineStr">
        <is>
          <t>2025-06</t>
        </is>
      </c>
      <c r="C1738" t="inlineStr">
        <is>
          <t>Sin cliente</t>
        </is>
      </c>
      <c r="D1738" t="inlineStr">
        <is>
          <t>CANELÉ TRADICIONAL</t>
        </is>
      </c>
      <c r="E1738" s="34" t="n">
        <v>21900</v>
      </c>
      <c r="F1738" t="inlineStr">
        <is>
          <t>B</t>
        </is>
      </c>
      <c r="G1738" s="34" t="n">
        <v>3497</v>
      </c>
      <c r="H1738" s="34" t="n">
        <v>18403</v>
      </c>
      <c r="I1738" t="inlineStr">
        <is>
          <t>3.2</t>
        </is>
      </c>
      <c r="J1738" t="inlineStr">
        <is>
          <t>Ventas Personas (B2C)</t>
        </is>
      </c>
      <c r="K1738" t="inlineStr">
        <is>
          <t>CH2</t>
        </is>
      </c>
    </row>
    <row r="1739">
      <c r="A1739" s="33" t="n">
        <v>45815</v>
      </c>
      <c r="B1739" t="inlineStr">
        <is>
          <t>2025-06</t>
        </is>
      </c>
      <c r="C1739" t="inlineStr">
        <is>
          <t>Sin cliente</t>
        </is>
      </c>
      <c r="D1739" t="inlineStr">
        <is>
          <t>Petit Tradicional</t>
        </is>
      </c>
      <c r="E1739" s="34" t="n">
        <v>20900</v>
      </c>
      <c r="F1739" t="inlineStr">
        <is>
          <t>B</t>
        </is>
      </c>
      <c r="G1739" s="34" t="n">
        <v>3337</v>
      </c>
      <c r="H1739" s="34" t="n">
        <v>17563</v>
      </c>
      <c r="I1739" t="inlineStr">
        <is>
          <t>3.2</t>
        </is>
      </c>
      <c r="J1739" t="inlineStr">
        <is>
          <t>Ventas Personas (B2C)</t>
        </is>
      </c>
      <c r="K1739" t="inlineStr">
        <is>
          <t>CH2</t>
        </is>
      </c>
    </row>
    <row r="1740">
      <c r="A1740" s="33" t="n">
        <v>45815</v>
      </c>
      <c r="B1740" t="inlineStr">
        <is>
          <t>2025-06</t>
        </is>
      </c>
      <c r="C1740" t="inlineStr">
        <is>
          <t>Sin cliente</t>
        </is>
      </c>
      <c r="D1740" t="inlineStr">
        <is>
          <t>CANELÉ TRADICIONAL</t>
        </is>
      </c>
      <c r="E1740" s="34" t="n">
        <v>26900</v>
      </c>
      <c r="F1740" t="inlineStr">
        <is>
          <t>B</t>
        </is>
      </c>
      <c r="G1740" s="34" t="n">
        <v>4295</v>
      </c>
      <c r="H1740" s="34" t="n">
        <v>22605</v>
      </c>
      <c r="I1740" t="inlineStr">
        <is>
          <t>3.2</t>
        </is>
      </c>
      <c r="J1740" t="inlineStr">
        <is>
          <t>Ventas Personas (B2C)</t>
        </is>
      </c>
      <c r="K1740" t="inlineStr">
        <is>
          <t>CH2</t>
        </is>
      </c>
    </row>
    <row r="1741">
      <c r="A1741" s="33" t="n">
        <v>45815</v>
      </c>
      <c r="B1741" t="inlineStr">
        <is>
          <t>2025-06</t>
        </is>
      </c>
      <c r="C1741" t="inlineStr">
        <is>
          <t>Sin cliente</t>
        </is>
      </c>
      <c r="D1741" t="inlineStr">
        <is>
          <t>Petit Tradicional</t>
        </is>
      </c>
      <c r="E1741" s="34" t="n">
        <v>12900</v>
      </c>
      <c r="F1741" t="inlineStr">
        <is>
          <t>B</t>
        </is>
      </c>
      <c r="G1741" s="34" t="n">
        <v>2060</v>
      </c>
      <c r="H1741" s="34" t="n">
        <v>10840</v>
      </c>
      <c r="I1741" t="inlineStr">
        <is>
          <t>3.2</t>
        </is>
      </c>
      <c r="J1741" t="inlineStr">
        <is>
          <t>Ventas Personas (B2C)</t>
        </is>
      </c>
      <c r="K1741" t="inlineStr">
        <is>
          <t>CH2</t>
        </is>
      </c>
    </row>
    <row r="1742">
      <c r="A1742" s="33" t="n">
        <v>45815</v>
      </c>
      <c r="B1742" t="inlineStr">
        <is>
          <t>2025-06</t>
        </is>
      </c>
      <c r="C1742" t="inlineStr">
        <is>
          <t>Sin cliente</t>
        </is>
      </c>
      <c r="D1742" t="inlineStr">
        <is>
          <t>SALSAS</t>
        </is>
      </c>
      <c r="E1742" s="34" t="n">
        <v>28736</v>
      </c>
      <c r="F1742" t="inlineStr">
        <is>
          <t>B</t>
        </is>
      </c>
      <c r="G1742" s="34" t="n">
        <v>4588</v>
      </c>
      <c r="H1742" s="34" t="n">
        <v>24147</v>
      </c>
      <c r="I1742" t="inlineStr">
        <is>
          <t>3.2</t>
        </is>
      </c>
      <c r="J1742" t="inlineStr">
        <is>
          <t>Ventas Personas (B2C)</t>
        </is>
      </c>
      <c r="K1742" t="inlineStr">
        <is>
          <t>CH2</t>
        </is>
      </c>
    </row>
    <row r="1743">
      <c r="A1743" s="33" t="n">
        <v>45817</v>
      </c>
      <c r="B1743" t="inlineStr">
        <is>
          <t>2025-06</t>
        </is>
      </c>
      <c r="C1743" t="inlineStr">
        <is>
          <t>Sebastian Hurtado carranza</t>
        </is>
      </c>
      <c r="D1743" t="inlineStr">
        <is>
          <t>Rellenos</t>
        </is>
      </c>
      <c r="E1743" s="34" t="n">
        <v>33890</v>
      </c>
      <c r="F1743" t="inlineStr">
        <is>
          <t>B</t>
        </is>
      </c>
      <c r="G1743" s="34" t="n">
        <v>5411</v>
      </c>
      <c r="H1743" s="34" t="n">
        <v>28479</v>
      </c>
      <c r="I1743" t="inlineStr">
        <is>
          <t>3.2</t>
        </is>
      </c>
      <c r="J1743" t="inlineStr">
        <is>
          <t>Ventas Personas (B2C)</t>
        </is>
      </c>
      <c r="K1743" t="inlineStr">
        <is>
          <t>CH2</t>
        </is>
      </c>
    </row>
    <row r="1744">
      <c r="A1744" s="33" t="n">
        <v>45817</v>
      </c>
      <c r="B1744" t="inlineStr">
        <is>
          <t>2025-06</t>
        </is>
      </c>
      <c r="C1744" t="inlineStr">
        <is>
          <t>POMPON SPA</t>
        </is>
      </c>
      <c r="D1744" t="inlineStr">
        <is>
          <t>HORECA CAFETERIA</t>
        </is>
      </c>
      <c r="E1744" s="34" t="n">
        <v>132510</v>
      </c>
      <c r="F1744" t="inlineStr">
        <is>
          <t>F</t>
        </is>
      </c>
      <c r="G1744" s="34" t="n">
        <v>21157</v>
      </c>
      <c r="H1744" s="34" t="n">
        <v>111353</v>
      </c>
      <c r="I1744" t="inlineStr">
        <is>
          <t>3.1</t>
        </is>
      </c>
      <c r="J1744" t="inlineStr">
        <is>
          <t>Ventas HoReCa</t>
        </is>
      </c>
      <c r="K1744" t="inlineStr">
        <is>
          <t>CH1</t>
        </is>
      </c>
    </row>
    <row r="1745">
      <c r="A1745" s="33" t="n">
        <v>45817</v>
      </c>
      <c r="B1745" t="inlineStr">
        <is>
          <t>2025-06</t>
        </is>
      </c>
      <c r="C1745" t="inlineStr">
        <is>
          <t>CAFETERÍA ALTURA LIMITADA</t>
        </is>
      </c>
      <c r="D1745" t="inlineStr">
        <is>
          <t>HORECA CAFETERIA</t>
        </is>
      </c>
      <c r="E1745" s="34" t="n">
        <v>78853</v>
      </c>
      <c r="F1745" t="inlineStr">
        <is>
          <t>F</t>
        </is>
      </c>
      <c r="G1745" s="34" t="n">
        <v>12590</v>
      </c>
      <c r="H1745" s="34" t="n">
        <v>66263</v>
      </c>
      <c r="I1745" t="inlineStr">
        <is>
          <t>3.1</t>
        </is>
      </c>
      <c r="J1745" t="inlineStr">
        <is>
          <t>Ventas HoReCa</t>
        </is>
      </c>
      <c r="K1745" t="inlineStr">
        <is>
          <t>CH1</t>
        </is>
      </c>
    </row>
    <row r="1746">
      <c r="A1746" s="33" t="n">
        <v>45817</v>
      </c>
      <c r="B1746" t="inlineStr">
        <is>
          <t>2025-06</t>
        </is>
      </c>
      <c r="C1746" t="inlineStr">
        <is>
          <t>INVERSIONES Y COMERCIALIZADORA FED LIMITADA</t>
        </is>
      </c>
      <c r="D1746" t="inlineStr">
        <is>
          <t>HORECA CAFETERIA</t>
        </is>
      </c>
      <c r="E1746" s="34" t="n">
        <v>54900</v>
      </c>
      <c r="F1746" t="inlineStr">
        <is>
          <t>F</t>
        </is>
      </c>
      <c r="G1746" s="34" t="n">
        <v>8765</v>
      </c>
      <c r="H1746" s="34" t="n">
        <v>46134</v>
      </c>
      <c r="I1746" t="inlineStr">
        <is>
          <t>3.1</t>
        </is>
      </c>
      <c r="J1746" t="inlineStr">
        <is>
          <t>Ventas HoReCa</t>
        </is>
      </c>
      <c r="K1746" t="inlineStr">
        <is>
          <t>CH1</t>
        </is>
      </c>
    </row>
    <row r="1747">
      <c r="A1747" s="33" t="n">
        <v>45817</v>
      </c>
      <c r="B1747" t="inlineStr">
        <is>
          <t>2025-06</t>
        </is>
      </c>
      <c r="C1747" t="inlineStr">
        <is>
          <t>INVERSIONES Y COMERCIALIZADORA FED LIMITADA</t>
        </is>
      </c>
      <c r="D1747" t="inlineStr">
        <is>
          <t>HORECA CAFETERIA</t>
        </is>
      </c>
      <c r="E1747" s="34" t="n">
        <v>157223</v>
      </c>
      <c r="F1747" t="inlineStr">
        <is>
          <t>F</t>
        </is>
      </c>
      <c r="G1747" s="34" t="n">
        <v>25103</v>
      </c>
      <c r="H1747" s="34" t="n">
        <v>132120</v>
      </c>
      <c r="I1747" t="inlineStr">
        <is>
          <t>3.1</t>
        </is>
      </c>
      <c r="J1747" t="inlineStr">
        <is>
          <t>Ventas HoReCa</t>
        </is>
      </c>
      <c r="K1747" t="inlineStr">
        <is>
          <t>CH1</t>
        </is>
      </c>
    </row>
    <row r="1748">
      <c r="A1748" s="33" t="n">
        <v>45817</v>
      </c>
      <c r="B1748" t="inlineStr">
        <is>
          <t>2025-06</t>
        </is>
      </c>
      <c r="C1748" t="inlineStr">
        <is>
          <t>INVERSIONES Y ASESORIAS RAVAL LIMITADA</t>
        </is>
      </c>
      <c r="D1748" t="inlineStr">
        <is>
          <t>HORECA CAFETERIA</t>
        </is>
      </c>
      <c r="E1748" s="34" t="n">
        <v>67956</v>
      </c>
      <c r="F1748" t="inlineStr">
        <is>
          <t>F</t>
        </is>
      </c>
      <c r="G1748" s="34" t="n">
        <v>10850</v>
      </c>
      <c r="H1748" s="34" t="n">
        <v>57106</v>
      </c>
      <c r="I1748" t="inlineStr">
        <is>
          <t>3.1</t>
        </is>
      </c>
      <c r="J1748" t="inlineStr">
        <is>
          <t>Ventas HoReCa</t>
        </is>
      </c>
      <c r="K1748" t="inlineStr">
        <is>
          <t>CH1</t>
        </is>
      </c>
    </row>
    <row r="1749">
      <c r="A1749" s="33" t="n">
        <v>45817</v>
      </c>
      <c r="B1749" t="inlineStr">
        <is>
          <t>2025-06</t>
        </is>
      </c>
      <c r="C1749" t="inlineStr">
        <is>
          <t>Sin cliente</t>
        </is>
      </c>
      <c r="D1749" t="inlineStr">
        <is>
          <t>Petit Crunchy</t>
        </is>
      </c>
      <c r="E1749" s="34" t="n">
        <v>12950</v>
      </c>
      <c r="F1749" t="inlineStr">
        <is>
          <t>B</t>
        </is>
      </c>
      <c r="G1749" s="34" t="n">
        <v>2068</v>
      </c>
      <c r="H1749" s="34" t="n">
        <v>10882</v>
      </c>
      <c r="I1749" t="inlineStr">
        <is>
          <t>3.2</t>
        </is>
      </c>
      <c r="J1749" t="inlineStr">
        <is>
          <t>Ventas Personas (B2C)</t>
        </is>
      </c>
      <c r="K1749" t="inlineStr">
        <is>
          <t>CH2</t>
        </is>
      </c>
    </row>
    <row r="1750">
      <c r="A1750" s="33" t="n">
        <v>45817</v>
      </c>
      <c r="B1750" t="inlineStr">
        <is>
          <t>2025-06</t>
        </is>
      </c>
      <c r="C1750" t="inlineStr">
        <is>
          <t>Sin cliente</t>
        </is>
      </c>
      <c r="D1750" t="inlineStr">
        <is>
          <t>Petit Tradicional</t>
        </is>
      </c>
      <c r="E1750" s="34" t="n">
        <v>12900</v>
      </c>
      <c r="F1750" t="inlineStr">
        <is>
          <t>B</t>
        </is>
      </c>
      <c r="G1750" s="34" t="n">
        <v>2060</v>
      </c>
      <c r="H1750" s="34" t="n">
        <v>10840</v>
      </c>
      <c r="I1750" t="inlineStr">
        <is>
          <t>3.2</t>
        </is>
      </c>
      <c r="J1750" t="inlineStr">
        <is>
          <t>Ventas Personas (B2C)</t>
        </is>
      </c>
      <c r="K1750" t="inlineStr">
        <is>
          <t>CH2</t>
        </is>
      </c>
    </row>
    <row r="1751">
      <c r="A1751" s="33" t="n">
        <v>45817</v>
      </c>
      <c r="B1751" t="inlineStr">
        <is>
          <t>2025-06</t>
        </is>
      </c>
      <c r="C1751" t="inlineStr">
        <is>
          <t>Tomas Erdmannsdorffer</t>
        </is>
      </c>
      <c r="D1751" t="inlineStr">
        <is>
          <t>Rellenos</t>
        </is>
      </c>
      <c r="E1751" s="34" t="n">
        <v>26889</v>
      </c>
      <c r="F1751" t="inlineStr">
        <is>
          <t>B</t>
        </is>
      </c>
      <c r="G1751" s="34" t="n">
        <v>4293</v>
      </c>
      <c r="H1751" s="34" t="n">
        <v>22596</v>
      </c>
      <c r="I1751" t="inlineStr">
        <is>
          <t>3.2</t>
        </is>
      </c>
      <c r="J1751" t="inlineStr">
        <is>
          <t>Ventas Personas (B2C)</t>
        </is>
      </c>
      <c r="K1751" t="inlineStr">
        <is>
          <t>CH2</t>
        </is>
      </c>
    </row>
    <row r="1752">
      <c r="A1752" s="33" t="n">
        <v>45817</v>
      </c>
      <c r="B1752" t="inlineStr">
        <is>
          <t>2025-06</t>
        </is>
      </c>
      <c r="C1752" t="inlineStr">
        <is>
          <t>NOEMI CANDY CASAS-CORDERO ESPINA</t>
        </is>
      </c>
      <c r="D1752" t="inlineStr">
        <is>
          <t>Petit Tradicional</t>
        </is>
      </c>
      <c r="E1752" s="34" t="n">
        <v>26800</v>
      </c>
      <c r="F1752" t="inlineStr">
        <is>
          <t>B</t>
        </is>
      </c>
      <c r="G1752" s="34" t="n">
        <v>4279</v>
      </c>
      <c r="H1752" s="34" t="n">
        <v>22521</v>
      </c>
      <c r="I1752" t="inlineStr">
        <is>
          <t>3.2</t>
        </is>
      </c>
      <c r="J1752" t="inlineStr">
        <is>
          <t>Ventas Personas (B2C)</t>
        </is>
      </c>
      <c r="K1752" t="inlineStr">
        <is>
          <t>CH2</t>
        </is>
      </c>
    </row>
    <row r="1753">
      <c r="A1753" s="33" t="n">
        <v>45817</v>
      </c>
      <c r="B1753" t="inlineStr">
        <is>
          <t>2025-06</t>
        </is>
      </c>
      <c r="C1753" t="inlineStr">
        <is>
          <t>Sin cliente</t>
        </is>
      </c>
      <c r="D1753" t="inlineStr">
        <is>
          <t>Mix Sabores</t>
        </is>
      </c>
      <c r="E1753" s="34" t="n">
        <v>30600</v>
      </c>
      <c r="F1753" t="inlineStr">
        <is>
          <t>B</t>
        </is>
      </c>
      <c r="G1753" s="34" t="n">
        <v>4886</v>
      </c>
      <c r="H1753" s="34" t="n">
        <v>25714</v>
      </c>
      <c r="I1753" t="inlineStr">
        <is>
          <t>3.2</t>
        </is>
      </c>
      <c r="J1753" t="inlineStr">
        <is>
          <t>Ventas Personas (B2C)</t>
        </is>
      </c>
      <c r="K1753" t="inlineStr">
        <is>
          <t>CH2</t>
        </is>
      </c>
    </row>
    <row r="1754">
      <c r="A1754" s="33" t="n">
        <v>45817</v>
      </c>
      <c r="B1754" t="inlineStr">
        <is>
          <t>2025-06</t>
        </is>
      </c>
      <c r="C1754" t="inlineStr">
        <is>
          <t>Sin cliente</t>
        </is>
      </c>
      <c r="D1754" t="inlineStr">
        <is>
          <t>Mix Sabores</t>
        </is>
      </c>
      <c r="E1754" s="34" t="n">
        <v>15900</v>
      </c>
      <c r="F1754" t="inlineStr">
        <is>
          <t>B</t>
        </is>
      </c>
      <c r="G1754" s="34" t="n">
        <v>2539</v>
      </c>
      <c r="H1754" s="34" t="n">
        <v>13361</v>
      </c>
      <c r="I1754" t="inlineStr">
        <is>
          <t>3.2</t>
        </is>
      </c>
      <c r="J1754" t="inlineStr">
        <is>
          <t>Ventas Personas (B2C)</t>
        </is>
      </c>
      <c r="K1754" t="inlineStr">
        <is>
          <t>CH2</t>
        </is>
      </c>
    </row>
    <row r="1755">
      <c r="A1755" s="33" t="n">
        <v>45818</v>
      </c>
      <c r="B1755" t="inlineStr">
        <is>
          <t>2025-06</t>
        </is>
      </c>
      <c r="C1755" t="inlineStr">
        <is>
          <t>Sin cliente</t>
        </is>
      </c>
      <c r="D1755" t="inlineStr">
        <is>
          <t>PLATAFORMAS RAP-PEYA-UBER-GOOD</t>
        </is>
      </c>
      <c r="E1755" s="34" t="n">
        <v>7740</v>
      </c>
      <c r="F1755" t="inlineStr">
        <is>
          <t>B</t>
        </is>
      </c>
      <c r="G1755" s="34" t="n">
        <v>1236</v>
      </c>
      <c r="H1755" s="34" t="n">
        <v>6504</v>
      </c>
      <c r="I1755" t="inlineStr">
        <is>
          <t>3.6</t>
        </is>
      </c>
      <c r="J1755" t="inlineStr">
        <is>
          <t>Ventas Delivery Apps</t>
        </is>
      </c>
      <c r="K1755" t="inlineStr">
        <is>
          <t>CH3</t>
        </is>
      </c>
    </row>
    <row r="1756">
      <c r="A1756" s="33" t="n">
        <v>45818</v>
      </c>
      <c r="B1756" t="inlineStr">
        <is>
          <t>2025-06</t>
        </is>
      </c>
      <c r="C1756" t="inlineStr">
        <is>
          <t>Clark Veloso Valenzuela</t>
        </is>
      </c>
      <c r="D1756" t="inlineStr">
        <is>
          <t>HORECA CAFETERIA</t>
        </is>
      </c>
      <c r="E1756" s="34" t="n">
        <v>64966</v>
      </c>
      <c r="F1756" t="inlineStr">
        <is>
          <t>F</t>
        </is>
      </c>
      <c r="G1756" s="34" t="n">
        <v>10373</v>
      </c>
      <c r="H1756" s="34" t="n">
        <v>54593</v>
      </c>
      <c r="I1756" t="inlineStr">
        <is>
          <t>3.1</t>
        </is>
      </c>
      <c r="J1756" t="inlineStr">
        <is>
          <t>Ventas HoReCa</t>
        </is>
      </c>
      <c r="K1756" t="inlineStr">
        <is>
          <t>CH1</t>
        </is>
      </c>
    </row>
    <row r="1757">
      <c r="A1757" s="33" t="n">
        <v>45818</v>
      </c>
      <c r="B1757" t="inlineStr">
        <is>
          <t>2025-06</t>
        </is>
      </c>
      <c r="C1757" t="inlineStr">
        <is>
          <t>GOOD LIFE SPA</t>
        </is>
      </c>
      <c r="D1757" t="inlineStr">
        <is>
          <t>HORECA CAFETERIA</t>
        </is>
      </c>
      <c r="E1757" s="34" t="n">
        <v>203514</v>
      </c>
      <c r="F1757" t="inlineStr">
        <is>
          <t>F</t>
        </is>
      </c>
      <c r="G1757" s="34" t="n">
        <v>32494</v>
      </c>
      <c r="H1757" s="34" t="n">
        <v>171020</v>
      </c>
      <c r="I1757" t="inlineStr">
        <is>
          <t>3.1</t>
        </is>
      </c>
      <c r="J1757" t="inlineStr">
        <is>
          <t>Ventas HoReCa</t>
        </is>
      </c>
      <c r="K1757" t="inlineStr">
        <is>
          <t>CH1</t>
        </is>
      </c>
    </row>
    <row r="1758">
      <c r="A1758" s="33" t="n">
        <v>45818</v>
      </c>
      <c r="B1758" t="inlineStr">
        <is>
          <t>2025-06</t>
        </is>
      </c>
      <c r="C1758" t="inlineStr">
        <is>
          <t>Cafeteria de especialidad al paso Michael C. Plaza</t>
        </is>
      </c>
      <c r="D1758" t="inlineStr">
        <is>
          <t>HORECA CAFETERIA</t>
        </is>
      </c>
      <c r="E1758" s="34" t="n">
        <v>68976</v>
      </c>
      <c r="F1758" t="inlineStr">
        <is>
          <t>F</t>
        </is>
      </c>
      <c r="G1758" s="34" t="n">
        <v>11013</v>
      </c>
      <c r="H1758" s="34" t="n">
        <v>57963</v>
      </c>
      <c r="I1758" t="inlineStr">
        <is>
          <t>3.1</t>
        </is>
      </c>
      <c r="J1758" t="inlineStr">
        <is>
          <t>Ventas HoReCa</t>
        </is>
      </c>
      <c r="K1758" t="inlineStr">
        <is>
          <t>CH1</t>
        </is>
      </c>
    </row>
    <row r="1759">
      <c r="A1759" s="33" t="n">
        <v>45818</v>
      </c>
      <c r="B1759" t="inlineStr">
        <is>
          <t>2025-06</t>
        </is>
      </c>
      <c r="C1759" t="inlineStr">
        <is>
          <t>CAFE DIARIO ENCOMENDEROS SPA</t>
        </is>
      </c>
      <c r="D1759" t="inlineStr">
        <is>
          <t>HORECA CAFETERIA</t>
        </is>
      </c>
      <c r="E1759" s="34" t="n">
        <v>82830</v>
      </c>
      <c r="F1759" t="inlineStr">
        <is>
          <t>F</t>
        </is>
      </c>
      <c r="G1759" s="34" t="n">
        <v>13225</v>
      </c>
      <c r="H1759" s="34" t="n">
        <v>69605</v>
      </c>
      <c r="I1759" t="inlineStr">
        <is>
          <t>3.1</t>
        </is>
      </c>
      <c r="J1759" t="inlineStr">
        <is>
          <t>Ventas HoReCa</t>
        </is>
      </c>
      <c r="K1759" t="inlineStr">
        <is>
          <t>CH1</t>
        </is>
      </c>
    </row>
    <row r="1760">
      <c r="A1760" s="33" t="n">
        <v>45818</v>
      </c>
      <c r="B1760" t="inlineStr">
        <is>
          <t>2025-06</t>
        </is>
      </c>
      <c r="C1760" t="inlineStr">
        <is>
          <t>Bernarda Alvarez Miranda</t>
        </is>
      </c>
      <c r="D1760" t="inlineStr">
        <is>
          <t>Mix Sabores</t>
        </is>
      </c>
      <c r="E1760" s="34" t="n">
        <v>21890</v>
      </c>
      <c r="F1760" t="inlineStr">
        <is>
          <t>B</t>
        </is>
      </c>
      <c r="G1760" s="34" t="n">
        <v>3495</v>
      </c>
      <c r="H1760" s="34" t="n">
        <v>18395</v>
      </c>
      <c r="I1760" t="inlineStr">
        <is>
          <t>3.2</t>
        </is>
      </c>
      <c r="J1760" t="inlineStr">
        <is>
          <t>Ventas Personas (B2C)</t>
        </is>
      </c>
      <c r="K1760" t="inlineStr">
        <is>
          <t>CH2</t>
        </is>
      </c>
    </row>
    <row r="1761">
      <c r="A1761" s="33" t="n">
        <v>45818</v>
      </c>
      <c r="B1761" t="inlineStr">
        <is>
          <t>2025-06</t>
        </is>
      </c>
      <c r="C1761" t="inlineStr">
        <is>
          <t>Sin cliente</t>
        </is>
      </c>
      <c r="D1761" t="inlineStr">
        <is>
          <t>PLATAFORMAS RAP-PEYA-UBER-GOOD</t>
        </is>
      </c>
      <c r="E1761" s="34" t="n">
        <v>26280</v>
      </c>
      <c r="F1761" t="inlineStr">
        <is>
          <t>B</t>
        </is>
      </c>
      <c r="G1761" s="34" t="n">
        <v>4196</v>
      </c>
      <c r="H1761" s="34" t="n">
        <v>22084</v>
      </c>
      <c r="I1761" t="inlineStr">
        <is>
          <t>3.6</t>
        </is>
      </c>
      <c r="J1761" t="inlineStr">
        <is>
          <t>Ventas Delivery Apps</t>
        </is>
      </c>
      <c r="K1761" t="inlineStr">
        <is>
          <t>CH3</t>
        </is>
      </c>
    </row>
    <row r="1762">
      <c r="A1762" s="33" t="n">
        <v>45818</v>
      </c>
      <c r="B1762" t="inlineStr">
        <is>
          <t>2025-06</t>
        </is>
      </c>
      <c r="C1762" t="inlineStr">
        <is>
          <t>jorge torres</t>
        </is>
      </c>
      <c r="D1762" t="inlineStr">
        <is>
          <t>Petit Tradicional</t>
        </is>
      </c>
      <c r="E1762" s="34" t="n">
        <v>26790</v>
      </c>
      <c r="F1762" t="inlineStr">
        <is>
          <t>B</t>
        </is>
      </c>
      <c r="G1762" s="34" t="n">
        <v>4277</v>
      </c>
      <c r="H1762" s="34" t="n">
        <v>22513</v>
      </c>
      <c r="I1762" t="inlineStr">
        <is>
          <t>3.2</t>
        </is>
      </c>
      <c r="J1762" t="inlineStr">
        <is>
          <t>Ventas Personas (B2C)</t>
        </is>
      </c>
      <c r="K1762" t="inlineStr">
        <is>
          <t>CH2</t>
        </is>
      </c>
    </row>
    <row r="1763">
      <c r="A1763" s="33" t="n">
        <v>45818</v>
      </c>
      <c r="B1763" t="inlineStr">
        <is>
          <t>2025-06</t>
        </is>
      </c>
      <c r="C1763" t="inlineStr">
        <is>
          <t>Felipe León González</t>
        </is>
      </c>
      <c r="D1763" t="inlineStr">
        <is>
          <t>Petit Crunchy</t>
        </is>
      </c>
      <c r="E1763" s="34" t="n">
        <v>30210</v>
      </c>
      <c r="F1763" t="inlineStr">
        <is>
          <t>B</t>
        </is>
      </c>
      <c r="G1763" s="34" t="n">
        <v>4823</v>
      </c>
      <c r="H1763" s="34" t="n">
        <v>25387</v>
      </c>
      <c r="I1763" t="inlineStr">
        <is>
          <t>3.2</t>
        </is>
      </c>
      <c r="J1763" t="inlineStr">
        <is>
          <t>Ventas Personas (B2C)</t>
        </is>
      </c>
      <c r="K1763" t="inlineStr">
        <is>
          <t>CH2</t>
        </is>
      </c>
    </row>
    <row r="1764">
      <c r="A1764" s="33" t="n">
        <v>45818</v>
      </c>
      <c r="B1764" t="inlineStr">
        <is>
          <t>2025-06</t>
        </is>
      </c>
      <c r="C1764" t="inlineStr">
        <is>
          <t>Daniela Romerl</t>
        </is>
      </c>
      <c r="D1764" t="inlineStr">
        <is>
          <t>CANELÉ TRADICIONAL</t>
        </is>
      </c>
      <c r="E1764" s="34" t="n">
        <v>31800</v>
      </c>
      <c r="F1764" t="inlineStr">
        <is>
          <t>B</t>
        </is>
      </c>
      <c r="G1764" s="34" t="n">
        <v>5077</v>
      </c>
      <c r="H1764" s="34" t="n">
        <v>26723</v>
      </c>
      <c r="I1764" t="inlineStr">
        <is>
          <t>3.2</t>
        </is>
      </c>
      <c r="J1764" t="inlineStr">
        <is>
          <t>Ventas Personas (B2C)</t>
        </is>
      </c>
      <c r="K1764" t="inlineStr">
        <is>
          <t>CH2</t>
        </is>
      </c>
    </row>
    <row r="1765">
      <c r="A1765" s="33" t="n">
        <v>45818</v>
      </c>
      <c r="B1765" t="inlineStr">
        <is>
          <t>2025-06</t>
        </is>
      </c>
      <c r="C1765" t="inlineStr">
        <is>
          <t>Alienor Tordeur</t>
        </is>
      </c>
      <c r="D1765" t="inlineStr">
        <is>
          <t>PACKS GOURMET</t>
        </is>
      </c>
      <c r="E1765" s="34" t="n">
        <v>39976</v>
      </c>
      <c r="F1765" t="inlineStr">
        <is>
          <t>B</t>
        </is>
      </c>
      <c r="G1765" s="34" t="n">
        <v>6383</v>
      </c>
      <c r="H1765" s="34" t="n">
        <v>33593</v>
      </c>
      <c r="I1765" t="inlineStr">
        <is>
          <t>3.2</t>
        </is>
      </c>
      <c r="J1765" t="inlineStr">
        <is>
          <t>Ventas Personas (B2C)</t>
        </is>
      </c>
      <c r="K1765" t="inlineStr">
        <is>
          <t>CH2</t>
        </is>
      </c>
    </row>
    <row r="1766">
      <c r="A1766" s="33" t="n">
        <v>45818</v>
      </c>
      <c r="B1766" t="inlineStr">
        <is>
          <t>2025-06</t>
        </is>
      </c>
      <c r="C1766" t="inlineStr">
        <is>
          <t>Claudia Barros</t>
        </is>
      </c>
      <c r="D1766" t="inlineStr">
        <is>
          <t>Mix Sabores</t>
        </is>
      </c>
      <c r="E1766" s="34" t="n">
        <v>33790</v>
      </c>
      <c r="F1766" t="inlineStr">
        <is>
          <t>B</t>
        </is>
      </c>
      <c r="G1766" s="34" t="n">
        <v>5395</v>
      </c>
      <c r="H1766" s="34" t="n">
        <v>28395</v>
      </c>
      <c r="I1766" t="inlineStr">
        <is>
          <t>3.2</t>
        </is>
      </c>
      <c r="J1766" t="inlineStr">
        <is>
          <t>Ventas Personas (B2C)</t>
        </is>
      </c>
      <c r="K1766" t="inlineStr">
        <is>
          <t>CH2</t>
        </is>
      </c>
    </row>
    <row r="1767">
      <c r="A1767" s="33" t="n">
        <v>45818</v>
      </c>
      <c r="B1767" t="inlineStr">
        <is>
          <t>2025-06</t>
        </is>
      </c>
      <c r="C1767" t="inlineStr">
        <is>
          <t>Loreto Castro</t>
        </is>
      </c>
      <c r="D1767" t="inlineStr">
        <is>
          <t>Petit Tradicional</t>
        </is>
      </c>
      <c r="E1767" s="34" t="n">
        <v>12890</v>
      </c>
      <c r="F1767" t="inlineStr">
        <is>
          <t>B</t>
        </is>
      </c>
      <c r="G1767" s="34" t="n">
        <v>2058</v>
      </c>
      <c r="H1767" s="34" t="n">
        <v>10832</v>
      </c>
      <c r="I1767" t="inlineStr">
        <is>
          <t>3.2</t>
        </is>
      </c>
      <c r="J1767" t="inlineStr">
        <is>
          <t>Ventas Personas (B2C)</t>
        </is>
      </c>
      <c r="K1767" t="inlineStr">
        <is>
          <t>CH2</t>
        </is>
      </c>
    </row>
    <row r="1768">
      <c r="A1768" s="33" t="n">
        <v>45818</v>
      </c>
      <c r="B1768" t="inlineStr">
        <is>
          <t>2025-06</t>
        </is>
      </c>
      <c r="C1768" t="inlineStr">
        <is>
          <t>Sin cliente</t>
        </is>
      </c>
      <c r="D1768" t="inlineStr">
        <is>
          <t>PLATAFORMAS RAP-PEYA-UBER-GOOD</t>
        </is>
      </c>
      <c r="E1768" s="34" t="n">
        <v>7740</v>
      </c>
      <c r="F1768" t="inlineStr">
        <is>
          <t>B</t>
        </is>
      </c>
      <c r="G1768" s="34" t="n">
        <v>1236</v>
      </c>
      <c r="H1768" s="34" t="n">
        <v>6504</v>
      </c>
      <c r="I1768" t="inlineStr">
        <is>
          <t>3.6</t>
        </is>
      </c>
      <c r="J1768" t="inlineStr">
        <is>
          <t>Ventas Delivery Apps</t>
        </is>
      </c>
      <c r="K1768" t="inlineStr">
        <is>
          <t>CH3</t>
        </is>
      </c>
    </row>
    <row r="1769">
      <c r="A1769" s="33" t="n">
        <v>45818</v>
      </c>
      <c r="B1769" t="inlineStr">
        <is>
          <t>2025-06</t>
        </is>
      </c>
      <c r="C1769" t="inlineStr">
        <is>
          <t>Sin cliente</t>
        </is>
      </c>
      <c r="D1769" t="inlineStr">
        <is>
          <t>CANELÉ TRADICIONAL</t>
        </is>
      </c>
      <c r="E1769" s="34" t="n">
        <v>14900</v>
      </c>
      <c r="F1769" t="inlineStr">
        <is>
          <t>B</t>
        </is>
      </c>
      <c r="G1769" s="34" t="n">
        <v>2379</v>
      </c>
      <c r="H1769" s="34" t="n">
        <v>12521</v>
      </c>
      <c r="I1769" t="inlineStr">
        <is>
          <t>3.2</t>
        </is>
      </c>
      <c r="J1769" t="inlineStr">
        <is>
          <t>Ventas Personas (B2C)</t>
        </is>
      </c>
      <c r="K1769" t="inlineStr">
        <is>
          <t>CH2</t>
        </is>
      </c>
    </row>
    <row r="1770">
      <c r="A1770" s="33" t="n">
        <v>45818</v>
      </c>
      <c r="B1770" t="inlineStr">
        <is>
          <t>2025-06</t>
        </is>
      </c>
      <c r="C1770" t="inlineStr">
        <is>
          <t>Sin cliente</t>
        </is>
      </c>
      <c r="D1770" t="inlineStr">
        <is>
          <t>CANELÉ TRADICIONAL</t>
        </is>
      </c>
      <c r="E1770" s="34" t="n">
        <v>16900</v>
      </c>
      <c r="F1770" t="inlineStr">
        <is>
          <t>B</t>
        </is>
      </c>
      <c r="G1770" s="34" t="n">
        <v>2698</v>
      </c>
      <c r="H1770" s="34" t="n">
        <v>14202</v>
      </c>
      <c r="I1770" t="inlineStr">
        <is>
          <t>3.2</t>
        </is>
      </c>
      <c r="J1770" t="inlineStr">
        <is>
          <t>Ventas Personas (B2C)</t>
        </is>
      </c>
      <c r="K1770" t="inlineStr">
        <is>
          <t>CH2</t>
        </is>
      </c>
    </row>
    <row r="1771">
      <c r="A1771" s="33" t="n">
        <v>45818</v>
      </c>
      <c r="B1771" t="inlineStr">
        <is>
          <t>2025-06</t>
        </is>
      </c>
      <c r="C1771" t="inlineStr">
        <is>
          <t>Sin cliente</t>
        </is>
      </c>
      <c r="D1771" t="inlineStr">
        <is>
          <t>Mix Sabores</t>
        </is>
      </c>
      <c r="E1771" s="34" t="n">
        <v>22800</v>
      </c>
      <c r="F1771" t="inlineStr">
        <is>
          <t>B</t>
        </is>
      </c>
      <c r="G1771" s="34" t="n">
        <v>3640</v>
      </c>
      <c r="H1771" s="34" t="n">
        <v>19160</v>
      </c>
      <c r="I1771" t="inlineStr">
        <is>
          <t>3.2</t>
        </is>
      </c>
      <c r="J1771" t="inlineStr">
        <is>
          <t>Ventas Personas (B2C)</t>
        </is>
      </c>
      <c r="K1771" t="inlineStr">
        <is>
          <t>CH2</t>
        </is>
      </c>
    </row>
    <row r="1772">
      <c r="A1772" s="33" t="n">
        <v>45818</v>
      </c>
      <c r="B1772" t="inlineStr">
        <is>
          <t>2025-06</t>
        </is>
      </c>
      <c r="C1772" t="inlineStr">
        <is>
          <t>Sin cliente</t>
        </is>
      </c>
      <c r="D1772" t="inlineStr">
        <is>
          <t>Petit Tradicional</t>
        </is>
      </c>
      <c r="E1772" s="34" t="n">
        <v>8900</v>
      </c>
      <c r="F1772" t="inlineStr">
        <is>
          <t>B</t>
        </is>
      </c>
      <c r="G1772" s="34" t="n">
        <v>1421</v>
      </c>
      <c r="H1772" s="34" t="n">
        <v>7479</v>
      </c>
      <c r="I1772" t="inlineStr">
        <is>
          <t>3.2</t>
        </is>
      </c>
      <c r="J1772" t="inlineStr">
        <is>
          <t>Ventas Personas (B2C)</t>
        </is>
      </c>
      <c r="K1772" t="inlineStr">
        <is>
          <t>CH2</t>
        </is>
      </c>
    </row>
    <row r="1773">
      <c r="A1773" s="33" t="n">
        <v>45819</v>
      </c>
      <c r="B1773" t="inlineStr">
        <is>
          <t>2025-06</t>
        </is>
      </c>
      <c r="C1773" t="inlineStr">
        <is>
          <t>CAFETERIA THE ELEPHANT COFFEE LIMITADA</t>
        </is>
      </c>
      <c r="D1773" t="inlineStr">
        <is>
          <t>HORECA CAFETERIA</t>
        </is>
      </c>
      <c r="E1773" s="34" t="n">
        <v>137865</v>
      </c>
      <c r="F1773" t="inlineStr">
        <is>
          <t>F</t>
        </is>
      </c>
      <c r="G1773" s="34" t="n">
        <v>22012</v>
      </c>
      <c r="H1773" s="34" t="n">
        <v>115853</v>
      </c>
      <c r="I1773" t="inlineStr">
        <is>
          <t>3.1</t>
        </is>
      </c>
      <c r="J1773" t="inlineStr">
        <is>
          <t>Ventas HoReCa</t>
        </is>
      </c>
      <c r="K1773" t="inlineStr">
        <is>
          <t>CH1</t>
        </is>
      </c>
    </row>
    <row r="1774">
      <c r="A1774" s="33" t="n">
        <v>45819</v>
      </c>
      <c r="B1774" t="inlineStr">
        <is>
          <t>2025-06</t>
        </is>
      </c>
      <c r="C1774" t="inlineStr">
        <is>
          <t>Sin cliente</t>
        </is>
      </c>
      <c r="D1774" t="inlineStr">
        <is>
          <t>Petit Tradicional</t>
        </is>
      </c>
      <c r="E1774" s="34" t="n">
        <v>4450</v>
      </c>
      <c r="F1774" t="inlineStr">
        <is>
          <t>B</t>
        </is>
      </c>
      <c r="G1774" s="34" t="n">
        <v>711</v>
      </c>
      <c r="H1774" s="34" t="n">
        <v>3739</v>
      </c>
      <c r="I1774" t="inlineStr">
        <is>
          <t>3.2</t>
        </is>
      </c>
      <c r="J1774" t="inlineStr">
        <is>
          <t>Ventas Personas (B2C)</t>
        </is>
      </c>
      <c r="K1774" t="inlineStr">
        <is>
          <t>CH2</t>
        </is>
      </c>
    </row>
    <row r="1775">
      <c r="A1775" s="33" t="n">
        <v>45819</v>
      </c>
      <c r="B1775" t="inlineStr">
        <is>
          <t>2025-06</t>
        </is>
      </c>
      <c r="C1775" t="inlineStr">
        <is>
          <t>Café del Parque SpA</t>
        </is>
      </c>
      <c r="D1775" t="inlineStr">
        <is>
          <t>HORECA CAFETERIA</t>
        </is>
      </c>
      <c r="E1775" s="34" t="n">
        <v>71106</v>
      </c>
      <c r="F1775" t="inlineStr">
        <is>
          <t>F</t>
        </is>
      </c>
      <c r="G1775" s="34" t="n">
        <v>11353</v>
      </c>
      <c r="H1775" s="34" t="n">
        <v>59753</v>
      </c>
      <c r="I1775" t="inlineStr">
        <is>
          <t>3.1</t>
        </is>
      </c>
      <c r="J1775" t="inlineStr">
        <is>
          <t>Ventas HoReCa</t>
        </is>
      </c>
      <c r="K1775" t="inlineStr">
        <is>
          <t>CH1</t>
        </is>
      </c>
    </row>
    <row r="1776">
      <c r="A1776" s="33" t="n">
        <v>45819</v>
      </c>
      <c r="B1776" t="inlineStr">
        <is>
          <t>2025-06</t>
        </is>
      </c>
      <c r="C1776" t="inlineStr">
        <is>
          <t>Nicole Stefanic</t>
        </is>
      </c>
      <c r="D1776" t="inlineStr">
        <is>
          <t>CANELE SIN AZUCAR</t>
        </is>
      </c>
      <c r="E1776" s="34" t="n">
        <v>28289</v>
      </c>
      <c r="F1776" t="inlineStr">
        <is>
          <t>B</t>
        </is>
      </c>
      <c r="G1776" s="34" t="n">
        <v>4517</v>
      </c>
      <c r="H1776" s="34" t="n">
        <v>23772</v>
      </c>
      <c r="I1776" t="inlineStr">
        <is>
          <t>3.2</t>
        </is>
      </c>
      <c r="J1776" t="inlineStr">
        <is>
          <t>Ventas Personas (B2C)</t>
        </is>
      </c>
      <c r="K1776" t="inlineStr">
        <is>
          <t>CH2</t>
        </is>
      </c>
    </row>
    <row r="1777">
      <c r="A1777" s="33" t="n">
        <v>45819</v>
      </c>
      <c r="B1777" t="inlineStr">
        <is>
          <t>2025-06</t>
        </is>
      </c>
      <c r="C1777" t="inlineStr">
        <is>
          <t>Belen Covarrubias</t>
        </is>
      </c>
      <c r="D1777" t="inlineStr">
        <is>
          <t>SALSAS</t>
        </is>
      </c>
      <c r="E1777" s="34" t="n">
        <v>60680</v>
      </c>
      <c r="F1777" t="inlineStr">
        <is>
          <t>B</t>
        </is>
      </c>
      <c r="G1777" s="34" t="n">
        <v>9688</v>
      </c>
      <c r="H1777" s="34" t="n">
        <v>50992</v>
      </c>
      <c r="I1777" t="inlineStr">
        <is>
          <t>3.2</t>
        </is>
      </c>
      <c r="J1777" t="inlineStr">
        <is>
          <t>Ventas Personas (B2C)</t>
        </is>
      </c>
      <c r="K1777" t="inlineStr">
        <is>
          <t>CH2</t>
        </is>
      </c>
    </row>
    <row r="1778">
      <c r="A1778" s="33" t="n">
        <v>45819</v>
      </c>
      <c r="B1778" t="inlineStr">
        <is>
          <t>2025-06</t>
        </is>
      </c>
      <c r="C1778" t="inlineStr">
        <is>
          <t>Andrea Iglesias Rodriguez</t>
        </is>
      </c>
      <c r="D1778" t="inlineStr">
        <is>
          <t>Petit Crunchy</t>
        </is>
      </c>
      <c r="E1778" s="34" t="n">
        <v>39890</v>
      </c>
      <c r="F1778" t="inlineStr">
        <is>
          <t>B</t>
        </is>
      </c>
      <c r="G1778" s="34" t="n">
        <v>6369</v>
      </c>
      <c r="H1778" s="34" t="n">
        <v>33521</v>
      </c>
      <c r="I1778" t="inlineStr">
        <is>
          <t>3.2</t>
        </is>
      </c>
      <c r="J1778" t="inlineStr">
        <is>
          <t>Ventas Personas (B2C)</t>
        </is>
      </c>
      <c r="K1778" t="inlineStr">
        <is>
          <t>CH2</t>
        </is>
      </c>
    </row>
    <row r="1779">
      <c r="A1779" s="33" t="n">
        <v>45819</v>
      </c>
      <c r="B1779" t="inlineStr">
        <is>
          <t>2025-06</t>
        </is>
      </c>
      <c r="C1779" t="inlineStr">
        <is>
          <t>Athenea Codjambassis</t>
        </is>
      </c>
      <c r="D1779" t="inlineStr">
        <is>
          <t>Rellenos</t>
        </is>
      </c>
      <c r="E1779" s="34" t="n">
        <v>29900</v>
      </c>
      <c r="F1779" t="inlineStr">
        <is>
          <t>B</t>
        </is>
      </c>
      <c r="G1779" s="34" t="n">
        <v>4774</v>
      </c>
      <c r="H1779" s="34" t="n">
        <v>25126</v>
      </c>
      <c r="I1779" t="inlineStr">
        <is>
          <t>3.2</t>
        </is>
      </c>
      <c r="J1779" t="inlineStr">
        <is>
          <t>Ventas Personas (B2C)</t>
        </is>
      </c>
      <c r="K1779" t="inlineStr">
        <is>
          <t>CH2</t>
        </is>
      </c>
    </row>
    <row r="1780">
      <c r="A1780" s="33" t="n">
        <v>45819</v>
      </c>
      <c r="B1780" t="inlineStr">
        <is>
          <t>2025-06</t>
        </is>
      </c>
      <c r="C1780" t="inlineStr">
        <is>
          <t>Israel Becerra Santander</t>
        </is>
      </c>
      <c r="D1780" t="inlineStr">
        <is>
          <t>CANELÉ TRADICIONAL</t>
        </is>
      </c>
      <c r="E1780" s="34" t="n">
        <v>35790</v>
      </c>
      <c r="F1780" t="inlineStr">
        <is>
          <t>B</t>
        </is>
      </c>
      <c r="G1780" s="34" t="n">
        <v>5714</v>
      </c>
      <c r="H1780" s="34" t="n">
        <v>30076</v>
      </c>
      <c r="I1780" t="inlineStr">
        <is>
          <t>3.2</t>
        </is>
      </c>
      <c r="J1780" t="inlineStr">
        <is>
          <t>Ventas Personas (B2C)</t>
        </is>
      </c>
      <c r="K1780" t="inlineStr">
        <is>
          <t>CH2</t>
        </is>
      </c>
    </row>
    <row r="1781">
      <c r="A1781" s="33" t="n">
        <v>45819</v>
      </c>
      <c r="B1781" t="inlineStr">
        <is>
          <t>2025-06</t>
        </is>
      </c>
      <c r="C1781" t="inlineStr">
        <is>
          <t>Fabiola Delgado Molina</t>
        </is>
      </c>
      <c r="D1781" t="inlineStr">
        <is>
          <t>CANELÉ TRADICIONAL</t>
        </is>
      </c>
      <c r="E1781" s="34" t="n">
        <v>18890</v>
      </c>
      <c r="F1781" t="inlineStr">
        <is>
          <t>B</t>
        </is>
      </c>
      <c r="G1781" s="34" t="n">
        <v>3016</v>
      </c>
      <c r="H1781" s="34" t="n">
        <v>15874</v>
      </c>
      <c r="I1781" t="inlineStr">
        <is>
          <t>3.2</t>
        </is>
      </c>
      <c r="J1781" t="inlineStr">
        <is>
          <t>Ventas Personas (B2C)</t>
        </is>
      </c>
      <c r="K1781" t="inlineStr">
        <is>
          <t>CH2</t>
        </is>
      </c>
    </row>
    <row r="1782">
      <c r="A1782" s="33" t="n">
        <v>45819</v>
      </c>
      <c r="B1782" t="inlineStr">
        <is>
          <t>2025-06</t>
        </is>
      </c>
      <c r="C1782" t="inlineStr">
        <is>
          <t>Eduardo Benedetto</t>
        </is>
      </c>
      <c r="D1782" t="inlineStr">
        <is>
          <t>CANELÉ TRADICIONAL</t>
        </is>
      </c>
      <c r="E1782" s="34" t="n">
        <v>59109</v>
      </c>
      <c r="F1782" t="inlineStr">
        <is>
          <t>B</t>
        </is>
      </c>
      <c r="G1782" s="34" t="n">
        <v>9438</v>
      </c>
      <c r="H1782" s="34" t="n">
        <v>49671</v>
      </c>
      <c r="I1782" t="inlineStr">
        <is>
          <t>3.2</t>
        </is>
      </c>
      <c r="J1782" t="inlineStr">
        <is>
          <t>Ventas Personas (B2C)</t>
        </is>
      </c>
      <c r="K1782" t="inlineStr">
        <is>
          <t>CH2</t>
        </is>
      </c>
    </row>
    <row r="1783">
      <c r="A1783" s="33" t="n">
        <v>45819</v>
      </c>
      <c r="B1783" t="inlineStr">
        <is>
          <t>2025-06</t>
        </is>
      </c>
      <c r="C1783" t="inlineStr">
        <is>
          <t>Sin cliente</t>
        </is>
      </c>
      <c r="D1783" t="inlineStr">
        <is>
          <t>CANELÉ TRADICIONAL</t>
        </is>
      </c>
      <c r="E1783" s="34" t="n">
        <v>21890</v>
      </c>
      <c r="F1783" t="inlineStr">
        <is>
          <t>B</t>
        </is>
      </c>
      <c r="G1783" s="34" t="n">
        <v>3495</v>
      </c>
      <c r="H1783" s="34" t="n">
        <v>18395</v>
      </c>
      <c r="I1783" t="inlineStr">
        <is>
          <t>3.2</t>
        </is>
      </c>
      <c r="J1783" t="inlineStr">
        <is>
          <t>Ventas Personas (B2C)</t>
        </is>
      </c>
      <c r="K1783" t="inlineStr">
        <is>
          <t>CH2</t>
        </is>
      </c>
    </row>
    <row r="1784">
      <c r="A1784" s="33" t="n">
        <v>45819</v>
      </c>
      <c r="B1784" t="inlineStr">
        <is>
          <t>2025-06</t>
        </is>
      </c>
      <c r="C1784" t="inlineStr">
        <is>
          <t>Sin cliente</t>
        </is>
      </c>
      <c r="D1784" t="inlineStr">
        <is>
          <t>PLATAFORMAS RAP-PEYA-UBER-GOOD</t>
        </is>
      </c>
      <c r="E1784" s="34" t="n">
        <v>26280</v>
      </c>
      <c r="F1784" t="inlineStr">
        <is>
          <t>B</t>
        </is>
      </c>
      <c r="G1784" s="34" t="n">
        <v>4196</v>
      </c>
      <c r="H1784" s="34" t="n">
        <v>22084</v>
      </c>
      <c r="I1784" t="inlineStr">
        <is>
          <t>3.6</t>
        </is>
      </c>
      <c r="J1784" t="inlineStr">
        <is>
          <t>Ventas Delivery Apps</t>
        </is>
      </c>
      <c r="K1784" t="inlineStr">
        <is>
          <t>CH3</t>
        </is>
      </c>
    </row>
    <row r="1785">
      <c r="A1785" s="33" t="n">
        <v>45819</v>
      </c>
      <c r="B1785" t="inlineStr">
        <is>
          <t>2025-06</t>
        </is>
      </c>
      <c r="C1785" t="inlineStr">
        <is>
          <t>Sin cliente</t>
        </is>
      </c>
      <c r="D1785" t="inlineStr">
        <is>
          <t>PLATAFORMAS RAP-PEYA-UBER-GOOD</t>
        </is>
      </c>
      <c r="E1785" s="34" t="n">
        <v>15480</v>
      </c>
      <c r="F1785" t="inlineStr">
        <is>
          <t>B</t>
        </is>
      </c>
      <c r="G1785" s="34" t="n">
        <v>2472</v>
      </c>
      <c r="H1785" s="34" t="n">
        <v>13008</v>
      </c>
      <c r="I1785" t="inlineStr">
        <is>
          <t>3.6</t>
        </is>
      </c>
      <c r="J1785" t="inlineStr">
        <is>
          <t>Ventas Delivery Apps</t>
        </is>
      </c>
      <c r="K1785" t="inlineStr">
        <is>
          <t>CH3</t>
        </is>
      </c>
    </row>
    <row r="1786">
      <c r="A1786" s="33" t="n">
        <v>45819</v>
      </c>
      <c r="B1786" t="inlineStr">
        <is>
          <t>2025-06</t>
        </is>
      </c>
      <c r="C1786" t="inlineStr">
        <is>
          <t>Sin cliente</t>
        </is>
      </c>
      <c r="D1786" t="inlineStr">
        <is>
          <t>Petit Tradicional</t>
        </is>
      </c>
      <c r="E1786" s="34" t="n">
        <v>20900</v>
      </c>
      <c r="F1786" t="inlineStr">
        <is>
          <t>B</t>
        </is>
      </c>
      <c r="G1786" s="34" t="n">
        <v>3337</v>
      </c>
      <c r="H1786" s="34" t="n">
        <v>17563</v>
      </c>
      <c r="I1786" t="inlineStr">
        <is>
          <t>3.2</t>
        </is>
      </c>
      <c r="J1786" t="inlineStr">
        <is>
          <t>Ventas Personas (B2C)</t>
        </is>
      </c>
      <c r="K1786" t="inlineStr">
        <is>
          <t>CH2</t>
        </is>
      </c>
    </row>
    <row r="1787">
      <c r="A1787" s="33" t="n">
        <v>45819</v>
      </c>
      <c r="B1787" t="inlineStr">
        <is>
          <t>2025-06</t>
        </is>
      </c>
      <c r="C1787" t="inlineStr">
        <is>
          <t>Gipsy Pizarro Diaz</t>
        </is>
      </c>
      <c r="D1787" t="inlineStr">
        <is>
          <t>SALSAS</t>
        </is>
      </c>
      <c r="E1787" s="34" t="n">
        <v>41780</v>
      </c>
      <c r="F1787" t="inlineStr">
        <is>
          <t>B</t>
        </is>
      </c>
      <c r="G1787" s="34" t="n">
        <v>6671</v>
      </c>
      <c r="H1787" s="34" t="n">
        <v>35109</v>
      </c>
      <c r="I1787" t="inlineStr">
        <is>
          <t>3.2</t>
        </is>
      </c>
      <c r="J1787" t="inlineStr">
        <is>
          <t>Ventas Personas (B2C)</t>
        </is>
      </c>
      <c r="K1787" t="inlineStr">
        <is>
          <t>CH2</t>
        </is>
      </c>
    </row>
    <row r="1788">
      <c r="A1788" s="33" t="n">
        <v>45820</v>
      </c>
      <c r="B1788" t="inlineStr">
        <is>
          <t>2025-06</t>
        </is>
      </c>
      <c r="C1788" t="inlineStr">
        <is>
          <t>CAFÉ UNDER SPA</t>
        </is>
      </c>
      <c r="D1788" t="inlineStr">
        <is>
          <t>HORECA CAFETERIA</t>
        </is>
      </c>
      <c r="E1788" s="34" t="n">
        <v>63966</v>
      </c>
      <c r="F1788" t="inlineStr">
        <is>
          <t>F</t>
        </is>
      </c>
      <c r="G1788" s="34" t="n">
        <v>10213</v>
      </c>
      <c r="H1788" s="34" t="n">
        <v>53753</v>
      </c>
      <c r="I1788" t="inlineStr">
        <is>
          <t>3.1</t>
        </is>
      </c>
      <c r="J1788" t="inlineStr">
        <is>
          <t>Ventas HoReCa</t>
        </is>
      </c>
      <c r="K1788" t="inlineStr">
        <is>
          <t>CH1</t>
        </is>
      </c>
    </row>
    <row r="1789">
      <c r="A1789" s="33" t="n">
        <v>45820</v>
      </c>
      <c r="B1789" t="inlineStr">
        <is>
          <t>2025-06</t>
        </is>
      </c>
      <c r="C1789" t="inlineStr">
        <is>
          <t>Paulina Boado Valdivia</t>
        </is>
      </c>
      <c r="D1789" t="inlineStr">
        <is>
          <t>Delicatessen</t>
        </is>
      </c>
      <c r="E1789" s="34" t="n">
        <v>33120</v>
      </c>
      <c r="F1789" t="inlineStr">
        <is>
          <t>B</t>
        </is>
      </c>
      <c r="G1789" s="34" t="n">
        <v>5288</v>
      </c>
      <c r="H1789" s="34" t="n">
        <v>27832</v>
      </c>
      <c r="I1789" t="inlineStr">
        <is>
          <t>3.2</t>
        </is>
      </c>
      <c r="J1789" t="inlineStr">
        <is>
          <t>Ventas Personas (B2C)</t>
        </is>
      </c>
      <c r="K1789" t="inlineStr">
        <is>
          <t>CH2</t>
        </is>
      </c>
    </row>
    <row r="1790">
      <c r="A1790" s="33" t="n">
        <v>45820</v>
      </c>
      <c r="B1790" t="inlineStr">
        <is>
          <t>2025-06</t>
        </is>
      </c>
      <c r="C1790" t="inlineStr">
        <is>
          <t>Mary Stella Arenas</t>
        </is>
      </c>
      <c r="D1790" t="inlineStr">
        <is>
          <t>Petit Crunchy</t>
        </is>
      </c>
      <c r="E1790" s="34" t="n">
        <v>17890</v>
      </c>
      <c r="F1790" t="inlineStr">
        <is>
          <t>B</t>
        </is>
      </c>
      <c r="G1790" s="34" t="n">
        <v>2856</v>
      </c>
      <c r="H1790" s="34" t="n">
        <v>15034</v>
      </c>
      <c r="I1790" t="inlineStr">
        <is>
          <t>3.2</t>
        </is>
      </c>
      <c r="J1790" t="inlineStr">
        <is>
          <t>Ventas Personas (B2C)</t>
        </is>
      </c>
      <c r="K1790" t="inlineStr">
        <is>
          <t>CH2</t>
        </is>
      </c>
    </row>
    <row r="1791">
      <c r="A1791" s="33" t="n">
        <v>45820</v>
      </c>
      <c r="B1791" t="inlineStr">
        <is>
          <t>2025-06</t>
        </is>
      </c>
      <c r="C1791" t="inlineStr">
        <is>
          <t>Sin cliente</t>
        </is>
      </c>
      <c r="D1791" t="inlineStr">
        <is>
          <t>PLATAFORMAS RAP-PEYA-UBER-GOOD</t>
        </is>
      </c>
      <c r="E1791" s="34" t="n">
        <v>2400</v>
      </c>
      <c r="F1791" t="inlineStr">
        <is>
          <t>B</t>
        </is>
      </c>
      <c r="G1791" s="34" t="n">
        <v>383</v>
      </c>
      <c r="H1791" s="34" t="n">
        <v>2017</v>
      </c>
      <c r="I1791" t="inlineStr">
        <is>
          <t>3.6</t>
        </is>
      </c>
      <c r="J1791" t="inlineStr">
        <is>
          <t>Ventas Delivery Apps</t>
        </is>
      </c>
      <c r="K1791" t="inlineStr">
        <is>
          <t>CH3</t>
        </is>
      </c>
    </row>
    <row r="1792">
      <c r="A1792" s="33" t="n">
        <v>45820</v>
      </c>
      <c r="B1792" t="inlineStr">
        <is>
          <t>2025-06</t>
        </is>
      </c>
      <c r="C1792" t="inlineStr">
        <is>
          <t>Liliana Zabalaga Sánchez</t>
        </is>
      </c>
      <c r="D1792" t="inlineStr">
        <is>
          <t>SALSAS</t>
        </is>
      </c>
      <c r="E1792" s="34" t="n">
        <v>38880</v>
      </c>
      <c r="F1792" t="inlineStr">
        <is>
          <t>B</t>
        </is>
      </c>
      <c r="G1792" s="34" t="n">
        <v>6208</v>
      </c>
      <c r="H1792" s="34" t="n">
        <v>32672</v>
      </c>
      <c r="I1792" t="inlineStr">
        <is>
          <t>3.2</t>
        </is>
      </c>
      <c r="J1792" t="inlineStr">
        <is>
          <t>Ventas Personas (B2C)</t>
        </is>
      </c>
      <c r="K1792" t="inlineStr">
        <is>
          <t>CH2</t>
        </is>
      </c>
    </row>
    <row r="1793">
      <c r="A1793" s="33" t="n">
        <v>45820</v>
      </c>
      <c r="B1793" t="inlineStr">
        <is>
          <t>2025-06</t>
        </is>
      </c>
      <c r="C1793" t="inlineStr">
        <is>
          <t>silvana  perez</t>
        </is>
      </c>
      <c r="D1793" t="inlineStr">
        <is>
          <t>CANELÉ TRADICIONAL</t>
        </is>
      </c>
      <c r="E1793" s="34" t="n">
        <v>21900</v>
      </c>
      <c r="F1793" t="inlineStr">
        <is>
          <t>B</t>
        </is>
      </c>
      <c r="G1793" s="34" t="n">
        <v>3497</v>
      </c>
      <c r="H1793" s="34" t="n">
        <v>18403</v>
      </c>
      <c r="I1793" t="inlineStr">
        <is>
          <t>3.2</t>
        </is>
      </c>
      <c r="J1793" t="inlineStr">
        <is>
          <t>Ventas Personas (B2C)</t>
        </is>
      </c>
      <c r="K1793" t="inlineStr">
        <is>
          <t>CH2</t>
        </is>
      </c>
    </row>
    <row r="1794">
      <c r="A1794" s="33" t="n">
        <v>45820</v>
      </c>
      <c r="B1794" t="inlineStr">
        <is>
          <t>2025-06</t>
        </is>
      </c>
      <c r="C1794" t="inlineStr">
        <is>
          <t>Maria Cristina Sascó</t>
        </is>
      </c>
      <c r="D1794" t="inlineStr">
        <is>
          <t>SALSAS</t>
        </is>
      </c>
      <c r="E1794" s="34" t="n">
        <v>33880</v>
      </c>
      <c r="F1794" t="inlineStr">
        <is>
          <t>B</t>
        </is>
      </c>
      <c r="G1794" s="34" t="n">
        <v>5409</v>
      </c>
      <c r="H1794" s="34" t="n">
        <v>28471</v>
      </c>
      <c r="I1794" t="inlineStr">
        <is>
          <t>3.2</t>
        </is>
      </c>
      <c r="J1794" t="inlineStr">
        <is>
          <t>Ventas Personas (B2C)</t>
        </is>
      </c>
      <c r="K1794" t="inlineStr">
        <is>
          <t>CH2</t>
        </is>
      </c>
    </row>
    <row r="1795">
      <c r="A1795" s="33" t="n">
        <v>45820</v>
      </c>
      <c r="B1795" t="inlineStr">
        <is>
          <t>2025-06</t>
        </is>
      </c>
      <c r="C1795" t="inlineStr">
        <is>
          <t>Florencia Del valle</t>
        </is>
      </c>
      <c r="D1795" t="inlineStr">
        <is>
          <t>Rellenos</t>
        </is>
      </c>
      <c r="E1795" s="34" t="n">
        <v>27890</v>
      </c>
      <c r="F1795" t="inlineStr">
        <is>
          <t>B</t>
        </is>
      </c>
      <c r="G1795" s="34" t="n">
        <v>4453</v>
      </c>
      <c r="H1795" s="34" t="n">
        <v>23437</v>
      </c>
      <c r="I1795" t="inlineStr">
        <is>
          <t>3.2</t>
        </is>
      </c>
      <c r="J1795" t="inlineStr">
        <is>
          <t>Ventas Personas (B2C)</t>
        </is>
      </c>
      <c r="K1795" t="inlineStr">
        <is>
          <t>CH2</t>
        </is>
      </c>
    </row>
    <row r="1796">
      <c r="A1796" s="33" t="n">
        <v>45820</v>
      </c>
      <c r="B1796" t="inlineStr">
        <is>
          <t>2025-06</t>
        </is>
      </c>
      <c r="C1796" t="inlineStr">
        <is>
          <t>Benjamin  Zegers</t>
        </is>
      </c>
      <c r="D1796" t="inlineStr">
        <is>
          <t>CANELÉ TRADICIONAL</t>
        </is>
      </c>
      <c r="E1796" s="34" t="n">
        <v>18900</v>
      </c>
      <c r="F1796" t="inlineStr">
        <is>
          <t>B</t>
        </is>
      </c>
      <c r="G1796" s="34" t="n">
        <v>3018</v>
      </c>
      <c r="H1796" s="34" t="n">
        <v>15882</v>
      </c>
      <c r="I1796" t="inlineStr">
        <is>
          <t>3.2</t>
        </is>
      </c>
      <c r="J1796" t="inlineStr">
        <is>
          <t>Ventas Personas (B2C)</t>
        </is>
      </c>
      <c r="K1796" t="inlineStr">
        <is>
          <t>CH2</t>
        </is>
      </c>
    </row>
    <row r="1797">
      <c r="A1797" s="33" t="n">
        <v>45820</v>
      </c>
      <c r="B1797" t="inlineStr">
        <is>
          <t>2025-06</t>
        </is>
      </c>
      <c r="C1797" t="inlineStr">
        <is>
          <t>Sin cliente</t>
        </is>
      </c>
      <c r="D1797" t="inlineStr">
        <is>
          <t>CANELÉ TRADICIONAL</t>
        </is>
      </c>
      <c r="E1797" s="34" t="n">
        <v>14900</v>
      </c>
      <c r="F1797" t="inlineStr">
        <is>
          <t>B</t>
        </is>
      </c>
      <c r="G1797" s="34" t="n">
        <v>2379</v>
      </c>
      <c r="H1797" s="34" t="n">
        <v>12521</v>
      </c>
      <c r="I1797" t="inlineStr">
        <is>
          <t>3.2</t>
        </is>
      </c>
      <c r="J1797" t="inlineStr">
        <is>
          <t>Ventas Personas (B2C)</t>
        </is>
      </c>
      <c r="K1797" t="inlineStr">
        <is>
          <t>CH2</t>
        </is>
      </c>
    </row>
    <row r="1798">
      <c r="A1798" s="33" t="n">
        <v>45820</v>
      </c>
      <c r="B1798" t="inlineStr">
        <is>
          <t>2025-06</t>
        </is>
      </c>
      <c r="C1798" t="inlineStr">
        <is>
          <t>Daniela Crisóstomo</t>
        </is>
      </c>
      <c r="D1798" t="inlineStr">
        <is>
          <t>CANELÉ TRADICIONAL</t>
        </is>
      </c>
      <c r="E1798" s="34" t="n">
        <v>17889</v>
      </c>
      <c r="F1798" t="inlineStr">
        <is>
          <t>B</t>
        </is>
      </c>
      <c r="G1798" s="34" t="n">
        <v>2856</v>
      </c>
      <c r="H1798" s="34" t="n">
        <v>15033</v>
      </c>
      <c r="I1798" t="inlineStr">
        <is>
          <t>3.2</t>
        </is>
      </c>
      <c r="J1798" t="inlineStr">
        <is>
          <t>Ventas Personas (B2C)</t>
        </is>
      </c>
      <c r="K1798" t="inlineStr">
        <is>
          <t>CH2</t>
        </is>
      </c>
    </row>
    <row r="1799">
      <c r="A1799" s="33" t="n">
        <v>45820</v>
      </c>
      <c r="B1799" t="inlineStr">
        <is>
          <t>2025-06</t>
        </is>
      </c>
      <c r="C1799" t="inlineStr">
        <is>
          <t>Sin cliente</t>
        </is>
      </c>
      <c r="D1799" t="inlineStr">
        <is>
          <t>PLATAFORMAS RAP-PEYA-UBER-GOOD</t>
        </is>
      </c>
      <c r="E1799" s="34" t="n">
        <v>8280</v>
      </c>
      <c r="F1799" t="inlineStr">
        <is>
          <t>B</t>
        </is>
      </c>
      <c r="G1799" s="34" t="n">
        <v>1322</v>
      </c>
      <c r="H1799" s="34" t="n">
        <v>6958</v>
      </c>
      <c r="I1799" t="inlineStr">
        <is>
          <t>3.6</t>
        </is>
      </c>
      <c r="J1799" t="inlineStr">
        <is>
          <t>Ventas Delivery Apps</t>
        </is>
      </c>
      <c r="K1799" t="inlineStr">
        <is>
          <t>CH3</t>
        </is>
      </c>
    </row>
    <row r="1800">
      <c r="A1800" s="33" t="n">
        <v>45820</v>
      </c>
      <c r="B1800" t="inlineStr">
        <is>
          <t>2025-06</t>
        </is>
      </c>
      <c r="C1800" t="inlineStr">
        <is>
          <t>Sin cliente</t>
        </is>
      </c>
      <c r="D1800" t="inlineStr">
        <is>
          <t>CANELÉ TRADICIONAL</t>
        </is>
      </c>
      <c r="E1800" s="34" t="n">
        <v>5000</v>
      </c>
      <c r="F1800" t="inlineStr">
        <is>
          <t>B</t>
        </is>
      </c>
      <c r="G1800" s="34" t="n">
        <v>798</v>
      </c>
      <c r="H1800" s="34" t="n">
        <v>4202</v>
      </c>
      <c r="I1800" t="inlineStr">
        <is>
          <t>3.2</t>
        </is>
      </c>
      <c r="J1800" t="inlineStr">
        <is>
          <t>Ventas Personas (B2C)</t>
        </is>
      </c>
      <c r="K1800" t="inlineStr">
        <is>
          <t>CH2</t>
        </is>
      </c>
    </row>
    <row r="1801">
      <c r="A1801" s="33" t="n">
        <v>45820</v>
      </c>
      <c r="B1801" t="inlineStr">
        <is>
          <t>2025-06</t>
        </is>
      </c>
      <c r="C1801" t="inlineStr">
        <is>
          <t>Paula Valenzuela Sanhueza</t>
        </is>
      </c>
      <c r="D1801" t="inlineStr">
        <is>
          <t>Petit Crunchy</t>
        </is>
      </c>
      <c r="E1801" s="34" t="n">
        <v>16889</v>
      </c>
      <c r="F1801" t="inlineStr">
        <is>
          <t>B</t>
        </is>
      </c>
      <c r="G1801" s="34" t="n">
        <v>2697</v>
      </c>
      <c r="H1801" s="34" t="n">
        <v>14192</v>
      </c>
      <c r="I1801" t="inlineStr">
        <is>
          <t>3.2</t>
        </is>
      </c>
      <c r="J1801" t="inlineStr">
        <is>
          <t>Ventas Personas (B2C)</t>
        </is>
      </c>
      <c r="K1801" t="inlineStr">
        <is>
          <t>CH2</t>
        </is>
      </c>
    </row>
    <row r="1802">
      <c r="A1802" s="33" t="n">
        <v>45820</v>
      </c>
      <c r="B1802" t="inlineStr">
        <is>
          <t>2025-06</t>
        </is>
      </c>
      <c r="C1802" t="inlineStr">
        <is>
          <t>Joaquin Rivano</t>
        </is>
      </c>
      <c r="D1802" t="inlineStr">
        <is>
          <t>Mix Sabores</t>
        </is>
      </c>
      <c r="E1802" s="34" t="n">
        <v>45690</v>
      </c>
      <c r="F1802" t="inlineStr">
        <is>
          <t>B</t>
        </is>
      </c>
      <c r="G1802" s="34" t="n">
        <v>7295</v>
      </c>
      <c r="H1802" s="34" t="n">
        <v>38395</v>
      </c>
      <c r="I1802" t="inlineStr">
        <is>
          <t>3.2</t>
        </is>
      </c>
      <c r="J1802" t="inlineStr">
        <is>
          <t>Ventas Personas (B2C)</t>
        </is>
      </c>
      <c r="K1802" t="inlineStr">
        <is>
          <t>CH2</t>
        </is>
      </c>
    </row>
    <row r="1803">
      <c r="A1803" s="33" t="n">
        <v>45820</v>
      </c>
      <c r="B1803" t="inlineStr">
        <is>
          <t>2025-06</t>
        </is>
      </c>
      <c r="C1803" t="inlineStr">
        <is>
          <t>Sin cliente</t>
        </is>
      </c>
      <c r="D1803" t="inlineStr">
        <is>
          <t>CANELÉ TRADICIONAL</t>
        </is>
      </c>
      <c r="E1803" s="34" t="n">
        <v>19900</v>
      </c>
      <c r="F1803" t="inlineStr">
        <is>
          <t>B</t>
        </is>
      </c>
      <c r="G1803" s="34" t="n">
        <v>3177</v>
      </c>
      <c r="H1803" s="34" t="n">
        <v>16723</v>
      </c>
      <c r="I1803" t="inlineStr">
        <is>
          <t>3.2</t>
        </is>
      </c>
      <c r="J1803" t="inlineStr">
        <is>
          <t>Ventas Personas (B2C)</t>
        </is>
      </c>
      <c r="K1803" t="inlineStr">
        <is>
          <t>CH2</t>
        </is>
      </c>
    </row>
    <row r="1804">
      <c r="A1804" s="33" t="n">
        <v>45820</v>
      </c>
      <c r="B1804" t="inlineStr">
        <is>
          <t>2025-06</t>
        </is>
      </c>
      <c r="C1804" t="inlineStr">
        <is>
          <t>Evelyn Momberg Momberg</t>
        </is>
      </c>
      <c r="D1804" t="inlineStr">
        <is>
          <t>Delicatessen</t>
        </is>
      </c>
      <c r="E1804" s="34" t="n">
        <v>62590</v>
      </c>
      <c r="F1804" t="inlineStr">
        <is>
          <t>B</t>
        </is>
      </c>
      <c r="G1804" s="34" t="n">
        <v>9993</v>
      </c>
      <c r="H1804" s="34" t="n">
        <v>52597</v>
      </c>
      <c r="I1804" t="inlineStr">
        <is>
          <t>3.2</t>
        </is>
      </c>
      <c r="J1804" t="inlineStr">
        <is>
          <t>Ventas Personas (B2C)</t>
        </is>
      </c>
      <c r="K1804" t="inlineStr">
        <is>
          <t>CH2</t>
        </is>
      </c>
    </row>
    <row r="1805">
      <c r="A1805" s="33" t="n">
        <v>45820</v>
      </c>
      <c r="B1805" t="inlineStr">
        <is>
          <t>2025-06</t>
        </is>
      </c>
      <c r="C1805" t="inlineStr">
        <is>
          <t>Ange Issa</t>
        </is>
      </c>
      <c r="D1805" t="inlineStr">
        <is>
          <t>PLATAFORMAS RAP-PEYA-UBER-GOOD</t>
        </is>
      </c>
      <c r="E1805" s="34" t="n">
        <v>15480</v>
      </c>
      <c r="F1805" t="inlineStr">
        <is>
          <t>B</t>
        </is>
      </c>
      <c r="G1805" s="34" t="n">
        <v>2472</v>
      </c>
      <c r="H1805" s="34" t="n">
        <v>13008</v>
      </c>
      <c r="I1805" t="inlineStr">
        <is>
          <t>3.6</t>
        </is>
      </c>
      <c r="J1805" t="inlineStr">
        <is>
          <t>Ventas Delivery Apps</t>
        </is>
      </c>
      <c r="K1805" t="inlineStr">
        <is>
          <t>CH3</t>
        </is>
      </c>
    </row>
    <row r="1806">
      <c r="A1806" s="33" t="n">
        <v>45820</v>
      </c>
      <c r="B1806" t="inlineStr">
        <is>
          <t>2025-06</t>
        </is>
      </c>
      <c r="C1806" t="inlineStr">
        <is>
          <t>Kárel Núñez</t>
        </is>
      </c>
      <c r="D1806" t="inlineStr">
        <is>
          <t>Delicatessen</t>
        </is>
      </c>
      <c r="E1806" s="34" t="n">
        <v>27210</v>
      </c>
      <c r="F1806" t="inlineStr">
        <is>
          <t>B</t>
        </is>
      </c>
      <c r="G1806" s="34" t="n">
        <v>4344</v>
      </c>
      <c r="H1806" s="34" t="n">
        <v>22866</v>
      </c>
      <c r="I1806" t="inlineStr">
        <is>
          <t>3.2</t>
        </is>
      </c>
      <c r="J1806" t="inlineStr">
        <is>
          <t>Ventas Personas (B2C)</t>
        </is>
      </c>
      <c r="K1806" t="inlineStr">
        <is>
          <t>CH2</t>
        </is>
      </c>
    </row>
    <row r="1807">
      <c r="A1807" s="33" t="n">
        <v>45820</v>
      </c>
      <c r="B1807" t="inlineStr">
        <is>
          <t>2025-06</t>
        </is>
      </c>
      <c r="C1807" t="inlineStr">
        <is>
          <t>Daniela Cortes</t>
        </is>
      </c>
      <c r="D1807" t="inlineStr">
        <is>
          <t>Delicatessen</t>
        </is>
      </c>
      <c r="E1807" s="34" t="n">
        <v>14310</v>
      </c>
      <c r="F1807" t="inlineStr">
        <is>
          <t>B</t>
        </is>
      </c>
      <c r="G1807" s="34" t="n">
        <v>2285</v>
      </c>
      <c r="H1807" s="34" t="n">
        <v>12025</v>
      </c>
      <c r="I1807" t="inlineStr">
        <is>
          <t>3.2</t>
        </is>
      </c>
      <c r="J1807" t="inlineStr">
        <is>
          <t>Ventas Personas (B2C)</t>
        </is>
      </c>
      <c r="K1807" t="inlineStr">
        <is>
          <t>CH2</t>
        </is>
      </c>
    </row>
    <row r="1808">
      <c r="A1808" s="33" t="n">
        <v>45821</v>
      </c>
      <c r="B1808" t="inlineStr">
        <is>
          <t>2025-06</t>
        </is>
      </c>
      <c r="C1808" t="inlineStr">
        <is>
          <t>POMPON SPA</t>
        </is>
      </c>
      <c r="D1808" t="inlineStr">
        <is>
          <t>HORECA CAFETERIA</t>
        </is>
      </c>
      <c r="E1808" s="34" t="n">
        <v>134470</v>
      </c>
      <c r="F1808" t="inlineStr">
        <is>
          <t>F</t>
        </is>
      </c>
      <c r="G1808" s="34" t="n">
        <v>21470</v>
      </c>
      <c r="H1808" s="34" t="n">
        <v>113000</v>
      </c>
      <c r="I1808" t="inlineStr">
        <is>
          <t>3.1</t>
        </is>
      </c>
      <c r="J1808" t="inlineStr">
        <is>
          <t>Ventas HoReCa</t>
        </is>
      </c>
      <c r="K1808" t="inlineStr">
        <is>
          <t>CH1</t>
        </is>
      </c>
    </row>
    <row r="1809">
      <c r="A1809" s="33" t="n">
        <v>45821</v>
      </c>
      <c r="B1809" t="inlineStr">
        <is>
          <t>2025-06</t>
        </is>
      </c>
      <c r="C1809" t="inlineStr">
        <is>
          <t>Better Food Spa</t>
        </is>
      </c>
      <c r="D1809" t="inlineStr">
        <is>
          <t>HORECA CAFETERIA</t>
        </is>
      </c>
      <c r="E1809" s="34" t="n">
        <v>419832</v>
      </c>
      <c r="F1809" t="inlineStr">
        <is>
          <t>F</t>
        </is>
      </c>
      <c r="G1809" s="34" t="n">
        <v>67032</v>
      </c>
      <c r="H1809" s="34" t="n">
        <v>352800</v>
      </c>
      <c r="I1809" t="inlineStr">
        <is>
          <t>3.1</t>
        </is>
      </c>
      <c r="J1809" t="inlineStr">
        <is>
          <t>Ventas HoReCa</t>
        </is>
      </c>
      <c r="K1809" t="inlineStr">
        <is>
          <t>CH1</t>
        </is>
      </c>
    </row>
    <row r="1810">
      <c r="A1810" s="33" t="n">
        <v>45821</v>
      </c>
      <c r="B1810" t="inlineStr">
        <is>
          <t>2025-06</t>
        </is>
      </c>
      <c r="C1810" t="inlineStr">
        <is>
          <t>PRODUCTORA GALDAMES CORTEZ LIMITADA</t>
        </is>
      </c>
      <c r="D1810" t="inlineStr">
        <is>
          <t>HORECA CATERING</t>
        </is>
      </c>
      <c r="E1810" s="34" t="n">
        <v>119000</v>
      </c>
      <c r="F1810" t="inlineStr">
        <is>
          <t>F</t>
        </is>
      </c>
      <c r="G1810" s="34" t="n">
        <v>19000</v>
      </c>
      <c r="H1810" s="34" t="n">
        <v>100000</v>
      </c>
      <c r="I1810" t="inlineStr">
        <is>
          <t>3.1</t>
        </is>
      </c>
      <c r="J1810" t="inlineStr">
        <is>
          <t>Ventas HoReCa</t>
        </is>
      </c>
      <c r="K1810" t="inlineStr">
        <is>
          <t>CH1</t>
        </is>
      </c>
    </row>
    <row r="1811">
      <c r="A1811" s="33" t="n">
        <v>45821</v>
      </c>
      <c r="B1811" t="inlineStr">
        <is>
          <t>2025-06</t>
        </is>
      </c>
      <c r="C1811" t="inlineStr">
        <is>
          <t>JORGE LEIVA</t>
        </is>
      </c>
      <c r="D1811" t="inlineStr">
        <is>
          <t>Petit Tradicional</t>
        </is>
      </c>
      <c r="E1811" s="34" t="n">
        <v>16890</v>
      </c>
      <c r="F1811" t="inlineStr">
        <is>
          <t>B</t>
        </is>
      </c>
      <c r="G1811" s="34" t="n">
        <v>2697</v>
      </c>
      <c r="H1811" s="34" t="n">
        <v>14193</v>
      </c>
      <c r="I1811" t="inlineStr">
        <is>
          <t>3.2</t>
        </is>
      </c>
      <c r="J1811" t="inlineStr">
        <is>
          <t>Ventas Personas (B2C)</t>
        </is>
      </c>
      <c r="K1811" t="inlineStr">
        <is>
          <t>CH2</t>
        </is>
      </c>
    </row>
    <row r="1812">
      <c r="A1812" s="33" t="n">
        <v>45821</v>
      </c>
      <c r="B1812" t="inlineStr">
        <is>
          <t>2025-06</t>
        </is>
      </c>
      <c r="C1812" t="inlineStr">
        <is>
          <t>Carolina Molina</t>
        </is>
      </c>
      <c r="D1812" t="inlineStr">
        <is>
          <t>CANELÉ TRADICIONAL</t>
        </is>
      </c>
      <c r="E1812" s="34" t="n">
        <v>10000</v>
      </c>
      <c r="F1812" t="inlineStr">
        <is>
          <t>B</t>
        </is>
      </c>
      <c r="G1812" s="34" t="n">
        <v>1597</v>
      </c>
      <c r="H1812" s="34" t="n">
        <v>8403</v>
      </c>
      <c r="I1812" t="inlineStr">
        <is>
          <t>3.2</t>
        </is>
      </c>
      <c r="J1812" t="inlineStr">
        <is>
          <t>Ventas Personas (B2C)</t>
        </is>
      </c>
      <c r="K1812" t="inlineStr">
        <is>
          <t>CH2</t>
        </is>
      </c>
    </row>
    <row r="1813">
      <c r="A1813" s="33" t="n">
        <v>45821</v>
      </c>
      <c r="B1813" t="inlineStr">
        <is>
          <t>2025-06</t>
        </is>
      </c>
      <c r="C1813" t="inlineStr">
        <is>
          <t>Sin cliente</t>
        </is>
      </c>
      <c r="D1813" t="inlineStr">
        <is>
          <t>CANELÉ TRADICIONAL</t>
        </is>
      </c>
      <c r="E1813" s="34" t="n">
        <v>36880</v>
      </c>
      <c r="F1813" t="inlineStr">
        <is>
          <t>B</t>
        </is>
      </c>
      <c r="G1813" s="34" t="n">
        <v>5888</v>
      </c>
      <c r="H1813" s="34" t="n">
        <v>30992</v>
      </c>
      <c r="I1813" t="inlineStr">
        <is>
          <t>3.2</t>
        </is>
      </c>
      <c r="J1813" t="inlineStr">
        <is>
          <t>Ventas Personas (B2C)</t>
        </is>
      </c>
      <c r="K1813" t="inlineStr">
        <is>
          <t>CH2</t>
        </is>
      </c>
    </row>
    <row r="1814">
      <c r="A1814" s="33" t="n">
        <v>45821</v>
      </c>
      <c r="B1814" t="inlineStr">
        <is>
          <t>2025-06</t>
        </is>
      </c>
      <c r="C1814" t="inlineStr">
        <is>
          <t>AMBROSIA RESTAURANT SPA</t>
        </is>
      </c>
      <c r="D1814" t="inlineStr">
        <is>
          <t>HORECA CATERING</t>
        </is>
      </c>
      <c r="E1814" s="34" t="n">
        <v>59500</v>
      </c>
      <c r="F1814" t="inlineStr">
        <is>
          <t>F</t>
        </is>
      </c>
      <c r="G1814" s="34" t="n">
        <v>9500</v>
      </c>
      <c r="H1814" s="34" t="n">
        <v>50000</v>
      </c>
      <c r="I1814" t="inlineStr">
        <is>
          <t>3.1</t>
        </is>
      </c>
      <c r="J1814" t="inlineStr">
        <is>
          <t>Ventas HoReCa</t>
        </is>
      </c>
      <c r="K1814" t="inlineStr">
        <is>
          <t>CH1</t>
        </is>
      </c>
    </row>
    <row r="1815">
      <c r="A1815" s="33" t="n">
        <v>45821</v>
      </c>
      <c r="B1815" t="inlineStr">
        <is>
          <t>2025-06</t>
        </is>
      </c>
      <c r="C1815" t="inlineStr">
        <is>
          <t>JNCONCEPT SPA</t>
        </is>
      </c>
      <c r="D1815" t="inlineStr">
        <is>
          <t>CANELE SIN AZUCAR</t>
        </is>
      </c>
      <c r="E1815" s="34" t="n">
        <v>59700</v>
      </c>
      <c r="F1815" t="inlineStr">
        <is>
          <t>F</t>
        </is>
      </c>
      <c r="G1815" s="34" t="n">
        <v>9532</v>
      </c>
      <c r="H1815" s="34" t="n">
        <v>50168</v>
      </c>
      <c r="I1815" t="inlineStr">
        <is>
          <t>3.1</t>
        </is>
      </c>
      <c r="J1815" t="inlineStr">
        <is>
          <t>Ventas HoReCa</t>
        </is>
      </c>
      <c r="K1815" t="inlineStr">
        <is>
          <t>CH1</t>
        </is>
      </c>
    </row>
    <row r="1816">
      <c r="A1816" s="33" t="n">
        <v>45821</v>
      </c>
      <c r="B1816" t="inlineStr">
        <is>
          <t>2025-06</t>
        </is>
      </c>
      <c r="C1816" t="inlineStr">
        <is>
          <t>Natalia Sanoja</t>
        </is>
      </c>
      <c r="D1816" t="inlineStr">
        <is>
          <t>Mix Sabores</t>
        </is>
      </c>
      <c r="E1816" s="34" t="n">
        <v>26790</v>
      </c>
      <c r="F1816" t="inlineStr">
        <is>
          <t>B</t>
        </is>
      </c>
      <c r="G1816" s="34" t="n">
        <v>4277</v>
      </c>
      <c r="H1816" s="34" t="n">
        <v>22513</v>
      </c>
      <c r="I1816" t="inlineStr">
        <is>
          <t>3.2</t>
        </is>
      </c>
      <c r="J1816" t="inlineStr">
        <is>
          <t>Ventas Personas (B2C)</t>
        </is>
      </c>
      <c r="K1816" t="inlineStr">
        <is>
          <t>CH2</t>
        </is>
      </c>
    </row>
    <row r="1817">
      <c r="A1817" s="33" t="n">
        <v>45821</v>
      </c>
      <c r="B1817" t="inlineStr">
        <is>
          <t>2025-06</t>
        </is>
      </c>
      <c r="C1817" t="inlineStr">
        <is>
          <t>Gabriella Torres Crespo</t>
        </is>
      </c>
      <c r="D1817" t="inlineStr">
        <is>
          <t>Mix Sabores</t>
        </is>
      </c>
      <c r="E1817" s="34" t="n">
        <v>22800</v>
      </c>
      <c r="F1817" t="inlineStr">
        <is>
          <t>B</t>
        </is>
      </c>
      <c r="G1817" s="34" t="n">
        <v>3640</v>
      </c>
      <c r="H1817" s="34" t="n">
        <v>19160</v>
      </c>
      <c r="I1817" t="inlineStr">
        <is>
          <t>3.2</t>
        </is>
      </c>
      <c r="J1817" t="inlineStr">
        <is>
          <t>Ventas Personas (B2C)</t>
        </is>
      </c>
      <c r="K1817" t="inlineStr">
        <is>
          <t>CH2</t>
        </is>
      </c>
    </row>
    <row r="1818">
      <c r="A1818" s="33" t="n">
        <v>45821</v>
      </c>
      <c r="B1818" t="inlineStr">
        <is>
          <t>2025-06</t>
        </is>
      </c>
      <c r="C1818" t="inlineStr">
        <is>
          <t>Angelina Morales</t>
        </is>
      </c>
      <c r="D1818" t="inlineStr">
        <is>
          <t>Mix Sabores</t>
        </is>
      </c>
      <c r="E1818" s="34" t="n">
        <v>19889</v>
      </c>
      <c r="F1818" t="inlineStr">
        <is>
          <t>B</t>
        </is>
      </c>
      <c r="G1818" s="34" t="n">
        <v>3176</v>
      </c>
      <c r="H1818" s="34" t="n">
        <v>16713</v>
      </c>
      <c r="I1818" t="inlineStr">
        <is>
          <t>3.2</t>
        </is>
      </c>
      <c r="J1818" t="inlineStr">
        <is>
          <t>Ventas Personas (B2C)</t>
        </is>
      </c>
      <c r="K1818" t="inlineStr">
        <is>
          <t>CH2</t>
        </is>
      </c>
    </row>
    <row r="1819">
      <c r="A1819" s="33" t="n">
        <v>45822</v>
      </c>
      <c r="B1819" t="inlineStr">
        <is>
          <t>2025-06</t>
        </is>
      </c>
      <c r="C1819" t="inlineStr">
        <is>
          <t>Sin cliente</t>
        </is>
      </c>
      <c r="D1819" t="inlineStr">
        <is>
          <t>CANELÉ TRADICIONAL</t>
        </is>
      </c>
      <c r="E1819" s="34" t="n">
        <v>21900</v>
      </c>
      <c r="F1819" t="inlineStr">
        <is>
          <t>B</t>
        </is>
      </c>
      <c r="G1819" s="34" t="n">
        <v>3497</v>
      </c>
      <c r="H1819" s="34" t="n">
        <v>18403</v>
      </c>
      <c r="I1819" t="inlineStr">
        <is>
          <t>3.2</t>
        </is>
      </c>
      <c r="J1819" t="inlineStr">
        <is>
          <t>Ventas Personas (B2C)</t>
        </is>
      </c>
      <c r="K1819" t="inlineStr">
        <is>
          <t>CH2</t>
        </is>
      </c>
    </row>
    <row r="1820">
      <c r="A1820" s="33" t="n">
        <v>45822</v>
      </c>
      <c r="B1820" t="inlineStr">
        <is>
          <t>2025-06</t>
        </is>
      </c>
      <c r="C1820" t="inlineStr">
        <is>
          <t>Sin cliente</t>
        </is>
      </c>
      <c r="D1820" t="inlineStr">
        <is>
          <t>Petit Tradicional</t>
        </is>
      </c>
      <c r="E1820" s="34" t="n">
        <v>20900</v>
      </c>
      <c r="F1820" t="inlineStr">
        <is>
          <t>B</t>
        </is>
      </c>
      <c r="G1820" s="34" t="n">
        <v>3337</v>
      </c>
      <c r="H1820" s="34" t="n">
        <v>17563</v>
      </c>
      <c r="I1820" t="inlineStr">
        <is>
          <t>3.2</t>
        </is>
      </c>
      <c r="J1820" t="inlineStr">
        <is>
          <t>Ventas Personas (B2C)</t>
        </is>
      </c>
      <c r="K1820" t="inlineStr">
        <is>
          <t>CH2</t>
        </is>
      </c>
    </row>
    <row r="1821">
      <c r="A1821" s="33" t="n">
        <v>45822</v>
      </c>
      <c r="B1821" t="inlineStr">
        <is>
          <t>2025-06</t>
        </is>
      </c>
      <c r="C1821" t="inlineStr">
        <is>
          <t>Alfredo Bayer Soto</t>
        </is>
      </c>
      <c r="D1821" t="inlineStr">
        <is>
          <t>Rellenos</t>
        </is>
      </c>
      <c r="E1821" s="34" t="n">
        <v>32889</v>
      </c>
      <c r="F1821" t="inlineStr">
        <is>
          <t>B</t>
        </is>
      </c>
      <c r="G1821" s="34" t="n">
        <v>5251</v>
      </c>
      <c r="H1821" s="34" t="n">
        <v>27638</v>
      </c>
      <c r="I1821" t="inlineStr">
        <is>
          <t>3.2</t>
        </is>
      </c>
      <c r="J1821" t="inlineStr">
        <is>
          <t>Ventas Personas (B2C)</t>
        </is>
      </c>
      <c r="K1821" t="inlineStr">
        <is>
          <t>CH2</t>
        </is>
      </c>
    </row>
    <row r="1822">
      <c r="A1822" s="33" t="n">
        <v>45822</v>
      </c>
      <c r="B1822" t="inlineStr">
        <is>
          <t>2025-06</t>
        </is>
      </c>
      <c r="C1822" t="inlineStr">
        <is>
          <t>Nathaline Schatzmann</t>
        </is>
      </c>
      <c r="D1822" t="inlineStr">
        <is>
          <t>Petit Crunchy</t>
        </is>
      </c>
      <c r="E1822" s="34" t="n">
        <v>24220</v>
      </c>
      <c r="F1822" t="inlineStr">
        <is>
          <t>B</t>
        </is>
      </c>
      <c r="G1822" s="34" t="n">
        <v>3867</v>
      </c>
      <c r="H1822" s="34" t="n">
        <v>20353</v>
      </c>
      <c r="I1822" t="inlineStr">
        <is>
          <t>3.2</t>
        </is>
      </c>
      <c r="J1822" t="inlineStr">
        <is>
          <t>Ventas Personas (B2C)</t>
        </is>
      </c>
      <c r="K1822" t="inlineStr">
        <is>
          <t>CH2</t>
        </is>
      </c>
    </row>
    <row r="1823">
      <c r="A1823" s="33" t="n">
        <v>45822</v>
      </c>
      <c r="B1823" t="inlineStr">
        <is>
          <t>2025-06</t>
        </is>
      </c>
      <c r="C1823" t="inlineStr">
        <is>
          <t>Maria Jose Grez</t>
        </is>
      </c>
      <c r="D1823" t="inlineStr">
        <is>
          <t>CANELÉ TRADICIONAL</t>
        </is>
      </c>
      <c r="E1823" s="34" t="n">
        <v>-21900</v>
      </c>
      <c r="F1823" t="inlineStr">
        <is>
          <t>NC</t>
        </is>
      </c>
      <c r="G1823" s="34" t="n">
        <v>-3497</v>
      </c>
      <c r="H1823" s="34" t="n">
        <v>-18403</v>
      </c>
      <c r="I1823" t="inlineStr">
        <is>
          <t>3.2</t>
        </is>
      </c>
      <c r="J1823" t="inlineStr">
        <is>
          <t>Ventas Personas (B2C)</t>
        </is>
      </c>
      <c r="K1823" t="inlineStr">
        <is>
          <t>CH2</t>
        </is>
      </c>
    </row>
    <row r="1824">
      <c r="A1824" s="33" t="n">
        <v>45822</v>
      </c>
      <c r="B1824" t="inlineStr">
        <is>
          <t>2025-06</t>
        </is>
      </c>
      <c r="C1824" t="inlineStr">
        <is>
          <t>daniela segui</t>
        </is>
      </c>
      <c r="D1824" t="inlineStr">
        <is>
          <t>CANELE SIN AZUCAR</t>
        </is>
      </c>
      <c r="E1824" s="34" t="n">
        <v>42789</v>
      </c>
      <c r="F1824" t="inlineStr">
        <is>
          <t>B</t>
        </is>
      </c>
      <c r="G1824" s="34" t="n">
        <v>6832</v>
      </c>
      <c r="H1824" s="34" t="n">
        <v>35957</v>
      </c>
      <c r="I1824" t="inlineStr">
        <is>
          <t>3.2</t>
        </is>
      </c>
      <c r="J1824" t="inlineStr">
        <is>
          <t>Ventas Personas (B2C)</t>
        </is>
      </c>
      <c r="K1824" t="inlineStr">
        <is>
          <t>CH2</t>
        </is>
      </c>
    </row>
    <row r="1825">
      <c r="A1825" s="33" t="n">
        <v>45822</v>
      </c>
      <c r="B1825" t="inlineStr">
        <is>
          <t>2025-06</t>
        </is>
      </c>
      <c r="C1825" t="inlineStr">
        <is>
          <t>Ting Ting Lee</t>
        </is>
      </c>
      <c r="D1825" t="inlineStr">
        <is>
          <t>Delicatessen</t>
        </is>
      </c>
      <c r="E1825" s="34" t="n">
        <v>10320</v>
      </c>
      <c r="F1825" t="inlineStr">
        <is>
          <t>B</t>
        </is>
      </c>
      <c r="G1825" s="34" t="n">
        <v>1648</v>
      </c>
      <c r="H1825" s="34" t="n">
        <v>8672</v>
      </c>
      <c r="I1825" t="inlineStr">
        <is>
          <t>3.2</t>
        </is>
      </c>
      <c r="J1825" t="inlineStr">
        <is>
          <t>Ventas Personas (B2C)</t>
        </is>
      </c>
      <c r="K1825" t="inlineStr">
        <is>
          <t>CH2</t>
        </is>
      </c>
    </row>
    <row r="1826">
      <c r="A1826" s="33" t="n">
        <v>45822</v>
      </c>
      <c r="B1826" t="inlineStr">
        <is>
          <t>2025-06</t>
        </is>
      </c>
      <c r="C1826" t="inlineStr">
        <is>
          <t>Sin cliente</t>
        </is>
      </c>
      <c r="D1826" t="inlineStr">
        <is>
          <t>CANELÉ TRADICIONAL</t>
        </is>
      </c>
      <c r="E1826" s="34" t="n">
        <v>26900</v>
      </c>
      <c r="F1826" t="inlineStr">
        <is>
          <t>B</t>
        </is>
      </c>
      <c r="G1826" s="34" t="n">
        <v>4295</v>
      </c>
      <c r="H1826" s="34" t="n">
        <v>22605</v>
      </c>
      <c r="I1826" t="inlineStr">
        <is>
          <t>3.2</t>
        </is>
      </c>
      <c r="J1826" t="inlineStr">
        <is>
          <t>Ventas Personas (B2C)</t>
        </is>
      </c>
      <c r="K1826" t="inlineStr">
        <is>
          <t>CH2</t>
        </is>
      </c>
    </row>
    <row r="1827">
      <c r="A1827" s="33" t="n">
        <v>45822</v>
      </c>
      <c r="B1827" t="inlineStr">
        <is>
          <t>2025-06</t>
        </is>
      </c>
      <c r="C1827" t="inlineStr">
        <is>
          <t>Sin cliente</t>
        </is>
      </c>
      <c r="D1827" t="inlineStr">
        <is>
          <t>CANELÉ TRADICIONAL</t>
        </is>
      </c>
      <c r="E1827" s="34" t="n">
        <v>14900</v>
      </c>
      <c r="F1827" t="inlineStr">
        <is>
          <t>B</t>
        </is>
      </c>
      <c r="G1827" s="34" t="n">
        <v>2379</v>
      </c>
      <c r="H1827" s="34" t="n">
        <v>12521</v>
      </c>
      <c r="I1827" t="inlineStr">
        <is>
          <t>3.2</t>
        </is>
      </c>
      <c r="J1827" t="inlineStr">
        <is>
          <t>Ventas Personas (B2C)</t>
        </is>
      </c>
      <c r="K1827" t="inlineStr">
        <is>
          <t>CH2</t>
        </is>
      </c>
    </row>
    <row r="1828">
      <c r="A1828" s="33" t="n">
        <v>45822</v>
      </c>
      <c r="B1828" t="inlineStr">
        <is>
          <t>2025-06</t>
        </is>
      </c>
      <c r="C1828" t="inlineStr">
        <is>
          <t>Sin cliente</t>
        </is>
      </c>
      <c r="D1828" t="inlineStr">
        <is>
          <t>CANELÉ TRADICIONAL</t>
        </is>
      </c>
      <c r="E1828" s="34" t="n">
        <v>29800</v>
      </c>
      <c r="F1828" t="inlineStr">
        <is>
          <t>B</t>
        </is>
      </c>
      <c r="G1828" s="34" t="n">
        <v>4758</v>
      </c>
      <c r="H1828" s="34" t="n">
        <v>25042</v>
      </c>
      <c r="I1828" t="inlineStr">
        <is>
          <t>3.2</t>
        </is>
      </c>
      <c r="J1828" t="inlineStr">
        <is>
          <t>Ventas Personas (B2C)</t>
        </is>
      </c>
      <c r="K1828" t="inlineStr">
        <is>
          <t>CH2</t>
        </is>
      </c>
    </row>
    <row r="1829">
      <c r="A1829" s="33" t="n">
        <v>45822</v>
      </c>
      <c r="B1829" t="inlineStr">
        <is>
          <t>2025-06</t>
        </is>
      </c>
      <c r="C1829" t="inlineStr">
        <is>
          <t>VIVIANA INFANTE</t>
        </is>
      </c>
      <c r="D1829" t="inlineStr">
        <is>
          <t>CANELÉ TRADICIONAL</t>
        </is>
      </c>
      <c r="E1829" s="34" t="n">
        <v>2500</v>
      </c>
      <c r="F1829" t="inlineStr">
        <is>
          <t>B</t>
        </is>
      </c>
      <c r="G1829" s="34" t="n">
        <v>399</v>
      </c>
      <c r="H1829" s="34" t="n">
        <v>2101</v>
      </c>
      <c r="I1829" t="inlineStr">
        <is>
          <t>3.2</t>
        </is>
      </c>
      <c r="J1829" t="inlineStr">
        <is>
          <t>Ventas Personas (B2C)</t>
        </is>
      </c>
      <c r="K1829" t="inlineStr">
        <is>
          <t>CH2</t>
        </is>
      </c>
    </row>
    <row r="1830">
      <c r="A1830" s="33" t="n">
        <v>45822</v>
      </c>
      <c r="B1830" t="inlineStr">
        <is>
          <t>2025-06</t>
        </is>
      </c>
      <c r="C1830" t="inlineStr">
        <is>
          <t>Sin cliente</t>
        </is>
      </c>
      <c r="D1830" t="inlineStr">
        <is>
          <t>CANELÉ TRADICIONAL</t>
        </is>
      </c>
      <c r="E1830" s="34" t="n">
        <v>28890</v>
      </c>
      <c r="F1830" t="inlineStr">
        <is>
          <t>B</t>
        </is>
      </c>
      <c r="G1830" s="34" t="n">
        <v>4613</v>
      </c>
      <c r="H1830" s="34" t="n">
        <v>24277</v>
      </c>
      <c r="I1830" t="inlineStr">
        <is>
          <t>3.2</t>
        </is>
      </c>
      <c r="J1830" t="inlineStr">
        <is>
          <t>Ventas Personas (B2C)</t>
        </is>
      </c>
      <c r="K1830" t="inlineStr">
        <is>
          <t>CH2</t>
        </is>
      </c>
    </row>
    <row r="1831">
      <c r="A1831" s="33" t="n">
        <v>45822</v>
      </c>
      <c r="B1831" t="inlineStr">
        <is>
          <t>2025-06</t>
        </is>
      </c>
      <c r="C1831" t="inlineStr">
        <is>
          <t>Valeria Fuenzalida</t>
        </is>
      </c>
      <c r="D1831" t="inlineStr">
        <is>
          <t>CANELÉ TRADICIONAL</t>
        </is>
      </c>
      <c r="E1831" s="34" t="n">
        <v>25889</v>
      </c>
      <c r="F1831" t="inlineStr">
        <is>
          <t>B</t>
        </is>
      </c>
      <c r="G1831" s="34" t="n">
        <v>4134</v>
      </c>
      <c r="H1831" s="34" t="n">
        <v>21755</v>
      </c>
      <c r="I1831" t="inlineStr">
        <is>
          <t>3.2</t>
        </is>
      </c>
      <c r="J1831" t="inlineStr">
        <is>
          <t>Ventas Personas (B2C)</t>
        </is>
      </c>
      <c r="K1831" t="inlineStr">
        <is>
          <t>CH2</t>
        </is>
      </c>
    </row>
    <row r="1832">
      <c r="A1832" s="33" t="n">
        <v>45822</v>
      </c>
      <c r="B1832" t="inlineStr">
        <is>
          <t>2025-06</t>
        </is>
      </c>
      <c r="C1832" t="inlineStr">
        <is>
          <t>Sin cliente</t>
        </is>
      </c>
      <c r="D1832" t="inlineStr">
        <is>
          <t>CANELÉ TRADICIONAL</t>
        </is>
      </c>
      <c r="E1832" s="34" t="n">
        <v>48800</v>
      </c>
      <c r="F1832" t="inlineStr">
        <is>
          <t>B</t>
        </is>
      </c>
      <c r="G1832" s="34" t="n">
        <v>7792</v>
      </c>
      <c r="H1832" s="34" t="n">
        <v>41008</v>
      </c>
      <c r="I1832" t="inlineStr">
        <is>
          <t>3.2</t>
        </is>
      </c>
      <c r="J1832" t="inlineStr">
        <is>
          <t>Ventas Personas (B2C)</t>
        </is>
      </c>
      <c r="K1832" t="inlineStr">
        <is>
          <t>CH2</t>
        </is>
      </c>
    </row>
    <row r="1833">
      <c r="A1833" s="33" t="n">
        <v>45822</v>
      </c>
      <c r="B1833" t="inlineStr">
        <is>
          <t>2025-06</t>
        </is>
      </c>
      <c r="C1833" t="inlineStr">
        <is>
          <t>Sin cliente</t>
        </is>
      </c>
      <c r="D1833" t="inlineStr">
        <is>
          <t>Petit Tradicional</t>
        </is>
      </c>
      <c r="E1833" s="34" t="n">
        <v>26800</v>
      </c>
      <c r="F1833" t="inlineStr">
        <is>
          <t>B</t>
        </is>
      </c>
      <c r="G1833" s="34" t="n">
        <v>4279</v>
      </c>
      <c r="H1833" s="34" t="n">
        <v>22521</v>
      </c>
      <c r="I1833" t="inlineStr">
        <is>
          <t>3.2</t>
        </is>
      </c>
      <c r="J1833" t="inlineStr">
        <is>
          <t>Ventas Personas (B2C)</t>
        </is>
      </c>
      <c r="K1833" t="inlineStr">
        <is>
          <t>CH2</t>
        </is>
      </c>
    </row>
    <row r="1834">
      <c r="A1834" s="33" t="n">
        <v>45824</v>
      </c>
      <c r="B1834" t="inlineStr">
        <is>
          <t>2025-06</t>
        </is>
      </c>
      <c r="C1834" t="inlineStr">
        <is>
          <t>Gisela Awad</t>
        </is>
      </c>
      <c r="D1834" t="inlineStr">
        <is>
          <t>Petit Crunchy</t>
        </is>
      </c>
      <c r="E1834" s="34" t="n">
        <v>90490</v>
      </c>
      <c r="F1834" t="inlineStr">
        <is>
          <t>B</t>
        </is>
      </c>
      <c r="G1834" s="34" t="n">
        <v>14448</v>
      </c>
      <c r="H1834" s="34" t="n">
        <v>76042</v>
      </c>
      <c r="I1834" t="inlineStr">
        <is>
          <t>3.2</t>
        </is>
      </c>
      <c r="J1834" t="inlineStr">
        <is>
          <t>Ventas Personas (B2C)</t>
        </is>
      </c>
      <c r="K1834" t="inlineStr">
        <is>
          <t>CH2</t>
        </is>
      </c>
    </row>
    <row r="1835">
      <c r="A1835" s="33" t="n">
        <v>45824</v>
      </c>
      <c r="B1835" t="inlineStr">
        <is>
          <t>2025-06</t>
        </is>
      </c>
      <c r="C1835" t="inlineStr">
        <is>
          <t>CAFETERÍA ALTURA LIMITADA</t>
        </is>
      </c>
      <c r="D1835" t="inlineStr">
        <is>
          <t>HORECA CAFETERIA</t>
        </is>
      </c>
      <c r="E1835" s="34" t="n">
        <v>53899</v>
      </c>
      <c r="F1835" t="inlineStr">
        <is>
          <t>F</t>
        </is>
      </c>
      <c r="G1835" s="34" t="n">
        <v>8606</v>
      </c>
      <c r="H1835" s="34" t="n">
        <v>45293</v>
      </c>
      <c r="I1835" t="inlineStr">
        <is>
          <t>3.1</t>
        </is>
      </c>
      <c r="J1835" t="inlineStr">
        <is>
          <t>Ventas HoReCa</t>
        </is>
      </c>
      <c r="K1835" t="inlineStr">
        <is>
          <t>CH1</t>
        </is>
      </c>
    </row>
    <row r="1836">
      <c r="A1836" s="33" t="n">
        <v>45824</v>
      </c>
      <c r="B1836" t="inlineStr">
        <is>
          <t>2025-06</t>
        </is>
      </c>
      <c r="C1836" t="inlineStr">
        <is>
          <t>INVERSIONES Y COMERCIALIZADORA FED LIMITADA</t>
        </is>
      </c>
      <c r="D1836" t="inlineStr">
        <is>
          <t>HORECA CAFETERIA</t>
        </is>
      </c>
      <c r="E1836" s="34" t="n">
        <v>129761</v>
      </c>
      <c r="F1836" t="inlineStr">
        <is>
          <t>F</t>
        </is>
      </c>
      <c r="G1836" s="34" t="n">
        <v>20718</v>
      </c>
      <c r="H1836" s="34" t="n">
        <v>109043</v>
      </c>
      <c r="I1836" t="inlineStr">
        <is>
          <t>3.1</t>
        </is>
      </c>
      <c r="J1836" t="inlineStr">
        <is>
          <t>Ventas HoReCa</t>
        </is>
      </c>
      <c r="K1836" t="inlineStr">
        <is>
          <t>CH1</t>
        </is>
      </c>
    </row>
    <row r="1837">
      <c r="A1837" s="33" t="n">
        <v>45824</v>
      </c>
      <c r="B1837" t="inlineStr">
        <is>
          <t>2025-06</t>
        </is>
      </c>
      <c r="C1837" t="inlineStr">
        <is>
          <t>INVERSIONES Y COMERCIALIZADORA FED LIMITADA</t>
        </is>
      </c>
      <c r="D1837" t="inlineStr">
        <is>
          <t>HORECA CAFETERIA</t>
        </is>
      </c>
      <c r="E1837" s="34" t="n">
        <v>207131</v>
      </c>
      <c r="F1837" t="inlineStr">
        <is>
          <t>F</t>
        </is>
      </c>
      <c r="G1837" s="34" t="n">
        <v>33071</v>
      </c>
      <c r="H1837" s="34" t="n">
        <v>174060</v>
      </c>
      <c r="I1837" t="inlineStr">
        <is>
          <t>3.1</t>
        </is>
      </c>
      <c r="J1837" t="inlineStr">
        <is>
          <t>Ventas HoReCa</t>
        </is>
      </c>
      <c r="K1837" t="inlineStr">
        <is>
          <t>CH1</t>
        </is>
      </c>
    </row>
    <row r="1838">
      <c r="A1838" s="33" t="n">
        <v>45824</v>
      </c>
      <c r="B1838" t="inlineStr">
        <is>
          <t>2025-06</t>
        </is>
      </c>
      <c r="C1838" t="inlineStr">
        <is>
          <t>POMPON SPA</t>
        </is>
      </c>
      <c r="D1838" t="inlineStr">
        <is>
          <t>HORECA CAFETERIA</t>
        </is>
      </c>
      <c r="E1838" s="34" t="n">
        <v>132510</v>
      </c>
      <c r="F1838" t="inlineStr">
        <is>
          <t>F</t>
        </is>
      </c>
      <c r="G1838" s="34" t="n">
        <v>21157</v>
      </c>
      <c r="H1838" s="34" t="n">
        <v>111353</v>
      </c>
      <c r="I1838" t="inlineStr">
        <is>
          <t>3.1</t>
        </is>
      </c>
      <c r="J1838" t="inlineStr">
        <is>
          <t>Ventas HoReCa</t>
        </is>
      </c>
      <c r="K1838" t="inlineStr">
        <is>
          <t>CH1</t>
        </is>
      </c>
    </row>
    <row r="1839">
      <c r="A1839" s="33" t="n">
        <v>45824</v>
      </c>
      <c r="B1839" t="inlineStr">
        <is>
          <t>2025-06</t>
        </is>
      </c>
      <c r="C1839" t="inlineStr">
        <is>
          <t>INVERSIONES Y ASESORIAS RAVAL LIMITADA</t>
        </is>
      </c>
      <c r="D1839" t="inlineStr">
        <is>
          <t>HORECA CAFETERIA</t>
        </is>
      </c>
      <c r="E1839" s="34" t="n">
        <v>67956</v>
      </c>
      <c r="F1839" t="inlineStr">
        <is>
          <t>F</t>
        </is>
      </c>
      <c r="G1839" s="34" t="n">
        <v>10850</v>
      </c>
      <c r="H1839" s="34" t="n">
        <v>57106</v>
      </c>
      <c r="I1839" t="inlineStr">
        <is>
          <t>3.1</t>
        </is>
      </c>
      <c r="J1839" t="inlineStr">
        <is>
          <t>Ventas HoReCa</t>
        </is>
      </c>
      <c r="K1839" t="inlineStr">
        <is>
          <t>CH1</t>
        </is>
      </c>
    </row>
    <row r="1840">
      <c r="A1840" s="33" t="n">
        <v>45824</v>
      </c>
      <c r="B1840" t="inlineStr">
        <is>
          <t>2025-06</t>
        </is>
      </c>
      <c r="C1840" t="inlineStr">
        <is>
          <t>Rosita Hechem Mejía</t>
        </is>
      </c>
      <c r="D1840" t="inlineStr">
        <is>
          <t>Petit Crunchy</t>
        </is>
      </c>
      <c r="E1840" s="34" t="n">
        <v>22015</v>
      </c>
      <c r="F1840" t="inlineStr">
        <is>
          <t>B</t>
        </is>
      </c>
      <c r="G1840" s="34" t="n">
        <v>3515</v>
      </c>
      <c r="H1840" s="34" t="n">
        <v>18500</v>
      </c>
      <c r="I1840" t="inlineStr">
        <is>
          <t>3.2</t>
        </is>
      </c>
      <c r="J1840" t="inlineStr">
        <is>
          <t>Ventas Personas (B2C)</t>
        </is>
      </c>
      <c r="K1840" t="inlineStr">
        <is>
          <t>CH2</t>
        </is>
      </c>
    </row>
    <row r="1841">
      <c r="A1841" s="33" t="n">
        <v>45824</v>
      </c>
      <c r="B1841" t="inlineStr">
        <is>
          <t>2025-06</t>
        </is>
      </c>
      <c r="C1841" t="inlineStr">
        <is>
          <t>Sin cliente</t>
        </is>
      </c>
      <c r="D1841" t="inlineStr">
        <is>
          <t>Petit Tradicional</t>
        </is>
      </c>
      <c r="E1841" s="34" t="n">
        <v>20900</v>
      </c>
      <c r="F1841" t="inlineStr">
        <is>
          <t>B</t>
        </is>
      </c>
      <c r="G1841" s="34" t="n">
        <v>3337</v>
      </c>
      <c r="H1841" s="34" t="n">
        <v>17563</v>
      </c>
      <c r="I1841" t="inlineStr">
        <is>
          <t>3.2</t>
        </is>
      </c>
      <c r="J1841" t="inlineStr">
        <is>
          <t>Ventas Personas (B2C)</t>
        </is>
      </c>
      <c r="K1841" t="inlineStr">
        <is>
          <t>CH2</t>
        </is>
      </c>
    </row>
    <row r="1842">
      <c r="A1842" s="33" t="n">
        <v>45824</v>
      </c>
      <c r="B1842" t="inlineStr">
        <is>
          <t>2025-06</t>
        </is>
      </c>
      <c r="C1842" t="inlineStr">
        <is>
          <t>Maximiliano Fuentealba Candia</t>
        </is>
      </c>
      <c r="D1842" t="inlineStr">
        <is>
          <t>Mix Sabores</t>
        </is>
      </c>
      <c r="E1842" s="34" t="n">
        <v>16789</v>
      </c>
      <c r="F1842" t="inlineStr">
        <is>
          <t>B</t>
        </is>
      </c>
      <c r="G1842" s="34" t="n">
        <v>2681</v>
      </c>
      <c r="H1842" s="34" t="n">
        <v>14108</v>
      </c>
      <c r="I1842" t="inlineStr">
        <is>
          <t>3.2</t>
        </is>
      </c>
      <c r="J1842" t="inlineStr">
        <is>
          <t>Ventas Personas (B2C)</t>
        </is>
      </c>
      <c r="K1842" t="inlineStr">
        <is>
          <t>CH2</t>
        </is>
      </c>
    </row>
    <row r="1843">
      <c r="A1843" s="33" t="n">
        <v>45824</v>
      </c>
      <c r="B1843" t="inlineStr">
        <is>
          <t>2025-06</t>
        </is>
      </c>
      <c r="C1843" t="inlineStr">
        <is>
          <t>Daniela Jimenez Hurtado</t>
        </is>
      </c>
      <c r="D1843" t="inlineStr">
        <is>
          <t>CANELÉ TRADICIONAL</t>
        </is>
      </c>
      <c r="E1843" s="34" t="n">
        <v>25889</v>
      </c>
      <c r="F1843" t="inlineStr">
        <is>
          <t>B</t>
        </is>
      </c>
      <c r="G1843" s="34" t="n">
        <v>4134</v>
      </c>
      <c r="H1843" s="34" t="n">
        <v>21755</v>
      </c>
      <c r="I1843" t="inlineStr">
        <is>
          <t>3.2</t>
        </is>
      </c>
      <c r="J1843" t="inlineStr">
        <is>
          <t>Ventas Personas (B2C)</t>
        </is>
      </c>
      <c r="K1843" t="inlineStr">
        <is>
          <t>CH2</t>
        </is>
      </c>
    </row>
    <row r="1844">
      <c r="A1844" s="33" t="n">
        <v>45824</v>
      </c>
      <c r="B1844" t="inlineStr">
        <is>
          <t>2025-06</t>
        </is>
      </c>
      <c r="C1844" t="inlineStr">
        <is>
          <t>Gonzalo Vera</t>
        </is>
      </c>
      <c r="D1844" t="inlineStr">
        <is>
          <t>CANELÉ TRADICIONAL</t>
        </is>
      </c>
      <c r="E1844" s="34" t="n">
        <v>21890</v>
      </c>
      <c r="F1844" t="inlineStr">
        <is>
          <t>B</t>
        </is>
      </c>
      <c r="G1844" s="34" t="n">
        <v>3495</v>
      </c>
      <c r="H1844" s="34" t="n">
        <v>18395</v>
      </c>
      <c r="I1844" t="inlineStr">
        <is>
          <t>3.2</t>
        </is>
      </c>
      <c r="J1844" t="inlineStr">
        <is>
          <t>Ventas Personas (B2C)</t>
        </is>
      </c>
      <c r="K1844" t="inlineStr">
        <is>
          <t>CH2</t>
        </is>
      </c>
    </row>
    <row r="1845">
      <c r="A1845" s="33" t="n">
        <v>45824</v>
      </c>
      <c r="B1845" t="inlineStr">
        <is>
          <t>2025-06</t>
        </is>
      </c>
      <c r="C1845" t="inlineStr">
        <is>
          <t>Daniel Ogalde</t>
        </is>
      </c>
      <c r="D1845" t="inlineStr">
        <is>
          <t>Rellenos</t>
        </is>
      </c>
      <c r="E1845" s="34" t="n">
        <v>33890</v>
      </c>
      <c r="F1845" t="inlineStr">
        <is>
          <t>B</t>
        </is>
      </c>
      <c r="G1845" s="34" t="n">
        <v>5411</v>
      </c>
      <c r="H1845" s="34" t="n">
        <v>28479</v>
      </c>
      <c r="I1845" t="inlineStr">
        <is>
          <t>3.2</t>
        </is>
      </c>
      <c r="J1845" t="inlineStr">
        <is>
          <t>Ventas Personas (B2C)</t>
        </is>
      </c>
      <c r="K1845" t="inlineStr">
        <is>
          <t>CH2</t>
        </is>
      </c>
    </row>
    <row r="1846">
      <c r="A1846" s="33" t="n">
        <v>45824</v>
      </c>
      <c r="B1846" t="inlineStr">
        <is>
          <t>2025-06</t>
        </is>
      </c>
      <c r="C1846" t="inlineStr">
        <is>
          <t>Pilar Cardemil</t>
        </is>
      </c>
      <c r="D1846" t="inlineStr">
        <is>
          <t>CANELÉ TRADICIONAL</t>
        </is>
      </c>
      <c r="E1846" s="34" t="n">
        <v>21900</v>
      </c>
      <c r="F1846" t="inlineStr">
        <is>
          <t>B</t>
        </is>
      </c>
      <c r="G1846" s="34" t="n">
        <v>3497</v>
      </c>
      <c r="H1846" s="34" t="n">
        <v>18403</v>
      </c>
      <c r="I1846" t="inlineStr">
        <is>
          <t>3.2</t>
        </is>
      </c>
      <c r="J1846" t="inlineStr">
        <is>
          <t>Ventas Personas (B2C)</t>
        </is>
      </c>
      <c r="K1846" t="inlineStr">
        <is>
          <t>CH2</t>
        </is>
      </c>
    </row>
    <row r="1847">
      <c r="A1847" s="33" t="n">
        <v>45825</v>
      </c>
      <c r="B1847" t="inlineStr">
        <is>
          <t>2025-06</t>
        </is>
      </c>
      <c r="C1847" t="inlineStr">
        <is>
          <t>Panduz panaderia y cafeteria SPA</t>
        </is>
      </c>
      <c r="D1847" t="inlineStr">
        <is>
          <t>HORECA CAFETERIA</t>
        </is>
      </c>
      <c r="E1847" s="34" t="n">
        <v>88599</v>
      </c>
      <c r="F1847" t="inlineStr">
        <is>
          <t>F</t>
        </is>
      </c>
      <c r="G1847" s="34" t="n">
        <v>14146</v>
      </c>
      <c r="H1847" s="34" t="n">
        <v>74453</v>
      </c>
      <c r="I1847" t="inlineStr">
        <is>
          <t>3.1</t>
        </is>
      </c>
      <c r="J1847" t="inlineStr">
        <is>
          <t>Ventas HoReCa</t>
        </is>
      </c>
      <c r="K1847" t="inlineStr">
        <is>
          <t>CH1</t>
        </is>
      </c>
    </row>
    <row r="1848">
      <c r="A1848" s="33" t="n">
        <v>45825</v>
      </c>
      <c r="B1848" t="inlineStr">
        <is>
          <t>2025-06</t>
        </is>
      </c>
      <c r="C1848" t="inlineStr">
        <is>
          <t>jahira labra</t>
        </is>
      </c>
      <c r="D1848" t="inlineStr">
        <is>
          <t>Rellenos</t>
        </is>
      </c>
      <c r="E1848" s="34" t="n">
        <v>51790</v>
      </c>
      <c r="F1848" t="inlineStr">
        <is>
          <t>B</t>
        </is>
      </c>
      <c r="G1848" s="34" t="n">
        <v>8269</v>
      </c>
      <c r="H1848" s="34" t="n">
        <v>43521</v>
      </c>
      <c r="I1848" t="inlineStr">
        <is>
          <t>3.2</t>
        </is>
      </c>
      <c r="J1848" t="inlineStr">
        <is>
          <t>Ventas Personas (B2C)</t>
        </is>
      </c>
      <c r="K1848" t="inlineStr">
        <is>
          <t>CH2</t>
        </is>
      </c>
    </row>
    <row r="1849">
      <c r="A1849" s="33" t="n">
        <v>45825</v>
      </c>
      <c r="B1849" t="inlineStr">
        <is>
          <t>2025-06</t>
        </is>
      </c>
      <c r="C1849" t="inlineStr">
        <is>
          <t>BLUE OAK COFFE SPA</t>
        </is>
      </c>
      <c r="D1849" t="inlineStr">
        <is>
          <t>HORECA CAFETERIA</t>
        </is>
      </c>
      <c r="E1849" s="34" t="n">
        <v>63966</v>
      </c>
      <c r="F1849" t="inlineStr">
        <is>
          <t>F</t>
        </is>
      </c>
      <c r="G1849" s="34" t="n">
        <v>10213</v>
      </c>
      <c r="H1849" s="34" t="n">
        <v>53753</v>
      </c>
      <c r="I1849" t="inlineStr">
        <is>
          <t>3.1</t>
        </is>
      </c>
      <c r="J1849" t="inlineStr">
        <is>
          <t>Ventas HoReCa</t>
        </is>
      </c>
      <c r="K1849" t="inlineStr">
        <is>
          <t>CH1</t>
        </is>
      </c>
    </row>
    <row r="1850">
      <c r="A1850" s="33" t="n">
        <v>45825</v>
      </c>
      <c r="B1850" t="inlineStr">
        <is>
          <t>2025-06</t>
        </is>
      </c>
      <c r="C1850" t="inlineStr">
        <is>
          <t>BLUE OAK COFFE SPA</t>
        </is>
      </c>
      <c r="D1850" t="inlineStr">
        <is>
          <t>HORECA CAFETERIA</t>
        </is>
      </c>
      <c r="E1850" s="34" t="n">
        <v>88599</v>
      </c>
      <c r="F1850" t="inlineStr">
        <is>
          <t>F</t>
        </is>
      </c>
      <c r="G1850" s="34" t="n">
        <v>14146</v>
      </c>
      <c r="H1850" s="34" t="n">
        <v>74453</v>
      </c>
      <c r="I1850" t="inlineStr">
        <is>
          <t>3.1</t>
        </is>
      </c>
      <c r="J1850" t="inlineStr">
        <is>
          <t>Ventas HoReCa</t>
        </is>
      </c>
      <c r="K1850" t="inlineStr">
        <is>
          <t>CH1</t>
        </is>
      </c>
    </row>
    <row r="1851">
      <c r="A1851" s="33" t="n">
        <v>45825</v>
      </c>
      <c r="B1851" t="inlineStr">
        <is>
          <t>2025-06</t>
        </is>
      </c>
      <c r="C1851" t="inlineStr">
        <is>
          <t>CAFE DIARIO ENCOMENDEROS SPA</t>
        </is>
      </c>
      <c r="D1851" t="inlineStr">
        <is>
          <t>HORECA CAFETERIA</t>
        </is>
      </c>
      <c r="E1851" s="34" t="n">
        <v>112818</v>
      </c>
      <c r="F1851" t="inlineStr">
        <is>
          <t>F</t>
        </is>
      </c>
      <c r="G1851" s="34" t="n">
        <v>18013</v>
      </c>
      <c r="H1851" s="34" t="n">
        <v>94805</v>
      </c>
      <c r="I1851" t="inlineStr">
        <is>
          <t>3.1</t>
        </is>
      </c>
      <c r="J1851" t="inlineStr">
        <is>
          <t>Ventas HoReCa</t>
        </is>
      </c>
      <c r="K1851" t="inlineStr">
        <is>
          <t>CH1</t>
        </is>
      </c>
    </row>
    <row r="1852">
      <c r="A1852" s="33" t="n">
        <v>45825</v>
      </c>
      <c r="B1852" t="inlineStr">
        <is>
          <t>2025-06</t>
        </is>
      </c>
      <c r="C1852" t="inlineStr">
        <is>
          <t>BLUE OAK COFFE SPA</t>
        </is>
      </c>
      <c r="D1852" t="inlineStr">
        <is>
          <t>HORECA CAFETERIA</t>
        </is>
      </c>
      <c r="E1852" s="34" t="n">
        <v>63966</v>
      </c>
      <c r="F1852" t="inlineStr">
        <is>
          <t>F</t>
        </is>
      </c>
      <c r="G1852" s="34" t="n">
        <v>10213</v>
      </c>
      <c r="H1852" s="34" t="n">
        <v>53753</v>
      </c>
      <c r="I1852" t="inlineStr">
        <is>
          <t>3.1</t>
        </is>
      </c>
      <c r="J1852" t="inlineStr">
        <is>
          <t>Ventas HoReCa</t>
        </is>
      </c>
      <c r="K1852" t="inlineStr">
        <is>
          <t>CH1</t>
        </is>
      </c>
    </row>
    <row r="1853">
      <c r="A1853" s="33" t="n">
        <v>45825</v>
      </c>
      <c r="B1853" t="inlineStr">
        <is>
          <t>2025-06</t>
        </is>
      </c>
      <c r="C1853" t="inlineStr">
        <is>
          <t>Quintana&amp;Rivera SpA</t>
        </is>
      </c>
      <c r="D1853" t="inlineStr">
        <is>
          <t>HORECA CAFETERIA</t>
        </is>
      </c>
      <c r="E1853" s="34" t="n">
        <v>64966</v>
      </c>
      <c r="F1853" t="inlineStr">
        <is>
          <t>F</t>
        </is>
      </c>
      <c r="G1853" s="34" t="n">
        <v>10373</v>
      </c>
      <c r="H1853" s="34" t="n">
        <v>54593</v>
      </c>
      <c r="I1853" t="inlineStr">
        <is>
          <t>3.1</t>
        </is>
      </c>
      <c r="J1853" t="inlineStr">
        <is>
          <t>Ventas HoReCa</t>
        </is>
      </c>
      <c r="K1853" t="inlineStr">
        <is>
          <t>CH1</t>
        </is>
      </c>
    </row>
    <row r="1854">
      <c r="A1854" s="33" t="n">
        <v>45825</v>
      </c>
      <c r="B1854" t="inlineStr">
        <is>
          <t>2025-06</t>
        </is>
      </c>
      <c r="C1854" t="inlineStr">
        <is>
          <t>Evelyn Momberg Momberg</t>
        </is>
      </c>
      <c r="D1854" t="inlineStr">
        <is>
          <t>CANELÉ TRADICIONAL</t>
        </is>
      </c>
      <c r="E1854" s="34" t="n">
        <v>19890</v>
      </c>
      <c r="F1854" t="inlineStr">
        <is>
          <t>B</t>
        </is>
      </c>
      <c r="G1854" s="34" t="n">
        <v>3176</v>
      </c>
      <c r="H1854" s="34" t="n">
        <v>16714</v>
      </c>
      <c r="I1854" t="inlineStr">
        <is>
          <t>3.2</t>
        </is>
      </c>
      <c r="J1854" t="inlineStr">
        <is>
          <t>Ventas Personas (B2C)</t>
        </is>
      </c>
      <c r="K1854" t="inlineStr">
        <is>
          <t>CH2</t>
        </is>
      </c>
    </row>
    <row r="1855">
      <c r="A1855" s="33" t="n">
        <v>45825</v>
      </c>
      <c r="B1855" t="inlineStr">
        <is>
          <t>2025-06</t>
        </is>
      </c>
      <c r="C1855" t="inlineStr">
        <is>
          <t>Rosita Hechem Mejía</t>
        </is>
      </c>
      <c r="D1855" t="inlineStr">
        <is>
          <t>REGION METROPOLITANA</t>
        </is>
      </c>
      <c r="E1855" s="34" t="n">
        <v>3990</v>
      </c>
      <c r="F1855" t="inlineStr">
        <is>
          <t>B</t>
        </is>
      </c>
      <c r="G1855" s="34" t="n">
        <v>637</v>
      </c>
      <c r="H1855" s="34" t="n">
        <v>3353</v>
      </c>
      <c r="I1855" t="inlineStr">
        <is>
          <t>3.2</t>
        </is>
      </c>
      <c r="J1855" t="inlineStr">
        <is>
          <t>Ventas Personas (B2C)</t>
        </is>
      </c>
      <c r="K1855" t="inlineStr">
        <is>
          <t>CH2</t>
        </is>
      </c>
    </row>
    <row r="1856">
      <c r="A1856" s="33" t="n">
        <v>45825</v>
      </c>
      <c r="B1856" t="inlineStr">
        <is>
          <t>2025-06</t>
        </is>
      </c>
      <c r="C1856" t="inlineStr">
        <is>
          <t>Sin cliente</t>
        </is>
      </c>
      <c r="D1856" t="inlineStr">
        <is>
          <t>PLATAFORMAS RAP-PEYA-UBER-GOOD</t>
        </is>
      </c>
      <c r="E1856" s="34" t="n">
        <v>30960</v>
      </c>
      <c r="F1856" t="inlineStr">
        <is>
          <t>B</t>
        </is>
      </c>
      <c r="G1856" s="34" t="n">
        <v>4943</v>
      </c>
      <c r="H1856" s="34" t="n">
        <v>26017</v>
      </c>
      <c r="I1856" t="inlineStr">
        <is>
          <t>3.6</t>
        </is>
      </c>
      <c r="J1856" t="inlineStr">
        <is>
          <t>Ventas Delivery Apps</t>
        </is>
      </c>
      <c r="K1856" t="inlineStr">
        <is>
          <t>CH3</t>
        </is>
      </c>
    </row>
    <row r="1857">
      <c r="A1857" s="33" t="n">
        <v>45825</v>
      </c>
      <c r="B1857" t="inlineStr">
        <is>
          <t>2025-06</t>
        </is>
      </c>
      <c r="C1857" t="inlineStr">
        <is>
          <t>Eduardo Jose Spencer Eckart Spa</t>
        </is>
      </c>
      <c r="D1857" t="inlineStr">
        <is>
          <t>HORECA CAFETERIA</t>
        </is>
      </c>
      <c r="E1857" s="34" t="n">
        <v>63966</v>
      </c>
      <c r="F1857" t="inlineStr">
        <is>
          <t>F</t>
        </is>
      </c>
      <c r="G1857" s="34" t="n">
        <v>10213</v>
      </c>
      <c r="H1857" s="34" t="n">
        <v>53753</v>
      </c>
      <c r="I1857" t="inlineStr">
        <is>
          <t>3.1</t>
        </is>
      </c>
      <c r="J1857" t="inlineStr">
        <is>
          <t>Ventas HoReCa</t>
        </is>
      </c>
      <c r="K1857" t="inlineStr">
        <is>
          <t>CH1</t>
        </is>
      </c>
    </row>
    <row r="1858">
      <c r="A1858" s="33" t="n">
        <v>45825</v>
      </c>
      <c r="B1858" t="inlineStr">
        <is>
          <t>2025-06</t>
        </is>
      </c>
      <c r="C1858" t="inlineStr">
        <is>
          <t>Sin cliente</t>
        </is>
      </c>
      <c r="D1858" t="inlineStr">
        <is>
          <t>PLATAFORMAS RAP-PEYA-UBER-GOOD</t>
        </is>
      </c>
      <c r="E1858" s="34" t="n">
        <v>15480</v>
      </c>
      <c r="F1858" t="inlineStr">
        <is>
          <t>B</t>
        </is>
      </c>
      <c r="G1858" s="34" t="n">
        <v>2472</v>
      </c>
      <c r="H1858" s="34" t="n">
        <v>13008</v>
      </c>
      <c r="I1858" t="inlineStr">
        <is>
          <t>3.6</t>
        </is>
      </c>
      <c r="J1858" t="inlineStr">
        <is>
          <t>Ventas Delivery Apps</t>
        </is>
      </c>
      <c r="K1858" t="inlineStr">
        <is>
          <t>CH3</t>
        </is>
      </c>
    </row>
    <row r="1859">
      <c r="A1859" s="33" t="n">
        <v>45825</v>
      </c>
      <c r="B1859" t="inlineStr">
        <is>
          <t>2025-06</t>
        </is>
      </c>
      <c r="C1859" t="inlineStr">
        <is>
          <t>Sin cliente</t>
        </is>
      </c>
      <c r="D1859" t="inlineStr">
        <is>
          <t>PLATAFORMAS RAP-PEYA-UBER-GOOD</t>
        </is>
      </c>
      <c r="E1859" s="34" t="n">
        <v>30960</v>
      </c>
      <c r="F1859" t="inlineStr">
        <is>
          <t>B</t>
        </is>
      </c>
      <c r="G1859" s="34" t="n">
        <v>4943</v>
      </c>
      <c r="H1859" s="34" t="n">
        <v>26017</v>
      </c>
      <c r="I1859" t="inlineStr">
        <is>
          <t>3.6</t>
        </is>
      </c>
      <c r="J1859" t="inlineStr">
        <is>
          <t>Ventas Delivery Apps</t>
        </is>
      </c>
      <c r="K1859" t="inlineStr">
        <is>
          <t>CH3</t>
        </is>
      </c>
    </row>
    <row r="1860">
      <c r="A1860" s="33" t="n">
        <v>45825</v>
      </c>
      <c r="B1860" t="inlineStr">
        <is>
          <t>2025-06</t>
        </is>
      </c>
      <c r="C1860" t="inlineStr">
        <is>
          <t>Maria Garib</t>
        </is>
      </c>
      <c r="D1860" t="inlineStr">
        <is>
          <t>Petit Tradicional</t>
        </is>
      </c>
      <c r="E1860" s="34" t="n">
        <v>23889</v>
      </c>
      <c r="F1860" t="inlineStr">
        <is>
          <t>B</t>
        </is>
      </c>
      <c r="G1860" s="34" t="n">
        <v>3814</v>
      </c>
      <c r="H1860" s="34" t="n">
        <v>20075</v>
      </c>
      <c r="I1860" t="inlineStr">
        <is>
          <t>3.2</t>
        </is>
      </c>
      <c r="J1860" t="inlineStr">
        <is>
          <t>Ventas Personas (B2C)</t>
        </is>
      </c>
      <c r="K1860" t="inlineStr">
        <is>
          <t>CH2</t>
        </is>
      </c>
    </row>
    <row r="1861">
      <c r="A1861" s="33" t="n">
        <v>45825</v>
      </c>
      <c r="B1861" t="inlineStr">
        <is>
          <t>2025-06</t>
        </is>
      </c>
      <c r="C1861" t="inlineStr">
        <is>
          <t>ANDREA CRUZ</t>
        </is>
      </c>
      <c r="D1861" t="inlineStr">
        <is>
          <t>CANELÉ TRADICIONAL</t>
        </is>
      </c>
      <c r="E1861" s="34" t="n">
        <v>14900</v>
      </c>
      <c r="F1861" t="inlineStr">
        <is>
          <t>B</t>
        </is>
      </c>
      <c r="G1861" s="34" t="n">
        <v>2379</v>
      </c>
      <c r="H1861" s="34" t="n">
        <v>12521</v>
      </c>
      <c r="I1861" t="inlineStr">
        <is>
          <t>3.2</t>
        </is>
      </c>
      <c r="J1861" t="inlineStr">
        <is>
          <t>Ventas Personas (B2C)</t>
        </is>
      </c>
      <c r="K1861" t="inlineStr">
        <is>
          <t>CH2</t>
        </is>
      </c>
    </row>
    <row r="1862">
      <c r="A1862" s="33" t="n">
        <v>45826</v>
      </c>
      <c r="B1862" t="inlineStr">
        <is>
          <t>2025-06</t>
        </is>
      </c>
      <c r="C1862" t="inlineStr">
        <is>
          <t>BUSTORF LARSEN Y COMPANIA LIMITADA</t>
        </is>
      </c>
      <c r="D1862" t="inlineStr">
        <is>
          <t>HORECA CAFETERIA</t>
        </is>
      </c>
      <c r="E1862" s="34" t="n">
        <v>64966</v>
      </c>
      <c r="F1862" t="inlineStr">
        <is>
          <t>F</t>
        </is>
      </c>
      <c r="G1862" s="34" t="n">
        <v>10373</v>
      </c>
      <c r="H1862" s="34" t="n">
        <v>54593</v>
      </c>
      <c r="I1862" t="inlineStr">
        <is>
          <t>3.1</t>
        </is>
      </c>
      <c r="J1862" t="inlineStr">
        <is>
          <t>Ventas HoReCa</t>
        </is>
      </c>
      <c r="K1862" t="inlineStr">
        <is>
          <t>CH1</t>
        </is>
      </c>
    </row>
    <row r="1863">
      <c r="A1863" s="33" t="n">
        <v>45826</v>
      </c>
      <c r="B1863" t="inlineStr">
        <is>
          <t>2025-06</t>
        </is>
      </c>
      <c r="C1863" t="inlineStr">
        <is>
          <t>BUSTORF LARSEN Y COMPANIA LIMITADA</t>
        </is>
      </c>
      <c r="D1863" t="inlineStr">
        <is>
          <t>HORECA CAFETERIA</t>
        </is>
      </c>
      <c r="E1863" s="34" t="n">
        <v>63966</v>
      </c>
      <c r="F1863" t="inlineStr">
        <is>
          <t>F</t>
        </is>
      </c>
      <c r="G1863" s="34" t="n">
        <v>10213</v>
      </c>
      <c r="H1863" s="34" t="n">
        <v>53753</v>
      </c>
      <c r="I1863" t="inlineStr">
        <is>
          <t>3.1</t>
        </is>
      </c>
      <c r="J1863" t="inlineStr">
        <is>
          <t>Ventas HoReCa</t>
        </is>
      </c>
      <c r="K1863" t="inlineStr">
        <is>
          <t>CH1</t>
        </is>
      </c>
    </row>
    <row r="1864">
      <c r="A1864" s="33" t="n">
        <v>45826</v>
      </c>
      <c r="B1864" t="inlineStr">
        <is>
          <t>2025-06</t>
        </is>
      </c>
      <c r="C1864" t="inlineStr">
        <is>
          <t>BUSTORF LARSEN Y COMPANIA LIMITADA</t>
        </is>
      </c>
      <c r="D1864" t="inlineStr">
        <is>
          <t>HORECA CAFETERIA</t>
        </is>
      </c>
      <c r="E1864" s="34" t="n">
        <v>64966</v>
      </c>
      <c r="F1864" t="inlineStr">
        <is>
          <t>F</t>
        </is>
      </c>
      <c r="G1864" s="34" t="n">
        <v>10373</v>
      </c>
      <c r="H1864" s="34" t="n">
        <v>54593</v>
      </c>
      <c r="I1864" t="inlineStr">
        <is>
          <t>3.1</t>
        </is>
      </c>
      <c r="J1864" t="inlineStr">
        <is>
          <t>Ventas HoReCa</t>
        </is>
      </c>
      <c r="K1864" t="inlineStr">
        <is>
          <t>CH1</t>
        </is>
      </c>
    </row>
    <row r="1865">
      <c r="A1865" s="33" t="n">
        <v>45826</v>
      </c>
      <c r="B1865" t="inlineStr">
        <is>
          <t>2025-06</t>
        </is>
      </c>
      <c r="C1865" t="inlineStr">
        <is>
          <t>Inversiones Café Dominicos SpA</t>
        </is>
      </c>
      <c r="D1865" t="inlineStr">
        <is>
          <t xml:space="preserve">THE COFFEE STORE </t>
        </is>
      </c>
      <c r="E1865" s="34" t="n">
        <v>36977</v>
      </c>
      <c r="F1865" t="inlineStr">
        <is>
          <t>F</t>
        </is>
      </c>
      <c r="G1865" s="34" t="n">
        <v>5904</v>
      </c>
      <c r="H1865" s="34" t="n">
        <v>31073</v>
      </c>
      <c r="I1865" t="inlineStr">
        <is>
          <t>3.1</t>
        </is>
      </c>
      <c r="J1865" t="inlineStr">
        <is>
          <t>Ventas HoReCa</t>
        </is>
      </c>
      <c r="K1865" t="inlineStr">
        <is>
          <t>CH1</t>
        </is>
      </c>
    </row>
    <row r="1866">
      <c r="A1866" s="33" t="n">
        <v>45826</v>
      </c>
      <c r="B1866" t="inlineStr">
        <is>
          <t>2025-06</t>
        </is>
      </c>
      <c r="C1866" t="inlineStr">
        <is>
          <t>claudia andrea veto rechter</t>
        </is>
      </c>
      <c r="D1866" t="inlineStr">
        <is>
          <t>Petit Tradicional</t>
        </is>
      </c>
      <c r="E1866" s="34" t="n">
        <v>55600</v>
      </c>
      <c r="F1866" t="inlineStr">
        <is>
          <t>B</t>
        </is>
      </c>
      <c r="G1866" s="34" t="n">
        <v>8877</v>
      </c>
      <c r="H1866" s="34" t="n">
        <v>46723</v>
      </c>
      <c r="I1866" t="inlineStr">
        <is>
          <t>3.2</t>
        </is>
      </c>
      <c r="J1866" t="inlineStr">
        <is>
          <t>Ventas Personas (B2C)</t>
        </is>
      </c>
      <c r="K1866" t="inlineStr">
        <is>
          <t>CH2</t>
        </is>
      </c>
    </row>
    <row r="1867">
      <c r="A1867" s="33" t="n">
        <v>45826</v>
      </c>
      <c r="B1867" t="inlineStr">
        <is>
          <t>2025-06</t>
        </is>
      </c>
      <c r="C1867" t="inlineStr">
        <is>
          <t>Sin cliente</t>
        </is>
      </c>
      <c r="D1867" t="inlineStr">
        <is>
          <t>CANELÉ TRADICIONAL</t>
        </is>
      </c>
      <c r="E1867" s="34" t="n">
        <v>2500</v>
      </c>
      <c r="F1867" t="inlineStr">
        <is>
          <t>B</t>
        </is>
      </c>
      <c r="G1867" s="34" t="n">
        <v>399</v>
      </c>
      <c r="H1867" s="34" t="n">
        <v>2101</v>
      </c>
      <c r="I1867" t="inlineStr">
        <is>
          <t>3.2</t>
        </is>
      </c>
      <c r="J1867" t="inlineStr">
        <is>
          <t>Ventas Personas (B2C)</t>
        </is>
      </c>
      <c r="K1867" t="inlineStr">
        <is>
          <t>CH2</t>
        </is>
      </c>
    </row>
    <row r="1868">
      <c r="A1868" s="33" t="n">
        <v>45826</v>
      </c>
      <c r="B1868" t="inlineStr">
        <is>
          <t>2025-06</t>
        </is>
      </c>
      <c r="C1868" t="inlineStr">
        <is>
          <t>Maru Graffe</t>
        </is>
      </c>
      <c r="D1868" t="inlineStr">
        <is>
          <t>Mix Sabores</t>
        </is>
      </c>
      <c r="E1868" s="34" t="n">
        <v>20890</v>
      </c>
      <c r="F1868" t="inlineStr">
        <is>
          <t>B</t>
        </is>
      </c>
      <c r="G1868" s="34" t="n">
        <v>3335</v>
      </c>
      <c r="H1868" s="34" t="n">
        <v>17555</v>
      </c>
      <c r="I1868" t="inlineStr">
        <is>
          <t>3.2</t>
        </is>
      </c>
      <c r="J1868" t="inlineStr">
        <is>
          <t>Ventas Personas (B2C)</t>
        </is>
      </c>
      <c r="K1868" t="inlineStr">
        <is>
          <t>CH2</t>
        </is>
      </c>
    </row>
    <row r="1869">
      <c r="A1869" s="33" t="n">
        <v>45826</v>
      </c>
      <c r="B1869" t="inlineStr">
        <is>
          <t>2025-06</t>
        </is>
      </c>
      <c r="C1869" t="inlineStr">
        <is>
          <t xml:space="preserve">Ximena  Osses </t>
        </is>
      </c>
      <c r="D1869" t="inlineStr">
        <is>
          <t>CANELÉ TRADICIONAL</t>
        </is>
      </c>
      <c r="E1869" s="34" t="n">
        <v>28900</v>
      </c>
      <c r="F1869" t="inlineStr">
        <is>
          <t>B</t>
        </is>
      </c>
      <c r="G1869" s="34" t="n">
        <v>4614</v>
      </c>
      <c r="H1869" s="34" t="n">
        <v>24286</v>
      </c>
      <c r="I1869" t="inlineStr">
        <is>
          <t>3.2</t>
        </is>
      </c>
      <c r="J1869" t="inlineStr">
        <is>
          <t>Ventas Personas (B2C)</t>
        </is>
      </c>
      <c r="K1869" t="inlineStr">
        <is>
          <t>CH2</t>
        </is>
      </c>
    </row>
    <row r="1870">
      <c r="A1870" s="33" t="n">
        <v>45826</v>
      </c>
      <c r="B1870" t="inlineStr">
        <is>
          <t>2025-06</t>
        </is>
      </c>
      <c r="C1870" t="inlineStr">
        <is>
          <t>Sin cliente</t>
        </is>
      </c>
      <c r="D1870" t="inlineStr">
        <is>
          <t>PLATAFORMAS RAP-PEYA-UBER-GOOD</t>
        </is>
      </c>
      <c r="E1870" s="34" t="n">
        <v>28668</v>
      </c>
      <c r="F1870" t="inlineStr">
        <is>
          <t>B</t>
        </is>
      </c>
      <c r="G1870" s="34" t="n">
        <v>4577</v>
      </c>
      <c r="H1870" s="34" t="n">
        <v>24091</v>
      </c>
      <c r="I1870" t="inlineStr">
        <is>
          <t>3.6</t>
        </is>
      </c>
      <c r="J1870" t="inlineStr">
        <is>
          <t>Ventas Delivery Apps</t>
        </is>
      </c>
      <c r="K1870" t="inlineStr">
        <is>
          <t>CH3</t>
        </is>
      </c>
    </row>
    <row r="1871">
      <c r="A1871" s="33" t="n">
        <v>45826</v>
      </c>
      <c r="B1871" t="inlineStr">
        <is>
          <t>2025-06</t>
        </is>
      </c>
      <c r="C1871" t="inlineStr">
        <is>
          <t>Pablo Cid Barraza</t>
        </is>
      </c>
      <c r="D1871" t="inlineStr">
        <is>
          <t>Mix Sabores</t>
        </is>
      </c>
      <c r="E1871" s="34" t="n">
        <v>26790</v>
      </c>
      <c r="F1871" t="inlineStr">
        <is>
          <t>B</t>
        </is>
      </c>
      <c r="G1871" s="34" t="n">
        <v>4277</v>
      </c>
      <c r="H1871" s="34" t="n">
        <v>22513</v>
      </c>
      <c r="I1871" t="inlineStr">
        <is>
          <t>3.2</t>
        </is>
      </c>
      <c r="J1871" t="inlineStr">
        <is>
          <t>Ventas Personas (B2C)</t>
        </is>
      </c>
      <c r="K1871" t="inlineStr">
        <is>
          <t>CH2</t>
        </is>
      </c>
    </row>
    <row r="1872">
      <c r="A1872" s="33" t="n">
        <v>45826</v>
      </c>
      <c r="B1872" t="inlineStr">
        <is>
          <t>2025-06</t>
        </is>
      </c>
      <c r="C1872" t="inlineStr">
        <is>
          <t>stephanie vidal</t>
        </is>
      </c>
      <c r="D1872" t="inlineStr">
        <is>
          <t>Petit Tradicional</t>
        </is>
      </c>
      <c r="E1872" s="34" t="n">
        <v>23889</v>
      </c>
      <c r="F1872" t="inlineStr">
        <is>
          <t>B</t>
        </is>
      </c>
      <c r="G1872" s="34" t="n">
        <v>3814</v>
      </c>
      <c r="H1872" s="34" t="n">
        <v>20075</v>
      </c>
      <c r="I1872" t="inlineStr">
        <is>
          <t>3.2</t>
        </is>
      </c>
      <c r="J1872" t="inlineStr">
        <is>
          <t>Ventas Personas (B2C)</t>
        </is>
      </c>
      <c r="K1872" t="inlineStr">
        <is>
          <t>CH2</t>
        </is>
      </c>
    </row>
    <row r="1873">
      <c r="A1873" s="33" t="n">
        <v>45826</v>
      </c>
      <c r="B1873" t="inlineStr">
        <is>
          <t>2025-06</t>
        </is>
      </c>
      <c r="C1873" t="inlineStr">
        <is>
          <t>Sin cliente</t>
        </is>
      </c>
      <c r="D1873" t="inlineStr">
        <is>
          <t>Petit Tradicional</t>
        </is>
      </c>
      <c r="E1873" s="34" t="n">
        <v>8900</v>
      </c>
      <c r="F1873" t="inlineStr">
        <is>
          <t>B</t>
        </is>
      </c>
      <c r="G1873" s="34" t="n">
        <v>1421</v>
      </c>
      <c r="H1873" s="34" t="n">
        <v>7479</v>
      </c>
      <c r="I1873" t="inlineStr">
        <is>
          <t>3.2</t>
        </is>
      </c>
      <c r="J1873" t="inlineStr">
        <is>
          <t>Ventas Personas (B2C)</t>
        </is>
      </c>
      <c r="K1873" t="inlineStr">
        <is>
          <t>CH2</t>
        </is>
      </c>
    </row>
    <row r="1874">
      <c r="A1874" s="33" t="n">
        <v>45826</v>
      </c>
      <c r="B1874" t="inlineStr">
        <is>
          <t>2025-06</t>
        </is>
      </c>
      <c r="C1874" t="inlineStr">
        <is>
          <t>Sithbunnawath Mao</t>
        </is>
      </c>
      <c r="D1874" t="inlineStr">
        <is>
          <t>CANELÉ TRADICIONAL</t>
        </is>
      </c>
      <c r="E1874" s="34" t="n">
        <v>29889</v>
      </c>
      <c r="F1874" t="inlineStr">
        <is>
          <t>B</t>
        </is>
      </c>
      <c r="G1874" s="34" t="n">
        <v>4772</v>
      </c>
      <c r="H1874" s="34" t="n">
        <v>25117</v>
      </c>
      <c r="I1874" t="inlineStr">
        <is>
          <t>3.2</t>
        </is>
      </c>
      <c r="J1874" t="inlineStr">
        <is>
          <t>Ventas Personas (B2C)</t>
        </is>
      </c>
      <c r="K1874" t="inlineStr">
        <is>
          <t>CH2</t>
        </is>
      </c>
    </row>
    <row r="1875">
      <c r="A1875" s="33" t="n">
        <v>45827</v>
      </c>
      <c r="B1875" t="inlineStr">
        <is>
          <t>2025-06</t>
        </is>
      </c>
      <c r="C1875" t="inlineStr">
        <is>
          <t>CAFÉ UNDER SPA</t>
        </is>
      </c>
      <c r="D1875" t="inlineStr">
        <is>
          <t>HORECA CAFETERIA</t>
        </is>
      </c>
      <c r="E1875" s="34" t="n">
        <v>63966</v>
      </c>
      <c r="F1875" t="inlineStr">
        <is>
          <t>F</t>
        </is>
      </c>
      <c r="G1875" s="34" t="n">
        <v>10213</v>
      </c>
      <c r="H1875" s="34" t="n">
        <v>53753</v>
      </c>
      <c r="I1875" t="inlineStr">
        <is>
          <t>3.1</t>
        </is>
      </c>
      <c r="J1875" t="inlineStr">
        <is>
          <t>Ventas HoReCa</t>
        </is>
      </c>
      <c r="K1875" t="inlineStr">
        <is>
          <t>CH1</t>
        </is>
      </c>
    </row>
    <row r="1876">
      <c r="A1876" s="33" t="n">
        <v>45827</v>
      </c>
      <c r="B1876" t="inlineStr">
        <is>
          <t>2025-06</t>
        </is>
      </c>
      <c r="C1876" t="inlineStr">
        <is>
          <t>HUERTO SUR LIMITADA</t>
        </is>
      </c>
      <c r="D1876" t="inlineStr">
        <is>
          <t>HORECA CAFETERIA</t>
        </is>
      </c>
      <c r="E1876" s="34" t="n">
        <v>89599</v>
      </c>
      <c r="F1876" t="inlineStr">
        <is>
          <t>F</t>
        </is>
      </c>
      <c r="G1876" s="34" t="n">
        <v>14306</v>
      </c>
      <c r="H1876" s="34" t="n">
        <v>75293</v>
      </c>
      <c r="I1876" t="inlineStr">
        <is>
          <t>3.1</t>
        </is>
      </c>
      <c r="J1876" t="inlineStr">
        <is>
          <t>Ventas HoReCa</t>
        </is>
      </c>
      <c r="K1876" t="inlineStr">
        <is>
          <t>CH1</t>
        </is>
      </c>
    </row>
    <row r="1877">
      <c r="A1877" s="33" t="n">
        <v>45827</v>
      </c>
      <c r="B1877" t="inlineStr">
        <is>
          <t>2025-06</t>
        </is>
      </c>
      <c r="C1877" t="inlineStr">
        <is>
          <t>Cafeteria de especialidad al paso Michael C. Plaza</t>
        </is>
      </c>
      <c r="D1877" t="inlineStr">
        <is>
          <t>HORECA CAFETERIA</t>
        </is>
      </c>
      <c r="E1877" s="34" t="n">
        <v>68976</v>
      </c>
      <c r="F1877" t="inlineStr">
        <is>
          <t>F</t>
        </is>
      </c>
      <c r="G1877" s="34" t="n">
        <v>11013</v>
      </c>
      <c r="H1877" s="34" t="n">
        <v>57963</v>
      </c>
      <c r="I1877" t="inlineStr">
        <is>
          <t>3.1</t>
        </is>
      </c>
      <c r="J1877" t="inlineStr">
        <is>
          <t>Ventas HoReCa</t>
        </is>
      </c>
      <c r="K1877" t="inlineStr">
        <is>
          <t>CH1</t>
        </is>
      </c>
    </row>
    <row r="1878">
      <c r="A1878" s="33" t="n">
        <v>45827</v>
      </c>
      <c r="B1878" t="inlineStr">
        <is>
          <t>2025-06</t>
        </is>
      </c>
      <c r="C1878" t="inlineStr">
        <is>
          <t>Inversiones Nagua SPA</t>
        </is>
      </c>
      <c r="D1878" t="inlineStr">
        <is>
          <t>HORECA CAFETERIA</t>
        </is>
      </c>
      <c r="E1878" s="34" t="n">
        <v>63966</v>
      </c>
      <c r="F1878" t="inlineStr">
        <is>
          <t>F</t>
        </is>
      </c>
      <c r="G1878" s="34" t="n">
        <v>10213</v>
      </c>
      <c r="H1878" s="34" t="n">
        <v>53753</v>
      </c>
      <c r="I1878" t="inlineStr">
        <is>
          <t>3.1</t>
        </is>
      </c>
      <c r="J1878" t="inlineStr">
        <is>
          <t>Ventas HoReCa</t>
        </is>
      </c>
      <c r="K1878" t="inlineStr">
        <is>
          <t>CH1</t>
        </is>
      </c>
    </row>
    <row r="1879">
      <c r="A1879" s="33" t="n">
        <v>45827</v>
      </c>
      <c r="B1879" t="inlineStr">
        <is>
          <t>2025-06</t>
        </is>
      </c>
      <c r="C1879" t="inlineStr">
        <is>
          <t>BEMVINDO CAFE</t>
        </is>
      </c>
      <c r="D1879" t="inlineStr">
        <is>
          <t>HORECA CAFETERIA</t>
        </is>
      </c>
      <c r="E1879" s="34" t="n">
        <v>36414</v>
      </c>
      <c r="F1879" t="inlineStr">
        <is>
          <t>F</t>
        </is>
      </c>
      <c r="G1879" s="34" t="n">
        <v>5814</v>
      </c>
      <c r="H1879" s="34" t="n">
        <v>30600</v>
      </c>
      <c r="I1879" t="inlineStr">
        <is>
          <t>3.1</t>
        </is>
      </c>
      <c r="J1879" t="inlineStr">
        <is>
          <t>Ventas HoReCa</t>
        </is>
      </c>
      <c r="K1879" t="inlineStr">
        <is>
          <t>CH1</t>
        </is>
      </c>
    </row>
    <row r="1880">
      <c r="A1880" s="33" t="n">
        <v>45827</v>
      </c>
      <c r="B1880" t="inlineStr">
        <is>
          <t>2025-06</t>
        </is>
      </c>
      <c r="C1880" t="inlineStr">
        <is>
          <t>Nicolas Amenabar</t>
        </is>
      </c>
      <c r="D1880" t="inlineStr">
        <is>
          <t>Petit Tradicional</t>
        </is>
      </c>
      <c r="E1880" s="34" t="n">
        <v>16890</v>
      </c>
      <c r="F1880" t="inlineStr">
        <is>
          <t>B</t>
        </is>
      </c>
      <c r="G1880" s="34" t="n">
        <v>2697</v>
      </c>
      <c r="H1880" s="34" t="n">
        <v>14193</v>
      </c>
      <c r="I1880" t="inlineStr">
        <is>
          <t>3.2</t>
        </is>
      </c>
      <c r="J1880" t="inlineStr">
        <is>
          <t>Ventas Personas (B2C)</t>
        </is>
      </c>
      <c r="K1880" t="inlineStr">
        <is>
          <t>CH2</t>
        </is>
      </c>
    </row>
    <row r="1881">
      <c r="A1881" s="33" t="n">
        <v>45827</v>
      </c>
      <c r="B1881" t="inlineStr">
        <is>
          <t>2025-06</t>
        </is>
      </c>
      <c r="C1881" t="inlineStr">
        <is>
          <t>Sin cliente</t>
        </is>
      </c>
      <c r="D1881" t="inlineStr">
        <is>
          <t>CANELÉ TRADICIONAL</t>
        </is>
      </c>
      <c r="E1881" s="34" t="n">
        <v>21890</v>
      </c>
      <c r="F1881" t="inlineStr">
        <is>
          <t>B</t>
        </is>
      </c>
      <c r="G1881" s="34" t="n">
        <v>3495</v>
      </c>
      <c r="H1881" s="34" t="n">
        <v>18395</v>
      </c>
      <c r="I1881" t="inlineStr">
        <is>
          <t>3.2</t>
        </is>
      </c>
      <c r="J1881" t="inlineStr">
        <is>
          <t>Ventas Personas (B2C)</t>
        </is>
      </c>
      <c r="K1881" t="inlineStr">
        <is>
          <t>CH2</t>
        </is>
      </c>
    </row>
    <row r="1882">
      <c r="A1882" s="33" t="n">
        <v>45827</v>
      </c>
      <c r="B1882" t="inlineStr">
        <is>
          <t>2025-06</t>
        </is>
      </c>
      <c r="C1882" t="inlineStr">
        <is>
          <t>Sin cliente</t>
        </is>
      </c>
      <c r="D1882" t="inlineStr">
        <is>
          <t>CANELÉ TRADICIONAL</t>
        </is>
      </c>
      <c r="E1882" s="34" t="n">
        <v>23800</v>
      </c>
      <c r="F1882" t="inlineStr">
        <is>
          <t>B</t>
        </is>
      </c>
      <c r="G1882" s="34" t="n">
        <v>3800</v>
      </c>
      <c r="H1882" s="34" t="n">
        <v>20000</v>
      </c>
      <c r="I1882" t="inlineStr">
        <is>
          <t>3.2</t>
        </is>
      </c>
      <c r="J1882" t="inlineStr">
        <is>
          <t>Ventas Personas (B2C)</t>
        </is>
      </c>
      <c r="K1882" t="inlineStr">
        <is>
          <t>CH2</t>
        </is>
      </c>
    </row>
    <row r="1883">
      <c r="A1883" s="33" t="n">
        <v>45827</v>
      </c>
      <c r="B1883" t="inlineStr">
        <is>
          <t>2025-06</t>
        </is>
      </c>
      <c r="C1883" t="inlineStr">
        <is>
          <t>Soledad Cáceres</t>
        </is>
      </c>
      <c r="D1883" t="inlineStr">
        <is>
          <t>CANELÉ TRADICIONAL</t>
        </is>
      </c>
      <c r="E1883" s="34" t="n">
        <v>25890</v>
      </c>
      <c r="F1883" t="inlineStr">
        <is>
          <t>B</t>
        </is>
      </c>
      <c r="G1883" s="34" t="n">
        <v>4134</v>
      </c>
      <c r="H1883" s="34" t="n">
        <v>21756</v>
      </c>
      <c r="I1883" t="inlineStr">
        <is>
          <t>3.2</t>
        </is>
      </c>
      <c r="J1883" t="inlineStr">
        <is>
          <t>Ventas Personas (B2C)</t>
        </is>
      </c>
      <c r="K1883" t="inlineStr">
        <is>
          <t>CH2</t>
        </is>
      </c>
    </row>
    <row r="1884">
      <c r="A1884" s="33" t="n">
        <v>45827</v>
      </c>
      <c r="B1884" t="inlineStr">
        <is>
          <t>2025-06</t>
        </is>
      </c>
      <c r="C1884" t="inlineStr">
        <is>
          <t xml:space="preserve">Café lucerna spa </t>
        </is>
      </c>
      <c r="D1884" t="inlineStr">
        <is>
          <t>HORECA CAFETERIA</t>
        </is>
      </c>
      <c r="E1884" s="34" t="n">
        <v>63966</v>
      </c>
      <c r="F1884" t="inlineStr">
        <is>
          <t>F</t>
        </is>
      </c>
      <c r="G1884" s="34" t="n">
        <v>10213</v>
      </c>
      <c r="H1884" s="34" t="n">
        <v>53753</v>
      </c>
      <c r="I1884" t="inlineStr">
        <is>
          <t>3.1</t>
        </is>
      </c>
      <c r="J1884" t="inlineStr">
        <is>
          <t>Ventas HoReCa</t>
        </is>
      </c>
      <c r="K1884" t="inlineStr">
        <is>
          <t>CH1</t>
        </is>
      </c>
    </row>
    <row r="1885">
      <c r="A1885" s="33" t="n">
        <v>45827</v>
      </c>
      <c r="B1885" t="inlineStr">
        <is>
          <t>2025-06</t>
        </is>
      </c>
      <c r="C1885" t="inlineStr">
        <is>
          <t>DIEGO VARGAS BANQUETERIA Y EVENTOS SPA</t>
        </is>
      </c>
      <c r="D1885" t="inlineStr">
        <is>
          <t>Petit Tradicional</t>
        </is>
      </c>
      <c r="E1885" s="34" t="n">
        <v>30900</v>
      </c>
      <c r="F1885" t="inlineStr">
        <is>
          <t>F</t>
        </is>
      </c>
      <c r="G1885" s="34" t="n">
        <v>4934</v>
      </c>
      <c r="H1885" s="34" t="n">
        <v>25966</v>
      </c>
      <c r="I1885" t="inlineStr">
        <is>
          <t>3.1</t>
        </is>
      </c>
      <c r="J1885" t="inlineStr">
        <is>
          <t>Ventas HoReCa</t>
        </is>
      </c>
      <c r="K1885" t="inlineStr">
        <is>
          <t>CH1</t>
        </is>
      </c>
    </row>
    <row r="1886">
      <c r="A1886" s="33" t="n">
        <v>45827</v>
      </c>
      <c r="B1886" t="inlineStr">
        <is>
          <t>2025-06</t>
        </is>
      </c>
      <c r="C1886" t="inlineStr">
        <is>
          <t>GUSTAVO MORENO</t>
        </is>
      </c>
      <c r="D1886" t="inlineStr">
        <is>
          <t>CANELÉ TRADICIONAL</t>
        </is>
      </c>
      <c r="E1886" s="34" t="n">
        <v>21900</v>
      </c>
      <c r="F1886" t="inlineStr">
        <is>
          <t>B</t>
        </is>
      </c>
      <c r="G1886" s="34" t="n">
        <v>3497</v>
      </c>
      <c r="H1886" s="34" t="n">
        <v>18403</v>
      </c>
      <c r="I1886" t="inlineStr">
        <is>
          <t>3.2</t>
        </is>
      </c>
      <c r="J1886" t="inlineStr">
        <is>
          <t>Ventas Personas (B2C)</t>
        </is>
      </c>
      <c r="K1886" t="inlineStr">
        <is>
          <t>CH2</t>
        </is>
      </c>
    </row>
    <row r="1887">
      <c r="A1887" s="33" t="n">
        <v>45827</v>
      </c>
      <c r="B1887" t="inlineStr">
        <is>
          <t>2025-06</t>
        </is>
      </c>
      <c r="C1887" t="inlineStr">
        <is>
          <t>Alejandra Marin</t>
        </is>
      </c>
      <c r="D1887" t="inlineStr">
        <is>
          <t>Petit Crunchy</t>
        </is>
      </c>
      <c r="E1887" s="34" t="n">
        <v>39600</v>
      </c>
      <c r="F1887" t="inlineStr">
        <is>
          <t>B</t>
        </is>
      </c>
      <c r="G1887" s="34" t="n">
        <v>6323</v>
      </c>
      <c r="H1887" s="34" t="n">
        <v>33277</v>
      </c>
      <c r="I1887" t="inlineStr">
        <is>
          <t>3.2</t>
        </is>
      </c>
      <c r="J1887" t="inlineStr">
        <is>
          <t>Ventas Personas (B2C)</t>
        </is>
      </c>
      <c r="K1887" t="inlineStr">
        <is>
          <t>CH2</t>
        </is>
      </c>
    </row>
    <row r="1888">
      <c r="A1888" s="33" t="n">
        <v>45827</v>
      </c>
      <c r="B1888" t="inlineStr">
        <is>
          <t>2025-06</t>
        </is>
      </c>
      <c r="C1888" t="inlineStr">
        <is>
          <t>ALEJANDRA RAMIREZ</t>
        </is>
      </c>
      <c r="D1888" t="inlineStr">
        <is>
          <t>Petit Tradicional</t>
        </is>
      </c>
      <c r="E1888" s="34" t="n">
        <v>12900</v>
      </c>
      <c r="F1888" t="inlineStr">
        <is>
          <t>B</t>
        </is>
      </c>
      <c r="G1888" s="34" t="n">
        <v>2060</v>
      </c>
      <c r="H1888" s="34" t="n">
        <v>10840</v>
      </c>
      <c r="I1888" t="inlineStr">
        <is>
          <t>3.2</t>
        </is>
      </c>
      <c r="J1888" t="inlineStr">
        <is>
          <t>Ventas Personas (B2C)</t>
        </is>
      </c>
      <c r="K1888" t="inlineStr">
        <is>
          <t>CH2</t>
        </is>
      </c>
    </row>
    <row r="1889">
      <c r="A1889" s="33" t="n">
        <v>45827</v>
      </c>
      <c r="B1889" t="inlineStr">
        <is>
          <t>2025-06</t>
        </is>
      </c>
      <c r="C1889" t="inlineStr">
        <is>
          <t>Sin cliente</t>
        </is>
      </c>
      <c r="D1889" t="inlineStr">
        <is>
          <t>Petit Tradicional</t>
        </is>
      </c>
      <c r="E1889" s="34" t="n">
        <v>12900</v>
      </c>
      <c r="F1889" t="inlineStr">
        <is>
          <t>B</t>
        </is>
      </c>
      <c r="G1889" s="34" t="n">
        <v>2060</v>
      </c>
      <c r="H1889" s="34" t="n">
        <v>10840</v>
      </c>
      <c r="I1889" t="inlineStr">
        <is>
          <t>3.2</t>
        </is>
      </c>
      <c r="J1889" t="inlineStr">
        <is>
          <t>Ventas Personas (B2C)</t>
        </is>
      </c>
      <c r="K1889" t="inlineStr">
        <is>
          <t>CH2</t>
        </is>
      </c>
    </row>
    <row r="1890">
      <c r="A1890" s="33" t="n">
        <v>45827</v>
      </c>
      <c r="B1890" t="inlineStr">
        <is>
          <t>2025-06</t>
        </is>
      </c>
      <c r="C1890" t="inlineStr">
        <is>
          <t>Jorge Palacios</t>
        </is>
      </c>
      <c r="D1890" t="inlineStr">
        <is>
          <t>SALSAS</t>
        </is>
      </c>
      <c r="E1890" s="34" t="n">
        <v>26880</v>
      </c>
      <c r="F1890" t="inlineStr">
        <is>
          <t>B</t>
        </is>
      </c>
      <c r="G1890" s="34" t="n">
        <v>4292</v>
      </c>
      <c r="H1890" s="34" t="n">
        <v>22588</v>
      </c>
      <c r="I1890" t="inlineStr">
        <is>
          <t>3.2</t>
        </is>
      </c>
      <c r="J1890" t="inlineStr">
        <is>
          <t>Ventas Personas (B2C)</t>
        </is>
      </c>
      <c r="K1890" t="inlineStr">
        <is>
          <t>CH2</t>
        </is>
      </c>
    </row>
    <row r="1891">
      <c r="A1891" s="33" t="n">
        <v>45827</v>
      </c>
      <c r="B1891" t="inlineStr">
        <is>
          <t>2025-06</t>
        </is>
      </c>
      <c r="C1891" t="inlineStr">
        <is>
          <t>Soledad Ahumada</t>
        </is>
      </c>
      <c r="D1891" t="inlineStr">
        <is>
          <t>PACKS GOURMET</t>
        </is>
      </c>
      <c r="E1891" s="34" t="n">
        <v>26736</v>
      </c>
      <c r="F1891" t="inlineStr">
        <is>
          <t>B</t>
        </is>
      </c>
      <c r="G1891" s="34" t="n">
        <v>4269</v>
      </c>
      <c r="H1891" s="34" t="n">
        <v>22467</v>
      </c>
      <c r="I1891" t="inlineStr">
        <is>
          <t>3.2</t>
        </is>
      </c>
      <c r="J1891" t="inlineStr">
        <is>
          <t>Ventas Personas (B2C)</t>
        </is>
      </c>
      <c r="K1891" t="inlineStr">
        <is>
          <t>CH2</t>
        </is>
      </c>
    </row>
    <row r="1892">
      <c r="A1892" s="33" t="n">
        <v>45828</v>
      </c>
      <c r="B1892" t="inlineStr">
        <is>
          <t>2025-06</t>
        </is>
      </c>
      <c r="C1892" t="inlineStr">
        <is>
          <t>Better Food Spa</t>
        </is>
      </c>
      <c r="D1892" t="inlineStr">
        <is>
          <t>HORECA CAFETERIA</t>
        </is>
      </c>
      <c r="E1892" s="34" t="n">
        <v>299880</v>
      </c>
      <c r="F1892" t="inlineStr">
        <is>
          <t>F</t>
        </is>
      </c>
      <c r="G1892" s="34" t="n">
        <v>47880</v>
      </c>
      <c r="H1892" s="34" t="n">
        <v>252000</v>
      </c>
      <c r="I1892" t="inlineStr">
        <is>
          <t>3.1</t>
        </is>
      </c>
      <c r="J1892" t="inlineStr">
        <is>
          <t>Ventas HoReCa</t>
        </is>
      </c>
      <c r="K1892" t="inlineStr">
        <is>
          <t>CH1</t>
        </is>
      </c>
    </row>
    <row r="1893">
      <c r="A1893" s="33" t="n">
        <v>45828</v>
      </c>
      <c r="B1893" t="inlineStr">
        <is>
          <t>2025-06</t>
        </is>
      </c>
      <c r="C1893" t="inlineStr">
        <is>
          <t>POMPON SPA</t>
        </is>
      </c>
      <c r="D1893" t="inlineStr">
        <is>
          <t>HORECA CAFETERIA</t>
        </is>
      </c>
      <c r="E1893" s="34" t="n">
        <v>220150</v>
      </c>
      <c r="F1893" t="inlineStr">
        <is>
          <t>F</t>
        </is>
      </c>
      <c r="G1893" s="34" t="n">
        <v>35150</v>
      </c>
      <c r="H1893" s="34" t="n">
        <v>185000</v>
      </c>
      <c r="I1893" t="inlineStr">
        <is>
          <t>3.1</t>
        </is>
      </c>
      <c r="J1893" t="inlineStr">
        <is>
          <t>Ventas HoReCa</t>
        </is>
      </c>
      <c r="K1893" t="inlineStr">
        <is>
          <t>CH1</t>
        </is>
      </c>
    </row>
    <row r="1894">
      <c r="A1894" s="33" t="n">
        <v>45828</v>
      </c>
      <c r="B1894" t="inlineStr">
        <is>
          <t>2025-06</t>
        </is>
      </c>
      <c r="C1894" t="inlineStr">
        <is>
          <t>the capital coffee spa</t>
        </is>
      </c>
      <c r="D1894" t="inlineStr">
        <is>
          <t>HORECA CAFETERIA</t>
        </is>
      </c>
      <c r="E1894" s="34" t="n">
        <v>203624</v>
      </c>
      <c r="F1894" t="inlineStr">
        <is>
          <t>F</t>
        </is>
      </c>
      <c r="G1894" s="34" t="n">
        <v>32511</v>
      </c>
      <c r="H1894" s="34" t="n">
        <v>171113</v>
      </c>
      <c r="I1894" t="inlineStr">
        <is>
          <t>3.1</t>
        </is>
      </c>
      <c r="J1894" t="inlineStr">
        <is>
          <t>Ventas HoReCa</t>
        </is>
      </c>
      <c r="K1894" t="inlineStr">
        <is>
          <t>CH1</t>
        </is>
      </c>
    </row>
    <row r="1895">
      <c r="A1895" s="33" t="n">
        <v>45828</v>
      </c>
      <c r="B1895" t="inlineStr">
        <is>
          <t>2025-06</t>
        </is>
      </c>
      <c r="C1895" t="inlineStr">
        <is>
          <t>Cristian Olivares</t>
        </is>
      </c>
      <c r="D1895" t="inlineStr">
        <is>
          <t>Petit Tradicional</t>
        </is>
      </c>
      <c r="E1895" s="34" t="n">
        <v>34889</v>
      </c>
      <c r="F1895" t="inlineStr">
        <is>
          <t>B</t>
        </is>
      </c>
      <c r="G1895" s="34" t="n">
        <v>5571</v>
      </c>
      <c r="H1895" s="34" t="n">
        <v>29318</v>
      </c>
      <c r="I1895" t="inlineStr">
        <is>
          <t>3.2</t>
        </is>
      </c>
      <c r="J1895" t="inlineStr">
        <is>
          <t>Ventas Personas (B2C)</t>
        </is>
      </c>
      <c r="K1895" t="inlineStr">
        <is>
          <t>CH2</t>
        </is>
      </c>
    </row>
    <row r="1896">
      <c r="A1896" s="33" t="n">
        <v>45828</v>
      </c>
      <c r="B1896" t="inlineStr">
        <is>
          <t>2025-06</t>
        </is>
      </c>
      <c r="C1896" t="inlineStr">
        <is>
          <t>Antonia López</t>
        </is>
      </c>
      <c r="D1896" t="inlineStr">
        <is>
          <t>CANELÉ TRADICIONAL</t>
        </is>
      </c>
      <c r="E1896" s="34" t="n">
        <v>26890</v>
      </c>
      <c r="F1896" t="inlineStr">
        <is>
          <t>B</t>
        </is>
      </c>
      <c r="G1896" s="34" t="n">
        <v>4293</v>
      </c>
      <c r="H1896" s="34" t="n">
        <v>22597</v>
      </c>
      <c r="I1896" t="inlineStr">
        <is>
          <t>3.2</t>
        </is>
      </c>
      <c r="J1896" t="inlineStr">
        <is>
          <t>Ventas Personas (B2C)</t>
        </is>
      </c>
      <c r="K1896" t="inlineStr">
        <is>
          <t>CH2</t>
        </is>
      </c>
    </row>
    <row r="1897">
      <c r="A1897" s="33" t="n">
        <v>45828</v>
      </c>
      <c r="B1897" t="inlineStr">
        <is>
          <t>2025-06</t>
        </is>
      </c>
      <c r="C1897" t="inlineStr">
        <is>
          <t>Sin cliente</t>
        </is>
      </c>
      <c r="D1897" t="inlineStr">
        <is>
          <t>SALSAS</t>
        </is>
      </c>
      <c r="E1897" s="34" t="n">
        <v>40880</v>
      </c>
      <c r="F1897" t="inlineStr">
        <is>
          <t>B</t>
        </is>
      </c>
      <c r="G1897" s="34" t="n">
        <v>6527</v>
      </c>
      <c r="H1897" s="34" t="n">
        <v>34353</v>
      </c>
      <c r="I1897" t="inlineStr">
        <is>
          <t>3.2</t>
        </is>
      </c>
      <c r="J1897" t="inlineStr">
        <is>
          <t>Ventas Personas (B2C)</t>
        </is>
      </c>
      <c r="K1897" t="inlineStr">
        <is>
          <t>CH2</t>
        </is>
      </c>
    </row>
    <row r="1898">
      <c r="A1898" s="33" t="n">
        <v>45828</v>
      </c>
      <c r="B1898" t="inlineStr">
        <is>
          <t>2025-06</t>
        </is>
      </c>
      <c r="C1898" t="inlineStr">
        <is>
          <t>Sin cliente</t>
        </is>
      </c>
      <c r="D1898" t="inlineStr">
        <is>
          <t>SALSAS</t>
        </is>
      </c>
      <c r="E1898" s="34" t="n">
        <v>51870</v>
      </c>
      <c r="F1898" t="inlineStr">
        <is>
          <t>B</t>
        </is>
      </c>
      <c r="G1898" s="34" t="n">
        <v>8282</v>
      </c>
      <c r="H1898" s="34" t="n">
        <v>43588</v>
      </c>
      <c r="I1898" t="inlineStr">
        <is>
          <t>3.2</t>
        </is>
      </c>
      <c r="J1898" t="inlineStr">
        <is>
          <t>Ventas Personas (B2C)</t>
        </is>
      </c>
      <c r="K1898" t="inlineStr">
        <is>
          <t>CH2</t>
        </is>
      </c>
    </row>
    <row r="1899">
      <c r="A1899" s="33" t="n">
        <v>45828</v>
      </c>
      <c r="B1899" t="inlineStr">
        <is>
          <t>2025-06</t>
        </is>
      </c>
      <c r="C1899" t="inlineStr">
        <is>
          <t>Sin cliente</t>
        </is>
      </c>
      <c r="D1899" t="inlineStr">
        <is>
          <t>Mix Sabores</t>
        </is>
      </c>
      <c r="E1899" s="34" t="n">
        <v>15900</v>
      </c>
      <c r="F1899" t="inlineStr">
        <is>
          <t>B</t>
        </is>
      </c>
      <c r="G1899" s="34" t="n">
        <v>2539</v>
      </c>
      <c r="H1899" s="34" t="n">
        <v>13361</v>
      </c>
      <c r="I1899" t="inlineStr">
        <is>
          <t>3.2</t>
        </is>
      </c>
      <c r="J1899" t="inlineStr">
        <is>
          <t>Ventas Personas (B2C)</t>
        </is>
      </c>
      <c r="K1899" t="inlineStr">
        <is>
          <t>CH2</t>
        </is>
      </c>
    </row>
    <row r="1900">
      <c r="A1900" s="33" t="n">
        <v>45828</v>
      </c>
      <c r="B1900" t="inlineStr">
        <is>
          <t>2025-06</t>
        </is>
      </c>
      <c r="C1900" t="inlineStr">
        <is>
          <t>Catalina López Insinilla</t>
        </is>
      </c>
      <c r="D1900" t="inlineStr">
        <is>
          <t>Petit Crunchy</t>
        </is>
      </c>
      <c r="E1900" s="34" t="n">
        <v>18890</v>
      </c>
      <c r="F1900" t="inlineStr">
        <is>
          <t>B</t>
        </is>
      </c>
      <c r="G1900" s="34" t="n">
        <v>3016</v>
      </c>
      <c r="H1900" s="34" t="n">
        <v>15874</v>
      </c>
      <c r="I1900" t="inlineStr">
        <is>
          <t>3.2</t>
        </is>
      </c>
      <c r="J1900" t="inlineStr">
        <is>
          <t>Ventas Personas (B2C)</t>
        </is>
      </c>
      <c r="K1900" t="inlineStr">
        <is>
          <t>CH2</t>
        </is>
      </c>
    </row>
    <row r="1901">
      <c r="A1901" s="33" t="n">
        <v>45828</v>
      </c>
      <c r="B1901" t="inlineStr">
        <is>
          <t>2025-06</t>
        </is>
      </c>
      <c r="C1901" t="inlineStr">
        <is>
          <t>Rocio Mendoza</t>
        </is>
      </c>
      <c r="D1901" t="inlineStr">
        <is>
          <t>Petit Crunchy</t>
        </is>
      </c>
      <c r="E1901" s="34" t="n">
        <v>13900</v>
      </c>
      <c r="F1901" t="inlineStr">
        <is>
          <t>B</t>
        </is>
      </c>
      <c r="G1901" s="34" t="n">
        <v>2219</v>
      </c>
      <c r="H1901" s="34" t="n">
        <v>11681</v>
      </c>
      <c r="I1901" t="inlineStr">
        <is>
          <t>3.2</t>
        </is>
      </c>
      <c r="J1901" t="inlineStr">
        <is>
          <t>Ventas Personas (B2C)</t>
        </is>
      </c>
      <c r="K1901" t="inlineStr">
        <is>
          <t>CH2</t>
        </is>
      </c>
    </row>
    <row r="1902">
      <c r="A1902" s="33" t="n">
        <v>45828</v>
      </c>
      <c r="B1902" t="inlineStr">
        <is>
          <t>2025-06</t>
        </is>
      </c>
      <c r="C1902" t="inlineStr">
        <is>
          <t>Carol Diaz</t>
        </is>
      </c>
      <c r="D1902" t="inlineStr">
        <is>
          <t>Petit Crunchy</t>
        </is>
      </c>
      <c r="E1902" s="34" t="n">
        <v>13900</v>
      </c>
      <c r="F1902" t="inlineStr">
        <is>
          <t>B</t>
        </is>
      </c>
      <c r="G1902" s="34" t="n">
        <v>2219</v>
      </c>
      <c r="H1902" s="34" t="n">
        <v>11681</v>
      </c>
      <c r="I1902" t="inlineStr">
        <is>
          <t>3.2</t>
        </is>
      </c>
      <c r="J1902" t="inlineStr">
        <is>
          <t>Ventas Personas (B2C)</t>
        </is>
      </c>
      <c r="K1902" t="inlineStr">
        <is>
          <t>CH2</t>
        </is>
      </c>
    </row>
    <row r="1903">
      <c r="A1903" s="33" t="n">
        <v>45829</v>
      </c>
      <c r="B1903" t="inlineStr">
        <is>
          <t>2025-06</t>
        </is>
      </c>
      <c r="C1903" t="inlineStr">
        <is>
          <t>Carolina León</t>
        </is>
      </c>
      <c r="D1903" t="inlineStr">
        <is>
          <t>CANELÉ TRADICIONAL</t>
        </is>
      </c>
      <c r="E1903" s="34" t="n">
        <v>14900</v>
      </c>
      <c r="F1903" t="inlineStr">
        <is>
          <t>B</t>
        </is>
      </c>
      <c r="G1903" s="34" t="n">
        <v>2379</v>
      </c>
      <c r="H1903" s="34" t="n">
        <v>12521</v>
      </c>
      <c r="I1903" t="inlineStr">
        <is>
          <t>3.2</t>
        </is>
      </c>
      <c r="J1903" t="inlineStr">
        <is>
          <t>Ventas Personas (B2C)</t>
        </is>
      </c>
      <c r="K1903" t="inlineStr">
        <is>
          <t>CH2</t>
        </is>
      </c>
    </row>
    <row r="1904">
      <c r="A1904" s="33" t="n">
        <v>45829</v>
      </c>
      <c r="B1904" t="inlineStr">
        <is>
          <t>2025-06</t>
        </is>
      </c>
      <c r="C1904" t="inlineStr">
        <is>
          <t>Sin cliente</t>
        </is>
      </c>
      <c r="D1904" t="inlineStr">
        <is>
          <t>Petit Tradicional</t>
        </is>
      </c>
      <c r="E1904" s="34" t="n">
        <v>6450</v>
      </c>
      <c r="F1904" t="inlineStr">
        <is>
          <t>B</t>
        </is>
      </c>
      <c r="G1904" s="34" t="n">
        <v>1030</v>
      </c>
      <c r="H1904" s="34" t="n">
        <v>5420</v>
      </c>
      <c r="I1904" t="inlineStr">
        <is>
          <t>3.2</t>
        </is>
      </c>
      <c r="J1904" t="inlineStr">
        <is>
          <t>Ventas Personas (B2C)</t>
        </is>
      </c>
      <c r="K1904" t="inlineStr">
        <is>
          <t>CH2</t>
        </is>
      </c>
    </row>
    <row r="1905">
      <c r="A1905" s="33" t="n">
        <v>45829</v>
      </c>
      <c r="B1905" t="inlineStr">
        <is>
          <t>2025-06</t>
        </is>
      </c>
      <c r="C1905" t="inlineStr">
        <is>
          <t>Sin cliente</t>
        </is>
      </c>
      <c r="D1905" t="inlineStr">
        <is>
          <t>CANELÉ TRADICIONAL</t>
        </is>
      </c>
      <c r="E1905" s="34" t="n">
        <v>16900</v>
      </c>
      <c r="F1905" t="inlineStr">
        <is>
          <t>B</t>
        </is>
      </c>
      <c r="G1905" s="34" t="n">
        <v>2698</v>
      </c>
      <c r="H1905" s="34" t="n">
        <v>14202</v>
      </c>
      <c r="I1905" t="inlineStr">
        <is>
          <t>3.2</t>
        </is>
      </c>
      <c r="J1905" t="inlineStr">
        <is>
          <t>Ventas Personas (B2C)</t>
        </is>
      </c>
      <c r="K1905" t="inlineStr">
        <is>
          <t>CH2</t>
        </is>
      </c>
    </row>
    <row r="1906">
      <c r="A1906" s="33" t="n">
        <v>45829</v>
      </c>
      <c r="B1906" t="inlineStr">
        <is>
          <t>2025-06</t>
        </is>
      </c>
      <c r="C1906" t="inlineStr">
        <is>
          <t>Pedro ochoa</t>
        </is>
      </c>
      <c r="D1906" t="inlineStr">
        <is>
          <t>CANELÉ TRADICIONAL</t>
        </is>
      </c>
      <c r="E1906" s="34" t="n">
        <v>14900</v>
      </c>
      <c r="F1906" t="inlineStr">
        <is>
          <t>B</t>
        </is>
      </c>
      <c r="G1906" s="34" t="n">
        <v>2379</v>
      </c>
      <c r="H1906" s="34" t="n">
        <v>12521</v>
      </c>
      <c r="I1906" t="inlineStr">
        <is>
          <t>3.2</t>
        </is>
      </c>
      <c r="J1906" t="inlineStr">
        <is>
          <t>Ventas Personas (B2C)</t>
        </is>
      </c>
      <c r="K1906" t="inlineStr">
        <is>
          <t>CH2</t>
        </is>
      </c>
    </row>
    <row r="1907">
      <c r="A1907" s="33" t="n">
        <v>45829</v>
      </c>
      <c r="B1907" t="inlineStr">
        <is>
          <t>2025-06</t>
        </is>
      </c>
      <c r="C1907" t="inlineStr">
        <is>
          <t>Sofia Mereles</t>
        </is>
      </c>
      <c r="D1907" t="inlineStr">
        <is>
          <t>Rellenos</t>
        </is>
      </c>
      <c r="E1907" s="34" t="n">
        <v>34890</v>
      </c>
      <c r="F1907" t="inlineStr">
        <is>
          <t>B</t>
        </is>
      </c>
      <c r="G1907" s="34" t="n">
        <v>5571</v>
      </c>
      <c r="H1907" s="34" t="n">
        <v>29319</v>
      </c>
      <c r="I1907" t="inlineStr">
        <is>
          <t>3.2</t>
        </is>
      </c>
      <c r="J1907" t="inlineStr">
        <is>
          <t>Ventas Personas (B2C)</t>
        </is>
      </c>
      <c r="K1907" t="inlineStr">
        <is>
          <t>CH2</t>
        </is>
      </c>
    </row>
    <row r="1908">
      <c r="A1908" s="33" t="n">
        <v>45829</v>
      </c>
      <c r="B1908" t="inlineStr">
        <is>
          <t>2025-06</t>
        </is>
      </c>
      <c r="C1908" t="inlineStr">
        <is>
          <t>Verónica Castañeda</t>
        </is>
      </c>
      <c r="D1908" t="inlineStr">
        <is>
          <t>SALSAS</t>
        </is>
      </c>
      <c r="E1908" s="34" t="n">
        <v>26880</v>
      </c>
      <c r="F1908" t="inlineStr">
        <is>
          <t>B</t>
        </is>
      </c>
      <c r="G1908" s="34" t="n">
        <v>4292</v>
      </c>
      <c r="H1908" s="34" t="n">
        <v>22588</v>
      </c>
      <c r="I1908" t="inlineStr">
        <is>
          <t>3.2</t>
        </is>
      </c>
      <c r="J1908" t="inlineStr">
        <is>
          <t>Ventas Personas (B2C)</t>
        </is>
      </c>
      <c r="K1908" t="inlineStr">
        <is>
          <t>CH2</t>
        </is>
      </c>
    </row>
    <row r="1909">
      <c r="A1909" s="33" t="n">
        <v>45830</v>
      </c>
      <c r="B1909" t="inlineStr">
        <is>
          <t>2025-06</t>
        </is>
      </c>
      <c r="C1909" t="inlineStr">
        <is>
          <t>Benjamin Gallegos</t>
        </is>
      </c>
      <c r="D1909" t="inlineStr">
        <is>
          <t>CANELÉ TRADICIONAL</t>
        </is>
      </c>
      <c r="E1909" s="34" t="n">
        <v>48790</v>
      </c>
      <c r="F1909" t="inlineStr">
        <is>
          <t>B</t>
        </is>
      </c>
      <c r="G1909" s="34" t="n">
        <v>7790</v>
      </c>
      <c r="H1909" s="34" t="n">
        <v>41000</v>
      </c>
      <c r="I1909" t="inlineStr">
        <is>
          <t>3.2</t>
        </is>
      </c>
      <c r="J1909" t="inlineStr">
        <is>
          <t>Ventas Personas (B2C)</t>
        </is>
      </c>
      <c r="K1909" t="inlineStr">
        <is>
          <t>CH2</t>
        </is>
      </c>
    </row>
    <row r="1910">
      <c r="A1910" s="33" t="n">
        <v>45831</v>
      </c>
      <c r="B1910" t="inlineStr">
        <is>
          <t>2025-06</t>
        </is>
      </c>
      <c r="C1910" t="inlineStr">
        <is>
          <t>catherine lathrop</t>
        </is>
      </c>
      <c r="D1910" t="inlineStr">
        <is>
          <t>SALSAS</t>
        </is>
      </c>
      <c r="E1910" s="34" t="n">
        <v>95570</v>
      </c>
      <c r="F1910" t="inlineStr">
        <is>
          <t>B</t>
        </is>
      </c>
      <c r="G1910" s="34" t="n">
        <v>15259</v>
      </c>
      <c r="H1910" s="34" t="n">
        <v>80311</v>
      </c>
      <c r="I1910" t="inlineStr">
        <is>
          <t>3.2</t>
        </is>
      </c>
      <c r="J1910" t="inlineStr">
        <is>
          <t>Ventas Personas (B2C)</t>
        </is>
      </c>
      <c r="K1910" t="inlineStr">
        <is>
          <t>CH2</t>
        </is>
      </c>
    </row>
    <row r="1911">
      <c r="A1911" s="33" t="n">
        <v>45831</v>
      </c>
      <c r="B1911" t="inlineStr">
        <is>
          <t>2025-06</t>
        </is>
      </c>
      <c r="C1911" t="inlineStr">
        <is>
          <t>INVERSIONES Y ASESORIAS RAVAL LIMITADA</t>
        </is>
      </c>
      <c r="D1911" t="inlineStr">
        <is>
          <t>HORECA CAFETERIA</t>
        </is>
      </c>
      <c r="E1911" s="34" t="n">
        <v>67956</v>
      </c>
      <c r="F1911" t="inlineStr">
        <is>
          <t>F</t>
        </is>
      </c>
      <c r="G1911" s="34" t="n">
        <v>10850</v>
      </c>
      <c r="H1911" s="34" t="n">
        <v>57106</v>
      </c>
      <c r="I1911" t="inlineStr">
        <is>
          <t>3.1</t>
        </is>
      </c>
      <c r="J1911" t="inlineStr">
        <is>
          <t>Ventas HoReCa</t>
        </is>
      </c>
      <c r="K1911" t="inlineStr">
        <is>
          <t>CH1</t>
        </is>
      </c>
    </row>
    <row r="1912">
      <c r="A1912" s="33" t="n">
        <v>45831</v>
      </c>
      <c r="B1912" t="inlineStr">
        <is>
          <t>2025-06</t>
        </is>
      </c>
      <c r="C1912" t="inlineStr">
        <is>
          <t>CAFETERÍA ALTURA LIMITADA</t>
        </is>
      </c>
      <c r="D1912" t="inlineStr">
        <is>
          <t>HORECA CAFETERIA</t>
        </is>
      </c>
      <c r="E1912" s="34" t="n">
        <v>53899</v>
      </c>
      <c r="F1912" t="inlineStr">
        <is>
          <t>F</t>
        </is>
      </c>
      <c r="G1912" s="34" t="n">
        <v>8606</v>
      </c>
      <c r="H1912" s="34" t="n">
        <v>45293</v>
      </c>
      <c r="I1912" t="inlineStr">
        <is>
          <t>3.1</t>
        </is>
      </c>
      <c r="J1912" t="inlineStr">
        <is>
          <t>Ventas HoReCa</t>
        </is>
      </c>
      <c r="K1912" t="inlineStr">
        <is>
          <t>CH1</t>
        </is>
      </c>
    </row>
    <row r="1913">
      <c r="A1913" s="33" t="n">
        <v>45831</v>
      </c>
      <c r="B1913" t="inlineStr">
        <is>
          <t>2025-06</t>
        </is>
      </c>
      <c r="C1913" t="inlineStr">
        <is>
          <t>INVERSIONES Y COMERCIALIZADORA FED LIMITADA</t>
        </is>
      </c>
      <c r="D1913" t="inlineStr">
        <is>
          <t>HORECA CAFETERIA</t>
        </is>
      </c>
      <c r="E1913" s="34" t="n">
        <v>79853</v>
      </c>
      <c r="F1913" t="inlineStr">
        <is>
          <t>F</t>
        </is>
      </c>
      <c r="G1913" s="34" t="n">
        <v>12750</v>
      </c>
      <c r="H1913" s="34" t="n">
        <v>67103</v>
      </c>
      <c r="I1913" t="inlineStr">
        <is>
          <t>3.1</t>
        </is>
      </c>
      <c r="J1913" t="inlineStr">
        <is>
          <t>Ventas HoReCa</t>
        </is>
      </c>
      <c r="K1913" t="inlineStr">
        <is>
          <t>CH1</t>
        </is>
      </c>
    </row>
    <row r="1914">
      <c r="A1914" s="33" t="n">
        <v>45831</v>
      </c>
      <c r="B1914" t="inlineStr">
        <is>
          <t>2025-06</t>
        </is>
      </c>
      <c r="C1914" t="inlineStr">
        <is>
          <t>INVERSIONES Y COMERCIALIZADORA FED LIMITADA</t>
        </is>
      </c>
      <c r="D1914" t="inlineStr">
        <is>
          <t>HORECA CAFETERIA</t>
        </is>
      </c>
      <c r="E1914" s="34" t="n">
        <v>132269</v>
      </c>
      <c r="F1914" t="inlineStr">
        <is>
          <t>F</t>
        </is>
      </c>
      <c r="G1914" s="34" t="n">
        <v>21119</v>
      </c>
      <c r="H1914" s="34" t="n">
        <v>111150</v>
      </c>
      <c r="I1914" t="inlineStr">
        <is>
          <t>3.1</t>
        </is>
      </c>
      <c r="J1914" t="inlineStr">
        <is>
          <t>Ventas HoReCa</t>
        </is>
      </c>
      <c r="K1914" t="inlineStr">
        <is>
          <t>CH1</t>
        </is>
      </c>
    </row>
    <row r="1915">
      <c r="A1915" s="33" t="n">
        <v>45831</v>
      </c>
      <c r="B1915" t="inlineStr">
        <is>
          <t>2025-06</t>
        </is>
      </c>
      <c r="C1915" t="inlineStr">
        <is>
          <t>POMPON SPA</t>
        </is>
      </c>
      <c r="D1915" t="inlineStr">
        <is>
          <t>HORECA CAFETERIA</t>
        </is>
      </c>
      <c r="E1915" s="34" t="n">
        <v>132510</v>
      </c>
      <c r="F1915" t="inlineStr">
        <is>
          <t>F</t>
        </is>
      </c>
      <c r="G1915" s="34" t="n">
        <v>21157</v>
      </c>
      <c r="H1915" s="34" t="n">
        <v>111353</v>
      </c>
      <c r="I1915" t="inlineStr">
        <is>
          <t>3.1</t>
        </is>
      </c>
      <c r="J1915" t="inlineStr">
        <is>
          <t>Ventas HoReCa</t>
        </is>
      </c>
      <c r="K1915" t="inlineStr">
        <is>
          <t>CH1</t>
        </is>
      </c>
    </row>
    <row r="1916">
      <c r="A1916" s="33" t="n">
        <v>45831</v>
      </c>
      <c r="B1916" t="inlineStr">
        <is>
          <t>2025-06</t>
        </is>
      </c>
      <c r="C1916" t="inlineStr">
        <is>
          <t>carolina alvarez</t>
        </is>
      </c>
      <c r="D1916" t="inlineStr">
        <is>
          <t>Rellenos</t>
        </is>
      </c>
      <c r="E1916" s="34" t="n">
        <v>29900</v>
      </c>
      <c r="F1916" t="inlineStr">
        <is>
          <t>B</t>
        </is>
      </c>
      <c r="G1916" s="34" t="n">
        <v>4774</v>
      </c>
      <c r="H1916" s="34" t="n">
        <v>25126</v>
      </c>
      <c r="I1916" t="inlineStr">
        <is>
          <t>3.2</t>
        </is>
      </c>
      <c r="J1916" t="inlineStr">
        <is>
          <t>Ventas Personas (B2C)</t>
        </is>
      </c>
      <c r="K1916" t="inlineStr">
        <is>
          <t>CH2</t>
        </is>
      </c>
    </row>
    <row r="1917">
      <c r="A1917" s="33" t="n">
        <v>45831</v>
      </c>
      <c r="B1917" t="inlineStr">
        <is>
          <t>2025-06</t>
        </is>
      </c>
      <c r="C1917" t="inlineStr">
        <is>
          <t>KITCHEN ART SPA</t>
        </is>
      </c>
      <c r="D1917" t="inlineStr">
        <is>
          <t>HORECA CATERING</t>
        </is>
      </c>
      <c r="E1917" s="34" t="n">
        <v>66045</v>
      </c>
      <c r="F1917" t="inlineStr">
        <is>
          <t>F</t>
        </is>
      </c>
      <c r="G1917" s="34" t="n">
        <v>10545</v>
      </c>
      <c r="H1917" s="34" t="n">
        <v>55500</v>
      </c>
      <c r="I1917" t="inlineStr">
        <is>
          <t>3.1</t>
        </is>
      </c>
      <c r="J1917" t="inlineStr">
        <is>
          <t>Ventas HoReCa</t>
        </is>
      </c>
      <c r="K1917" t="inlineStr">
        <is>
          <t>CH1</t>
        </is>
      </c>
    </row>
    <row r="1918">
      <c r="A1918" s="33" t="n">
        <v>45831</v>
      </c>
      <c r="B1918" t="inlineStr">
        <is>
          <t>2025-06</t>
        </is>
      </c>
      <c r="C1918" t="inlineStr">
        <is>
          <t>RICO SPA</t>
        </is>
      </c>
      <c r="D1918" t="inlineStr">
        <is>
          <t>HORECA CATERING</t>
        </is>
      </c>
      <c r="E1918" s="34" t="n">
        <v>66045</v>
      </c>
      <c r="F1918" t="inlineStr">
        <is>
          <t>F</t>
        </is>
      </c>
      <c r="G1918" s="34" t="n">
        <v>10545</v>
      </c>
      <c r="H1918" s="34" t="n">
        <v>55500</v>
      </c>
      <c r="I1918" t="inlineStr">
        <is>
          <t>3.1</t>
        </is>
      </c>
      <c r="J1918" t="inlineStr">
        <is>
          <t>Ventas HoReCa</t>
        </is>
      </c>
      <c r="K1918" t="inlineStr">
        <is>
          <t>CH1</t>
        </is>
      </c>
    </row>
    <row r="1919">
      <c r="A1919" s="33" t="n">
        <v>45831</v>
      </c>
      <c r="B1919" t="inlineStr">
        <is>
          <t>2025-06</t>
        </is>
      </c>
      <c r="C1919" t="inlineStr">
        <is>
          <t>Sin cliente</t>
        </is>
      </c>
      <c r="D1919" t="inlineStr">
        <is>
          <t>Petit Tradicional</t>
        </is>
      </c>
      <c r="E1919" s="34" t="n">
        <v>15450</v>
      </c>
      <c r="F1919" t="inlineStr">
        <is>
          <t>B</t>
        </is>
      </c>
      <c r="G1919" s="34" t="n">
        <v>2467</v>
      </c>
      <c r="H1919" s="34" t="n">
        <v>12983</v>
      </c>
      <c r="I1919" t="inlineStr">
        <is>
          <t>3.2</t>
        </is>
      </c>
      <c r="J1919" t="inlineStr">
        <is>
          <t>Ventas Personas (B2C)</t>
        </is>
      </c>
      <c r="K1919" t="inlineStr">
        <is>
          <t>CH2</t>
        </is>
      </c>
    </row>
    <row r="1920">
      <c r="A1920" s="33" t="n">
        <v>45831</v>
      </c>
      <c r="B1920" t="inlineStr">
        <is>
          <t>2025-06</t>
        </is>
      </c>
      <c r="C1920" t="inlineStr">
        <is>
          <t>Gisselle Contreras Leiva</t>
        </is>
      </c>
      <c r="D1920" t="inlineStr">
        <is>
          <t>Petit Crunchy</t>
        </is>
      </c>
      <c r="E1920" s="34" t="n">
        <v>29890</v>
      </c>
      <c r="F1920" t="inlineStr">
        <is>
          <t>B</t>
        </is>
      </c>
      <c r="G1920" s="34" t="n">
        <v>4772</v>
      </c>
      <c r="H1920" s="34" t="n">
        <v>25118</v>
      </c>
      <c r="I1920" t="inlineStr">
        <is>
          <t>3.2</t>
        </is>
      </c>
      <c r="J1920" t="inlineStr">
        <is>
          <t>Ventas Personas (B2C)</t>
        </is>
      </c>
      <c r="K1920" t="inlineStr">
        <is>
          <t>CH2</t>
        </is>
      </c>
    </row>
    <row r="1921">
      <c r="A1921" s="33" t="n">
        <v>45831</v>
      </c>
      <c r="B1921" t="inlineStr">
        <is>
          <t>2025-06</t>
        </is>
      </c>
      <c r="C1921" t="inlineStr">
        <is>
          <t>Maira Machado</t>
        </is>
      </c>
      <c r="D1921" t="inlineStr">
        <is>
          <t>CANELÉ TRADICIONAL</t>
        </is>
      </c>
      <c r="E1921" s="34" t="n">
        <v>21890</v>
      </c>
      <c r="F1921" t="inlineStr">
        <is>
          <t>B</t>
        </is>
      </c>
      <c r="G1921" s="34" t="n">
        <v>3495</v>
      </c>
      <c r="H1921" s="34" t="n">
        <v>18395</v>
      </c>
      <c r="I1921" t="inlineStr">
        <is>
          <t>3.2</t>
        </is>
      </c>
      <c r="J1921" t="inlineStr">
        <is>
          <t>Ventas Personas (B2C)</t>
        </is>
      </c>
      <c r="K1921" t="inlineStr">
        <is>
          <t>CH2</t>
        </is>
      </c>
    </row>
    <row r="1922">
      <c r="A1922" s="33" t="n">
        <v>45831</v>
      </c>
      <c r="B1922" t="inlineStr">
        <is>
          <t>2025-06</t>
        </is>
      </c>
      <c r="C1922" t="inlineStr">
        <is>
          <t>Dayana Barrios</t>
        </is>
      </c>
      <c r="D1922" t="inlineStr">
        <is>
          <t>CANELÉ TRADICIONAL</t>
        </is>
      </c>
      <c r="E1922" s="34" t="n">
        <v>21890</v>
      </c>
      <c r="F1922" t="inlineStr">
        <is>
          <t>B</t>
        </is>
      </c>
      <c r="G1922" s="34" t="n">
        <v>3495</v>
      </c>
      <c r="H1922" s="34" t="n">
        <v>18395</v>
      </c>
      <c r="I1922" t="inlineStr">
        <is>
          <t>3.2</t>
        </is>
      </c>
      <c r="J1922" t="inlineStr">
        <is>
          <t>Ventas Personas (B2C)</t>
        </is>
      </c>
      <c r="K1922" t="inlineStr">
        <is>
          <t>CH2</t>
        </is>
      </c>
    </row>
    <row r="1923">
      <c r="A1923" s="33" t="n">
        <v>45831</v>
      </c>
      <c r="B1923" t="inlineStr">
        <is>
          <t>2025-06</t>
        </is>
      </c>
      <c r="C1923" t="inlineStr">
        <is>
          <t>LUCIANA  PELLEGRINI</t>
        </is>
      </c>
      <c r="D1923" t="inlineStr">
        <is>
          <t>Petit Tradicional</t>
        </is>
      </c>
      <c r="E1923" s="34" t="n">
        <v>8900</v>
      </c>
      <c r="F1923" t="inlineStr">
        <is>
          <t>B</t>
        </is>
      </c>
      <c r="G1923" s="34" t="n">
        <v>1421</v>
      </c>
      <c r="H1923" s="34" t="n">
        <v>7479</v>
      </c>
      <c r="I1923" t="inlineStr">
        <is>
          <t>3.2</t>
        </is>
      </c>
      <c r="J1923" t="inlineStr">
        <is>
          <t>Ventas Personas (B2C)</t>
        </is>
      </c>
      <c r="K1923" t="inlineStr">
        <is>
          <t>CH2</t>
        </is>
      </c>
    </row>
    <row r="1924">
      <c r="A1924" s="33" t="n">
        <v>45831</v>
      </c>
      <c r="B1924" t="inlineStr">
        <is>
          <t>2025-06</t>
        </is>
      </c>
      <c r="C1924" t="inlineStr">
        <is>
          <t>Sin cliente</t>
        </is>
      </c>
      <c r="D1924" t="inlineStr">
        <is>
          <t>PLATAFORMAS RAP-PEYA-UBER-GOOD</t>
        </is>
      </c>
      <c r="E1924" s="34" t="n">
        <v>26280</v>
      </c>
      <c r="F1924" t="inlineStr">
        <is>
          <t>B</t>
        </is>
      </c>
      <c r="G1924" s="34" t="n">
        <v>4196</v>
      </c>
      <c r="H1924" s="34" t="n">
        <v>22084</v>
      </c>
      <c r="I1924" t="inlineStr">
        <is>
          <t>3.6</t>
        </is>
      </c>
      <c r="J1924" t="inlineStr">
        <is>
          <t>Ventas Delivery Apps</t>
        </is>
      </c>
      <c r="K1924" t="inlineStr">
        <is>
          <t>CH3</t>
        </is>
      </c>
    </row>
    <row r="1925">
      <c r="A1925" s="33" t="n">
        <v>45831</v>
      </c>
      <c r="B1925" t="inlineStr">
        <is>
          <t>2025-06</t>
        </is>
      </c>
      <c r="C1925" t="inlineStr">
        <is>
          <t>Diego Castro</t>
        </is>
      </c>
      <c r="D1925" t="inlineStr">
        <is>
          <t>Petit Crunchy</t>
        </is>
      </c>
      <c r="E1925" s="34" t="n">
        <v>17889</v>
      </c>
      <c r="F1925" t="inlineStr">
        <is>
          <t>B</t>
        </is>
      </c>
      <c r="G1925" s="34" t="n">
        <v>2856</v>
      </c>
      <c r="H1925" s="34" t="n">
        <v>15033</v>
      </c>
      <c r="I1925" t="inlineStr">
        <is>
          <t>3.2</t>
        </is>
      </c>
      <c r="J1925" t="inlineStr">
        <is>
          <t>Ventas Personas (B2C)</t>
        </is>
      </c>
      <c r="K1925" t="inlineStr">
        <is>
          <t>CH2</t>
        </is>
      </c>
    </row>
    <row r="1926">
      <c r="A1926" s="33" t="n">
        <v>45832</v>
      </c>
      <c r="B1926" t="inlineStr">
        <is>
          <t>2025-06</t>
        </is>
      </c>
      <c r="C1926" t="inlineStr">
        <is>
          <t>Alejandra Montenegro</t>
        </is>
      </c>
      <c r="D1926" t="inlineStr">
        <is>
          <t>CANELÉ TRADICIONAL</t>
        </is>
      </c>
      <c r="E1926" s="34" t="n">
        <v>11489</v>
      </c>
      <c r="F1926" t="inlineStr">
        <is>
          <t>B</t>
        </is>
      </c>
      <c r="G1926" s="34" t="n">
        <v>1834</v>
      </c>
      <c r="H1926" s="34" t="n">
        <v>9655</v>
      </c>
      <c r="I1926" t="inlineStr">
        <is>
          <t>3.2</t>
        </is>
      </c>
      <c r="J1926" t="inlineStr">
        <is>
          <t>Ventas Personas (B2C)</t>
        </is>
      </c>
      <c r="K1926" t="inlineStr">
        <is>
          <t>CH2</t>
        </is>
      </c>
    </row>
    <row r="1927">
      <c r="A1927" s="33" t="n">
        <v>45832</v>
      </c>
      <c r="B1927" t="inlineStr">
        <is>
          <t>2025-06</t>
        </is>
      </c>
      <c r="C1927" t="inlineStr">
        <is>
          <t>Jaime Rivera</t>
        </is>
      </c>
      <c r="D1927" t="inlineStr">
        <is>
          <t>Petit Tradicional</t>
        </is>
      </c>
      <c r="E1927" s="34" t="n">
        <v>30800</v>
      </c>
      <c r="F1927" t="inlineStr">
        <is>
          <t>B</t>
        </is>
      </c>
      <c r="G1927" s="34" t="n">
        <v>4918</v>
      </c>
      <c r="H1927" s="34" t="n">
        <v>25882</v>
      </c>
      <c r="I1927" t="inlineStr">
        <is>
          <t>3.2</t>
        </is>
      </c>
      <c r="J1927" t="inlineStr">
        <is>
          <t>Ventas Personas (B2C)</t>
        </is>
      </c>
      <c r="K1927" t="inlineStr">
        <is>
          <t>CH2</t>
        </is>
      </c>
    </row>
    <row r="1928">
      <c r="A1928" s="33" t="n">
        <v>45832</v>
      </c>
      <c r="B1928" t="inlineStr">
        <is>
          <t>2025-06</t>
        </is>
      </c>
      <c r="C1928" t="inlineStr">
        <is>
          <t>Dianmar Briceño</t>
        </is>
      </c>
      <c r="D1928" t="inlineStr">
        <is>
          <t>CANELE SIN AZUCAR</t>
        </is>
      </c>
      <c r="E1928" s="34" t="n">
        <v>31300</v>
      </c>
      <c r="F1928" t="inlineStr">
        <is>
          <t>B</t>
        </is>
      </c>
      <c r="G1928" s="34" t="n">
        <v>4997</v>
      </c>
      <c r="H1928" s="34" t="n">
        <v>26303</v>
      </c>
      <c r="I1928" t="inlineStr">
        <is>
          <t>3.2</t>
        </is>
      </c>
      <c r="J1928" t="inlineStr">
        <is>
          <t>Ventas Personas (B2C)</t>
        </is>
      </c>
      <c r="K1928" t="inlineStr">
        <is>
          <t>CH2</t>
        </is>
      </c>
    </row>
    <row r="1929">
      <c r="A1929" s="33" t="n">
        <v>45832</v>
      </c>
      <c r="B1929" t="inlineStr">
        <is>
          <t>2025-06</t>
        </is>
      </c>
      <c r="C1929" t="inlineStr">
        <is>
          <t>Sin cliente</t>
        </is>
      </c>
      <c r="D1929" t="inlineStr">
        <is>
          <t>PLATAFORMAS RAP-PEYA-UBER-GOOD</t>
        </is>
      </c>
      <c r="E1929" s="34" t="n">
        <v>26280</v>
      </c>
      <c r="F1929" t="inlineStr">
        <is>
          <t>B</t>
        </is>
      </c>
      <c r="G1929" s="34" t="n">
        <v>4196</v>
      </c>
      <c r="H1929" s="34" t="n">
        <v>22084</v>
      </c>
      <c r="I1929" t="inlineStr">
        <is>
          <t>3.6</t>
        </is>
      </c>
      <c r="J1929" t="inlineStr">
        <is>
          <t>Ventas Delivery Apps</t>
        </is>
      </c>
      <c r="K1929" t="inlineStr">
        <is>
          <t>CH3</t>
        </is>
      </c>
    </row>
    <row r="1930">
      <c r="A1930" s="33" t="n">
        <v>45832</v>
      </c>
      <c r="B1930" t="inlineStr">
        <is>
          <t>2025-06</t>
        </is>
      </c>
      <c r="C1930" t="inlineStr">
        <is>
          <t>Sin cliente</t>
        </is>
      </c>
      <c r="D1930" t="inlineStr">
        <is>
          <t>PLATAFORMAS RAP-PEYA-UBER-GOOD</t>
        </is>
      </c>
      <c r="E1930" s="34" t="n">
        <v>49056</v>
      </c>
      <c r="F1930" t="inlineStr">
        <is>
          <t>B</t>
        </is>
      </c>
      <c r="G1930" s="34" t="n">
        <v>7832</v>
      </c>
      <c r="H1930" s="34" t="n">
        <v>41224</v>
      </c>
      <c r="I1930" t="inlineStr">
        <is>
          <t>3.6</t>
        </is>
      </c>
      <c r="J1930" t="inlineStr">
        <is>
          <t>Ventas Delivery Apps</t>
        </is>
      </c>
      <c r="K1930" t="inlineStr">
        <is>
          <t>CH3</t>
        </is>
      </c>
    </row>
    <row r="1931">
      <c r="A1931" s="33" t="n">
        <v>45832</v>
      </c>
      <c r="B1931" t="inlineStr">
        <is>
          <t>2025-06</t>
        </is>
      </c>
      <c r="C1931" t="inlineStr">
        <is>
          <t>Sin cliente</t>
        </is>
      </c>
      <c r="D1931" t="inlineStr">
        <is>
          <t>REGION METROPOLITANA</t>
        </is>
      </c>
      <c r="E1931" s="34" t="n">
        <v>9000</v>
      </c>
      <c r="F1931" t="inlineStr">
        <is>
          <t>B</t>
        </is>
      </c>
      <c r="G1931" s="34" t="n">
        <v>1437</v>
      </c>
      <c r="H1931" s="34" t="n">
        <v>7563</v>
      </c>
      <c r="I1931" t="inlineStr">
        <is>
          <t>3.2</t>
        </is>
      </c>
      <c r="J1931" t="inlineStr">
        <is>
          <t>Ventas Personas (B2C)</t>
        </is>
      </c>
      <c r="K1931" t="inlineStr">
        <is>
          <t>CH2</t>
        </is>
      </c>
    </row>
    <row r="1932">
      <c r="A1932" s="33" t="n">
        <v>45833</v>
      </c>
      <c r="B1932" t="inlineStr">
        <is>
          <t>2025-06</t>
        </is>
      </c>
      <c r="C1932" t="inlineStr">
        <is>
          <t>Clark Veloso Valenzuela</t>
        </is>
      </c>
      <c r="D1932" t="inlineStr">
        <is>
          <t>HORECA CAFETERIA</t>
        </is>
      </c>
      <c r="E1932" s="34" t="n">
        <v>64966</v>
      </c>
      <c r="F1932" t="inlineStr">
        <is>
          <t>F</t>
        </is>
      </c>
      <c r="G1932" s="34" t="n">
        <v>10373</v>
      </c>
      <c r="H1932" s="34" t="n">
        <v>54593</v>
      </c>
      <c r="I1932" t="inlineStr">
        <is>
          <t>3.1</t>
        </is>
      </c>
      <c r="J1932" t="inlineStr">
        <is>
          <t>Ventas HoReCa</t>
        </is>
      </c>
      <c r="K1932" t="inlineStr">
        <is>
          <t>CH1</t>
        </is>
      </c>
    </row>
    <row r="1933">
      <c r="A1933" s="33" t="n">
        <v>45833</v>
      </c>
      <c r="B1933" t="inlineStr">
        <is>
          <t>2025-06</t>
        </is>
      </c>
      <c r="C1933" t="inlineStr">
        <is>
          <t>CAFETERIA THE ELEPHANT COFFEE LIMITADA</t>
        </is>
      </c>
      <c r="D1933" t="inlineStr">
        <is>
          <t>HORECA CAFETERIA</t>
        </is>
      </c>
      <c r="E1933" s="34" t="n">
        <v>137865</v>
      </c>
      <c r="F1933" t="inlineStr">
        <is>
          <t>F</t>
        </is>
      </c>
      <c r="G1933" s="34" t="n">
        <v>22012</v>
      </c>
      <c r="H1933" s="34" t="n">
        <v>115853</v>
      </c>
      <c r="I1933" t="inlineStr">
        <is>
          <t>3.1</t>
        </is>
      </c>
      <c r="J1933" t="inlineStr">
        <is>
          <t>Ventas HoReCa</t>
        </is>
      </c>
      <c r="K1933" t="inlineStr">
        <is>
          <t>CH1</t>
        </is>
      </c>
    </row>
    <row r="1934">
      <c r="A1934" s="33" t="n">
        <v>45833</v>
      </c>
      <c r="B1934" t="inlineStr">
        <is>
          <t>2025-06</t>
        </is>
      </c>
      <c r="C1934" t="inlineStr">
        <is>
          <t>Sin cliente</t>
        </is>
      </c>
      <c r="D1934" t="inlineStr">
        <is>
          <t>PLATAFORMAS RAP-PEYA-UBER-GOOD</t>
        </is>
      </c>
      <c r="E1934" s="34" t="n">
        <v>15480</v>
      </c>
      <c r="F1934" t="inlineStr">
        <is>
          <t>B</t>
        </is>
      </c>
      <c r="G1934" s="34" t="n">
        <v>2472</v>
      </c>
      <c r="H1934" s="34" t="n">
        <v>13008</v>
      </c>
      <c r="I1934" t="inlineStr">
        <is>
          <t>3.6</t>
        </is>
      </c>
      <c r="J1934" t="inlineStr">
        <is>
          <t>Ventas Delivery Apps</t>
        </is>
      </c>
      <c r="K1934" t="inlineStr">
        <is>
          <t>CH3</t>
        </is>
      </c>
    </row>
    <row r="1935">
      <c r="A1935" s="33" t="n">
        <v>45833</v>
      </c>
      <c r="B1935" t="inlineStr">
        <is>
          <t>2025-06</t>
        </is>
      </c>
      <c r="C1935" t="inlineStr">
        <is>
          <t>Fabiana Hernandez</t>
        </is>
      </c>
      <c r="D1935" t="inlineStr">
        <is>
          <t>CANELÉ TRADICIONAL</t>
        </is>
      </c>
      <c r="E1935" s="34" t="n">
        <v>37890</v>
      </c>
      <c r="F1935" t="inlineStr">
        <is>
          <t>B</t>
        </is>
      </c>
      <c r="G1935" s="34" t="n">
        <v>6050</v>
      </c>
      <c r="H1935" s="34" t="n">
        <v>31840</v>
      </c>
      <c r="I1935" t="inlineStr">
        <is>
          <t>3.2</t>
        </is>
      </c>
      <c r="J1935" t="inlineStr">
        <is>
          <t>Ventas Personas (B2C)</t>
        </is>
      </c>
      <c r="K1935" t="inlineStr">
        <is>
          <t>CH2</t>
        </is>
      </c>
    </row>
    <row r="1936">
      <c r="A1936" s="33" t="n">
        <v>45833</v>
      </c>
      <c r="B1936" t="inlineStr">
        <is>
          <t>2025-06</t>
        </is>
      </c>
      <c r="C1936" t="inlineStr">
        <is>
          <t>Sin cliente</t>
        </is>
      </c>
      <c r="D1936" t="inlineStr">
        <is>
          <t>PLATAFORMAS RAP-PEYA-UBER-GOOD</t>
        </is>
      </c>
      <c r="E1936" s="34" t="n">
        <v>29980</v>
      </c>
      <c r="F1936" t="inlineStr">
        <is>
          <t>B</t>
        </is>
      </c>
      <c r="G1936" s="34" t="n">
        <v>4787</v>
      </c>
      <c r="H1936" s="34" t="n">
        <v>25193</v>
      </c>
      <c r="I1936" t="inlineStr">
        <is>
          <t>3.6</t>
        </is>
      </c>
      <c r="J1936" t="inlineStr">
        <is>
          <t>Ventas Delivery Apps</t>
        </is>
      </c>
      <c r="K1936" t="inlineStr">
        <is>
          <t>CH3</t>
        </is>
      </c>
    </row>
    <row r="1937">
      <c r="A1937" s="33" t="n">
        <v>45833</v>
      </c>
      <c r="B1937" t="inlineStr">
        <is>
          <t>2025-06</t>
        </is>
      </c>
      <c r="C1937" t="inlineStr">
        <is>
          <t>Sin cliente</t>
        </is>
      </c>
      <c r="D1937" t="inlineStr">
        <is>
          <t>Mix Sabores</t>
        </is>
      </c>
      <c r="E1937" s="34" t="n">
        <v>15900</v>
      </c>
      <c r="F1937" t="inlineStr">
        <is>
          <t>B</t>
        </is>
      </c>
      <c r="G1937" s="34" t="n">
        <v>2539</v>
      </c>
      <c r="H1937" s="34" t="n">
        <v>13361</v>
      </c>
      <c r="I1937" t="inlineStr">
        <is>
          <t>3.2</t>
        </is>
      </c>
      <c r="J1937" t="inlineStr">
        <is>
          <t>Ventas Personas (B2C)</t>
        </is>
      </c>
      <c r="K1937" t="inlineStr">
        <is>
          <t>CH2</t>
        </is>
      </c>
    </row>
    <row r="1938">
      <c r="A1938" s="33" t="n">
        <v>45833</v>
      </c>
      <c r="B1938" t="inlineStr">
        <is>
          <t>2025-06</t>
        </is>
      </c>
      <c r="C1938" t="inlineStr">
        <is>
          <t>Carmen Mayo</t>
        </is>
      </c>
      <c r="D1938" t="inlineStr">
        <is>
          <t>CANELÉ TRADICIONAL</t>
        </is>
      </c>
      <c r="E1938" s="34" t="n">
        <v>24889</v>
      </c>
      <c r="F1938" t="inlineStr">
        <is>
          <t>B</t>
        </is>
      </c>
      <c r="G1938" s="34" t="n">
        <v>3974</v>
      </c>
      <c r="H1938" s="34" t="n">
        <v>20915</v>
      </c>
      <c r="I1938" t="inlineStr">
        <is>
          <t>3.2</t>
        </is>
      </c>
      <c r="J1938" t="inlineStr">
        <is>
          <t>Ventas Personas (B2C)</t>
        </is>
      </c>
      <c r="K1938" t="inlineStr">
        <is>
          <t>CH2</t>
        </is>
      </c>
    </row>
    <row r="1939">
      <c r="A1939" s="33" t="n">
        <v>45833</v>
      </c>
      <c r="B1939" t="inlineStr">
        <is>
          <t>2025-06</t>
        </is>
      </c>
      <c r="C1939" t="inlineStr">
        <is>
          <t>Giovanni Medrano</t>
        </is>
      </c>
      <c r="D1939" t="inlineStr">
        <is>
          <t>CANELÉ TRADICIONAL</t>
        </is>
      </c>
      <c r="E1939" s="34" t="n">
        <v>17889</v>
      </c>
      <c r="F1939" t="inlineStr">
        <is>
          <t>B</t>
        </is>
      </c>
      <c r="G1939" s="34" t="n">
        <v>2856</v>
      </c>
      <c r="H1939" s="34" t="n">
        <v>15033</v>
      </c>
      <c r="I1939" t="inlineStr">
        <is>
          <t>3.2</t>
        </is>
      </c>
      <c r="J1939" t="inlineStr">
        <is>
          <t>Ventas Personas (B2C)</t>
        </is>
      </c>
      <c r="K1939" t="inlineStr">
        <is>
          <t>CH2</t>
        </is>
      </c>
    </row>
    <row r="1940">
      <c r="A1940" s="33" t="n">
        <v>45833</v>
      </c>
      <c r="B1940" t="inlineStr">
        <is>
          <t>2025-06</t>
        </is>
      </c>
      <c r="C1940" t="inlineStr">
        <is>
          <t xml:space="preserve">catalina edwin </t>
        </is>
      </c>
      <c r="D1940" t="inlineStr">
        <is>
          <t>CANELÉ TRADICIONAL</t>
        </is>
      </c>
      <c r="E1940" s="34" t="n">
        <v>16900</v>
      </c>
      <c r="F1940" t="inlineStr">
        <is>
          <t>B</t>
        </is>
      </c>
      <c r="G1940" s="34" t="n">
        <v>2698</v>
      </c>
      <c r="H1940" s="34" t="n">
        <v>14202</v>
      </c>
      <c r="I1940" t="inlineStr">
        <is>
          <t>3.2</t>
        </is>
      </c>
      <c r="J1940" t="inlineStr">
        <is>
          <t>Ventas Personas (B2C)</t>
        </is>
      </c>
      <c r="K1940" t="inlineStr">
        <is>
          <t>CH2</t>
        </is>
      </c>
    </row>
    <row r="1941">
      <c r="A1941" s="33" t="n">
        <v>45833</v>
      </c>
      <c r="B1941" t="inlineStr">
        <is>
          <t>2025-06</t>
        </is>
      </c>
      <c r="C1941" t="inlineStr">
        <is>
          <t>Sin cliente</t>
        </is>
      </c>
      <c r="D1941" t="inlineStr">
        <is>
          <t>CANELÉ TRADICIONAL</t>
        </is>
      </c>
      <c r="E1941" s="34" t="n">
        <v>14900</v>
      </c>
      <c r="F1941" t="inlineStr">
        <is>
          <t>B</t>
        </is>
      </c>
      <c r="G1941" s="34" t="n">
        <v>2379</v>
      </c>
      <c r="H1941" s="34" t="n">
        <v>12521</v>
      </c>
      <c r="I1941" t="inlineStr">
        <is>
          <t>3.2</t>
        </is>
      </c>
      <c r="J1941" t="inlineStr">
        <is>
          <t>Ventas Personas (B2C)</t>
        </is>
      </c>
      <c r="K1941" t="inlineStr">
        <is>
          <t>CH2</t>
        </is>
      </c>
    </row>
    <row r="1942">
      <c r="A1942" s="33" t="n">
        <v>45833</v>
      </c>
      <c r="B1942" t="inlineStr">
        <is>
          <t>2025-06</t>
        </is>
      </c>
      <c r="C1942" t="inlineStr">
        <is>
          <t>Sin cliente</t>
        </is>
      </c>
      <c r="D1942" t="inlineStr">
        <is>
          <t>CANELÉ TRADICIONAL</t>
        </is>
      </c>
      <c r="E1942" s="34" t="n">
        <v>26900</v>
      </c>
      <c r="F1942" t="inlineStr">
        <is>
          <t>B</t>
        </is>
      </c>
      <c r="G1942" s="34" t="n">
        <v>4295</v>
      </c>
      <c r="H1942" s="34" t="n">
        <v>22605</v>
      </c>
      <c r="I1942" t="inlineStr">
        <is>
          <t>3.2</t>
        </is>
      </c>
      <c r="J1942" t="inlineStr">
        <is>
          <t>Ventas Personas (B2C)</t>
        </is>
      </c>
      <c r="K1942" t="inlineStr">
        <is>
          <t>CH2</t>
        </is>
      </c>
    </row>
    <row r="1943">
      <c r="A1943" s="33" t="n">
        <v>45833</v>
      </c>
      <c r="B1943" t="inlineStr">
        <is>
          <t>2025-06</t>
        </is>
      </c>
      <c r="C1943" t="inlineStr">
        <is>
          <t>Sin cliente</t>
        </is>
      </c>
      <c r="D1943" t="inlineStr">
        <is>
          <t>CANELÉ TRADICIONAL</t>
        </is>
      </c>
      <c r="E1943" s="34" t="n">
        <v>12500</v>
      </c>
      <c r="F1943" t="inlineStr">
        <is>
          <t>B</t>
        </is>
      </c>
      <c r="G1943" s="34" t="n">
        <v>1996</v>
      </c>
      <c r="H1943" s="34" t="n">
        <v>10504</v>
      </c>
      <c r="I1943" t="inlineStr">
        <is>
          <t>3.2</t>
        </is>
      </c>
      <c r="J1943" t="inlineStr">
        <is>
          <t>Ventas Personas (B2C)</t>
        </is>
      </c>
      <c r="K1943" t="inlineStr">
        <is>
          <t>CH2</t>
        </is>
      </c>
    </row>
    <row r="1944">
      <c r="A1944" s="33" t="n">
        <v>45833</v>
      </c>
      <c r="B1944" t="inlineStr">
        <is>
          <t>2025-06</t>
        </is>
      </c>
      <c r="C1944" t="inlineStr">
        <is>
          <t>Clara Loyola Bilbao</t>
        </is>
      </c>
      <c r="D1944" t="inlineStr">
        <is>
          <t>SALSAS</t>
        </is>
      </c>
      <c r="E1944" s="34" t="n">
        <v>23890</v>
      </c>
      <c r="F1944" t="inlineStr">
        <is>
          <t>B</t>
        </is>
      </c>
      <c r="G1944" s="34" t="n">
        <v>3814</v>
      </c>
      <c r="H1944" s="34" t="n">
        <v>20076</v>
      </c>
      <c r="I1944" t="inlineStr">
        <is>
          <t>3.2</t>
        </is>
      </c>
      <c r="J1944" t="inlineStr">
        <is>
          <t>Ventas Personas (B2C)</t>
        </is>
      </c>
      <c r="K1944" t="inlineStr">
        <is>
          <t>CH2</t>
        </is>
      </c>
    </row>
    <row r="1945">
      <c r="A1945" s="33" t="n">
        <v>45833</v>
      </c>
      <c r="B1945" t="inlineStr">
        <is>
          <t>2025-06</t>
        </is>
      </c>
      <c r="C1945" t="inlineStr">
        <is>
          <t>Claudio Cuzmar</t>
        </is>
      </c>
      <c r="D1945" t="inlineStr">
        <is>
          <t>Petit Crunchy</t>
        </is>
      </c>
      <c r="E1945" s="34" t="n">
        <v>38890</v>
      </c>
      <c r="F1945" t="inlineStr">
        <is>
          <t>B</t>
        </is>
      </c>
      <c r="G1945" s="34" t="n">
        <v>6209</v>
      </c>
      <c r="H1945" s="34" t="n">
        <v>32681</v>
      </c>
      <c r="I1945" t="inlineStr">
        <is>
          <t>3.2</t>
        </is>
      </c>
      <c r="J1945" t="inlineStr">
        <is>
          <t>Ventas Personas (B2C)</t>
        </is>
      </c>
      <c r="K1945" t="inlineStr">
        <is>
          <t>CH2</t>
        </is>
      </c>
    </row>
    <row r="1946">
      <c r="A1946" s="33" t="n">
        <v>45833</v>
      </c>
      <c r="B1946" t="inlineStr">
        <is>
          <t>2025-06</t>
        </is>
      </c>
      <c r="C1946" t="inlineStr">
        <is>
          <t>Vania Krauskopf</t>
        </is>
      </c>
      <c r="D1946" t="inlineStr">
        <is>
          <t>Petit Crunchy</t>
        </is>
      </c>
      <c r="E1946" s="34" t="n">
        <v>17890</v>
      </c>
      <c r="F1946" t="inlineStr">
        <is>
          <t>B</t>
        </is>
      </c>
      <c r="G1946" s="34" t="n">
        <v>2856</v>
      </c>
      <c r="H1946" s="34" t="n">
        <v>15034</v>
      </c>
      <c r="I1946" t="inlineStr">
        <is>
          <t>3.2</t>
        </is>
      </c>
      <c r="J1946" t="inlineStr">
        <is>
          <t>Ventas Personas (B2C)</t>
        </is>
      </c>
      <c r="K1946" t="inlineStr">
        <is>
          <t>CH2</t>
        </is>
      </c>
    </row>
    <row r="1947">
      <c r="A1947" s="33" t="n">
        <v>45834</v>
      </c>
      <c r="B1947" t="inlineStr">
        <is>
          <t>2025-06</t>
        </is>
      </c>
      <c r="C1947" t="inlineStr">
        <is>
          <t>Pamela Aguilera</t>
        </is>
      </c>
      <c r="D1947" t="inlineStr">
        <is>
          <t>Rellenos</t>
        </is>
      </c>
      <c r="E1947" s="34" t="n">
        <v>27890</v>
      </c>
      <c r="F1947" t="inlineStr">
        <is>
          <t>B</t>
        </is>
      </c>
      <c r="G1947" s="34" t="n">
        <v>4453</v>
      </c>
      <c r="H1947" s="34" t="n">
        <v>23437</v>
      </c>
      <c r="I1947" t="inlineStr">
        <is>
          <t>3.2</t>
        </is>
      </c>
      <c r="J1947" t="inlineStr">
        <is>
          <t>Ventas Personas (B2C)</t>
        </is>
      </c>
      <c r="K1947" t="inlineStr">
        <is>
          <t>CH2</t>
        </is>
      </c>
    </row>
    <row r="1948">
      <c r="A1948" s="33" t="n">
        <v>45834</v>
      </c>
      <c r="B1948" t="inlineStr">
        <is>
          <t>2025-06</t>
        </is>
      </c>
      <c r="C1948" t="inlineStr">
        <is>
          <t>Maria Jose Bravo de la Maza</t>
        </is>
      </c>
      <c r="D1948" t="inlineStr">
        <is>
          <t>Petit Tradicional</t>
        </is>
      </c>
      <c r="E1948" s="34" t="n">
        <v>20900</v>
      </c>
      <c r="F1948" t="inlineStr">
        <is>
          <t>B</t>
        </is>
      </c>
      <c r="G1948" s="34" t="n">
        <v>3337</v>
      </c>
      <c r="H1948" s="34" t="n">
        <v>17563</v>
      </c>
      <c r="I1948" t="inlineStr">
        <is>
          <t>3.2</t>
        </is>
      </c>
      <c r="J1948" t="inlineStr">
        <is>
          <t>Ventas Personas (B2C)</t>
        </is>
      </c>
      <c r="K1948" t="inlineStr">
        <is>
          <t>CH2</t>
        </is>
      </c>
    </row>
    <row r="1949">
      <c r="A1949" s="33" t="n">
        <v>45834</v>
      </c>
      <c r="B1949" t="inlineStr">
        <is>
          <t>2025-06</t>
        </is>
      </c>
      <c r="C1949" t="inlineStr">
        <is>
          <t>Sylvana Rojas Herrera</t>
        </is>
      </c>
      <c r="D1949" t="inlineStr">
        <is>
          <t>Petit Crunchy</t>
        </is>
      </c>
      <c r="E1949" s="34" t="n">
        <v>30789</v>
      </c>
      <c r="F1949" t="inlineStr">
        <is>
          <t>B</t>
        </is>
      </c>
      <c r="G1949" s="34" t="n">
        <v>4916</v>
      </c>
      <c r="H1949" s="34" t="n">
        <v>25873</v>
      </c>
      <c r="I1949" t="inlineStr">
        <is>
          <t>3.2</t>
        </is>
      </c>
      <c r="J1949" t="inlineStr">
        <is>
          <t>Ventas Personas (B2C)</t>
        </is>
      </c>
      <c r="K1949" t="inlineStr">
        <is>
          <t>CH2</t>
        </is>
      </c>
    </row>
    <row r="1950">
      <c r="A1950" s="33" t="n">
        <v>45834</v>
      </c>
      <c r="B1950" t="inlineStr">
        <is>
          <t>2025-06</t>
        </is>
      </c>
      <c r="C1950" t="inlineStr">
        <is>
          <t>CAFE DIARIO ENCOMENDEROS SPA</t>
        </is>
      </c>
      <c r="D1950" t="inlineStr">
        <is>
          <t>HORECA CAFETERIA</t>
        </is>
      </c>
      <c r="E1950" s="34" t="n">
        <v>82830</v>
      </c>
      <c r="F1950" t="inlineStr">
        <is>
          <t>F</t>
        </is>
      </c>
      <c r="G1950" s="34" t="n">
        <v>13225</v>
      </c>
      <c r="H1950" s="34" t="n">
        <v>69605</v>
      </c>
      <c r="I1950" t="inlineStr">
        <is>
          <t>3.1</t>
        </is>
      </c>
      <c r="J1950" t="inlineStr">
        <is>
          <t>Ventas HoReCa</t>
        </is>
      </c>
      <c r="K1950" t="inlineStr">
        <is>
          <t>CH1</t>
        </is>
      </c>
    </row>
    <row r="1951">
      <c r="A1951" s="33" t="n">
        <v>45834</v>
      </c>
      <c r="B1951" t="inlineStr">
        <is>
          <t>2025-06</t>
        </is>
      </c>
      <c r="C1951" t="inlineStr">
        <is>
          <t>HUERTO SUR LIMITADA</t>
        </is>
      </c>
      <c r="D1951" t="inlineStr">
        <is>
          <t>HORECA CAFETERIA</t>
        </is>
      </c>
      <c r="E1951" s="34" t="n">
        <v>88599</v>
      </c>
      <c r="F1951" t="inlineStr">
        <is>
          <t>F</t>
        </is>
      </c>
      <c r="G1951" s="34" t="n">
        <v>14146</v>
      </c>
      <c r="H1951" s="34" t="n">
        <v>74453</v>
      </c>
      <c r="I1951" t="inlineStr">
        <is>
          <t>3.1</t>
        </is>
      </c>
      <c r="J1951" t="inlineStr">
        <is>
          <t>Ventas HoReCa</t>
        </is>
      </c>
      <c r="K1951" t="inlineStr">
        <is>
          <t>CH1</t>
        </is>
      </c>
    </row>
    <row r="1952">
      <c r="A1952" s="33" t="n">
        <v>45834</v>
      </c>
      <c r="B1952" t="inlineStr">
        <is>
          <t>2025-06</t>
        </is>
      </c>
      <c r="C1952" t="inlineStr">
        <is>
          <t>HUERTO SUR LIMITADA</t>
        </is>
      </c>
      <c r="D1952" t="inlineStr">
        <is>
          <t>HORECA CAFETERIA</t>
        </is>
      </c>
      <c r="E1952" s="34" t="n">
        <v>88599</v>
      </c>
      <c r="F1952" t="inlineStr">
        <is>
          <t>F</t>
        </is>
      </c>
      <c r="G1952" s="34" t="n">
        <v>14146</v>
      </c>
      <c r="H1952" s="34" t="n">
        <v>74453</v>
      </c>
      <c r="I1952" t="inlineStr">
        <is>
          <t>3.1</t>
        </is>
      </c>
      <c r="J1952" t="inlineStr">
        <is>
          <t>Ventas HoReCa</t>
        </is>
      </c>
      <c r="K1952" t="inlineStr">
        <is>
          <t>CH1</t>
        </is>
      </c>
    </row>
    <row r="1953">
      <c r="A1953" s="33" t="n">
        <v>45834</v>
      </c>
      <c r="B1953" t="inlineStr">
        <is>
          <t>2025-06</t>
        </is>
      </c>
      <c r="C1953" t="inlineStr">
        <is>
          <t>HUERTO SUR LIMITADA</t>
        </is>
      </c>
      <c r="D1953" t="inlineStr">
        <is>
          <t>HORECA CAFETERIA</t>
        </is>
      </c>
      <c r="E1953" s="34" t="n">
        <v>89599</v>
      </c>
      <c r="F1953" t="inlineStr">
        <is>
          <t>F</t>
        </is>
      </c>
      <c r="G1953" s="34" t="n">
        <v>14306</v>
      </c>
      <c r="H1953" s="34" t="n">
        <v>75293</v>
      </c>
      <c r="I1953" t="inlineStr">
        <is>
          <t>3.1</t>
        </is>
      </c>
      <c r="J1953" t="inlineStr">
        <is>
          <t>Ventas HoReCa</t>
        </is>
      </c>
      <c r="K1953" t="inlineStr">
        <is>
          <t>CH1</t>
        </is>
      </c>
    </row>
    <row r="1954">
      <c r="A1954" s="33" t="n">
        <v>45834</v>
      </c>
      <c r="B1954" t="inlineStr">
        <is>
          <t>2025-06</t>
        </is>
      </c>
      <c r="C1954" t="inlineStr">
        <is>
          <t>HUERTO SUR LIMITADA</t>
        </is>
      </c>
      <c r="D1954" t="inlineStr">
        <is>
          <t>HORECA CAFETERIA</t>
        </is>
      </c>
      <c r="E1954" s="34" t="n">
        <v>88599</v>
      </c>
      <c r="F1954" t="inlineStr">
        <is>
          <t>F</t>
        </is>
      </c>
      <c r="G1954" s="34" t="n">
        <v>14146</v>
      </c>
      <c r="H1954" s="34" t="n">
        <v>74453</v>
      </c>
      <c r="I1954" t="inlineStr">
        <is>
          <t>3.1</t>
        </is>
      </c>
      <c r="J1954" t="inlineStr">
        <is>
          <t>Ventas HoReCa</t>
        </is>
      </c>
      <c r="K1954" t="inlineStr">
        <is>
          <t>CH1</t>
        </is>
      </c>
    </row>
    <row r="1955">
      <c r="A1955" s="33" t="n">
        <v>45834</v>
      </c>
      <c r="B1955" t="inlineStr">
        <is>
          <t>2025-06</t>
        </is>
      </c>
      <c r="C1955" t="inlineStr">
        <is>
          <t>HUERTO SUR LIMITADA</t>
        </is>
      </c>
      <c r="D1955" t="inlineStr">
        <is>
          <t>HORECA CAFETERIA</t>
        </is>
      </c>
      <c r="E1955" s="34" t="n">
        <v>88599</v>
      </c>
      <c r="F1955" t="inlineStr">
        <is>
          <t>F</t>
        </is>
      </c>
      <c r="G1955" s="34" t="n">
        <v>14146</v>
      </c>
      <c r="H1955" s="34" t="n">
        <v>74453</v>
      </c>
      <c r="I1955" t="inlineStr">
        <is>
          <t>3.1</t>
        </is>
      </c>
      <c r="J1955" t="inlineStr">
        <is>
          <t>Ventas HoReCa</t>
        </is>
      </c>
      <c r="K1955" t="inlineStr">
        <is>
          <t>CH1</t>
        </is>
      </c>
    </row>
    <row r="1956">
      <c r="A1956" s="33" t="n">
        <v>45834</v>
      </c>
      <c r="B1956" t="inlineStr">
        <is>
          <t>2025-06</t>
        </is>
      </c>
      <c r="C1956" t="inlineStr">
        <is>
          <t>HUERTO SUR LIMITADA</t>
        </is>
      </c>
      <c r="D1956" t="inlineStr">
        <is>
          <t>HORECA CAFETERIA</t>
        </is>
      </c>
      <c r="E1956" s="34" t="n">
        <v>88599</v>
      </c>
      <c r="F1956" t="inlineStr">
        <is>
          <t>F</t>
        </is>
      </c>
      <c r="G1956" s="34" t="n">
        <v>14146</v>
      </c>
      <c r="H1956" s="34" t="n">
        <v>74453</v>
      </c>
      <c r="I1956" t="inlineStr">
        <is>
          <t>3.1</t>
        </is>
      </c>
      <c r="J1956" t="inlineStr">
        <is>
          <t>Ventas HoReCa</t>
        </is>
      </c>
      <c r="K1956" t="inlineStr">
        <is>
          <t>CH1</t>
        </is>
      </c>
    </row>
    <row r="1957">
      <c r="A1957" s="33" t="n">
        <v>45834</v>
      </c>
      <c r="B1957" t="inlineStr">
        <is>
          <t>2025-06</t>
        </is>
      </c>
      <c r="C1957" t="inlineStr">
        <is>
          <t>HUERTO SUR LIMITADA</t>
        </is>
      </c>
      <c r="D1957" t="inlineStr">
        <is>
          <t>HORECA CAFETERIA</t>
        </is>
      </c>
      <c r="E1957" s="34" t="n">
        <v>88599</v>
      </c>
      <c r="F1957" t="inlineStr">
        <is>
          <t>F</t>
        </is>
      </c>
      <c r="G1957" s="34" t="n">
        <v>14146</v>
      </c>
      <c r="H1957" s="34" t="n">
        <v>74453</v>
      </c>
      <c r="I1957" t="inlineStr">
        <is>
          <t>3.1</t>
        </is>
      </c>
      <c r="J1957" t="inlineStr">
        <is>
          <t>Ventas HoReCa</t>
        </is>
      </c>
      <c r="K1957" t="inlineStr">
        <is>
          <t>CH1</t>
        </is>
      </c>
    </row>
    <row r="1958">
      <c r="A1958" s="33" t="n">
        <v>45834</v>
      </c>
      <c r="B1958" t="inlineStr">
        <is>
          <t>2025-06</t>
        </is>
      </c>
      <c r="C1958" t="inlineStr">
        <is>
          <t>HUERTO SUR LIMITADA</t>
        </is>
      </c>
      <c r="D1958" t="inlineStr">
        <is>
          <t>HORECA CAFETERIA</t>
        </is>
      </c>
      <c r="E1958" s="34" t="n">
        <v>89599</v>
      </c>
      <c r="F1958" t="inlineStr">
        <is>
          <t>F</t>
        </is>
      </c>
      <c r="G1958" s="34" t="n">
        <v>14306</v>
      </c>
      <c r="H1958" s="34" t="n">
        <v>75293</v>
      </c>
      <c r="I1958" t="inlineStr">
        <is>
          <t>3.1</t>
        </is>
      </c>
      <c r="J1958" t="inlineStr">
        <is>
          <t>Ventas HoReCa</t>
        </is>
      </c>
      <c r="K1958" t="inlineStr">
        <is>
          <t>CH1</t>
        </is>
      </c>
    </row>
    <row r="1959">
      <c r="A1959" s="33" t="n">
        <v>45834</v>
      </c>
      <c r="B1959" t="inlineStr">
        <is>
          <t>2025-06</t>
        </is>
      </c>
      <c r="C1959" t="inlineStr">
        <is>
          <t>HUERTO SUR LIMITADA</t>
        </is>
      </c>
      <c r="D1959" t="inlineStr">
        <is>
          <t>HORECA CAFETERIA</t>
        </is>
      </c>
      <c r="E1959" s="34" t="n">
        <v>89599</v>
      </c>
      <c r="F1959" t="inlineStr">
        <is>
          <t>F</t>
        </is>
      </c>
      <c r="G1959" s="34" t="n">
        <v>14306</v>
      </c>
      <c r="H1959" s="34" t="n">
        <v>75293</v>
      </c>
      <c r="I1959" t="inlineStr">
        <is>
          <t>3.1</t>
        </is>
      </c>
      <c r="J1959" t="inlineStr">
        <is>
          <t>Ventas HoReCa</t>
        </is>
      </c>
      <c r="K1959" t="inlineStr">
        <is>
          <t>CH1</t>
        </is>
      </c>
    </row>
    <row r="1960">
      <c r="A1960" s="33" t="n">
        <v>45834</v>
      </c>
      <c r="B1960" t="inlineStr">
        <is>
          <t>2025-06</t>
        </is>
      </c>
      <c r="C1960" t="inlineStr">
        <is>
          <t>CAFÉ UNDER SPA</t>
        </is>
      </c>
      <c r="D1960" t="inlineStr">
        <is>
          <t>HORECA CAFETERIA</t>
        </is>
      </c>
      <c r="E1960" s="34" t="n">
        <v>63966</v>
      </c>
      <c r="F1960" t="inlineStr">
        <is>
          <t>F</t>
        </is>
      </c>
      <c r="G1960" s="34" t="n">
        <v>10213</v>
      </c>
      <c r="H1960" s="34" t="n">
        <v>53753</v>
      </c>
      <c r="I1960" t="inlineStr">
        <is>
          <t>3.1</t>
        </is>
      </c>
      <c r="J1960" t="inlineStr">
        <is>
          <t>Ventas HoReCa</t>
        </is>
      </c>
      <c r="K1960" t="inlineStr">
        <is>
          <t>CH1</t>
        </is>
      </c>
    </row>
    <row r="1961">
      <c r="A1961" s="33" t="n">
        <v>45834</v>
      </c>
      <c r="B1961" t="inlineStr">
        <is>
          <t>2025-06</t>
        </is>
      </c>
      <c r="C1961" t="inlineStr">
        <is>
          <t>CUATROTRESTRES CAFÉ SPA</t>
        </is>
      </c>
      <c r="D1961" t="inlineStr">
        <is>
          <t>HORECA CAFETERIA</t>
        </is>
      </c>
      <c r="E1961" s="34" t="n">
        <v>88599</v>
      </c>
      <c r="F1961" t="inlineStr">
        <is>
          <t>F</t>
        </is>
      </c>
      <c r="G1961" s="34" t="n">
        <v>14146</v>
      </c>
      <c r="H1961" s="34" t="n">
        <v>74453</v>
      </c>
      <c r="I1961" t="inlineStr">
        <is>
          <t>3.1</t>
        </is>
      </c>
      <c r="J1961" t="inlineStr">
        <is>
          <t>Ventas HoReCa</t>
        </is>
      </c>
      <c r="K1961" t="inlineStr">
        <is>
          <t>CH1</t>
        </is>
      </c>
    </row>
    <row r="1962">
      <c r="A1962" s="33" t="n">
        <v>45834</v>
      </c>
      <c r="B1962" t="inlineStr">
        <is>
          <t>2025-06</t>
        </is>
      </c>
      <c r="C1962" t="inlineStr">
        <is>
          <t>jose luis  darch</t>
        </is>
      </c>
      <c r="D1962" t="inlineStr">
        <is>
          <t>Mix Sabores</t>
        </is>
      </c>
      <c r="E1962" s="34" t="n">
        <v>15900</v>
      </c>
      <c r="F1962" t="inlineStr">
        <is>
          <t>B</t>
        </is>
      </c>
      <c r="G1962" s="34" t="n">
        <v>2539</v>
      </c>
      <c r="H1962" s="34" t="n">
        <v>13361</v>
      </c>
      <c r="I1962" t="inlineStr">
        <is>
          <t>3.2</t>
        </is>
      </c>
      <c r="J1962" t="inlineStr">
        <is>
          <t>Ventas Personas (B2C)</t>
        </is>
      </c>
      <c r="K1962" t="inlineStr">
        <is>
          <t>CH2</t>
        </is>
      </c>
    </row>
    <row r="1963">
      <c r="A1963" s="33" t="n">
        <v>45834</v>
      </c>
      <c r="B1963" t="inlineStr">
        <is>
          <t>2025-06</t>
        </is>
      </c>
      <c r="C1963" t="inlineStr">
        <is>
          <t>Cristobal Luna</t>
        </is>
      </c>
      <c r="D1963" t="inlineStr">
        <is>
          <t>CANELÉ TRADICIONAL</t>
        </is>
      </c>
      <c r="E1963" s="34" t="n">
        <v>17889</v>
      </c>
      <c r="F1963" t="inlineStr">
        <is>
          <t>B</t>
        </is>
      </c>
      <c r="G1963" s="34" t="n">
        <v>2856</v>
      </c>
      <c r="H1963" s="34" t="n">
        <v>15033</v>
      </c>
      <c r="I1963" t="inlineStr">
        <is>
          <t>3.2</t>
        </is>
      </c>
      <c r="J1963" t="inlineStr">
        <is>
          <t>Ventas Personas (B2C)</t>
        </is>
      </c>
      <c r="K1963" t="inlineStr">
        <is>
          <t>CH2</t>
        </is>
      </c>
    </row>
    <row r="1964">
      <c r="A1964" s="33" t="n">
        <v>45834</v>
      </c>
      <c r="B1964" t="inlineStr">
        <is>
          <t>2025-06</t>
        </is>
      </c>
      <c r="C1964" t="inlineStr">
        <is>
          <t>Sin cliente</t>
        </is>
      </c>
      <c r="D1964" t="inlineStr">
        <is>
          <t>Petit Tradicional</t>
        </is>
      </c>
      <c r="E1964" s="34" t="n">
        <v>12900</v>
      </c>
      <c r="F1964" t="inlineStr">
        <is>
          <t>B</t>
        </is>
      </c>
      <c r="G1964" s="34" t="n">
        <v>2060</v>
      </c>
      <c r="H1964" s="34" t="n">
        <v>10840</v>
      </c>
      <c r="I1964" t="inlineStr">
        <is>
          <t>3.2</t>
        </is>
      </c>
      <c r="J1964" t="inlineStr">
        <is>
          <t>Ventas Personas (B2C)</t>
        </is>
      </c>
      <c r="K1964" t="inlineStr">
        <is>
          <t>CH2</t>
        </is>
      </c>
    </row>
    <row r="1965">
      <c r="A1965" s="33" t="n">
        <v>45834</v>
      </c>
      <c r="B1965" t="inlineStr">
        <is>
          <t>2025-06</t>
        </is>
      </c>
      <c r="C1965" t="inlineStr">
        <is>
          <t>Sin cliente</t>
        </is>
      </c>
      <c r="D1965" t="inlineStr">
        <is>
          <t>CANELÉ TRADICIONAL</t>
        </is>
      </c>
      <c r="E1965" s="34" t="n">
        <v>36800</v>
      </c>
      <c r="F1965" t="inlineStr">
        <is>
          <t>B</t>
        </is>
      </c>
      <c r="G1965" s="34" t="n">
        <v>5876</v>
      </c>
      <c r="H1965" s="34" t="n">
        <v>30924</v>
      </c>
      <c r="I1965" t="inlineStr">
        <is>
          <t>3.2</t>
        </is>
      </c>
      <c r="J1965" t="inlineStr">
        <is>
          <t>Ventas Personas (B2C)</t>
        </is>
      </c>
      <c r="K1965" t="inlineStr">
        <is>
          <t>CH2</t>
        </is>
      </c>
    </row>
    <row r="1966">
      <c r="A1966" s="33" t="n">
        <v>45834</v>
      </c>
      <c r="B1966" t="inlineStr">
        <is>
          <t>2025-06</t>
        </is>
      </c>
      <c r="C1966" t="inlineStr">
        <is>
          <t>Manuela Miquel Barros</t>
        </is>
      </c>
      <c r="D1966" t="inlineStr">
        <is>
          <t>PACKS GOURMET</t>
        </is>
      </c>
      <c r="E1966" s="34" t="n">
        <v>50015</v>
      </c>
      <c r="F1966" t="inlineStr">
        <is>
          <t>B</t>
        </is>
      </c>
      <c r="G1966" s="34" t="n">
        <v>7986</v>
      </c>
      <c r="H1966" s="34" t="n">
        <v>42029</v>
      </c>
      <c r="I1966" t="inlineStr">
        <is>
          <t>3.2</t>
        </is>
      </c>
      <c r="J1966" t="inlineStr">
        <is>
          <t>Ventas Personas (B2C)</t>
        </is>
      </c>
      <c r="K1966" t="inlineStr">
        <is>
          <t>CH2</t>
        </is>
      </c>
    </row>
    <row r="1967">
      <c r="A1967" s="33" t="n">
        <v>45834</v>
      </c>
      <c r="B1967" t="inlineStr">
        <is>
          <t>2025-06</t>
        </is>
      </c>
      <c r="C1967" t="inlineStr">
        <is>
          <t>Carolina Alzerreca</t>
        </is>
      </c>
      <c r="D1967" t="inlineStr">
        <is>
          <t>CANELÉ TRADICIONAL</t>
        </is>
      </c>
      <c r="E1967" s="34" t="n">
        <v>18889</v>
      </c>
      <c r="F1967" t="inlineStr">
        <is>
          <t>B</t>
        </is>
      </c>
      <c r="G1967" s="34" t="n">
        <v>3016</v>
      </c>
      <c r="H1967" s="34" t="n">
        <v>15873</v>
      </c>
      <c r="I1967" t="inlineStr">
        <is>
          <t>3.2</t>
        </is>
      </c>
      <c r="J1967" t="inlineStr">
        <is>
          <t>Ventas Personas (B2C)</t>
        </is>
      </c>
      <c r="K1967" t="inlineStr">
        <is>
          <t>CH2</t>
        </is>
      </c>
    </row>
    <row r="1968">
      <c r="A1968" s="33" t="n">
        <v>45834</v>
      </c>
      <c r="B1968" t="inlineStr">
        <is>
          <t>2025-06</t>
        </is>
      </c>
      <c r="C1968" t="inlineStr">
        <is>
          <t>Sin cliente</t>
        </is>
      </c>
      <c r="D1968" t="inlineStr">
        <is>
          <t>CANELÉ TRADICIONAL</t>
        </is>
      </c>
      <c r="E1968" s="34" t="n">
        <v>14900</v>
      </c>
      <c r="F1968" t="inlineStr">
        <is>
          <t>B</t>
        </is>
      </c>
      <c r="G1968" s="34" t="n">
        <v>2379</v>
      </c>
      <c r="H1968" s="34" t="n">
        <v>12521</v>
      </c>
      <c r="I1968" t="inlineStr">
        <is>
          <t>3.2</t>
        </is>
      </c>
      <c r="J1968" t="inlineStr">
        <is>
          <t>Ventas Personas (B2C)</t>
        </is>
      </c>
      <c r="K1968" t="inlineStr">
        <is>
          <t>CH2</t>
        </is>
      </c>
    </row>
    <row r="1969">
      <c r="A1969" s="33" t="n">
        <v>45834</v>
      </c>
      <c r="B1969" t="inlineStr">
        <is>
          <t>2025-06</t>
        </is>
      </c>
      <c r="C1969" t="inlineStr">
        <is>
          <t>Joaquin Olave</t>
        </is>
      </c>
      <c r="D1969" t="inlineStr">
        <is>
          <t>CANELÉ TRADICIONAL</t>
        </is>
      </c>
      <c r="E1969" s="34" t="n">
        <v>15215</v>
      </c>
      <c r="F1969" t="inlineStr">
        <is>
          <t>B</t>
        </is>
      </c>
      <c r="G1969" s="34" t="n">
        <v>2429</v>
      </c>
      <c r="H1969" s="34" t="n">
        <v>12786</v>
      </c>
      <c r="I1969" t="inlineStr">
        <is>
          <t>3.2</t>
        </is>
      </c>
      <c r="J1969" t="inlineStr">
        <is>
          <t>Ventas Personas (B2C)</t>
        </is>
      </c>
      <c r="K1969" t="inlineStr">
        <is>
          <t>CH2</t>
        </is>
      </c>
    </row>
    <row r="1970">
      <c r="A1970" s="33" t="n">
        <v>45834</v>
      </c>
      <c r="B1970" t="inlineStr">
        <is>
          <t>2025-06</t>
        </is>
      </c>
      <c r="C1970" t="inlineStr">
        <is>
          <t>Sin cliente</t>
        </is>
      </c>
      <c r="D1970" t="inlineStr">
        <is>
          <t>PLATAFORMAS RAP-PEYA-UBER-GOOD</t>
        </is>
      </c>
      <c r="E1970" s="34" t="n">
        <v>41748</v>
      </c>
      <c r="F1970" t="inlineStr">
        <is>
          <t>B</t>
        </is>
      </c>
      <c r="G1970" s="34" t="n">
        <v>6666</v>
      </c>
      <c r="H1970" s="34" t="n">
        <v>35082</v>
      </c>
      <c r="I1970" t="inlineStr">
        <is>
          <t>3.6</t>
        </is>
      </c>
      <c r="J1970" t="inlineStr">
        <is>
          <t>Ventas Delivery Apps</t>
        </is>
      </c>
      <c r="K1970" t="inlineStr">
        <is>
          <t>CH3</t>
        </is>
      </c>
    </row>
    <row r="1971">
      <c r="A1971" s="33" t="n">
        <v>45834</v>
      </c>
      <c r="B1971" t="inlineStr">
        <is>
          <t>2025-06</t>
        </is>
      </c>
      <c r="C1971" t="inlineStr">
        <is>
          <t>Javier Welch</t>
        </is>
      </c>
      <c r="D1971" t="inlineStr">
        <is>
          <t>CANELE SIN AZUCAR</t>
        </is>
      </c>
      <c r="E1971" s="34" t="n">
        <v>28289</v>
      </c>
      <c r="F1971" t="inlineStr">
        <is>
          <t>B</t>
        </is>
      </c>
      <c r="G1971" s="34" t="n">
        <v>4517</v>
      </c>
      <c r="H1971" s="34" t="n">
        <v>23772</v>
      </c>
      <c r="I1971" t="inlineStr">
        <is>
          <t>3.2</t>
        </is>
      </c>
      <c r="J1971" t="inlineStr">
        <is>
          <t>Ventas Personas (B2C)</t>
        </is>
      </c>
      <c r="K1971" t="inlineStr">
        <is>
          <t>CH2</t>
        </is>
      </c>
    </row>
    <row r="1972">
      <c r="A1972" s="33" t="n">
        <v>45834</v>
      </c>
      <c r="B1972" t="inlineStr">
        <is>
          <t>2025-06</t>
        </is>
      </c>
      <c r="C1972" t="inlineStr">
        <is>
          <t xml:space="preserve">Jose De Abreu </t>
        </is>
      </c>
      <c r="D1972" t="inlineStr">
        <is>
          <t>CANELÉ TRADICIONAL</t>
        </is>
      </c>
      <c r="E1972" s="34" t="n">
        <v>14900</v>
      </c>
      <c r="F1972" t="inlineStr">
        <is>
          <t>B</t>
        </is>
      </c>
      <c r="G1972" s="34" t="n">
        <v>2379</v>
      </c>
      <c r="H1972" s="34" t="n">
        <v>12521</v>
      </c>
      <c r="I1972" t="inlineStr">
        <is>
          <t>3.2</t>
        </is>
      </c>
      <c r="J1972" t="inlineStr">
        <is>
          <t>Ventas Personas (B2C)</t>
        </is>
      </c>
      <c r="K1972" t="inlineStr">
        <is>
          <t>CH2</t>
        </is>
      </c>
    </row>
    <row r="1973">
      <c r="A1973" s="33" t="n">
        <v>45834</v>
      </c>
      <c r="B1973" t="inlineStr">
        <is>
          <t>2025-06</t>
        </is>
      </c>
      <c r="C1973" t="inlineStr">
        <is>
          <t>cristian contreras</t>
        </is>
      </c>
      <c r="D1973" t="inlineStr">
        <is>
          <t>CANELÉ TRADICIONAL</t>
        </is>
      </c>
      <c r="E1973" s="34" t="n">
        <v>21900</v>
      </c>
      <c r="F1973" t="inlineStr">
        <is>
          <t>B</t>
        </is>
      </c>
      <c r="G1973" s="34" t="n">
        <v>3497</v>
      </c>
      <c r="H1973" s="34" t="n">
        <v>18403</v>
      </c>
      <c r="I1973" t="inlineStr">
        <is>
          <t>3.2</t>
        </is>
      </c>
      <c r="J1973" t="inlineStr">
        <is>
          <t>Ventas Personas (B2C)</t>
        </is>
      </c>
      <c r="K1973" t="inlineStr">
        <is>
          <t>CH2</t>
        </is>
      </c>
    </row>
    <row r="1974">
      <c r="A1974" s="33" t="n">
        <v>45834</v>
      </c>
      <c r="B1974" t="inlineStr">
        <is>
          <t>2025-06</t>
        </is>
      </c>
      <c r="C1974" t="inlineStr">
        <is>
          <t>Maria Jose Bravo de la Maza</t>
        </is>
      </c>
      <c r="D1974" t="inlineStr">
        <is>
          <t>REGION METROPOLITANA</t>
        </is>
      </c>
      <c r="E1974" s="34" t="n">
        <v>3990</v>
      </c>
      <c r="F1974" t="inlineStr">
        <is>
          <t>B</t>
        </is>
      </c>
      <c r="G1974" s="34" t="n">
        <v>637</v>
      </c>
      <c r="H1974" s="34" t="n">
        <v>3353</v>
      </c>
      <c r="I1974" t="inlineStr">
        <is>
          <t>3.2</t>
        </is>
      </c>
      <c r="J1974" t="inlineStr">
        <is>
          <t>Ventas Personas (B2C)</t>
        </is>
      </c>
      <c r="K1974" t="inlineStr">
        <is>
          <t>CH2</t>
        </is>
      </c>
    </row>
    <row r="1975">
      <c r="A1975" s="33" t="n">
        <v>45835</v>
      </c>
      <c r="B1975" t="inlineStr">
        <is>
          <t>2025-06</t>
        </is>
      </c>
      <c r="C1975" t="inlineStr">
        <is>
          <t>PRODUCTORA GALDAMES CORTEZ LIMITADA</t>
        </is>
      </c>
      <c r="D1975" t="inlineStr">
        <is>
          <t>HORECA CATERING</t>
        </is>
      </c>
      <c r="E1975" s="34" t="n">
        <v>59500</v>
      </c>
      <c r="F1975" t="inlineStr">
        <is>
          <t>F</t>
        </is>
      </c>
      <c r="G1975" s="34" t="n">
        <v>9500</v>
      </c>
      <c r="H1975" s="34" t="n">
        <v>50000</v>
      </c>
      <c r="I1975" t="inlineStr">
        <is>
          <t>3.1</t>
        </is>
      </c>
      <c r="J1975" t="inlineStr">
        <is>
          <t>Ventas HoReCa</t>
        </is>
      </c>
      <c r="K1975" t="inlineStr">
        <is>
          <t>CH1</t>
        </is>
      </c>
    </row>
    <row r="1976">
      <c r="A1976" s="33" t="n">
        <v>45835</v>
      </c>
      <c r="B1976" t="inlineStr">
        <is>
          <t>2025-06</t>
        </is>
      </c>
      <c r="C1976" t="inlineStr">
        <is>
          <t>HUERTO SUR LIMITADA</t>
        </is>
      </c>
      <c r="D1976" t="inlineStr">
        <is>
          <t>HORECA CAFETERIA</t>
        </is>
      </c>
      <c r="E1976" s="34" t="n">
        <v>88599</v>
      </c>
      <c r="F1976" t="inlineStr">
        <is>
          <t>F</t>
        </is>
      </c>
      <c r="G1976" s="34" t="n">
        <v>14146</v>
      </c>
      <c r="H1976" s="34" t="n">
        <v>74453</v>
      </c>
      <c r="I1976" t="inlineStr">
        <is>
          <t>3.1</t>
        </is>
      </c>
      <c r="J1976" t="inlineStr">
        <is>
          <t>Ventas HoReCa</t>
        </is>
      </c>
      <c r="K1976" t="inlineStr">
        <is>
          <t>CH1</t>
        </is>
      </c>
    </row>
    <row r="1977">
      <c r="A1977" s="33" t="n">
        <v>45835</v>
      </c>
      <c r="B1977" t="inlineStr">
        <is>
          <t>2025-06</t>
        </is>
      </c>
      <c r="C1977" t="inlineStr">
        <is>
          <t>HUERTO SUR LIMITADA</t>
        </is>
      </c>
      <c r="D1977" t="inlineStr">
        <is>
          <t>HORECA CAFETERIA</t>
        </is>
      </c>
      <c r="E1977" s="34" t="n">
        <v>-88599</v>
      </c>
      <c r="F1977" t="inlineStr">
        <is>
          <t>NC</t>
        </is>
      </c>
      <c r="G1977" s="34" t="n">
        <v>-14146</v>
      </c>
      <c r="H1977" s="34" t="n">
        <v>-74453</v>
      </c>
      <c r="I1977" t="inlineStr">
        <is>
          <t>3.1</t>
        </is>
      </c>
      <c r="J1977" t="inlineStr">
        <is>
          <t>Ventas HoReCa</t>
        </is>
      </c>
      <c r="K1977" t="inlineStr">
        <is>
          <t>CH1</t>
        </is>
      </c>
    </row>
    <row r="1978">
      <c r="A1978" s="33" t="n">
        <v>45835</v>
      </c>
      <c r="B1978" t="inlineStr">
        <is>
          <t>2025-06</t>
        </is>
      </c>
      <c r="C1978" t="inlineStr">
        <is>
          <t>Better Food Spa</t>
        </is>
      </c>
      <c r="D1978" t="inlineStr">
        <is>
          <t>HORECA CAFETERIA</t>
        </is>
      </c>
      <c r="E1978" s="34" t="n">
        <v>389844</v>
      </c>
      <c r="F1978" t="inlineStr">
        <is>
          <t>F</t>
        </is>
      </c>
      <c r="G1978" s="34" t="n">
        <v>62244</v>
      </c>
      <c r="H1978" s="34" t="n">
        <v>327600</v>
      </c>
      <c r="I1978" t="inlineStr">
        <is>
          <t>3.1</t>
        </is>
      </c>
      <c r="J1978" t="inlineStr">
        <is>
          <t>Ventas HoReCa</t>
        </is>
      </c>
      <c r="K1978" t="inlineStr">
        <is>
          <t>CH1</t>
        </is>
      </c>
    </row>
    <row r="1979">
      <c r="A1979" s="33" t="n">
        <v>45835</v>
      </c>
      <c r="B1979" t="inlineStr">
        <is>
          <t>2025-06</t>
        </is>
      </c>
      <c r="C1979" t="inlineStr">
        <is>
          <t>POMPON SPA</t>
        </is>
      </c>
      <c r="D1979" t="inlineStr">
        <is>
          <t>HORECA CAFETERIA</t>
        </is>
      </c>
      <c r="E1979" s="34" t="n">
        <v>220150</v>
      </c>
      <c r="F1979" t="inlineStr">
        <is>
          <t>F</t>
        </is>
      </c>
      <c r="G1979" s="34" t="n">
        <v>35150</v>
      </c>
      <c r="H1979" s="34" t="n">
        <v>185000</v>
      </c>
      <c r="I1979" t="inlineStr">
        <is>
          <t>3.1</t>
        </is>
      </c>
      <c r="J1979" t="inlineStr">
        <is>
          <t>Ventas HoReCa</t>
        </is>
      </c>
      <c r="K1979" t="inlineStr">
        <is>
          <t>CH1</t>
        </is>
      </c>
    </row>
    <row r="1980">
      <c r="A1980" s="33" t="n">
        <v>45835</v>
      </c>
      <c r="B1980" t="inlineStr">
        <is>
          <t>2025-06</t>
        </is>
      </c>
      <c r="C1980" t="inlineStr">
        <is>
          <t>Sin cliente</t>
        </is>
      </c>
      <c r="D1980" t="inlineStr">
        <is>
          <t>CANELÉ TRADICIONAL</t>
        </is>
      </c>
      <c r="E1980" s="34" t="n">
        <v>25890</v>
      </c>
      <c r="F1980" t="inlineStr">
        <is>
          <t>B</t>
        </is>
      </c>
      <c r="G1980" s="34" t="n">
        <v>4134</v>
      </c>
      <c r="H1980" s="34" t="n">
        <v>21756</v>
      </c>
      <c r="I1980" t="inlineStr">
        <is>
          <t>3.2</t>
        </is>
      </c>
      <c r="J1980" t="inlineStr">
        <is>
          <t>Ventas Personas (B2C)</t>
        </is>
      </c>
      <c r="K1980" t="inlineStr">
        <is>
          <t>CH2</t>
        </is>
      </c>
    </row>
    <row r="1981">
      <c r="A1981" s="33" t="n">
        <v>45835</v>
      </c>
      <c r="B1981" t="inlineStr">
        <is>
          <t>2025-06</t>
        </is>
      </c>
      <c r="C1981" t="inlineStr">
        <is>
          <t>Luis Felipe La Corte Castro</t>
        </is>
      </c>
      <c r="D1981" t="inlineStr">
        <is>
          <t>HORECA CAFETERIA</t>
        </is>
      </c>
      <c r="E1981" s="34" t="n">
        <v>88599</v>
      </c>
      <c r="F1981" t="inlineStr">
        <is>
          <t>F</t>
        </is>
      </c>
      <c r="G1981" s="34" t="n">
        <v>14146</v>
      </c>
      <c r="H1981" s="34" t="n">
        <v>74453</v>
      </c>
      <c r="I1981" t="inlineStr">
        <is>
          <t>3.1</t>
        </is>
      </c>
      <c r="J1981" t="inlineStr">
        <is>
          <t>Ventas HoReCa</t>
        </is>
      </c>
      <c r="K1981" t="inlineStr">
        <is>
          <t>CH1</t>
        </is>
      </c>
    </row>
    <row r="1982">
      <c r="A1982" s="33" t="n">
        <v>45835</v>
      </c>
      <c r="B1982" t="inlineStr">
        <is>
          <t>2025-06</t>
        </is>
      </c>
      <c r="C1982" t="inlineStr">
        <is>
          <t>Vanessa  Núñez Rodríguez</t>
        </is>
      </c>
      <c r="D1982" t="inlineStr">
        <is>
          <t>CANELE SIN AZUCAR</t>
        </is>
      </c>
      <c r="E1982" s="34" t="n">
        <v>34290</v>
      </c>
      <c r="F1982" t="inlineStr">
        <is>
          <t>B</t>
        </is>
      </c>
      <c r="G1982" s="34" t="n">
        <v>5475</v>
      </c>
      <c r="H1982" s="34" t="n">
        <v>28815</v>
      </c>
      <c r="I1982" t="inlineStr">
        <is>
          <t>3.2</t>
        </is>
      </c>
      <c r="J1982" t="inlineStr">
        <is>
          <t>Ventas Personas (B2C)</t>
        </is>
      </c>
      <c r="K1982" t="inlineStr">
        <is>
          <t>CH2</t>
        </is>
      </c>
    </row>
    <row r="1983">
      <c r="A1983" s="33" t="n">
        <v>45835</v>
      </c>
      <c r="B1983" t="inlineStr">
        <is>
          <t>2025-06</t>
        </is>
      </c>
      <c r="C1983" t="inlineStr">
        <is>
          <t>Sin cliente</t>
        </is>
      </c>
      <c r="D1983" t="inlineStr">
        <is>
          <t>PLATAFORMAS RAP-PEYA-UBER-GOOD</t>
        </is>
      </c>
      <c r="E1983" s="34" t="n">
        <v>25080</v>
      </c>
      <c r="F1983" t="inlineStr">
        <is>
          <t>B</t>
        </is>
      </c>
      <c r="G1983" s="34" t="n">
        <v>4004</v>
      </c>
      <c r="H1983" s="34" t="n">
        <v>21076</v>
      </c>
      <c r="I1983" t="inlineStr">
        <is>
          <t>3.6</t>
        </is>
      </c>
      <c r="J1983" t="inlineStr">
        <is>
          <t>Ventas Delivery Apps</t>
        </is>
      </c>
      <c r="K1983" t="inlineStr">
        <is>
          <t>CH3</t>
        </is>
      </c>
    </row>
    <row r="1984">
      <c r="A1984" s="33" t="n">
        <v>45835</v>
      </c>
      <c r="B1984" t="inlineStr">
        <is>
          <t>2025-06</t>
        </is>
      </c>
      <c r="C1984" t="inlineStr">
        <is>
          <t>Sin cliente</t>
        </is>
      </c>
      <c r="D1984" t="inlineStr">
        <is>
          <t>Petit Crunchy</t>
        </is>
      </c>
      <c r="E1984" s="34" t="n">
        <v>12950</v>
      </c>
      <c r="F1984" t="inlineStr">
        <is>
          <t>B</t>
        </is>
      </c>
      <c r="G1984" s="34" t="n">
        <v>2068</v>
      </c>
      <c r="H1984" s="34" t="n">
        <v>10882</v>
      </c>
      <c r="I1984" t="inlineStr">
        <is>
          <t>3.2</t>
        </is>
      </c>
      <c r="J1984" t="inlineStr">
        <is>
          <t>Ventas Personas (B2C)</t>
        </is>
      </c>
      <c r="K1984" t="inlineStr">
        <is>
          <t>CH2</t>
        </is>
      </c>
    </row>
    <row r="1985">
      <c r="A1985" s="33" t="n">
        <v>45835</v>
      </c>
      <c r="B1985" t="inlineStr">
        <is>
          <t>2025-06</t>
        </is>
      </c>
      <c r="C1985" t="inlineStr">
        <is>
          <t>Sin cliente</t>
        </is>
      </c>
      <c r="D1985" t="inlineStr">
        <is>
          <t>Petit Crunchy</t>
        </is>
      </c>
      <c r="E1985" s="34" t="n">
        <v>12950</v>
      </c>
      <c r="F1985" t="inlineStr">
        <is>
          <t>B</t>
        </is>
      </c>
      <c r="G1985" s="34" t="n">
        <v>2068</v>
      </c>
      <c r="H1985" s="34" t="n">
        <v>10882</v>
      </c>
      <c r="I1985" t="inlineStr">
        <is>
          <t>3.2</t>
        </is>
      </c>
      <c r="J1985" t="inlineStr">
        <is>
          <t>Ventas Personas (B2C)</t>
        </is>
      </c>
      <c r="K1985" t="inlineStr">
        <is>
          <t>CH2</t>
        </is>
      </c>
    </row>
    <row r="1986">
      <c r="A1986" s="33" t="n">
        <v>45835</v>
      </c>
      <c r="B1986" t="inlineStr">
        <is>
          <t>2025-06</t>
        </is>
      </c>
      <c r="C1986" t="inlineStr">
        <is>
          <t>BEMVINDO CAFE</t>
        </is>
      </c>
      <c r="D1986" t="inlineStr">
        <is>
          <t>HORECA CAFETERIA</t>
        </is>
      </c>
      <c r="E1986" s="34" t="n">
        <v>36414</v>
      </c>
      <c r="F1986" t="inlineStr">
        <is>
          <t>F</t>
        </is>
      </c>
      <c r="G1986" s="34" t="n">
        <v>5814</v>
      </c>
      <c r="H1986" s="34" t="n">
        <v>30600</v>
      </c>
      <c r="I1986" t="inlineStr">
        <is>
          <t>3.1</t>
        </is>
      </c>
      <c r="J1986" t="inlineStr">
        <is>
          <t>Ventas HoReCa</t>
        </is>
      </c>
      <c r="K1986" t="inlineStr">
        <is>
          <t>CH1</t>
        </is>
      </c>
    </row>
    <row r="1987">
      <c r="A1987" s="33" t="n">
        <v>45835</v>
      </c>
      <c r="B1987" t="inlineStr">
        <is>
          <t>2025-06</t>
        </is>
      </c>
      <c r="C1987" t="inlineStr">
        <is>
          <t>Sin cliente</t>
        </is>
      </c>
      <c r="D1987" t="inlineStr">
        <is>
          <t>PLATAFORMAS RAP-PEYA-UBER-GOOD</t>
        </is>
      </c>
      <c r="E1987" s="34" t="n">
        <v>15480</v>
      </c>
      <c r="F1987" t="inlineStr">
        <is>
          <t>B</t>
        </is>
      </c>
      <c r="G1987" s="34" t="n">
        <v>2472</v>
      </c>
      <c r="H1987" s="34" t="n">
        <v>13008</v>
      </c>
      <c r="I1987" t="inlineStr">
        <is>
          <t>3.6</t>
        </is>
      </c>
      <c r="J1987" t="inlineStr">
        <is>
          <t>Ventas Delivery Apps</t>
        </is>
      </c>
      <c r="K1987" t="inlineStr">
        <is>
          <t>CH3</t>
        </is>
      </c>
    </row>
    <row r="1988">
      <c r="A1988" s="33" t="n">
        <v>45835</v>
      </c>
      <c r="B1988" t="inlineStr">
        <is>
          <t>2025-06</t>
        </is>
      </c>
      <c r="C1988" t="inlineStr">
        <is>
          <t>Ana Saldias</t>
        </is>
      </c>
      <c r="D1988" t="inlineStr">
        <is>
          <t>Petit Crunchy</t>
        </is>
      </c>
      <c r="E1988" s="34" t="n">
        <v>29890</v>
      </c>
      <c r="F1988" t="inlineStr">
        <is>
          <t>B</t>
        </is>
      </c>
      <c r="G1988" s="34" t="n">
        <v>4772</v>
      </c>
      <c r="H1988" s="34" t="n">
        <v>25118</v>
      </c>
      <c r="I1988" t="inlineStr">
        <is>
          <t>3.2</t>
        </is>
      </c>
      <c r="J1988" t="inlineStr">
        <is>
          <t>Ventas Personas (B2C)</t>
        </is>
      </c>
      <c r="K1988" t="inlineStr">
        <is>
          <t>CH2</t>
        </is>
      </c>
    </row>
    <row r="1989">
      <c r="A1989" s="33" t="n">
        <v>45835</v>
      </c>
      <c r="B1989" t="inlineStr">
        <is>
          <t>2025-06</t>
        </is>
      </c>
      <c r="C1989" t="inlineStr">
        <is>
          <t>Valentina Zahr</t>
        </is>
      </c>
      <c r="D1989" t="inlineStr">
        <is>
          <t>SALSAS</t>
        </is>
      </c>
      <c r="E1989" s="34" t="n">
        <v>43680</v>
      </c>
      <c r="F1989" t="inlineStr">
        <is>
          <t>B</t>
        </is>
      </c>
      <c r="G1989" s="34" t="n">
        <v>6974</v>
      </c>
      <c r="H1989" s="34" t="n">
        <v>36706</v>
      </c>
      <c r="I1989" t="inlineStr">
        <is>
          <t>3.2</t>
        </is>
      </c>
      <c r="J1989" t="inlineStr">
        <is>
          <t>Ventas Personas (B2C)</t>
        </is>
      </c>
      <c r="K1989" t="inlineStr">
        <is>
          <t>CH2</t>
        </is>
      </c>
    </row>
    <row r="1990">
      <c r="A1990" s="33" t="n">
        <v>45835</v>
      </c>
      <c r="B1990" t="inlineStr">
        <is>
          <t>2025-06</t>
        </is>
      </c>
      <c r="C1990" t="inlineStr">
        <is>
          <t>CAFETERÍAS MISTER SPA</t>
        </is>
      </c>
      <c r="D1990" t="inlineStr">
        <is>
          <t>HORECA CAFETERIA</t>
        </is>
      </c>
      <c r="E1990" s="34" t="n">
        <v>63966</v>
      </c>
      <c r="F1990" t="inlineStr">
        <is>
          <t>F</t>
        </is>
      </c>
      <c r="G1990" s="34" t="n">
        <v>10213</v>
      </c>
      <c r="H1990" s="34" t="n">
        <v>53753</v>
      </c>
      <c r="I1990" t="inlineStr">
        <is>
          <t>3.1</t>
        </is>
      </c>
      <c r="J1990" t="inlineStr">
        <is>
          <t>Ventas HoReCa</t>
        </is>
      </c>
      <c r="K1990" t="inlineStr">
        <is>
          <t>CH1</t>
        </is>
      </c>
    </row>
    <row r="1991">
      <c r="A1991" s="33" t="n">
        <v>45835</v>
      </c>
      <c r="B1991" t="inlineStr">
        <is>
          <t>2025-06</t>
        </is>
      </c>
      <c r="C1991" t="inlineStr">
        <is>
          <t>Sin cliente</t>
        </is>
      </c>
      <c r="D1991" t="inlineStr">
        <is>
          <t>PLATAFORMAS RAP-PEYA-UBER-GOOD</t>
        </is>
      </c>
      <c r="E1991" s="34" t="n">
        <v>26280</v>
      </c>
      <c r="F1991" t="inlineStr">
        <is>
          <t>B</t>
        </is>
      </c>
      <c r="G1991" s="34" t="n">
        <v>4196</v>
      </c>
      <c r="H1991" s="34" t="n">
        <v>22084</v>
      </c>
      <c r="I1991" t="inlineStr">
        <is>
          <t>3.6</t>
        </is>
      </c>
      <c r="J1991" t="inlineStr">
        <is>
          <t>Ventas Delivery Apps</t>
        </is>
      </c>
      <c r="K1991" t="inlineStr">
        <is>
          <t>CH3</t>
        </is>
      </c>
    </row>
    <row r="1992">
      <c r="A1992" s="33" t="n">
        <v>45835</v>
      </c>
      <c r="B1992" t="inlineStr">
        <is>
          <t>2025-06</t>
        </is>
      </c>
      <c r="C1992" t="inlineStr">
        <is>
          <t>ESTRELLA VALDIVIA</t>
        </is>
      </c>
      <c r="D1992" t="inlineStr">
        <is>
          <t>Rellenos</t>
        </is>
      </c>
      <c r="E1992" s="34" t="n">
        <v>28890</v>
      </c>
      <c r="F1992" t="inlineStr">
        <is>
          <t>B</t>
        </is>
      </c>
      <c r="G1992" s="34" t="n">
        <v>4613</v>
      </c>
      <c r="H1992" s="34" t="n">
        <v>24277</v>
      </c>
      <c r="I1992" t="inlineStr">
        <is>
          <t>3.2</t>
        </is>
      </c>
      <c r="J1992" t="inlineStr">
        <is>
          <t>Ventas Personas (B2C)</t>
        </is>
      </c>
      <c r="K1992" t="inlineStr">
        <is>
          <t>CH2</t>
        </is>
      </c>
    </row>
    <row r="1993">
      <c r="A1993" s="33" t="n">
        <v>45835</v>
      </c>
      <c r="B1993" t="inlineStr">
        <is>
          <t>2025-06</t>
        </is>
      </c>
      <c r="C1993" t="inlineStr">
        <is>
          <t>Sin cliente</t>
        </is>
      </c>
      <c r="D1993" t="inlineStr">
        <is>
          <t>PLATAFORMAS RAP-PEYA-UBER-GOOD</t>
        </is>
      </c>
      <c r="E1993" s="34" t="n">
        <v>15480</v>
      </c>
      <c r="F1993" t="inlineStr">
        <is>
          <t>B</t>
        </is>
      </c>
      <c r="G1993" s="34" t="n">
        <v>2472</v>
      </c>
      <c r="H1993" s="34" t="n">
        <v>13008</v>
      </c>
      <c r="I1993" t="inlineStr">
        <is>
          <t>3.6</t>
        </is>
      </c>
      <c r="J1993" t="inlineStr">
        <is>
          <t>Ventas Delivery Apps</t>
        </is>
      </c>
      <c r="K1993" t="inlineStr">
        <is>
          <t>CH3</t>
        </is>
      </c>
    </row>
    <row r="1994">
      <c r="A1994" s="33" t="n">
        <v>45835</v>
      </c>
      <c r="B1994" t="inlineStr">
        <is>
          <t>2025-06</t>
        </is>
      </c>
      <c r="C1994" t="inlineStr">
        <is>
          <t>Sin cliente</t>
        </is>
      </c>
      <c r="D1994" t="inlineStr">
        <is>
          <t>PLATAFORMAS RAP-PEYA-UBER-GOOD</t>
        </is>
      </c>
      <c r="E1994" s="34" t="n">
        <v>16140</v>
      </c>
      <c r="F1994" t="inlineStr">
        <is>
          <t>B</t>
        </is>
      </c>
      <c r="G1994" s="34" t="n">
        <v>2577</v>
      </c>
      <c r="H1994" s="34" t="n">
        <v>13563</v>
      </c>
      <c r="I1994" t="inlineStr">
        <is>
          <t>3.6</t>
        </is>
      </c>
      <c r="J1994" t="inlineStr">
        <is>
          <t>Ventas Delivery Apps</t>
        </is>
      </c>
      <c r="K1994" t="inlineStr">
        <is>
          <t>CH3</t>
        </is>
      </c>
    </row>
    <row r="1995">
      <c r="A1995" s="33" t="n">
        <v>45836</v>
      </c>
      <c r="B1995" t="inlineStr">
        <is>
          <t>2025-06</t>
        </is>
      </c>
      <c r="C1995" t="inlineStr">
        <is>
          <t>Monica Infante</t>
        </is>
      </c>
      <c r="D1995" t="inlineStr">
        <is>
          <t>Petit Crunchy</t>
        </is>
      </c>
      <c r="E1995" s="34" t="n">
        <v>36880</v>
      </c>
      <c r="F1995" t="inlineStr">
        <is>
          <t>B</t>
        </is>
      </c>
      <c r="G1995" s="34" t="n">
        <v>5888</v>
      </c>
      <c r="H1995" s="34" t="n">
        <v>30992</v>
      </c>
      <c r="I1995" t="inlineStr">
        <is>
          <t>3.2</t>
        </is>
      </c>
      <c r="J1995" t="inlineStr">
        <is>
          <t>Ventas Personas (B2C)</t>
        </is>
      </c>
      <c r="K1995" t="inlineStr">
        <is>
          <t>CH2</t>
        </is>
      </c>
    </row>
    <row r="1996">
      <c r="A1996" s="33" t="n">
        <v>45836</v>
      </c>
      <c r="B1996" t="inlineStr">
        <is>
          <t>2025-06</t>
        </is>
      </c>
      <c r="C1996" t="inlineStr">
        <is>
          <t>Benjamin Huenchuñir</t>
        </is>
      </c>
      <c r="D1996" t="inlineStr">
        <is>
          <t>Petit Crunchy</t>
        </is>
      </c>
      <c r="E1996" s="34" t="n">
        <v>13900</v>
      </c>
      <c r="F1996" t="inlineStr">
        <is>
          <t>B</t>
        </is>
      </c>
      <c r="G1996" s="34" t="n">
        <v>2219</v>
      </c>
      <c r="H1996" s="34" t="n">
        <v>11681</v>
      </c>
      <c r="I1996" t="inlineStr">
        <is>
          <t>3.2</t>
        </is>
      </c>
      <c r="J1996" t="inlineStr">
        <is>
          <t>Ventas Personas (B2C)</t>
        </is>
      </c>
      <c r="K1996" t="inlineStr">
        <is>
          <t>CH2</t>
        </is>
      </c>
    </row>
    <row r="1997">
      <c r="A1997" s="33" t="n">
        <v>45836</v>
      </c>
      <c r="B1997" t="inlineStr">
        <is>
          <t>2025-06</t>
        </is>
      </c>
      <c r="C1997" t="inlineStr">
        <is>
          <t>Sin cliente</t>
        </is>
      </c>
      <c r="D1997" t="inlineStr">
        <is>
          <t>PLATAFORMAS RAP-PEYA-UBER-GOOD</t>
        </is>
      </c>
      <c r="E1997" s="34" t="n">
        <v>15480</v>
      </c>
      <c r="F1997" t="inlineStr">
        <is>
          <t>B</t>
        </is>
      </c>
      <c r="G1997" s="34" t="n">
        <v>2472</v>
      </c>
      <c r="H1997" s="34" t="n">
        <v>13008</v>
      </c>
      <c r="I1997" t="inlineStr">
        <is>
          <t>3.6</t>
        </is>
      </c>
      <c r="J1997" t="inlineStr">
        <is>
          <t>Ventas Delivery Apps</t>
        </is>
      </c>
      <c r="K1997" t="inlineStr">
        <is>
          <t>CH3</t>
        </is>
      </c>
    </row>
    <row r="1998">
      <c r="A1998" s="33" t="n">
        <v>45836</v>
      </c>
      <c r="B1998" t="inlineStr">
        <is>
          <t>2025-06</t>
        </is>
      </c>
      <c r="C1998" t="inlineStr">
        <is>
          <t>Paula Rivera carrillo</t>
        </is>
      </c>
      <c r="D1998" t="inlineStr">
        <is>
          <t>CANELÉ TRADICIONAL</t>
        </is>
      </c>
      <c r="E1998" s="34" t="n">
        <v>18889</v>
      </c>
      <c r="F1998" t="inlineStr">
        <is>
          <t>B</t>
        </is>
      </c>
      <c r="G1998" s="34" t="n">
        <v>3016</v>
      </c>
      <c r="H1998" s="34" t="n">
        <v>15873</v>
      </c>
      <c r="I1998" t="inlineStr">
        <is>
          <t>3.2</t>
        </is>
      </c>
      <c r="J1998" t="inlineStr">
        <is>
          <t>Ventas Personas (B2C)</t>
        </is>
      </c>
      <c r="K1998" t="inlineStr">
        <is>
          <t>CH2</t>
        </is>
      </c>
    </row>
    <row r="1999">
      <c r="A1999" s="33" t="n">
        <v>45836</v>
      </c>
      <c r="B1999" t="inlineStr">
        <is>
          <t>2025-06</t>
        </is>
      </c>
      <c r="C1999" t="inlineStr">
        <is>
          <t>Matias Castro</t>
        </is>
      </c>
      <c r="D1999" t="inlineStr">
        <is>
          <t>Petit Crunchy</t>
        </is>
      </c>
      <c r="E1999" s="34" t="n">
        <v>16889</v>
      </c>
      <c r="F1999" t="inlineStr">
        <is>
          <t>B</t>
        </is>
      </c>
      <c r="G1999" s="34" t="n">
        <v>2697</v>
      </c>
      <c r="H1999" s="34" t="n">
        <v>14192</v>
      </c>
      <c r="I1999" t="inlineStr">
        <is>
          <t>3.2</t>
        </is>
      </c>
      <c r="J1999" t="inlineStr">
        <is>
          <t>Ventas Personas (B2C)</t>
        </is>
      </c>
      <c r="K1999" t="inlineStr">
        <is>
          <t>CH2</t>
        </is>
      </c>
    </row>
    <row r="2000">
      <c r="A2000" s="33" t="n">
        <v>45836</v>
      </c>
      <c r="B2000" t="inlineStr">
        <is>
          <t>2025-06</t>
        </is>
      </c>
      <c r="C2000" t="inlineStr">
        <is>
          <t>didier santonja</t>
        </is>
      </c>
      <c r="D2000" t="inlineStr">
        <is>
          <t>Petit Tradicional</t>
        </is>
      </c>
      <c r="E2000" s="34" t="n">
        <v>20900</v>
      </c>
      <c r="F2000" t="inlineStr">
        <is>
          <t>B</t>
        </is>
      </c>
      <c r="G2000" s="34" t="n">
        <v>3337</v>
      </c>
      <c r="H2000" s="34" t="n">
        <v>17563</v>
      </c>
      <c r="I2000" t="inlineStr">
        <is>
          <t>3.2</t>
        </is>
      </c>
      <c r="J2000" t="inlineStr">
        <is>
          <t>Ventas Personas (B2C)</t>
        </is>
      </c>
      <c r="K2000" t="inlineStr">
        <is>
          <t>CH2</t>
        </is>
      </c>
    </row>
    <row r="2001">
      <c r="A2001" s="33" t="n">
        <v>45836</v>
      </c>
      <c r="B2001" t="inlineStr">
        <is>
          <t>2025-06</t>
        </is>
      </c>
      <c r="C2001" t="inlineStr">
        <is>
          <t>Sin cliente</t>
        </is>
      </c>
      <c r="D2001" t="inlineStr">
        <is>
          <t>PLATAFORMAS RAP-PEYA-UBER-GOOD</t>
        </is>
      </c>
      <c r="E2001" s="34" t="n">
        <v>25080</v>
      </c>
      <c r="F2001" t="inlineStr">
        <is>
          <t>B</t>
        </is>
      </c>
      <c r="G2001" s="34" t="n">
        <v>4004</v>
      </c>
      <c r="H2001" s="34" t="n">
        <v>21076</v>
      </c>
      <c r="I2001" t="inlineStr">
        <is>
          <t>3.6</t>
        </is>
      </c>
      <c r="J2001" t="inlineStr">
        <is>
          <t>Ventas Delivery Apps</t>
        </is>
      </c>
      <c r="K2001" t="inlineStr">
        <is>
          <t>CH3</t>
        </is>
      </c>
    </row>
    <row r="2002">
      <c r="A2002" s="33" t="n">
        <v>45836</v>
      </c>
      <c r="B2002" t="inlineStr">
        <is>
          <t>2025-06</t>
        </is>
      </c>
      <c r="C2002" t="inlineStr">
        <is>
          <t>Sin cliente</t>
        </is>
      </c>
      <c r="D2002" t="inlineStr">
        <is>
          <t>CANELÉ TRADICIONAL</t>
        </is>
      </c>
      <c r="E2002" s="34" t="n">
        <v>26900</v>
      </c>
      <c r="F2002" t="inlineStr">
        <is>
          <t>B</t>
        </is>
      </c>
      <c r="G2002" s="34" t="n">
        <v>4295</v>
      </c>
      <c r="H2002" s="34" t="n">
        <v>22605</v>
      </c>
      <c r="I2002" t="inlineStr">
        <is>
          <t>3.2</t>
        </is>
      </c>
      <c r="J2002" t="inlineStr">
        <is>
          <t>Ventas Personas (B2C)</t>
        </is>
      </c>
      <c r="K2002" t="inlineStr">
        <is>
          <t>CH2</t>
        </is>
      </c>
    </row>
    <row r="2003">
      <c r="A2003" s="33" t="n">
        <v>45837</v>
      </c>
      <c r="B2003" t="inlineStr">
        <is>
          <t>2025-06</t>
        </is>
      </c>
      <c r="C2003" t="inlineStr">
        <is>
          <t>Catalina López Insinilla</t>
        </is>
      </c>
      <c r="D2003" t="inlineStr">
        <is>
          <t>Petit Crunchy</t>
        </is>
      </c>
      <c r="E2003" s="34" t="n">
        <v>30890</v>
      </c>
      <c r="F2003" t="inlineStr">
        <is>
          <t>B</t>
        </is>
      </c>
      <c r="G2003" s="34" t="n">
        <v>4932</v>
      </c>
      <c r="H2003" s="34" t="n">
        <v>25958</v>
      </c>
      <c r="I2003" t="inlineStr">
        <is>
          <t>3.2</t>
        </is>
      </c>
      <c r="J2003" t="inlineStr">
        <is>
          <t>Ventas Personas (B2C)</t>
        </is>
      </c>
      <c r="K2003" t="inlineStr">
        <is>
          <t>CH2</t>
        </is>
      </c>
    </row>
    <row r="2004">
      <c r="A2004" s="33" t="n">
        <v>45837</v>
      </c>
      <c r="B2004" t="inlineStr">
        <is>
          <t>2025-06</t>
        </is>
      </c>
      <c r="C2004" t="inlineStr">
        <is>
          <t>Nasha DuBois</t>
        </is>
      </c>
      <c r="D2004" t="inlineStr">
        <is>
          <t>CANELÉ TRADICIONAL</t>
        </is>
      </c>
      <c r="E2004" s="34" t="n">
        <v>25890</v>
      </c>
      <c r="F2004" t="inlineStr">
        <is>
          <t>B</t>
        </is>
      </c>
      <c r="G2004" s="34" t="n">
        <v>4134</v>
      </c>
      <c r="H2004" s="34" t="n">
        <v>21756</v>
      </c>
      <c r="I2004" t="inlineStr">
        <is>
          <t>3.2</t>
        </is>
      </c>
      <c r="J2004" t="inlineStr">
        <is>
          <t>Ventas Personas (B2C)</t>
        </is>
      </c>
      <c r="K2004" t="inlineStr">
        <is>
          <t>CH2</t>
        </is>
      </c>
    </row>
    <row r="2005">
      <c r="A2005" s="33" t="n">
        <v>45838</v>
      </c>
      <c r="B2005" t="inlineStr">
        <is>
          <t>2025-06</t>
        </is>
      </c>
      <c r="C2005" t="inlineStr">
        <is>
          <t>POMPON SPA</t>
        </is>
      </c>
      <c r="D2005" t="inlineStr">
        <is>
          <t>HORECA CAFETERIA</t>
        </is>
      </c>
      <c r="E2005" s="34" t="n">
        <v>175350</v>
      </c>
      <c r="F2005" t="inlineStr">
        <is>
          <t>F</t>
        </is>
      </c>
      <c r="G2005" s="34" t="n">
        <v>27997</v>
      </c>
      <c r="H2005" s="34" t="n">
        <v>147353</v>
      </c>
      <c r="I2005" t="inlineStr">
        <is>
          <t>3.1</t>
        </is>
      </c>
      <c r="J2005" t="inlineStr">
        <is>
          <t>Ventas HoReCa</t>
        </is>
      </c>
      <c r="K2005" t="inlineStr">
        <is>
          <t>CH1</t>
        </is>
      </c>
    </row>
    <row r="2006">
      <c r="A2006" s="33" t="n">
        <v>45838</v>
      </c>
      <c r="B2006" t="inlineStr">
        <is>
          <t>2025-06</t>
        </is>
      </c>
      <c r="C2006" t="inlineStr">
        <is>
          <t>CAFETERÍA ALTURA LIMITADA</t>
        </is>
      </c>
      <c r="D2006" t="inlineStr">
        <is>
          <t>HORECA CAFETERIA</t>
        </is>
      </c>
      <c r="E2006" s="34" t="n">
        <v>53899</v>
      </c>
      <c r="F2006" t="inlineStr">
        <is>
          <t>F</t>
        </is>
      </c>
      <c r="G2006" s="34" t="n">
        <v>8606</v>
      </c>
      <c r="H2006" s="34" t="n">
        <v>45293</v>
      </c>
      <c r="I2006" t="inlineStr">
        <is>
          <t>3.1</t>
        </is>
      </c>
      <c r="J2006" t="inlineStr">
        <is>
          <t>Ventas HoReCa</t>
        </is>
      </c>
      <c r="K2006" t="inlineStr">
        <is>
          <t>CH1</t>
        </is>
      </c>
    </row>
    <row r="2007">
      <c r="A2007" s="33" t="n">
        <v>45838</v>
      </c>
      <c r="B2007" t="inlineStr">
        <is>
          <t>2025-06</t>
        </is>
      </c>
      <c r="C2007" t="inlineStr">
        <is>
          <t>INVERSIONES Y COMERCIALIZADORA FED LIMITADA</t>
        </is>
      </c>
      <c r="D2007" t="inlineStr">
        <is>
          <t>HORECA CAFETERIA</t>
        </is>
      </c>
      <c r="E2007" s="34" t="n">
        <v>104807</v>
      </c>
      <c r="F2007" t="inlineStr">
        <is>
          <t>F</t>
        </is>
      </c>
      <c r="G2007" s="34" t="n">
        <v>16734</v>
      </c>
      <c r="H2007" s="34" t="n">
        <v>88073</v>
      </c>
      <c r="I2007" t="inlineStr">
        <is>
          <t>3.1</t>
        </is>
      </c>
      <c r="J2007" t="inlineStr">
        <is>
          <t>Ventas HoReCa</t>
        </is>
      </c>
      <c r="K2007" t="inlineStr">
        <is>
          <t>CH1</t>
        </is>
      </c>
    </row>
    <row r="2008">
      <c r="A2008" s="33" t="n">
        <v>45838</v>
      </c>
      <c r="B2008" t="inlineStr">
        <is>
          <t>2025-06</t>
        </is>
      </c>
      <c r="C2008" t="inlineStr">
        <is>
          <t>INVERSIONES Y COMERCIALIZADORA FED LIMITADA</t>
        </is>
      </c>
      <c r="D2008" t="inlineStr">
        <is>
          <t>HORECA CAFETERIA</t>
        </is>
      </c>
      <c r="E2008" s="34" t="n">
        <v>182177</v>
      </c>
      <c r="F2008" t="inlineStr">
        <is>
          <t>F</t>
        </is>
      </c>
      <c r="G2008" s="34" t="n">
        <v>29087</v>
      </c>
      <c r="H2008" s="34" t="n">
        <v>153090</v>
      </c>
      <c r="I2008" t="inlineStr">
        <is>
          <t>3.1</t>
        </is>
      </c>
      <c r="J2008" t="inlineStr">
        <is>
          <t>Ventas HoReCa</t>
        </is>
      </c>
      <c r="K2008" t="inlineStr">
        <is>
          <t>CH1</t>
        </is>
      </c>
    </row>
    <row r="2009">
      <c r="A2009" s="33" t="n">
        <v>45838</v>
      </c>
      <c r="B2009" t="inlineStr">
        <is>
          <t>2025-06</t>
        </is>
      </c>
      <c r="C2009" t="inlineStr">
        <is>
          <t>INVERSIONES Y ASESORIAS RAVAL LIMITADA</t>
        </is>
      </c>
      <c r="D2009" t="inlineStr">
        <is>
          <t>HORECA CAFETERIA</t>
        </is>
      </c>
      <c r="E2009" s="34" t="n">
        <v>67956</v>
      </c>
      <c r="F2009" t="inlineStr">
        <is>
          <t>F</t>
        </is>
      </c>
      <c r="G2009" s="34" t="n">
        <v>10850</v>
      </c>
      <c r="H2009" s="34" t="n">
        <v>57106</v>
      </c>
      <c r="I2009" t="inlineStr">
        <is>
          <t>3.1</t>
        </is>
      </c>
      <c r="J2009" t="inlineStr">
        <is>
          <t>Ventas HoReCa</t>
        </is>
      </c>
      <c r="K2009" t="inlineStr">
        <is>
          <t>CH1</t>
        </is>
      </c>
    </row>
    <row r="2010">
      <c r="A2010" s="33" t="n">
        <v>45838</v>
      </c>
      <c r="B2010" t="inlineStr">
        <is>
          <t>2025-06</t>
        </is>
      </c>
      <c r="C2010" t="inlineStr">
        <is>
          <t>Justine  Espina</t>
        </is>
      </c>
      <c r="D2010" t="inlineStr">
        <is>
          <t>CANELÉ TRADICIONAL</t>
        </is>
      </c>
      <c r="E2010" s="34" t="n">
        <v>31890</v>
      </c>
      <c r="F2010" t="inlineStr">
        <is>
          <t>B</t>
        </is>
      </c>
      <c r="G2010" s="34" t="n">
        <v>5092</v>
      </c>
      <c r="H2010" s="34" t="n">
        <v>26798</v>
      </c>
      <c r="I2010" t="inlineStr">
        <is>
          <t>3.2</t>
        </is>
      </c>
      <c r="J2010" t="inlineStr">
        <is>
          <t>Ventas Personas (B2C)</t>
        </is>
      </c>
      <c r="K2010" t="inlineStr">
        <is>
          <t>CH2</t>
        </is>
      </c>
    </row>
    <row r="2011">
      <c r="A2011" s="33" t="n">
        <v>45838</v>
      </c>
      <c r="B2011" t="inlineStr">
        <is>
          <t>2025-06</t>
        </is>
      </c>
      <c r="C2011" t="inlineStr">
        <is>
          <t>Jasmith Moncada</t>
        </is>
      </c>
      <c r="D2011" t="inlineStr">
        <is>
          <t>CANELÉ TRADICIONAL</t>
        </is>
      </c>
      <c r="E2011" s="34" t="n">
        <v>29889</v>
      </c>
      <c r="F2011" t="inlineStr">
        <is>
          <t>B</t>
        </is>
      </c>
      <c r="G2011" s="34" t="n">
        <v>4772</v>
      </c>
      <c r="H2011" s="34" t="n">
        <v>25117</v>
      </c>
      <c r="I2011" t="inlineStr">
        <is>
          <t>3.2</t>
        </is>
      </c>
      <c r="J2011" t="inlineStr">
        <is>
          <t>Ventas Personas (B2C)</t>
        </is>
      </c>
      <c r="K2011" t="inlineStr">
        <is>
          <t>CH2</t>
        </is>
      </c>
    </row>
    <row r="2012">
      <c r="A2012" s="33" t="n">
        <v>45838</v>
      </c>
      <c r="B2012" t="inlineStr">
        <is>
          <t>2025-06</t>
        </is>
      </c>
      <c r="C2012" t="inlineStr">
        <is>
          <t>Sin cliente</t>
        </is>
      </c>
      <c r="D2012" t="inlineStr">
        <is>
          <t>CANELÉ TRADICIONAL</t>
        </is>
      </c>
      <c r="E2012" s="34" t="n">
        <v>14900</v>
      </c>
      <c r="F2012" t="inlineStr">
        <is>
          <t>B</t>
        </is>
      </c>
      <c r="G2012" s="34" t="n">
        <v>2379</v>
      </c>
      <c r="H2012" s="34" t="n">
        <v>12521</v>
      </c>
      <c r="I2012" t="inlineStr">
        <is>
          <t>3.2</t>
        </is>
      </c>
      <c r="J2012" t="inlineStr">
        <is>
          <t>Ventas Personas (B2C)</t>
        </is>
      </c>
      <c r="K2012" t="inlineStr">
        <is>
          <t>CH2</t>
        </is>
      </c>
    </row>
    <row r="2013">
      <c r="A2013" s="33" t="n">
        <v>45838</v>
      </c>
      <c r="B2013" t="inlineStr">
        <is>
          <t>2025-06</t>
        </is>
      </c>
      <c r="C2013" t="inlineStr">
        <is>
          <t>Café del Parque SpA</t>
        </is>
      </c>
      <c r="D2013" t="inlineStr">
        <is>
          <t>HORECA CAFETERIA</t>
        </is>
      </c>
      <c r="E2013" s="34" t="n">
        <v>71106</v>
      </c>
      <c r="F2013" t="inlineStr">
        <is>
          <t>F</t>
        </is>
      </c>
      <c r="G2013" s="34" t="n">
        <v>11353</v>
      </c>
      <c r="H2013" s="34" t="n">
        <v>59753</v>
      </c>
      <c r="I2013" t="inlineStr">
        <is>
          <t>3.1</t>
        </is>
      </c>
      <c r="J2013" t="inlineStr">
        <is>
          <t>Ventas HoReCa</t>
        </is>
      </c>
      <c r="K2013" t="inlineStr">
        <is>
          <t>CH1</t>
        </is>
      </c>
    </row>
    <row r="2014">
      <c r="A2014" s="33" t="n">
        <v>45838</v>
      </c>
      <c r="B2014" t="inlineStr">
        <is>
          <t>2025-06</t>
        </is>
      </c>
      <c r="C2014" t="inlineStr">
        <is>
          <t>B KOFI SPA</t>
        </is>
      </c>
      <c r="D2014" t="inlineStr">
        <is>
          <t>HORECA CAFETERIA</t>
        </is>
      </c>
      <c r="E2014" s="34" t="n">
        <v>107609</v>
      </c>
      <c r="F2014" t="inlineStr">
        <is>
          <t>F</t>
        </is>
      </c>
      <c r="G2014" s="34" t="n">
        <v>17181</v>
      </c>
      <c r="H2014" s="34" t="n">
        <v>90428</v>
      </c>
      <c r="I2014" t="inlineStr">
        <is>
          <t>3.1</t>
        </is>
      </c>
      <c r="J2014" t="inlineStr">
        <is>
          <t>Ventas HoReCa</t>
        </is>
      </c>
      <c r="K2014" t="inlineStr">
        <is>
          <t>CH1</t>
        </is>
      </c>
    </row>
    <row r="2015">
      <c r="A2015" s="33" t="n">
        <v>45838</v>
      </c>
      <c r="B2015" t="inlineStr">
        <is>
          <t>2025-06</t>
        </is>
      </c>
      <c r="C2015" t="inlineStr">
        <is>
          <t>JULIO ALARCON</t>
        </is>
      </c>
      <c r="D2015" t="inlineStr">
        <is>
          <t>Petit Crunchy</t>
        </is>
      </c>
      <c r="E2015" s="34" t="n">
        <v>38890</v>
      </c>
      <c r="F2015" t="inlineStr">
        <is>
          <t>B</t>
        </is>
      </c>
      <c r="G2015" s="34" t="n">
        <v>6209</v>
      </c>
      <c r="H2015" s="34" t="n">
        <v>32681</v>
      </c>
      <c r="I2015" t="inlineStr">
        <is>
          <t>3.2</t>
        </is>
      </c>
      <c r="J2015" t="inlineStr">
        <is>
          <t>Ventas Personas (B2C)</t>
        </is>
      </c>
      <c r="K2015" t="inlineStr">
        <is>
          <t>CH2</t>
        </is>
      </c>
    </row>
    <row r="2016">
      <c r="A2016" s="33" t="n">
        <v>45838</v>
      </c>
      <c r="B2016" t="inlineStr">
        <is>
          <t>2025-06</t>
        </is>
      </c>
      <c r="C2016" t="inlineStr">
        <is>
          <t>Sin cliente</t>
        </is>
      </c>
      <c r="D2016" t="inlineStr">
        <is>
          <t>CANELÉ TRADICIONAL</t>
        </is>
      </c>
      <c r="E2016" s="34" t="n">
        <v>33890</v>
      </c>
      <c r="F2016" t="inlineStr">
        <is>
          <t>B</t>
        </is>
      </c>
      <c r="G2016" s="34" t="n">
        <v>5411</v>
      </c>
      <c r="H2016" s="34" t="n">
        <v>28479</v>
      </c>
      <c r="I2016" t="inlineStr">
        <is>
          <t>3.2</t>
        </is>
      </c>
      <c r="J2016" t="inlineStr">
        <is>
          <t>Ventas Personas (B2C)</t>
        </is>
      </c>
      <c r="K2016" t="inlineStr">
        <is>
          <t>CH2</t>
        </is>
      </c>
    </row>
    <row r="2017">
      <c r="A2017" s="33" t="n">
        <v>45838</v>
      </c>
      <c r="B2017" t="inlineStr">
        <is>
          <t>2025-06</t>
        </is>
      </c>
      <c r="C2017" t="inlineStr">
        <is>
          <t>Sin cliente</t>
        </is>
      </c>
      <c r="D2017" t="inlineStr">
        <is>
          <t>PLATAFORMAS RAP-PEYA-UBER-GOOD</t>
        </is>
      </c>
      <c r="E2017" s="34" t="n">
        <v>17880</v>
      </c>
      <c r="F2017" t="inlineStr">
        <is>
          <t>B</t>
        </is>
      </c>
      <c r="G2017" s="34" t="n">
        <v>2855</v>
      </c>
      <c r="H2017" s="34" t="n">
        <v>15025</v>
      </c>
      <c r="I2017" t="inlineStr">
        <is>
          <t>3.6</t>
        </is>
      </c>
      <c r="J2017" t="inlineStr">
        <is>
          <t>Ventas Delivery Apps</t>
        </is>
      </c>
      <c r="K2017" t="inlineStr">
        <is>
          <t>CH3</t>
        </is>
      </c>
    </row>
    <row r="2018">
      <c r="A2018" s="33" t="n">
        <v>45838</v>
      </c>
      <c r="B2018" t="inlineStr">
        <is>
          <t>2025-06</t>
        </is>
      </c>
      <c r="C2018" t="inlineStr">
        <is>
          <t>Sin cliente</t>
        </is>
      </c>
      <c r="D2018" t="inlineStr">
        <is>
          <t>PLATAFORMAS RAP-PEYA-UBER-GOOD</t>
        </is>
      </c>
      <c r="E2018" s="34" t="n">
        <v>25080</v>
      </c>
      <c r="F2018" t="inlineStr">
        <is>
          <t>B</t>
        </is>
      </c>
      <c r="G2018" s="34" t="n">
        <v>4004</v>
      </c>
      <c r="H2018" s="34" t="n">
        <v>21076</v>
      </c>
      <c r="I2018" t="inlineStr">
        <is>
          <t>3.6</t>
        </is>
      </c>
      <c r="J2018" t="inlineStr">
        <is>
          <t>Ventas Delivery Apps</t>
        </is>
      </c>
      <c r="K2018" t="inlineStr">
        <is>
          <t>CH3</t>
        </is>
      </c>
    </row>
    <row r="2019">
      <c r="A2019" s="33" t="n">
        <v>45838</v>
      </c>
      <c r="B2019" t="inlineStr">
        <is>
          <t>2025-06</t>
        </is>
      </c>
      <c r="C2019" t="inlineStr">
        <is>
          <t>Evelyn Momberg Momberg</t>
        </is>
      </c>
      <c r="D2019" t="inlineStr">
        <is>
          <t>CANELÉ TRADICIONAL</t>
        </is>
      </c>
      <c r="E2019" s="34" t="n">
        <v>19890</v>
      </c>
      <c r="F2019" t="inlineStr">
        <is>
          <t>B</t>
        </is>
      </c>
      <c r="G2019" s="34" t="n">
        <v>3176</v>
      </c>
      <c r="H2019" s="34" t="n">
        <v>16714</v>
      </c>
      <c r="I2019" t="inlineStr">
        <is>
          <t>3.2</t>
        </is>
      </c>
      <c r="J2019" t="inlineStr">
        <is>
          <t>Ventas Personas (B2C)</t>
        </is>
      </c>
      <c r="K2019" t="inlineStr">
        <is>
          <t>CH2</t>
        </is>
      </c>
    </row>
    <row r="2020">
      <c r="A2020" s="33" t="n">
        <v>45838</v>
      </c>
      <c r="B2020" t="inlineStr">
        <is>
          <t>2025-06</t>
        </is>
      </c>
      <c r="C2020" t="inlineStr">
        <is>
          <t>Cecilia Ulloa</t>
        </is>
      </c>
      <c r="D2020" t="inlineStr">
        <is>
          <t>SALSAS</t>
        </is>
      </c>
      <c r="E2020" s="34" t="n">
        <v>40870</v>
      </c>
      <c r="F2020" t="inlineStr">
        <is>
          <t>B</t>
        </is>
      </c>
      <c r="G2020" s="34" t="n">
        <v>6525</v>
      </c>
      <c r="H2020" s="34" t="n">
        <v>34345</v>
      </c>
      <c r="I2020" t="inlineStr">
        <is>
          <t>3.2</t>
        </is>
      </c>
      <c r="J2020" t="inlineStr">
        <is>
          <t>Ventas Personas (B2C)</t>
        </is>
      </c>
      <c r="K2020" t="inlineStr">
        <is>
          <t>CH2</t>
        </is>
      </c>
    </row>
    <row r="2021">
      <c r="A2021" s="33" t="n">
        <v>45838</v>
      </c>
      <c r="B2021" t="inlineStr">
        <is>
          <t>2025-06</t>
        </is>
      </c>
      <c r="C2021" t="inlineStr">
        <is>
          <t>Sin cliente</t>
        </is>
      </c>
      <c r="D2021" t="inlineStr">
        <is>
          <t>PLATAFORMAS RAP-PEYA-UBER-GOOD</t>
        </is>
      </c>
      <c r="E2021" s="34" t="n">
        <v>26280</v>
      </c>
      <c r="F2021" t="inlineStr">
        <is>
          <t>B</t>
        </is>
      </c>
      <c r="G2021" s="34" t="n">
        <v>4196</v>
      </c>
      <c r="H2021" s="34" t="n">
        <v>22084</v>
      </c>
      <c r="I2021" t="inlineStr">
        <is>
          <t>3.6</t>
        </is>
      </c>
      <c r="J2021" t="inlineStr">
        <is>
          <t>Ventas Delivery Apps</t>
        </is>
      </c>
      <c r="K2021" t="inlineStr">
        <is>
          <t>CH3</t>
        </is>
      </c>
    </row>
    <row r="2022">
      <c r="A2022" s="33" t="n">
        <v>45838</v>
      </c>
      <c r="B2022" t="inlineStr">
        <is>
          <t>2025-06</t>
        </is>
      </c>
      <c r="C2022" t="inlineStr">
        <is>
          <t>PRISCILA OVIEDO</t>
        </is>
      </c>
      <c r="D2022" t="inlineStr">
        <is>
          <t>CANELE SIN AZUCAR</t>
        </is>
      </c>
      <c r="E2022" s="34" t="n">
        <v>57690</v>
      </c>
      <c r="F2022" t="inlineStr">
        <is>
          <t>B</t>
        </is>
      </c>
      <c r="G2022" s="34" t="n">
        <v>9211</v>
      </c>
      <c r="H2022" s="34" t="n">
        <v>48479</v>
      </c>
      <c r="I2022" t="inlineStr">
        <is>
          <t>3.2</t>
        </is>
      </c>
      <c r="J2022" t="inlineStr">
        <is>
          <t>Ventas Personas (B2C)</t>
        </is>
      </c>
      <c r="K2022" t="inlineStr">
        <is>
          <t>CH2</t>
        </is>
      </c>
    </row>
    <row r="2023">
      <c r="A2023" s="33" t="n">
        <v>45838</v>
      </c>
      <c r="B2023" t="inlineStr">
        <is>
          <t>2025-06</t>
        </is>
      </c>
      <c r="C2023" t="inlineStr">
        <is>
          <t>Ting Ting Lee</t>
        </is>
      </c>
      <c r="D2023" t="inlineStr">
        <is>
          <t>Petit Crunchy</t>
        </is>
      </c>
      <c r="E2023" s="34" t="n">
        <v>41700</v>
      </c>
      <c r="F2023" t="inlineStr">
        <is>
          <t>B</t>
        </is>
      </c>
      <c r="G2023" s="34" t="n">
        <v>6658</v>
      </c>
      <c r="H2023" s="34" t="n">
        <v>35042</v>
      </c>
      <c r="I2023" t="inlineStr">
        <is>
          <t>3.2</t>
        </is>
      </c>
      <c r="J2023" t="inlineStr">
        <is>
          <t>Ventas Personas (B2C)</t>
        </is>
      </c>
      <c r="K2023" t="inlineStr">
        <is>
          <t>CH2</t>
        </is>
      </c>
    </row>
    <row r="2024">
      <c r="A2024" s="33" t="n">
        <v>45838</v>
      </c>
      <c r="B2024" t="inlineStr">
        <is>
          <t>2025-06</t>
        </is>
      </c>
      <c r="C2024" t="inlineStr">
        <is>
          <t>Sebastian Espinoza</t>
        </is>
      </c>
      <c r="D2024" t="inlineStr">
        <is>
          <t>CANELÉ TRADICIONAL</t>
        </is>
      </c>
      <c r="E2024" s="34" t="n">
        <v>19890</v>
      </c>
      <c r="F2024" t="inlineStr">
        <is>
          <t>B</t>
        </is>
      </c>
      <c r="G2024" s="34" t="n">
        <v>3176</v>
      </c>
      <c r="H2024" s="34" t="n">
        <v>16714</v>
      </c>
      <c r="I2024" t="inlineStr">
        <is>
          <t>3.2</t>
        </is>
      </c>
      <c r="J2024" t="inlineStr">
        <is>
          <t>Ventas Personas (B2C)</t>
        </is>
      </c>
      <c r="K2024" t="inlineStr">
        <is>
          <t>CH2</t>
        </is>
      </c>
    </row>
    <row r="2025">
      <c r="A2025" s="33" t="n">
        <v>45838</v>
      </c>
      <c r="B2025" t="inlineStr">
        <is>
          <t>2025-06</t>
        </is>
      </c>
      <c r="C2025" t="inlineStr">
        <is>
          <t>Walter  Allende</t>
        </is>
      </c>
      <c r="D2025" t="inlineStr">
        <is>
          <t>Mix Sabores</t>
        </is>
      </c>
      <c r="E2025" s="34" t="n">
        <v>40200</v>
      </c>
      <c r="F2025" t="inlineStr">
        <is>
          <t>B</t>
        </is>
      </c>
      <c r="G2025" s="34" t="n">
        <v>6418</v>
      </c>
      <c r="H2025" s="34" t="n">
        <v>33782</v>
      </c>
      <c r="I2025" t="inlineStr">
        <is>
          <t>3.2</t>
        </is>
      </c>
      <c r="J2025" t="inlineStr">
        <is>
          <t>Ventas Personas (B2C)</t>
        </is>
      </c>
      <c r="K2025" t="inlineStr">
        <is>
          <t>CH2</t>
        </is>
      </c>
    </row>
    <row r="2026">
      <c r="A2026" s="33" t="n">
        <v>45838</v>
      </c>
      <c r="B2026" t="inlineStr">
        <is>
          <t>2025-06</t>
        </is>
      </c>
      <c r="C2026" t="inlineStr">
        <is>
          <t>Constanza Garcia</t>
        </is>
      </c>
      <c r="D2026" t="inlineStr">
        <is>
          <t>Delicatessen</t>
        </is>
      </c>
      <c r="E2026" s="34" t="n">
        <v>30790</v>
      </c>
      <c r="F2026" t="inlineStr">
        <is>
          <t>B</t>
        </is>
      </c>
      <c r="G2026" s="34" t="n">
        <v>4916</v>
      </c>
      <c r="H2026" s="34" t="n">
        <v>25874</v>
      </c>
      <c r="I2026" t="inlineStr">
        <is>
          <t>3.2</t>
        </is>
      </c>
      <c r="J2026" t="inlineStr">
        <is>
          <t>Ventas Personas (B2C)</t>
        </is>
      </c>
      <c r="K2026" t="inlineStr">
        <is>
          <t>CH2</t>
        </is>
      </c>
    </row>
    <row r="2027">
      <c r="A2027" s="33" t="n">
        <v>45839</v>
      </c>
      <c r="B2027" t="inlineStr">
        <is>
          <t>2025-07</t>
        </is>
      </c>
      <c r="C2027" t="inlineStr">
        <is>
          <t>BUSTORF LARSEN Y COMPANIA LIMITADA</t>
        </is>
      </c>
      <c r="D2027" t="inlineStr">
        <is>
          <t>HORECA CAFETERIA</t>
        </is>
      </c>
      <c r="E2027" s="34" t="n">
        <v>63966</v>
      </c>
      <c r="F2027" t="inlineStr">
        <is>
          <t>F</t>
        </is>
      </c>
      <c r="G2027" s="34" t="n">
        <v>10213</v>
      </c>
      <c r="H2027" s="34" t="n">
        <v>53753</v>
      </c>
      <c r="I2027" t="inlineStr">
        <is>
          <t>3.1</t>
        </is>
      </c>
      <c r="J2027" t="inlineStr">
        <is>
          <t>Ventas HoReCa</t>
        </is>
      </c>
      <c r="K2027" t="inlineStr">
        <is>
          <t>CH1</t>
        </is>
      </c>
    </row>
    <row r="2028">
      <c r="A2028" s="33" t="n">
        <v>45839</v>
      </c>
      <c r="B2028" t="inlineStr">
        <is>
          <t>2025-07</t>
        </is>
      </c>
      <c r="C2028" t="inlineStr">
        <is>
          <t>BUSTORF LARSEN Y COMPANIA LIMITADA</t>
        </is>
      </c>
      <c r="D2028" t="inlineStr">
        <is>
          <t>HORECA CAFETERIA</t>
        </is>
      </c>
      <c r="E2028" s="34" t="n">
        <v>64966</v>
      </c>
      <c r="F2028" t="inlineStr">
        <is>
          <t>F</t>
        </is>
      </c>
      <c r="G2028" s="34" t="n">
        <v>10373</v>
      </c>
      <c r="H2028" s="34" t="n">
        <v>54593</v>
      </c>
      <c r="I2028" t="inlineStr">
        <is>
          <t>3.1</t>
        </is>
      </c>
      <c r="J2028" t="inlineStr">
        <is>
          <t>Ventas HoReCa</t>
        </is>
      </c>
      <c r="K2028" t="inlineStr">
        <is>
          <t>CH1</t>
        </is>
      </c>
    </row>
    <row r="2029">
      <c r="A2029" s="33" t="n">
        <v>45839</v>
      </c>
      <c r="B2029" t="inlineStr">
        <is>
          <t>2025-07</t>
        </is>
      </c>
      <c r="C2029" t="inlineStr">
        <is>
          <t>Inversiones Nagua SPA</t>
        </is>
      </c>
      <c r="D2029" t="inlineStr">
        <is>
          <t>HORECA CAFETERIA</t>
        </is>
      </c>
      <c r="E2029" s="34" t="n">
        <v>63966</v>
      </c>
      <c r="F2029" t="inlineStr">
        <is>
          <t>F</t>
        </is>
      </c>
      <c r="G2029" s="34" t="n">
        <v>10213</v>
      </c>
      <c r="H2029" s="34" t="n">
        <v>53753</v>
      </c>
      <c r="I2029" t="inlineStr">
        <is>
          <t>3.1</t>
        </is>
      </c>
      <c r="J2029" t="inlineStr">
        <is>
          <t>Ventas HoReCa</t>
        </is>
      </c>
      <c r="K2029" t="inlineStr">
        <is>
          <t>CH1</t>
        </is>
      </c>
    </row>
    <row r="2030">
      <c r="A2030" s="33" t="n">
        <v>45839</v>
      </c>
      <c r="B2030" t="inlineStr">
        <is>
          <t>2025-07</t>
        </is>
      </c>
      <c r="C2030" t="inlineStr">
        <is>
          <t>Inversiones Café Dominicos SpA</t>
        </is>
      </c>
      <c r="D2030" t="inlineStr">
        <is>
          <t xml:space="preserve">THE COFFEE STORE </t>
        </is>
      </c>
      <c r="E2030" s="34" t="n">
        <v>36977</v>
      </c>
      <c r="F2030" t="inlineStr">
        <is>
          <t>F</t>
        </is>
      </c>
      <c r="G2030" s="34" t="n">
        <v>5904</v>
      </c>
      <c r="H2030" s="34" t="n">
        <v>31073</v>
      </c>
      <c r="I2030" t="inlineStr">
        <is>
          <t>3.1</t>
        </is>
      </c>
      <c r="J2030" t="inlineStr">
        <is>
          <t>Ventas HoReCa</t>
        </is>
      </c>
      <c r="K2030" t="inlineStr">
        <is>
          <t>CH1</t>
        </is>
      </c>
    </row>
    <row r="2031">
      <c r="A2031" s="33" t="n">
        <v>45839</v>
      </c>
      <c r="B2031" t="inlineStr">
        <is>
          <t>2025-07</t>
        </is>
      </c>
      <c r="C2031" t="inlineStr">
        <is>
          <t>CRF SPA</t>
        </is>
      </c>
      <c r="D2031" t="inlineStr">
        <is>
          <t>HORECA CAFETERIA</t>
        </is>
      </c>
      <c r="E2031" s="34" t="n">
        <v>417679</v>
      </c>
      <c r="F2031" t="inlineStr">
        <is>
          <t>F</t>
        </is>
      </c>
      <c r="G2031" s="34" t="n">
        <v>66688</v>
      </c>
      <c r="H2031" s="34" t="n">
        <v>350991</v>
      </c>
      <c r="I2031" t="inlineStr">
        <is>
          <t>3.1</t>
        </is>
      </c>
      <c r="J2031" t="inlineStr">
        <is>
          <t>Ventas HoReCa</t>
        </is>
      </c>
      <c r="K2031" t="inlineStr">
        <is>
          <t>CH1</t>
        </is>
      </c>
    </row>
    <row r="2032">
      <c r="A2032" s="33" t="n">
        <v>45839</v>
      </c>
      <c r="B2032" t="inlineStr">
        <is>
          <t>2025-07</t>
        </is>
      </c>
      <c r="C2032" t="inlineStr">
        <is>
          <t>Sin cliente</t>
        </is>
      </c>
      <c r="D2032" t="inlineStr">
        <is>
          <t>Petit Tradicional</t>
        </is>
      </c>
      <c r="E2032" s="34" t="n">
        <v>20900</v>
      </c>
      <c r="F2032" t="inlineStr">
        <is>
          <t>B</t>
        </is>
      </c>
      <c r="G2032" s="34" t="n">
        <v>3337</v>
      </c>
      <c r="H2032" s="34" t="n">
        <v>17563</v>
      </c>
      <c r="I2032" t="inlineStr">
        <is>
          <t>3.2</t>
        </is>
      </c>
      <c r="J2032" t="inlineStr">
        <is>
          <t>Ventas Personas (B2C)</t>
        </is>
      </c>
      <c r="K2032" t="inlineStr">
        <is>
          <t>CH2</t>
        </is>
      </c>
    </row>
    <row r="2033">
      <c r="A2033" s="33" t="n">
        <v>45839</v>
      </c>
      <c r="B2033" t="inlineStr">
        <is>
          <t>2025-07</t>
        </is>
      </c>
      <c r="C2033" t="inlineStr">
        <is>
          <t>Sin cliente</t>
        </is>
      </c>
      <c r="D2033" t="inlineStr">
        <is>
          <t>Petit Tradicional</t>
        </is>
      </c>
      <c r="E2033" s="34" t="n">
        <v>10450</v>
      </c>
      <c r="F2033" t="inlineStr">
        <is>
          <t>B</t>
        </is>
      </c>
      <c r="G2033" s="34" t="n">
        <v>1668</v>
      </c>
      <c r="H2033" s="34" t="n">
        <v>8782</v>
      </c>
      <c r="I2033" t="inlineStr">
        <is>
          <t>3.2</t>
        </is>
      </c>
      <c r="J2033" t="inlineStr">
        <is>
          <t>Ventas Personas (B2C)</t>
        </is>
      </c>
      <c r="K2033" t="inlineStr">
        <is>
          <t>CH2</t>
        </is>
      </c>
    </row>
    <row r="2034">
      <c r="A2034" s="33" t="n">
        <v>45839</v>
      </c>
      <c r="B2034" t="inlineStr">
        <is>
          <t>2025-07</t>
        </is>
      </c>
      <c r="C2034" t="inlineStr">
        <is>
          <t>Sin cliente</t>
        </is>
      </c>
      <c r="D2034" t="inlineStr">
        <is>
          <t>Petit Tradicional</t>
        </is>
      </c>
      <c r="E2034" s="34" t="n">
        <v>15450</v>
      </c>
      <c r="F2034" t="inlineStr">
        <is>
          <t>B</t>
        </is>
      </c>
      <c r="G2034" s="34" t="n">
        <v>2467</v>
      </c>
      <c r="H2034" s="34" t="n">
        <v>12983</v>
      </c>
      <c r="I2034" t="inlineStr">
        <is>
          <t>3.2</t>
        </is>
      </c>
      <c r="J2034" t="inlineStr">
        <is>
          <t>Ventas Personas (B2C)</t>
        </is>
      </c>
      <c r="K2034" t="inlineStr">
        <is>
          <t>CH2</t>
        </is>
      </c>
    </row>
    <row r="2035">
      <c r="A2035" s="33" t="n">
        <v>45839</v>
      </c>
      <c r="B2035" t="inlineStr">
        <is>
          <t>2025-07</t>
        </is>
      </c>
      <c r="C2035" t="inlineStr">
        <is>
          <t>Sin cliente</t>
        </is>
      </c>
      <c r="D2035" t="inlineStr">
        <is>
          <t>Petit Tradicional</t>
        </is>
      </c>
      <c r="E2035" s="34" t="n">
        <v>15450</v>
      </c>
      <c r="F2035" t="inlineStr">
        <is>
          <t>B</t>
        </is>
      </c>
      <c r="G2035" s="34" t="n">
        <v>2467</v>
      </c>
      <c r="H2035" s="34" t="n">
        <v>12983</v>
      </c>
      <c r="I2035" t="inlineStr">
        <is>
          <t>3.2</t>
        </is>
      </c>
      <c r="J2035" t="inlineStr">
        <is>
          <t>Ventas Personas (B2C)</t>
        </is>
      </c>
      <c r="K2035" t="inlineStr">
        <is>
          <t>CH2</t>
        </is>
      </c>
    </row>
    <row r="2036">
      <c r="A2036" s="33" t="n">
        <v>45839</v>
      </c>
      <c r="B2036" t="inlineStr">
        <is>
          <t>2025-07</t>
        </is>
      </c>
      <c r="C2036" t="inlineStr">
        <is>
          <t>Sin cliente</t>
        </is>
      </c>
      <c r="D2036" t="inlineStr">
        <is>
          <t>Petit Tradicional</t>
        </is>
      </c>
      <c r="E2036" s="34" t="n">
        <v>21800</v>
      </c>
      <c r="F2036" t="inlineStr">
        <is>
          <t>B</t>
        </is>
      </c>
      <c r="G2036" s="34" t="n">
        <v>3481</v>
      </c>
      <c r="H2036" s="34" t="n">
        <v>18319</v>
      </c>
      <c r="I2036" t="inlineStr">
        <is>
          <t>3.2</t>
        </is>
      </c>
      <c r="J2036" t="inlineStr">
        <is>
          <t>Ventas Personas (B2C)</t>
        </is>
      </c>
      <c r="K2036" t="inlineStr">
        <is>
          <t>CH2</t>
        </is>
      </c>
    </row>
    <row r="2037">
      <c r="A2037" s="33" t="n">
        <v>45839</v>
      </c>
      <c r="B2037" t="inlineStr">
        <is>
          <t>2025-07</t>
        </is>
      </c>
      <c r="C2037" t="inlineStr">
        <is>
          <t>Sin cliente</t>
        </is>
      </c>
      <c r="D2037" t="inlineStr">
        <is>
          <t>Petit Crunchy</t>
        </is>
      </c>
      <c r="E2037" s="34" t="n">
        <v>28800</v>
      </c>
      <c r="F2037" t="inlineStr">
        <is>
          <t>B</t>
        </is>
      </c>
      <c r="G2037" s="34" t="n">
        <v>4598</v>
      </c>
      <c r="H2037" s="34" t="n">
        <v>24202</v>
      </c>
      <c r="I2037" t="inlineStr">
        <is>
          <t>3.2</t>
        </is>
      </c>
      <c r="J2037" t="inlineStr">
        <is>
          <t>Ventas Personas (B2C)</t>
        </is>
      </c>
      <c r="K2037" t="inlineStr">
        <is>
          <t>CH2</t>
        </is>
      </c>
    </row>
    <row r="2038">
      <c r="A2038" s="33" t="n">
        <v>45839</v>
      </c>
      <c r="B2038" t="inlineStr">
        <is>
          <t>2025-07</t>
        </is>
      </c>
      <c r="C2038" t="inlineStr">
        <is>
          <t>Juan Jose Busquets Ramirez</t>
        </is>
      </c>
      <c r="D2038" t="inlineStr">
        <is>
          <t>Petit Tradicional</t>
        </is>
      </c>
      <c r="E2038" s="34" t="n">
        <v>7565</v>
      </c>
      <c r="F2038" t="inlineStr">
        <is>
          <t>B</t>
        </is>
      </c>
      <c r="G2038" s="34" t="n">
        <v>1208</v>
      </c>
      <c r="H2038" s="34" t="n">
        <v>6357</v>
      </c>
      <c r="I2038" t="inlineStr">
        <is>
          <t>3.2</t>
        </is>
      </c>
      <c r="J2038" t="inlineStr">
        <is>
          <t>Ventas Personas (B2C)</t>
        </is>
      </c>
      <c r="K2038" t="inlineStr">
        <is>
          <t>CH2</t>
        </is>
      </c>
    </row>
    <row r="2039">
      <c r="A2039" s="33" t="n">
        <v>45839</v>
      </c>
      <c r="B2039" t="inlineStr">
        <is>
          <t>2025-07</t>
        </is>
      </c>
      <c r="C2039" t="inlineStr">
        <is>
          <t>CAFE HAITI AHUMADA LTDA</t>
        </is>
      </c>
      <c r="D2039" t="inlineStr">
        <is>
          <t>HORECA CAFETERIA</t>
        </is>
      </c>
      <c r="E2039" s="34" t="n">
        <v>1197600</v>
      </c>
      <c r="F2039" t="inlineStr">
        <is>
          <t>F</t>
        </is>
      </c>
      <c r="G2039" s="34" t="n">
        <v>191213</v>
      </c>
      <c r="H2039" s="34" t="n">
        <v>1006387</v>
      </c>
      <c r="I2039" t="inlineStr">
        <is>
          <t>3.1</t>
        </is>
      </c>
      <c r="J2039" t="inlineStr">
        <is>
          <t>Ventas HoReCa</t>
        </is>
      </c>
      <c r="K2039" t="inlineStr">
        <is>
          <t>CH1</t>
        </is>
      </c>
    </row>
    <row r="2040">
      <c r="A2040" s="33" t="n">
        <v>45840</v>
      </c>
      <c r="B2040" t="inlineStr">
        <is>
          <t>2025-07</t>
        </is>
      </c>
      <c r="C2040" t="inlineStr">
        <is>
          <t>POMPON SPA</t>
        </is>
      </c>
      <c r="D2040" t="inlineStr">
        <is>
          <t>HORECA CAFETERIA</t>
        </is>
      </c>
      <c r="E2040" s="34" t="n">
        <v>89670</v>
      </c>
      <c r="F2040" t="inlineStr">
        <is>
          <t>F</t>
        </is>
      </c>
      <c r="G2040" s="34" t="n">
        <v>14317</v>
      </c>
      <c r="H2040" s="34" t="n">
        <v>75353</v>
      </c>
      <c r="I2040" t="inlineStr">
        <is>
          <t>3.1</t>
        </is>
      </c>
      <c r="J2040" t="inlineStr">
        <is>
          <t>Ventas HoReCa</t>
        </is>
      </c>
      <c r="K2040" t="inlineStr">
        <is>
          <t>CH1</t>
        </is>
      </c>
    </row>
    <row r="2041">
      <c r="A2041" s="33" t="n">
        <v>45840</v>
      </c>
      <c r="B2041" t="inlineStr">
        <is>
          <t>2025-07</t>
        </is>
      </c>
      <c r="C2041" t="inlineStr">
        <is>
          <t>BLUE OAK COFFE SPA</t>
        </is>
      </c>
      <c r="D2041" t="inlineStr">
        <is>
          <t>HORECA CAFETERIA</t>
        </is>
      </c>
      <c r="E2041" s="34" t="n">
        <v>139706</v>
      </c>
      <c r="F2041" t="inlineStr">
        <is>
          <t>F</t>
        </is>
      </c>
      <c r="G2041" s="34" t="n">
        <v>22306</v>
      </c>
      <c r="H2041" s="34" t="n">
        <v>117400</v>
      </c>
      <c r="I2041" t="inlineStr">
        <is>
          <t>3.1</t>
        </is>
      </c>
      <c r="J2041" t="inlineStr">
        <is>
          <t>Ventas HoReCa</t>
        </is>
      </c>
      <c r="K2041" t="inlineStr">
        <is>
          <t>CH1</t>
        </is>
      </c>
    </row>
    <row r="2042">
      <c r="A2042" s="33" t="n">
        <v>45840</v>
      </c>
      <c r="B2042" t="inlineStr">
        <is>
          <t>2025-07</t>
        </is>
      </c>
      <c r="C2042" t="inlineStr">
        <is>
          <t>ESTUDIO DE PILATES MARIA ANGELICA LAMARCA ROSS EIR</t>
        </is>
      </c>
      <c r="D2042" t="inlineStr">
        <is>
          <t>SALSAS</t>
        </is>
      </c>
      <c r="E2042" s="34" t="n">
        <v>48860</v>
      </c>
      <c r="F2042" t="inlineStr">
        <is>
          <t>F</t>
        </is>
      </c>
      <c r="G2042" s="34" t="n">
        <v>7801</v>
      </c>
      <c r="H2042" s="34" t="n">
        <v>41059</v>
      </c>
      <c r="I2042" t="inlineStr">
        <is>
          <t>3.1</t>
        </is>
      </c>
      <c r="J2042" t="inlineStr">
        <is>
          <t>Ventas HoReCa</t>
        </is>
      </c>
      <c r="K2042" t="inlineStr">
        <is>
          <t>CH1</t>
        </is>
      </c>
    </row>
    <row r="2043">
      <c r="A2043" s="33" t="n">
        <v>45840</v>
      </c>
      <c r="B2043" t="inlineStr">
        <is>
          <t>2025-07</t>
        </is>
      </c>
      <c r="C2043" t="inlineStr">
        <is>
          <t>Elvio Flores</t>
        </is>
      </c>
      <c r="D2043" t="inlineStr">
        <is>
          <t>Rellenos</t>
        </is>
      </c>
      <c r="E2043" s="34" t="n">
        <v>23900</v>
      </c>
      <c r="F2043" t="inlineStr">
        <is>
          <t>B</t>
        </is>
      </c>
      <c r="G2043" s="34" t="n">
        <v>3816</v>
      </c>
      <c r="H2043" s="34" t="n">
        <v>20084</v>
      </c>
      <c r="I2043" t="inlineStr">
        <is>
          <t>3.2</t>
        </is>
      </c>
      <c r="J2043" t="inlineStr">
        <is>
          <t>Ventas Personas (B2C)</t>
        </is>
      </c>
      <c r="K2043" t="inlineStr">
        <is>
          <t>CH2</t>
        </is>
      </c>
    </row>
    <row r="2044">
      <c r="A2044" s="33" t="n">
        <v>45840</v>
      </c>
      <c r="B2044" t="inlineStr">
        <is>
          <t>2025-07</t>
        </is>
      </c>
      <c r="C2044" t="inlineStr">
        <is>
          <t>cecilia rojas</t>
        </is>
      </c>
      <c r="D2044" t="inlineStr">
        <is>
          <t>CANELÉ TRADICIONAL</t>
        </is>
      </c>
      <c r="E2044" s="34" t="n">
        <v>47790</v>
      </c>
      <c r="F2044" t="inlineStr">
        <is>
          <t>B</t>
        </is>
      </c>
      <c r="G2044" s="34" t="n">
        <v>7630</v>
      </c>
      <c r="H2044" s="34" t="n">
        <v>40160</v>
      </c>
      <c r="I2044" t="inlineStr">
        <is>
          <t>3.2</t>
        </is>
      </c>
      <c r="J2044" t="inlineStr">
        <is>
          <t>Ventas Personas (B2C)</t>
        </is>
      </c>
      <c r="K2044" t="inlineStr">
        <is>
          <t>CH2</t>
        </is>
      </c>
    </row>
    <row r="2045">
      <c r="A2045" s="33" t="n">
        <v>45840</v>
      </c>
      <c r="B2045" t="inlineStr">
        <is>
          <t>2025-07</t>
        </is>
      </c>
      <c r="C2045" t="inlineStr">
        <is>
          <t>Sin cliente</t>
        </is>
      </c>
      <c r="D2045" t="inlineStr">
        <is>
          <t>Petit Crunchy</t>
        </is>
      </c>
      <c r="E2045" s="34" t="n">
        <v>39780</v>
      </c>
      <c r="F2045" t="inlineStr">
        <is>
          <t>B</t>
        </is>
      </c>
      <c r="G2045" s="34" t="n">
        <v>6351</v>
      </c>
      <c r="H2045" s="34" t="n">
        <v>33429</v>
      </c>
      <c r="I2045" t="inlineStr">
        <is>
          <t>3.2</t>
        </is>
      </c>
      <c r="J2045" t="inlineStr">
        <is>
          <t>Ventas Personas (B2C)</t>
        </is>
      </c>
      <c r="K2045" t="inlineStr">
        <is>
          <t>CH2</t>
        </is>
      </c>
    </row>
    <row r="2046">
      <c r="A2046" s="33" t="n">
        <v>45840</v>
      </c>
      <c r="B2046" t="inlineStr">
        <is>
          <t>2025-07</t>
        </is>
      </c>
      <c r="C2046" t="inlineStr">
        <is>
          <t>Eugenia Triay</t>
        </is>
      </c>
      <c r="D2046" t="inlineStr">
        <is>
          <t>Petit Crunchy</t>
        </is>
      </c>
      <c r="E2046" s="34" t="n">
        <v>19800</v>
      </c>
      <c r="F2046" t="inlineStr">
        <is>
          <t>B</t>
        </is>
      </c>
      <c r="G2046" s="34" t="n">
        <v>3161</v>
      </c>
      <c r="H2046" s="34" t="n">
        <v>16639</v>
      </c>
      <c r="I2046" t="inlineStr">
        <is>
          <t>3.2</t>
        </is>
      </c>
      <c r="J2046" t="inlineStr">
        <is>
          <t>Ventas Personas (B2C)</t>
        </is>
      </c>
      <c r="K2046" t="inlineStr">
        <is>
          <t>CH2</t>
        </is>
      </c>
    </row>
    <row r="2047">
      <c r="A2047" s="33" t="n">
        <v>45840</v>
      </c>
      <c r="B2047" t="inlineStr">
        <is>
          <t>2025-07</t>
        </is>
      </c>
      <c r="C2047" t="inlineStr">
        <is>
          <t>Sin cliente</t>
        </is>
      </c>
      <c r="D2047" t="inlineStr">
        <is>
          <t>SALSAS</t>
        </is>
      </c>
      <c r="E2047" s="34" t="n">
        <v>13980</v>
      </c>
      <c r="F2047" t="inlineStr">
        <is>
          <t>B</t>
        </is>
      </c>
      <c r="G2047" s="34" t="n">
        <v>2232</v>
      </c>
      <c r="H2047" s="34" t="n">
        <v>11748</v>
      </c>
      <c r="I2047" t="inlineStr">
        <is>
          <t>3.2</t>
        </is>
      </c>
      <c r="J2047" t="inlineStr">
        <is>
          <t>Ventas Personas (B2C)</t>
        </is>
      </c>
      <c r="K2047" t="inlineStr">
        <is>
          <t>CH2</t>
        </is>
      </c>
    </row>
    <row r="2048">
      <c r="A2048" s="33" t="n">
        <v>45840</v>
      </c>
      <c r="B2048" t="inlineStr">
        <is>
          <t>2025-07</t>
        </is>
      </c>
      <c r="C2048" t="inlineStr">
        <is>
          <t>Sin cliente</t>
        </is>
      </c>
      <c r="D2048" t="inlineStr">
        <is>
          <t>PLATAFORMAS RAP-PEYA-UBER-GOOD</t>
        </is>
      </c>
      <c r="E2048" s="34" t="n">
        <v>16140</v>
      </c>
      <c r="F2048" t="inlineStr">
        <is>
          <t>B</t>
        </is>
      </c>
      <c r="G2048" s="34" t="n">
        <v>2577</v>
      </c>
      <c r="H2048" s="34" t="n">
        <v>13563</v>
      </c>
      <c r="I2048" t="inlineStr">
        <is>
          <t>3.6</t>
        </is>
      </c>
      <c r="J2048" t="inlineStr">
        <is>
          <t>Ventas Delivery Apps</t>
        </is>
      </c>
      <c r="K2048" t="inlineStr">
        <is>
          <t>CH3</t>
        </is>
      </c>
    </row>
    <row r="2049">
      <c r="A2049" s="33" t="n">
        <v>45840</v>
      </c>
      <c r="B2049" t="inlineStr">
        <is>
          <t>2025-07</t>
        </is>
      </c>
      <c r="C2049" t="inlineStr">
        <is>
          <t>angelo salvatore</t>
        </is>
      </c>
      <c r="D2049" t="inlineStr">
        <is>
          <t>CANELÉ TRADICIONAL</t>
        </is>
      </c>
      <c r="E2049" s="34" t="n">
        <v>26890</v>
      </c>
      <c r="F2049" t="inlineStr">
        <is>
          <t>B</t>
        </is>
      </c>
      <c r="G2049" s="34" t="n">
        <v>4293</v>
      </c>
      <c r="H2049" s="34" t="n">
        <v>22597</v>
      </c>
      <c r="I2049" t="inlineStr">
        <is>
          <t>3.2</t>
        </is>
      </c>
      <c r="J2049" t="inlineStr">
        <is>
          <t>Ventas Personas (B2C)</t>
        </is>
      </c>
      <c r="K2049" t="inlineStr">
        <is>
          <t>CH2</t>
        </is>
      </c>
    </row>
    <row r="2050">
      <c r="A2050" s="33" t="n">
        <v>45840</v>
      </c>
      <c r="B2050" t="inlineStr">
        <is>
          <t>2025-07</t>
        </is>
      </c>
      <c r="C2050" t="inlineStr">
        <is>
          <t>Sin cliente</t>
        </is>
      </c>
      <c r="D2050" t="inlineStr">
        <is>
          <t>CANELÉ TRADICIONAL</t>
        </is>
      </c>
      <c r="E2050" s="34" t="n">
        <v>14900</v>
      </c>
      <c r="F2050" t="inlineStr">
        <is>
          <t>B</t>
        </is>
      </c>
      <c r="G2050" s="34" t="n">
        <v>2379</v>
      </c>
      <c r="H2050" s="34" t="n">
        <v>12521</v>
      </c>
      <c r="I2050" t="inlineStr">
        <is>
          <t>3.2</t>
        </is>
      </c>
      <c r="J2050" t="inlineStr">
        <is>
          <t>Ventas Personas (B2C)</t>
        </is>
      </c>
      <c r="K2050" t="inlineStr">
        <is>
          <t>CH2</t>
        </is>
      </c>
    </row>
    <row r="2051">
      <c r="A2051" s="33" t="n">
        <v>45840</v>
      </c>
      <c r="B2051" t="inlineStr">
        <is>
          <t>2025-07</t>
        </is>
      </c>
      <c r="C2051" t="inlineStr">
        <is>
          <t>Pont. Universidad Catolica de Chile</t>
        </is>
      </c>
      <c r="D2051" t="inlineStr">
        <is>
          <t>CANELÉ TRADICIONAL</t>
        </is>
      </c>
      <c r="E2051" s="34" t="n">
        <v>154090</v>
      </c>
      <c r="F2051" t="inlineStr">
        <is>
          <t>F</t>
        </is>
      </c>
      <c r="G2051" s="34" t="n">
        <v>24603</v>
      </c>
      <c r="H2051" s="34" t="n">
        <v>129487</v>
      </c>
      <c r="I2051" t="inlineStr">
        <is>
          <t>3.1</t>
        </is>
      </c>
      <c r="J2051" t="inlineStr">
        <is>
          <t>Ventas HoReCa</t>
        </is>
      </c>
      <c r="K2051" t="inlineStr">
        <is>
          <t>CH1</t>
        </is>
      </c>
    </row>
    <row r="2052">
      <c r="A2052" s="33" t="n">
        <v>45840</v>
      </c>
      <c r="B2052" t="inlineStr">
        <is>
          <t>2025-07</t>
        </is>
      </c>
      <c r="C2052" t="inlineStr">
        <is>
          <t>Alejandra Tovar</t>
        </is>
      </c>
      <c r="D2052" t="inlineStr">
        <is>
          <t>CANELÉ TRADICIONAL</t>
        </is>
      </c>
      <c r="E2052" s="34" t="n">
        <v>31890</v>
      </c>
      <c r="F2052" t="inlineStr">
        <is>
          <t>B</t>
        </is>
      </c>
      <c r="G2052" s="34" t="n">
        <v>5092</v>
      </c>
      <c r="H2052" s="34" t="n">
        <v>26798</v>
      </c>
      <c r="I2052" t="inlineStr">
        <is>
          <t>3.2</t>
        </is>
      </c>
      <c r="J2052" t="inlineStr">
        <is>
          <t>Ventas Personas (B2C)</t>
        </is>
      </c>
      <c r="K2052" t="inlineStr">
        <is>
          <t>CH2</t>
        </is>
      </c>
    </row>
    <row r="2053">
      <c r="A2053" s="33" t="n">
        <v>45840</v>
      </c>
      <c r="B2053" t="inlineStr">
        <is>
          <t>2025-07</t>
        </is>
      </c>
      <c r="C2053" t="inlineStr">
        <is>
          <t>Carola Barraza</t>
        </is>
      </c>
      <c r="D2053" t="inlineStr">
        <is>
          <t>Petit Crunchy</t>
        </is>
      </c>
      <c r="E2053" s="34" t="n">
        <v>16889</v>
      </c>
      <c r="F2053" t="inlineStr">
        <is>
          <t>B</t>
        </is>
      </c>
      <c r="G2053" s="34" t="n">
        <v>2697</v>
      </c>
      <c r="H2053" s="34" t="n">
        <v>14192</v>
      </c>
      <c r="I2053" t="inlineStr">
        <is>
          <t>3.2</t>
        </is>
      </c>
      <c r="J2053" t="inlineStr">
        <is>
          <t>Ventas Personas (B2C)</t>
        </is>
      </c>
      <c r="K2053" t="inlineStr">
        <is>
          <t>CH2</t>
        </is>
      </c>
    </row>
    <row r="2054">
      <c r="A2054" s="33" t="n">
        <v>45840</v>
      </c>
      <c r="B2054" t="inlineStr">
        <is>
          <t>2025-07</t>
        </is>
      </c>
      <c r="C2054" t="inlineStr">
        <is>
          <t>Sin cliente</t>
        </is>
      </c>
      <c r="D2054" t="inlineStr">
        <is>
          <t>Petit Crunchy</t>
        </is>
      </c>
      <c r="E2054" s="34" t="n">
        <v>13900</v>
      </c>
      <c r="F2054" t="inlineStr">
        <is>
          <t>B</t>
        </is>
      </c>
      <c r="G2054" s="34" t="n">
        <v>2219</v>
      </c>
      <c r="H2054" s="34" t="n">
        <v>11681</v>
      </c>
      <c r="I2054" t="inlineStr">
        <is>
          <t>3.2</t>
        </is>
      </c>
      <c r="J2054" t="inlineStr">
        <is>
          <t>Ventas Personas (B2C)</t>
        </is>
      </c>
      <c r="K2054" t="inlineStr">
        <is>
          <t>CH2</t>
        </is>
      </c>
    </row>
    <row r="2055">
      <c r="A2055" s="33" t="n">
        <v>45840</v>
      </c>
      <c r="B2055" t="inlineStr">
        <is>
          <t>2025-07</t>
        </is>
      </c>
      <c r="C2055" t="inlineStr">
        <is>
          <t>JNCONCEPT SPA</t>
        </is>
      </c>
      <c r="D2055" t="inlineStr">
        <is>
          <t>CANELÉ TRADICIONAL</t>
        </is>
      </c>
      <c r="E2055" s="34" t="n">
        <v>20300</v>
      </c>
      <c r="F2055" t="inlineStr">
        <is>
          <t>F</t>
        </is>
      </c>
      <c r="G2055" s="34" t="n">
        <v>3241</v>
      </c>
      <c r="H2055" s="34" t="n">
        <v>17059</v>
      </c>
      <c r="I2055" t="inlineStr">
        <is>
          <t>3.1</t>
        </is>
      </c>
      <c r="J2055" t="inlineStr">
        <is>
          <t>Ventas HoReCa</t>
        </is>
      </c>
      <c r="K2055" t="inlineStr">
        <is>
          <t>CH1</t>
        </is>
      </c>
    </row>
    <row r="2056">
      <c r="A2056" s="33" t="n">
        <v>45841</v>
      </c>
      <c r="B2056" t="inlineStr">
        <is>
          <t>2025-07</t>
        </is>
      </c>
      <c r="C2056" t="inlineStr">
        <is>
          <t>CAFÉ UNDER SPA</t>
        </is>
      </c>
      <c r="D2056" t="inlineStr">
        <is>
          <t>HORECA CAFETERIA</t>
        </is>
      </c>
      <c r="E2056" s="34" t="n">
        <v>63966</v>
      </c>
      <c r="F2056" t="inlineStr">
        <is>
          <t>F</t>
        </is>
      </c>
      <c r="G2056" s="34" t="n">
        <v>10213</v>
      </c>
      <c r="H2056" s="34" t="n">
        <v>53753</v>
      </c>
      <c r="I2056" t="inlineStr">
        <is>
          <t>3.1</t>
        </is>
      </c>
      <c r="J2056" t="inlineStr">
        <is>
          <t>Ventas HoReCa</t>
        </is>
      </c>
      <c r="K2056" t="inlineStr">
        <is>
          <t>CH1</t>
        </is>
      </c>
    </row>
    <row r="2057">
      <c r="A2057" s="33" t="n">
        <v>45841</v>
      </c>
      <c r="B2057" t="inlineStr">
        <is>
          <t>2025-07</t>
        </is>
      </c>
      <c r="C2057" t="inlineStr">
        <is>
          <t>OH SOME SPA</t>
        </is>
      </c>
      <c r="D2057" t="inlineStr">
        <is>
          <t>HORECA CAFETERIA</t>
        </is>
      </c>
      <c r="E2057" s="34" t="n">
        <v>116802</v>
      </c>
      <c r="F2057" t="inlineStr">
        <is>
          <t>F</t>
        </is>
      </c>
      <c r="G2057" s="34" t="n">
        <v>18649</v>
      </c>
      <c r="H2057" s="34" t="n">
        <v>98153</v>
      </c>
      <c r="I2057" t="inlineStr">
        <is>
          <t>3.1</t>
        </is>
      </c>
      <c r="J2057" t="inlineStr">
        <is>
          <t>Ventas HoReCa</t>
        </is>
      </c>
      <c r="K2057" t="inlineStr">
        <is>
          <t>CH1</t>
        </is>
      </c>
    </row>
    <row r="2058">
      <c r="A2058" s="33" t="n">
        <v>45841</v>
      </c>
      <c r="B2058" t="inlineStr">
        <is>
          <t>2025-07</t>
        </is>
      </c>
      <c r="C2058" t="inlineStr">
        <is>
          <t>Claudia Silva</t>
        </is>
      </c>
      <c r="D2058" t="inlineStr">
        <is>
          <t>Petit Crunchy</t>
        </is>
      </c>
      <c r="E2058" s="34" t="n">
        <v>34900</v>
      </c>
      <c r="F2058" t="inlineStr">
        <is>
          <t>B</t>
        </is>
      </c>
      <c r="G2058" s="34" t="n">
        <v>5572</v>
      </c>
      <c r="H2058" s="34" t="n">
        <v>29328</v>
      </c>
      <c r="I2058" t="inlineStr">
        <is>
          <t>3.2</t>
        </is>
      </c>
      <c r="J2058" t="inlineStr">
        <is>
          <t>Ventas Personas (B2C)</t>
        </is>
      </c>
      <c r="K2058" t="inlineStr">
        <is>
          <t>CH2</t>
        </is>
      </c>
    </row>
    <row r="2059">
      <c r="A2059" s="33" t="n">
        <v>45841</v>
      </c>
      <c r="B2059" t="inlineStr">
        <is>
          <t>2025-07</t>
        </is>
      </c>
      <c r="C2059" t="inlineStr">
        <is>
          <t>Barbara Silb</t>
        </is>
      </c>
      <c r="D2059" t="inlineStr">
        <is>
          <t>CANELE SIN AZUCAR</t>
        </is>
      </c>
      <c r="E2059" s="34" t="n">
        <v>33789</v>
      </c>
      <c r="F2059" t="inlineStr">
        <is>
          <t>B</t>
        </is>
      </c>
      <c r="G2059" s="34" t="n">
        <v>5395</v>
      </c>
      <c r="H2059" s="34" t="n">
        <v>28394</v>
      </c>
      <c r="I2059" t="inlineStr">
        <is>
          <t>3.2</t>
        </is>
      </c>
      <c r="J2059" t="inlineStr">
        <is>
          <t>Ventas Personas (B2C)</t>
        </is>
      </c>
      <c r="K2059" t="inlineStr">
        <is>
          <t>CH2</t>
        </is>
      </c>
    </row>
    <row r="2060">
      <c r="A2060" s="33" t="n">
        <v>45841</v>
      </c>
      <c r="B2060" t="inlineStr">
        <is>
          <t>2025-07</t>
        </is>
      </c>
      <c r="C2060" t="inlineStr">
        <is>
          <t>Sin cliente</t>
        </is>
      </c>
      <c r="D2060" t="inlineStr">
        <is>
          <t>PLATAFORMAS RAP-PEYA-UBER-GOOD</t>
        </is>
      </c>
      <c r="E2060" s="34" t="n">
        <v>25080</v>
      </c>
      <c r="F2060" t="inlineStr">
        <is>
          <t>B</t>
        </is>
      </c>
      <c r="G2060" s="34" t="n">
        <v>4004</v>
      </c>
      <c r="H2060" s="34" t="n">
        <v>21076</v>
      </c>
      <c r="I2060" t="inlineStr">
        <is>
          <t>3.6</t>
        </is>
      </c>
      <c r="J2060" t="inlineStr">
        <is>
          <t>Ventas Delivery Apps</t>
        </is>
      </c>
      <c r="K2060" t="inlineStr">
        <is>
          <t>CH3</t>
        </is>
      </c>
    </row>
    <row r="2061">
      <c r="A2061" s="33" t="n">
        <v>45841</v>
      </c>
      <c r="B2061" t="inlineStr">
        <is>
          <t>2025-07</t>
        </is>
      </c>
      <c r="C2061" t="inlineStr">
        <is>
          <t>Claudia Silva</t>
        </is>
      </c>
      <c r="D2061" t="inlineStr">
        <is>
          <t>Petit Tradicional</t>
        </is>
      </c>
      <c r="E2061" s="34" t="n">
        <v>30900</v>
      </c>
      <c r="F2061" t="inlineStr">
        <is>
          <t>B</t>
        </is>
      </c>
      <c r="G2061" s="34" t="n">
        <v>4934</v>
      </c>
      <c r="H2061" s="34" t="n">
        <v>25966</v>
      </c>
      <c r="I2061" t="inlineStr">
        <is>
          <t>3.2</t>
        </is>
      </c>
      <c r="J2061" t="inlineStr">
        <is>
          <t>Ventas Personas (B2C)</t>
        </is>
      </c>
      <c r="K2061" t="inlineStr">
        <is>
          <t>CH2</t>
        </is>
      </c>
    </row>
    <row r="2062">
      <c r="A2062" s="33" t="n">
        <v>45841</v>
      </c>
      <c r="B2062" t="inlineStr">
        <is>
          <t>2025-07</t>
        </is>
      </c>
      <c r="C2062" t="inlineStr">
        <is>
          <t xml:space="preserve">Café lucerna spa </t>
        </is>
      </c>
      <c r="D2062" t="inlineStr">
        <is>
          <t>HORECA CAFETERIA</t>
        </is>
      </c>
      <c r="E2062" s="34" t="n">
        <v>63966</v>
      </c>
      <c r="F2062" t="inlineStr">
        <is>
          <t>F</t>
        </is>
      </c>
      <c r="G2062" s="34" t="n">
        <v>10213</v>
      </c>
      <c r="H2062" s="34" t="n">
        <v>53753</v>
      </c>
      <c r="I2062" t="inlineStr">
        <is>
          <t>3.1</t>
        </is>
      </c>
      <c r="J2062" t="inlineStr">
        <is>
          <t>Ventas HoReCa</t>
        </is>
      </c>
      <c r="K2062" t="inlineStr">
        <is>
          <t>CH1</t>
        </is>
      </c>
    </row>
    <row r="2063">
      <c r="A2063" s="33" t="n">
        <v>45841</v>
      </c>
      <c r="B2063" t="inlineStr">
        <is>
          <t>2025-07</t>
        </is>
      </c>
      <c r="C2063" t="inlineStr">
        <is>
          <t>Jorge González Granić</t>
        </is>
      </c>
      <c r="D2063" t="inlineStr">
        <is>
          <t>Mix Sabores</t>
        </is>
      </c>
      <c r="E2063" s="34" t="n">
        <v>31800</v>
      </c>
      <c r="F2063" t="inlineStr">
        <is>
          <t>B</t>
        </is>
      </c>
      <c r="G2063" s="34" t="n">
        <v>5077</v>
      </c>
      <c r="H2063" s="34" t="n">
        <v>26723</v>
      </c>
      <c r="I2063" t="inlineStr">
        <is>
          <t>3.2</t>
        </is>
      </c>
      <c r="J2063" t="inlineStr">
        <is>
          <t>Ventas Personas (B2C)</t>
        </is>
      </c>
      <c r="K2063" t="inlineStr">
        <is>
          <t>CH2</t>
        </is>
      </c>
    </row>
    <row r="2064">
      <c r="A2064" s="33" t="n">
        <v>45841</v>
      </c>
      <c r="B2064" t="inlineStr">
        <is>
          <t>2025-07</t>
        </is>
      </c>
      <c r="C2064" t="inlineStr">
        <is>
          <t>JNCONCEPT SPA</t>
        </is>
      </c>
      <c r="D2064" t="inlineStr">
        <is>
          <t>CANELÉ TRADICIONAL</t>
        </is>
      </c>
      <c r="E2064" s="34" t="n">
        <v>14900</v>
      </c>
      <c r="F2064" t="inlineStr">
        <is>
          <t>F</t>
        </is>
      </c>
      <c r="G2064" s="34" t="n">
        <v>2379</v>
      </c>
      <c r="H2064" s="34" t="n">
        <v>12521</v>
      </c>
      <c r="I2064" t="inlineStr">
        <is>
          <t>3.1</t>
        </is>
      </c>
      <c r="J2064" t="inlineStr">
        <is>
          <t>Ventas HoReCa</t>
        </is>
      </c>
      <c r="K2064" t="inlineStr">
        <is>
          <t>CH1</t>
        </is>
      </c>
    </row>
    <row r="2065">
      <c r="A2065" s="33" t="n">
        <v>45841</v>
      </c>
      <c r="B2065" t="inlineStr">
        <is>
          <t>2025-07</t>
        </is>
      </c>
      <c r="C2065" t="inlineStr">
        <is>
          <t>Sandra Esquivel</t>
        </is>
      </c>
      <c r="D2065" t="inlineStr">
        <is>
          <t>Rellenos</t>
        </is>
      </c>
      <c r="E2065" s="34" t="n">
        <v>27890</v>
      </c>
      <c r="F2065" t="inlineStr">
        <is>
          <t>B</t>
        </is>
      </c>
      <c r="G2065" s="34" t="n">
        <v>4453</v>
      </c>
      <c r="H2065" s="34" t="n">
        <v>23437</v>
      </c>
      <c r="I2065" t="inlineStr">
        <is>
          <t>3.2</t>
        </is>
      </c>
      <c r="J2065" t="inlineStr">
        <is>
          <t>Ventas Personas (B2C)</t>
        </is>
      </c>
      <c r="K2065" t="inlineStr">
        <is>
          <t>CH2</t>
        </is>
      </c>
    </row>
    <row r="2066">
      <c r="A2066" s="33" t="n">
        <v>45841</v>
      </c>
      <c r="B2066" t="inlineStr">
        <is>
          <t>2025-07</t>
        </is>
      </c>
      <c r="C2066" t="inlineStr">
        <is>
          <t>Javiera San martín hernández</t>
        </is>
      </c>
      <c r="D2066" t="inlineStr">
        <is>
          <t>CANELÉ TRADICIONAL</t>
        </is>
      </c>
      <c r="E2066" s="34" t="n">
        <v>21889</v>
      </c>
      <c r="F2066" t="inlineStr">
        <is>
          <t>B</t>
        </is>
      </c>
      <c r="G2066" s="34" t="n">
        <v>3495</v>
      </c>
      <c r="H2066" s="34" t="n">
        <v>18394</v>
      </c>
      <c r="I2066" t="inlineStr">
        <is>
          <t>3.2</t>
        </is>
      </c>
      <c r="J2066" t="inlineStr">
        <is>
          <t>Ventas Personas (B2C)</t>
        </is>
      </c>
      <c r="K2066" t="inlineStr">
        <is>
          <t>CH2</t>
        </is>
      </c>
    </row>
    <row r="2067">
      <c r="A2067" s="33" t="n">
        <v>45841</v>
      </c>
      <c r="B2067" t="inlineStr">
        <is>
          <t>2025-07</t>
        </is>
      </c>
      <c r="C2067" t="inlineStr">
        <is>
          <t>Maritza Mallea</t>
        </is>
      </c>
      <c r="D2067" t="inlineStr">
        <is>
          <t>Petit Crunchy</t>
        </is>
      </c>
      <c r="E2067" s="34" t="n">
        <v>17890</v>
      </c>
      <c r="F2067" t="inlineStr">
        <is>
          <t>B</t>
        </is>
      </c>
      <c r="G2067" s="34" t="n">
        <v>2856</v>
      </c>
      <c r="H2067" s="34" t="n">
        <v>15034</v>
      </c>
      <c r="I2067" t="inlineStr">
        <is>
          <t>3.2</t>
        </is>
      </c>
      <c r="J2067" t="inlineStr">
        <is>
          <t>Ventas Personas (B2C)</t>
        </is>
      </c>
      <c r="K2067" t="inlineStr">
        <is>
          <t>CH2</t>
        </is>
      </c>
    </row>
    <row r="2068">
      <c r="A2068" s="33" t="n">
        <v>45841</v>
      </c>
      <c r="B2068" t="inlineStr">
        <is>
          <t>2025-07</t>
        </is>
      </c>
      <c r="C2068" t="inlineStr">
        <is>
          <t>Mauricio Vigorena Riquelme</t>
        </is>
      </c>
      <c r="D2068" t="inlineStr">
        <is>
          <t>Petit Tradicional</t>
        </is>
      </c>
      <c r="E2068" s="34" t="n">
        <v>16890</v>
      </c>
      <c r="F2068" t="inlineStr">
        <is>
          <t>B</t>
        </is>
      </c>
      <c r="G2068" s="34" t="n">
        <v>2697</v>
      </c>
      <c r="H2068" s="34" t="n">
        <v>14193</v>
      </c>
      <c r="I2068" t="inlineStr">
        <is>
          <t>3.2</t>
        </is>
      </c>
      <c r="J2068" t="inlineStr">
        <is>
          <t>Ventas Personas (B2C)</t>
        </is>
      </c>
      <c r="K2068" t="inlineStr">
        <is>
          <t>CH2</t>
        </is>
      </c>
    </row>
    <row r="2069">
      <c r="A2069" s="33" t="n">
        <v>45842</v>
      </c>
      <c r="B2069" t="inlineStr">
        <is>
          <t>2025-07</t>
        </is>
      </c>
      <c r="C2069" t="inlineStr">
        <is>
          <t>Better Food Spa</t>
        </is>
      </c>
      <c r="D2069" t="inlineStr">
        <is>
          <t>HORECA CAFETERIA</t>
        </is>
      </c>
      <c r="E2069" s="34" t="n">
        <v>389844</v>
      </c>
      <c r="F2069" t="inlineStr">
        <is>
          <t>F</t>
        </is>
      </c>
      <c r="G2069" s="34" t="n">
        <v>62244</v>
      </c>
      <c r="H2069" s="34" t="n">
        <v>327600</v>
      </c>
      <c r="I2069" t="inlineStr">
        <is>
          <t>3.1</t>
        </is>
      </c>
      <c r="J2069" t="inlineStr">
        <is>
          <t>Ventas HoReCa</t>
        </is>
      </c>
      <c r="K2069" t="inlineStr">
        <is>
          <t>CH1</t>
        </is>
      </c>
    </row>
    <row r="2070">
      <c r="A2070" s="33" t="n">
        <v>45842</v>
      </c>
      <c r="B2070" t="inlineStr">
        <is>
          <t>2025-07</t>
        </is>
      </c>
      <c r="C2070" t="inlineStr">
        <is>
          <t>POMPON SPA</t>
        </is>
      </c>
      <c r="D2070" t="inlineStr">
        <is>
          <t>HORECA CAFETERIA</t>
        </is>
      </c>
      <c r="E2070" s="34" t="n">
        <v>220150</v>
      </c>
      <c r="F2070" t="inlineStr">
        <is>
          <t>F</t>
        </is>
      </c>
      <c r="G2070" s="34" t="n">
        <v>35150</v>
      </c>
      <c r="H2070" s="34" t="n">
        <v>185000</v>
      </c>
      <c r="I2070" t="inlineStr">
        <is>
          <t>3.1</t>
        </is>
      </c>
      <c r="J2070" t="inlineStr">
        <is>
          <t>Ventas HoReCa</t>
        </is>
      </c>
      <c r="K2070" t="inlineStr">
        <is>
          <t>CH1</t>
        </is>
      </c>
    </row>
    <row r="2071">
      <c r="A2071" s="33" t="n">
        <v>45842</v>
      </c>
      <c r="B2071" t="inlineStr">
        <is>
          <t>2025-07</t>
        </is>
      </c>
      <c r="C2071" t="inlineStr">
        <is>
          <t>Sociedad de inversiones solari y acuña spa</t>
        </is>
      </c>
      <c r="D2071" t="inlineStr">
        <is>
          <t>HORECA CAFETERIA</t>
        </is>
      </c>
      <c r="E2071" s="34" t="n">
        <v>112812</v>
      </c>
      <c r="F2071" t="inlineStr">
        <is>
          <t>F</t>
        </is>
      </c>
      <c r="G2071" s="34" t="n">
        <v>18012</v>
      </c>
      <c r="H2071" s="34" t="n">
        <v>94800</v>
      </c>
      <c r="I2071" t="inlineStr">
        <is>
          <t>3.1</t>
        </is>
      </c>
      <c r="J2071" t="inlineStr">
        <is>
          <t>Ventas HoReCa</t>
        </is>
      </c>
      <c r="K2071" t="inlineStr">
        <is>
          <t>CH1</t>
        </is>
      </c>
    </row>
    <row r="2072">
      <c r="A2072" s="33" t="n">
        <v>45842</v>
      </c>
      <c r="B2072" t="inlineStr">
        <is>
          <t>2025-07</t>
        </is>
      </c>
      <c r="C2072" t="inlineStr">
        <is>
          <t>CAFETERÍAS MISTER SPA</t>
        </is>
      </c>
      <c r="D2072" t="inlineStr">
        <is>
          <t>HORECA CAFETERIA</t>
        </is>
      </c>
      <c r="E2072" s="34" t="n">
        <v>33978</v>
      </c>
      <c r="F2072" t="inlineStr">
        <is>
          <t>F</t>
        </is>
      </c>
      <c r="G2072" s="34" t="n">
        <v>5425</v>
      </c>
      <c r="H2072" s="34" t="n">
        <v>28553</v>
      </c>
      <c r="I2072" t="inlineStr">
        <is>
          <t>3.1</t>
        </is>
      </c>
      <c r="J2072" t="inlineStr">
        <is>
          <t>Ventas HoReCa</t>
        </is>
      </c>
      <c r="K2072" t="inlineStr">
        <is>
          <t>CH1</t>
        </is>
      </c>
    </row>
    <row r="2073">
      <c r="A2073" s="33" t="n">
        <v>45842</v>
      </c>
      <c r="B2073" t="inlineStr">
        <is>
          <t>2025-07</t>
        </is>
      </c>
      <c r="C2073" t="inlineStr">
        <is>
          <t>CAFE DIARIO ENCOMENDEROS SPA</t>
        </is>
      </c>
      <c r="D2073" t="inlineStr">
        <is>
          <t>HORECA CAFETERIA</t>
        </is>
      </c>
      <c r="E2073" s="34" t="n">
        <v>82830</v>
      </c>
      <c r="F2073" t="inlineStr">
        <is>
          <t>F</t>
        </is>
      </c>
      <c r="G2073" s="34" t="n">
        <v>13225</v>
      </c>
      <c r="H2073" s="34" t="n">
        <v>69605</v>
      </c>
      <c r="I2073" t="inlineStr">
        <is>
          <t>3.1</t>
        </is>
      </c>
      <c r="J2073" t="inlineStr">
        <is>
          <t>Ventas HoReCa</t>
        </is>
      </c>
      <c r="K2073" t="inlineStr">
        <is>
          <t>CH1</t>
        </is>
      </c>
    </row>
    <row r="2074">
      <c r="A2074" s="33" t="n">
        <v>45842</v>
      </c>
      <c r="B2074" t="inlineStr">
        <is>
          <t>2025-07</t>
        </is>
      </c>
      <c r="C2074" t="inlineStr">
        <is>
          <t>INVERSIONES Y COMERCIALIZADORA FED LIMITADA</t>
        </is>
      </c>
      <c r="D2074" t="inlineStr">
        <is>
          <t>HORECA CAFETERIA</t>
        </is>
      </c>
      <c r="E2074" s="34" t="n">
        <v>107314</v>
      </c>
      <c r="F2074" t="inlineStr">
        <is>
          <t>F</t>
        </is>
      </c>
      <c r="G2074" s="34" t="n">
        <v>17134</v>
      </c>
      <c r="H2074" s="34" t="n">
        <v>90180</v>
      </c>
      <c r="I2074" t="inlineStr">
        <is>
          <t>3.1</t>
        </is>
      </c>
      <c r="J2074" t="inlineStr">
        <is>
          <t>Ventas HoReCa</t>
        </is>
      </c>
      <c r="K2074" t="inlineStr">
        <is>
          <t>CH1</t>
        </is>
      </c>
    </row>
    <row r="2075">
      <c r="A2075" s="33" t="n">
        <v>45842</v>
      </c>
      <c r="B2075" t="inlineStr">
        <is>
          <t>2025-07</t>
        </is>
      </c>
      <c r="C2075" t="inlineStr">
        <is>
          <t>Importadora y comercializadora Origenes SPA</t>
        </is>
      </c>
      <c r="D2075" t="inlineStr">
        <is>
          <t>HORECA CAFETERIA</t>
        </is>
      </c>
      <c r="E2075" s="34" t="n">
        <v>100273</v>
      </c>
      <c r="F2075" t="inlineStr">
        <is>
          <t>F</t>
        </is>
      </c>
      <c r="G2075" s="34" t="n">
        <v>16010</v>
      </c>
      <c r="H2075" s="34" t="n">
        <v>84263</v>
      </c>
      <c r="I2075" t="inlineStr">
        <is>
          <t>3.1</t>
        </is>
      </c>
      <c r="J2075" t="inlineStr">
        <is>
          <t>Ventas HoReCa</t>
        </is>
      </c>
      <c r="K2075" t="inlineStr">
        <is>
          <t>CH1</t>
        </is>
      </c>
    </row>
    <row r="2076">
      <c r="A2076" s="33" t="n">
        <v>45842</v>
      </c>
      <c r="B2076" t="inlineStr">
        <is>
          <t>2025-07</t>
        </is>
      </c>
      <c r="C2076" t="inlineStr">
        <is>
          <t>Nicolás Mosnaim Zegers</t>
        </is>
      </c>
      <c r="D2076" t="inlineStr">
        <is>
          <t>CANELÉ TRADICIONAL</t>
        </is>
      </c>
      <c r="E2076" s="34" t="n">
        <v>21900</v>
      </c>
      <c r="F2076" t="inlineStr">
        <is>
          <t>B</t>
        </is>
      </c>
      <c r="G2076" s="34" t="n">
        <v>3497</v>
      </c>
      <c r="H2076" s="34" t="n">
        <v>18403</v>
      </c>
      <c r="I2076" t="inlineStr">
        <is>
          <t>3.2</t>
        </is>
      </c>
      <c r="J2076" t="inlineStr">
        <is>
          <t>Ventas Personas (B2C)</t>
        </is>
      </c>
      <c r="K2076" t="inlineStr">
        <is>
          <t>CH2</t>
        </is>
      </c>
    </row>
    <row r="2077">
      <c r="A2077" s="33" t="n">
        <v>45842</v>
      </c>
      <c r="B2077" t="inlineStr">
        <is>
          <t>2025-07</t>
        </is>
      </c>
      <c r="C2077" t="inlineStr">
        <is>
          <t>Javiera Alvarez</t>
        </is>
      </c>
      <c r="D2077" t="inlineStr">
        <is>
          <t>Mix Sabores</t>
        </is>
      </c>
      <c r="E2077" s="34" t="n">
        <v>20890</v>
      </c>
      <c r="F2077" t="inlineStr">
        <is>
          <t>B</t>
        </is>
      </c>
      <c r="G2077" s="34" t="n">
        <v>3335</v>
      </c>
      <c r="H2077" s="34" t="n">
        <v>17555</v>
      </c>
      <c r="I2077" t="inlineStr">
        <is>
          <t>3.2</t>
        </is>
      </c>
      <c r="J2077" t="inlineStr">
        <is>
          <t>Ventas Personas (B2C)</t>
        </is>
      </c>
      <c r="K2077" t="inlineStr">
        <is>
          <t>CH2</t>
        </is>
      </c>
    </row>
    <row r="2078">
      <c r="A2078" s="33" t="n">
        <v>45842</v>
      </c>
      <c r="B2078" t="inlineStr">
        <is>
          <t>2025-07</t>
        </is>
      </c>
      <c r="C2078" t="inlineStr">
        <is>
          <t>Sin cliente</t>
        </is>
      </c>
      <c r="D2078" t="inlineStr">
        <is>
          <t>PLATAFORMAS RAP-PEYA-UBER-GOOD</t>
        </is>
      </c>
      <c r="E2078" s="34" t="n">
        <v>17880</v>
      </c>
      <c r="F2078" t="inlineStr">
        <is>
          <t>B</t>
        </is>
      </c>
      <c r="G2078" s="34" t="n">
        <v>2855</v>
      </c>
      <c r="H2078" s="34" t="n">
        <v>15025</v>
      </c>
      <c r="I2078" t="inlineStr">
        <is>
          <t>3.6</t>
        </is>
      </c>
      <c r="J2078" t="inlineStr">
        <is>
          <t>Ventas Delivery Apps</t>
        </is>
      </c>
      <c r="K2078" t="inlineStr">
        <is>
          <t>CH3</t>
        </is>
      </c>
    </row>
    <row r="2079">
      <c r="A2079" s="33" t="n">
        <v>45842</v>
      </c>
      <c r="B2079" t="inlineStr">
        <is>
          <t>2025-07</t>
        </is>
      </c>
      <c r="C2079" t="inlineStr">
        <is>
          <t>Matias Valenzuela</t>
        </is>
      </c>
      <c r="D2079" t="inlineStr">
        <is>
          <t>Petit Crunchy</t>
        </is>
      </c>
      <c r="E2079" s="34" t="n">
        <v>17889</v>
      </c>
      <c r="F2079" t="inlineStr">
        <is>
          <t>B</t>
        </is>
      </c>
      <c r="G2079" s="34" t="n">
        <v>2856</v>
      </c>
      <c r="H2079" s="34" t="n">
        <v>15033</v>
      </c>
      <c r="I2079" t="inlineStr">
        <is>
          <t>3.2</t>
        </is>
      </c>
      <c r="J2079" t="inlineStr">
        <is>
          <t>Ventas Personas (B2C)</t>
        </is>
      </c>
      <c r="K2079" t="inlineStr">
        <is>
          <t>CH2</t>
        </is>
      </c>
    </row>
    <row r="2080">
      <c r="A2080" s="33" t="n">
        <v>45842</v>
      </c>
      <c r="B2080" t="inlineStr">
        <is>
          <t>2025-07</t>
        </is>
      </c>
      <c r="C2080" t="inlineStr">
        <is>
          <t>Sebastian Espinoza</t>
        </is>
      </c>
      <c r="D2080" t="inlineStr">
        <is>
          <t>Mix Sabores</t>
        </is>
      </c>
      <c r="E2080" s="34" t="n">
        <v>20890</v>
      </c>
      <c r="F2080" t="inlineStr">
        <is>
          <t>B</t>
        </is>
      </c>
      <c r="G2080" s="34" t="n">
        <v>3335</v>
      </c>
      <c r="H2080" s="34" t="n">
        <v>17555</v>
      </c>
      <c r="I2080" t="inlineStr">
        <is>
          <t>3.2</t>
        </is>
      </c>
      <c r="J2080" t="inlineStr">
        <is>
          <t>Ventas Personas (B2C)</t>
        </is>
      </c>
      <c r="K2080" t="inlineStr">
        <is>
          <t>CH2</t>
        </is>
      </c>
    </row>
    <row r="2081">
      <c r="A2081" s="33" t="n">
        <v>45842</v>
      </c>
      <c r="B2081" t="inlineStr">
        <is>
          <t>2025-07</t>
        </is>
      </c>
      <c r="C2081" t="inlineStr">
        <is>
          <t>CAFETERÍA ALTURA LIMITADA</t>
        </is>
      </c>
      <c r="D2081" t="inlineStr">
        <is>
          <t>HORECA CAFETERIA</t>
        </is>
      </c>
      <c r="E2081" s="34" t="n">
        <v>53899</v>
      </c>
      <c r="F2081" t="inlineStr">
        <is>
          <t>F</t>
        </is>
      </c>
      <c r="G2081" s="34" t="n">
        <v>8606</v>
      </c>
      <c r="H2081" s="34" t="n">
        <v>45293</v>
      </c>
      <c r="I2081" t="inlineStr">
        <is>
          <t>3.1</t>
        </is>
      </c>
      <c r="J2081" t="inlineStr">
        <is>
          <t>Ventas HoReCa</t>
        </is>
      </c>
      <c r="K2081" t="inlineStr">
        <is>
          <t>CH1</t>
        </is>
      </c>
    </row>
    <row r="2082">
      <c r="A2082" s="33" t="n">
        <v>45843</v>
      </c>
      <c r="B2082" t="inlineStr">
        <is>
          <t>2025-07</t>
        </is>
      </c>
      <c r="C2082" t="inlineStr">
        <is>
          <t>Tanya Aguilera vidal</t>
        </is>
      </c>
      <c r="D2082" t="inlineStr">
        <is>
          <t>SALSAS</t>
        </is>
      </c>
      <c r="E2082" s="34" t="n">
        <v>35880</v>
      </c>
      <c r="F2082" t="inlineStr">
        <is>
          <t>B</t>
        </is>
      </c>
      <c r="G2082" s="34" t="n">
        <v>5729</v>
      </c>
      <c r="H2082" s="34" t="n">
        <v>30151</v>
      </c>
      <c r="I2082" t="inlineStr">
        <is>
          <t>3.2</t>
        </is>
      </c>
      <c r="J2082" t="inlineStr">
        <is>
          <t>Ventas Personas (B2C)</t>
        </is>
      </c>
      <c r="K2082" t="inlineStr">
        <is>
          <t>CH2</t>
        </is>
      </c>
    </row>
    <row r="2083">
      <c r="A2083" s="33" t="n">
        <v>45843</v>
      </c>
      <c r="B2083" t="inlineStr">
        <is>
          <t>2025-07</t>
        </is>
      </c>
      <c r="C2083" t="inlineStr">
        <is>
          <t>Sin cliente</t>
        </is>
      </c>
      <c r="D2083" t="inlineStr">
        <is>
          <t>Petit Tradicional</t>
        </is>
      </c>
      <c r="E2083" s="34" t="n">
        <v>20900</v>
      </c>
      <c r="F2083" t="inlineStr">
        <is>
          <t>B</t>
        </is>
      </c>
      <c r="G2083" s="34" t="n">
        <v>3337</v>
      </c>
      <c r="H2083" s="34" t="n">
        <v>17563</v>
      </c>
      <c r="I2083" t="inlineStr">
        <is>
          <t>3.2</t>
        </is>
      </c>
      <c r="J2083" t="inlineStr">
        <is>
          <t>Ventas Personas (B2C)</t>
        </is>
      </c>
      <c r="K2083" t="inlineStr">
        <is>
          <t>CH2</t>
        </is>
      </c>
    </row>
    <row r="2084">
      <c r="A2084" s="33" t="n">
        <v>45843</v>
      </c>
      <c r="B2084" t="inlineStr">
        <is>
          <t>2025-07</t>
        </is>
      </c>
      <c r="C2084" t="inlineStr">
        <is>
          <t>Sin cliente</t>
        </is>
      </c>
      <c r="D2084" t="inlineStr">
        <is>
          <t>PLATAFORMAS RAP-PEYA-UBER-GOOD</t>
        </is>
      </c>
      <c r="E2084" s="34" t="n">
        <v>15480</v>
      </c>
      <c r="F2084" t="inlineStr">
        <is>
          <t>B</t>
        </is>
      </c>
      <c r="G2084" s="34" t="n">
        <v>2472</v>
      </c>
      <c r="H2084" s="34" t="n">
        <v>13008</v>
      </c>
      <c r="I2084" t="inlineStr">
        <is>
          <t>3.6</t>
        </is>
      </c>
      <c r="J2084" t="inlineStr">
        <is>
          <t>Ventas Delivery Apps</t>
        </is>
      </c>
      <c r="K2084" t="inlineStr">
        <is>
          <t>CH3</t>
        </is>
      </c>
    </row>
    <row r="2085">
      <c r="A2085" s="33" t="n">
        <v>45843</v>
      </c>
      <c r="B2085" t="inlineStr">
        <is>
          <t>2025-07</t>
        </is>
      </c>
      <c r="C2085" t="inlineStr">
        <is>
          <t>Sin cliente</t>
        </is>
      </c>
      <c r="D2085" t="inlineStr">
        <is>
          <t>PLATAFORMAS RAP-PEYA-UBER-GOOD</t>
        </is>
      </c>
      <c r="E2085" s="34" t="n">
        <v>8280</v>
      </c>
      <c r="F2085" t="inlineStr">
        <is>
          <t>B</t>
        </is>
      </c>
      <c r="G2085" s="34" t="n">
        <v>1322</v>
      </c>
      <c r="H2085" s="34" t="n">
        <v>6958</v>
      </c>
      <c r="I2085" t="inlineStr">
        <is>
          <t>3.6</t>
        </is>
      </c>
      <c r="J2085" t="inlineStr">
        <is>
          <t>Ventas Delivery Apps</t>
        </is>
      </c>
      <c r="K2085" t="inlineStr">
        <is>
          <t>CH3</t>
        </is>
      </c>
    </row>
    <row r="2086">
      <c r="A2086" s="33" t="n">
        <v>45843</v>
      </c>
      <c r="B2086" t="inlineStr">
        <is>
          <t>2025-07</t>
        </is>
      </c>
      <c r="C2086" t="inlineStr">
        <is>
          <t>JULICEN HERMAN</t>
        </is>
      </c>
      <c r="D2086" t="inlineStr">
        <is>
          <t>Petit Tradicional</t>
        </is>
      </c>
      <c r="E2086" s="34" t="n">
        <v>19890</v>
      </c>
      <c r="F2086" t="inlineStr">
        <is>
          <t>B</t>
        </is>
      </c>
      <c r="G2086" s="34" t="n">
        <v>3176</v>
      </c>
      <c r="H2086" s="34" t="n">
        <v>16714</v>
      </c>
      <c r="I2086" t="inlineStr">
        <is>
          <t>3.2</t>
        </is>
      </c>
      <c r="J2086" t="inlineStr">
        <is>
          <t>Ventas Personas (B2C)</t>
        </is>
      </c>
      <c r="K2086" t="inlineStr">
        <is>
          <t>CH2</t>
        </is>
      </c>
    </row>
    <row r="2087">
      <c r="A2087" s="33" t="n">
        <v>45843</v>
      </c>
      <c r="B2087" t="inlineStr">
        <is>
          <t>2025-07</t>
        </is>
      </c>
      <c r="C2087" t="inlineStr">
        <is>
          <t>Tanya Aguilera vidal</t>
        </is>
      </c>
      <c r="D2087" t="inlineStr">
        <is>
          <t>CANELÉ TRADICIONAL</t>
        </is>
      </c>
      <c r="E2087" s="34" t="n">
        <v>29890</v>
      </c>
      <c r="F2087" t="inlineStr">
        <is>
          <t>B</t>
        </is>
      </c>
      <c r="G2087" s="34" t="n">
        <v>4772</v>
      </c>
      <c r="H2087" s="34" t="n">
        <v>25118</v>
      </c>
      <c r="I2087" t="inlineStr">
        <is>
          <t>3.2</t>
        </is>
      </c>
      <c r="J2087" t="inlineStr">
        <is>
          <t>Ventas Personas (B2C)</t>
        </is>
      </c>
      <c r="K2087" t="inlineStr">
        <is>
          <t>CH2</t>
        </is>
      </c>
    </row>
    <row r="2088">
      <c r="A2088" s="33" t="n">
        <v>45843</v>
      </c>
      <c r="B2088" t="inlineStr">
        <is>
          <t>2025-07</t>
        </is>
      </c>
      <c r="C2088" t="inlineStr">
        <is>
          <t>Sin cliente</t>
        </is>
      </c>
      <c r="D2088" t="inlineStr">
        <is>
          <t>Mix Sabores</t>
        </is>
      </c>
      <c r="E2088" s="34" t="n">
        <v>22800</v>
      </c>
      <c r="F2088" t="inlineStr">
        <is>
          <t>B</t>
        </is>
      </c>
      <c r="G2088" s="34" t="n">
        <v>3640</v>
      </c>
      <c r="H2088" s="34" t="n">
        <v>19160</v>
      </c>
      <c r="I2088" t="inlineStr">
        <is>
          <t>3.2</t>
        </is>
      </c>
      <c r="J2088" t="inlineStr">
        <is>
          <t>Ventas Personas (B2C)</t>
        </is>
      </c>
      <c r="K2088" t="inlineStr">
        <is>
          <t>CH2</t>
        </is>
      </c>
    </row>
    <row r="2089">
      <c r="A2089" s="33" t="n">
        <v>45843</v>
      </c>
      <c r="B2089" t="inlineStr">
        <is>
          <t>2025-07</t>
        </is>
      </c>
      <c r="C2089" t="inlineStr">
        <is>
          <t>Sin cliente</t>
        </is>
      </c>
      <c r="D2089" t="inlineStr">
        <is>
          <t>PLATAFORMAS RAP-PEYA-UBER-GOOD</t>
        </is>
      </c>
      <c r="E2089" s="34" t="n">
        <v>26280</v>
      </c>
      <c r="F2089" t="inlineStr">
        <is>
          <t>B</t>
        </is>
      </c>
      <c r="G2089" s="34" t="n">
        <v>4196</v>
      </c>
      <c r="H2089" s="34" t="n">
        <v>22084</v>
      </c>
      <c r="I2089" t="inlineStr">
        <is>
          <t>3.6</t>
        </is>
      </c>
      <c r="J2089" t="inlineStr">
        <is>
          <t>Ventas Delivery Apps</t>
        </is>
      </c>
      <c r="K2089" t="inlineStr">
        <is>
          <t>CH3</t>
        </is>
      </c>
    </row>
    <row r="2090">
      <c r="A2090" s="33" t="n">
        <v>45844</v>
      </c>
      <c r="B2090" t="inlineStr">
        <is>
          <t>2025-07</t>
        </is>
      </c>
      <c r="C2090" t="inlineStr">
        <is>
          <t>Sebastian Huenchuñir Stange</t>
        </is>
      </c>
      <c r="D2090" t="inlineStr">
        <is>
          <t>Petit Crunchy</t>
        </is>
      </c>
      <c r="E2090" s="34" t="n">
        <v>39330</v>
      </c>
      <c r="F2090" t="inlineStr">
        <is>
          <t>B</t>
        </is>
      </c>
      <c r="G2090" s="34" t="n">
        <v>6280</v>
      </c>
      <c r="H2090" s="34" t="n">
        <v>33050</v>
      </c>
      <c r="I2090" t="inlineStr">
        <is>
          <t>3.2</t>
        </is>
      </c>
      <c r="J2090" t="inlineStr">
        <is>
          <t>Ventas Personas (B2C)</t>
        </is>
      </c>
      <c r="K2090" t="inlineStr">
        <is>
          <t>CH2</t>
        </is>
      </c>
    </row>
    <row r="2091">
      <c r="A2091" s="33" t="n">
        <v>45845</v>
      </c>
      <c r="B2091" t="inlineStr">
        <is>
          <t>2025-07</t>
        </is>
      </c>
      <c r="C2091" t="inlineStr">
        <is>
          <t>INVERSIONES Y COMERCIALIZADORA FED LIMITADA</t>
        </is>
      </c>
      <c r="D2091" t="inlineStr">
        <is>
          <t>HORECA CAFETERIA</t>
        </is>
      </c>
      <c r="E2091" s="34" t="n">
        <v>207131</v>
      </c>
      <c r="F2091" t="inlineStr">
        <is>
          <t>F</t>
        </is>
      </c>
      <c r="G2091" s="34" t="n">
        <v>33071</v>
      </c>
      <c r="H2091" s="34" t="n">
        <v>174060</v>
      </c>
      <c r="I2091" t="inlineStr">
        <is>
          <t>3.1</t>
        </is>
      </c>
      <c r="J2091" t="inlineStr">
        <is>
          <t>Ventas HoReCa</t>
        </is>
      </c>
      <c r="K2091" t="inlineStr">
        <is>
          <t>CH1</t>
        </is>
      </c>
    </row>
    <row r="2092">
      <c r="A2092" s="33" t="n">
        <v>45845</v>
      </c>
      <c r="B2092" t="inlineStr">
        <is>
          <t>2025-07</t>
        </is>
      </c>
      <c r="C2092" t="inlineStr">
        <is>
          <t>INVERSIONES Y COMERCIALIZADORA FED LIMITADA</t>
        </is>
      </c>
      <c r="D2092" t="inlineStr">
        <is>
          <t>HORECA CAFETERIA</t>
        </is>
      </c>
      <c r="E2092" s="34" t="n">
        <v>104807</v>
      </c>
      <c r="F2092" t="inlineStr">
        <is>
          <t>F</t>
        </is>
      </c>
      <c r="G2092" s="34" t="n">
        <v>16734</v>
      </c>
      <c r="H2092" s="34" t="n">
        <v>88073</v>
      </c>
      <c r="I2092" t="inlineStr">
        <is>
          <t>3.1</t>
        </is>
      </c>
      <c r="J2092" t="inlineStr">
        <is>
          <t>Ventas HoReCa</t>
        </is>
      </c>
      <c r="K2092" t="inlineStr">
        <is>
          <t>CH1</t>
        </is>
      </c>
    </row>
    <row r="2093">
      <c r="A2093" s="33" t="n">
        <v>45845</v>
      </c>
      <c r="B2093" t="inlineStr">
        <is>
          <t>2025-07</t>
        </is>
      </c>
      <c r="C2093" t="inlineStr">
        <is>
          <t>INVERSIONES Y ASESORIAS RAVAL LIMITADA</t>
        </is>
      </c>
      <c r="D2093" t="inlineStr">
        <is>
          <t>HORECA CAFETERIA</t>
        </is>
      </c>
      <c r="E2093" s="34" t="n">
        <v>67956</v>
      </c>
      <c r="F2093" t="inlineStr">
        <is>
          <t>F</t>
        </is>
      </c>
      <c r="G2093" s="34" t="n">
        <v>10850</v>
      </c>
      <c r="H2093" s="34" t="n">
        <v>57106</v>
      </c>
      <c r="I2093" t="inlineStr">
        <is>
          <t>3.1</t>
        </is>
      </c>
      <c r="J2093" t="inlineStr">
        <is>
          <t>Ventas HoReCa</t>
        </is>
      </c>
      <c r="K2093" t="inlineStr">
        <is>
          <t>CH1</t>
        </is>
      </c>
    </row>
    <row r="2094">
      <c r="A2094" s="33" t="n">
        <v>45845</v>
      </c>
      <c r="B2094" t="inlineStr">
        <is>
          <t>2025-07</t>
        </is>
      </c>
      <c r="C2094" t="inlineStr">
        <is>
          <t>BUSTORF LARSEN Y COMPANIA LIMITADA</t>
        </is>
      </c>
      <c r="D2094" t="inlineStr">
        <is>
          <t>HORECA CAFETERIA</t>
        </is>
      </c>
      <c r="E2094" s="34" t="n">
        <v>63966</v>
      </c>
      <c r="F2094" t="inlineStr">
        <is>
          <t>F</t>
        </is>
      </c>
      <c r="G2094" s="34" t="n">
        <v>10213</v>
      </c>
      <c r="H2094" s="34" t="n">
        <v>53753</v>
      </c>
      <c r="I2094" t="inlineStr">
        <is>
          <t>3.1</t>
        </is>
      </c>
      <c r="J2094" t="inlineStr">
        <is>
          <t>Ventas HoReCa</t>
        </is>
      </c>
      <c r="K2094" t="inlineStr">
        <is>
          <t>CH1</t>
        </is>
      </c>
    </row>
    <row r="2095">
      <c r="A2095" s="33" t="n">
        <v>45845</v>
      </c>
      <c r="B2095" t="inlineStr">
        <is>
          <t>2025-07</t>
        </is>
      </c>
      <c r="C2095" t="inlineStr">
        <is>
          <t>Paula Serrano</t>
        </is>
      </c>
      <c r="D2095" t="inlineStr">
        <is>
          <t>Petit Tradicional</t>
        </is>
      </c>
      <c r="E2095" s="34" t="n">
        <v>40690</v>
      </c>
      <c r="F2095" t="inlineStr">
        <is>
          <t>B</t>
        </is>
      </c>
      <c r="G2095" s="34" t="n">
        <v>6497</v>
      </c>
      <c r="H2095" s="34" t="n">
        <v>34193</v>
      </c>
      <c r="I2095" t="inlineStr">
        <is>
          <t>3.2</t>
        </is>
      </c>
      <c r="J2095" t="inlineStr">
        <is>
          <t>Ventas Personas (B2C)</t>
        </is>
      </c>
      <c r="K2095" t="inlineStr">
        <is>
          <t>CH2</t>
        </is>
      </c>
    </row>
    <row r="2096">
      <c r="A2096" s="33" t="n">
        <v>45845</v>
      </c>
      <c r="B2096" t="inlineStr">
        <is>
          <t>2025-07</t>
        </is>
      </c>
      <c r="C2096" t="inlineStr">
        <is>
          <t>Paula Serrano</t>
        </is>
      </c>
      <c r="D2096" t="inlineStr">
        <is>
          <t>REGION METROPOLITANA</t>
        </is>
      </c>
      <c r="E2096" s="34" t="n">
        <v>3990</v>
      </c>
      <c r="F2096" t="inlineStr">
        <is>
          <t>B</t>
        </is>
      </c>
      <c r="G2096" s="34" t="n">
        <v>637</v>
      </c>
      <c r="H2096" s="34" t="n">
        <v>3353</v>
      </c>
      <c r="I2096" t="inlineStr">
        <is>
          <t>3.2</t>
        </is>
      </c>
      <c r="J2096" t="inlineStr">
        <is>
          <t>Ventas Personas (B2C)</t>
        </is>
      </c>
      <c r="K2096" t="inlineStr">
        <is>
          <t>CH2</t>
        </is>
      </c>
    </row>
    <row r="2097">
      <c r="A2097" s="33" t="n">
        <v>45845</v>
      </c>
      <c r="B2097" t="inlineStr">
        <is>
          <t>2025-07</t>
        </is>
      </c>
      <c r="C2097" t="inlineStr">
        <is>
          <t>POMPON SPA</t>
        </is>
      </c>
      <c r="D2097" t="inlineStr">
        <is>
          <t>HORECA CAFETERIA</t>
        </is>
      </c>
      <c r="E2097" s="34" t="n">
        <v>175350</v>
      </c>
      <c r="F2097" t="inlineStr">
        <is>
          <t>F</t>
        </is>
      </c>
      <c r="G2097" s="34" t="n">
        <v>27997</v>
      </c>
      <c r="H2097" s="34" t="n">
        <v>147353</v>
      </c>
      <c r="I2097" t="inlineStr">
        <is>
          <t>3.1</t>
        </is>
      </c>
      <c r="J2097" t="inlineStr">
        <is>
          <t>Ventas HoReCa</t>
        </is>
      </c>
      <c r="K2097" t="inlineStr">
        <is>
          <t>CH1</t>
        </is>
      </c>
    </row>
    <row r="2098">
      <c r="A2098" s="33" t="n">
        <v>45845</v>
      </c>
      <c r="B2098" t="inlineStr">
        <is>
          <t>2025-07</t>
        </is>
      </c>
      <c r="C2098" t="inlineStr">
        <is>
          <t>Sin cliente</t>
        </is>
      </c>
      <c r="D2098" t="inlineStr">
        <is>
          <t>Petit Tradicional</t>
        </is>
      </c>
      <c r="E2098" s="34" t="n">
        <v>21000</v>
      </c>
      <c r="F2098" t="inlineStr">
        <is>
          <t>B</t>
        </is>
      </c>
      <c r="G2098" s="34" t="n">
        <v>3353</v>
      </c>
      <c r="H2098" s="34" t="n">
        <v>17647</v>
      </c>
      <c r="I2098" t="inlineStr">
        <is>
          <t>3.2</t>
        </is>
      </c>
      <c r="J2098" t="inlineStr">
        <is>
          <t>Ventas Personas (B2C)</t>
        </is>
      </c>
      <c r="K2098" t="inlineStr">
        <is>
          <t>CH2</t>
        </is>
      </c>
    </row>
    <row r="2099">
      <c r="A2099" s="33" t="n">
        <v>45845</v>
      </c>
      <c r="B2099" t="inlineStr">
        <is>
          <t>2025-07</t>
        </is>
      </c>
      <c r="C2099" t="inlineStr">
        <is>
          <t>RICO SPA</t>
        </is>
      </c>
      <c r="D2099" t="inlineStr">
        <is>
          <t>CANELÉ TRADICIONAL</t>
        </is>
      </c>
      <c r="E2099" s="34" t="n">
        <v>100000</v>
      </c>
      <c r="F2099" t="inlineStr">
        <is>
          <t>F</t>
        </is>
      </c>
      <c r="G2099" s="34" t="n">
        <v>15966</v>
      </c>
      <c r="H2099" s="34" t="n">
        <v>84034</v>
      </c>
      <c r="I2099" t="inlineStr">
        <is>
          <t>3.1</t>
        </is>
      </c>
      <c r="J2099" t="inlineStr">
        <is>
          <t>Ventas HoReCa</t>
        </is>
      </c>
      <c r="K2099" t="inlineStr">
        <is>
          <t>CH1</t>
        </is>
      </c>
    </row>
    <row r="2100">
      <c r="A2100" s="33" t="n">
        <v>45845</v>
      </c>
      <c r="B2100" t="inlineStr">
        <is>
          <t>2025-07</t>
        </is>
      </c>
      <c r="C2100" t="inlineStr">
        <is>
          <t>Lulu Kuo</t>
        </is>
      </c>
      <c r="D2100" t="inlineStr">
        <is>
          <t>Mix Sabores</t>
        </is>
      </c>
      <c r="E2100" s="34" t="n">
        <v>22800</v>
      </c>
      <c r="F2100" t="inlineStr">
        <is>
          <t>B</t>
        </is>
      </c>
      <c r="G2100" s="34" t="n">
        <v>3640</v>
      </c>
      <c r="H2100" s="34" t="n">
        <v>19160</v>
      </c>
      <c r="I2100" t="inlineStr">
        <is>
          <t>3.2</t>
        </is>
      </c>
      <c r="J2100" t="inlineStr">
        <is>
          <t>Ventas Personas (B2C)</t>
        </is>
      </c>
      <c r="K2100" t="inlineStr">
        <is>
          <t>CH2</t>
        </is>
      </c>
    </row>
    <row r="2101">
      <c r="A2101" s="33" t="n">
        <v>45845</v>
      </c>
      <c r="B2101" t="inlineStr">
        <is>
          <t>2025-07</t>
        </is>
      </c>
      <c r="C2101" t="inlineStr">
        <is>
          <t>Alienor Tordeur</t>
        </is>
      </c>
      <c r="D2101" t="inlineStr">
        <is>
          <t>Petit Tradicional</t>
        </is>
      </c>
      <c r="E2101" s="34" t="n">
        <v>54789</v>
      </c>
      <c r="F2101" t="inlineStr">
        <is>
          <t>B</t>
        </is>
      </c>
      <c r="G2101" s="34" t="n">
        <v>8748</v>
      </c>
      <c r="H2101" s="34" t="n">
        <v>46041</v>
      </c>
      <c r="I2101" t="inlineStr">
        <is>
          <t>3.2</t>
        </is>
      </c>
      <c r="J2101" t="inlineStr">
        <is>
          <t>Ventas Personas (B2C)</t>
        </is>
      </c>
      <c r="K2101" t="inlineStr">
        <is>
          <t>CH2</t>
        </is>
      </c>
    </row>
    <row r="2102">
      <c r="A2102" s="33" t="n">
        <v>45845</v>
      </c>
      <c r="B2102" t="inlineStr">
        <is>
          <t>2025-07</t>
        </is>
      </c>
      <c r="C2102" t="inlineStr">
        <is>
          <t>Camila Velasquez</t>
        </is>
      </c>
      <c r="D2102" t="inlineStr">
        <is>
          <t>CANELÉ TRADICIONAL</t>
        </is>
      </c>
      <c r="E2102" s="34" t="n">
        <v>103990</v>
      </c>
      <c r="F2102" t="inlineStr">
        <is>
          <t>B</t>
        </is>
      </c>
      <c r="G2102" s="34" t="n">
        <v>16603</v>
      </c>
      <c r="H2102" s="34" t="n">
        <v>87387</v>
      </c>
      <c r="I2102" t="inlineStr">
        <is>
          <t>3.2</t>
        </is>
      </c>
      <c r="J2102" t="inlineStr">
        <is>
          <t>Ventas Personas (B2C)</t>
        </is>
      </c>
      <c r="K2102" t="inlineStr">
        <is>
          <t>CH2</t>
        </is>
      </c>
    </row>
    <row r="2103">
      <c r="A2103" s="33" t="n">
        <v>45845</v>
      </c>
      <c r="B2103" t="inlineStr">
        <is>
          <t>2025-07</t>
        </is>
      </c>
      <c r="C2103" t="inlineStr">
        <is>
          <t>RICO SPA</t>
        </is>
      </c>
      <c r="D2103" t="inlineStr">
        <is>
          <t>CANELÉ TRADICIONAL</t>
        </is>
      </c>
      <c r="E2103" s="34" t="n">
        <v>-100000</v>
      </c>
      <c r="F2103" t="inlineStr">
        <is>
          <t>NC</t>
        </is>
      </c>
      <c r="G2103" s="34" t="n">
        <v>-15966</v>
      </c>
      <c r="H2103" s="34" t="n">
        <v>-84034</v>
      </c>
      <c r="I2103" t="inlineStr">
        <is>
          <t>3.1</t>
        </is>
      </c>
      <c r="J2103" t="inlineStr">
        <is>
          <t>Ventas HoReCa</t>
        </is>
      </c>
      <c r="K2103" t="inlineStr">
        <is>
          <t>CH1</t>
        </is>
      </c>
    </row>
    <row r="2104">
      <c r="A2104" s="33" t="n">
        <v>45845</v>
      </c>
      <c r="B2104" t="inlineStr">
        <is>
          <t>2025-07</t>
        </is>
      </c>
      <c r="C2104" t="inlineStr">
        <is>
          <t>RICO SPA</t>
        </is>
      </c>
      <c r="D2104" t="inlineStr">
        <is>
          <t>CANELÉ TRADICIONAL</t>
        </is>
      </c>
      <c r="E2104" s="34" t="n">
        <v>80000</v>
      </c>
      <c r="F2104" t="inlineStr">
        <is>
          <t>F</t>
        </is>
      </c>
      <c r="G2104" s="34" t="n">
        <v>12773</v>
      </c>
      <c r="H2104" s="34" t="n">
        <v>67227</v>
      </c>
      <c r="I2104" t="inlineStr">
        <is>
          <t>3.1</t>
        </is>
      </c>
      <c r="J2104" t="inlineStr">
        <is>
          <t>Ventas HoReCa</t>
        </is>
      </c>
      <c r="K2104" t="inlineStr">
        <is>
          <t>CH1</t>
        </is>
      </c>
    </row>
    <row r="2105">
      <c r="A2105" s="33" t="n">
        <v>45845</v>
      </c>
      <c r="B2105" t="inlineStr">
        <is>
          <t>2025-07</t>
        </is>
      </c>
      <c r="C2105" t="inlineStr">
        <is>
          <t>KITCHEN ART SPA</t>
        </is>
      </c>
      <c r="D2105" t="inlineStr">
        <is>
          <t>HORECA CATERING</t>
        </is>
      </c>
      <c r="E2105" s="34" t="n">
        <v>66045</v>
      </c>
      <c r="F2105" t="inlineStr">
        <is>
          <t>F</t>
        </is>
      </c>
      <c r="G2105" s="34" t="n">
        <v>10545</v>
      </c>
      <c r="H2105" s="34" t="n">
        <v>55500</v>
      </c>
      <c r="I2105" t="inlineStr">
        <is>
          <t>3.1</t>
        </is>
      </c>
      <c r="J2105" t="inlineStr">
        <is>
          <t>Ventas HoReCa</t>
        </is>
      </c>
      <c r="K2105" t="inlineStr">
        <is>
          <t>CH1</t>
        </is>
      </c>
    </row>
    <row r="2106">
      <c r="A2106" s="33" t="n">
        <v>45845</v>
      </c>
      <c r="B2106" t="inlineStr">
        <is>
          <t>2025-07</t>
        </is>
      </c>
      <c r="C2106" t="inlineStr">
        <is>
          <t>Sin cliente</t>
        </is>
      </c>
      <c r="D2106" t="inlineStr">
        <is>
          <t>Petit Tradicional</t>
        </is>
      </c>
      <c r="E2106" s="34" t="n">
        <v>21000</v>
      </c>
      <c r="F2106" t="inlineStr">
        <is>
          <t>B</t>
        </is>
      </c>
      <c r="G2106" s="34" t="n">
        <v>3353</v>
      </c>
      <c r="H2106" s="34" t="n">
        <v>17647</v>
      </c>
      <c r="I2106" t="inlineStr">
        <is>
          <t>3.2</t>
        </is>
      </c>
      <c r="J2106" t="inlineStr">
        <is>
          <t>Ventas Personas (B2C)</t>
        </is>
      </c>
      <c r="K2106" t="inlineStr">
        <is>
          <t>CH2</t>
        </is>
      </c>
    </row>
    <row r="2107">
      <c r="A2107" s="33" t="n">
        <v>45845</v>
      </c>
      <c r="B2107" t="inlineStr">
        <is>
          <t>2025-07</t>
        </is>
      </c>
      <c r="C2107" t="inlineStr">
        <is>
          <t>Francisca Moyano</t>
        </is>
      </c>
      <c r="D2107" t="inlineStr">
        <is>
          <t>CANELÉ TRADICIONAL</t>
        </is>
      </c>
      <c r="E2107" s="34" t="n">
        <v>26900</v>
      </c>
      <c r="F2107" t="inlineStr">
        <is>
          <t>B</t>
        </is>
      </c>
      <c r="G2107" s="34" t="n">
        <v>4295</v>
      </c>
      <c r="H2107" s="34" t="n">
        <v>22605</v>
      </c>
      <c r="I2107" t="inlineStr">
        <is>
          <t>3.2</t>
        </is>
      </c>
      <c r="J2107" t="inlineStr">
        <is>
          <t>Ventas Personas (B2C)</t>
        </is>
      </c>
      <c r="K2107" t="inlineStr">
        <is>
          <t>CH2</t>
        </is>
      </c>
    </row>
    <row r="2108">
      <c r="A2108" s="33" t="n">
        <v>45846</v>
      </c>
      <c r="B2108" t="inlineStr">
        <is>
          <t>2025-07</t>
        </is>
      </c>
      <c r="C2108" t="inlineStr">
        <is>
          <t>BLUE OAK COFFE SPA</t>
        </is>
      </c>
      <c r="D2108" t="inlineStr">
        <is>
          <t>HORECA CAFETERIA</t>
        </is>
      </c>
      <c r="E2108" s="34" t="n">
        <v>90860</v>
      </c>
      <c r="F2108" t="inlineStr">
        <is>
          <t>F</t>
        </is>
      </c>
      <c r="G2108" s="34" t="n">
        <v>14507</v>
      </c>
      <c r="H2108" s="34" t="n">
        <v>76353</v>
      </c>
      <c r="I2108" t="inlineStr">
        <is>
          <t>3.1</t>
        </is>
      </c>
      <c r="J2108" t="inlineStr">
        <is>
          <t>Ventas HoReCa</t>
        </is>
      </c>
      <c r="K2108" t="inlineStr">
        <is>
          <t>CH1</t>
        </is>
      </c>
    </row>
    <row r="2109">
      <c r="A2109" s="33" t="n">
        <v>45846</v>
      </c>
      <c r="B2109" t="inlineStr">
        <is>
          <t>2025-07</t>
        </is>
      </c>
      <c r="C2109" t="inlineStr">
        <is>
          <t>BLUE OAK COFFE SPA</t>
        </is>
      </c>
      <c r="D2109" t="inlineStr">
        <is>
          <t>HORECA CAFETERIA</t>
        </is>
      </c>
      <c r="E2109" s="34" t="n">
        <v>119952</v>
      </c>
      <c r="F2109" t="inlineStr">
        <is>
          <t>F</t>
        </is>
      </c>
      <c r="G2109" s="34" t="n">
        <v>19152</v>
      </c>
      <c r="H2109" s="34" t="n">
        <v>100800</v>
      </c>
      <c r="I2109" t="inlineStr">
        <is>
          <t>3.1</t>
        </is>
      </c>
      <c r="J2109" t="inlineStr">
        <is>
          <t>Ventas HoReCa</t>
        </is>
      </c>
      <c r="K2109" t="inlineStr">
        <is>
          <t>CH1</t>
        </is>
      </c>
    </row>
    <row r="2110">
      <c r="A2110" s="33" t="n">
        <v>45846</v>
      </c>
      <c r="B2110" t="inlineStr">
        <is>
          <t>2025-07</t>
        </is>
      </c>
      <c r="C2110" t="inlineStr">
        <is>
          <t>Santa María spa</t>
        </is>
      </c>
      <c r="D2110" t="inlineStr">
        <is>
          <t>HORECA CAFETERIA</t>
        </is>
      </c>
      <c r="E2110" s="34" t="n">
        <v>178670</v>
      </c>
      <c r="F2110" t="inlineStr">
        <is>
          <t>F</t>
        </is>
      </c>
      <c r="G2110" s="34" t="n">
        <v>28527</v>
      </c>
      <c r="H2110" s="34" t="n">
        <v>150143</v>
      </c>
      <c r="I2110" t="inlineStr">
        <is>
          <t>3.1</t>
        </is>
      </c>
      <c r="J2110" t="inlineStr">
        <is>
          <t>Ventas HoReCa</t>
        </is>
      </c>
      <c r="K2110" t="inlineStr">
        <is>
          <t>CH1</t>
        </is>
      </c>
    </row>
    <row r="2111">
      <c r="A2111" s="33" t="n">
        <v>45846</v>
      </c>
      <c r="B2111" t="inlineStr">
        <is>
          <t>2025-07</t>
        </is>
      </c>
      <c r="C2111" t="inlineStr">
        <is>
          <t>BLUE OAK COFFE SPA</t>
        </is>
      </c>
      <c r="D2111" t="inlineStr">
        <is>
          <t>HORECA CAFETERIA</t>
        </is>
      </c>
      <c r="E2111" s="34" t="n">
        <v>63966</v>
      </c>
      <c r="F2111" t="inlineStr">
        <is>
          <t>F</t>
        </is>
      </c>
      <c r="G2111" s="34" t="n">
        <v>10213</v>
      </c>
      <c r="H2111" s="34" t="n">
        <v>53753</v>
      </c>
      <c r="I2111" t="inlineStr">
        <is>
          <t>3.1</t>
        </is>
      </c>
      <c r="J2111" t="inlineStr">
        <is>
          <t>Ventas HoReCa</t>
        </is>
      </c>
      <c r="K2111" t="inlineStr">
        <is>
          <t>CH1</t>
        </is>
      </c>
    </row>
    <row r="2112">
      <c r="A2112" s="33" t="n">
        <v>45846</v>
      </c>
      <c r="B2112" t="inlineStr">
        <is>
          <t>2025-07</t>
        </is>
      </c>
      <c r="C2112" t="inlineStr">
        <is>
          <t>HUERTO SUR LIMITADA</t>
        </is>
      </c>
      <c r="D2112" t="inlineStr">
        <is>
          <t>HORECA CAFETERIA</t>
        </is>
      </c>
      <c r="E2112" s="34" t="n">
        <v>174208</v>
      </c>
      <c r="F2112" t="inlineStr">
        <is>
          <t>F</t>
        </is>
      </c>
      <c r="G2112" s="34" t="n">
        <v>27815</v>
      </c>
      <c r="H2112" s="34" t="n">
        <v>146393</v>
      </c>
      <c r="I2112" t="inlineStr">
        <is>
          <t>3.1</t>
        </is>
      </c>
      <c r="J2112" t="inlineStr">
        <is>
          <t>Ventas HoReCa</t>
        </is>
      </c>
      <c r="K2112" t="inlineStr">
        <is>
          <t>CH1</t>
        </is>
      </c>
    </row>
    <row r="2113">
      <c r="A2113" s="33" t="n">
        <v>45846</v>
      </c>
      <c r="B2113" t="inlineStr">
        <is>
          <t>2025-07</t>
        </is>
      </c>
      <c r="C2113" t="inlineStr">
        <is>
          <t>Inversiones Café Dominicos SpA</t>
        </is>
      </c>
      <c r="D2113" t="inlineStr">
        <is>
          <t xml:space="preserve">THE COFFEE STORE </t>
        </is>
      </c>
      <c r="E2113" s="34" t="n">
        <v>36977</v>
      </c>
      <c r="F2113" t="inlineStr">
        <is>
          <t>F</t>
        </is>
      </c>
      <c r="G2113" s="34" t="n">
        <v>5904</v>
      </c>
      <c r="H2113" s="34" t="n">
        <v>31073</v>
      </c>
      <c r="I2113" t="inlineStr">
        <is>
          <t>3.1</t>
        </is>
      </c>
      <c r="J2113" t="inlineStr">
        <is>
          <t>Ventas HoReCa</t>
        </is>
      </c>
      <c r="K2113" t="inlineStr">
        <is>
          <t>CH1</t>
        </is>
      </c>
    </row>
    <row r="2114">
      <c r="A2114" s="33" t="n">
        <v>45846</v>
      </c>
      <c r="B2114" t="inlineStr">
        <is>
          <t>2025-07</t>
        </is>
      </c>
      <c r="C2114" t="inlineStr">
        <is>
          <t>Pablo Sandoval Gonzalez</t>
        </is>
      </c>
      <c r="D2114" t="inlineStr">
        <is>
          <t>Petit Crunchy</t>
        </is>
      </c>
      <c r="E2114" s="34" t="n">
        <v>17890</v>
      </c>
      <c r="F2114" t="inlineStr">
        <is>
          <t>B</t>
        </is>
      </c>
      <c r="G2114" s="34" t="n">
        <v>2856</v>
      </c>
      <c r="H2114" s="34" t="n">
        <v>15034</v>
      </c>
      <c r="I2114" t="inlineStr">
        <is>
          <t>3.2</t>
        </is>
      </c>
      <c r="J2114" t="inlineStr">
        <is>
          <t>Ventas Personas (B2C)</t>
        </is>
      </c>
      <c r="K2114" t="inlineStr">
        <is>
          <t>CH2</t>
        </is>
      </c>
    </row>
    <row r="2115">
      <c r="A2115" s="33" t="n">
        <v>45846</v>
      </c>
      <c r="B2115" t="inlineStr">
        <is>
          <t>2025-07</t>
        </is>
      </c>
      <c r="C2115" t="inlineStr">
        <is>
          <t>Federico Ponce</t>
        </is>
      </c>
      <c r="D2115" t="inlineStr">
        <is>
          <t>Petit Crunchy</t>
        </is>
      </c>
      <c r="E2115" s="34" t="n">
        <v>30890</v>
      </c>
      <c r="F2115" t="inlineStr">
        <is>
          <t>B</t>
        </is>
      </c>
      <c r="G2115" s="34" t="n">
        <v>4932</v>
      </c>
      <c r="H2115" s="34" t="n">
        <v>25958</v>
      </c>
      <c r="I2115" t="inlineStr">
        <is>
          <t>3.2</t>
        </is>
      </c>
      <c r="J2115" t="inlineStr">
        <is>
          <t>Ventas Personas (B2C)</t>
        </is>
      </c>
      <c r="K2115" t="inlineStr">
        <is>
          <t>CH2</t>
        </is>
      </c>
    </row>
    <row r="2116">
      <c r="A2116" s="33" t="n">
        <v>45846</v>
      </c>
      <c r="B2116" t="inlineStr">
        <is>
          <t>2025-07</t>
        </is>
      </c>
      <c r="C2116" t="inlineStr">
        <is>
          <t>CATERINA CONTRERAS BERTOLO</t>
        </is>
      </c>
      <c r="D2116" t="inlineStr">
        <is>
          <t>Petit Tradicional</t>
        </is>
      </c>
      <c r="E2116" s="34" t="n">
        <v>15030</v>
      </c>
      <c r="F2116" t="inlineStr">
        <is>
          <t>B</t>
        </is>
      </c>
      <c r="G2116" s="34" t="n">
        <v>2400</v>
      </c>
      <c r="H2116" s="34" t="n">
        <v>12630</v>
      </c>
      <c r="I2116" t="inlineStr">
        <is>
          <t>3.2</t>
        </is>
      </c>
      <c r="J2116" t="inlineStr">
        <is>
          <t>Ventas Personas (B2C)</t>
        </is>
      </c>
      <c r="K2116" t="inlineStr">
        <is>
          <t>CH2</t>
        </is>
      </c>
    </row>
    <row r="2117">
      <c r="A2117" s="33" t="n">
        <v>45846</v>
      </c>
      <c r="B2117" t="inlineStr">
        <is>
          <t>2025-07</t>
        </is>
      </c>
      <c r="C2117" t="inlineStr">
        <is>
          <t>GOOD LIFE SPA</t>
        </is>
      </c>
      <c r="D2117" t="inlineStr">
        <is>
          <t>HORECA CAFETERIA</t>
        </is>
      </c>
      <c r="E2117" s="34" t="n">
        <v>84609</v>
      </c>
      <c r="F2117" t="inlineStr">
        <is>
          <t>F</t>
        </is>
      </c>
      <c r="G2117" s="34" t="n">
        <v>13509</v>
      </c>
      <c r="H2117" s="34" t="n">
        <v>71100</v>
      </c>
      <c r="I2117" t="inlineStr">
        <is>
          <t>3.1</t>
        </is>
      </c>
      <c r="J2117" t="inlineStr">
        <is>
          <t>Ventas HoReCa</t>
        </is>
      </c>
      <c r="K2117" t="inlineStr">
        <is>
          <t>CH1</t>
        </is>
      </c>
    </row>
    <row r="2118">
      <c r="A2118" s="33" t="n">
        <v>45846</v>
      </c>
      <c r="B2118" t="inlineStr">
        <is>
          <t>2025-07</t>
        </is>
      </c>
      <c r="C2118" t="inlineStr">
        <is>
          <t>Sin cliente</t>
        </is>
      </c>
      <c r="D2118" t="inlineStr">
        <is>
          <t>PLATAFORMAS RAP-PEYA-UBER-GOOD</t>
        </is>
      </c>
      <c r="E2118" s="34" t="n">
        <v>41860</v>
      </c>
      <c r="F2118" t="inlineStr">
        <is>
          <t>B</t>
        </is>
      </c>
      <c r="G2118" s="34" t="n">
        <v>6684</v>
      </c>
      <c r="H2118" s="34" t="n">
        <v>35176</v>
      </c>
      <c r="I2118" t="inlineStr">
        <is>
          <t>3.6</t>
        </is>
      </c>
      <c r="J2118" t="inlineStr">
        <is>
          <t>Ventas Delivery Apps</t>
        </is>
      </c>
      <c r="K2118" t="inlineStr">
        <is>
          <t>CH3</t>
        </is>
      </c>
    </row>
    <row r="2119">
      <c r="A2119" s="33" t="n">
        <v>45846</v>
      </c>
      <c r="B2119" t="inlineStr">
        <is>
          <t>2025-07</t>
        </is>
      </c>
      <c r="C2119" t="inlineStr">
        <is>
          <t>Raylanna Prates</t>
        </is>
      </c>
      <c r="D2119" t="inlineStr">
        <is>
          <t>Mix Sabores</t>
        </is>
      </c>
      <c r="E2119" s="34" t="n">
        <v>26789</v>
      </c>
      <c r="F2119" t="inlineStr">
        <is>
          <t>B</t>
        </is>
      </c>
      <c r="G2119" s="34" t="n">
        <v>4277</v>
      </c>
      <c r="H2119" s="34" t="n">
        <v>22512</v>
      </c>
      <c r="I2119" t="inlineStr">
        <is>
          <t>3.2</t>
        </is>
      </c>
      <c r="J2119" t="inlineStr">
        <is>
          <t>Ventas Personas (B2C)</t>
        </is>
      </c>
      <c r="K2119" t="inlineStr">
        <is>
          <t>CH2</t>
        </is>
      </c>
    </row>
    <row r="2120">
      <c r="A2120" s="33" t="n">
        <v>45846</v>
      </c>
      <c r="B2120" t="inlineStr">
        <is>
          <t>2025-07</t>
        </is>
      </c>
      <c r="C2120" t="inlineStr">
        <is>
          <t>BACOLIO SPA</t>
        </is>
      </c>
      <c r="D2120" t="inlineStr">
        <is>
          <t>HORECA CAFETERIA</t>
        </is>
      </c>
      <c r="E2120" s="34" t="n">
        <v>223006</v>
      </c>
      <c r="F2120" t="inlineStr">
        <is>
          <t>F</t>
        </is>
      </c>
      <c r="G2120" s="34" t="n">
        <v>35606</v>
      </c>
      <c r="H2120" s="34" t="n">
        <v>187400</v>
      </c>
      <c r="I2120" t="inlineStr">
        <is>
          <t>3.1</t>
        </is>
      </c>
      <c r="J2120" t="inlineStr">
        <is>
          <t>Ventas HoReCa</t>
        </is>
      </c>
      <c r="K2120" t="inlineStr">
        <is>
          <t>CH1</t>
        </is>
      </c>
    </row>
    <row r="2121">
      <c r="A2121" s="33" t="n">
        <v>45846</v>
      </c>
      <c r="B2121" t="inlineStr">
        <is>
          <t>2025-07</t>
        </is>
      </c>
      <c r="C2121" t="inlineStr">
        <is>
          <t>Sin cliente</t>
        </is>
      </c>
      <c r="D2121" t="inlineStr">
        <is>
          <t>Petit Tradicional</t>
        </is>
      </c>
      <c r="E2121" s="34" t="n">
        <v>33800</v>
      </c>
      <c r="F2121" t="inlineStr">
        <is>
          <t>B</t>
        </is>
      </c>
      <c r="G2121" s="34" t="n">
        <v>5397</v>
      </c>
      <c r="H2121" s="34" t="n">
        <v>28403</v>
      </c>
      <c r="I2121" t="inlineStr">
        <is>
          <t>3.2</t>
        </is>
      </c>
      <c r="J2121" t="inlineStr">
        <is>
          <t>Ventas Personas (B2C)</t>
        </is>
      </c>
      <c r="K2121" t="inlineStr">
        <is>
          <t>CH2</t>
        </is>
      </c>
    </row>
    <row r="2122">
      <c r="A2122" s="33" t="n">
        <v>45846</v>
      </c>
      <c r="B2122" t="inlineStr">
        <is>
          <t>2025-07</t>
        </is>
      </c>
      <c r="C2122" t="inlineStr">
        <is>
          <t>Sin cliente</t>
        </is>
      </c>
      <c r="D2122" t="inlineStr">
        <is>
          <t>PLATAFORMAS RAP-PEYA-UBER-GOOD</t>
        </is>
      </c>
      <c r="E2122" s="34" t="n">
        <v>17880</v>
      </c>
      <c r="F2122" t="inlineStr">
        <is>
          <t>B</t>
        </is>
      </c>
      <c r="G2122" s="34" t="n">
        <v>2855</v>
      </c>
      <c r="H2122" s="34" t="n">
        <v>15025</v>
      </c>
      <c r="I2122" t="inlineStr">
        <is>
          <t>3.6</t>
        </is>
      </c>
      <c r="J2122" t="inlineStr">
        <is>
          <t>Ventas Delivery Apps</t>
        </is>
      </c>
      <c r="K2122" t="inlineStr">
        <is>
          <t>CH3</t>
        </is>
      </c>
    </row>
    <row r="2123">
      <c r="A2123" s="33" t="n">
        <v>45846</v>
      </c>
      <c r="B2123" t="inlineStr">
        <is>
          <t>2025-07</t>
        </is>
      </c>
      <c r="C2123" t="inlineStr">
        <is>
          <t>Sin cliente</t>
        </is>
      </c>
      <c r="D2123" t="inlineStr">
        <is>
          <t>CANELÉ TRADICIONAL</t>
        </is>
      </c>
      <c r="E2123" s="34" t="n">
        <v>7500</v>
      </c>
      <c r="F2123" t="inlineStr">
        <is>
          <t>B</t>
        </is>
      </c>
      <c r="G2123" s="34" t="n">
        <v>1197</v>
      </c>
      <c r="H2123" s="34" t="n">
        <v>6303</v>
      </c>
      <c r="I2123" t="inlineStr">
        <is>
          <t>3.2</t>
        </is>
      </c>
      <c r="J2123" t="inlineStr">
        <is>
          <t>Ventas Personas (B2C)</t>
        </is>
      </c>
      <c r="K2123" t="inlineStr">
        <is>
          <t>CH2</t>
        </is>
      </c>
    </row>
    <row r="2124">
      <c r="A2124" s="33" t="n">
        <v>45847</v>
      </c>
      <c r="B2124" t="inlineStr">
        <is>
          <t>2025-07</t>
        </is>
      </c>
      <c r="C2124" t="inlineStr">
        <is>
          <t>BUSTORF LARSEN Y COMPANIA LIMITADA</t>
        </is>
      </c>
      <c r="D2124" t="inlineStr">
        <is>
          <t>HORECA CAFETERIA</t>
        </is>
      </c>
      <c r="E2124" s="34" t="n">
        <v>117802</v>
      </c>
      <c r="F2124" t="inlineStr">
        <is>
          <t>F</t>
        </is>
      </c>
      <c r="G2124" s="34" t="n">
        <v>18809</v>
      </c>
      <c r="H2124" s="34" t="n">
        <v>98993</v>
      </c>
      <c r="I2124" t="inlineStr">
        <is>
          <t>3.1</t>
        </is>
      </c>
      <c r="J2124" t="inlineStr">
        <is>
          <t>Ventas HoReCa</t>
        </is>
      </c>
      <c r="K2124" t="inlineStr">
        <is>
          <t>CH1</t>
        </is>
      </c>
    </row>
    <row r="2125">
      <c r="A2125" s="33" t="n">
        <v>45847</v>
      </c>
      <c r="B2125" t="inlineStr">
        <is>
          <t>2025-07</t>
        </is>
      </c>
      <c r="C2125" t="inlineStr">
        <is>
          <t>CAFETERIA THE ELEPHANT COFFEE LIMITADA</t>
        </is>
      </c>
      <c r="D2125" t="inlineStr">
        <is>
          <t>HORECA CAFETERIA</t>
        </is>
      </c>
      <c r="E2125" s="34" t="n">
        <v>173208</v>
      </c>
      <c r="F2125" t="inlineStr">
        <is>
          <t>F</t>
        </is>
      </c>
      <c r="G2125" s="34" t="n">
        <v>27655</v>
      </c>
      <c r="H2125" s="34" t="n">
        <v>145553</v>
      </c>
      <c r="I2125" t="inlineStr">
        <is>
          <t>3.1</t>
        </is>
      </c>
      <c r="J2125" t="inlineStr">
        <is>
          <t>Ventas HoReCa</t>
        </is>
      </c>
      <c r="K2125" t="inlineStr">
        <is>
          <t>CH1</t>
        </is>
      </c>
    </row>
    <row r="2126">
      <c r="A2126" s="33" t="n">
        <v>45847</v>
      </c>
      <c r="B2126" t="inlineStr">
        <is>
          <t>2025-07</t>
        </is>
      </c>
      <c r="C2126" t="inlineStr">
        <is>
          <t>Sin cliente</t>
        </is>
      </c>
      <c r="D2126" t="inlineStr">
        <is>
          <t>Petit Tradicional</t>
        </is>
      </c>
      <c r="E2126" s="34" t="n">
        <v>12900</v>
      </c>
      <c r="F2126" t="inlineStr">
        <is>
          <t>B</t>
        </is>
      </c>
      <c r="G2126" s="34" t="n">
        <v>2060</v>
      </c>
      <c r="H2126" s="34" t="n">
        <v>10840</v>
      </c>
      <c r="I2126" t="inlineStr">
        <is>
          <t>3.2</t>
        </is>
      </c>
      <c r="J2126" t="inlineStr">
        <is>
          <t>Ventas Personas (B2C)</t>
        </is>
      </c>
      <c r="K2126" t="inlineStr">
        <is>
          <t>CH2</t>
        </is>
      </c>
    </row>
    <row r="2127">
      <c r="A2127" s="33" t="n">
        <v>45847</v>
      </c>
      <c r="B2127" t="inlineStr">
        <is>
          <t>2025-07</t>
        </is>
      </c>
      <c r="C2127" t="inlineStr">
        <is>
          <t>soledad villanueva</t>
        </is>
      </c>
      <c r="D2127" t="inlineStr">
        <is>
          <t>CANELÉ TRADICIONAL</t>
        </is>
      </c>
      <c r="E2127" s="34" t="n">
        <v>14900</v>
      </c>
      <c r="F2127" t="inlineStr">
        <is>
          <t>B</t>
        </is>
      </c>
      <c r="G2127" s="34" t="n">
        <v>2379</v>
      </c>
      <c r="H2127" s="34" t="n">
        <v>12521</v>
      </c>
      <c r="I2127" t="inlineStr">
        <is>
          <t>3.2</t>
        </is>
      </c>
      <c r="J2127" t="inlineStr">
        <is>
          <t>Ventas Personas (B2C)</t>
        </is>
      </c>
      <c r="K2127" t="inlineStr">
        <is>
          <t>CH2</t>
        </is>
      </c>
    </row>
    <row r="2128">
      <c r="A2128" s="33" t="n">
        <v>45847</v>
      </c>
      <c r="B2128" t="inlineStr">
        <is>
          <t>2025-07</t>
        </is>
      </c>
      <c r="C2128" t="inlineStr">
        <is>
          <t>Kevin Nuñez</t>
        </is>
      </c>
      <c r="D2128" t="inlineStr">
        <is>
          <t>Petit Crunchy</t>
        </is>
      </c>
      <c r="E2128" s="34" t="n">
        <v>13900</v>
      </c>
      <c r="F2128" t="inlineStr">
        <is>
          <t>B</t>
        </is>
      </c>
      <c r="G2128" s="34" t="n">
        <v>2219</v>
      </c>
      <c r="H2128" s="34" t="n">
        <v>11681</v>
      </c>
      <c r="I2128" t="inlineStr">
        <is>
          <t>3.2</t>
        </is>
      </c>
      <c r="J2128" t="inlineStr">
        <is>
          <t>Ventas Personas (B2C)</t>
        </is>
      </c>
      <c r="K2128" t="inlineStr">
        <is>
          <t>CH2</t>
        </is>
      </c>
    </row>
    <row r="2129">
      <c r="A2129" s="33" t="n">
        <v>45847</v>
      </c>
      <c r="B2129" t="inlineStr">
        <is>
          <t>2025-07</t>
        </is>
      </c>
      <c r="C2129" t="inlineStr">
        <is>
          <t>GUSTAVO MORENO</t>
        </is>
      </c>
      <c r="D2129" t="inlineStr">
        <is>
          <t>Mix Sabores</t>
        </is>
      </c>
      <c r="E2129" s="34" t="n">
        <v>22800</v>
      </c>
      <c r="F2129" t="inlineStr">
        <is>
          <t>B</t>
        </is>
      </c>
      <c r="G2129" s="34" t="n">
        <v>3640</v>
      </c>
      <c r="H2129" s="34" t="n">
        <v>19160</v>
      </c>
      <c r="I2129" t="inlineStr">
        <is>
          <t>3.2</t>
        </is>
      </c>
      <c r="J2129" t="inlineStr">
        <is>
          <t>Ventas Personas (B2C)</t>
        </is>
      </c>
      <c r="K2129" t="inlineStr">
        <is>
          <t>CH2</t>
        </is>
      </c>
    </row>
    <row r="2130">
      <c r="A2130" s="33" t="n">
        <v>45847</v>
      </c>
      <c r="B2130" t="inlineStr">
        <is>
          <t>2025-07</t>
        </is>
      </c>
      <c r="C2130" t="inlineStr">
        <is>
          <t>Ariel Torres</t>
        </is>
      </c>
      <c r="D2130" t="inlineStr">
        <is>
          <t>Petit Crunchy</t>
        </is>
      </c>
      <c r="E2130" s="34" t="n">
        <v>29889</v>
      </c>
      <c r="F2130" t="inlineStr">
        <is>
          <t>B</t>
        </is>
      </c>
      <c r="G2130" s="34" t="n">
        <v>4772</v>
      </c>
      <c r="H2130" s="34" t="n">
        <v>25117</v>
      </c>
      <c r="I2130" t="inlineStr">
        <is>
          <t>3.2</t>
        </is>
      </c>
      <c r="J2130" t="inlineStr">
        <is>
          <t>Ventas Personas (B2C)</t>
        </is>
      </c>
      <c r="K2130" t="inlineStr">
        <is>
          <t>CH2</t>
        </is>
      </c>
    </row>
    <row r="2131">
      <c r="A2131" s="33" t="n">
        <v>45847</v>
      </c>
      <c r="B2131" t="inlineStr">
        <is>
          <t>2025-07</t>
        </is>
      </c>
      <c r="C2131" t="inlineStr">
        <is>
          <t>Sin cliente</t>
        </is>
      </c>
      <c r="D2131" t="inlineStr">
        <is>
          <t>Petit Crunchy</t>
        </is>
      </c>
      <c r="E2131" s="34" t="n">
        <v>4950</v>
      </c>
      <c r="F2131" t="inlineStr">
        <is>
          <t>B</t>
        </is>
      </c>
      <c r="G2131" s="34" t="n">
        <v>790</v>
      </c>
      <c r="H2131" s="34" t="n">
        <v>4160</v>
      </c>
      <c r="I2131" t="inlineStr">
        <is>
          <t>3.2</t>
        </is>
      </c>
      <c r="J2131" t="inlineStr">
        <is>
          <t>Ventas Personas (B2C)</t>
        </is>
      </c>
      <c r="K2131" t="inlineStr">
        <is>
          <t>CH2</t>
        </is>
      </c>
    </row>
    <row r="2132">
      <c r="A2132" s="33" t="n">
        <v>45847</v>
      </c>
      <c r="B2132" t="inlineStr">
        <is>
          <t>2025-07</t>
        </is>
      </c>
      <c r="C2132" t="inlineStr">
        <is>
          <t>Sin cliente</t>
        </is>
      </c>
      <c r="D2132" t="inlineStr">
        <is>
          <t>Petit Crunchy</t>
        </is>
      </c>
      <c r="E2132" s="34" t="n">
        <v>4950</v>
      </c>
      <c r="F2132" t="inlineStr">
        <is>
          <t>B</t>
        </is>
      </c>
      <c r="G2132" s="34" t="n">
        <v>790</v>
      </c>
      <c r="H2132" s="34" t="n">
        <v>4160</v>
      </c>
      <c r="I2132" t="inlineStr">
        <is>
          <t>3.2</t>
        </is>
      </c>
      <c r="J2132" t="inlineStr">
        <is>
          <t>Ventas Personas (B2C)</t>
        </is>
      </c>
      <c r="K2132" t="inlineStr">
        <is>
          <t>CH2</t>
        </is>
      </c>
    </row>
    <row r="2133">
      <c r="A2133" s="33" t="n">
        <v>45847</v>
      </c>
      <c r="B2133" t="inlineStr">
        <is>
          <t>2025-07</t>
        </is>
      </c>
      <c r="C2133" t="inlineStr">
        <is>
          <t>Sin cliente</t>
        </is>
      </c>
      <c r="D2133" t="inlineStr">
        <is>
          <t>Petit Tradicional</t>
        </is>
      </c>
      <c r="E2133" s="34" t="n">
        <v>10450</v>
      </c>
      <c r="F2133" t="inlineStr">
        <is>
          <t>B</t>
        </is>
      </c>
      <c r="G2133" s="34" t="n">
        <v>1668</v>
      </c>
      <c r="H2133" s="34" t="n">
        <v>8782</v>
      </c>
      <c r="I2133" t="inlineStr">
        <is>
          <t>3.2</t>
        </is>
      </c>
      <c r="J2133" t="inlineStr">
        <is>
          <t>Ventas Personas (B2C)</t>
        </is>
      </c>
      <c r="K2133" t="inlineStr">
        <is>
          <t>CH2</t>
        </is>
      </c>
    </row>
    <row r="2134">
      <c r="A2134" s="33" t="n">
        <v>45847</v>
      </c>
      <c r="B2134" t="inlineStr">
        <is>
          <t>2025-07</t>
        </is>
      </c>
      <c r="C2134" t="inlineStr">
        <is>
          <t>Melanie Russell</t>
        </is>
      </c>
      <c r="D2134" t="inlineStr">
        <is>
          <t>Petit Crunchy</t>
        </is>
      </c>
      <c r="E2134" s="34" t="n">
        <v>28889</v>
      </c>
      <c r="F2134" t="inlineStr">
        <is>
          <t>B</t>
        </is>
      </c>
      <c r="G2134" s="34" t="n">
        <v>4613</v>
      </c>
      <c r="H2134" s="34" t="n">
        <v>24276</v>
      </c>
      <c r="I2134" t="inlineStr">
        <is>
          <t>3.2</t>
        </is>
      </c>
      <c r="J2134" t="inlineStr">
        <is>
          <t>Ventas Personas (B2C)</t>
        </is>
      </c>
      <c r="K2134" t="inlineStr">
        <is>
          <t>CH2</t>
        </is>
      </c>
    </row>
    <row r="2135">
      <c r="A2135" s="33" t="n">
        <v>45847</v>
      </c>
      <c r="B2135" t="inlineStr">
        <is>
          <t>2025-07</t>
        </is>
      </c>
      <c r="C2135" t="inlineStr">
        <is>
          <t>JNCONCEPT SPA</t>
        </is>
      </c>
      <c r="D2135" t="inlineStr">
        <is>
          <t>CANELÉ TRADICIONAL</t>
        </is>
      </c>
      <c r="E2135" s="34" t="n">
        <v>29800</v>
      </c>
      <c r="F2135" t="inlineStr">
        <is>
          <t>F</t>
        </is>
      </c>
      <c r="G2135" s="34" t="n">
        <v>4758</v>
      </c>
      <c r="H2135" s="34" t="n">
        <v>25042</v>
      </c>
      <c r="I2135" t="inlineStr">
        <is>
          <t>3.1</t>
        </is>
      </c>
      <c r="J2135" t="inlineStr">
        <is>
          <t>Ventas HoReCa</t>
        </is>
      </c>
      <c r="K2135" t="inlineStr">
        <is>
          <t>CH1</t>
        </is>
      </c>
    </row>
    <row r="2136">
      <c r="A2136" s="33" t="n">
        <v>45848</v>
      </c>
      <c r="B2136" t="inlineStr">
        <is>
          <t>2025-07</t>
        </is>
      </c>
      <c r="C2136" t="inlineStr">
        <is>
          <t>CUATROTRESTRES CAFÉ SPA</t>
        </is>
      </c>
      <c r="D2136" t="inlineStr">
        <is>
          <t>HORECA CAFETERIA</t>
        </is>
      </c>
      <c r="E2136" s="34" t="n">
        <v>176620</v>
      </c>
      <c r="F2136" t="inlineStr">
        <is>
          <t>F</t>
        </is>
      </c>
      <c r="G2136" s="34" t="n">
        <v>28200</v>
      </c>
      <c r="H2136" s="34" t="n">
        <v>148420</v>
      </c>
      <c r="I2136" t="inlineStr">
        <is>
          <t>3.1</t>
        </is>
      </c>
      <c r="J2136" t="inlineStr">
        <is>
          <t>Ventas HoReCa</t>
        </is>
      </c>
      <c r="K2136" t="inlineStr">
        <is>
          <t>CH1</t>
        </is>
      </c>
    </row>
    <row r="2137">
      <c r="A2137" s="33" t="n">
        <v>45848</v>
      </c>
      <c r="B2137" t="inlineStr">
        <is>
          <t>2025-07</t>
        </is>
      </c>
      <c r="C2137" t="inlineStr">
        <is>
          <t>Elizabeth Mercado</t>
        </is>
      </c>
      <c r="D2137" t="inlineStr">
        <is>
          <t>Petit Tradicional</t>
        </is>
      </c>
      <c r="E2137" s="34" t="n">
        <v>30789</v>
      </c>
      <c r="F2137" t="inlineStr">
        <is>
          <t>B</t>
        </is>
      </c>
      <c r="G2137" s="34" t="n">
        <v>4916</v>
      </c>
      <c r="H2137" s="34" t="n">
        <v>25873</v>
      </c>
      <c r="I2137" t="inlineStr">
        <is>
          <t>3.2</t>
        </is>
      </c>
      <c r="J2137" t="inlineStr">
        <is>
          <t>Ventas Personas (B2C)</t>
        </is>
      </c>
      <c r="K2137" t="inlineStr">
        <is>
          <t>CH2</t>
        </is>
      </c>
    </row>
    <row r="2138">
      <c r="A2138" s="33" t="n">
        <v>45848</v>
      </c>
      <c r="B2138" t="inlineStr">
        <is>
          <t>2025-07</t>
        </is>
      </c>
      <c r="C2138" t="inlineStr">
        <is>
          <t>Inversiones Nagua SPA</t>
        </is>
      </c>
      <c r="D2138" t="inlineStr">
        <is>
          <t>HORECA CAFETERIA</t>
        </is>
      </c>
      <c r="E2138" s="34" t="n">
        <v>63966</v>
      </c>
      <c r="F2138" t="inlineStr">
        <is>
          <t>F</t>
        </is>
      </c>
      <c r="G2138" s="34" t="n">
        <v>10213</v>
      </c>
      <c r="H2138" s="34" t="n">
        <v>53753</v>
      </c>
      <c r="I2138" t="inlineStr">
        <is>
          <t>3.1</t>
        </is>
      </c>
      <c r="J2138" t="inlineStr">
        <is>
          <t>Ventas HoReCa</t>
        </is>
      </c>
      <c r="K2138" t="inlineStr">
        <is>
          <t>CH1</t>
        </is>
      </c>
    </row>
    <row r="2139">
      <c r="A2139" s="33" t="n">
        <v>45848</v>
      </c>
      <c r="B2139" t="inlineStr">
        <is>
          <t>2025-07</t>
        </is>
      </c>
      <c r="C2139" t="inlineStr">
        <is>
          <t>CAFE DIARIO ENCOMENDEROS SPA</t>
        </is>
      </c>
      <c r="D2139" t="inlineStr">
        <is>
          <t>HORECA CAFETERIA</t>
        </is>
      </c>
      <c r="E2139" s="34" t="n">
        <v>82830</v>
      </c>
      <c r="F2139" t="inlineStr">
        <is>
          <t>F</t>
        </is>
      </c>
      <c r="G2139" s="34" t="n">
        <v>13225</v>
      </c>
      <c r="H2139" s="34" t="n">
        <v>69605</v>
      </c>
      <c r="I2139" t="inlineStr">
        <is>
          <t>3.1</t>
        </is>
      </c>
      <c r="J2139" t="inlineStr">
        <is>
          <t>Ventas HoReCa</t>
        </is>
      </c>
      <c r="K2139" t="inlineStr">
        <is>
          <t>CH1</t>
        </is>
      </c>
    </row>
    <row r="2140">
      <c r="A2140" s="33" t="n">
        <v>45848</v>
      </c>
      <c r="B2140" t="inlineStr">
        <is>
          <t>2025-07</t>
        </is>
      </c>
      <c r="C2140" t="inlineStr">
        <is>
          <t>Sin cliente</t>
        </is>
      </c>
      <c r="D2140" t="inlineStr">
        <is>
          <t>Petit Tradicional</t>
        </is>
      </c>
      <c r="E2140" s="34" t="n">
        <v>10450</v>
      </c>
      <c r="F2140" t="inlineStr">
        <is>
          <t>B</t>
        </is>
      </c>
      <c r="G2140" s="34" t="n">
        <v>1668</v>
      </c>
      <c r="H2140" s="34" t="n">
        <v>8782</v>
      </c>
      <c r="I2140" t="inlineStr">
        <is>
          <t>3.2</t>
        </is>
      </c>
      <c r="J2140" t="inlineStr">
        <is>
          <t>Ventas Personas (B2C)</t>
        </is>
      </c>
      <c r="K2140" t="inlineStr">
        <is>
          <t>CH2</t>
        </is>
      </c>
    </row>
    <row r="2141">
      <c r="A2141" s="33" t="n">
        <v>45848</v>
      </c>
      <c r="B2141" t="inlineStr">
        <is>
          <t>2025-07</t>
        </is>
      </c>
      <c r="C2141" t="inlineStr">
        <is>
          <t>Sin cliente</t>
        </is>
      </c>
      <c r="D2141" t="inlineStr">
        <is>
          <t>Petit Crunchy</t>
        </is>
      </c>
      <c r="E2141" s="34" t="n">
        <v>11900</v>
      </c>
      <c r="F2141" t="inlineStr">
        <is>
          <t>B</t>
        </is>
      </c>
      <c r="G2141" s="34" t="n">
        <v>1900</v>
      </c>
      <c r="H2141" s="34" t="n">
        <v>10000</v>
      </c>
      <c r="I2141" t="inlineStr">
        <is>
          <t>3.2</t>
        </is>
      </c>
      <c r="J2141" t="inlineStr">
        <is>
          <t>Ventas Personas (B2C)</t>
        </is>
      </c>
      <c r="K2141" t="inlineStr">
        <is>
          <t>CH2</t>
        </is>
      </c>
    </row>
    <row r="2142">
      <c r="A2142" s="33" t="n">
        <v>45848</v>
      </c>
      <c r="B2142" t="inlineStr">
        <is>
          <t>2025-07</t>
        </is>
      </c>
      <c r="C2142" t="inlineStr">
        <is>
          <t>Sin cliente</t>
        </is>
      </c>
      <c r="D2142" t="inlineStr">
        <is>
          <t>Petit Crunchy</t>
        </is>
      </c>
      <c r="E2142" s="34" t="n">
        <v>6950</v>
      </c>
      <c r="F2142" t="inlineStr">
        <is>
          <t>B</t>
        </is>
      </c>
      <c r="G2142" s="34" t="n">
        <v>1110</v>
      </c>
      <c r="H2142" s="34" t="n">
        <v>5840</v>
      </c>
      <c r="I2142" t="inlineStr">
        <is>
          <t>3.2</t>
        </is>
      </c>
      <c r="J2142" t="inlineStr">
        <is>
          <t>Ventas Personas (B2C)</t>
        </is>
      </c>
      <c r="K2142" t="inlineStr">
        <is>
          <t>CH2</t>
        </is>
      </c>
    </row>
    <row r="2143">
      <c r="A2143" s="33" t="n">
        <v>45848</v>
      </c>
      <c r="B2143" t="inlineStr">
        <is>
          <t>2025-07</t>
        </is>
      </c>
      <c r="C2143" t="inlineStr">
        <is>
          <t>Catalina Mellot</t>
        </is>
      </c>
      <c r="D2143" t="inlineStr">
        <is>
          <t>SALSAS</t>
        </is>
      </c>
      <c r="E2143" s="34" t="n">
        <v>31870</v>
      </c>
      <c r="F2143" t="inlineStr">
        <is>
          <t>B</t>
        </is>
      </c>
      <c r="G2143" s="34" t="n">
        <v>5088</v>
      </c>
      <c r="H2143" s="34" t="n">
        <v>26782</v>
      </c>
      <c r="I2143" t="inlineStr">
        <is>
          <t>3.2</t>
        </is>
      </c>
      <c r="J2143" t="inlineStr">
        <is>
          <t>Ventas Personas (B2C)</t>
        </is>
      </c>
      <c r="K2143" t="inlineStr">
        <is>
          <t>CH2</t>
        </is>
      </c>
    </row>
    <row r="2144">
      <c r="A2144" s="33" t="n">
        <v>45848</v>
      </c>
      <c r="B2144" t="inlineStr">
        <is>
          <t>2025-07</t>
        </is>
      </c>
      <c r="C2144" t="inlineStr">
        <is>
          <t>Sin cliente</t>
        </is>
      </c>
      <c r="D2144" t="inlineStr">
        <is>
          <t>PLATAFORMAS RAP-PEYA-UBER-GOOD</t>
        </is>
      </c>
      <c r="E2144" s="34" t="n">
        <v>48840</v>
      </c>
      <c r="F2144" t="inlineStr">
        <is>
          <t>B</t>
        </is>
      </c>
      <c r="G2144" s="34" t="n">
        <v>7798</v>
      </c>
      <c r="H2144" s="34" t="n">
        <v>41042</v>
      </c>
      <c r="I2144" t="inlineStr">
        <is>
          <t>3.6</t>
        </is>
      </c>
      <c r="J2144" t="inlineStr">
        <is>
          <t>Ventas Delivery Apps</t>
        </is>
      </c>
      <c r="K2144" t="inlineStr">
        <is>
          <t>CH3</t>
        </is>
      </c>
    </row>
    <row r="2145">
      <c r="A2145" s="33" t="n">
        <v>45848</v>
      </c>
      <c r="B2145" t="inlineStr">
        <is>
          <t>2025-07</t>
        </is>
      </c>
      <c r="C2145" t="inlineStr">
        <is>
          <t>Loreto Castro</t>
        </is>
      </c>
      <c r="D2145" t="inlineStr">
        <is>
          <t>Petit Crunchy</t>
        </is>
      </c>
      <c r="E2145" s="34" t="n">
        <v>16889</v>
      </c>
      <c r="F2145" t="inlineStr">
        <is>
          <t>B</t>
        </is>
      </c>
      <c r="G2145" s="34" t="n">
        <v>2697</v>
      </c>
      <c r="H2145" s="34" t="n">
        <v>14192</v>
      </c>
      <c r="I2145" t="inlineStr">
        <is>
          <t>3.2</t>
        </is>
      </c>
      <c r="J2145" t="inlineStr">
        <is>
          <t>Ventas Personas (B2C)</t>
        </is>
      </c>
      <c r="K2145" t="inlineStr">
        <is>
          <t>CH2</t>
        </is>
      </c>
    </row>
    <row r="2146">
      <c r="A2146" s="33" t="n">
        <v>45848</v>
      </c>
      <c r="B2146" t="inlineStr">
        <is>
          <t>2025-07</t>
        </is>
      </c>
      <c r="C2146" t="inlineStr">
        <is>
          <t>Soledad Cáceres</t>
        </is>
      </c>
      <c r="D2146" t="inlineStr">
        <is>
          <t>CANELÉ TRADICIONAL</t>
        </is>
      </c>
      <c r="E2146" s="34" t="n">
        <v>29889</v>
      </c>
      <c r="F2146" t="inlineStr">
        <is>
          <t>B</t>
        </is>
      </c>
      <c r="G2146" s="34" t="n">
        <v>4772</v>
      </c>
      <c r="H2146" s="34" t="n">
        <v>25117</v>
      </c>
      <c r="I2146" t="inlineStr">
        <is>
          <t>3.2</t>
        </is>
      </c>
      <c r="J2146" t="inlineStr">
        <is>
          <t>Ventas Personas (B2C)</t>
        </is>
      </c>
      <c r="K2146" t="inlineStr">
        <is>
          <t>CH2</t>
        </is>
      </c>
    </row>
    <row r="2147">
      <c r="A2147" s="33" t="n">
        <v>45849</v>
      </c>
      <c r="B2147" t="inlineStr">
        <is>
          <t>2025-07</t>
        </is>
      </c>
      <c r="C2147" t="inlineStr">
        <is>
          <t>POMPON SPA</t>
        </is>
      </c>
      <c r="D2147" t="inlineStr">
        <is>
          <t>HORECA CAFETERIA</t>
        </is>
      </c>
      <c r="E2147" s="34" t="n">
        <v>177310</v>
      </c>
      <c r="F2147" t="inlineStr">
        <is>
          <t>F</t>
        </is>
      </c>
      <c r="G2147" s="34" t="n">
        <v>28310</v>
      </c>
      <c r="H2147" s="34" t="n">
        <v>149000</v>
      </c>
      <c r="I2147" t="inlineStr">
        <is>
          <t>3.1</t>
        </is>
      </c>
      <c r="J2147" t="inlineStr">
        <is>
          <t>Ventas HoReCa</t>
        </is>
      </c>
      <c r="K2147" t="inlineStr">
        <is>
          <t>CH1</t>
        </is>
      </c>
    </row>
    <row r="2148">
      <c r="A2148" s="33" t="n">
        <v>45849</v>
      </c>
      <c r="B2148" t="inlineStr">
        <is>
          <t>2025-07</t>
        </is>
      </c>
      <c r="C2148" t="inlineStr">
        <is>
          <t>Better Food Spa</t>
        </is>
      </c>
      <c r="D2148" t="inlineStr">
        <is>
          <t>HORECA CAFETERIA</t>
        </is>
      </c>
      <c r="E2148" s="34" t="n">
        <v>239904</v>
      </c>
      <c r="F2148" t="inlineStr">
        <is>
          <t>F</t>
        </is>
      </c>
      <c r="G2148" s="34" t="n">
        <v>38304</v>
      </c>
      <c r="H2148" s="34" t="n">
        <v>201600</v>
      </c>
      <c r="I2148" t="inlineStr">
        <is>
          <t>3.1</t>
        </is>
      </c>
      <c r="J2148" t="inlineStr">
        <is>
          <t>Ventas HoReCa</t>
        </is>
      </c>
      <c r="K2148" t="inlineStr">
        <is>
          <t>CH1</t>
        </is>
      </c>
    </row>
    <row r="2149">
      <c r="A2149" s="33" t="n">
        <v>45849</v>
      </c>
      <c r="B2149" t="inlineStr">
        <is>
          <t>2025-07</t>
        </is>
      </c>
      <c r="C2149" t="inlineStr">
        <is>
          <t>Café del Parque SpA</t>
        </is>
      </c>
      <c r="D2149" t="inlineStr">
        <is>
          <t>HORECA CAFETERIA</t>
        </is>
      </c>
      <c r="E2149" s="34" t="n">
        <v>71106</v>
      </c>
      <c r="F2149" t="inlineStr">
        <is>
          <t>F</t>
        </is>
      </c>
      <c r="G2149" s="34" t="n">
        <v>11353</v>
      </c>
      <c r="H2149" s="34" t="n">
        <v>59753</v>
      </c>
      <c r="I2149" t="inlineStr">
        <is>
          <t>3.1</t>
        </is>
      </c>
      <c r="J2149" t="inlineStr">
        <is>
          <t>Ventas HoReCa</t>
        </is>
      </c>
      <c r="K2149" t="inlineStr">
        <is>
          <t>CH1</t>
        </is>
      </c>
    </row>
    <row r="2150">
      <c r="A2150" s="33" t="n">
        <v>45849</v>
      </c>
      <c r="B2150" t="inlineStr">
        <is>
          <t>2025-07</t>
        </is>
      </c>
      <c r="C2150" t="inlineStr">
        <is>
          <t>Loreto Castro</t>
        </is>
      </c>
      <c r="D2150" t="inlineStr">
        <is>
          <t>Petit Crunchy</t>
        </is>
      </c>
      <c r="E2150" s="34" t="n">
        <v>37889</v>
      </c>
      <c r="F2150" t="inlineStr">
        <is>
          <t>B</t>
        </is>
      </c>
      <c r="G2150" s="34" t="n">
        <v>6050</v>
      </c>
      <c r="H2150" s="34" t="n">
        <v>31839</v>
      </c>
      <c r="I2150" t="inlineStr">
        <is>
          <t>3.2</t>
        </is>
      </c>
      <c r="J2150" t="inlineStr">
        <is>
          <t>Ventas Personas (B2C)</t>
        </is>
      </c>
      <c r="K2150" t="inlineStr">
        <is>
          <t>CH2</t>
        </is>
      </c>
    </row>
    <row r="2151">
      <c r="A2151" s="33" t="n">
        <v>45849</v>
      </c>
      <c r="B2151" t="inlineStr">
        <is>
          <t>2025-07</t>
        </is>
      </c>
      <c r="C2151" t="inlineStr">
        <is>
          <t>Comercial Aromo LTDA</t>
        </is>
      </c>
      <c r="D2151" t="inlineStr">
        <is>
          <t>HORECA CAFETERIA</t>
        </is>
      </c>
      <c r="E2151" s="34" t="n">
        <v>95026</v>
      </c>
      <c r="F2151" t="inlineStr">
        <is>
          <t>F</t>
        </is>
      </c>
      <c r="G2151" s="34" t="n">
        <v>15172</v>
      </c>
      <c r="H2151" s="34" t="n">
        <v>79854</v>
      </c>
      <c r="I2151" t="inlineStr">
        <is>
          <t>3.1</t>
        </is>
      </c>
      <c r="J2151" t="inlineStr">
        <is>
          <t>Ventas HoReCa</t>
        </is>
      </c>
      <c r="K2151" t="inlineStr">
        <is>
          <t>CH1</t>
        </is>
      </c>
    </row>
    <row r="2152">
      <c r="A2152" s="33" t="n">
        <v>45849</v>
      </c>
      <c r="B2152" t="inlineStr">
        <is>
          <t>2025-07</t>
        </is>
      </c>
      <c r="C2152" t="inlineStr">
        <is>
          <t>Sin cliente</t>
        </is>
      </c>
      <c r="D2152" t="inlineStr">
        <is>
          <t>Petit Crunchy</t>
        </is>
      </c>
      <c r="E2152" s="34" t="n">
        <v>25900</v>
      </c>
      <c r="F2152" t="inlineStr">
        <is>
          <t>B</t>
        </is>
      </c>
      <c r="G2152" s="34" t="n">
        <v>4135</v>
      </c>
      <c r="H2152" s="34" t="n">
        <v>21765</v>
      </c>
      <c r="I2152" t="inlineStr">
        <is>
          <t>3.2</t>
        </is>
      </c>
      <c r="J2152" t="inlineStr">
        <is>
          <t>Ventas Personas (B2C)</t>
        </is>
      </c>
      <c r="K2152" t="inlineStr">
        <is>
          <t>CH2</t>
        </is>
      </c>
    </row>
    <row r="2153">
      <c r="A2153" s="33" t="n">
        <v>45849</v>
      </c>
      <c r="B2153" t="inlineStr">
        <is>
          <t>2025-07</t>
        </is>
      </c>
      <c r="C2153" t="inlineStr">
        <is>
          <t>Veronica Rivas</t>
        </is>
      </c>
      <c r="D2153" t="inlineStr">
        <is>
          <t>Petit Crunchy</t>
        </is>
      </c>
      <c r="E2153" s="34" t="n">
        <v>28889</v>
      </c>
      <c r="F2153" t="inlineStr">
        <is>
          <t>B</t>
        </is>
      </c>
      <c r="G2153" s="34" t="n">
        <v>4613</v>
      </c>
      <c r="H2153" s="34" t="n">
        <v>24276</v>
      </c>
      <c r="I2153" t="inlineStr">
        <is>
          <t>3.2</t>
        </is>
      </c>
      <c r="J2153" t="inlineStr">
        <is>
          <t>Ventas Personas (B2C)</t>
        </is>
      </c>
      <c r="K2153" t="inlineStr">
        <is>
          <t>CH2</t>
        </is>
      </c>
    </row>
    <row r="2154">
      <c r="A2154" s="33" t="n">
        <v>45849</v>
      </c>
      <c r="B2154" t="inlineStr">
        <is>
          <t>2025-07</t>
        </is>
      </c>
      <c r="C2154" t="inlineStr">
        <is>
          <t>Javiera Ziehe</t>
        </is>
      </c>
      <c r="D2154" t="inlineStr">
        <is>
          <t>Petit Crunchy</t>
        </is>
      </c>
      <c r="E2154" s="34" t="n">
        <v>29889</v>
      </c>
      <c r="F2154" t="inlineStr">
        <is>
          <t>B</t>
        </is>
      </c>
      <c r="G2154" s="34" t="n">
        <v>4772</v>
      </c>
      <c r="H2154" s="34" t="n">
        <v>25117</v>
      </c>
      <c r="I2154" t="inlineStr">
        <is>
          <t>3.2</t>
        </is>
      </c>
      <c r="J2154" t="inlineStr">
        <is>
          <t>Ventas Personas (B2C)</t>
        </is>
      </c>
      <c r="K2154" t="inlineStr">
        <is>
          <t>CH2</t>
        </is>
      </c>
    </row>
    <row r="2155">
      <c r="A2155" s="33" t="n">
        <v>45849</v>
      </c>
      <c r="B2155" t="inlineStr">
        <is>
          <t>2025-07</t>
        </is>
      </c>
      <c r="C2155" t="inlineStr">
        <is>
          <t>Javiera Torreblanca ossandon</t>
        </is>
      </c>
      <c r="D2155" t="inlineStr">
        <is>
          <t>Mix Sabores</t>
        </is>
      </c>
      <c r="E2155" s="34" t="n">
        <v>15900</v>
      </c>
      <c r="F2155" t="inlineStr">
        <is>
          <t>B</t>
        </is>
      </c>
      <c r="G2155" s="34" t="n">
        <v>2539</v>
      </c>
      <c r="H2155" s="34" t="n">
        <v>13361</v>
      </c>
      <c r="I2155" t="inlineStr">
        <is>
          <t>3.2</t>
        </is>
      </c>
      <c r="J2155" t="inlineStr">
        <is>
          <t>Ventas Personas (B2C)</t>
        </is>
      </c>
      <c r="K2155" t="inlineStr">
        <is>
          <t>CH2</t>
        </is>
      </c>
    </row>
    <row r="2156">
      <c r="A2156" s="33" t="n">
        <v>45849</v>
      </c>
      <c r="B2156" t="inlineStr">
        <is>
          <t>2025-07</t>
        </is>
      </c>
      <c r="C2156" t="inlineStr">
        <is>
          <t>Carina Porchetti</t>
        </is>
      </c>
      <c r="D2156" t="inlineStr">
        <is>
          <t>Petit Crunchy</t>
        </is>
      </c>
      <c r="E2156" s="34" t="n">
        <v>17889</v>
      </c>
      <c r="F2156" t="inlineStr">
        <is>
          <t>B</t>
        </is>
      </c>
      <c r="G2156" s="34" t="n">
        <v>2856</v>
      </c>
      <c r="H2156" s="34" t="n">
        <v>15033</v>
      </c>
      <c r="I2156" t="inlineStr">
        <is>
          <t>3.2</t>
        </is>
      </c>
      <c r="J2156" t="inlineStr">
        <is>
          <t>Ventas Personas (B2C)</t>
        </is>
      </c>
      <c r="K2156" t="inlineStr">
        <is>
          <t>CH2</t>
        </is>
      </c>
    </row>
    <row r="2157">
      <c r="A2157" s="33" t="n">
        <v>45849</v>
      </c>
      <c r="B2157" t="inlineStr">
        <is>
          <t>2025-07</t>
        </is>
      </c>
      <c r="C2157" t="inlineStr">
        <is>
          <t>Sin cliente</t>
        </is>
      </c>
      <c r="D2157" t="inlineStr">
        <is>
          <t>PLATAFORMAS RAP-PEYA-UBER-GOOD</t>
        </is>
      </c>
      <c r="E2157" s="34" t="n">
        <v>32160</v>
      </c>
      <c r="F2157" t="inlineStr">
        <is>
          <t>B</t>
        </is>
      </c>
      <c r="G2157" s="34" t="n">
        <v>5135</v>
      </c>
      <c r="H2157" s="34" t="n">
        <v>27025</v>
      </c>
      <c r="I2157" t="inlineStr">
        <is>
          <t>3.6</t>
        </is>
      </c>
      <c r="J2157" t="inlineStr">
        <is>
          <t>Ventas Delivery Apps</t>
        </is>
      </c>
      <c r="K2157" t="inlineStr">
        <is>
          <t>CH3</t>
        </is>
      </c>
    </row>
    <row r="2158">
      <c r="A2158" s="33" t="n">
        <v>45849</v>
      </c>
      <c r="B2158" t="inlineStr">
        <is>
          <t>2025-07</t>
        </is>
      </c>
      <c r="C2158" t="inlineStr">
        <is>
          <t>Jorge Palacios</t>
        </is>
      </c>
      <c r="D2158" t="inlineStr">
        <is>
          <t>CANELÉ TRADICIONAL</t>
        </is>
      </c>
      <c r="E2158" s="34" t="n">
        <v>19890</v>
      </c>
      <c r="F2158" t="inlineStr">
        <is>
          <t>B</t>
        </is>
      </c>
      <c r="G2158" s="34" t="n">
        <v>3176</v>
      </c>
      <c r="H2158" s="34" t="n">
        <v>16714</v>
      </c>
      <c r="I2158" t="inlineStr">
        <is>
          <t>3.2</t>
        </is>
      </c>
      <c r="J2158" t="inlineStr">
        <is>
          <t>Ventas Personas (B2C)</t>
        </is>
      </c>
      <c r="K2158" t="inlineStr">
        <is>
          <t>CH2</t>
        </is>
      </c>
    </row>
    <row r="2159">
      <c r="A2159" s="33" t="n">
        <v>45849</v>
      </c>
      <c r="B2159" t="inlineStr">
        <is>
          <t>2025-07</t>
        </is>
      </c>
      <c r="C2159" t="inlineStr">
        <is>
          <t>esther vicente</t>
        </is>
      </c>
      <c r="D2159" t="inlineStr">
        <is>
          <t>Petit Crunchy</t>
        </is>
      </c>
      <c r="E2159" s="34" t="n">
        <v>13900</v>
      </c>
      <c r="F2159" t="inlineStr">
        <is>
          <t>B</t>
        </is>
      </c>
      <c r="G2159" s="34" t="n">
        <v>2219</v>
      </c>
      <c r="H2159" s="34" t="n">
        <v>11681</v>
      </c>
      <c r="I2159" t="inlineStr">
        <is>
          <t>3.2</t>
        </is>
      </c>
      <c r="J2159" t="inlineStr">
        <is>
          <t>Ventas Personas (B2C)</t>
        </is>
      </c>
      <c r="K2159" t="inlineStr">
        <is>
          <t>CH2</t>
        </is>
      </c>
    </row>
    <row r="2160">
      <c r="A2160" s="33" t="n">
        <v>45849</v>
      </c>
      <c r="B2160" t="inlineStr">
        <is>
          <t>2025-07</t>
        </is>
      </c>
      <c r="C2160" t="inlineStr">
        <is>
          <t>Sin cliente</t>
        </is>
      </c>
      <c r="D2160" t="inlineStr">
        <is>
          <t>PLATAFORMAS RAP-PEYA-UBER-GOOD</t>
        </is>
      </c>
      <c r="E2160" s="34" t="n">
        <v>7784</v>
      </c>
      <c r="F2160" t="inlineStr">
        <is>
          <t>B</t>
        </is>
      </c>
      <c r="G2160" s="34" t="n">
        <v>1243</v>
      </c>
      <c r="H2160" s="34" t="n">
        <v>6541</v>
      </c>
      <c r="I2160" t="inlineStr">
        <is>
          <t>3.6</t>
        </is>
      </c>
      <c r="J2160" t="inlineStr">
        <is>
          <t>Ventas Delivery Apps</t>
        </is>
      </c>
      <c r="K2160" t="inlineStr">
        <is>
          <t>CH3</t>
        </is>
      </c>
    </row>
    <row r="2161">
      <c r="A2161" s="33" t="n">
        <v>45849</v>
      </c>
      <c r="B2161" t="inlineStr">
        <is>
          <t>2025-07</t>
        </is>
      </c>
      <c r="C2161" t="inlineStr">
        <is>
          <t>Sin cliente</t>
        </is>
      </c>
      <c r="D2161" t="inlineStr">
        <is>
          <t>Mix Sabores</t>
        </is>
      </c>
      <c r="E2161" s="34" t="n">
        <v>22800</v>
      </c>
      <c r="F2161" t="inlineStr">
        <is>
          <t>B</t>
        </is>
      </c>
      <c r="G2161" s="34" t="n">
        <v>3640</v>
      </c>
      <c r="H2161" s="34" t="n">
        <v>19160</v>
      </c>
      <c r="I2161" t="inlineStr">
        <is>
          <t>3.2</t>
        </is>
      </c>
      <c r="J2161" t="inlineStr">
        <is>
          <t>Ventas Personas (B2C)</t>
        </is>
      </c>
      <c r="K2161" t="inlineStr">
        <is>
          <t>CH2</t>
        </is>
      </c>
    </row>
    <row r="2162">
      <c r="A2162" s="33" t="n">
        <v>45849</v>
      </c>
      <c r="B2162" t="inlineStr">
        <is>
          <t>2025-07</t>
        </is>
      </c>
      <c r="C2162" t="inlineStr">
        <is>
          <t>Sin cliente</t>
        </is>
      </c>
      <c r="D2162" t="inlineStr">
        <is>
          <t>CANELÉ TRADICIONAL</t>
        </is>
      </c>
      <c r="E2162" s="34" t="n">
        <v>26900</v>
      </c>
      <c r="F2162" t="inlineStr">
        <is>
          <t>B</t>
        </is>
      </c>
      <c r="G2162" s="34" t="n">
        <v>4295</v>
      </c>
      <c r="H2162" s="34" t="n">
        <v>22605</v>
      </c>
      <c r="I2162" t="inlineStr">
        <is>
          <t>3.2</t>
        </is>
      </c>
      <c r="J2162" t="inlineStr">
        <is>
          <t>Ventas Personas (B2C)</t>
        </is>
      </c>
      <c r="K2162" t="inlineStr">
        <is>
          <t>CH2</t>
        </is>
      </c>
    </row>
    <row r="2163">
      <c r="A2163" s="33" t="n">
        <v>45849</v>
      </c>
      <c r="B2163" t="inlineStr">
        <is>
          <t>2025-07</t>
        </is>
      </c>
      <c r="C2163" t="inlineStr">
        <is>
          <t>Sin cliente</t>
        </is>
      </c>
      <c r="D2163" t="inlineStr">
        <is>
          <t>CANELÉ TRADICIONAL</t>
        </is>
      </c>
      <c r="E2163" s="34" t="n">
        <v>26900</v>
      </c>
      <c r="F2163" t="inlineStr">
        <is>
          <t>B</t>
        </is>
      </c>
      <c r="G2163" s="34" t="n">
        <v>4295</v>
      </c>
      <c r="H2163" s="34" t="n">
        <v>22605</v>
      </c>
      <c r="I2163" t="inlineStr">
        <is>
          <t>3.2</t>
        </is>
      </c>
      <c r="J2163" t="inlineStr">
        <is>
          <t>Ventas Personas (B2C)</t>
        </is>
      </c>
      <c r="K2163" t="inlineStr">
        <is>
          <t>CH2</t>
        </is>
      </c>
    </row>
    <row r="2164">
      <c r="A2164" s="33" t="n">
        <v>45849</v>
      </c>
      <c r="B2164" t="inlineStr">
        <is>
          <t>2025-07</t>
        </is>
      </c>
      <c r="C2164" t="inlineStr">
        <is>
          <t>karol Oyanader Bernal</t>
        </is>
      </c>
      <c r="D2164" t="inlineStr">
        <is>
          <t>CANELE SIN AZUCAR</t>
        </is>
      </c>
      <c r="E2164" s="34" t="n">
        <v>28289</v>
      </c>
      <c r="F2164" t="inlineStr">
        <is>
          <t>B</t>
        </is>
      </c>
      <c r="G2164" s="34" t="n">
        <v>4517</v>
      </c>
      <c r="H2164" s="34" t="n">
        <v>23772</v>
      </c>
      <c r="I2164" t="inlineStr">
        <is>
          <t>3.2</t>
        </is>
      </c>
      <c r="J2164" t="inlineStr">
        <is>
          <t>Ventas Personas (B2C)</t>
        </is>
      </c>
      <c r="K2164" t="inlineStr">
        <is>
          <t>CH2</t>
        </is>
      </c>
    </row>
    <row r="2165">
      <c r="A2165" s="33" t="n">
        <v>45850</v>
      </c>
      <c r="B2165" t="inlineStr">
        <is>
          <t>2025-07</t>
        </is>
      </c>
      <c r="C2165" t="inlineStr">
        <is>
          <t>Oscar Castro Lopez</t>
        </is>
      </c>
      <c r="D2165" t="inlineStr">
        <is>
          <t>Petit Crunchy</t>
        </is>
      </c>
      <c r="E2165" s="34" t="n">
        <v>18890</v>
      </c>
      <c r="F2165" t="inlineStr">
        <is>
          <t>B</t>
        </is>
      </c>
      <c r="G2165" s="34" t="n">
        <v>3016</v>
      </c>
      <c r="H2165" s="34" t="n">
        <v>15874</v>
      </c>
      <c r="I2165" t="inlineStr">
        <is>
          <t>3.2</t>
        </is>
      </c>
      <c r="J2165" t="inlineStr">
        <is>
          <t>Ventas Personas (B2C)</t>
        </is>
      </c>
      <c r="K2165" t="inlineStr">
        <is>
          <t>CH2</t>
        </is>
      </c>
    </row>
    <row r="2166">
      <c r="A2166" s="33" t="n">
        <v>45850</v>
      </c>
      <c r="B2166" t="inlineStr">
        <is>
          <t>2025-07</t>
        </is>
      </c>
      <c r="C2166" t="inlineStr">
        <is>
          <t>HYUNWOO KANG KANG</t>
        </is>
      </c>
      <c r="D2166" t="inlineStr">
        <is>
          <t>Petit Tradicional</t>
        </is>
      </c>
      <c r="E2166" s="34" t="n">
        <v>21930</v>
      </c>
      <c r="F2166" t="inlineStr">
        <is>
          <t>B</t>
        </is>
      </c>
      <c r="G2166" s="34" t="n">
        <v>3501</v>
      </c>
      <c r="H2166" s="34" t="n">
        <v>18429</v>
      </c>
      <c r="I2166" t="inlineStr">
        <is>
          <t>3.2</t>
        </is>
      </c>
      <c r="J2166" t="inlineStr">
        <is>
          <t>Ventas Personas (B2C)</t>
        </is>
      </c>
      <c r="K2166" t="inlineStr">
        <is>
          <t>CH2</t>
        </is>
      </c>
    </row>
    <row r="2167">
      <c r="A2167" s="33" t="n">
        <v>45850</v>
      </c>
      <c r="B2167" t="inlineStr">
        <is>
          <t>2025-07</t>
        </is>
      </c>
      <c r="C2167" t="inlineStr">
        <is>
          <t>Sin cliente</t>
        </is>
      </c>
      <c r="D2167" t="inlineStr">
        <is>
          <t>Petit Tradicional</t>
        </is>
      </c>
      <c r="E2167" s="34" t="n">
        <v>17800</v>
      </c>
      <c r="F2167" t="inlineStr">
        <is>
          <t>B</t>
        </is>
      </c>
      <c r="G2167" s="34" t="n">
        <v>2842</v>
      </c>
      <c r="H2167" s="34" t="n">
        <v>14958</v>
      </c>
      <c r="I2167" t="inlineStr">
        <is>
          <t>3.2</t>
        </is>
      </c>
      <c r="J2167" t="inlineStr">
        <is>
          <t>Ventas Personas (B2C)</t>
        </is>
      </c>
      <c r="K2167" t="inlineStr">
        <is>
          <t>CH2</t>
        </is>
      </c>
    </row>
    <row r="2168">
      <c r="A2168" s="33" t="n">
        <v>45850</v>
      </c>
      <c r="B2168" t="inlineStr">
        <is>
          <t>2025-07</t>
        </is>
      </c>
      <c r="C2168" t="inlineStr">
        <is>
          <t>Sin cliente</t>
        </is>
      </c>
      <c r="D2168" t="inlineStr">
        <is>
          <t>CANELÉ TRADICIONAL</t>
        </is>
      </c>
      <c r="E2168" s="34" t="n">
        <v>14900</v>
      </c>
      <c r="F2168" t="inlineStr">
        <is>
          <t>B</t>
        </is>
      </c>
      <c r="G2168" s="34" t="n">
        <v>2379</v>
      </c>
      <c r="H2168" s="34" t="n">
        <v>12521</v>
      </c>
      <c r="I2168" t="inlineStr">
        <is>
          <t>3.2</t>
        </is>
      </c>
      <c r="J2168" t="inlineStr">
        <is>
          <t>Ventas Personas (B2C)</t>
        </is>
      </c>
      <c r="K2168" t="inlineStr">
        <is>
          <t>CH2</t>
        </is>
      </c>
    </row>
    <row r="2169">
      <c r="A2169" s="33" t="n">
        <v>45850</v>
      </c>
      <c r="B2169" t="inlineStr">
        <is>
          <t>2025-07</t>
        </is>
      </c>
      <c r="C2169" t="inlineStr">
        <is>
          <t>CAROLINA RAMIREZ</t>
        </is>
      </c>
      <c r="D2169" t="inlineStr">
        <is>
          <t>CANELÉ TRADICIONAL</t>
        </is>
      </c>
      <c r="E2169" s="34" t="n">
        <v>14900</v>
      </c>
      <c r="F2169" t="inlineStr">
        <is>
          <t>B</t>
        </is>
      </c>
      <c r="G2169" s="34" t="n">
        <v>2379</v>
      </c>
      <c r="H2169" s="34" t="n">
        <v>12521</v>
      </c>
      <c r="I2169" t="inlineStr">
        <is>
          <t>3.2</t>
        </is>
      </c>
      <c r="J2169" t="inlineStr">
        <is>
          <t>Ventas Personas (B2C)</t>
        </is>
      </c>
      <c r="K2169" t="inlineStr">
        <is>
          <t>CH2</t>
        </is>
      </c>
    </row>
    <row r="2170">
      <c r="A2170" s="33" t="n">
        <v>45850</v>
      </c>
      <c r="B2170" t="inlineStr">
        <is>
          <t>2025-07</t>
        </is>
      </c>
      <c r="C2170" t="inlineStr">
        <is>
          <t>JOSEFINA ORTEGOZA</t>
        </is>
      </c>
      <c r="D2170" t="inlineStr">
        <is>
          <t>CANELÉ TRADICIONAL</t>
        </is>
      </c>
      <c r="E2170" s="34" t="n">
        <v>14900</v>
      </c>
      <c r="F2170" t="inlineStr">
        <is>
          <t>B</t>
        </is>
      </c>
      <c r="G2170" s="34" t="n">
        <v>2379</v>
      </c>
      <c r="H2170" s="34" t="n">
        <v>12521</v>
      </c>
      <c r="I2170" t="inlineStr">
        <is>
          <t>3.2</t>
        </is>
      </c>
      <c r="J2170" t="inlineStr">
        <is>
          <t>Ventas Personas (B2C)</t>
        </is>
      </c>
      <c r="K2170" t="inlineStr">
        <is>
          <t>CH2</t>
        </is>
      </c>
    </row>
    <row r="2171">
      <c r="A2171" s="33" t="n">
        <v>45850</v>
      </c>
      <c r="B2171" t="inlineStr">
        <is>
          <t>2025-07</t>
        </is>
      </c>
      <c r="C2171" t="inlineStr">
        <is>
          <t>BERNARDITA SOTOMAYOR</t>
        </is>
      </c>
      <c r="D2171" t="inlineStr">
        <is>
          <t>CANELÉ TRADICIONAL</t>
        </is>
      </c>
      <c r="E2171" s="34" t="n">
        <v>21900</v>
      </c>
      <c r="F2171" t="inlineStr">
        <is>
          <t>B</t>
        </is>
      </c>
      <c r="G2171" s="34" t="n">
        <v>3497</v>
      </c>
      <c r="H2171" s="34" t="n">
        <v>18403</v>
      </c>
      <c r="I2171" t="inlineStr">
        <is>
          <t>3.2</t>
        </is>
      </c>
      <c r="J2171" t="inlineStr">
        <is>
          <t>Ventas Personas (B2C)</t>
        </is>
      </c>
      <c r="K2171" t="inlineStr">
        <is>
          <t>CH2</t>
        </is>
      </c>
    </row>
    <row r="2172">
      <c r="A2172" s="33" t="n">
        <v>45850</v>
      </c>
      <c r="B2172" t="inlineStr">
        <is>
          <t>2025-07</t>
        </is>
      </c>
      <c r="C2172" t="inlineStr">
        <is>
          <t>Ana María Jara Lillo</t>
        </is>
      </c>
      <c r="D2172" t="inlineStr">
        <is>
          <t>Petit Tradicional</t>
        </is>
      </c>
      <c r="E2172" s="34" t="n">
        <v>19890</v>
      </c>
      <c r="F2172" t="inlineStr">
        <is>
          <t>B</t>
        </is>
      </c>
      <c r="G2172" s="34" t="n">
        <v>3176</v>
      </c>
      <c r="H2172" s="34" t="n">
        <v>16714</v>
      </c>
      <c r="I2172" t="inlineStr">
        <is>
          <t>3.2</t>
        </is>
      </c>
      <c r="J2172" t="inlineStr">
        <is>
          <t>Ventas Personas (B2C)</t>
        </is>
      </c>
      <c r="K2172" t="inlineStr">
        <is>
          <t>CH2</t>
        </is>
      </c>
    </row>
    <row r="2173">
      <c r="A2173" s="33" t="n">
        <v>45850</v>
      </c>
      <c r="B2173" t="inlineStr">
        <is>
          <t>2025-07</t>
        </is>
      </c>
      <c r="C2173" t="inlineStr">
        <is>
          <t>Pablo Andres Guarnaccia</t>
        </is>
      </c>
      <c r="D2173" t="inlineStr">
        <is>
          <t>Mix Sabores</t>
        </is>
      </c>
      <c r="E2173" s="34" t="n">
        <v>48689</v>
      </c>
      <c r="F2173" t="inlineStr">
        <is>
          <t>B</t>
        </is>
      </c>
      <c r="G2173" s="34" t="n">
        <v>7774</v>
      </c>
      <c r="H2173" s="34" t="n">
        <v>40915</v>
      </c>
      <c r="I2173" t="inlineStr">
        <is>
          <t>3.2</t>
        </is>
      </c>
      <c r="J2173" t="inlineStr">
        <is>
          <t>Ventas Personas (B2C)</t>
        </is>
      </c>
      <c r="K2173" t="inlineStr">
        <is>
          <t>CH2</t>
        </is>
      </c>
    </row>
    <row r="2174">
      <c r="A2174" s="33" t="n">
        <v>45850</v>
      </c>
      <c r="B2174" t="inlineStr">
        <is>
          <t>2025-07</t>
        </is>
      </c>
      <c r="C2174" t="inlineStr">
        <is>
          <t>Sin cliente</t>
        </is>
      </c>
      <c r="D2174" t="inlineStr">
        <is>
          <t>CANELÉ TRADICIONAL</t>
        </is>
      </c>
      <c r="E2174" s="34" t="n">
        <v>5000</v>
      </c>
      <c r="F2174" t="inlineStr">
        <is>
          <t>B</t>
        </is>
      </c>
      <c r="G2174" s="34" t="n">
        <v>798</v>
      </c>
      <c r="H2174" s="34" t="n">
        <v>4202</v>
      </c>
      <c r="I2174" t="inlineStr">
        <is>
          <t>3.2</t>
        </is>
      </c>
      <c r="J2174" t="inlineStr">
        <is>
          <t>Ventas Personas (B2C)</t>
        </is>
      </c>
      <c r="K2174" t="inlineStr">
        <is>
          <t>CH2</t>
        </is>
      </c>
    </row>
    <row r="2175">
      <c r="A2175" s="33" t="n">
        <v>45850</v>
      </c>
      <c r="B2175" t="inlineStr">
        <is>
          <t>2025-07</t>
        </is>
      </c>
      <c r="C2175" t="inlineStr">
        <is>
          <t>Maureen Smith Swain</t>
        </is>
      </c>
      <c r="D2175" t="inlineStr">
        <is>
          <t>Petit Crunchy</t>
        </is>
      </c>
      <c r="E2175" s="34" t="n">
        <v>16889</v>
      </c>
      <c r="F2175" t="inlineStr">
        <is>
          <t>B</t>
        </is>
      </c>
      <c r="G2175" s="34" t="n">
        <v>2697</v>
      </c>
      <c r="H2175" s="34" t="n">
        <v>14192</v>
      </c>
      <c r="I2175" t="inlineStr">
        <is>
          <t>3.2</t>
        </is>
      </c>
      <c r="J2175" t="inlineStr">
        <is>
          <t>Ventas Personas (B2C)</t>
        </is>
      </c>
      <c r="K2175" t="inlineStr">
        <is>
          <t>CH2</t>
        </is>
      </c>
    </row>
    <row r="2176">
      <c r="A2176" s="33" t="n">
        <v>45852</v>
      </c>
      <c r="B2176" t="inlineStr">
        <is>
          <t>2025-07</t>
        </is>
      </c>
      <c r="C2176" t="inlineStr">
        <is>
          <t>Clark Veloso Valenzuela</t>
        </is>
      </c>
      <c r="D2176" t="inlineStr">
        <is>
          <t>HORECA CAFETERIA</t>
        </is>
      </c>
      <c r="E2176" s="34" t="n">
        <v>64966</v>
      </c>
      <c r="F2176" t="inlineStr">
        <is>
          <t>F</t>
        </is>
      </c>
      <c r="G2176" s="34" t="n">
        <v>10373</v>
      </c>
      <c r="H2176" s="34" t="n">
        <v>54593</v>
      </c>
      <c r="I2176" t="inlineStr">
        <is>
          <t>3.1</t>
        </is>
      </c>
      <c r="J2176" t="inlineStr">
        <is>
          <t>Ventas HoReCa</t>
        </is>
      </c>
      <c r="K2176" t="inlineStr">
        <is>
          <t>CH1</t>
        </is>
      </c>
    </row>
    <row r="2177">
      <c r="A2177" s="33" t="n">
        <v>45852</v>
      </c>
      <c r="B2177" t="inlineStr">
        <is>
          <t>2025-07</t>
        </is>
      </c>
      <c r="C2177" t="inlineStr">
        <is>
          <t>POMPON SPA</t>
        </is>
      </c>
      <c r="D2177" t="inlineStr">
        <is>
          <t>HORECA CAFETERIA</t>
        </is>
      </c>
      <c r="E2177" s="34" t="n">
        <v>175350</v>
      </c>
      <c r="F2177" t="inlineStr">
        <is>
          <t>F</t>
        </is>
      </c>
      <c r="G2177" s="34" t="n">
        <v>27997</v>
      </c>
      <c r="H2177" s="34" t="n">
        <v>147353</v>
      </c>
      <c r="I2177" t="inlineStr">
        <is>
          <t>3.1</t>
        </is>
      </c>
      <c r="J2177" t="inlineStr">
        <is>
          <t>Ventas HoReCa</t>
        </is>
      </c>
      <c r="K2177" t="inlineStr">
        <is>
          <t>CH1</t>
        </is>
      </c>
    </row>
    <row r="2178">
      <c r="A2178" s="33" t="n">
        <v>45852</v>
      </c>
      <c r="B2178" t="inlineStr">
        <is>
          <t>2025-07</t>
        </is>
      </c>
      <c r="C2178" t="inlineStr">
        <is>
          <t>CAFETERÍA ALTURA LIMITADA</t>
        </is>
      </c>
      <c r="D2178" t="inlineStr">
        <is>
          <t>HORECA CAFETERIA</t>
        </is>
      </c>
      <c r="E2178" s="34" t="n">
        <v>53899</v>
      </c>
      <c r="F2178" t="inlineStr">
        <is>
          <t>F</t>
        </is>
      </c>
      <c r="G2178" s="34" t="n">
        <v>8606</v>
      </c>
      <c r="H2178" s="34" t="n">
        <v>45293</v>
      </c>
      <c r="I2178" t="inlineStr">
        <is>
          <t>3.1</t>
        </is>
      </c>
      <c r="J2178" t="inlineStr">
        <is>
          <t>Ventas HoReCa</t>
        </is>
      </c>
      <c r="K2178" t="inlineStr">
        <is>
          <t>CH1</t>
        </is>
      </c>
    </row>
    <row r="2179">
      <c r="A2179" s="33" t="n">
        <v>45852</v>
      </c>
      <c r="B2179" t="inlineStr">
        <is>
          <t>2025-07</t>
        </is>
      </c>
      <c r="C2179" t="inlineStr">
        <is>
          <t>INVERSIONES Y COMERCIALIZADORA FED LIMITADA</t>
        </is>
      </c>
      <c r="D2179" t="inlineStr">
        <is>
          <t>HORECA CAFETERIA</t>
        </is>
      </c>
      <c r="E2179" s="34" t="n">
        <v>104807</v>
      </c>
      <c r="F2179" t="inlineStr">
        <is>
          <t>F</t>
        </is>
      </c>
      <c r="G2179" s="34" t="n">
        <v>16734</v>
      </c>
      <c r="H2179" s="34" t="n">
        <v>88073</v>
      </c>
      <c r="I2179" t="inlineStr">
        <is>
          <t>3.1</t>
        </is>
      </c>
      <c r="J2179" t="inlineStr">
        <is>
          <t>Ventas HoReCa</t>
        </is>
      </c>
      <c r="K2179" t="inlineStr">
        <is>
          <t>CH1</t>
        </is>
      </c>
    </row>
    <row r="2180">
      <c r="A2180" s="33" t="n">
        <v>45852</v>
      </c>
      <c r="B2180" t="inlineStr">
        <is>
          <t>2025-07</t>
        </is>
      </c>
      <c r="C2180" t="inlineStr">
        <is>
          <t>INVERSIONES Y COMERCIALIZADORA FED LIMITADA</t>
        </is>
      </c>
      <c r="D2180" t="inlineStr">
        <is>
          <t>HORECA CAFETERIA</t>
        </is>
      </c>
      <c r="E2180" s="34" t="n">
        <v>182177</v>
      </c>
      <c r="F2180" t="inlineStr">
        <is>
          <t>F</t>
        </is>
      </c>
      <c r="G2180" s="34" t="n">
        <v>29087</v>
      </c>
      <c r="H2180" s="34" t="n">
        <v>153090</v>
      </c>
      <c r="I2180" t="inlineStr">
        <is>
          <t>3.1</t>
        </is>
      </c>
      <c r="J2180" t="inlineStr">
        <is>
          <t>Ventas HoReCa</t>
        </is>
      </c>
      <c r="K2180" t="inlineStr">
        <is>
          <t>CH1</t>
        </is>
      </c>
    </row>
    <row r="2181">
      <c r="A2181" s="33" t="n">
        <v>45852</v>
      </c>
      <c r="B2181" t="inlineStr">
        <is>
          <t>2025-07</t>
        </is>
      </c>
      <c r="C2181" t="inlineStr">
        <is>
          <t>Viviana Soledad Araos González</t>
        </is>
      </c>
      <c r="D2181" t="inlineStr">
        <is>
          <t>Petit Tradicional</t>
        </is>
      </c>
      <c r="E2181" s="34" t="n">
        <v>25790</v>
      </c>
      <c r="F2181" t="inlineStr">
        <is>
          <t>B</t>
        </is>
      </c>
      <c r="G2181" s="34" t="n">
        <v>4118</v>
      </c>
      <c r="H2181" s="34" t="n">
        <v>21672</v>
      </c>
      <c r="I2181" t="inlineStr">
        <is>
          <t>3.2</t>
        </is>
      </c>
      <c r="J2181" t="inlineStr">
        <is>
          <t>Ventas Personas (B2C)</t>
        </is>
      </c>
      <c r="K2181" t="inlineStr">
        <is>
          <t>CH2</t>
        </is>
      </c>
    </row>
    <row r="2182">
      <c r="A2182" s="33" t="n">
        <v>45852</v>
      </c>
      <c r="B2182" t="inlineStr">
        <is>
          <t>2025-07</t>
        </is>
      </c>
      <c r="C2182" t="inlineStr">
        <is>
          <t>INVERSIONES Y ASESORIAS RAVAL LIMITADA</t>
        </is>
      </c>
      <c r="D2182" t="inlineStr">
        <is>
          <t>HORECA CAFETERIA</t>
        </is>
      </c>
      <c r="E2182" s="34" t="n">
        <v>67956</v>
      </c>
      <c r="F2182" t="inlineStr">
        <is>
          <t>F</t>
        </is>
      </c>
      <c r="G2182" s="34" t="n">
        <v>10850</v>
      </c>
      <c r="H2182" s="34" t="n">
        <v>57106</v>
      </c>
      <c r="I2182" t="inlineStr">
        <is>
          <t>3.1</t>
        </is>
      </c>
      <c r="J2182" t="inlineStr">
        <is>
          <t>Ventas HoReCa</t>
        </is>
      </c>
      <c r="K2182" t="inlineStr">
        <is>
          <t>CH1</t>
        </is>
      </c>
    </row>
    <row r="2183">
      <c r="A2183" s="33" t="n">
        <v>45852</v>
      </c>
      <c r="B2183" t="inlineStr">
        <is>
          <t>2025-07</t>
        </is>
      </c>
      <c r="C2183" t="inlineStr">
        <is>
          <t>Pamela Aguilera</t>
        </is>
      </c>
      <c r="D2183" t="inlineStr">
        <is>
          <t>Rellenos</t>
        </is>
      </c>
      <c r="E2183" s="34" t="n">
        <v>33889</v>
      </c>
      <c r="F2183" t="inlineStr">
        <is>
          <t>B</t>
        </is>
      </c>
      <c r="G2183" s="34" t="n">
        <v>5411</v>
      </c>
      <c r="H2183" s="34" t="n">
        <v>28478</v>
      </c>
      <c r="I2183" t="inlineStr">
        <is>
          <t>3.2</t>
        </is>
      </c>
      <c r="J2183" t="inlineStr">
        <is>
          <t>Ventas Personas (B2C)</t>
        </is>
      </c>
      <c r="K2183" t="inlineStr">
        <is>
          <t>CH2</t>
        </is>
      </c>
    </row>
    <row r="2184">
      <c r="A2184" s="33" t="n">
        <v>45852</v>
      </c>
      <c r="B2184" t="inlineStr">
        <is>
          <t>2025-07</t>
        </is>
      </c>
      <c r="C2184" t="inlineStr">
        <is>
          <t>Javiera Alvarez</t>
        </is>
      </c>
      <c r="D2184" t="inlineStr">
        <is>
          <t>CANELE SIN AZUCAR</t>
        </is>
      </c>
      <c r="E2184" s="34" t="n">
        <v>20890</v>
      </c>
      <c r="F2184" t="inlineStr">
        <is>
          <t>B</t>
        </is>
      </c>
      <c r="G2184" s="34" t="n">
        <v>3335</v>
      </c>
      <c r="H2184" s="34" t="n">
        <v>17555</v>
      </c>
      <c r="I2184" t="inlineStr">
        <is>
          <t>3.2</t>
        </is>
      </c>
      <c r="J2184" t="inlineStr">
        <is>
          <t>Ventas Personas (B2C)</t>
        </is>
      </c>
      <c r="K2184" t="inlineStr">
        <is>
          <t>CH2</t>
        </is>
      </c>
    </row>
    <row r="2185">
      <c r="A2185" s="33" t="n">
        <v>45852</v>
      </c>
      <c r="B2185" t="inlineStr">
        <is>
          <t>2025-07</t>
        </is>
      </c>
      <c r="C2185" t="inlineStr">
        <is>
          <t>Sin cliente</t>
        </is>
      </c>
      <c r="D2185" t="inlineStr">
        <is>
          <t>CANELÉ TRADICIONAL</t>
        </is>
      </c>
      <c r="E2185" s="34" t="n">
        <v>20000</v>
      </c>
      <c r="F2185" t="inlineStr">
        <is>
          <t>B</t>
        </is>
      </c>
      <c r="G2185" s="34" t="n">
        <v>3193</v>
      </c>
      <c r="H2185" s="34" t="n">
        <v>16807</v>
      </c>
      <c r="I2185" t="inlineStr">
        <is>
          <t>3.2</t>
        </is>
      </c>
      <c r="J2185" t="inlineStr">
        <is>
          <t>Ventas Personas (B2C)</t>
        </is>
      </c>
      <c r="K2185" t="inlineStr">
        <is>
          <t>CH2</t>
        </is>
      </c>
    </row>
    <row r="2186">
      <c r="A2186" s="33" t="n">
        <v>45852</v>
      </c>
      <c r="B2186" t="inlineStr">
        <is>
          <t>2025-07</t>
        </is>
      </c>
      <c r="C2186" t="inlineStr">
        <is>
          <t>Sin cliente</t>
        </is>
      </c>
      <c r="D2186" t="inlineStr">
        <is>
          <t>CANELÉ TRADICIONAL</t>
        </is>
      </c>
      <c r="E2186" s="34" t="n">
        <v>10000</v>
      </c>
      <c r="F2186" t="inlineStr">
        <is>
          <t>B</t>
        </is>
      </c>
      <c r="G2186" s="34" t="n">
        <v>1597</v>
      </c>
      <c r="H2186" s="34" t="n">
        <v>8403</v>
      </c>
      <c r="I2186" t="inlineStr">
        <is>
          <t>3.2</t>
        </is>
      </c>
      <c r="J2186" t="inlineStr">
        <is>
          <t>Ventas Personas (B2C)</t>
        </is>
      </c>
      <c r="K2186" t="inlineStr">
        <is>
          <t>CH2</t>
        </is>
      </c>
    </row>
    <row r="2187">
      <c r="A2187" s="33" t="n">
        <v>45852</v>
      </c>
      <c r="B2187" t="inlineStr">
        <is>
          <t>2025-07</t>
        </is>
      </c>
      <c r="C2187" t="inlineStr">
        <is>
          <t>Sin cliente</t>
        </is>
      </c>
      <c r="D2187" t="inlineStr">
        <is>
          <t>CANELÉ TRADICIONAL</t>
        </is>
      </c>
      <c r="E2187" s="34" t="n">
        <v>6000</v>
      </c>
      <c r="F2187" t="inlineStr">
        <is>
          <t>B</t>
        </is>
      </c>
      <c r="G2187" s="34" t="n">
        <v>958</v>
      </c>
      <c r="H2187" s="34" t="n">
        <v>5042</v>
      </c>
      <c r="I2187" t="inlineStr">
        <is>
          <t>3.2</t>
        </is>
      </c>
      <c r="J2187" t="inlineStr">
        <is>
          <t>Ventas Personas (B2C)</t>
        </is>
      </c>
      <c r="K2187" t="inlineStr">
        <is>
          <t>CH2</t>
        </is>
      </c>
    </row>
    <row r="2188">
      <c r="A2188" s="33" t="n">
        <v>45852</v>
      </c>
      <c r="B2188" t="inlineStr">
        <is>
          <t>2025-07</t>
        </is>
      </c>
      <c r="C2188" t="inlineStr">
        <is>
          <t>Sin cliente</t>
        </is>
      </c>
      <c r="D2188" t="inlineStr">
        <is>
          <t>CANELÉ TRADICIONAL</t>
        </is>
      </c>
      <c r="E2188" s="34" t="n">
        <v>10000</v>
      </c>
      <c r="F2188" t="inlineStr">
        <is>
          <t>B</t>
        </is>
      </c>
      <c r="G2188" s="34" t="n">
        <v>1597</v>
      </c>
      <c r="H2188" s="34" t="n">
        <v>8403</v>
      </c>
      <c r="I2188" t="inlineStr">
        <is>
          <t>3.2</t>
        </is>
      </c>
      <c r="J2188" t="inlineStr">
        <is>
          <t>Ventas Personas (B2C)</t>
        </is>
      </c>
      <c r="K2188" t="inlineStr">
        <is>
          <t>CH2</t>
        </is>
      </c>
    </row>
    <row r="2189">
      <c r="A2189" s="33" t="n">
        <v>45852</v>
      </c>
      <c r="B2189" t="inlineStr">
        <is>
          <t>2025-07</t>
        </is>
      </c>
      <c r="C2189" t="inlineStr">
        <is>
          <t>Sin cliente</t>
        </is>
      </c>
      <c r="D2189" t="inlineStr">
        <is>
          <t>CANELÉ TRADICIONAL</t>
        </is>
      </c>
      <c r="E2189" s="34" t="n">
        <v>2000</v>
      </c>
      <c r="F2189" t="inlineStr">
        <is>
          <t>B</t>
        </is>
      </c>
      <c r="G2189" s="34" t="n">
        <v>319</v>
      </c>
      <c r="H2189" s="34" t="n">
        <v>1681</v>
      </c>
      <c r="I2189" t="inlineStr">
        <is>
          <t>3.2</t>
        </is>
      </c>
      <c r="J2189" t="inlineStr">
        <is>
          <t>Ventas Personas (B2C)</t>
        </is>
      </c>
      <c r="K2189" t="inlineStr">
        <is>
          <t>CH2</t>
        </is>
      </c>
    </row>
    <row r="2190">
      <c r="A2190" s="33" t="n">
        <v>45852</v>
      </c>
      <c r="B2190" t="inlineStr">
        <is>
          <t>2025-07</t>
        </is>
      </c>
      <c r="C2190" t="inlineStr">
        <is>
          <t>Sin cliente</t>
        </is>
      </c>
      <c r="D2190" t="inlineStr">
        <is>
          <t>Petit Tradicional</t>
        </is>
      </c>
      <c r="E2190" s="34" t="n">
        <v>20900</v>
      </c>
      <c r="F2190" t="inlineStr">
        <is>
          <t>B</t>
        </is>
      </c>
      <c r="G2190" s="34" t="n">
        <v>3337</v>
      </c>
      <c r="H2190" s="34" t="n">
        <v>17563</v>
      </c>
      <c r="I2190" t="inlineStr">
        <is>
          <t>3.2</t>
        </is>
      </c>
      <c r="J2190" t="inlineStr">
        <is>
          <t>Ventas Personas (B2C)</t>
        </is>
      </c>
      <c r="K2190" t="inlineStr">
        <is>
          <t>CH2</t>
        </is>
      </c>
    </row>
    <row r="2191">
      <c r="A2191" s="33" t="n">
        <v>45852</v>
      </c>
      <c r="B2191" t="inlineStr">
        <is>
          <t>2025-07</t>
        </is>
      </c>
      <c r="C2191" t="inlineStr">
        <is>
          <t>Sin cliente</t>
        </is>
      </c>
      <c r="D2191" t="inlineStr">
        <is>
          <t>CANELÉ TRADICIONAL</t>
        </is>
      </c>
      <c r="E2191" s="34" t="n">
        <v>2000</v>
      </c>
      <c r="F2191" t="inlineStr">
        <is>
          <t>B</t>
        </is>
      </c>
      <c r="G2191" s="34" t="n">
        <v>319</v>
      </c>
      <c r="H2191" s="34" t="n">
        <v>1681</v>
      </c>
      <c r="I2191" t="inlineStr">
        <is>
          <t>3.2</t>
        </is>
      </c>
      <c r="J2191" t="inlineStr">
        <is>
          <t>Ventas Personas (B2C)</t>
        </is>
      </c>
      <c r="K2191" t="inlineStr">
        <is>
          <t>CH2</t>
        </is>
      </c>
    </row>
    <row r="2192">
      <c r="A2192" s="33" t="n">
        <v>45852</v>
      </c>
      <c r="B2192" t="inlineStr">
        <is>
          <t>2025-07</t>
        </is>
      </c>
      <c r="C2192" t="inlineStr">
        <is>
          <t>Sin cliente</t>
        </is>
      </c>
      <c r="D2192" t="inlineStr">
        <is>
          <t>CANELÉ TRADICIONAL</t>
        </is>
      </c>
      <c r="E2192" s="34" t="n">
        <v>10000</v>
      </c>
      <c r="F2192" t="inlineStr">
        <is>
          <t>B</t>
        </is>
      </c>
      <c r="G2192" s="34" t="n">
        <v>1597</v>
      </c>
      <c r="H2192" s="34" t="n">
        <v>8403</v>
      </c>
      <c r="I2192" t="inlineStr">
        <is>
          <t>3.2</t>
        </is>
      </c>
      <c r="J2192" t="inlineStr">
        <is>
          <t>Ventas Personas (B2C)</t>
        </is>
      </c>
      <c r="K2192" t="inlineStr">
        <is>
          <t>CH2</t>
        </is>
      </c>
    </row>
    <row r="2193">
      <c r="A2193" s="33" t="n">
        <v>45852</v>
      </c>
      <c r="B2193" t="inlineStr">
        <is>
          <t>2025-07</t>
        </is>
      </c>
      <c r="C2193" t="inlineStr">
        <is>
          <t>Sin cliente</t>
        </is>
      </c>
      <c r="D2193" t="inlineStr">
        <is>
          <t>CANELÉ TRADICIONAL</t>
        </is>
      </c>
      <c r="E2193" s="34" t="n">
        <v>10000</v>
      </c>
      <c r="F2193" t="inlineStr">
        <is>
          <t>B</t>
        </is>
      </c>
      <c r="G2193" s="34" t="n">
        <v>1597</v>
      </c>
      <c r="H2193" s="34" t="n">
        <v>8403</v>
      </c>
      <c r="I2193" t="inlineStr">
        <is>
          <t>3.2</t>
        </is>
      </c>
      <c r="J2193" t="inlineStr">
        <is>
          <t>Ventas Personas (B2C)</t>
        </is>
      </c>
      <c r="K2193" t="inlineStr">
        <is>
          <t>CH2</t>
        </is>
      </c>
    </row>
    <row r="2194">
      <c r="A2194" s="33" t="n">
        <v>45852</v>
      </c>
      <c r="B2194" t="inlineStr">
        <is>
          <t>2025-07</t>
        </is>
      </c>
      <c r="C2194" t="inlineStr">
        <is>
          <t>Sin cliente</t>
        </is>
      </c>
      <c r="D2194" t="inlineStr">
        <is>
          <t>CANELÉ TRADICIONAL</t>
        </is>
      </c>
      <c r="E2194" s="34" t="n">
        <v>4000</v>
      </c>
      <c r="F2194" t="inlineStr">
        <is>
          <t>B</t>
        </is>
      </c>
      <c r="G2194" s="34" t="n">
        <v>639</v>
      </c>
      <c r="H2194" s="34" t="n">
        <v>3361</v>
      </c>
      <c r="I2194" t="inlineStr">
        <is>
          <t>3.2</t>
        </is>
      </c>
      <c r="J2194" t="inlineStr">
        <is>
          <t>Ventas Personas (B2C)</t>
        </is>
      </c>
      <c r="K2194" t="inlineStr">
        <is>
          <t>CH2</t>
        </is>
      </c>
    </row>
    <row r="2195">
      <c r="A2195" s="33" t="n">
        <v>45852</v>
      </c>
      <c r="B2195" t="inlineStr">
        <is>
          <t>2025-07</t>
        </is>
      </c>
      <c r="C2195" t="inlineStr">
        <is>
          <t>Joaquín Guridi</t>
        </is>
      </c>
      <c r="D2195" t="inlineStr">
        <is>
          <t>SALSAS</t>
        </is>
      </c>
      <c r="E2195" s="34" t="n">
        <v>20896</v>
      </c>
      <c r="F2195" t="inlineStr">
        <is>
          <t>B</t>
        </is>
      </c>
      <c r="G2195" s="34" t="n">
        <v>3336</v>
      </c>
      <c r="H2195" s="34" t="n">
        <v>17560</v>
      </c>
      <c r="I2195" t="inlineStr">
        <is>
          <t>3.2</t>
        </is>
      </c>
      <c r="J2195" t="inlineStr">
        <is>
          <t>Ventas Personas (B2C)</t>
        </is>
      </c>
      <c r="K2195" t="inlineStr">
        <is>
          <t>CH2</t>
        </is>
      </c>
    </row>
    <row r="2196">
      <c r="A2196" s="33" t="n">
        <v>45852</v>
      </c>
      <c r="B2196" t="inlineStr">
        <is>
          <t>2025-07</t>
        </is>
      </c>
      <c r="C2196" t="inlineStr">
        <is>
          <t>Sin cliente</t>
        </is>
      </c>
      <c r="D2196" t="inlineStr">
        <is>
          <t>CANELÉ TRADICIONAL</t>
        </is>
      </c>
      <c r="E2196" s="34" t="n">
        <v>20280</v>
      </c>
      <c r="F2196" t="inlineStr">
        <is>
          <t>B</t>
        </is>
      </c>
      <c r="G2196" s="34" t="n">
        <v>3238</v>
      </c>
      <c r="H2196" s="34" t="n">
        <v>17042</v>
      </c>
      <c r="I2196" t="inlineStr">
        <is>
          <t>3.2</t>
        </is>
      </c>
      <c r="J2196" t="inlineStr">
        <is>
          <t>Ventas Personas (B2C)</t>
        </is>
      </c>
      <c r="K2196" t="inlineStr">
        <is>
          <t>CH2</t>
        </is>
      </c>
    </row>
    <row r="2197">
      <c r="A2197" s="33" t="n">
        <v>45852</v>
      </c>
      <c r="B2197" t="inlineStr">
        <is>
          <t>2025-07</t>
        </is>
      </c>
      <c r="C2197" t="inlineStr">
        <is>
          <t>Sin cliente</t>
        </is>
      </c>
      <c r="D2197" t="inlineStr">
        <is>
          <t>Canelé Petit Tradicional</t>
        </is>
      </c>
      <c r="E2197" s="34" t="n">
        <v>3000</v>
      </c>
      <c r="F2197" t="inlineStr">
        <is>
          <t>B</t>
        </is>
      </c>
      <c r="G2197" s="34" t="n">
        <v>479</v>
      </c>
      <c r="H2197" s="34" t="n">
        <v>2521</v>
      </c>
      <c r="I2197" t="inlineStr">
        <is>
          <t>3.2</t>
        </is>
      </c>
      <c r="J2197" t="inlineStr">
        <is>
          <t>Ventas Personas (B2C)</t>
        </is>
      </c>
      <c r="K2197" t="inlineStr">
        <is>
          <t>CH2</t>
        </is>
      </c>
    </row>
    <row r="2198">
      <c r="A2198" s="33" t="n">
        <v>45852</v>
      </c>
      <c r="B2198" t="inlineStr">
        <is>
          <t>2025-07</t>
        </is>
      </c>
      <c r="C2198" t="inlineStr">
        <is>
          <t>Sin cliente</t>
        </is>
      </c>
      <c r="D2198" t="inlineStr">
        <is>
          <t>Canelé Petit Tradicional</t>
        </is>
      </c>
      <c r="E2198" s="34" t="n">
        <v>5000</v>
      </c>
      <c r="F2198" t="inlineStr">
        <is>
          <t>B</t>
        </is>
      </c>
      <c r="G2198" s="34" t="n">
        <v>798</v>
      </c>
      <c r="H2198" s="34" t="n">
        <v>4202</v>
      </c>
      <c r="I2198" t="inlineStr">
        <is>
          <t>3.2</t>
        </is>
      </c>
      <c r="J2198" t="inlineStr">
        <is>
          <t>Ventas Personas (B2C)</t>
        </is>
      </c>
      <c r="K2198" t="inlineStr">
        <is>
          <t>CH2</t>
        </is>
      </c>
    </row>
    <row r="2199">
      <c r="A2199" s="33" t="n">
        <v>45852</v>
      </c>
      <c r="B2199" t="inlineStr">
        <is>
          <t>2025-07</t>
        </is>
      </c>
      <c r="C2199" t="inlineStr">
        <is>
          <t>Sin cliente</t>
        </is>
      </c>
      <c r="D2199" t="inlineStr">
        <is>
          <t>Mix Sabores</t>
        </is>
      </c>
      <c r="E2199" s="34" t="n">
        <v>10000</v>
      </c>
      <c r="F2199" t="inlineStr">
        <is>
          <t>B</t>
        </is>
      </c>
      <c r="G2199" s="34" t="n">
        <v>1597</v>
      </c>
      <c r="H2199" s="34" t="n">
        <v>8403</v>
      </c>
      <c r="I2199" t="inlineStr">
        <is>
          <t>3.2</t>
        </is>
      </c>
      <c r="J2199" t="inlineStr">
        <is>
          <t>Ventas Personas (B2C)</t>
        </is>
      </c>
      <c r="K2199" t="inlineStr">
        <is>
          <t>CH2</t>
        </is>
      </c>
    </row>
    <row r="2200">
      <c r="A2200" s="33" t="n">
        <v>45852</v>
      </c>
      <c r="B2200" t="inlineStr">
        <is>
          <t>2025-07</t>
        </is>
      </c>
      <c r="C2200" t="inlineStr">
        <is>
          <t>Sin cliente</t>
        </is>
      </c>
      <c r="D2200" t="inlineStr">
        <is>
          <t>Canelé Petit Tradicional</t>
        </is>
      </c>
      <c r="E2200" s="34" t="n">
        <v>6000</v>
      </c>
      <c r="F2200" t="inlineStr">
        <is>
          <t>B</t>
        </is>
      </c>
      <c r="G2200" s="34" t="n">
        <v>958</v>
      </c>
      <c r="H2200" s="34" t="n">
        <v>5042</v>
      </c>
      <c r="I2200" t="inlineStr">
        <is>
          <t>3.2</t>
        </is>
      </c>
      <c r="J2200" t="inlineStr">
        <is>
          <t>Ventas Personas (B2C)</t>
        </is>
      </c>
      <c r="K2200" t="inlineStr">
        <is>
          <t>CH2</t>
        </is>
      </c>
    </row>
    <row r="2201">
      <c r="A2201" s="33" t="n">
        <v>45852</v>
      </c>
      <c r="B2201" t="inlineStr">
        <is>
          <t>2025-07</t>
        </is>
      </c>
      <c r="C2201" t="inlineStr">
        <is>
          <t>Sin cliente</t>
        </is>
      </c>
      <c r="D2201" t="inlineStr">
        <is>
          <t>Canelé Petit Tradicional</t>
        </is>
      </c>
      <c r="E2201" s="34" t="n">
        <v>6000</v>
      </c>
      <c r="F2201" t="inlineStr">
        <is>
          <t>B</t>
        </is>
      </c>
      <c r="G2201" s="34" t="n">
        <v>958</v>
      </c>
      <c r="H2201" s="34" t="n">
        <v>5042</v>
      </c>
      <c r="I2201" t="inlineStr">
        <is>
          <t>3.2</t>
        </is>
      </c>
      <c r="J2201" t="inlineStr">
        <is>
          <t>Ventas Personas (B2C)</t>
        </is>
      </c>
      <c r="K2201" t="inlineStr">
        <is>
          <t>CH2</t>
        </is>
      </c>
    </row>
    <row r="2202">
      <c r="A2202" s="33" t="n">
        <v>45852</v>
      </c>
      <c r="B2202" t="inlineStr">
        <is>
          <t>2025-07</t>
        </is>
      </c>
      <c r="C2202" t="inlineStr">
        <is>
          <t>Sin cliente</t>
        </is>
      </c>
      <c r="D2202" t="inlineStr">
        <is>
          <t>Canelé Petit Tradicional</t>
        </is>
      </c>
      <c r="E2202" s="34" t="n">
        <v>4000</v>
      </c>
      <c r="F2202" t="inlineStr">
        <is>
          <t>B</t>
        </is>
      </c>
      <c r="G2202" s="34" t="n">
        <v>639</v>
      </c>
      <c r="H2202" s="34" t="n">
        <v>3361</v>
      </c>
      <c r="I2202" t="inlineStr">
        <is>
          <t>3.2</t>
        </is>
      </c>
      <c r="J2202" t="inlineStr">
        <is>
          <t>Ventas Personas (B2C)</t>
        </is>
      </c>
      <c r="K2202" t="inlineStr">
        <is>
          <t>CH2</t>
        </is>
      </c>
    </row>
    <row r="2203">
      <c r="A2203" s="33" t="n">
        <v>45852</v>
      </c>
      <c r="B2203" t="inlineStr">
        <is>
          <t>2025-07</t>
        </is>
      </c>
      <c r="C2203" t="inlineStr">
        <is>
          <t>Sin cliente</t>
        </is>
      </c>
      <c r="D2203" t="inlineStr">
        <is>
          <t>Mix Sabores</t>
        </is>
      </c>
      <c r="E2203" s="34" t="n">
        <v>10000</v>
      </c>
      <c r="F2203" t="inlineStr">
        <is>
          <t>B</t>
        </is>
      </c>
      <c r="G2203" s="34" t="n">
        <v>1597</v>
      </c>
      <c r="H2203" s="34" t="n">
        <v>8403</v>
      </c>
      <c r="I2203" t="inlineStr">
        <is>
          <t>3.2</t>
        </is>
      </c>
      <c r="J2203" t="inlineStr">
        <is>
          <t>Ventas Personas (B2C)</t>
        </is>
      </c>
      <c r="K2203" t="inlineStr">
        <is>
          <t>CH2</t>
        </is>
      </c>
    </row>
    <row r="2204">
      <c r="A2204" s="33" t="n">
        <v>45852</v>
      </c>
      <c r="B2204" t="inlineStr">
        <is>
          <t>2025-07</t>
        </is>
      </c>
      <c r="C2204" t="inlineStr">
        <is>
          <t>Sin cliente</t>
        </is>
      </c>
      <c r="D2204" t="inlineStr">
        <is>
          <t>Mix Sabores</t>
        </is>
      </c>
      <c r="E2204" s="34" t="n">
        <v>10000</v>
      </c>
      <c r="F2204" t="inlineStr">
        <is>
          <t>B</t>
        </is>
      </c>
      <c r="G2204" s="34" t="n">
        <v>1597</v>
      </c>
      <c r="H2204" s="34" t="n">
        <v>8403</v>
      </c>
      <c r="I2204" t="inlineStr">
        <is>
          <t>3.2</t>
        </is>
      </c>
      <c r="J2204" t="inlineStr">
        <is>
          <t>Ventas Personas (B2C)</t>
        </is>
      </c>
      <c r="K2204" t="inlineStr">
        <is>
          <t>CH2</t>
        </is>
      </c>
    </row>
    <row r="2205">
      <c r="A2205" s="33" t="n">
        <v>45852</v>
      </c>
      <c r="B2205" t="inlineStr">
        <is>
          <t>2025-07</t>
        </is>
      </c>
      <c r="C2205" t="inlineStr">
        <is>
          <t>Sin cliente</t>
        </is>
      </c>
      <c r="D2205" t="inlineStr">
        <is>
          <t>Mix Sabores</t>
        </is>
      </c>
      <c r="E2205" s="34" t="n">
        <v>10000</v>
      </c>
      <c r="F2205" t="inlineStr">
        <is>
          <t>B</t>
        </is>
      </c>
      <c r="G2205" s="34" t="n">
        <v>1597</v>
      </c>
      <c r="H2205" s="34" t="n">
        <v>8403</v>
      </c>
      <c r="I2205" t="inlineStr">
        <is>
          <t>3.2</t>
        </is>
      </c>
      <c r="J2205" t="inlineStr">
        <is>
          <t>Ventas Personas (B2C)</t>
        </is>
      </c>
      <c r="K2205" t="inlineStr">
        <is>
          <t>CH2</t>
        </is>
      </c>
    </row>
    <row r="2206">
      <c r="A2206" s="33" t="n">
        <v>45852</v>
      </c>
      <c r="B2206" t="inlineStr">
        <is>
          <t>2025-07</t>
        </is>
      </c>
      <c r="C2206" t="inlineStr">
        <is>
          <t>Sin cliente</t>
        </is>
      </c>
      <c r="D2206" t="inlineStr">
        <is>
          <t>Mix Sabores</t>
        </is>
      </c>
      <c r="E2206" s="34" t="n">
        <v>10000</v>
      </c>
      <c r="F2206" t="inlineStr">
        <is>
          <t>B</t>
        </is>
      </c>
      <c r="G2206" s="34" t="n">
        <v>1597</v>
      </c>
      <c r="H2206" s="34" t="n">
        <v>8403</v>
      </c>
      <c r="I2206" t="inlineStr">
        <is>
          <t>3.2</t>
        </is>
      </c>
      <c r="J2206" t="inlineStr">
        <is>
          <t>Ventas Personas (B2C)</t>
        </is>
      </c>
      <c r="K2206" t="inlineStr">
        <is>
          <t>CH2</t>
        </is>
      </c>
    </row>
    <row r="2207">
      <c r="A2207" s="33" t="n">
        <v>45852</v>
      </c>
      <c r="B2207" t="inlineStr">
        <is>
          <t>2025-07</t>
        </is>
      </c>
      <c r="C2207" t="inlineStr">
        <is>
          <t>Sin cliente</t>
        </is>
      </c>
      <c r="D2207" t="inlineStr">
        <is>
          <t>Canelé Petit Tradicional</t>
        </is>
      </c>
      <c r="E2207" s="34" t="n">
        <v>5000</v>
      </c>
      <c r="F2207" t="inlineStr">
        <is>
          <t>B</t>
        </is>
      </c>
      <c r="G2207" s="34" t="n">
        <v>798</v>
      </c>
      <c r="H2207" s="34" t="n">
        <v>4202</v>
      </c>
      <c r="I2207" t="inlineStr">
        <is>
          <t>3.2</t>
        </is>
      </c>
      <c r="J2207" t="inlineStr">
        <is>
          <t>Ventas Personas (B2C)</t>
        </is>
      </c>
      <c r="K2207" t="inlineStr">
        <is>
          <t>CH2</t>
        </is>
      </c>
    </row>
    <row r="2208">
      <c r="A2208" s="33" t="n">
        <v>45852</v>
      </c>
      <c r="B2208" t="inlineStr">
        <is>
          <t>2025-07</t>
        </is>
      </c>
      <c r="C2208" t="inlineStr">
        <is>
          <t>Sin cliente</t>
        </is>
      </c>
      <c r="D2208" t="inlineStr">
        <is>
          <t>Mix Sabores</t>
        </is>
      </c>
      <c r="E2208" s="34" t="n">
        <v>10000</v>
      </c>
      <c r="F2208" t="inlineStr">
        <is>
          <t>B</t>
        </is>
      </c>
      <c r="G2208" s="34" t="n">
        <v>1597</v>
      </c>
      <c r="H2208" s="34" t="n">
        <v>8403</v>
      </c>
      <c r="I2208" t="inlineStr">
        <is>
          <t>3.2</t>
        </is>
      </c>
      <c r="J2208" t="inlineStr">
        <is>
          <t>Ventas Personas (B2C)</t>
        </is>
      </c>
      <c r="K2208" t="inlineStr">
        <is>
          <t>CH2</t>
        </is>
      </c>
    </row>
    <row r="2209">
      <c r="A2209" s="33" t="n">
        <v>45852</v>
      </c>
      <c r="B2209" t="inlineStr">
        <is>
          <t>2025-07</t>
        </is>
      </c>
      <c r="C2209" t="inlineStr">
        <is>
          <t>Sin cliente</t>
        </is>
      </c>
      <c r="D2209" t="inlineStr">
        <is>
          <t>Mix Sabores</t>
        </is>
      </c>
      <c r="E2209" s="34" t="n">
        <v>10000</v>
      </c>
      <c r="F2209" t="inlineStr">
        <is>
          <t>B</t>
        </is>
      </c>
      <c r="G2209" s="34" t="n">
        <v>1597</v>
      </c>
      <c r="H2209" s="34" t="n">
        <v>8403</v>
      </c>
      <c r="I2209" t="inlineStr">
        <is>
          <t>3.2</t>
        </is>
      </c>
      <c r="J2209" t="inlineStr">
        <is>
          <t>Ventas Personas (B2C)</t>
        </is>
      </c>
      <c r="K2209" t="inlineStr">
        <is>
          <t>CH2</t>
        </is>
      </c>
    </row>
    <row r="2210">
      <c r="A2210" s="33" t="n">
        <v>45852</v>
      </c>
      <c r="B2210" t="inlineStr">
        <is>
          <t>2025-07</t>
        </is>
      </c>
      <c r="C2210" t="inlineStr">
        <is>
          <t>Sin cliente</t>
        </is>
      </c>
      <c r="D2210" t="inlineStr">
        <is>
          <t>Canelé Petit Tradicional</t>
        </is>
      </c>
      <c r="E2210" s="34" t="n">
        <v>10000</v>
      </c>
      <c r="F2210" t="inlineStr">
        <is>
          <t>B</t>
        </is>
      </c>
      <c r="G2210" s="34" t="n">
        <v>1597</v>
      </c>
      <c r="H2210" s="34" t="n">
        <v>8403</v>
      </c>
      <c r="I2210" t="inlineStr">
        <is>
          <t>3.2</t>
        </is>
      </c>
      <c r="J2210" t="inlineStr">
        <is>
          <t>Ventas Personas (B2C)</t>
        </is>
      </c>
      <c r="K2210" t="inlineStr">
        <is>
          <t>CH2</t>
        </is>
      </c>
    </row>
    <row r="2211">
      <c r="A2211" s="33" t="n">
        <v>45852</v>
      </c>
      <c r="B2211" t="inlineStr">
        <is>
          <t>2025-07</t>
        </is>
      </c>
      <c r="C2211" t="inlineStr">
        <is>
          <t>Sin cliente</t>
        </is>
      </c>
      <c r="D2211" t="inlineStr">
        <is>
          <t>CANELÉ TRADICIONAL</t>
        </is>
      </c>
      <c r="E2211" s="34" t="n">
        <v>10000</v>
      </c>
      <c r="F2211" t="inlineStr">
        <is>
          <t>B</t>
        </is>
      </c>
      <c r="G2211" s="34" t="n">
        <v>1597</v>
      </c>
      <c r="H2211" s="34" t="n">
        <v>8403</v>
      </c>
      <c r="I2211" t="inlineStr">
        <is>
          <t>3.2</t>
        </is>
      </c>
      <c r="J2211" t="inlineStr">
        <is>
          <t>Ventas Personas (B2C)</t>
        </is>
      </c>
      <c r="K2211" t="inlineStr">
        <is>
          <t>CH2</t>
        </is>
      </c>
    </row>
    <row r="2212">
      <c r="A2212" s="33" t="n">
        <v>45852</v>
      </c>
      <c r="B2212" t="inlineStr">
        <is>
          <t>2025-07</t>
        </is>
      </c>
      <c r="C2212" t="inlineStr">
        <is>
          <t>Sin cliente</t>
        </is>
      </c>
      <c r="D2212" t="inlineStr">
        <is>
          <t>CANELÉ TRADICIONAL</t>
        </is>
      </c>
      <c r="E2212" s="34" t="n">
        <v>10000</v>
      </c>
      <c r="F2212" t="inlineStr">
        <is>
          <t>B</t>
        </is>
      </c>
      <c r="G2212" s="34" t="n">
        <v>1597</v>
      </c>
      <c r="H2212" s="34" t="n">
        <v>8403</v>
      </c>
      <c r="I2212" t="inlineStr">
        <is>
          <t>3.2</t>
        </is>
      </c>
      <c r="J2212" t="inlineStr">
        <is>
          <t>Ventas Personas (B2C)</t>
        </is>
      </c>
      <c r="K2212" t="inlineStr">
        <is>
          <t>CH2</t>
        </is>
      </c>
    </row>
    <row r="2213">
      <c r="A2213" s="33" t="n">
        <v>45852</v>
      </c>
      <c r="B2213" t="inlineStr">
        <is>
          <t>2025-07</t>
        </is>
      </c>
      <c r="C2213" t="inlineStr">
        <is>
          <t>Sin cliente</t>
        </is>
      </c>
      <c r="D2213" t="inlineStr">
        <is>
          <t>CANELÉ TRADICIONAL</t>
        </is>
      </c>
      <c r="E2213" s="34" t="n">
        <v>10000</v>
      </c>
      <c r="F2213" t="inlineStr">
        <is>
          <t>B</t>
        </is>
      </c>
      <c r="G2213" s="34" t="n">
        <v>1597</v>
      </c>
      <c r="H2213" s="34" t="n">
        <v>8403</v>
      </c>
      <c r="I2213" t="inlineStr">
        <is>
          <t>3.2</t>
        </is>
      </c>
      <c r="J2213" t="inlineStr">
        <is>
          <t>Ventas Personas (B2C)</t>
        </is>
      </c>
      <c r="K2213" t="inlineStr">
        <is>
          <t>CH2</t>
        </is>
      </c>
    </row>
    <row r="2214">
      <c r="A2214" s="33" t="n">
        <v>45852</v>
      </c>
      <c r="B2214" t="inlineStr">
        <is>
          <t>2025-07</t>
        </is>
      </c>
      <c r="C2214" t="inlineStr">
        <is>
          <t>Sin cliente</t>
        </is>
      </c>
      <c r="D2214" t="inlineStr">
        <is>
          <t>CANELÉ TRADICIONAL</t>
        </is>
      </c>
      <c r="E2214" s="34" t="n">
        <v>10000</v>
      </c>
      <c r="F2214" t="inlineStr">
        <is>
          <t>B</t>
        </is>
      </c>
      <c r="G2214" s="34" t="n">
        <v>1597</v>
      </c>
      <c r="H2214" s="34" t="n">
        <v>8403</v>
      </c>
      <c r="I2214" t="inlineStr">
        <is>
          <t>3.2</t>
        </is>
      </c>
      <c r="J2214" t="inlineStr">
        <is>
          <t>Ventas Personas (B2C)</t>
        </is>
      </c>
      <c r="K2214" t="inlineStr">
        <is>
          <t>CH2</t>
        </is>
      </c>
    </row>
    <row r="2215">
      <c r="A2215" s="33" t="n">
        <v>45852</v>
      </c>
      <c r="B2215" t="inlineStr">
        <is>
          <t>2025-07</t>
        </is>
      </c>
      <c r="C2215" t="inlineStr">
        <is>
          <t>Sin cliente</t>
        </is>
      </c>
      <c r="D2215" t="inlineStr">
        <is>
          <t>CANELÉ TRADICIONAL</t>
        </is>
      </c>
      <c r="E2215" s="34" t="n">
        <v>10000</v>
      </c>
      <c r="F2215" t="inlineStr">
        <is>
          <t>B</t>
        </is>
      </c>
      <c r="G2215" s="34" t="n">
        <v>1597</v>
      </c>
      <c r="H2215" s="34" t="n">
        <v>8403</v>
      </c>
      <c r="I2215" t="inlineStr">
        <is>
          <t>3.2</t>
        </is>
      </c>
      <c r="J2215" t="inlineStr">
        <is>
          <t>Ventas Personas (B2C)</t>
        </is>
      </c>
      <c r="K2215" t="inlineStr">
        <is>
          <t>CH2</t>
        </is>
      </c>
    </row>
    <row r="2216">
      <c r="A2216" s="33" t="n">
        <v>45852</v>
      </c>
      <c r="B2216" t="inlineStr">
        <is>
          <t>2025-07</t>
        </is>
      </c>
      <c r="C2216" t="inlineStr">
        <is>
          <t>Carolina Casanova</t>
        </is>
      </c>
      <c r="D2216" t="inlineStr">
        <is>
          <t>Mix Sabores</t>
        </is>
      </c>
      <c r="E2216" s="34" t="n">
        <v>19890</v>
      </c>
      <c r="F2216" t="inlineStr">
        <is>
          <t>B</t>
        </is>
      </c>
      <c r="G2216" s="34" t="n">
        <v>3176</v>
      </c>
      <c r="H2216" s="34" t="n">
        <v>16714</v>
      </c>
      <c r="I2216" t="inlineStr">
        <is>
          <t>3.2</t>
        </is>
      </c>
      <c r="J2216" t="inlineStr">
        <is>
          <t>Ventas Personas (B2C)</t>
        </is>
      </c>
      <c r="K2216" t="inlineStr">
        <is>
          <t>CH2</t>
        </is>
      </c>
    </row>
    <row r="2217">
      <c r="A2217" s="33" t="n">
        <v>45852</v>
      </c>
      <c r="B2217" t="inlineStr">
        <is>
          <t>2025-07</t>
        </is>
      </c>
      <c r="C2217" t="inlineStr">
        <is>
          <t>Sin cliente</t>
        </is>
      </c>
      <c r="D2217" t="inlineStr">
        <is>
          <t>CANELÉ TRADICIONAL</t>
        </is>
      </c>
      <c r="E2217" s="34" t="n">
        <v>6000</v>
      </c>
      <c r="F2217" t="inlineStr">
        <is>
          <t>B</t>
        </is>
      </c>
      <c r="G2217" s="34" t="n">
        <v>958</v>
      </c>
      <c r="H2217" s="34" t="n">
        <v>5042</v>
      </c>
      <c r="I2217" t="inlineStr">
        <is>
          <t>3.2</t>
        </is>
      </c>
      <c r="J2217" t="inlineStr">
        <is>
          <t>Ventas Personas (B2C)</t>
        </is>
      </c>
      <c r="K2217" t="inlineStr">
        <is>
          <t>CH2</t>
        </is>
      </c>
    </row>
    <row r="2218">
      <c r="A2218" s="33" t="n">
        <v>45852</v>
      </c>
      <c r="B2218" t="inlineStr">
        <is>
          <t>2025-07</t>
        </is>
      </c>
      <c r="C2218" t="inlineStr">
        <is>
          <t>Sin cliente</t>
        </is>
      </c>
      <c r="D2218" t="inlineStr">
        <is>
          <t>CANELÉ TRADICIONAL</t>
        </is>
      </c>
      <c r="E2218" s="34" t="n">
        <v>10000</v>
      </c>
      <c r="F2218" t="inlineStr">
        <is>
          <t>B</t>
        </is>
      </c>
      <c r="G2218" s="34" t="n">
        <v>1597</v>
      </c>
      <c r="H2218" s="34" t="n">
        <v>8403</v>
      </c>
      <c r="I2218" t="inlineStr">
        <is>
          <t>3.2</t>
        </is>
      </c>
      <c r="J2218" t="inlineStr">
        <is>
          <t>Ventas Personas (B2C)</t>
        </is>
      </c>
      <c r="K2218" t="inlineStr">
        <is>
          <t>CH2</t>
        </is>
      </c>
    </row>
    <row r="2219">
      <c r="A2219" s="33" t="n">
        <v>45852</v>
      </c>
      <c r="B2219" t="inlineStr">
        <is>
          <t>2025-07</t>
        </is>
      </c>
      <c r="C2219" t="inlineStr">
        <is>
          <t>Sin cliente</t>
        </is>
      </c>
      <c r="D2219" t="inlineStr">
        <is>
          <t>CANELÉ TRADICIONAL</t>
        </is>
      </c>
      <c r="E2219" s="34" t="n">
        <v>4000</v>
      </c>
      <c r="F2219" t="inlineStr">
        <is>
          <t>B</t>
        </is>
      </c>
      <c r="G2219" s="34" t="n">
        <v>639</v>
      </c>
      <c r="H2219" s="34" t="n">
        <v>3361</v>
      </c>
      <c r="I2219" t="inlineStr">
        <is>
          <t>3.2</t>
        </is>
      </c>
      <c r="J2219" t="inlineStr">
        <is>
          <t>Ventas Personas (B2C)</t>
        </is>
      </c>
      <c r="K2219" t="inlineStr">
        <is>
          <t>CH2</t>
        </is>
      </c>
    </row>
    <row r="2220">
      <c r="A2220" s="33" t="n">
        <v>45852</v>
      </c>
      <c r="B2220" t="inlineStr">
        <is>
          <t>2025-07</t>
        </is>
      </c>
      <c r="C2220" t="inlineStr">
        <is>
          <t>Sin cliente</t>
        </is>
      </c>
      <c r="D2220" t="inlineStr">
        <is>
          <t>CANELÉ TRADICIONAL</t>
        </is>
      </c>
      <c r="E2220" s="34" t="n">
        <v>10000</v>
      </c>
      <c r="F2220" t="inlineStr">
        <is>
          <t>B</t>
        </is>
      </c>
      <c r="G2220" s="34" t="n">
        <v>1597</v>
      </c>
      <c r="H2220" s="34" t="n">
        <v>8403</v>
      </c>
      <c r="I2220" t="inlineStr">
        <is>
          <t>3.2</t>
        </is>
      </c>
      <c r="J2220" t="inlineStr">
        <is>
          <t>Ventas Personas (B2C)</t>
        </is>
      </c>
      <c r="K2220" t="inlineStr">
        <is>
          <t>CH2</t>
        </is>
      </c>
    </row>
    <row r="2221">
      <c r="A2221" s="33" t="n">
        <v>45852</v>
      </c>
      <c r="B2221" t="inlineStr">
        <is>
          <t>2025-07</t>
        </is>
      </c>
      <c r="C2221" t="inlineStr">
        <is>
          <t>Sin cliente</t>
        </is>
      </c>
      <c r="D2221" t="inlineStr">
        <is>
          <t>CANELÉ TRADICIONAL</t>
        </is>
      </c>
      <c r="E2221" s="34" t="n">
        <v>10000</v>
      </c>
      <c r="F2221" t="inlineStr">
        <is>
          <t>B</t>
        </is>
      </c>
      <c r="G2221" s="34" t="n">
        <v>1597</v>
      </c>
      <c r="H2221" s="34" t="n">
        <v>8403</v>
      </c>
      <c r="I2221" t="inlineStr">
        <is>
          <t>3.2</t>
        </is>
      </c>
      <c r="J2221" t="inlineStr">
        <is>
          <t>Ventas Personas (B2C)</t>
        </is>
      </c>
      <c r="K2221" t="inlineStr">
        <is>
          <t>CH2</t>
        </is>
      </c>
    </row>
    <row r="2222">
      <c r="A2222" s="33" t="n">
        <v>45852</v>
      </c>
      <c r="B2222" t="inlineStr">
        <is>
          <t>2025-07</t>
        </is>
      </c>
      <c r="C2222" t="inlineStr">
        <is>
          <t>Sin cliente</t>
        </is>
      </c>
      <c r="D2222" t="inlineStr">
        <is>
          <t>Mix Sabores</t>
        </is>
      </c>
      <c r="E2222" s="34" t="n">
        <v>10000</v>
      </c>
      <c r="F2222" t="inlineStr">
        <is>
          <t>B</t>
        </is>
      </c>
      <c r="G2222" s="34" t="n">
        <v>1597</v>
      </c>
      <c r="H2222" s="34" t="n">
        <v>8403</v>
      </c>
      <c r="I2222" t="inlineStr">
        <is>
          <t>3.2</t>
        </is>
      </c>
      <c r="J2222" t="inlineStr">
        <is>
          <t>Ventas Personas (B2C)</t>
        </is>
      </c>
      <c r="K2222" t="inlineStr">
        <is>
          <t>CH2</t>
        </is>
      </c>
    </row>
    <row r="2223">
      <c r="A2223" s="33" t="n">
        <v>45852</v>
      </c>
      <c r="B2223" t="inlineStr">
        <is>
          <t>2025-07</t>
        </is>
      </c>
      <c r="C2223" t="inlineStr">
        <is>
          <t>Sin cliente</t>
        </is>
      </c>
      <c r="D2223" t="inlineStr">
        <is>
          <t>CANELÉ TRADICIONAL</t>
        </is>
      </c>
      <c r="E2223" s="34" t="n">
        <v>10000</v>
      </c>
      <c r="F2223" t="inlineStr">
        <is>
          <t>B</t>
        </is>
      </c>
      <c r="G2223" s="34" t="n">
        <v>1597</v>
      </c>
      <c r="H2223" s="34" t="n">
        <v>8403</v>
      </c>
      <c r="I2223" t="inlineStr">
        <is>
          <t>3.2</t>
        </is>
      </c>
      <c r="J2223" t="inlineStr">
        <is>
          <t>Ventas Personas (B2C)</t>
        </is>
      </c>
      <c r="K2223" t="inlineStr">
        <is>
          <t>CH2</t>
        </is>
      </c>
    </row>
    <row r="2224">
      <c r="A2224" s="33" t="n">
        <v>45852</v>
      </c>
      <c r="B2224" t="inlineStr">
        <is>
          <t>2025-07</t>
        </is>
      </c>
      <c r="C2224" t="inlineStr">
        <is>
          <t>Sin cliente</t>
        </is>
      </c>
      <c r="D2224" t="inlineStr">
        <is>
          <t>Mix Sabores</t>
        </is>
      </c>
      <c r="E2224" s="34" t="n">
        <v>11000</v>
      </c>
      <c r="F2224" t="inlineStr">
        <is>
          <t>B</t>
        </is>
      </c>
      <c r="G2224" s="34" t="n">
        <v>1756</v>
      </c>
      <c r="H2224" s="34" t="n">
        <v>9244</v>
      </c>
      <c r="I2224" t="inlineStr">
        <is>
          <t>3.2</t>
        </is>
      </c>
      <c r="J2224" t="inlineStr">
        <is>
          <t>Ventas Personas (B2C)</t>
        </is>
      </c>
      <c r="K2224" t="inlineStr">
        <is>
          <t>CH2</t>
        </is>
      </c>
    </row>
    <row r="2225">
      <c r="A2225" s="33" t="n">
        <v>45852</v>
      </c>
      <c r="B2225" t="inlineStr">
        <is>
          <t>2025-07</t>
        </is>
      </c>
      <c r="C2225" t="inlineStr">
        <is>
          <t>Sin cliente</t>
        </is>
      </c>
      <c r="D2225" t="inlineStr">
        <is>
          <t>CANELÉ TRADICIONAL</t>
        </is>
      </c>
      <c r="E2225" s="34" t="n">
        <v>5000</v>
      </c>
      <c r="F2225" t="inlineStr">
        <is>
          <t>B</t>
        </is>
      </c>
      <c r="G2225" s="34" t="n">
        <v>798</v>
      </c>
      <c r="H2225" s="34" t="n">
        <v>4202</v>
      </c>
      <c r="I2225" t="inlineStr">
        <is>
          <t>3.2</t>
        </is>
      </c>
      <c r="J2225" t="inlineStr">
        <is>
          <t>Ventas Personas (B2C)</t>
        </is>
      </c>
      <c r="K2225" t="inlineStr">
        <is>
          <t>CH2</t>
        </is>
      </c>
    </row>
    <row r="2226">
      <c r="A2226" s="33" t="n">
        <v>45852</v>
      </c>
      <c r="B2226" t="inlineStr">
        <is>
          <t>2025-07</t>
        </is>
      </c>
      <c r="C2226" t="inlineStr">
        <is>
          <t>Sin cliente</t>
        </is>
      </c>
      <c r="D2226" t="inlineStr">
        <is>
          <t>CANELÉ TRADICIONAL</t>
        </is>
      </c>
      <c r="E2226" s="34" t="n">
        <v>10000</v>
      </c>
      <c r="F2226" t="inlineStr">
        <is>
          <t>B</t>
        </is>
      </c>
      <c r="G2226" s="34" t="n">
        <v>1597</v>
      </c>
      <c r="H2226" s="34" t="n">
        <v>8403</v>
      </c>
      <c r="I2226" t="inlineStr">
        <is>
          <t>3.2</t>
        </is>
      </c>
      <c r="J2226" t="inlineStr">
        <is>
          <t>Ventas Personas (B2C)</t>
        </is>
      </c>
      <c r="K2226" t="inlineStr">
        <is>
          <t>CH2</t>
        </is>
      </c>
    </row>
    <row r="2227">
      <c r="A2227" s="33" t="n">
        <v>45852</v>
      </c>
      <c r="B2227" t="inlineStr">
        <is>
          <t>2025-07</t>
        </is>
      </c>
      <c r="C2227" t="inlineStr">
        <is>
          <t>Sin cliente</t>
        </is>
      </c>
      <c r="D2227" t="inlineStr">
        <is>
          <t>CANELÉ TRADICIONAL</t>
        </is>
      </c>
      <c r="E2227" s="34" t="n">
        <v>10000</v>
      </c>
      <c r="F2227" t="inlineStr">
        <is>
          <t>B</t>
        </is>
      </c>
      <c r="G2227" s="34" t="n">
        <v>1597</v>
      </c>
      <c r="H2227" s="34" t="n">
        <v>8403</v>
      </c>
      <c r="I2227" t="inlineStr">
        <is>
          <t>3.2</t>
        </is>
      </c>
      <c r="J2227" t="inlineStr">
        <is>
          <t>Ventas Personas (B2C)</t>
        </is>
      </c>
      <c r="K2227" t="inlineStr">
        <is>
          <t>CH2</t>
        </is>
      </c>
    </row>
    <row r="2228">
      <c r="A2228" s="33" t="n">
        <v>45852</v>
      </c>
      <c r="B2228" t="inlineStr">
        <is>
          <t>2025-07</t>
        </is>
      </c>
      <c r="C2228" t="inlineStr">
        <is>
          <t>Sin cliente</t>
        </is>
      </c>
      <c r="D2228" t="inlineStr">
        <is>
          <t>CANELÉ TRADICIONAL</t>
        </is>
      </c>
      <c r="E2228" s="34" t="n">
        <v>5000</v>
      </c>
      <c r="F2228" t="inlineStr">
        <is>
          <t>B</t>
        </is>
      </c>
      <c r="G2228" s="34" t="n">
        <v>798</v>
      </c>
      <c r="H2228" s="34" t="n">
        <v>4202</v>
      </c>
      <c r="I2228" t="inlineStr">
        <is>
          <t>3.2</t>
        </is>
      </c>
      <c r="J2228" t="inlineStr">
        <is>
          <t>Ventas Personas (B2C)</t>
        </is>
      </c>
      <c r="K2228" t="inlineStr">
        <is>
          <t>CH2</t>
        </is>
      </c>
    </row>
    <row r="2229">
      <c r="A2229" s="33" t="n">
        <v>45852</v>
      </c>
      <c r="B2229" t="inlineStr">
        <is>
          <t>2025-07</t>
        </is>
      </c>
      <c r="C2229" t="inlineStr">
        <is>
          <t>Sin cliente</t>
        </is>
      </c>
      <c r="D2229" t="inlineStr">
        <is>
          <t>CANELÉ TRADICIONAL</t>
        </is>
      </c>
      <c r="E2229" s="34" t="n">
        <v>10000</v>
      </c>
      <c r="F2229" t="inlineStr">
        <is>
          <t>B</t>
        </is>
      </c>
      <c r="G2229" s="34" t="n">
        <v>1597</v>
      </c>
      <c r="H2229" s="34" t="n">
        <v>8403</v>
      </c>
      <c r="I2229" t="inlineStr">
        <is>
          <t>3.2</t>
        </is>
      </c>
      <c r="J2229" t="inlineStr">
        <is>
          <t>Ventas Personas (B2C)</t>
        </is>
      </c>
      <c r="K2229" t="inlineStr">
        <is>
          <t>CH2</t>
        </is>
      </c>
    </row>
    <row r="2230">
      <c r="A2230" s="33" t="n">
        <v>45852</v>
      </c>
      <c r="B2230" t="inlineStr">
        <is>
          <t>2025-07</t>
        </is>
      </c>
      <c r="C2230" t="inlineStr">
        <is>
          <t>Sin cliente</t>
        </is>
      </c>
      <c r="D2230" t="inlineStr">
        <is>
          <t>CANELÉ TRADICIONAL</t>
        </is>
      </c>
      <c r="E2230" s="34" t="n">
        <v>10000</v>
      </c>
      <c r="F2230" t="inlineStr">
        <is>
          <t>B</t>
        </is>
      </c>
      <c r="G2230" s="34" t="n">
        <v>1597</v>
      </c>
      <c r="H2230" s="34" t="n">
        <v>8403</v>
      </c>
      <c r="I2230" t="inlineStr">
        <is>
          <t>3.2</t>
        </is>
      </c>
      <c r="J2230" t="inlineStr">
        <is>
          <t>Ventas Personas (B2C)</t>
        </is>
      </c>
      <c r="K2230" t="inlineStr">
        <is>
          <t>CH2</t>
        </is>
      </c>
    </row>
    <row r="2231">
      <c r="A2231" s="33" t="n">
        <v>45852</v>
      </c>
      <c r="B2231" t="inlineStr">
        <is>
          <t>2025-07</t>
        </is>
      </c>
      <c r="C2231" t="inlineStr">
        <is>
          <t>Sin cliente</t>
        </is>
      </c>
      <c r="D2231" t="inlineStr">
        <is>
          <t>CANELÉ TRADICIONAL</t>
        </is>
      </c>
      <c r="E2231" s="34" t="n">
        <v>10000</v>
      </c>
      <c r="F2231" t="inlineStr">
        <is>
          <t>B</t>
        </is>
      </c>
      <c r="G2231" s="34" t="n">
        <v>1597</v>
      </c>
      <c r="H2231" s="34" t="n">
        <v>8403</v>
      </c>
      <c r="I2231" t="inlineStr">
        <is>
          <t>3.2</t>
        </is>
      </c>
      <c r="J2231" t="inlineStr">
        <is>
          <t>Ventas Personas (B2C)</t>
        </is>
      </c>
      <c r="K2231" t="inlineStr">
        <is>
          <t>CH2</t>
        </is>
      </c>
    </row>
    <row r="2232">
      <c r="A2232" s="33" t="n">
        <v>45852</v>
      </c>
      <c r="B2232" t="inlineStr">
        <is>
          <t>2025-07</t>
        </is>
      </c>
      <c r="C2232" t="inlineStr">
        <is>
          <t>Sin cliente</t>
        </is>
      </c>
      <c r="D2232" t="inlineStr">
        <is>
          <t>CANELÉ TRADICIONAL</t>
        </is>
      </c>
      <c r="E2232" s="34" t="n">
        <v>6000</v>
      </c>
      <c r="F2232" t="inlineStr">
        <is>
          <t>B</t>
        </is>
      </c>
      <c r="G2232" s="34" t="n">
        <v>958</v>
      </c>
      <c r="H2232" s="34" t="n">
        <v>5042</v>
      </c>
      <c r="I2232" t="inlineStr">
        <is>
          <t>3.2</t>
        </is>
      </c>
      <c r="J2232" t="inlineStr">
        <is>
          <t>Ventas Personas (B2C)</t>
        </is>
      </c>
      <c r="K2232" t="inlineStr">
        <is>
          <t>CH2</t>
        </is>
      </c>
    </row>
    <row r="2233">
      <c r="A2233" s="33" t="n">
        <v>45852</v>
      </c>
      <c r="B2233" t="inlineStr">
        <is>
          <t>2025-07</t>
        </is>
      </c>
      <c r="C2233" t="inlineStr">
        <is>
          <t>Sin cliente</t>
        </is>
      </c>
      <c r="D2233" t="inlineStr">
        <is>
          <t>CANELÉ TRADICIONAL</t>
        </is>
      </c>
      <c r="E2233" s="34" t="n">
        <v>6000</v>
      </c>
      <c r="F2233" t="inlineStr">
        <is>
          <t>B</t>
        </is>
      </c>
      <c r="G2233" s="34" t="n">
        <v>958</v>
      </c>
      <c r="H2233" s="34" t="n">
        <v>5042</v>
      </c>
      <c r="I2233" t="inlineStr">
        <is>
          <t>3.2</t>
        </is>
      </c>
      <c r="J2233" t="inlineStr">
        <is>
          <t>Ventas Personas (B2C)</t>
        </is>
      </c>
      <c r="K2233" t="inlineStr">
        <is>
          <t>CH2</t>
        </is>
      </c>
    </row>
    <row r="2234">
      <c r="A2234" s="33" t="n">
        <v>45852</v>
      </c>
      <c r="B2234" t="inlineStr">
        <is>
          <t>2025-07</t>
        </is>
      </c>
      <c r="C2234" t="inlineStr">
        <is>
          <t>Sin cliente</t>
        </is>
      </c>
      <c r="D2234" t="inlineStr">
        <is>
          <t>CANELÉ TRADICIONAL</t>
        </is>
      </c>
      <c r="E2234" s="34" t="n">
        <v>10000</v>
      </c>
      <c r="F2234" t="inlineStr">
        <is>
          <t>B</t>
        </is>
      </c>
      <c r="G2234" s="34" t="n">
        <v>1597</v>
      </c>
      <c r="H2234" s="34" t="n">
        <v>8403</v>
      </c>
      <c r="I2234" t="inlineStr">
        <is>
          <t>3.2</t>
        </is>
      </c>
      <c r="J2234" t="inlineStr">
        <is>
          <t>Ventas Personas (B2C)</t>
        </is>
      </c>
      <c r="K2234" t="inlineStr">
        <is>
          <t>CH2</t>
        </is>
      </c>
    </row>
    <row r="2235">
      <c r="A2235" s="33" t="n">
        <v>45852</v>
      </c>
      <c r="B2235" t="inlineStr">
        <is>
          <t>2025-07</t>
        </is>
      </c>
      <c r="C2235" t="inlineStr">
        <is>
          <t>Sin cliente</t>
        </is>
      </c>
      <c r="D2235" t="inlineStr">
        <is>
          <t>Canelé Petit Tradicional</t>
        </is>
      </c>
      <c r="E2235" s="34" t="n">
        <v>10000</v>
      </c>
      <c r="F2235" t="inlineStr">
        <is>
          <t>B</t>
        </is>
      </c>
      <c r="G2235" s="34" t="n">
        <v>1597</v>
      </c>
      <c r="H2235" s="34" t="n">
        <v>8403</v>
      </c>
      <c r="I2235" t="inlineStr">
        <is>
          <t>3.2</t>
        </is>
      </c>
      <c r="J2235" t="inlineStr">
        <is>
          <t>Ventas Personas (B2C)</t>
        </is>
      </c>
      <c r="K2235" t="inlineStr">
        <is>
          <t>CH2</t>
        </is>
      </c>
    </row>
    <row r="2236">
      <c r="A2236" s="33" t="n">
        <v>45852</v>
      </c>
      <c r="B2236" t="inlineStr">
        <is>
          <t>2025-07</t>
        </is>
      </c>
      <c r="C2236" t="inlineStr">
        <is>
          <t>Sin cliente</t>
        </is>
      </c>
      <c r="D2236" t="inlineStr">
        <is>
          <t>Canelé Petit Tradicional</t>
        </is>
      </c>
      <c r="E2236" s="34" t="n">
        <v>10000</v>
      </c>
      <c r="F2236" t="inlineStr">
        <is>
          <t>B</t>
        </is>
      </c>
      <c r="G2236" s="34" t="n">
        <v>1597</v>
      </c>
      <c r="H2236" s="34" t="n">
        <v>8403</v>
      </c>
      <c r="I2236" t="inlineStr">
        <is>
          <t>3.2</t>
        </is>
      </c>
      <c r="J2236" t="inlineStr">
        <is>
          <t>Ventas Personas (B2C)</t>
        </is>
      </c>
      <c r="K2236" t="inlineStr">
        <is>
          <t>CH2</t>
        </is>
      </c>
    </row>
    <row r="2237">
      <c r="A2237" s="33" t="n">
        <v>45852</v>
      </c>
      <c r="B2237" t="inlineStr">
        <is>
          <t>2025-07</t>
        </is>
      </c>
      <c r="C2237" t="inlineStr">
        <is>
          <t>Sin cliente</t>
        </is>
      </c>
      <c r="D2237" t="inlineStr">
        <is>
          <t>Canelé Petit Tradicional</t>
        </is>
      </c>
      <c r="E2237" s="34" t="n">
        <v>10000</v>
      </c>
      <c r="F2237" t="inlineStr">
        <is>
          <t>B</t>
        </is>
      </c>
      <c r="G2237" s="34" t="n">
        <v>1597</v>
      </c>
      <c r="H2237" s="34" t="n">
        <v>8403</v>
      </c>
      <c r="I2237" t="inlineStr">
        <is>
          <t>3.2</t>
        </is>
      </c>
      <c r="J2237" t="inlineStr">
        <is>
          <t>Ventas Personas (B2C)</t>
        </is>
      </c>
      <c r="K2237" t="inlineStr">
        <is>
          <t>CH2</t>
        </is>
      </c>
    </row>
    <row r="2238">
      <c r="A2238" s="33" t="n">
        <v>45852</v>
      </c>
      <c r="B2238" t="inlineStr">
        <is>
          <t>2025-07</t>
        </is>
      </c>
      <c r="C2238" t="inlineStr">
        <is>
          <t>Sin cliente</t>
        </is>
      </c>
      <c r="D2238" t="inlineStr">
        <is>
          <t>Canelé Petit Tradicional</t>
        </is>
      </c>
      <c r="E2238" s="34" t="n">
        <v>10000</v>
      </c>
      <c r="F2238" t="inlineStr">
        <is>
          <t>B</t>
        </is>
      </c>
      <c r="G2238" s="34" t="n">
        <v>1597</v>
      </c>
      <c r="H2238" s="34" t="n">
        <v>8403</v>
      </c>
      <c r="I2238" t="inlineStr">
        <is>
          <t>3.2</t>
        </is>
      </c>
      <c r="J2238" t="inlineStr">
        <is>
          <t>Ventas Personas (B2C)</t>
        </is>
      </c>
      <c r="K2238" t="inlineStr">
        <is>
          <t>CH2</t>
        </is>
      </c>
    </row>
    <row r="2239">
      <c r="A2239" s="33" t="n">
        <v>45852</v>
      </c>
      <c r="B2239" t="inlineStr">
        <is>
          <t>2025-07</t>
        </is>
      </c>
      <c r="C2239" t="inlineStr">
        <is>
          <t>Sin cliente</t>
        </is>
      </c>
      <c r="D2239" t="inlineStr">
        <is>
          <t>Canelé Petit Tradicional</t>
        </is>
      </c>
      <c r="E2239" s="34" t="n">
        <v>10000</v>
      </c>
      <c r="F2239" t="inlineStr">
        <is>
          <t>B</t>
        </is>
      </c>
      <c r="G2239" s="34" t="n">
        <v>1597</v>
      </c>
      <c r="H2239" s="34" t="n">
        <v>8403</v>
      </c>
      <c r="I2239" t="inlineStr">
        <is>
          <t>3.2</t>
        </is>
      </c>
      <c r="J2239" t="inlineStr">
        <is>
          <t>Ventas Personas (B2C)</t>
        </is>
      </c>
      <c r="K2239" t="inlineStr">
        <is>
          <t>CH2</t>
        </is>
      </c>
    </row>
    <row r="2240">
      <c r="A2240" s="33" t="n">
        <v>45852</v>
      </c>
      <c r="B2240" t="inlineStr">
        <is>
          <t>2025-07</t>
        </is>
      </c>
      <c r="C2240" t="inlineStr">
        <is>
          <t>Sin cliente</t>
        </is>
      </c>
      <c r="D2240" t="inlineStr">
        <is>
          <t>Canelé Petit Tradicional</t>
        </is>
      </c>
      <c r="E2240" s="34" t="n">
        <v>10000</v>
      </c>
      <c r="F2240" t="inlineStr">
        <is>
          <t>B</t>
        </is>
      </c>
      <c r="G2240" s="34" t="n">
        <v>1597</v>
      </c>
      <c r="H2240" s="34" t="n">
        <v>8403</v>
      </c>
      <c r="I2240" t="inlineStr">
        <is>
          <t>3.2</t>
        </is>
      </c>
      <c r="J2240" t="inlineStr">
        <is>
          <t>Ventas Personas (B2C)</t>
        </is>
      </c>
      <c r="K2240" t="inlineStr">
        <is>
          <t>CH2</t>
        </is>
      </c>
    </row>
    <row r="2241">
      <c r="A2241" s="33" t="n">
        <v>45852</v>
      </c>
      <c r="B2241" t="inlineStr">
        <is>
          <t>2025-07</t>
        </is>
      </c>
      <c r="C2241" t="inlineStr">
        <is>
          <t>Sin cliente</t>
        </is>
      </c>
      <c r="D2241" t="inlineStr">
        <is>
          <t>Canelé Petit Tradicional</t>
        </is>
      </c>
      <c r="E2241" s="34" t="n">
        <v>5000</v>
      </c>
      <c r="F2241" t="inlineStr">
        <is>
          <t>B</t>
        </is>
      </c>
      <c r="G2241" s="34" t="n">
        <v>798</v>
      </c>
      <c r="H2241" s="34" t="n">
        <v>4202</v>
      </c>
      <c r="I2241" t="inlineStr">
        <is>
          <t>3.2</t>
        </is>
      </c>
      <c r="J2241" t="inlineStr">
        <is>
          <t>Ventas Personas (B2C)</t>
        </is>
      </c>
      <c r="K2241" t="inlineStr">
        <is>
          <t>CH2</t>
        </is>
      </c>
    </row>
    <row r="2242">
      <c r="A2242" s="33" t="n">
        <v>45852</v>
      </c>
      <c r="B2242" t="inlineStr">
        <is>
          <t>2025-07</t>
        </is>
      </c>
      <c r="C2242" t="inlineStr">
        <is>
          <t>Sin cliente</t>
        </is>
      </c>
      <c r="D2242" t="inlineStr">
        <is>
          <t>Canelé Petit Tradicional</t>
        </is>
      </c>
      <c r="E2242" s="34" t="n">
        <v>5000</v>
      </c>
      <c r="F2242" t="inlineStr">
        <is>
          <t>B</t>
        </is>
      </c>
      <c r="G2242" s="34" t="n">
        <v>798</v>
      </c>
      <c r="H2242" s="34" t="n">
        <v>4202</v>
      </c>
      <c r="I2242" t="inlineStr">
        <is>
          <t>3.2</t>
        </is>
      </c>
      <c r="J2242" t="inlineStr">
        <is>
          <t>Ventas Personas (B2C)</t>
        </is>
      </c>
      <c r="K2242" t="inlineStr">
        <is>
          <t>CH2</t>
        </is>
      </c>
    </row>
    <row r="2243">
      <c r="A2243" s="33" t="n">
        <v>45852</v>
      </c>
      <c r="B2243" t="inlineStr">
        <is>
          <t>2025-07</t>
        </is>
      </c>
      <c r="C2243" t="inlineStr">
        <is>
          <t>Sin cliente</t>
        </is>
      </c>
      <c r="D2243" t="inlineStr">
        <is>
          <t>Canelé Petit Tradicional</t>
        </is>
      </c>
      <c r="E2243" s="34" t="n">
        <v>5000</v>
      </c>
      <c r="F2243" t="inlineStr">
        <is>
          <t>B</t>
        </is>
      </c>
      <c r="G2243" s="34" t="n">
        <v>798</v>
      </c>
      <c r="H2243" s="34" t="n">
        <v>4202</v>
      </c>
      <c r="I2243" t="inlineStr">
        <is>
          <t>3.2</t>
        </is>
      </c>
      <c r="J2243" t="inlineStr">
        <is>
          <t>Ventas Personas (B2C)</t>
        </is>
      </c>
      <c r="K2243" t="inlineStr">
        <is>
          <t>CH2</t>
        </is>
      </c>
    </row>
    <row r="2244">
      <c r="A2244" s="33" t="n">
        <v>45852</v>
      </c>
      <c r="B2244" t="inlineStr">
        <is>
          <t>2025-07</t>
        </is>
      </c>
      <c r="C2244" t="inlineStr">
        <is>
          <t>Sin cliente</t>
        </is>
      </c>
      <c r="D2244" t="inlineStr">
        <is>
          <t>Canelé Petit Tradicional</t>
        </is>
      </c>
      <c r="E2244" s="34" t="n">
        <v>8000</v>
      </c>
      <c r="F2244" t="inlineStr">
        <is>
          <t>B</t>
        </is>
      </c>
      <c r="G2244" s="34" t="n">
        <v>1277</v>
      </c>
      <c r="H2244" s="34" t="n">
        <v>6723</v>
      </c>
      <c r="I2244" t="inlineStr">
        <is>
          <t>3.2</t>
        </is>
      </c>
      <c r="J2244" t="inlineStr">
        <is>
          <t>Ventas Personas (B2C)</t>
        </is>
      </c>
      <c r="K2244" t="inlineStr">
        <is>
          <t>CH2</t>
        </is>
      </c>
    </row>
    <row r="2245">
      <c r="A2245" s="33" t="n">
        <v>45852</v>
      </c>
      <c r="B2245" t="inlineStr">
        <is>
          <t>2025-07</t>
        </is>
      </c>
      <c r="C2245" t="inlineStr">
        <is>
          <t>Sin cliente</t>
        </is>
      </c>
      <c r="D2245" t="inlineStr">
        <is>
          <t>Canelé Petit Tradicional</t>
        </is>
      </c>
      <c r="E2245" s="34" t="n">
        <v>9000</v>
      </c>
      <c r="F2245" t="inlineStr">
        <is>
          <t>B</t>
        </is>
      </c>
      <c r="G2245" s="34" t="n">
        <v>1437</v>
      </c>
      <c r="H2245" s="34" t="n">
        <v>7563</v>
      </c>
      <c r="I2245" t="inlineStr">
        <is>
          <t>3.2</t>
        </is>
      </c>
      <c r="J2245" t="inlineStr">
        <is>
          <t>Ventas Personas (B2C)</t>
        </is>
      </c>
      <c r="K2245" t="inlineStr">
        <is>
          <t>CH2</t>
        </is>
      </c>
    </row>
    <row r="2246">
      <c r="A2246" s="33" t="n">
        <v>45852</v>
      </c>
      <c r="B2246" t="inlineStr">
        <is>
          <t>2025-07</t>
        </is>
      </c>
      <c r="C2246" t="inlineStr">
        <is>
          <t>Sin cliente</t>
        </is>
      </c>
      <c r="D2246" t="inlineStr">
        <is>
          <t>CANELÉ TRADICIONAL</t>
        </is>
      </c>
      <c r="E2246" s="34" t="n">
        <v>4000</v>
      </c>
      <c r="F2246" t="inlineStr">
        <is>
          <t>B</t>
        </is>
      </c>
      <c r="G2246" s="34" t="n">
        <v>639</v>
      </c>
      <c r="H2246" s="34" t="n">
        <v>3361</v>
      </c>
      <c r="I2246" t="inlineStr">
        <is>
          <t>3.2</t>
        </is>
      </c>
      <c r="J2246" t="inlineStr">
        <is>
          <t>Ventas Personas (B2C)</t>
        </is>
      </c>
      <c r="K2246" t="inlineStr">
        <is>
          <t>CH2</t>
        </is>
      </c>
    </row>
    <row r="2247">
      <c r="A2247" s="33" t="n">
        <v>45852</v>
      </c>
      <c r="B2247" t="inlineStr">
        <is>
          <t>2025-07</t>
        </is>
      </c>
      <c r="C2247" t="inlineStr">
        <is>
          <t>Sin cliente</t>
        </is>
      </c>
      <c r="D2247" t="inlineStr">
        <is>
          <t>CANELÉ TRADICIONAL</t>
        </is>
      </c>
      <c r="E2247" s="34" t="n">
        <v>1000</v>
      </c>
      <c r="F2247" t="inlineStr">
        <is>
          <t>B</t>
        </is>
      </c>
      <c r="G2247" s="34" t="n">
        <v>160</v>
      </c>
      <c r="H2247" s="34" t="n">
        <v>840</v>
      </c>
      <c r="I2247" t="inlineStr">
        <is>
          <t>3.2</t>
        </is>
      </c>
      <c r="J2247" t="inlineStr">
        <is>
          <t>Ventas Personas (B2C)</t>
        </is>
      </c>
      <c r="K2247" t="inlineStr">
        <is>
          <t>CH2</t>
        </is>
      </c>
    </row>
    <row r="2248">
      <c r="A2248" s="33" t="n">
        <v>45852</v>
      </c>
      <c r="B2248" t="inlineStr">
        <is>
          <t>2025-07</t>
        </is>
      </c>
      <c r="C2248" t="inlineStr">
        <is>
          <t>Sin cliente</t>
        </is>
      </c>
      <c r="D2248" t="inlineStr">
        <is>
          <t>CANELÉ TRADICIONAL</t>
        </is>
      </c>
      <c r="E2248" s="34" t="n">
        <v>3000</v>
      </c>
      <c r="F2248" t="inlineStr">
        <is>
          <t>B</t>
        </is>
      </c>
      <c r="G2248" s="34" t="n">
        <v>479</v>
      </c>
      <c r="H2248" s="34" t="n">
        <v>2521</v>
      </c>
      <c r="I2248" t="inlineStr">
        <is>
          <t>3.2</t>
        </is>
      </c>
      <c r="J2248" t="inlineStr">
        <is>
          <t>Ventas Personas (B2C)</t>
        </is>
      </c>
      <c r="K2248" t="inlineStr">
        <is>
          <t>CH2</t>
        </is>
      </c>
    </row>
    <row r="2249">
      <c r="A2249" s="33" t="n">
        <v>45852</v>
      </c>
      <c r="B2249" t="inlineStr">
        <is>
          <t>2025-07</t>
        </is>
      </c>
      <c r="C2249" t="inlineStr">
        <is>
          <t>Sin cliente</t>
        </is>
      </c>
      <c r="D2249" t="inlineStr">
        <is>
          <t>CANELÉ TRADICIONAL</t>
        </is>
      </c>
      <c r="E2249" s="34" t="n">
        <v>10000</v>
      </c>
      <c r="F2249" t="inlineStr">
        <is>
          <t>B</t>
        </is>
      </c>
      <c r="G2249" s="34" t="n">
        <v>1597</v>
      </c>
      <c r="H2249" s="34" t="n">
        <v>8403</v>
      </c>
      <c r="I2249" t="inlineStr">
        <is>
          <t>3.2</t>
        </is>
      </c>
      <c r="J2249" t="inlineStr">
        <is>
          <t>Ventas Personas (B2C)</t>
        </is>
      </c>
      <c r="K2249" t="inlineStr">
        <is>
          <t>CH2</t>
        </is>
      </c>
    </row>
    <row r="2250">
      <c r="A2250" s="33" t="n">
        <v>45853</v>
      </c>
      <c r="B2250" t="inlineStr">
        <is>
          <t>2025-07</t>
        </is>
      </c>
      <c r="C2250" t="inlineStr">
        <is>
          <t>Sociedad de inversiones solari y acuña spa</t>
        </is>
      </c>
      <c r="D2250" t="inlineStr">
        <is>
          <t>HORECA CAFETERIA</t>
        </is>
      </c>
      <c r="E2250" s="34" t="n">
        <v>111503</v>
      </c>
      <c r="F2250" t="inlineStr">
        <is>
          <t>F</t>
        </is>
      </c>
      <c r="G2250" s="34" t="n">
        <v>17803</v>
      </c>
      <c r="H2250" s="34" t="n">
        <v>93700</v>
      </c>
      <c r="I2250" t="inlineStr">
        <is>
          <t>3.1</t>
        </is>
      </c>
      <c r="J2250" t="inlineStr">
        <is>
          <t>Ventas HoReCa</t>
        </is>
      </c>
      <c r="K2250" t="inlineStr">
        <is>
          <t>CH1</t>
        </is>
      </c>
    </row>
    <row r="2251">
      <c r="A2251" s="33" t="n">
        <v>45853</v>
      </c>
      <c r="B2251" t="inlineStr">
        <is>
          <t>2025-07</t>
        </is>
      </c>
      <c r="C2251" t="inlineStr">
        <is>
          <t>HUERTO SUR LIMITADA</t>
        </is>
      </c>
      <c r="D2251" t="inlineStr">
        <is>
          <t>HORECA CAFETERIA</t>
        </is>
      </c>
      <c r="E2251" s="34" t="n">
        <v>88599</v>
      </c>
      <c r="F2251" t="inlineStr">
        <is>
          <t>F</t>
        </is>
      </c>
      <c r="G2251" s="34" t="n">
        <v>14146</v>
      </c>
      <c r="H2251" s="34" t="n">
        <v>74453</v>
      </c>
      <c r="I2251" t="inlineStr">
        <is>
          <t>3.1</t>
        </is>
      </c>
      <c r="J2251" t="inlineStr">
        <is>
          <t>Ventas HoReCa</t>
        </is>
      </c>
      <c r="K2251" t="inlineStr">
        <is>
          <t>CH1</t>
        </is>
      </c>
    </row>
    <row r="2252">
      <c r="A2252" s="33" t="n">
        <v>45853</v>
      </c>
      <c r="B2252" t="inlineStr">
        <is>
          <t>2025-07</t>
        </is>
      </c>
      <c r="C2252" t="inlineStr">
        <is>
          <t>HUERTO SUR LIMITADA</t>
        </is>
      </c>
      <c r="D2252" t="inlineStr">
        <is>
          <t>HORECA CAFETERIA</t>
        </is>
      </c>
      <c r="E2252" s="34" t="n">
        <v>173208</v>
      </c>
      <c r="F2252" t="inlineStr">
        <is>
          <t>F</t>
        </is>
      </c>
      <c r="G2252" s="34" t="n">
        <v>27655</v>
      </c>
      <c r="H2252" s="34" t="n">
        <v>145553</v>
      </c>
      <c r="I2252" t="inlineStr">
        <is>
          <t>3.1</t>
        </is>
      </c>
      <c r="J2252" t="inlineStr">
        <is>
          <t>Ventas HoReCa</t>
        </is>
      </c>
      <c r="K2252" t="inlineStr">
        <is>
          <t>CH1</t>
        </is>
      </c>
    </row>
    <row r="2253">
      <c r="A2253" s="33" t="n">
        <v>45853</v>
      </c>
      <c r="B2253" t="inlineStr">
        <is>
          <t>2025-07</t>
        </is>
      </c>
      <c r="C2253" t="inlineStr">
        <is>
          <t>JNCONCEPT SPA</t>
        </is>
      </c>
      <c r="D2253" t="inlineStr">
        <is>
          <t>CANELÉ TRADICIONAL</t>
        </is>
      </c>
      <c r="E2253" s="34" t="n">
        <v>29800</v>
      </c>
      <c r="F2253" t="inlineStr">
        <is>
          <t>F</t>
        </is>
      </c>
      <c r="G2253" s="34" t="n">
        <v>4758</v>
      </c>
      <c r="H2253" s="34" t="n">
        <v>25042</v>
      </c>
      <c r="I2253" t="inlineStr">
        <is>
          <t>3.1</t>
        </is>
      </c>
      <c r="J2253" t="inlineStr">
        <is>
          <t>Ventas HoReCa</t>
        </is>
      </c>
      <c r="K2253" t="inlineStr">
        <is>
          <t>CH1</t>
        </is>
      </c>
    </row>
    <row r="2254">
      <c r="A2254" s="33" t="n">
        <v>45853</v>
      </c>
      <c r="B2254" t="inlineStr">
        <is>
          <t>2025-07</t>
        </is>
      </c>
      <c r="C2254" t="inlineStr">
        <is>
          <t>Sin cliente</t>
        </is>
      </c>
      <c r="D2254" t="inlineStr">
        <is>
          <t>PLATAFORMAS RAP-PEYA-UBER-GOOD</t>
        </is>
      </c>
      <c r="E2254" s="34" t="n">
        <v>23760</v>
      </c>
      <c r="F2254" t="inlineStr">
        <is>
          <t>B</t>
        </is>
      </c>
      <c r="G2254" s="34" t="n">
        <v>3794</v>
      </c>
      <c r="H2254" s="34" t="n">
        <v>19966</v>
      </c>
      <c r="I2254" t="inlineStr">
        <is>
          <t>3.6</t>
        </is>
      </c>
      <c r="J2254" t="inlineStr">
        <is>
          <t>Ventas Delivery Apps</t>
        </is>
      </c>
      <c r="K2254" t="inlineStr">
        <is>
          <t>CH3</t>
        </is>
      </c>
    </row>
    <row r="2255">
      <c r="A2255" s="33" t="n">
        <v>45853</v>
      </c>
      <c r="B2255" t="inlineStr">
        <is>
          <t>2025-07</t>
        </is>
      </c>
      <c r="C2255" t="inlineStr">
        <is>
          <t>Sin cliente</t>
        </is>
      </c>
      <c r="D2255" t="inlineStr">
        <is>
          <t>Canelé Petit Tradicional</t>
        </is>
      </c>
      <c r="E2255" s="34" t="n">
        <v>5000</v>
      </c>
      <c r="F2255" t="inlineStr">
        <is>
          <t>B</t>
        </is>
      </c>
      <c r="G2255" s="34" t="n">
        <v>798</v>
      </c>
      <c r="H2255" s="34" t="n">
        <v>4202</v>
      </c>
      <c r="I2255" t="inlineStr">
        <is>
          <t>3.2</t>
        </is>
      </c>
      <c r="J2255" t="inlineStr">
        <is>
          <t>Ventas Personas (B2C)</t>
        </is>
      </c>
      <c r="K2255" t="inlineStr">
        <is>
          <t>CH2</t>
        </is>
      </c>
    </row>
    <row r="2256">
      <c r="A2256" s="33" t="n">
        <v>45853</v>
      </c>
      <c r="B2256" t="inlineStr">
        <is>
          <t>2025-07</t>
        </is>
      </c>
      <c r="C2256" t="inlineStr">
        <is>
          <t>the capital coffee spa</t>
        </is>
      </c>
      <c r="D2256" t="inlineStr">
        <is>
          <t>HORECA CAFETERIA</t>
        </is>
      </c>
      <c r="E2256" s="34" t="n">
        <v>207615</v>
      </c>
      <c r="F2256" t="inlineStr">
        <is>
          <t>F</t>
        </is>
      </c>
      <c r="G2256" s="34" t="n">
        <v>33149</v>
      </c>
      <c r="H2256" s="34" t="n">
        <v>174466</v>
      </c>
      <c r="I2256" t="inlineStr">
        <is>
          <t>3.1</t>
        </is>
      </c>
      <c r="J2256" t="inlineStr">
        <is>
          <t>Ventas HoReCa</t>
        </is>
      </c>
      <c r="K2256" t="inlineStr">
        <is>
          <t>CH1</t>
        </is>
      </c>
    </row>
    <row r="2257">
      <c r="A2257" s="33" t="n">
        <v>45853</v>
      </c>
      <c r="B2257" t="inlineStr">
        <is>
          <t>2025-07</t>
        </is>
      </c>
      <c r="C2257" t="inlineStr">
        <is>
          <t>Cristian Olivares</t>
        </is>
      </c>
      <c r="D2257" t="inlineStr">
        <is>
          <t>Petit Tradicional</t>
        </is>
      </c>
      <c r="E2257" s="34" t="n">
        <v>24889</v>
      </c>
      <c r="F2257" t="inlineStr">
        <is>
          <t>B</t>
        </is>
      </c>
      <c r="G2257" s="34" t="n">
        <v>3974</v>
      </c>
      <c r="H2257" s="34" t="n">
        <v>20915</v>
      </c>
      <c r="I2257" t="inlineStr">
        <is>
          <t>3.2</t>
        </is>
      </c>
      <c r="J2257" t="inlineStr">
        <is>
          <t>Ventas Personas (B2C)</t>
        </is>
      </c>
      <c r="K2257" t="inlineStr">
        <is>
          <t>CH2</t>
        </is>
      </c>
    </row>
    <row r="2258">
      <c r="A2258" s="33" t="n">
        <v>45853</v>
      </c>
      <c r="B2258" t="inlineStr">
        <is>
          <t>2025-07</t>
        </is>
      </c>
      <c r="C2258" t="inlineStr">
        <is>
          <t>Alismar Alvarez Arias</t>
        </is>
      </c>
      <c r="D2258" t="inlineStr">
        <is>
          <t>CANELE SIN AZUCAR</t>
        </is>
      </c>
      <c r="E2258" s="34" t="n">
        <v>21890</v>
      </c>
      <c r="F2258" t="inlineStr">
        <is>
          <t>B</t>
        </is>
      </c>
      <c r="G2258" s="34" t="n">
        <v>3495</v>
      </c>
      <c r="H2258" s="34" t="n">
        <v>18395</v>
      </c>
      <c r="I2258" t="inlineStr">
        <is>
          <t>3.2</t>
        </is>
      </c>
      <c r="J2258" t="inlineStr">
        <is>
          <t>Ventas Personas (B2C)</t>
        </is>
      </c>
      <c r="K2258" t="inlineStr">
        <is>
          <t>CH2</t>
        </is>
      </c>
    </row>
    <row r="2259">
      <c r="A2259" s="33" t="n">
        <v>45853</v>
      </c>
      <c r="B2259" t="inlineStr">
        <is>
          <t>2025-07</t>
        </is>
      </c>
      <c r="C2259" t="inlineStr">
        <is>
          <t>VJERA TRIANTAFILO VLADILO</t>
        </is>
      </c>
      <c r="D2259" t="inlineStr">
        <is>
          <t>CANELÉ TRADICIONAL</t>
        </is>
      </c>
      <c r="E2259" s="34" t="n">
        <v>38589</v>
      </c>
      <c r="F2259" t="inlineStr">
        <is>
          <t>B</t>
        </is>
      </c>
      <c r="G2259" s="34" t="n">
        <v>6161</v>
      </c>
      <c r="H2259" s="34" t="n">
        <v>32428</v>
      </c>
      <c r="I2259" t="inlineStr">
        <is>
          <t>3.2</t>
        </is>
      </c>
      <c r="J2259" t="inlineStr">
        <is>
          <t>Ventas Personas (B2C)</t>
        </is>
      </c>
      <c r="K2259" t="inlineStr">
        <is>
          <t>CH2</t>
        </is>
      </c>
    </row>
    <row r="2260">
      <c r="A2260" s="33" t="n">
        <v>45853</v>
      </c>
      <c r="B2260" t="inlineStr">
        <is>
          <t>2025-07</t>
        </is>
      </c>
      <c r="C2260" t="inlineStr">
        <is>
          <t>Matias Larenas Pinilla</t>
        </is>
      </c>
      <c r="D2260" t="inlineStr">
        <is>
          <t>Petit Tradicional</t>
        </is>
      </c>
      <c r="E2260" s="34" t="n">
        <v>26790</v>
      </c>
      <c r="F2260" t="inlineStr">
        <is>
          <t>B</t>
        </is>
      </c>
      <c r="G2260" s="34" t="n">
        <v>4277</v>
      </c>
      <c r="H2260" s="34" t="n">
        <v>22513</v>
      </c>
      <c r="I2260" t="inlineStr">
        <is>
          <t>3.2</t>
        </is>
      </c>
      <c r="J2260" t="inlineStr">
        <is>
          <t>Ventas Personas (B2C)</t>
        </is>
      </c>
      <c r="K2260" t="inlineStr">
        <is>
          <t>CH2</t>
        </is>
      </c>
    </row>
    <row r="2261">
      <c r="A2261" s="33" t="n">
        <v>45853</v>
      </c>
      <c r="B2261" t="inlineStr">
        <is>
          <t>2025-07</t>
        </is>
      </c>
      <c r="C2261" t="inlineStr">
        <is>
          <t>Sin cliente</t>
        </is>
      </c>
      <c r="D2261" t="inlineStr">
        <is>
          <t>PLATAFORMAS RAP-PEYA-UBER-GOOD</t>
        </is>
      </c>
      <c r="E2261" s="34" t="n">
        <v>26280</v>
      </c>
      <c r="F2261" t="inlineStr">
        <is>
          <t>B</t>
        </is>
      </c>
      <c r="G2261" s="34" t="n">
        <v>4196</v>
      </c>
      <c r="H2261" s="34" t="n">
        <v>22084</v>
      </c>
      <c r="I2261" t="inlineStr">
        <is>
          <t>3.6</t>
        </is>
      </c>
      <c r="J2261" t="inlineStr">
        <is>
          <t>Ventas Delivery Apps</t>
        </is>
      </c>
      <c r="K2261" t="inlineStr">
        <is>
          <t>CH3</t>
        </is>
      </c>
    </row>
    <row r="2262">
      <c r="A2262" s="33" t="n">
        <v>45853</v>
      </c>
      <c r="B2262" t="inlineStr">
        <is>
          <t>2025-07</t>
        </is>
      </c>
      <c r="C2262" t="inlineStr">
        <is>
          <t>Sin cliente</t>
        </is>
      </c>
      <c r="D2262" t="inlineStr">
        <is>
          <t>CANELÉ TRADICIONAL</t>
        </is>
      </c>
      <c r="E2262" s="34" t="n">
        <v>35790</v>
      </c>
      <c r="F2262" t="inlineStr">
        <is>
          <t>B</t>
        </is>
      </c>
      <c r="G2262" s="34" t="n">
        <v>5714</v>
      </c>
      <c r="H2262" s="34" t="n">
        <v>30076</v>
      </c>
      <c r="I2262" t="inlineStr">
        <is>
          <t>3.2</t>
        </is>
      </c>
      <c r="J2262" t="inlineStr">
        <is>
          <t>Ventas Personas (B2C)</t>
        </is>
      </c>
      <c r="K2262" t="inlineStr">
        <is>
          <t>CH2</t>
        </is>
      </c>
    </row>
    <row r="2263">
      <c r="A2263" s="33" t="n">
        <v>45853</v>
      </c>
      <c r="B2263" t="inlineStr">
        <is>
          <t>2025-07</t>
        </is>
      </c>
      <c r="C2263" t="inlineStr">
        <is>
          <t>Carolina Campo - Martinez</t>
        </is>
      </c>
      <c r="D2263" t="inlineStr">
        <is>
          <t>CANELE SIN AZUCAR</t>
        </is>
      </c>
      <c r="E2263" s="34" t="n">
        <v>13520</v>
      </c>
      <c r="F2263" t="inlineStr">
        <is>
          <t>B</t>
        </is>
      </c>
      <c r="G2263" s="34" t="n">
        <v>2159</v>
      </c>
      <c r="H2263" s="34" t="n">
        <v>11361</v>
      </c>
      <c r="I2263" t="inlineStr">
        <is>
          <t>3.2</t>
        </is>
      </c>
      <c r="J2263" t="inlineStr">
        <is>
          <t>Ventas Personas (B2C)</t>
        </is>
      </c>
      <c r="K2263" t="inlineStr">
        <is>
          <t>CH2</t>
        </is>
      </c>
    </row>
    <row r="2264">
      <c r="A2264" s="33" t="n">
        <v>45853</v>
      </c>
      <c r="B2264" t="inlineStr">
        <is>
          <t>2025-07</t>
        </is>
      </c>
      <c r="C2264" t="inlineStr">
        <is>
          <t>Oscar Retamal</t>
        </is>
      </c>
      <c r="D2264" t="inlineStr">
        <is>
          <t>CANELÉ TRADICIONAL</t>
        </is>
      </c>
      <c r="E2264" s="34" t="n">
        <v>34790</v>
      </c>
      <c r="F2264" t="inlineStr">
        <is>
          <t>B</t>
        </is>
      </c>
      <c r="G2264" s="34" t="n">
        <v>5555</v>
      </c>
      <c r="H2264" s="34" t="n">
        <v>29235</v>
      </c>
      <c r="I2264" t="inlineStr">
        <is>
          <t>3.2</t>
        </is>
      </c>
      <c r="J2264" t="inlineStr">
        <is>
          <t>Ventas Personas (B2C)</t>
        </is>
      </c>
      <c r="K2264" t="inlineStr">
        <is>
          <t>CH2</t>
        </is>
      </c>
    </row>
    <row r="2265">
      <c r="A2265" s="33" t="n">
        <v>45853</v>
      </c>
      <c r="B2265" t="inlineStr">
        <is>
          <t>2025-07</t>
        </is>
      </c>
      <c r="C2265" t="inlineStr">
        <is>
          <t>Daniel Weinberger elberg</t>
        </is>
      </c>
      <c r="D2265" t="inlineStr">
        <is>
          <t>CANELE SIN AZUCAR</t>
        </is>
      </c>
      <c r="E2265" s="34" t="n">
        <v>35289</v>
      </c>
      <c r="F2265" t="inlineStr">
        <is>
          <t>B</t>
        </is>
      </c>
      <c r="G2265" s="34" t="n">
        <v>5634</v>
      </c>
      <c r="H2265" s="34" t="n">
        <v>29655</v>
      </c>
      <c r="I2265" t="inlineStr">
        <is>
          <t>3.2</t>
        </is>
      </c>
      <c r="J2265" t="inlineStr">
        <is>
          <t>Ventas Personas (B2C)</t>
        </is>
      </c>
      <c r="K2265" t="inlineStr">
        <is>
          <t>CH2</t>
        </is>
      </c>
    </row>
    <row r="2266">
      <c r="A2266" s="33" t="n">
        <v>45853</v>
      </c>
      <c r="B2266" t="inlineStr">
        <is>
          <t>2025-07</t>
        </is>
      </c>
      <c r="C2266" t="inlineStr">
        <is>
          <t>Sin cliente</t>
        </is>
      </c>
      <c r="D2266" t="inlineStr">
        <is>
          <t>CANELÉ TRADICIONAL</t>
        </is>
      </c>
      <c r="E2266" s="34" t="n">
        <v>29800</v>
      </c>
      <c r="F2266" t="inlineStr">
        <is>
          <t>B</t>
        </is>
      </c>
      <c r="G2266" s="34" t="n">
        <v>4758</v>
      </c>
      <c r="H2266" s="34" t="n">
        <v>25042</v>
      </c>
      <c r="I2266" t="inlineStr">
        <is>
          <t>3.2</t>
        </is>
      </c>
      <c r="J2266" t="inlineStr">
        <is>
          <t>Ventas Personas (B2C)</t>
        </is>
      </c>
      <c r="K2266" t="inlineStr">
        <is>
          <t>CH2</t>
        </is>
      </c>
    </row>
    <row r="2267">
      <c r="A2267" s="33" t="n">
        <v>45853</v>
      </c>
      <c r="B2267" t="inlineStr">
        <is>
          <t>2025-07</t>
        </is>
      </c>
      <c r="C2267" t="inlineStr">
        <is>
          <t>Ljubica Milos Pedemonte</t>
        </is>
      </c>
      <c r="D2267" t="inlineStr">
        <is>
          <t>CANELÉ TRADICIONAL</t>
        </is>
      </c>
      <c r="E2267" s="34" t="n">
        <v>22890</v>
      </c>
      <c r="F2267" t="inlineStr">
        <is>
          <t>B</t>
        </is>
      </c>
      <c r="G2267" s="34" t="n">
        <v>3655</v>
      </c>
      <c r="H2267" s="34" t="n">
        <v>19235</v>
      </c>
      <c r="I2267" t="inlineStr">
        <is>
          <t>3.2</t>
        </is>
      </c>
      <c r="J2267" t="inlineStr">
        <is>
          <t>Ventas Personas (B2C)</t>
        </is>
      </c>
      <c r="K2267" t="inlineStr">
        <is>
          <t>CH2</t>
        </is>
      </c>
    </row>
    <row r="2268">
      <c r="A2268" s="33" t="n">
        <v>45853</v>
      </c>
      <c r="B2268" t="inlineStr">
        <is>
          <t>2025-07</t>
        </is>
      </c>
      <c r="C2268" t="inlineStr">
        <is>
          <t>Sin cliente</t>
        </is>
      </c>
      <c r="D2268" t="inlineStr">
        <is>
          <t>Mix Sabores</t>
        </is>
      </c>
      <c r="E2268" s="34" t="n">
        <v>14900</v>
      </c>
      <c r="F2268" t="inlineStr">
        <is>
          <t>B</t>
        </is>
      </c>
      <c r="G2268" s="34" t="n">
        <v>2379</v>
      </c>
      <c r="H2268" s="34" t="n">
        <v>12521</v>
      </c>
      <c r="I2268" t="inlineStr">
        <is>
          <t>3.2</t>
        </is>
      </c>
      <c r="J2268" t="inlineStr">
        <is>
          <t>Ventas Personas (B2C)</t>
        </is>
      </c>
      <c r="K2268" t="inlineStr">
        <is>
          <t>CH2</t>
        </is>
      </c>
    </row>
    <row r="2269">
      <c r="A2269" s="33" t="n">
        <v>45853</v>
      </c>
      <c r="B2269" t="inlineStr">
        <is>
          <t>2025-07</t>
        </is>
      </c>
      <c r="C2269" t="inlineStr">
        <is>
          <t>Sin cliente</t>
        </is>
      </c>
      <c r="D2269" t="inlineStr">
        <is>
          <t>Petit Tradicional</t>
        </is>
      </c>
      <c r="E2269" s="34" t="n">
        <v>12900</v>
      </c>
      <c r="F2269" t="inlineStr">
        <is>
          <t>B</t>
        </is>
      </c>
      <c r="G2269" s="34" t="n">
        <v>2060</v>
      </c>
      <c r="H2269" s="34" t="n">
        <v>10840</v>
      </c>
      <c r="I2269" t="inlineStr">
        <is>
          <t>3.2</t>
        </is>
      </c>
      <c r="J2269" t="inlineStr">
        <is>
          <t>Ventas Personas (B2C)</t>
        </is>
      </c>
      <c r="K2269" t="inlineStr">
        <is>
          <t>CH2</t>
        </is>
      </c>
    </row>
    <row r="2270">
      <c r="A2270" s="33" t="n">
        <v>45853</v>
      </c>
      <c r="B2270" t="inlineStr">
        <is>
          <t>2025-07</t>
        </is>
      </c>
      <c r="C2270" t="inlineStr">
        <is>
          <t>Verónica Figueroa</t>
        </is>
      </c>
      <c r="D2270" t="inlineStr">
        <is>
          <t>Petit Crunchy</t>
        </is>
      </c>
      <c r="E2270" s="34" t="n">
        <v>17890</v>
      </c>
      <c r="F2270" t="inlineStr">
        <is>
          <t>B</t>
        </is>
      </c>
      <c r="G2270" s="34" t="n">
        <v>2856</v>
      </c>
      <c r="H2270" s="34" t="n">
        <v>15034</v>
      </c>
      <c r="I2270" t="inlineStr">
        <is>
          <t>3.2</t>
        </is>
      </c>
      <c r="J2270" t="inlineStr">
        <is>
          <t>Ventas Personas (B2C)</t>
        </is>
      </c>
      <c r="K2270" t="inlineStr">
        <is>
          <t>CH2</t>
        </is>
      </c>
    </row>
    <row r="2271">
      <c r="A2271" s="33" t="n">
        <v>45853</v>
      </c>
      <c r="B2271" t="inlineStr">
        <is>
          <t>2025-07</t>
        </is>
      </c>
      <c r="C2271" t="inlineStr">
        <is>
          <t>Pamela Aguilera</t>
        </is>
      </c>
      <c r="D2271" t="inlineStr">
        <is>
          <t>Rellenos</t>
        </is>
      </c>
      <c r="E2271" s="34" t="n">
        <v>49790</v>
      </c>
      <c r="F2271" t="inlineStr">
        <is>
          <t>B</t>
        </is>
      </c>
      <c r="G2271" s="34" t="n">
        <v>7950</v>
      </c>
      <c r="H2271" s="34" t="n">
        <v>41840</v>
      </c>
      <c r="I2271" t="inlineStr">
        <is>
          <t>3.2</t>
        </is>
      </c>
      <c r="J2271" t="inlineStr">
        <is>
          <t>Ventas Personas (B2C)</t>
        </is>
      </c>
      <c r="K2271" t="inlineStr">
        <is>
          <t>CH2</t>
        </is>
      </c>
    </row>
    <row r="2272">
      <c r="A2272" s="33" t="n">
        <v>45854</v>
      </c>
      <c r="B2272" t="inlineStr">
        <is>
          <t>2025-07</t>
        </is>
      </c>
      <c r="C2272" t="inlineStr">
        <is>
          <t>Panduz panaderia y cafeteria SPA</t>
        </is>
      </c>
      <c r="D2272" t="inlineStr">
        <is>
          <t>HORECA CAFETERIA</t>
        </is>
      </c>
      <c r="E2272" s="34" t="n">
        <v>88599</v>
      </c>
      <c r="F2272" t="inlineStr">
        <is>
          <t>F</t>
        </is>
      </c>
      <c r="G2272" s="34" t="n">
        <v>14146</v>
      </c>
      <c r="H2272" s="34" t="n">
        <v>74453</v>
      </c>
      <c r="I2272" t="inlineStr">
        <is>
          <t>3.1</t>
        </is>
      </c>
      <c r="J2272" t="inlineStr">
        <is>
          <t>Ventas HoReCa</t>
        </is>
      </c>
      <c r="K2272" t="inlineStr">
        <is>
          <t>CH1</t>
        </is>
      </c>
    </row>
    <row r="2273">
      <c r="A2273" s="33" t="n">
        <v>45854</v>
      </c>
      <c r="B2273" t="inlineStr">
        <is>
          <t>2025-07</t>
        </is>
      </c>
      <c r="C2273" t="inlineStr">
        <is>
          <t>CAFETERIA THE ELEPHANT COFFEE LIMITADA</t>
        </is>
      </c>
      <c r="D2273" t="inlineStr">
        <is>
          <t>HORECA CAFETERIA</t>
        </is>
      </c>
      <c r="E2273" s="34" t="n">
        <v>137865</v>
      </c>
      <c r="F2273" t="inlineStr">
        <is>
          <t>F</t>
        </is>
      </c>
      <c r="G2273" s="34" t="n">
        <v>22012</v>
      </c>
      <c r="H2273" s="34" t="n">
        <v>115853</v>
      </c>
      <c r="I2273" t="inlineStr">
        <is>
          <t>3.1</t>
        </is>
      </c>
      <c r="J2273" t="inlineStr">
        <is>
          <t>Ventas HoReCa</t>
        </is>
      </c>
      <c r="K2273" t="inlineStr">
        <is>
          <t>CH1</t>
        </is>
      </c>
    </row>
    <row r="2274">
      <c r="A2274" s="33" t="n">
        <v>45854</v>
      </c>
      <c r="B2274" t="inlineStr">
        <is>
          <t>2025-07</t>
        </is>
      </c>
      <c r="C2274" t="inlineStr">
        <is>
          <t>Constanza Jiménez</t>
        </is>
      </c>
      <c r="D2274" t="inlineStr">
        <is>
          <t>Rellenos</t>
        </is>
      </c>
      <c r="E2274" s="34" t="n">
        <v>23900</v>
      </c>
      <c r="F2274" t="inlineStr">
        <is>
          <t>B</t>
        </is>
      </c>
      <c r="G2274" s="34" t="n">
        <v>3816</v>
      </c>
      <c r="H2274" s="34" t="n">
        <v>20084</v>
      </c>
      <c r="I2274" t="inlineStr">
        <is>
          <t>3.2</t>
        </is>
      </c>
      <c r="J2274" t="inlineStr">
        <is>
          <t>Ventas Personas (B2C)</t>
        </is>
      </c>
      <c r="K2274" t="inlineStr">
        <is>
          <t>CH2</t>
        </is>
      </c>
    </row>
    <row r="2275">
      <c r="A2275" s="33" t="n">
        <v>45854</v>
      </c>
      <c r="B2275" t="inlineStr">
        <is>
          <t>2025-07</t>
        </is>
      </c>
      <c r="C2275" t="inlineStr">
        <is>
          <t>Sin cliente</t>
        </is>
      </c>
      <c r="D2275" t="inlineStr">
        <is>
          <t>PLATAFORMAS RAP-PEYA-UBER-GOOD</t>
        </is>
      </c>
      <c r="E2275" s="34" t="n">
        <v>32280</v>
      </c>
      <c r="F2275" t="inlineStr">
        <is>
          <t>B</t>
        </is>
      </c>
      <c r="G2275" s="34" t="n">
        <v>5154</v>
      </c>
      <c r="H2275" s="34" t="n">
        <v>27126</v>
      </c>
      <c r="I2275" t="inlineStr">
        <is>
          <t>3.6</t>
        </is>
      </c>
      <c r="J2275" t="inlineStr">
        <is>
          <t>Ventas Delivery Apps</t>
        </is>
      </c>
      <c r="K2275" t="inlineStr">
        <is>
          <t>CH3</t>
        </is>
      </c>
    </row>
    <row r="2276">
      <c r="A2276" s="33" t="n">
        <v>45854</v>
      </c>
      <c r="B2276" t="inlineStr">
        <is>
          <t>2025-07</t>
        </is>
      </c>
      <c r="C2276" t="inlineStr">
        <is>
          <t>Sin cliente</t>
        </is>
      </c>
      <c r="D2276" t="inlineStr">
        <is>
          <t>CANELÉ TRADICIONAL</t>
        </is>
      </c>
      <c r="E2276" s="34" t="n">
        <v>28800</v>
      </c>
      <c r="F2276" t="inlineStr">
        <is>
          <t>B</t>
        </is>
      </c>
      <c r="G2276" s="34" t="n">
        <v>4598</v>
      </c>
      <c r="H2276" s="34" t="n">
        <v>24202</v>
      </c>
      <c r="I2276" t="inlineStr">
        <is>
          <t>3.2</t>
        </is>
      </c>
      <c r="J2276" t="inlineStr">
        <is>
          <t>Ventas Personas (B2C)</t>
        </is>
      </c>
      <c r="K2276" t="inlineStr">
        <is>
          <t>CH2</t>
        </is>
      </c>
    </row>
    <row r="2277">
      <c r="A2277" s="33" t="n">
        <v>45854</v>
      </c>
      <c r="B2277" t="inlineStr">
        <is>
          <t>2025-07</t>
        </is>
      </c>
      <c r="C2277" t="inlineStr">
        <is>
          <t>Sin cliente</t>
        </is>
      </c>
      <c r="D2277" t="inlineStr">
        <is>
          <t>PLATAFORMAS RAP-PEYA-UBER-GOOD</t>
        </is>
      </c>
      <c r="E2277" s="34" t="n">
        <v>17880</v>
      </c>
      <c r="F2277" t="inlineStr">
        <is>
          <t>B</t>
        </is>
      </c>
      <c r="G2277" s="34" t="n">
        <v>2855</v>
      </c>
      <c r="H2277" s="34" t="n">
        <v>15025</v>
      </c>
      <c r="I2277" t="inlineStr">
        <is>
          <t>3.6</t>
        </is>
      </c>
      <c r="J2277" t="inlineStr">
        <is>
          <t>Ventas Delivery Apps</t>
        </is>
      </c>
      <c r="K2277" t="inlineStr">
        <is>
          <t>CH3</t>
        </is>
      </c>
    </row>
    <row r="2278">
      <c r="A2278" s="33" t="n">
        <v>45854</v>
      </c>
      <c r="B2278" t="inlineStr">
        <is>
          <t>2025-07</t>
        </is>
      </c>
      <c r="C2278" t="inlineStr">
        <is>
          <t>Maria Fernanda Corral</t>
        </is>
      </c>
      <c r="D2278" t="inlineStr">
        <is>
          <t>Petit Crunchy</t>
        </is>
      </c>
      <c r="E2278" s="34" t="n">
        <v>25900</v>
      </c>
      <c r="F2278" t="inlineStr">
        <is>
          <t>B</t>
        </is>
      </c>
      <c r="G2278" s="34" t="n">
        <v>4135</v>
      </c>
      <c r="H2278" s="34" t="n">
        <v>21765</v>
      </c>
      <c r="I2278" t="inlineStr">
        <is>
          <t>3.2</t>
        </is>
      </c>
      <c r="J2278" t="inlineStr">
        <is>
          <t>Ventas Personas (B2C)</t>
        </is>
      </c>
      <c r="K2278" t="inlineStr">
        <is>
          <t>CH2</t>
        </is>
      </c>
    </row>
    <row r="2279">
      <c r="A2279" s="33" t="n">
        <v>45854</v>
      </c>
      <c r="B2279" t="inlineStr">
        <is>
          <t>2025-07</t>
        </is>
      </c>
      <c r="C2279" t="inlineStr">
        <is>
          <t>Sin cliente</t>
        </is>
      </c>
      <c r="D2279" t="inlineStr">
        <is>
          <t>CANELÉ TRADICIONAL</t>
        </is>
      </c>
      <c r="E2279" s="34" t="n">
        <v>21900</v>
      </c>
      <c r="F2279" t="inlineStr">
        <is>
          <t>B</t>
        </is>
      </c>
      <c r="G2279" s="34" t="n">
        <v>3497</v>
      </c>
      <c r="H2279" s="34" t="n">
        <v>18403</v>
      </c>
      <c r="I2279" t="inlineStr">
        <is>
          <t>3.2</t>
        </is>
      </c>
      <c r="J2279" t="inlineStr">
        <is>
          <t>Ventas Personas (B2C)</t>
        </is>
      </c>
      <c r="K2279" t="inlineStr">
        <is>
          <t>CH2</t>
        </is>
      </c>
    </row>
    <row r="2280">
      <c r="A2280" s="33" t="n">
        <v>45855</v>
      </c>
      <c r="B2280" t="inlineStr">
        <is>
          <t>2025-07</t>
        </is>
      </c>
      <c r="C2280" t="inlineStr">
        <is>
          <t>PRODUCTORA GALDAMES CORTEZ LIMITADA</t>
        </is>
      </c>
      <c r="D2280" t="inlineStr">
        <is>
          <t>HORECA CATERING</t>
        </is>
      </c>
      <c r="E2280" s="34" t="n">
        <v>59500</v>
      </c>
      <c r="F2280" t="inlineStr">
        <is>
          <t>F</t>
        </is>
      </c>
      <c r="G2280" s="34" t="n">
        <v>9500</v>
      </c>
      <c r="H2280" s="34" t="n">
        <v>50000</v>
      </c>
      <c r="I2280" t="inlineStr">
        <is>
          <t>3.1</t>
        </is>
      </c>
      <c r="J2280" t="inlineStr">
        <is>
          <t>Ventas HoReCa</t>
        </is>
      </c>
      <c r="K2280" t="inlineStr">
        <is>
          <t>CH1</t>
        </is>
      </c>
    </row>
    <row r="2281">
      <c r="A2281" s="33" t="n">
        <v>45855</v>
      </c>
      <c r="B2281" t="inlineStr">
        <is>
          <t>2025-07</t>
        </is>
      </c>
      <c r="C2281" t="inlineStr">
        <is>
          <t>BLUE OAK COFFE SPA</t>
        </is>
      </c>
      <c r="D2281" t="inlineStr">
        <is>
          <t>HORECA CAFETERIA</t>
        </is>
      </c>
      <c r="E2281" s="34" t="n">
        <v>141015</v>
      </c>
      <c r="F2281" t="inlineStr">
        <is>
          <t>F</t>
        </is>
      </c>
      <c r="G2281" s="34" t="n">
        <v>22515</v>
      </c>
      <c r="H2281" s="34" t="n">
        <v>118500</v>
      </c>
      <c r="I2281" t="inlineStr">
        <is>
          <t>3.1</t>
        </is>
      </c>
      <c r="J2281" t="inlineStr">
        <is>
          <t>Ventas HoReCa</t>
        </is>
      </c>
      <c r="K2281" t="inlineStr">
        <is>
          <t>CH1</t>
        </is>
      </c>
    </row>
    <row r="2282">
      <c r="A2282" s="33" t="n">
        <v>45855</v>
      </c>
      <c r="B2282" t="inlineStr">
        <is>
          <t>2025-07</t>
        </is>
      </c>
      <c r="C2282" t="inlineStr">
        <is>
          <t>HUERTO SUR LIMITADA</t>
        </is>
      </c>
      <c r="D2282" t="inlineStr">
        <is>
          <t>HORECA CAFETERIA</t>
        </is>
      </c>
      <c r="E2282" s="34" t="n">
        <v>89599</v>
      </c>
      <c r="F2282" t="inlineStr">
        <is>
          <t>F</t>
        </is>
      </c>
      <c r="G2282" s="34" t="n">
        <v>14306</v>
      </c>
      <c r="H2282" s="34" t="n">
        <v>75293</v>
      </c>
      <c r="I2282" t="inlineStr">
        <is>
          <t>3.1</t>
        </is>
      </c>
      <c r="J2282" t="inlineStr">
        <is>
          <t>Ventas HoReCa</t>
        </is>
      </c>
      <c r="K2282" t="inlineStr">
        <is>
          <t>CH1</t>
        </is>
      </c>
    </row>
    <row r="2283">
      <c r="A2283" s="33" t="n">
        <v>45855</v>
      </c>
      <c r="B2283" t="inlineStr">
        <is>
          <t>2025-07</t>
        </is>
      </c>
      <c r="C2283" t="inlineStr">
        <is>
          <t>D&amp;S SERVICIOS DE ALIMENTACIÓN SpA</t>
        </is>
      </c>
      <c r="D2283" t="inlineStr">
        <is>
          <t xml:space="preserve">THE COFFEE STORE </t>
        </is>
      </c>
      <c r="E2283" s="34" t="n">
        <v>37977</v>
      </c>
      <c r="F2283" t="inlineStr">
        <is>
          <t>F</t>
        </is>
      </c>
      <c r="G2283" s="34" t="n">
        <v>6064</v>
      </c>
      <c r="H2283" s="34" t="n">
        <v>31913</v>
      </c>
      <c r="I2283" t="inlineStr">
        <is>
          <t>3.1</t>
        </is>
      </c>
      <c r="J2283" t="inlineStr">
        <is>
          <t>Ventas HoReCa</t>
        </is>
      </c>
      <c r="K2283" t="inlineStr">
        <is>
          <t>CH1</t>
        </is>
      </c>
    </row>
    <row r="2284">
      <c r="A2284" s="33" t="n">
        <v>45855</v>
      </c>
      <c r="B2284" t="inlineStr">
        <is>
          <t>2025-07</t>
        </is>
      </c>
      <c r="C2284" t="inlineStr">
        <is>
          <t>HUERTO SUR LIMITADA</t>
        </is>
      </c>
      <c r="D2284" t="inlineStr">
        <is>
          <t>HORECA CAFETERIA</t>
        </is>
      </c>
      <c r="E2284" s="34" t="n">
        <v>89599</v>
      </c>
      <c r="F2284" t="inlineStr">
        <is>
          <t>F</t>
        </is>
      </c>
      <c r="G2284" s="34" t="n">
        <v>14306</v>
      </c>
      <c r="H2284" s="34" t="n">
        <v>75293</v>
      </c>
      <c r="I2284" t="inlineStr">
        <is>
          <t>3.1</t>
        </is>
      </c>
      <c r="J2284" t="inlineStr">
        <is>
          <t>Ventas HoReCa</t>
        </is>
      </c>
      <c r="K2284" t="inlineStr">
        <is>
          <t>CH1</t>
        </is>
      </c>
    </row>
    <row r="2285">
      <c r="A2285" s="33" t="n">
        <v>45855</v>
      </c>
      <c r="B2285" t="inlineStr">
        <is>
          <t>2025-07</t>
        </is>
      </c>
      <c r="C2285" t="inlineStr">
        <is>
          <t>HUERTO SUR LIMITADA</t>
        </is>
      </c>
      <c r="D2285" t="inlineStr">
        <is>
          <t>HORECA CAFETERIA</t>
        </is>
      </c>
      <c r="E2285" s="34" t="n">
        <v>89599</v>
      </c>
      <c r="F2285" t="inlineStr">
        <is>
          <t>F</t>
        </is>
      </c>
      <c r="G2285" s="34" t="n">
        <v>14306</v>
      </c>
      <c r="H2285" s="34" t="n">
        <v>75293</v>
      </c>
      <c r="I2285" t="inlineStr">
        <is>
          <t>3.1</t>
        </is>
      </c>
      <c r="J2285" t="inlineStr">
        <is>
          <t>Ventas HoReCa</t>
        </is>
      </c>
      <c r="K2285" t="inlineStr">
        <is>
          <t>CH1</t>
        </is>
      </c>
    </row>
    <row r="2286">
      <c r="A2286" s="33" t="n">
        <v>45855</v>
      </c>
      <c r="B2286" t="inlineStr">
        <is>
          <t>2025-07</t>
        </is>
      </c>
      <c r="C2286" t="inlineStr">
        <is>
          <t>CAFÉ UNDER SPA</t>
        </is>
      </c>
      <c r="D2286" t="inlineStr">
        <is>
          <t>HORECA CAFETERIA</t>
        </is>
      </c>
      <c r="E2286" s="34" t="n">
        <v>63966</v>
      </c>
      <c r="F2286" t="inlineStr">
        <is>
          <t>F</t>
        </is>
      </c>
      <c r="G2286" s="34" t="n">
        <v>10213</v>
      </c>
      <c r="H2286" s="34" t="n">
        <v>53753</v>
      </c>
      <c r="I2286" t="inlineStr">
        <is>
          <t>3.1</t>
        </is>
      </c>
      <c r="J2286" t="inlineStr">
        <is>
          <t>Ventas HoReCa</t>
        </is>
      </c>
      <c r="K2286" t="inlineStr">
        <is>
          <t>CH1</t>
        </is>
      </c>
    </row>
    <row r="2287">
      <c r="A2287" s="33" t="n">
        <v>45855</v>
      </c>
      <c r="B2287" t="inlineStr">
        <is>
          <t>2025-07</t>
        </is>
      </c>
      <c r="C2287" t="inlineStr">
        <is>
          <t>Zoltan von Bernath</t>
        </is>
      </c>
      <c r="D2287" t="inlineStr">
        <is>
          <t>CANELÉ TRADICIONAL</t>
        </is>
      </c>
      <c r="E2287" s="34" t="n">
        <v>17889</v>
      </c>
      <c r="F2287" t="inlineStr">
        <is>
          <t>B</t>
        </is>
      </c>
      <c r="G2287" s="34" t="n">
        <v>2856</v>
      </c>
      <c r="H2287" s="34" t="n">
        <v>15033</v>
      </c>
      <c r="I2287" t="inlineStr">
        <is>
          <t>3.2</t>
        </is>
      </c>
      <c r="J2287" t="inlineStr">
        <is>
          <t>Ventas Personas (B2C)</t>
        </is>
      </c>
      <c r="K2287" t="inlineStr">
        <is>
          <t>CH2</t>
        </is>
      </c>
    </row>
    <row r="2288">
      <c r="A2288" s="33" t="n">
        <v>45855</v>
      </c>
      <c r="B2288" t="inlineStr">
        <is>
          <t>2025-07</t>
        </is>
      </c>
      <c r="C2288" t="inlineStr">
        <is>
          <t>LUIS TORO CASTRO</t>
        </is>
      </c>
      <c r="D2288" t="inlineStr">
        <is>
          <t>SALSAS</t>
        </is>
      </c>
      <c r="E2288" s="34" t="n">
        <v>36780</v>
      </c>
      <c r="F2288" t="inlineStr">
        <is>
          <t>B</t>
        </is>
      </c>
      <c r="G2288" s="34" t="n">
        <v>5872</v>
      </c>
      <c r="H2288" s="34" t="n">
        <v>30908</v>
      </c>
      <c r="I2288" t="inlineStr">
        <is>
          <t>3.2</t>
        </is>
      </c>
      <c r="J2288" t="inlineStr">
        <is>
          <t>Ventas Personas (B2C)</t>
        </is>
      </c>
      <c r="K2288" t="inlineStr">
        <is>
          <t>CH2</t>
        </is>
      </c>
    </row>
    <row r="2289">
      <c r="A2289" s="33" t="n">
        <v>45855</v>
      </c>
      <c r="B2289" t="inlineStr">
        <is>
          <t>2025-07</t>
        </is>
      </c>
      <c r="C2289" t="inlineStr">
        <is>
          <t>Fernanda Mayo</t>
        </is>
      </c>
      <c r="D2289" t="inlineStr">
        <is>
          <t>Petit Tradicional</t>
        </is>
      </c>
      <c r="E2289" s="34" t="n">
        <v>30900</v>
      </c>
      <c r="F2289" t="inlineStr">
        <is>
          <t>B</t>
        </is>
      </c>
      <c r="G2289" s="34" t="n">
        <v>4934</v>
      </c>
      <c r="H2289" s="34" t="n">
        <v>25966</v>
      </c>
      <c r="I2289" t="inlineStr">
        <is>
          <t>3.2</t>
        </is>
      </c>
      <c r="J2289" t="inlineStr">
        <is>
          <t>Ventas Personas (B2C)</t>
        </is>
      </c>
      <c r="K2289" t="inlineStr">
        <is>
          <t>CH2</t>
        </is>
      </c>
    </row>
    <row r="2290">
      <c r="A2290" s="33" t="n">
        <v>45855</v>
      </c>
      <c r="B2290" t="inlineStr">
        <is>
          <t>2025-07</t>
        </is>
      </c>
      <c r="C2290" t="inlineStr">
        <is>
          <t>Sin cliente</t>
        </is>
      </c>
      <c r="D2290" t="inlineStr">
        <is>
          <t>PLATAFORMAS RAP-PEYA-UBER-GOOD</t>
        </is>
      </c>
      <c r="E2290" s="34" t="n">
        <v>26280</v>
      </c>
      <c r="F2290" t="inlineStr">
        <is>
          <t>B</t>
        </is>
      </c>
      <c r="G2290" s="34" t="n">
        <v>4196</v>
      </c>
      <c r="H2290" s="34" t="n">
        <v>22084</v>
      </c>
      <c r="I2290" t="inlineStr">
        <is>
          <t>3.6</t>
        </is>
      </c>
      <c r="J2290" t="inlineStr">
        <is>
          <t>Ventas Delivery Apps</t>
        </is>
      </c>
      <c r="K2290" t="inlineStr">
        <is>
          <t>CH3</t>
        </is>
      </c>
    </row>
    <row r="2291">
      <c r="A2291" s="33" t="n">
        <v>45855</v>
      </c>
      <c r="B2291" t="inlineStr">
        <is>
          <t>2025-07</t>
        </is>
      </c>
      <c r="C2291" t="inlineStr">
        <is>
          <t>Sin cliente</t>
        </is>
      </c>
      <c r="D2291" t="inlineStr">
        <is>
          <t>PLATAFORMAS RAP-PEYA-UBER-GOOD</t>
        </is>
      </c>
      <c r="E2291" s="34" t="n">
        <v>26280</v>
      </c>
      <c r="F2291" t="inlineStr">
        <is>
          <t>B</t>
        </is>
      </c>
      <c r="G2291" s="34" t="n">
        <v>4196</v>
      </c>
      <c r="H2291" s="34" t="n">
        <v>22084</v>
      </c>
      <c r="I2291" t="inlineStr">
        <is>
          <t>3.6</t>
        </is>
      </c>
      <c r="J2291" t="inlineStr">
        <is>
          <t>Ventas Delivery Apps</t>
        </is>
      </c>
      <c r="K2291" t="inlineStr">
        <is>
          <t>CH3</t>
        </is>
      </c>
    </row>
    <row r="2292">
      <c r="A2292" s="33" t="n">
        <v>45855</v>
      </c>
      <c r="B2292" t="inlineStr">
        <is>
          <t>2025-07</t>
        </is>
      </c>
      <c r="C2292" t="inlineStr">
        <is>
          <t>Maria Fernanda Corral</t>
        </is>
      </c>
      <c r="D2292" t="inlineStr">
        <is>
          <t>REGION METROPOLITANA</t>
        </is>
      </c>
      <c r="E2292" s="34" t="n">
        <v>3990</v>
      </c>
      <c r="F2292" t="inlineStr">
        <is>
          <t>B</t>
        </is>
      </c>
      <c r="G2292" s="34" t="n">
        <v>637</v>
      </c>
      <c r="H2292" s="34" t="n">
        <v>3353</v>
      </c>
      <c r="I2292" t="inlineStr">
        <is>
          <t>3.2</t>
        </is>
      </c>
      <c r="J2292" t="inlineStr">
        <is>
          <t>Ventas Personas (B2C)</t>
        </is>
      </c>
      <c r="K2292" t="inlineStr">
        <is>
          <t>CH2</t>
        </is>
      </c>
    </row>
    <row r="2293">
      <c r="A2293" s="33" t="n">
        <v>45855</v>
      </c>
      <c r="B2293" t="inlineStr">
        <is>
          <t>2025-07</t>
        </is>
      </c>
      <c r="C2293" t="inlineStr">
        <is>
          <t>GUSTAVO MORENO</t>
        </is>
      </c>
      <c r="D2293" t="inlineStr">
        <is>
          <t>CANELÉ TRADICIONAL</t>
        </is>
      </c>
      <c r="E2293" s="34" t="n">
        <v>17520</v>
      </c>
      <c r="F2293" t="inlineStr">
        <is>
          <t>B</t>
        </is>
      </c>
      <c r="G2293" s="34" t="n">
        <v>2797</v>
      </c>
      <c r="H2293" s="34" t="n">
        <v>14723</v>
      </c>
      <c r="I2293" t="inlineStr">
        <is>
          <t>3.2</t>
        </is>
      </c>
      <c r="J2293" t="inlineStr">
        <is>
          <t>Ventas Personas (B2C)</t>
        </is>
      </c>
      <c r="K2293" t="inlineStr">
        <is>
          <t>CH2</t>
        </is>
      </c>
    </row>
    <row r="2294">
      <c r="A2294" s="33" t="n">
        <v>45855</v>
      </c>
      <c r="B2294" t="inlineStr">
        <is>
          <t>2025-07</t>
        </is>
      </c>
      <c r="C2294" t="inlineStr">
        <is>
          <t>Sin cliente</t>
        </is>
      </c>
      <c r="D2294" t="inlineStr">
        <is>
          <t>PLATAFORMAS RAP-PEYA-UBER-GOOD</t>
        </is>
      </c>
      <c r="E2294" s="34" t="n">
        <v>33468</v>
      </c>
      <c r="F2294" t="inlineStr">
        <is>
          <t>B</t>
        </is>
      </c>
      <c r="G2294" s="34" t="n">
        <v>5344</v>
      </c>
      <c r="H2294" s="34" t="n">
        <v>28124</v>
      </c>
      <c r="I2294" t="inlineStr">
        <is>
          <t>3.6</t>
        </is>
      </c>
      <c r="J2294" t="inlineStr">
        <is>
          <t>Ventas Delivery Apps</t>
        </is>
      </c>
      <c r="K2294" t="inlineStr">
        <is>
          <t>CH3</t>
        </is>
      </c>
    </row>
    <row r="2295">
      <c r="A2295" s="33" t="n">
        <v>45855</v>
      </c>
      <c r="B2295" t="inlineStr">
        <is>
          <t>2025-07</t>
        </is>
      </c>
      <c r="C2295" t="inlineStr">
        <is>
          <t>Catalina Mondaca</t>
        </is>
      </c>
      <c r="D2295" t="inlineStr">
        <is>
          <t>CANELÉ TRADICIONAL</t>
        </is>
      </c>
      <c r="E2295" s="34" t="n">
        <v>14900</v>
      </c>
      <c r="F2295" t="inlineStr">
        <is>
          <t>B</t>
        </is>
      </c>
      <c r="G2295" s="34" t="n">
        <v>2379</v>
      </c>
      <c r="H2295" s="34" t="n">
        <v>12521</v>
      </c>
      <c r="I2295" t="inlineStr">
        <is>
          <t>3.2</t>
        </is>
      </c>
      <c r="J2295" t="inlineStr">
        <is>
          <t>Ventas Personas (B2C)</t>
        </is>
      </c>
      <c r="K2295" t="inlineStr">
        <is>
          <t>CH2</t>
        </is>
      </c>
    </row>
    <row r="2296">
      <c r="A2296" s="33" t="n">
        <v>45855</v>
      </c>
      <c r="B2296" t="inlineStr">
        <is>
          <t>2025-07</t>
        </is>
      </c>
      <c r="C2296" t="inlineStr">
        <is>
          <t>Fernando Bustos Kaempffer</t>
        </is>
      </c>
      <c r="D2296" t="inlineStr">
        <is>
          <t>Petit Crunchy</t>
        </is>
      </c>
      <c r="E2296" s="34" t="n">
        <v>13900</v>
      </c>
      <c r="F2296" t="inlineStr">
        <is>
          <t>B</t>
        </is>
      </c>
      <c r="G2296" s="34" t="n">
        <v>2219</v>
      </c>
      <c r="H2296" s="34" t="n">
        <v>11681</v>
      </c>
      <c r="I2296" t="inlineStr">
        <is>
          <t>3.2</t>
        </is>
      </c>
      <c r="J2296" t="inlineStr">
        <is>
          <t>Ventas Personas (B2C)</t>
        </is>
      </c>
      <c r="K2296" t="inlineStr">
        <is>
          <t>CH2</t>
        </is>
      </c>
    </row>
    <row r="2297">
      <c r="A2297" s="33" t="n">
        <v>45855</v>
      </c>
      <c r="B2297" t="inlineStr">
        <is>
          <t>2025-07</t>
        </is>
      </c>
      <c r="C2297" t="inlineStr">
        <is>
          <t>Rodrigo Alfaro Gajardo</t>
        </is>
      </c>
      <c r="D2297" t="inlineStr">
        <is>
          <t>Petit Crunchy</t>
        </is>
      </c>
      <c r="E2297" s="34" t="n">
        <v>28300</v>
      </c>
      <c r="F2297" t="inlineStr">
        <is>
          <t>B</t>
        </is>
      </c>
      <c r="G2297" s="34" t="n">
        <v>4518</v>
      </c>
      <c r="H2297" s="34" t="n">
        <v>23782</v>
      </c>
      <c r="I2297" t="inlineStr">
        <is>
          <t>3.2</t>
        </is>
      </c>
      <c r="J2297" t="inlineStr">
        <is>
          <t>Ventas Personas (B2C)</t>
        </is>
      </c>
      <c r="K2297" t="inlineStr">
        <is>
          <t>CH2</t>
        </is>
      </c>
    </row>
    <row r="2298">
      <c r="A2298" s="33" t="n">
        <v>45856</v>
      </c>
      <c r="B2298" t="inlineStr">
        <is>
          <t>2025-07</t>
        </is>
      </c>
      <c r="C2298" t="inlineStr">
        <is>
          <t>HUERTO SUR LIMITADA</t>
        </is>
      </c>
      <c r="D2298" t="inlineStr">
        <is>
          <t>HORECA CAFETERIA</t>
        </is>
      </c>
      <c r="E2298" s="34" t="n">
        <v>93954</v>
      </c>
      <c r="F2298" t="inlineStr">
        <is>
          <t>F</t>
        </is>
      </c>
      <c r="G2298" s="34" t="n">
        <v>15001</v>
      </c>
      <c r="H2298" s="34" t="n">
        <v>78953</v>
      </c>
      <c r="I2298" t="inlineStr">
        <is>
          <t>3.1</t>
        </is>
      </c>
      <c r="J2298" t="inlineStr">
        <is>
          <t>Ventas HoReCa</t>
        </is>
      </c>
      <c r="K2298" t="inlineStr">
        <is>
          <t>CH1</t>
        </is>
      </c>
    </row>
    <row r="2299">
      <c r="A2299" s="33" t="n">
        <v>45856</v>
      </c>
      <c r="B2299" t="inlineStr">
        <is>
          <t>2025-07</t>
        </is>
      </c>
      <c r="C2299" t="inlineStr">
        <is>
          <t>BUSTORF LARSEN Y COMPANIA LIMITADA</t>
        </is>
      </c>
      <c r="D2299" t="inlineStr">
        <is>
          <t>HORECA CAFETERIA</t>
        </is>
      </c>
      <c r="E2299" s="34" t="n">
        <v>64966</v>
      </c>
      <c r="F2299" t="inlineStr">
        <is>
          <t>F</t>
        </is>
      </c>
      <c r="G2299" s="34" t="n">
        <v>10373</v>
      </c>
      <c r="H2299" s="34" t="n">
        <v>54593</v>
      </c>
      <c r="I2299" t="inlineStr">
        <is>
          <t>3.1</t>
        </is>
      </c>
      <c r="J2299" t="inlineStr">
        <is>
          <t>Ventas HoReCa</t>
        </is>
      </c>
      <c r="K2299" t="inlineStr">
        <is>
          <t>CH1</t>
        </is>
      </c>
    </row>
    <row r="2300">
      <c r="A2300" s="33" t="n">
        <v>45856</v>
      </c>
      <c r="B2300" t="inlineStr">
        <is>
          <t>2025-07</t>
        </is>
      </c>
      <c r="C2300" t="inlineStr">
        <is>
          <t>BUSTORF LARSEN Y COMPANIA LIMITADA</t>
        </is>
      </c>
      <c r="D2300" t="inlineStr">
        <is>
          <t>HORECA CAFETERIA</t>
        </is>
      </c>
      <c r="E2300" s="34" t="n">
        <v>64966</v>
      </c>
      <c r="F2300" t="inlineStr">
        <is>
          <t>F</t>
        </is>
      </c>
      <c r="G2300" s="34" t="n">
        <v>10373</v>
      </c>
      <c r="H2300" s="34" t="n">
        <v>54593</v>
      </c>
      <c r="I2300" t="inlineStr">
        <is>
          <t>3.1</t>
        </is>
      </c>
      <c r="J2300" t="inlineStr">
        <is>
          <t>Ventas HoReCa</t>
        </is>
      </c>
      <c r="K2300" t="inlineStr">
        <is>
          <t>CH1</t>
        </is>
      </c>
    </row>
    <row r="2301">
      <c r="A2301" s="33" t="n">
        <v>45856</v>
      </c>
      <c r="B2301" t="inlineStr">
        <is>
          <t>2025-07</t>
        </is>
      </c>
      <c r="C2301" t="inlineStr">
        <is>
          <t>HUERTO SUR LIMITADA</t>
        </is>
      </c>
      <c r="D2301" t="inlineStr">
        <is>
          <t>HORECA CAFETERIA</t>
        </is>
      </c>
      <c r="E2301" s="34" t="n">
        <v>88599</v>
      </c>
      <c r="F2301" t="inlineStr">
        <is>
          <t>F</t>
        </is>
      </c>
      <c r="G2301" s="34" t="n">
        <v>14146</v>
      </c>
      <c r="H2301" s="34" t="n">
        <v>74453</v>
      </c>
      <c r="I2301" t="inlineStr">
        <is>
          <t>3.1</t>
        </is>
      </c>
      <c r="J2301" t="inlineStr">
        <is>
          <t>Ventas HoReCa</t>
        </is>
      </c>
      <c r="K2301" t="inlineStr">
        <is>
          <t>CH1</t>
        </is>
      </c>
    </row>
    <row r="2302">
      <c r="A2302" s="33" t="n">
        <v>45856</v>
      </c>
      <c r="B2302" t="inlineStr">
        <is>
          <t>2025-07</t>
        </is>
      </c>
      <c r="C2302" t="inlineStr">
        <is>
          <t>HUERTO SUR LIMITADA</t>
        </is>
      </c>
      <c r="D2302" t="inlineStr">
        <is>
          <t>HORECA CAFETERIA</t>
        </is>
      </c>
      <c r="E2302" s="34" t="n">
        <v>88599</v>
      </c>
      <c r="F2302" t="inlineStr">
        <is>
          <t>F</t>
        </is>
      </c>
      <c r="G2302" s="34" t="n">
        <v>14146</v>
      </c>
      <c r="H2302" s="34" t="n">
        <v>74453</v>
      </c>
      <c r="I2302" t="inlineStr">
        <is>
          <t>3.1</t>
        </is>
      </c>
      <c r="J2302" t="inlineStr">
        <is>
          <t>Ventas HoReCa</t>
        </is>
      </c>
      <c r="K2302" t="inlineStr">
        <is>
          <t>CH1</t>
        </is>
      </c>
    </row>
    <row r="2303">
      <c r="A2303" s="33" t="n">
        <v>45856</v>
      </c>
      <c r="B2303" t="inlineStr">
        <is>
          <t>2025-07</t>
        </is>
      </c>
      <c r="C2303" t="inlineStr">
        <is>
          <t>POMPON SPA</t>
        </is>
      </c>
      <c r="D2303" t="inlineStr">
        <is>
          <t>HORECA CAFETERIA</t>
        </is>
      </c>
      <c r="E2303" s="34" t="n">
        <v>177310</v>
      </c>
      <c r="F2303" t="inlineStr">
        <is>
          <t>F</t>
        </is>
      </c>
      <c r="G2303" s="34" t="n">
        <v>28310</v>
      </c>
      <c r="H2303" s="34" t="n">
        <v>149000</v>
      </c>
      <c r="I2303" t="inlineStr">
        <is>
          <t>3.1</t>
        </is>
      </c>
      <c r="J2303" t="inlineStr">
        <is>
          <t>Ventas HoReCa</t>
        </is>
      </c>
      <c r="K2303" t="inlineStr">
        <is>
          <t>CH1</t>
        </is>
      </c>
    </row>
    <row r="2304">
      <c r="A2304" s="33" t="n">
        <v>45856</v>
      </c>
      <c r="B2304" t="inlineStr">
        <is>
          <t>2025-07</t>
        </is>
      </c>
      <c r="C2304" t="inlineStr">
        <is>
          <t>Better Food Spa</t>
        </is>
      </c>
      <c r="D2304" t="inlineStr">
        <is>
          <t>HORECA CAFETERIA</t>
        </is>
      </c>
      <c r="E2304" s="34" t="n">
        <v>659736</v>
      </c>
      <c r="F2304" t="inlineStr">
        <is>
          <t>F</t>
        </is>
      </c>
      <c r="G2304" s="34" t="n">
        <v>105336</v>
      </c>
      <c r="H2304" s="34" t="n">
        <v>554400</v>
      </c>
      <c r="I2304" t="inlineStr">
        <is>
          <t>3.1</t>
        </is>
      </c>
      <c r="J2304" t="inlineStr">
        <is>
          <t>Ventas HoReCa</t>
        </is>
      </c>
      <c r="K2304" t="inlineStr">
        <is>
          <t>CH1</t>
        </is>
      </c>
    </row>
    <row r="2305">
      <c r="A2305" s="33" t="n">
        <v>45856</v>
      </c>
      <c r="B2305" t="inlineStr">
        <is>
          <t>2025-07</t>
        </is>
      </c>
      <c r="C2305" t="inlineStr">
        <is>
          <t>Paula Rivera carrillo</t>
        </is>
      </c>
      <c r="D2305" t="inlineStr">
        <is>
          <t>CANELÉ TRADICIONAL</t>
        </is>
      </c>
      <c r="E2305" s="34" t="n">
        <v>18889</v>
      </c>
      <c r="F2305" t="inlineStr">
        <is>
          <t>B</t>
        </is>
      </c>
      <c r="G2305" s="34" t="n">
        <v>3016</v>
      </c>
      <c r="H2305" s="34" t="n">
        <v>15873</v>
      </c>
      <c r="I2305" t="inlineStr">
        <is>
          <t>3.2</t>
        </is>
      </c>
      <c r="J2305" t="inlineStr">
        <is>
          <t>Ventas Personas (B2C)</t>
        </is>
      </c>
      <c r="K2305" t="inlineStr">
        <is>
          <t>CH2</t>
        </is>
      </c>
    </row>
    <row r="2306">
      <c r="A2306" s="33" t="n">
        <v>45856</v>
      </c>
      <c r="B2306" t="inlineStr">
        <is>
          <t>2025-07</t>
        </is>
      </c>
      <c r="C2306" t="inlineStr">
        <is>
          <t>CAFE DIARIO ENCOMENDEROS SPA</t>
        </is>
      </c>
      <c r="D2306" t="inlineStr">
        <is>
          <t>HORECA CAFETERIA</t>
        </is>
      </c>
      <c r="E2306" s="34" t="n">
        <v>82830</v>
      </c>
      <c r="F2306" t="inlineStr">
        <is>
          <t>F</t>
        </is>
      </c>
      <c r="G2306" s="34" t="n">
        <v>13225</v>
      </c>
      <c r="H2306" s="34" t="n">
        <v>69605</v>
      </c>
      <c r="I2306" t="inlineStr">
        <is>
          <t>3.1</t>
        </is>
      </c>
      <c r="J2306" t="inlineStr">
        <is>
          <t>Ventas HoReCa</t>
        </is>
      </c>
      <c r="K2306" t="inlineStr">
        <is>
          <t>CH1</t>
        </is>
      </c>
    </row>
    <row r="2307">
      <c r="A2307" s="33" t="n">
        <v>45856</v>
      </c>
      <c r="B2307" t="inlineStr">
        <is>
          <t>2025-07</t>
        </is>
      </c>
      <c r="C2307" t="inlineStr">
        <is>
          <t>Quintana&amp;Rivera SpA</t>
        </is>
      </c>
      <c r="D2307" t="inlineStr">
        <is>
          <t>HORECA CAFETERIA</t>
        </is>
      </c>
      <c r="E2307" s="34" t="n">
        <v>486020</v>
      </c>
      <c r="F2307" t="inlineStr">
        <is>
          <t>F</t>
        </is>
      </c>
      <c r="G2307" s="34" t="n">
        <v>77600</v>
      </c>
      <c r="H2307" s="34" t="n">
        <v>408420</v>
      </c>
      <c r="I2307" t="inlineStr">
        <is>
          <t>3.1</t>
        </is>
      </c>
      <c r="J2307" t="inlineStr">
        <is>
          <t>Ventas HoReCa</t>
        </is>
      </c>
      <c r="K2307" t="inlineStr">
        <is>
          <t>CH1</t>
        </is>
      </c>
    </row>
    <row r="2308">
      <c r="A2308" s="33" t="n">
        <v>45856</v>
      </c>
      <c r="B2308" t="inlineStr">
        <is>
          <t>2025-07</t>
        </is>
      </c>
      <c r="C2308" t="inlineStr">
        <is>
          <t>Camila Velez</t>
        </is>
      </c>
      <c r="D2308" t="inlineStr">
        <is>
          <t>Mix Sabores</t>
        </is>
      </c>
      <c r="E2308" s="34" t="n">
        <v>35080</v>
      </c>
      <c r="F2308" t="inlineStr">
        <is>
          <t>B</t>
        </is>
      </c>
      <c r="G2308" s="34" t="n">
        <v>5601</v>
      </c>
      <c r="H2308" s="34" t="n">
        <v>29479</v>
      </c>
      <c r="I2308" t="inlineStr">
        <is>
          <t>3.2</t>
        </is>
      </c>
      <c r="J2308" t="inlineStr">
        <is>
          <t>Ventas Personas (B2C)</t>
        </is>
      </c>
      <c r="K2308" t="inlineStr">
        <is>
          <t>CH2</t>
        </is>
      </c>
    </row>
    <row r="2309">
      <c r="A2309" s="33" t="n">
        <v>45856</v>
      </c>
      <c r="B2309" t="inlineStr">
        <is>
          <t>2025-07</t>
        </is>
      </c>
      <c r="C2309" t="inlineStr">
        <is>
          <t>Sin cliente</t>
        </is>
      </c>
      <c r="D2309" t="inlineStr">
        <is>
          <t>Petit Tradicional</t>
        </is>
      </c>
      <c r="E2309" s="34" t="n">
        <v>19890</v>
      </c>
      <c r="F2309" t="inlineStr">
        <is>
          <t>B</t>
        </is>
      </c>
      <c r="G2309" s="34" t="n">
        <v>3176</v>
      </c>
      <c r="H2309" s="34" t="n">
        <v>16714</v>
      </c>
      <c r="I2309" t="inlineStr">
        <is>
          <t>3.2</t>
        </is>
      </c>
      <c r="J2309" t="inlineStr">
        <is>
          <t>Ventas Personas (B2C)</t>
        </is>
      </c>
      <c r="K2309" t="inlineStr">
        <is>
          <t>CH2</t>
        </is>
      </c>
    </row>
    <row r="2310">
      <c r="A2310" s="33" t="n">
        <v>45856</v>
      </c>
      <c r="B2310" t="inlineStr">
        <is>
          <t>2025-07</t>
        </is>
      </c>
      <c r="C2310" t="inlineStr">
        <is>
          <t>Cote Marchat</t>
        </is>
      </c>
      <c r="D2310" t="inlineStr">
        <is>
          <t>Petit Crunchy</t>
        </is>
      </c>
      <c r="E2310" s="34" t="n">
        <v>17889</v>
      </c>
      <c r="F2310" t="inlineStr">
        <is>
          <t>B</t>
        </is>
      </c>
      <c r="G2310" s="34" t="n">
        <v>2856</v>
      </c>
      <c r="H2310" s="34" t="n">
        <v>15033</v>
      </c>
      <c r="I2310" t="inlineStr">
        <is>
          <t>3.2</t>
        </is>
      </c>
      <c r="J2310" t="inlineStr">
        <is>
          <t>Ventas Personas (B2C)</t>
        </is>
      </c>
      <c r="K2310" t="inlineStr">
        <is>
          <t>CH2</t>
        </is>
      </c>
    </row>
    <row r="2311">
      <c r="A2311" s="33" t="n">
        <v>45856</v>
      </c>
      <c r="B2311" t="inlineStr">
        <is>
          <t>2025-07</t>
        </is>
      </c>
      <c r="C2311" t="inlineStr">
        <is>
          <t>Marion Mora</t>
        </is>
      </c>
      <c r="D2311" t="inlineStr">
        <is>
          <t>Petit Crunchy</t>
        </is>
      </c>
      <c r="E2311" s="34" t="n">
        <v>28889</v>
      </c>
      <c r="F2311" t="inlineStr">
        <is>
          <t>B</t>
        </is>
      </c>
      <c r="G2311" s="34" t="n">
        <v>4613</v>
      </c>
      <c r="H2311" s="34" t="n">
        <v>24276</v>
      </c>
      <c r="I2311" t="inlineStr">
        <is>
          <t>3.2</t>
        </is>
      </c>
      <c r="J2311" t="inlineStr">
        <is>
          <t>Ventas Personas (B2C)</t>
        </is>
      </c>
      <c r="K2311" t="inlineStr">
        <is>
          <t>CH2</t>
        </is>
      </c>
    </row>
    <row r="2312">
      <c r="A2312" s="33" t="n">
        <v>45856</v>
      </c>
      <c r="B2312" t="inlineStr">
        <is>
          <t>2025-07</t>
        </is>
      </c>
      <c r="C2312" t="inlineStr">
        <is>
          <t>Sin cliente</t>
        </is>
      </c>
      <c r="D2312" t="inlineStr">
        <is>
          <t>CANELÉ TRADICIONAL</t>
        </is>
      </c>
      <c r="E2312" s="34" t="n">
        <v>14900</v>
      </c>
      <c r="F2312" t="inlineStr">
        <is>
          <t>B</t>
        </is>
      </c>
      <c r="G2312" s="34" t="n">
        <v>2379</v>
      </c>
      <c r="H2312" s="34" t="n">
        <v>12521</v>
      </c>
      <c r="I2312" t="inlineStr">
        <is>
          <t>3.2</t>
        </is>
      </c>
      <c r="J2312" t="inlineStr">
        <is>
          <t>Ventas Personas (B2C)</t>
        </is>
      </c>
      <c r="K2312" t="inlineStr">
        <is>
          <t>CH2</t>
        </is>
      </c>
    </row>
    <row r="2313">
      <c r="A2313" s="33" t="n">
        <v>45856</v>
      </c>
      <c r="B2313" t="inlineStr">
        <is>
          <t>2025-07</t>
        </is>
      </c>
      <c r="C2313" t="inlineStr">
        <is>
          <t>Sin cliente</t>
        </is>
      </c>
      <c r="D2313" t="inlineStr">
        <is>
          <t>CANELÉ TRADICIONAL</t>
        </is>
      </c>
      <c r="E2313" s="34" t="n">
        <v>26900</v>
      </c>
      <c r="F2313" t="inlineStr">
        <is>
          <t>B</t>
        </is>
      </c>
      <c r="G2313" s="34" t="n">
        <v>4295</v>
      </c>
      <c r="H2313" s="34" t="n">
        <v>22605</v>
      </c>
      <c r="I2313" t="inlineStr">
        <is>
          <t>3.2</t>
        </is>
      </c>
      <c r="J2313" t="inlineStr">
        <is>
          <t>Ventas Personas (B2C)</t>
        </is>
      </c>
      <c r="K2313" t="inlineStr">
        <is>
          <t>CH2</t>
        </is>
      </c>
    </row>
    <row r="2314">
      <c r="A2314" s="33" t="n">
        <v>45856</v>
      </c>
      <c r="B2314" t="inlineStr">
        <is>
          <t>2025-07</t>
        </is>
      </c>
      <c r="C2314" t="inlineStr">
        <is>
          <t>Cristian Olivares</t>
        </is>
      </c>
      <c r="D2314" t="inlineStr">
        <is>
          <t>Petit Tradicional</t>
        </is>
      </c>
      <c r="E2314" s="34" t="n">
        <v>34889</v>
      </c>
      <c r="F2314" t="inlineStr">
        <is>
          <t>B</t>
        </is>
      </c>
      <c r="G2314" s="34" t="n">
        <v>5571</v>
      </c>
      <c r="H2314" s="34" t="n">
        <v>29318</v>
      </c>
      <c r="I2314" t="inlineStr">
        <is>
          <t>3.2</t>
        </is>
      </c>
      <c r="J2314" t="inlineStr">
        <is>
          <t>Ventas Personas (B2C)</t>
        </is>
      </c>
      <c r="K2314" t="inlineStr">
        <is>
          <t>CH2</t>
        </is>
      </c>
    </row>
    <row r="2315">
      <c r="A2315" s="33" t="n">
        <v>45856</v>
      </c>
      <c r="B2315" t="inlineStr">
        <is>
          <t>2025-07</t>
        </is>
      </c>
      <c r="C2315" t="inlineStr">
        <is>
          <t>Ting Ting Lee</t>
        </is>
      </c>
      <c r="D2315" t="inlineStr">
        <is>
          <t>Petit Crunchy</t>
        </is>
      </c>
      <c r="E2315" s="34" t="n">
        <v>25900</v>
      </c>
      <c r="F2315" t="inlineStr">
        <is>
          <t>B</t>
        </is>
      </c>
      <c r="G2315" s="34" t="n">
        <v>4135</v>
      </c>
      <c r="H2315" s="34" t="n">
        <v>21765</v>
      </c>
      <c r="I2315" t="inlineStr">
        <is>
          <t>3.2</t>
        </is>
      </c>
      <c r="J2315" t="inlineStr">
        <is>
          <t>Ventas Personas (B2C)</t>
        </is>
      </c>
      <c r="K2315" t="inlineStr">
        <is>
          <t>CH2</t>
        </is>
      </c>
    </row>
    <row r="2316">
      <c r="A2316" s="33" t="n">
        <v>45857</v>
      </c>
      <c r="B2316" t="inlineStr">
        <is>
          <t>2025-07</t>
        </is>
      </c>
      <c r="C2316" t="inlineStr">
        <is>
          <t>Eduardo Jose Spencer Eckart Spa</t>
        </is>
      </c>
      <c r="D2316" t="inlineStr">
        <is>
          <t>HORECA CAFETERIA</t>
        </is>
      </c>
      <c r="E2316" s="34" t="n">
        <v>63966</v>
      </c>
      <c r="F2316" t="inlineStr">
        <is>
          <t>F</t>
        </is>
      </c>
      <c r="G2316" s="34" t="n">
        <v>10213</v>
      </c>
      <c r="H2316" s="34" t="n">
        <v>53753</v>
      </c>
      <c r="I2316" t="inlineStr">
        <is>
          <t>3.1</t>
        </is>
      </c>
      <c r="J2316" t="inlineStr">
        <is>
          <t>Ventas HoReCa</t>
        </is>
      </c>
      <c r="K2316" t="inlineStr">
        <is>
          <t>CH1</t>
        </is>
      </c>
    </row>
    <row r="2317">
      <c r="A2317" s="33" t="n">
        <v>45857</v>
      </c>
      <c r="B2317" t="inlineStr">
        <is>
          <t>2025-07</t>
        </is>
      </c>
      <c r="C2317" t="inlineStr">
        <is>
          <t>Inversiones Nagua SPA</t>
        </is>
      </c>
      <c r="D2317" t="inlineStr">
        <is>
          <t>HORECA CAFETERIA</t>
        </is>
      </c>
      <c r="E2317" s="34" t="n">
        <v>63966</v>
      </c>
      <c r="F2317" t="inlineStr">
        <is>
          <t>F</t>
        </is>
      </c>
      <c r="G2317" s="34" t="n">
        <v>10213</v>
      </c>
      <c r="H2317" s="34" t="n">
        <v>53753</v>
      </c>
      <c r="I2317" t="inlineStr">
        <is>
          <t>3.1</t>
        </is>
      </c>
      <c r="J2317" t="inlineStr">
        <is>
          <t>Ventas HoReCa</t>
        </is>
      </c>
      <c r="K2317" t="inlineStr">
        <is>
          <t>CH1</t>
        </is>
      </c>
    </row>
    <row r="2318">
      <c r="A2318" s="33" t="n">
        <v>45857</v>
      </c>
      <c r="B2318" t="inlineStr">
        <is>
          <t>2025-07</t>
        </is>
      </c>
      <c r="C2318" t="inlineStr">
        <is>
          <t>BEMVINDO CAFE</t>
        </is>
      </c>
      <c r="D2318" t="inlineStr">
        <is>
          <t>HORECA CAFETERIA</t>
        </is>
      </c>
      <c r="E2318" s="34" t="n">
        <v>36414</v>
      </c>
      <c r="F2318" t="inlineStr">
        <is>
          <t>F</t>
        </is>
      </c>
      <c r="G2318" s="34" t="n">
        <v>5814</v>
      </c>
      <c r="H2318" s="34" t="n">
        <v>30600</v>
      </c>
      <c r="I2318" t="inlineStr">
        <is>
          <t>3.1</t>
        </is>
      </c>
      <c r="J2318" t="inlineStr">
        <is>
          <t>Ventas HoReCa</t>
        </is>
      </c>
      <c r="K2318" t="inlineStr">
        <is>
          <t>CH1</t>
        </is>
      </c>
    </row>
    <row r="2319">
      <c r="A2319" s="33" t="n">
        <v>45857</v>
      </c>
      <c r="B2319" t="inlineStr">
        <is>
          <t>2025-07</t>
        </is>
      </c>
      <c r="C2319" t="inlineStr">
        <is>
          <t>Okinawa Spa</t>
        </is>
      </c>
      <c r="D2319" t="inlineStr">
        <is>
          <t>HORECA CAFETERIA</t>
        </is>
      </c>
      <c r="E2319" s="34" t="n">
        <v>63966</v>
      </c>
      <c r="F2319" t="inlineStr">
        <is>
          <t>F</t>
        </is>
      </c>
      <c r="G2319" s="34" t="n">
        <v>10213</v>
      </c>
      <c r="H2319" s="34" t="n">
        <v>53753</v>
      </c>
      <c r="I2319" t="inlineStr">
        <is>
          <t>3.1</t>
        </is>
      </c>
      <c r="J2319" t="inlineStr">
        <is>
          <t>Ventas HoReCa</t>
        </is>
      </c>
      <c r="K2319" t="inlineStr">
        <is>
          <t>CH1</t>
        </is>
      </c>
    </row>
    <row r="2320">
      <c r="A2320" s="33" t="n">
        <v>45857</v>
      </c>
      <c r="B2320" t="inlineStr">
        <is>
          <t>2025-07</t>
        </is>
      </c>
      <c r="C2320" t="inlineStr">
        <is>
          <t>Sin cliente</t>
        </is>
      </c>
      <c r="D2320" t="inlineStr">
        <is>
          <t>PLATAFORMAS RAP-PEYA-UBER-GOOD</t>
        </is>
      </c>
      <c r="E2320" s="34" t="n">
        <v>15480</v>
      </c>
      <c r="F2320" t="inlineStr">
        <is>
          <t>B</t>
        </is>
      </c>
      <c r="G2320" s="34" t="n">
        <v>2472</v>
      </c>
      <c r="H2320" s="34" t="n">
        <v>13008</v>
      </c>
      <c r="I2320" t="inlineStr">
        <is>
          <t>3.6</t>
        </is>
      </c>
      <c r="J2320" t="inlineStr">
        <is>
          <t>Ventas Delivery Apps</t>
        </is>
      </c>
      <c r="K2320" t="inlineStr">
        <is>
          <t>CH3</t>
        </is>
      </c>
    </row>
    <row r="2321">
      <c r="A2321" s="33" t="n">
        <v>45857</v>
      </c>
      <c r="B2321" t="inlineStr">
        <is>
          <t>2025-07</t>
        </is>
      </c>
      <c r="C2321" t="inlineStr">
        <is>
          <t>Sin cliente</t>
        </is>
      </c>
      <c r="D2321" t="inlineStr">
        <is>
          <t>Petit Crunchy</t>
        </is>
      </c>
      <c r="E2321" s="34" t="n">
        <v>13900</v>
      </c>
      <c r="F2321" t="inlineStr">
        <is>
          <t>B</t>
        </is>
      </c>
      <c r="G2321" s="34" t="n">
        <v>2219</v>
      </c>
      <c r="H2321" s="34" t="n">
        <v>11681</v>
      </c>
      <c r="I2321" t="inlineStr">
        <is>
          <t>3.2</t>
        </is>
      </c>
      <c r="J2321" t="inlineStr">
        <is>
          <t>Ventas Personas (B2C)</t>
        </is>
      </c>
      <c r="K2321" t="inlineStr">
        <is>
          <t>CH2</t>
        </is>
      </c>
    </row>
    <row r="2322">
      <c r="A2322" s="33" t="n">
        <v>45857</v>
      </c>
      <c r="B2322" t="inlineStr">
        <is>
          <t>2025-07</t>
        </is>
      </c>
      <c r="C2322" t="inlineStr">
        <is>
          <t>Sin cliente</t>
        </is>
      </c>
      <c r="D2322" t="inlineStr">
        <is>
          <t>REGION METROPOLITANA</t>
        </is>
      </c>
      <c r="E2322" s="34" t="n">
        <v>3990</v>
      </c>
      <c r="F2322" t="inlineStr">
        <is>
          <t>B</t>
        </is>
      </c>
      <c r="G2322" s="34" t="n">
        <v>637</v>
      </c>
      <c r="H2322" s="34" t="n">
        <v>3353</v>
      </c>
      <c r="I2322" t="inlineStr">
        <is>
          <t>3.2</t>
        </is>
      </c>
      <c r="J2322" t="inlineStr">
        <is>
          <t>Ventas Personas (B2C)</t>
        </is>
      </c>
      <c r="K2322" t="inlineStr">
        <is>
          <t>CH2</t>
        </is>
      </c>
    </row>
    <row r="2323">
      <c r="A2323" s="33" t="n">
        <v>45857</v>
      </c>
      <c r="B2323" t="inlineStr">
        <is>
          <t>2025-07</t>
        </is>
      </c>
      <c r="C2323" t="inlineStr">
        <is>
          <t>Sin cliente</t>
        </is>
      </c>
      <c r="D2323" t="inlineStr">
        <is>
          <t>Petit Crunchy</t>
        </is>
      </c>
      <c r="E2323" s="34" t="n">
        <v>6950</v>
      </c>
      <c r="F2323" t="inlineStr">
        <is>
          <t>B</t>
        </is>
      </c>
      <c r="G2323" s="34" t="n">
        <v>1110</v>
      </c>
      <c r="H2323" s="34" t="n">
        <v>5840</v>
      </c>
      <c r="I2323" t="inlineStr">
        <is>
          <t>3.2</t>
        </is>
      </c>
      <c r="J2323" t="inlineStr">
        <is>
          <t>Ventas Personas (B2C)</t>
        </is>
      </c>
      <c r="K2323" t="inlineStr">
        <is>
          <t>CH2</t>
        </is>
      </c>
    </row>
    <row r="2324">
      <c r="A2324" s="33" t="n">
        <v>45857</v>
      </c>
      <c r="B2324" t="inlineStr">
        <is>
          <t>2025-07</t>
        </is>
      </c>
      <c r="C2324" t="inlineStr">
        <is>
          <t xml:space="preserve"> Jaime   Avaria Estrada</t>
        </is>
      </c>
      <c r="D2324" t="inlineStr">
        <is>
          <t>Petit Crunchy</t>
        </is>
      </c>
      <c r="E2324" s="34" t="n">
        <v>13900</v>
      </c>
      <c r="F2324" t="inlineStr">
        <is>
          <t>B</t>
        </is>
      </c>
      <c r="G2324" s="34" t="n">
        <v>2219</v>
      </c>
      <c r="H2324" s="34" t="n">
        <v>11681</v>
      </c>
      <c r="I2324" t="inlineStr">
        <is>
          <t>3.2</t>
        </is>
      </c>
      <c r="J2324" t="inlineStr">
        <is>
          <t>Ventas Personas (B2C)</t>
        </is>
      </c>
      <c r="K2324" t="inlineStr">
        <is>
          <t>CH2</t>
        </is>
      </c>
    </row>
    <row r="2325">
      <c r="A2325" s="33" t="n">
        <v>45857</v>
      </c>
      <c r="B2325" t="inlineStr">
        <is>
          <t>2025-07</t>
        </is>
      </c>
      <c r="C2325" t="inlineStr">
        <is>
          <t>Sin cliente</t>
        </is>
      </c>
      <c r="D2325" t="inlineStr">
        <is>
          <t>PLATAFORMAS RAP-PEYA-UBER-GOOD</t>
        </is>
      </c>
      <c r="E2325" s="34" t="n">
        <v>25080</v>
      </c>
      <c r="F2325" t="inlineStr">
        <is>
          <t>B</t>
        </is>
      </c>
      <c r="G2325" s="34" t="n">
        <v>4004</v>
      </c>
      <c r="H2325" s="34" t="n">
        <v>21076</v>
      </c>
      <c r="I2325" t="inlineStr">
        <is>
          <t>3.6</t>
        </is>
      </c>
      <c r="J2325" t="inlineStr">
        <is>
          <t>Ventas Delivery Apps</t>
        </is>
      </c>
      <c r="K2325" t="inlineStr">
        <is>
          <t>CH3</t>
        </is>
      </c>
    </row>
    <row r="2326">
      <c r="A2326" s="33" t="n">
        <v>45857</v>
      </c>
      <c r="B2326" t="inlineStr">
        <is>
          <t>2025-07</t>
        </is>
      </c>
      <c r="C2326" t="inlineStr">
        <is>
          <t>sylvina riveros</t>
        </is>
      </c>
      <c r="D2326" t="inlineStr">
        <is>
          <t>Petit Crunchy</t>
        </is>
      </c>
      <c r="E2326" s="34" t="n">
        <v>13900</v>
      </c>
      <c r="F2326" t="inlineStr">
        <is>
          <t>B</t>
        </is>
      </c>
      <c r="G2326" s="34" t="n">
        <v>2219</v>
      </c>
      <c r="H2326" s="34" t="n">
        <v>11681</v>
      </c>
      <c r="I2326" t="inlineStr">
        <is>
          <t>3.2</t>
        </is>
      </c>
      <c r="J2326" t="inlineStr">
        <is>
          <t>Ventas Personas (B2C)</t>
        </is>
      </c>
      <c r="K2326" t="inlineStr">
        <is>
          <t>CH2</t>
        </is>
      </c>
    </row>
    <row r="2327">
      <c r="A2327" s="33" t="n">
        <v>45857</v>
      </c>
      <c r="B2327" t="inlineStr">
        <is>
          <t>2025-07</t>
        </is>
      </c>
      <c r="C2327" t="inlineStr">
        <is>
          <t>Sin cliente</t>
        </is>
      </c>
      <c r="D2327" t="inlineStr">
        <is>
          <t>CANELÉ TRADICIONAL</t>
        </is>
      </c>
      <c r="E2327" s="34" t="n">
        <v>17900</v>
      </c>
      <c r="F2327" t="inlineStr">
        <is>
          <t>B</t>
        </is>
      </c>
      <c r="G2327" s="34" t="n">
        <v>2858</v>
      </c>
      <c r="H2327" s="34" t="n">
        <v>15042</v>
      </c>
      <c r="I2327" t="inlineStr">
        <is>
          <t>3.2</t>
        </is>
      </c>
      <c r="J2327" t="inlineStr">
        <is>
          <t>Ventas Personas (B2C)</t>
        </is>
      </c>
      <c r="K2327" t="inlineStr">
        <is>
          <t>CH2</t>
        </is>
      </c>
    </row>
    <row r="2328">
      <c r="A2328" s="33" t="n">
        <v>45857</v>
      </c>
      <c r="B2328" t="inlineStr">
        <is>
          <t>2025-07</t>
        </is>
      </c>
      <c r="C2328" t="inlineStr">
        <is>
          <t>Paulina andrade</t>
        </is>
      </c>
      <c r="D2328" t="inlineStr">
        <is>
          <t>Petit Crunchy</t>
        </is>
      </c>
      <c r="E2328" s="34" t="n">
        <v>13900</v>
      </c>
      <c r="F2328" t="inlineStr">
        <is>
          <t>B</t>
        </is>
      </c>
      <c r="G2328" s="34" t="n">
        <v>2219</v>
      </c>
      <c r="H2328" s="34" t="n">
        <v>11681</v>
      </c>
      <c r="I2328" t="inlineStr">
        <is>
          <t>3.2</t>
        </is>
      </c>
      <c r="J2328" t="inlineStr">
        <is>
          <t>Ventas Personas (B2C)</t>
        </is>
      </c>
      <c r="K2328" t="inlineStr">
        <is>
          <t>CH2</t>
        </is>
      </c>
    </row>
    <row r="2329">
      <c r="A2329" s="33" t="n">
        <v>45857</v>
      </c>
      <c r="B2329" t="inlineStr">
        <is>
          <t>2025-07</t>
        </is>
      </c>
      <c r="C2329" t="inlineStr">
        <is>
          <t>Sin cliente</t>
        </is>
      </c>
      <c r="D2329" t="inlineStr">
        <is>
          <t>Petit Tradicional</t>
        </is>
      </c>
      <c r="E2329" s="34" t="n">
        <v>38700</v>
      </c>
      <c r="F2329" t="inlineStr">
        <is>
          <t>B</t>
        </is>
      </c>
      <c r="G2329" s="34" t="n">
        <v>6179</v>
      </c>
      <c r="H2329" s="34" t="n">
        <v>32521</v>
      </c>
      <c r="I2329" t="inlineStr">
        <is>
          <t>3.2</t>
        </is>
      </c>
      <c r="J2329" t="inlineStr">
        <is>
          <t>Ventas Personas (B2C)</t>
        </is>
      </c>
      <c r="K2329" t="inlineStr">
        <is>
          <t>CH2</t>
        </is>
      </c>
    </row>
    <row r="2330">
      <c r="A2330" s="33" t="n">
        <v>45858</v>
      </c>
      <c r="B2330" t="inlineStr">
        <is>
          <t>2025-07</t>
        </is>
      </c>
      <c r="C2330" t="inlineStr">
        <is>
          <t>Evelyn Momberg Momberg</t>
        </is>
      </c>
      <c r="D2330" t="inlineStr">
        <is>
          <t>Petit Tradicional</t>
        </is>
      </c>
      <c r="E2330" s="34" t="n">
        <v>22790</v>
      </c>
      <c r="F2330" t="inlineStr">
        <is>
          <t>B</t>
        </is>
      </c>
      <c r="G2330" s="34" t="n">
        <v>3639</v>
      </c>
      <c r="H2330" s="34" t="n">
        <v>19151</v>
      </c>
      <c r="I2330" t="inlineStr">
        <is>
          <t>3.2</t>
        </is>
      </c>
      <c r="J2330" t="inlineStr">
        <is>
          <t>Ventas Personas (B2C)</t>
        </is>
      </c>
      <c r="K2330" t="inlineStr">
        <is>
          <t>CH2</t>
        </is>
      </c>
    </row>
    <row r="2331">
      <c r="A2331" s="33" t="n">
        <v>45859</v>
      </c>
      <c r="B2331" t="inlineStr">
        <is>
          <t>2025-07</t>
        </is>
      </c>
      <c r="C2331" t="inlineStr">
        <is>
          <t>CAFETERÍA ALTURA LIMITADA</t>
        </is>
      </c>
      <c r="D2331" t="inlineStr">
        <is>
          <t>HORECA CAFETERIA</t>
        </is>
      </c>
      <c r="E2331" s="34" t="n">
        <v>53899</v>
      </c>
      <c r="F2331" t="inlineStr">
        <is>
          <t>F</t>
        </is>
      </c>
      <c r="G2331" s="34" t="n">
        <v>8606</v>
      </c>
      <c r="H2331" s="34" t="n">
        <v>45293</v>
      </c>
      <c r="I2331" t="inlineStr">
        <is>
          <t>3.1</t>
        </is>
      </c>
      <c r="J2331" t="inlineStr">
        <is>
          <t>Ventas HoReCa</t>
        </is>
      </c>
      <c r="K2331" t="inlineStr">
        <is>
          <t>CH1</t>
        </is>
      </c>
    </row>
    <row r="2332">
      <c r="A2332" s="33" t="n">
        <v>45859</v>
      </c>
      <c r="B2332" t="inlineStr">
        <is>
          <t>2025-07</t>
        </is>
      </c>
      <c r="C2332" t="inlineStr">
        <is>
          <t>INVERSIONES Y COMERCIALIZADORA FED LIMITADA</t>
        </is>
      </c>
      <c r="D2332" t="inlineStr">
        <is>
          <t>HORECA CAFETERIA</t>
        </is>
      </c>
      <c r="E2332" s="34" t="n">
        <v>104807</v>
      </c>
      <c r="F2332" t="inlineStr">
        <is>
          <t>F</t>
        </is>
      </c>
      <c r="G2332" s="34" t="n">
        <v>16734</v>
      </c>
      <c r="H2332" s="34" t="n">
        <v>88073</v>
      </c>
      <c r="I2332" t="inlineStr">
        <is>
          <t>3.1</t>
        </is>
      </c>
      <c r="J2332" t="inlineStr">
        <is>
          <t>Ventas HoReCa</t>
        </is>
      </c>
      <c r="K2332" t="inlineStr">
        <is>
          <t>CH1</t>
        </is>
      </c>
    </row>
    <row r="2333">
      <c r="A2333" s="33" t="n">
        <v>45859</v>
      </c>
      <c r="B2333" t="inlineStr">
        <is>
          <t>2025-07</t>
        </is>
      </c>
      <c r="C2333" t="inlineStr">
        <is>
          <t>INVERSIONES Y COMERCIALIZADORA FED LIMITADA</t>
        </is>
      </c>
      <c r="D2333" t="inlineStr">
        <is>
          <t>HORECA CAFETERIA</t>
        </is>
      </c>
      <c r="E2333" s="34" t="n">
        <v>182177</v>
      </c>
      <c r="F2333" t="inlineStr">
        <is>
          <t>F</t>
        </is>
      </c>
      <c r="G2333" s="34" t="n">
        <v>29087</v>
      </c>
      <c r="H2333" s="34" t="n">
        <v>153090</v>
      </c>
      <c r="I2333" t="inlineStr">
        <is>
          <t>3.1</t>
        </is>
      </c>
      <c r="J2333" t="inlineStr">
        <is>
          <t>Ventas HoReCa</t>
        </is>
      </c>
      <c r="K2333" t="inlineStr">
        <is>
          <t>CH1</t>
        </is>
      </c>
    </row>
    <row r="2334">
      <c r="A2334" s="33" t="n">
        <v>45859</v>
      </c>
      <c r="B2334" t="inlineStr">
        <is>
          <t>2025-07</t>
        </is>
      </c>
      <c r="C2334" t="inlineStr">
        <is>
          <t>INVERSIONES Y ASESORIAS RAVAL LIMITADA</t>
        </is>
      </c>
      <c r="D2334" t="inlineStr">
        <is>
          <t>HORECA CAFETERIA</t>
        </is>
      </c>
      <c r="E2334" s="34" t="n">
        <v>67956</v>
      </c>
      <c r="F2334" t="inlineStr">
        <is>
          <t>F</t>
        </is>
      </c>
      <c r="G2334" s="34" t="n">
        <v>10850</v>
      </c>
      <c r="H2334" s="34" t="n">
        <v>57106</v>
      </c>
      <c r="I2334" t="inlineStr">
        <is>
          <t>3.1</t>
        </is>
      </c>
      <c r="J2334" t="inlineStr">
        <is>
          <t>Ventas HoReCa</t>
        </is>
      </c>
      <c r="K2334" t="inlineStr">
        <is>
          <t>CH1</t>
        </is>
      </c>
    </row>
    <row r="2335">
      <c r="A2335" s="33" t="n">
        <v>45859</v>
      </c>
      <c r="B2335" t="inlineStr">
        <is>
          <t>2025-07</t>
        </is>
      </c>
      <c r="C2335" t="inlineStr">
        <is>
          <t>POMPON SPA</t>
        </is>
      </c>
      <c r="D2335" t="inlineStr">
        <is>
          <t>HORECA CAFETERIA</t>
        </is>
      </c>
      <c r="E2335" s="34" t="n">
        <v>175350</v>
      </c>
      <c r="F2335" t="inlineStr">
        <is>
          <t>F</t>
        </is>
      </c>
      <c r="G2335" s="34" t="n">
        <v>27997</v>
      </c>
      <c r="H2335" s="34" t="n">
        <v>147353</v>
      </c>
      <c r="I2335" t="inlineStr">
        <is>
          <t>3.1</t>
        </is>
      </c>
      <c r="J2335" t="inlineStr">
        <is>
          <t>Ventas HoReCa</t>
        </is>
      </c>
      <c r="K2335" t="inlineStr">
        <is>
          <t>CH1</t>
        </is>
      </c>
    </row>
    <row r="2336">
      <c r="A2336" s="33" t="n">
        <v>45859</v>
      </c>
      <c r="B2336" t="inlineStr">
        <is>
          <t>2025-07</t>
        </is>
      </c>
      <c r="C2336" t="inlineStr">
        <is>
          <t>Sin cliente</t>
        </is>
      </c>
      <c r="D2336" t="inlineStr">
        <is>
          <t>Mix Sabores</t>
        </is>
      </c>
      <c r="E2336" s="34" t="n">
        <v>27468</v>
      </c>
      <c r="F2336" t="inlineStr">
        <is>
          <t>B</t>
        </is>
      </c>
      <c r="G2336" s="34" t="n">
        <v>4386</v>
      </c>
      <c r="H2336" s="34" t="n">
        <v>23082</v>
      </c>
      <c r="I2336" t="inlineStr">
        <is>
          <t>3.6</t>
        </is>
      </c>
      <c r="J2336" t="inlineStr">
        <is>
          <t>Ventas Delivery Apps</t>
        </is>
      </c>
      <c r="K2336" t="inlineStr">
        <is>
          <t>CH3</t>
        </is>
      </c>
    </row>
    <row r="2337">
      <c r="A2337" s="33" t="n">
        <v>45859</v>
      </c>
      <c r="B2337" t="inlineStr">
        <is>
          <t>2025-07</t>
        </is>
      </c>
      <c r="C2337" t="inlineStr">
        <is>
          <t>Osvaldo Osorio</t>
        </is>
      </c>
      <c r="D2337" t="inlineStr">
        <is>
          <t>CANELÉ TRADICIONAL</t>
        </is>
      </c>
      <c r="E2337" s="34" t="n">
        <v>22890</v>
      </c>
      <c r="F2337" t="inlineStr">
        <is>
          <t>B</t>
        </is>
      </c>
      <c r="G2337" s="34" t="n">
        <v>3655</v>
      </c>
      <c r="H2337" s="34" t="n">
        <v>19235</v>
      </c>
      <c r="I2337" t="inlineStr">
        <is>
          <t>3.2</t>
        </is>
      </c>
      <c r="J2337" t="inlineStr">
        <is>
          <t>Ventas Personas (B2C)</t>
        </is>
      </c>
      <c r="K2337" t="inlineStr">
        <is>
          <t>CH2</t>
        </is>
      </c>
    </row>
    <row r="2338">
      <c r="A2338" s="33" t="n">
        <v>45859</v>
      </c>
      <c r="B2338" t="inlineStr">
        <is>
          <t>2025-07</t>
        </is>
      </c>
      <c r="C2338" t="inlineStr">
        <is>
          <t>RICO SPA</t>
        </is>
      </c>
      <c r="D2338" t="inlineStr">
        <is>
          <t>HORECA CATERING</t>
        </is>
      </c>
      <c r="E2338" s="34" t="n">
        <v>279648</v>
      </c>
      <c r="F2338" t="inlineStr">
        <is>
          <t>F</t>
        </is>
      </c>
      <c r="G2338" s="34" t="n">
        <v>44650</v>
      </c>
      <c r="H2338" s="34" t="n">
        <v>234998</v>
      </c>
      <c r="I2338" t="inlineStr">
        <is>
          <t>3.1</t>
        </is>
      </c>
      <c r="J2338" t="inlineStr">
        <is>
          <t>Ventas HoReCa</t>
        </is>
      </c>
      <c r="K2338" t="inlineStr">
        <is>
          <t>CH1</t>
        </is>
      </c>
    </row>
    <row r="2339">
      <c r="A2339" s="33" t="n">
        <v>45859</v>
      </c>
      <c r="B2339" t="inlineStr">
        <is>
          <t>2025-07</t>
        </is>
      </c>
      <c r="C2339" t="inlineStr">
        <is>
          <t>Sin cliente</t>
        </is>
      </c>
      <c r="D2339" t="inlineStr">
        <is>
          <t>Petit Crunchy</t>
        </is>
      </c>
      <c r="E2339" s="34" t="n">
        <v>47690</v>
      </c>
      <c r="F2339" t="inlineStr">
        <is>
          <t>B</t>
        </is>
      </c>
      <c r="G2339" s="34" t="n">
        <v>7614</v>
      </c>
      <c r="H2339" s="34" t="n">
        <v>40076</v>
      </c>
      <c r="I2339" t="inlineStr">
        <is>
          <t>3.2</t>
        </is>
      </c>
      <c r="J2339" t="inlineStr">
        <is>
          <t>Ventas Personas (B2C)</t>
        </is>
      </c>
      <c r="K2339" t="inlineStr">
        <is>
          <t>CH2</t>
        </is>
      </c>
    </row>
    <row r="2340">
      <c r="A2340" s="33" t="n">
        <v>45859</v>
      </c>
      <c r="B2340" t="inlineStr">
        <is>
          <t>2025-07</t>
        </is>
      </c>
      <c r="C2340" t="inlineStr">
        <is>
          <t>Jorge Álvarez</t>
        </is>
      </c>
      <c r="D2340" t="inlineStr">
        <is>
          <t>Mix Sabores</t>
        </is>
      </c>
      <c r="E2340" s="34" t="n">
        <v>29800</v>
      </c>
      <c r="F2340" t="inlineStr">
        <is>
          <t>B</t>
        </is>
      </c>
      <c r="G2340" s="34" t="n">
        <v>4758</v>
      </c>
      <c r="H2340" s="34" t="n">
        <v>25042</v>
      </c>
      <c r="I2340" t="inlineStr">
        <is>
          <t>3.2</t>
        </is>
      </c>
      <c r="J2340" t="inlineStr">
        <is>
          <t>Ventas Personas (B2C)</t>
        </is>
      </c>
      <c r="K2340" t="inlineStr">
        <is>
          <t>CH2</t>
        </is>
      </c>
    </row>
    <row r="2341">
      <c r="A2341" s="33" t="n">
        <v>45859</v>
      </c>
      <c r="B2341" t="inlineStr">
        <is>
          <t>2025-07</t>
        </is>
      </c>
      <c r="C2341" t="inlineStr">
        <is>
          <t>Alejandra Reitze</t>
        </is>
      </c>
      <c r="D2341" t="inlineStr">
        <is>
          <t>Petit Tradicional</t>
        </is>
      </c>
      <c r="E2341" s="34" t="n">
        <v>8900</v>
      </c>
      <c r="F2341" t="inlineStr">
        <is>
          <t>B</t>
        </is>
      </c>
      <c r="G2341" s="34" t="n">
        <v>1421</v>
      </c>
      <c r="H2341" s="34" t="n">
        <v>7479</v>
      </c>
      <c r="I2341" t="inlineStr">
        <is>
          <t>3.2</t>
        </is>
      </c>
      <c r="J2341" t="inlineStr">
        <is>
          <t>Ventas Personas (B2C)</t>
        </is>
      </c>
      <c r="K2341" t="inlineStr">
        <is>
          <t>CH2</t>
        </is>
      </c>
    </row>
    <row r="2342">
      <c r="A2342" s="33" t="n">
        <v>45860</v>
      </c>
      <c r="B2342" t="inlineStr">
        <is>
          <t>2025-07</t>
        </is>
      </c>
      <c r="C2342" t="inlineStr">
        <is>
          <t>Javiera Pizarro</t>
        </is>
      </c>
      <c r="D2342" t="inlineStr">
        <is>
          <t>Petit Tradicional</t>
        </is>
      </c>
      <c r="E2342" s="34" t="n">
        <v>16889</v>
      </c>
      <c r="F2342" t="inlineStr">
        <is>
          <t>B</t>
        </is>
      </c>
      <c r="G2342" s="34" t="n">
        <v>2697</v>
      </c>
      <c r="H2342" s="34" t="n">
        <v>14192</v>
      </c>
      <c r="I2342" t="inlineStr">
        <is>
          <t>3.2</t>
        </is>
      </c>
      <c r="J2342" t="inlineStr">
        <is>
          <t>Ventas Personas (B2C)</t>
        </is>
      </c>
      <c r="K2342" t="inlineStr">
        <is>
          <t>CH2</t>
        </is>
      </c>
    </row>
    <row r="2343">
      <c r="A2343" s="33" t="n">
        <v>45860</v>
      </c>
      <c r="B2343" t="inlineStr">
        <is>
          <t>2025-07</t>
        </is>
      </c>
      <c r="C2343" t="inlineStr">
        <is>
          <t>BUSTORF LARSEN Y COMPANIA LIMITADA</t>
        </is>
      </c>
      <c r="D2343" t="inlineStr">
        <is>
          <t>HORECA CAFETERIA</t>
        </is>
      </c>
      <c r="E2343" s="34" t="n">
        <v>64966</v>
      </c>
      <c r="F2343" t="inlineStr">
        <is>
          <t>F</t>
        </is>
      </c>
      <c r="G2343" s="34" t="n">
        <v>10373</v>
      </c>
      <c r="H2343" s="34" t="n">
        <v>54593</v>
      </c>
      <c r="I2343" t="inlineStr">
        <is>
          <t>3.1</t>
        </is>
      </c>
      <c r="J2343" t="inlineStr">
        <is>
          <t>Ventas HoReCa</t>
        </is>
      </c>
      <c r="K2343" t="inlineStr">
        <is>
          <t>CH1</t>
        </is>
      </c>
    </row>
    <row r="2344">
      <c r="A2344" s="33" t="n">
        <v>45860</v>
      </c>
      <c r="B2344" t="inlineStr">
        <is>
          <t>2025-07</t>
        </is>
      </c>
      <c r="C2344" t="inlineStr">
        <is>
          <t>BLUE OAK COFFE SPA</t>
        </is>
      </c>
      <c r="D2344" t="inlineStr">
        <is>
          <t>HORECA CAFETERIA</t>
        </is>
      </c>
      <c r="E2344" s="34" t="n">
        <v>33978</v>
      </c>
      <c r="F2344" t="inlineStr">
        <is>
          <t>F</t>
        </is>
      </c>
      <c r="G2344" s="34" t="n">
        <v>5425</v>
      </c>
      <c r="H2344" s="34" t="n">
        <v>28553</v>
      </c>
      <c r="I2344" t="inlineStr">
        <is>
          <t>3.1</t>
        </is>
      </c>
      <c r="J2344" t="inlineStr">
        <is>
          <t>Ventas HoReCa</t>
        </is>
      </c>
      <c r="K2344" t="inlineStr">
        <is>
          <t>CH1</t>
        </is>
      </c>
    </row>
    <row r="2345">
      <c r="A2345" s="33" t="n">
        <v>45860</v>
      </c>
      <c r="B2345" t="inlineStr">
        <is>
          <t>2025-07</t>
        </is>
      </c>
      <c r="C2345" t="inlineStr">
        <is>
          <t>CAFETERÍAS MISTER SPA</t>
        </is>
      </c>
      <c r="D2345" t="inlineStr">
        <is>
          <t>HORECA CAFETERIA</t>
        </is>
      </c>
      <c r="E2345" s="34" t="n">
        <v>63966</v>
      </c>
      <c r="F2345" t="inlineStr">
        <is>
          <t>F</t>
        </is>
      </c>
      <c r="G2345" s="34" t="n">
        <v>10213</v>
      </c>
      <c r="H2345" s="34" t="n">
        <v>53753</v>
      </c>
      <c r="I2345" t="inlineStr">
        <is>
          <t>3.1</t>
        </is>
      </c>
      <c r="J2345" t="inlineStr">
        <is>
          <t>Ventas HoReCa</t>
        </is>
      </c>
      <c r="K2345" t="inlineStr">
        <is>
          <t>CH1</t>
        </is>
      </c>
    </row>
    <row r="2346">
      <c r="A2346" s="33" t="n">
        <v>45860</v>
      </c>
      <c r="B2346" t="inlineStr">
        <is>
          <t>2025-07</t>
        </is>
      </c>
      <c r="C2346" t="inlineStr">
        <is>
          <t>Inversiones Café Dominicos SpA</t>
        </is>
      </c>
      <c r="D2346" t="inlineStr">
        <is>
          <t xml:space="preserve">THE COFFEE STORE </t>
        </is>
      </c>
      <c r="E2346" s="34" t="n">
        <v>39294</v>
      </c>
      <c r="F2346" t="inlineStr">
        <is>
          <t>F</t>
        </is>
      </c>
      <c r="G2346" s="34" t="n">
        <v>6274</v>
      </c>
      <c r="H2346" s="34" t="n">
        <v>33020</v>
      </c>
      <c r="I2346" t="inlineStr">
        <is>
          <t>3.1</t>
        </is>
      </c>
      <c r="J2346" t="inlineStr">
        <is>
          <t>Ventas HoReCa</t>
        </is>
      </c>
      <c r="K2346" t="inlineStr">
        <is>
          <t>CH1</t>
        </is>
      </c>
    </row>
    <row r="2347">
      <c r="A2347" s="33" t="n">
        <v>45860</v>
      </c>
      <c r="B2347" t="inlineStr">
        <is>
          <t>2025-07</t>
        </is>
      </c>
      <c r="C2347" t="inlineStr">
        <is>
          <t>Alejandra Reitze</t>
        </is>
      </c>
      <c r="D2347" t="inlineStr">
        <is>
          <t>Mix Sabores</t>
        </is>
      </c>
      <c r="E2347" s="34" t="n">
        <v>30390</v>
      </c>
      <c r="F2347" t="inlineStr">
        <is>
          <t>B</t>
        </is>
      </c>
      <c r="G2347" s="34" t="n">
        <v>4852</v>
      </c>
      <c r="H2347" s="34" t="n">
        <v>25538</v>
      </c>
      <c r="I2347" t="inlineStr">
        <is>
          <t>3.2</t>
        </is>
      </c>
      <c r="J2347" t="inlineStr">
        <is>
          <t>Ventas Personas (B2C)</t>
        </is>
      </c>
      <c r="K2347" t="inlineStr">
        <is>
          <t>CH2</t>
        </is>
      </c>
    </row>
    <row r="2348">
      <c r="A2348" s="33" t="n">
        <v>45860</v>
      </c>
      <c r="B2348" t="inlineStr">
        <is>
          <t>2025-07</t>
        </is>
      </c>
      <c r="C2348" t="inlineStr">
        <is>
          <t>Emanuel Mozo Plaza</t>
        </is>
      </c>
      <c r="D2348" t="inlineStr">
        <is>
          <t>Petit Tradicional</t>
        </is>
      </c>
      <c r="E2348" s="34" t="n">
        <v>12889</v>
      </c>
      <c r="F2348" t="inlineStr">
        <is>
          <t>B</t>
        </is>
      </c>
      <c r="G2348" s="34" t="n">
        <v>2058</v>
      </c>
      <c r="H2348" s="34" t="n">
        <v>10831</v>
      </c>
      <c r="I2348" t="inlineStr">
        <is>
          <t>3.2</t>
        </is>
      </c>
      <c r="J2348" t="inlineStr">
        <is>
          <t>Ventas Personas (B2C)</t>
        </is>
      </c>
      <c r="K2348" t="inlineStr">
        <is>
          <t>CH2</t>
        </is>
      </c>
    </row>
    <row r="2349">
      <c r="A2349" s="33" t="n">
        <v>45860</v>
      </c>
      <c r="B2349" t="inlineStr">
        <is>
          <t>2025-07</t>
        </is>
      </c>
      <c r="C2349" t="inlineStr">
        <is>
          <t>Lida Sfrasani Rossi</t>
        </is>
      </c>
      <c r="D2349" t="inlineStr">
        <is>
          <t>Petit Tradicional</t>
        </is>
      </c>
      <c r="E2349" s="34" t="n">
        <v>8900</v>
      </c>
      <c r="F2349" t="inlineStr">
        <is>
          <t>B</t>
        </is>
      </c>
      <c r="G2349" s="34" t="n">
        <v>1421</v>
      </c>
      <c r="H2349" s="34" t="n">
        <v>7479</v>
      </c>
      <c r="I2349" t="inlineStr">
        <is>
          <t>3.2</t>
        </is>
      </c>
      <c r="J2349" t="inlineStr">
        <is>
          <t>Ventas Personas (B2C)</t>
        </is>
      </c>
      <c r="K2349" t="inlineStr">
        <is>
          <t>CH2</t>
        </is>
      </c>
    </row>
    <row r="2350">
      <c r="A2350" s="33" t="n">
        <v>45860</v>
      </c>
      <c r="B2350" t="inlineStr">
        <is>
          <t>2025-07</t>
        </is>
      </c>
      <c r="C2350" t="inlineStr">
        <is>
          <t>sandra  fernandez</t>
        </is>
      </c>
      <c r="D2350" t="inlineStr">
        <is>
          <t>Petit Crunchy</t>
        </is>
      </c>
      <c r="E2350" s="34" t="n">
        <v>13900</v>
      </c>
      <c r="F2350" t="inlineStr">
        <is>
          <t>B</t>
        </is>
      </c>
      <c r="G2350" s="34" t="n">
        <v>2219</v>
      </c>
      <c r="H2350" s="34" t="n">
        <v>11681</v>
      </c>
      <c r="I2350" t="inlineStr">
        <is>
          <t>3.2</t>
        </is>
      </c>
      <c r="J2350" t="inlineStr">
        <is>
          <t>Ventas Personas (B2C)</t>
        </is>
      </c>
      <c r="K2350" t="inlineStr">
        <is>
          <t>CH2</t>
        </is>
      </c>
    </row>
    <row r="2351">
      <c r="A2351" s="33" t="n">
        <v>45860</v>
      </c>
      <c r="B2351" t="inlineStr">
        <is>
          <t>2025-07</t>
        </is>
      </c>
      <c r="C2351" t="inlineStr">
        <is>
          <t>Loreto  diaz de valdes</t>
        </is>
      </c>
      <c r="D2351" t="inlineStr">
        <is>
          <t>CANELÉ TRADICIONAL</t>
        </is>
      </c>
      <c r="E2351" s="34" t="n">
        <v>21900</v>
      </c>
      <c r="F2351" t="inlineStr">
        <is>
          <t>B</t>
        </is>
      </c>
      <c r="G2351" s="34" t="n">
        <v>3497</v>
      </c>
      <c r="H2351" s="34" t="n">
        <v>18403</v>
      </c>
      <c r="I2351" t="inlineStr">
        <is>
          <t>3.2</t>
        </is>
      </c>
      <c r="J2351" t="inlineStr">
        <is>
          <t>Ventas Personas (B2C)</t>
        </is>
      </c>
      <c r="K2351" t="inlineStr">
        <is>
          <t>CH2</t>
        </is>
      </c>
    </row>
    <row r="2352">
      <c r="A2352" s="33" t="n">
        <v>45860</v>
      </c>
      <c r="B2352" t="inlineStr">
        <is>
          <t>2025-07</t>
        </is>
      </c>
      <c r="C2352" t="inlineStr">
        <is>
          <t>Hugo Osorio</t>
        </is>
      </c>
      <c r="D2352" t="inlineStr">
        <is>
          <t>CANELE SIN AZUCAR</t>
        </is>
      </c>
      <c r="E2352" s="34" t="n">
        <v>5600</v>
      </c>
      <c r="F2352" t="inlineStr">
        <is>
          <t>B</t>
        </is>
      </c>
      <c r="G2352" s="34" t="n">
        <v>894</v>
      </c>
      <c r="H2352" s="34" t="n">
        <v>4706</v>
      </c>
      <c r="I2352" t="inlineStr">
        <is>
          <t>3.2</t>
        </is>
      </c>
      <c r="J2352" t="inlineStr">
        <is>
          <t>Ventas Personas (B2C)</t>
        </is>
      </c>
      <c r="K2352" t="inlineStr">
        <is>
          <t>CH2</t>
        </is>
      </c>
    </row>
    <row r="2353">
      <c r="A2353" s="33" t="n">
        <v>45860</v>
      </c>
      <c r="B2353" t="inlineStr">
        <is>
          <t>2025-07</t>
        </is>
      </c>
      <c r="C2353" t="inlineStr">
        <is>
          <t>Importadora y comercializadora Origenes SPA</t>
        </is>
      </c>
      <c r="D2353" t="inlineStr">
        <is>
          <t>HORECA CAFETERIA</t>
        </is>
      </c>
      <c r="E2353" s="34" t="n">
        <v>100273</v>
      </c>
      <c r="F2353" t="inlineStr">
        <is>
          <t>F</t>
        </is>
      </c>
      <c r="G2353" s="34" t="n">
        <v>16010</v>
      </c>
      <c r="H2353" s="34" t="n">
        <v>84263</v>
      </c>
      <c r="I2353" t="inlineStr">
        <is>
          <t>3.1</t>
        </is>
      </c>
      <c r="J2353" t="inlineStr">
        <is>
          <t>Ventas HoReCa</t>
        </is>
      </c>
      <c r="K2353" t="inlineStr">
        <is>
          <t>CH1</t>
        </is>
      </c>
    </row>
    <row r="2354">
      <c r="A2354" s="33" t="n">
        <v>45860</v>
      </c>
      <c r="B2354" t="inlineStr">
        <is>
          <t>2025-07</t>
        </is>
      </c>
      <c r="C2354" t="inlineStr">
        <is>
          <t>David Zapata</t>
        </is>
      </c>
      <c r="D2354" t="inlineStr">
        <is>
          <t>Petit Crunchy</t>
        </is>
      </c>
      <c r="E2354" s="34" t="n">
        <v>18890</v>
      </c>
      <c r="F2354" t="inlineStr">
        <is>
          <t>B</t>
        </is>
      </c>
      <c r="G2354" s="34" t="n">
        <v>3016</v>
      </c>
      <c r="H2354" s="34" t="n">
        <v>15874</v>
      </c>
      <c r="I2354" t="inlineStr">
        <is>
          <t>3.2</t>
        </is>
      </c>
      <c r="J2354" t="inlineStr">
        <is>
          <t>Ventas Personas (B2C)</t>
        </is>
      </c>
      <c r="K2354" t="inlineStr">
        <is>
          <t>CH2</t>
        </is>
      </c>
    </row>
    <row r="2355">
      <c r="A2355" s="33" t="n">
        <v>45861</v>
      </c>
      <c r="B2355" t="inlineStr">
        <is>
          <t>2025-07</t>
        </is>
      </c>
      <c r="C2355" t="inlineStr">
        <is>
          <t>Sociedad de inversiones solari y acuña spa</t>
        </is>
      </c>
      <c r="D2355" t="inlineStr">
        <is>
          <t>HORECA CAFETERIA</t>
        </is>
      </c>
      <c r="E2355" s="34" t="n">
        <v>166600</v>
      </c>
      <c r="F2355" t="inlineStr">
        <is>
          <t>F</t>
        </is>
      </c>
      <c r="G2355" s="34" t="n">
        <v>26600</v>
      </c>
      <c r="H2355" s="34" t="n">
        <v>140000</v>
      </c>
      <c r="I2355" t="inlineStr">
        <is>
          <t>3.1</t>
        </is>
      </c>
      <c r="J2355" t="inlineStr">
        <is>
          <t>Ventas HoReCa</t>
        </is>
      </c>
      <c r="K2355" t="inlineStr">
        <is>
          <t>CH1</t>
        </is>
      </c>
    </row>
    <row r="2356">
      <c r="A2356" s="33" t="n">
        <v>45861</v>
      </c>
      <c r="B2356" t="inlineStr">
        <is>
          <t>2025-07</t>
        </is>
      </c>
      <c r="C2356" t="inlineStr">
        <is>
          <t>PRODUCTORA DE EVENTOS AGDV SPA</t>
        </is>
      </c>
      <c r="D2356" t="inlineStr">
        <is>
          <t>Petit Crunchy</t>
        </is>
      </c>
      <c r="E2356" s="34" t="n">
        <v>34900</v>
      </c>
      <c r="F2356" t="inlineStr">
        <is>
          <t>F</t>
        </is>
      </c>
      <c r="G2356" s="34" t="n">
        <v>5572</v>
      </c>
      <c r="H2356" s="34" t="n">
        <v>29328</v>
      </c>
      <c r="I2356" t="inlineStr">
        <is>
          <t>3.1</t>
        </is>
      </c>
      <c r="J2356" t="inlineStr">
        <is>
          <t>Ventas HoReCa</t>
        </is>
      </c>
      <c r="K2356" t="inlineStr">
        <is>
          <t>CH1</t>
        </is>
      </c>
    </row>
    <row r="2357">
      <c r="A2357" s="33" t="n">
        <v>45861</v>
      </c>
      <c r="B2357" t="inlineStr">
        <is>
          <t>2025-07</t>
        </is>
      </c>
      <c r="C2357" t="inlineStr">
        <is>
          <t>CAFE DIARIO ENCOMENDEROS SPA</t>
        </is>
      </c>
      <c r="D2357" t="inlineStr">
        <is>
          <t>HORECA CAFETERIA</t>
        </is>
      </c>
      <c r="E2357" s="34" t="n">
        <v>33978</v>
      </c>
      <c r="F2357" t="inlineStr">
        <is>
          <t>F</t>
        </is>
      </c>
      <c r="G2357" s="34" t="n">
        <v>5425</v>
      </c>
      <c r="H2357" s="34" t="n">
        <v>28553</v>
      </c>
      <c r="I2357" t="inlineStr">
        <is>
          <t>3.1</t>
        </is>
      </c>
      <c r="J2357" t="inlineStr">
        <is>
          <t>Ventas HoReCa</t>
        </is>
      </c>
      <c r="K2357" t="inlineStr">
        <is>
          <t>CH1</t>
        </is>
      </c>
    </row>
    <row r="2358">
      <c r="A2358" s="33" t="n">
        <v>45861</v>
      </c>
      <c r="B2358" t="inlineStr">
        <is>
          <t>2025-07</t>
        </is>
      </c>
      <c r="C2358" t="inlineStr">
        <is>
          <t>Sin cliente</t>
        </is>
      </c>
      <c r="D2358" t="inlineStr">
        <is>
          <t>PLATAFORMAS RAP-PEYA-UBER-GOOD</t>
        </is>
      </c>
      <c r="E2358" s="34" t="n">
        <v>25080</v>
      </c>
      <c r="F2358" t="inlineStr">
        <is>
          <t>B</t>
        </is>
      </c>
      <c r="G2358" s="34" t="n">
        <v>4004</v>
      </c>
      <c r="H2358" s="34" t="n">
        <v>21076</v>
      </c>
      <c r="I2358" t="inlineStr">
        <is>
          <t>3.6</t>
        </is>
      </c>
      <c r="J2358" t="inlineStr">
        <is>
          <t>Ventas Delivery Apps</t>
        </is>
      </c>
      <c r="K2358" t="inlineStr">
        <is>
          <t>CH3</t>
        </is>
      </c>
    </row>
    <row r="2359">
      <c r="A2359" s="33" t="n">
        <v>45861</v>
      </c>
      <c r="B2359" t="inlineStr">
        <is>
          <t>2025-07</t>
        </is>
      </c>
      <c r="C2359" t="inlineStr">
        <is>
          <t>Sin cliente</t>
        </is>
      </c>
      <c r="D2359" t="inlineStr">
        <is>
          <t>PLATAFORMAS RAP-PEYA-UBER-GOOD</t>
        </is>
      </c>
      <c r="E2359" s="34" t="n">
        <v>25080</v>
      </c>
      <c r="F2359" t="inlineStr">
        <is>
          <t>B</t>
        </is>
      </c>
      <c r="G2359" s="34" t="n">
        <v>4004</v>
      </c>
      <c r="H2359" s="34" t="n">
        <v>21076</v>
      </c>
      <c r="I2359" t="inlineStr">
        <is>
          <t>3.6</t>
        </is>
      </c>
      <c r="J2359" t="inlineStr">
        <is>
          <t>Ventas Delivery Apps</t>
        </is>
      </c>
      <c r="K2359" t="inlineStr">
        <is>
          <t>CH3</t>
        </is>
      </c>
    </row>
    <row r="2360">
      <c r="A2360" s="33" t="n">
        <v>45861</v>
      </c>
      <c r="B2360" t="inlineStr">
        <is>
          <t>2025-07</t>
        </is>
      </c>
      <c r="C2360" t="inlineStr">
        <is>
          <t>Victor Hernandez</t>
        </is>
      </c>
      <c r="D2360" t="inlineStr">
        <is>
          <t>CANELÉ TRADICIONAL</t>
        </is>
      </c>
      <c r="E2360" s="34" t="n">
        <v>19890</v>
      </c>
      <c r="F2360" t="inlineStr">
        <is>
          <t>B</t>
        </is>
      </c>
      <c r="G2360" s="34" t="n">
        <v>3176</v>
      </c>
      <c r="H2360" s="34" t="n">
        <v>16714</v>
      </c>
      <c r="I2360" t="inlineStr">
        <is>
          <t>3.2</t>
        </is>
      </c>
      <c r="J2360" t="inlineStr">
        <is>
          <t>Ventas Personas (B2C)</t>
        </is>
      </c>
      <c r="K2360" t="inlineStr">
        <is>
          <t>CH2</t>
        </is>
      </c>
    </row>
    <row r="2361">
      <c r="A2361" s="33" t="n">
        <v>45861</v>
      </c>
      <c r="B2361" t="inlineStr">
        <is>
          <t>2025-07</t>
        </is>
      </c>
      <c r="C2361" t="inlineStr">
        <is>
          <t>sebastian gonzalez</t>
        </is>
      </c>
      <c r="D2361" t="inlineStr">
        <is>
          <t>CANELÉ TRADICIONAL</t>
        </is>
      </c>
      <c r="E2361" s="34" t="n">
        <v>10000</v>
      </c>
      <c r="F2361" t="inlineStr">
        <is>
          <t>B</t>
        </is>
      </c>
      <c r="G2361" s="34" t="n">
        <v>1597</v>
      </c>
      <c r="H2361" s="34" t="n">
        <v>8403</v>
      </c>
      <c r="I2361" t="inlineStr">
        <is>
          <t>3.2</t>
        </is>
      </c>
      <c r="J2361" t="inlineStr">
        <is>
          <t>Ventas Personas (B2C)</t>
        </is>
      </c>
      <c r="K2361" t="inlineStr">
        <is>
          <t>CH2</t>
        </is>
      </c>
    </row>
    <row r="2362">
      <c r="A2362" s="33" t="n">
        <v>45861</v>
      </c>
      <c r="B2362" t="inlineStr">
        <is>
          <t>2025-07</t>
        </is>
      </c>
      <c r="C2362" t="inlineStr">
        <is>
          <t>Sin cliente</t>
        </is>
      </c>
      <c r="D2362" t="inlineStr">
        <is>
          <t>PLATAFORMAS RAP-PEYA-UBER-GOOD</t>
        </is>
      </c>
      <c r="E2362" s="34" t="n">
        <v>28768</v>
      </c>
      <c r="F2362" t="inlineStr">
        <is>
          <t>B</t>
        </is>
      </c>
      <c r="G2362" s="34" t="n">
        <v>4593</v>
      </c>
      <c r="H2362" s="34" t="n">
        <v>24175</v>
      </c>
      <c r="I2362" t="inlineStr">
        <is>
          <t>3.6</t>
        </is>
      </c>
      <c r="J2362" t="inlineStr">
        <is>
          <t>Ventas Delivery Apps</t>
        </is>
      </c>
      <c r="K2362" t="inlineStr">
        <is>
          <t>CH3</t>
        </is>
      </c>
    </row>
    <row r="2363">
      <c r="A2363" s="33" t="n">
        <v>45862</v>
      </c>
      <c r="B2363" t="inlineStr">
        <is>
          <t>2025-07</t>
        </is>
      </c>
      <c r="C2363" t="inlineStr">
        <is>
          <t>PRODUCTORA GALDAMES CORTEZ LIMITADA</t>
        </is>
      </c>
      <c r="D2363" t="inlineStr">
        <is>
          <t>HORECA CATERING</t>
        </is>
      </c>
      <c r="E2363" s="34" t="n">
        <v>59500</v>
      </c>
      <c r="F2363" t="inlineStr">
        <is>
          <t>F</t>
        </is>
      </c>
      <c r="G2363" s="34" t="n">
        <v>9500</v>
      </c>
      <c r="H2363" s="34" t="n">
        <v>50000</v>
      </c>
      <c r="I2363" t="inlineStr">
        <is>
          <t>3.1</t>
        </is>
      </c>
      <c r="J2363" t="inlineStr">
        <is>
          <t>Ventas HoReCa</t>
        </is>
      </c>
      <c r="K2363" t="inlineStr">
        <is>
          <t>CH1</t>
        </is>
      </c>
    </row>
    <row r="2364">
      <c r="A2364" s="33" t="n">
        <v>45862</v>
      </c>
      <c r="B2364" t="inlineStr">
        <is>
          <t>2025-07</t>
        </is>
      </c>
      <c r="C2364" t="inlineStr">
        <is>
          <t>CAFÉ UNDER SPA</t>
        </is>
      </c>
      <c r="D2364" t="inlineStr">
        <is>
          <t>HORECA CAFETERIA</t>
        </is>
      </c>
      <c r="E2364" s="34" t="n">
        <v>63966</v>
      </c>
      <c r="F2364" t="inlineStr">
        <is>
          <t>F</t>
        </is>
      </c>
      <c r="G2364" s="34" t="n">
        <v>10213</v>
      </c>
      <c r="H2364" s="34" t="n">
        <v>53753</v>
      </c>
      <c r="I2364" t="inlineStr">
        <is>
          <t>3.1</t>
        </is>
      </c>
      <c r="J2364" t="inlineStr">
        <is>
          <t>Ventas HoReCa</t>
        </is>
      </c>
      <c r="K2364" t="inlineStr">
        <is>
          <t>CH1</t>
        </is>
      </c>
    </row>
    <row r="2365">
      <c r="A2365" s="33" t="n">
        <v>45862</v>
      </c>
      <c r="B2365" t="inlineStr">
        <is>
          <t>2025-07</t>
        </is>
      </c>
      <c r="C2365" t="inlineStr">
        <is>
          <t>BUSTORF LARSEN Y COMPANIA LIMITADA</t>
        </is>
      </c>
      <c r="D2365" t="inlineStr">
        <is>
          <t>HORECA CAFETERIA</t>
        </is>
      </c>
      <c r="E2365" s="34" t="n">
        <v>63966</v>
      </c>
      <c r="F2365" t="inlineStr">
        <is>
          <t>F</t>
        </is>
      </c>
      <c r="G2365" s="34" t="n">
        <v>10213</v>
      </c>
      <c r="H2365" s="34" t="n">
        <v>53753</v>
      </c>
      <c r="I2365" t="inlineStr">
        <is>
          <t>3.1</t>
        </is>
      </c>
      <c r="J2365" t="inlineStr">
        <is>
          <t>Ventas HoReCa</t>
        </is>
      </c>
      <c r="K2365" t="inlineStr">
        <is>
          <t>CH1</t>
        </is>
      </c>
    </row>
    <row r="2366">
      <c r="A2366" s="33" t="n">
        <v>45862</v>
      </c>
      <c r="B2366" t="inlineStr">
        <is>
          <t>2025-07</t>
        </is>
      </c>
      <c r="C2366" t="inlineStr">
        <is>
          <t>Anne Marie  Hardy</t>
        </is>
      </c>
      <c r="D2366" t="inlineStr">
        <is>
          <t>Petit Tradicional</t>
        </is>
      </c>
      <c r="E2366" s="34" t="n">
        <v>12900</v>
      </c>
      <c r="F2366" t="inlineStr">
        <is>
          <t>B</t>
        </is>
      </c>
      <c r="G2366" s="34" t="n">
        <v>2060</v>
      </c>
      <c r="H2366" s="34" t="n">
        <v>10840</v>
      </c>
      <c r="I2366" t="inlineStr">
        <is>
          <t>3.2</t>
        </is>
      </c>
      <c r="J2366" t="inlineStr">
        <is>
          <t>Ventas Personas (B2C)</t>
        </is>
      </c>
      <c r="K2366" t="inlineStr">
        <is>
          <t>CH2</t>
        </is>
      </c>
    </row>
    <row r="2367">
      <c r="A2367" s="33" t="n">
        <v>45862</v>
      </c>
      <c r="B2367" t="inlineStr">
        <is>
          <t>2025-07</t>
        </is>
      </c>
      <c r="C2367" t="inlineStr">
        <is>
          <t>Sin cliente</t>
        </is>
      </c>
      <c r="D2367" t="inlineStr">
        <is>
          <t>PLATAFORMAS RAP-PEYA-UBER-GOOD</t>
        </is>
      </c>
      <c r="E2367" s="34" t="n">
        <v>25080</v>
      </c>
      <c r="F2367" t="inlineStr">
        <is>
          <t>B</t>
        </is>
      </c>
      <c r="G2367" s="34" t="n">
        <v>4004</v>
      </c>
      <c r="H2367" s="34" t="n">
        <v>21076</v>
      </c>
      <c r="I2367" t="inlineStr">
        <is>
          <t>3.6</t>
        </is>
      </c>
      <c r="J2367" t="inlineStr">
        <is>
          <t>Ventas Delivery Apps</t>
        </is>
      </c>
      <c r="K2367" t="inlineStr">
        <is>
          <t>CH3</t>
        </is>
      </c>
    </row>
    <row r="2368">
      <c r="A2368" s="33" t="n">
        <v>45862</v>
      </c>
      <c r="B2368" t="inlineStr">
        <is>
          <t>2025-07</t>
        </is>
      </c>
      <c r="C2368" t="inlineStr">
        <is>
          <t>Sin cliente</t>
        </is>
      </c>
      <c r="D2368" t="inlineStr">
        <is>
          <t>PLATAFORMAS RAP-PEYA-UBER-GOOD</t>
        </is>
      </c>
      <c r="E2368" s="34" t="n">
        <v>23868</v>
      </c>
      <c r="F2368" t="inlineStr">
        <is>
          <t>B</t>
        </is>
      </c>
      <c r="G2368" s="34" t="n">
        <v>3811</v>
      </c>
      <c r="H2368" s="34" t="n">
        <v>20057</v>
      </c>
      <c r="I2368" t="inlineStr">
        <is>
          <t>3.6</t>
        </is>
      </c>
      <c r="J2368" t="inlineStr">
        <is>
          <t>Ventas Delivery Apps</t>
        </is>
      </c>
      <c r="K2368" t="inlineStr">
        <is>
          <t>CH3</t>
        </is>
      </c>
    </row>
    <row r="2369">
      <c r="A2369" s="33" t="n">
        <v>45862</v>
      </c>
      <c r="B2369" t="inlineStr">
        <is>
          <t>2025-07</t>
        </is>
      </c>
      <c r="C2369" t="inlineStr">
        <is>
          <t>Evelyn Momberg Momberg</t>
        </is>
      </c>
      <c r="D2369" t="inlineStr">
        <is>
          <t>CANELÉ TRADICIONAL</t>
        </is>
      </c>
      <c r="E2369" s="34" t="n">
        <v>26890</v>
      </c>
      <c r="F2369" t="inlineStr">
        <is>
          <t>B</t>
        </is>
      </c>
      <c r="G2369" s="34" t="n">
        <v>4293</v>
      </c>
      <c r="H2369" s="34" t="n">
        <v>22597</v>
      </c>
      <c r="I2369" t="inlineStr">
        <is>
          <t>3.2</t>
        </is>
      </c>
      <c r="J2369" t="inlineStr">
        <is>
          <t>Ventas Personas (B2C)</t>
        </is>
      </c>
      <c r="K2369" t="inlineStr">
        <is>
          <t>CH2</t>
        </is>
      </c>
    </row>
    <row r="2370">
      <c r="A2370" s="33" t="n">
        <v>45862</v>
      </c>
      <c r="B2370" t="inlineStr">
        <is>
          <t>2025-07</t>
        </is>
      </c>
      <c r="C2370" t="inlineStr">
        <is>
          <t>Rodrigo Bastias Jiron</t>
        </is>
      </c>
      <c r="D2370" t="inlineStr">
        <is>
          <t>Mix Sabores</t>
        </is>
      </c>
      <c r="E2370" s="34" t="n">
        <v>28319</v>
      </c>
      <c r="F2370" t="inlineStr">
        <is>
          <t>B</t>
        </is>
      </c>
      <c r="G2370" s="34" t="n">
        <v>4522</v>
      </c>
      <c r="H2370" s="34" t="n">
        <v>23797</v>
      </c>
      <c r="I2370" t="inlineStr">
        <is>
          <t>3.2</t>
        </is>
      </c>
      <c r="J2370" t="inlineStr">
        <is>
          <t>Ventas Personas (B2C)</t>
        </is>
      </c>
      <c r="K2370" t="inlineStr">
        <is>
          <t>CH2</t>
        </is>
      </c>
    </row>
    <row r="2371">
      <c r="A2371" s="33" t="n">
        <v>45862</v>
      </c>
      <c r="B2371" t="inlineStr">
        <is>
          <t>2025-07</t>
        </is>
      </c>
      <c r="C2371" t="inlineStr">
        <is>
          <t>Claudia Veto</t>
        </is>
      </c>
      <c r="D2371" t="inlineStr">
        <is>
          <t>Petit Tradicional</t>
        </is>
      </c>
      <c r="E2371" s="34" t="n">
        <v>35890</v>
      </c>
      <c r="F2371" t="inlineStr">
        <is>
          <t>B</t>
        </is>
      </c>
      <c r="G2371" s="34" t="n">
        <v>5730</v>
      </c>
      <c r="H2371" s="34" t="n">
        <v>30160</v>
      </c>
      <c r="I2371" t="inlineStr">
        <is>
          <t>3.2</t>
        </is>
      </c>
      <c r="J2371" t="inlineStr">
        <is>
          <t>Ventas Personas (B2C)</t>
        </is>
      </c>
      <c r="K2371" t="inlineStr">
        <is>
          <t>CH2</t>
        </is>
      </c>
    </row>
    <row r="2372">
      <c r="A2372" s="33" t="n">
        <v>45863</v>
      </c>
      <c r="B2372" t="inlineStr">
        <is>
          <t>2025-07</t>
        </is>
      </c>
      <c r="C2372" t="inlineStr">
        <is>
          <t>POMPON SPA</t>
        </is>
      </c>
      <c r="D2372" t="inlineStr">
        <is>
          <t>HORECA CAFETERIA</t>
        </is>
      </c>
      <c r="E2372" s="34" t="n">
        <v>177310</v>
      </c>
      <c r="F2372" t="inlineStr">
        <is>
          <t>F</t>
        </is>
      </c>
      <c r="G2372" s="34" t="n">
        <v>28310</v>
      </c>
      <c r="H2372" s="34" t="n">
        <v>149000</v>
      </c>
      <c r="I2372" t="inlineStr">
        <is>
          <t>3.1</t>
        </is>
      </c>
      <c r="J2372" t="inlineStr">
        <is>
          <t>Ventas HoReCa</t>
        </is>
      </c>
      <c r="K2372" t="inlineStr">
        <is>
          <t>CH1</t>
        </is>
      </c>
    </row>
    <row r="2373">
      <c r="A2373" s="33" t="n">
        <v>45863</v>
      </c>
      <c r="B2373" t="inlineStr">
        <is>
          <t>2025-07</t>
        </is>
      </c>
      <c r="C2373" t="inlineStr">
        <is>
          <t>Better Food Spa</t>
        </is>
      </c>
      <c r="D2373" t="inlineStr">
        <is>
          <t>HORECA CAFETERIA</t>
        </is>
      </c>
      <c r="E2373" s="34" t="n">
        <v>239904</v>
      </c>
      <c r="F2373" t="inlineStr">
        <is>
          <t>F</t>
        </is>
      </c>
      <c r="G2373" s="34" t="n">
        <v>38304</v>
      </c>
      <c r="H2373" s="34" t="n">
        <v>201600</v>
      </c>
      <c r="I2373" t="inlineStr">
        <is>
          <t>3.1</t>
        </is>
      </c>
      <c r="J2373" t="inlineStr">
        <is>
          <t>Ventas HoReCa</t>
        </is>
      </c>
      <c r="K2373" t="inlineStr">
        <is>
          <t>CH1</t>
        </is>
      </c>
    </row>
    <row r="2374">
      <c r="A2374" s="33" t="n">
        <v>45863</v>
      </c>
      <c r="B2374" t="inlineStr">
        <is>
          <t>2025-07</t>
        </is>
      </c>
      <c r="C2374" t="inlineStr">
        <is>
          <t>BLUE OAK COFFE SPA</t>
        </is>
      </c>
      <c r="D2374" t="inlineStr">
        <is>
          <t>HORECA CAFETERIA</t>
        </is>
      </c>
      <c r="E2374" s="34" t="n">
        <v>63966</v>
      </c>
      <c r="F2374" t="inlineStr">
        <is>
          <t>F</t>
        </is>
      </c>
      <c r="G2374" s="34" t="n">
        <v>10213</v>
      </c>
      <c r="H2374" s="34" t="n">
        <v>53753</v>
      </c>
      <c r="I2374" t="inlineStr">
        <is>
          <t>3.1</t>
        </is>
      </c>
      <c r="J2374" t="inlineStr">
        <is>
          <t>Ventas HoReCa</t>
        </is>
      </c>
      <c r="K2374" t="inlineStr">
        <is>
          <t>CH1</t>
        </is>
      </c>
    </row>
    <row r="2375">
      <c r="A2375" s="33" t="n">
        <v>45863</v>
      </c>
      <c r="B2375" t="inlineStr">
        <is>
          <t>2025-07</t>
        </is>
      </c>
      <c r="C2375" t="inlineStr">
        <is>
          <t>Carolina Fernandez</t>
        </is>
      </c>
      <c r="D2375" t="inlineStr">
        <is>
          <t>CANELÉ TRADICIONAL</t>
        </is>
      </c>
      <c r="E2375" s="34" t="n">
        <v>22890</v>
      </c>
      <c r="F2375" t="inlineStr">
        <is>
          <t>B</t>
        </is>
      </c>
      <c r="G2375" s="34" t="n">
        <v>3655</v>
      </c>
      <c r="H2375" s="34" t="n">
        <v>19235</v>
      </c>
      <c r="I2375" t="inlineStr">
        <is>
          <t>3.2</t>
        </is>
      </c>
      <c r="J2375" t="inlineStr">
        <is>
          <t>Ventas Personas (B2C)</t>
        </is>
      </c>
      <c r="K2375" t="inlineStr">
        <is>
          <t>CH2</t>
        </is>
      </c>
    </row>
    <row r="2376">
      <c r="A2376" s="33" t="n">
        <v>45863</v>
      </c>
      <c r="B2376" t="inlineStr">
        <is>
          <t>2025-07</t>
        </is>
      </c>
      <c r="C2376" t="inlineStr">
        <is>
          <t>Pamela Nieto Nova</t>
        </is>
      </c>
      <c r="D2376" t="inlineStr">
        <is>
          <t>CANELÉ TRADICIONAL</t>
        </is>
      </c>
      <c r="E2376" s="34" t="n">
        <v>35790</v>
      </c>
      <c r="F2376" t="inlineStr">
        <is>
          <t>B</t>
        </is>
      </c>
      <c r="G2376" s="34" t="n">
        <v>5714</v>
      </c>
      <c r="H2376" s="34" t="n">
        <v>30076</v>
      </c>
      <c r="I2376" t="inlineStr">
        <is>
          <t>3.2</t>
        </is>
      </c>
      <c r="J2376" t="inlineStr">
        <is>
          <t>Ventas Personas (B2C)</t>
        </is>
      </c>
      <c r="K2376" t="inlineStr">
        <is>
          <t>CH2</t>
        </is>
      </c>
    </row>
    <row r="2377">
      <c r="A2377" s="33" t="n">
        <v>45863</v>
      </c>
      <c r="B2377" t="inlineStr">
        <is>
          <t>2025-07</t>
        </is>
      </c>
      <c r="C2377" t="inlineStr">
        <is>
          <t>OPA SPA</t>
        </is>
      </c>
      <c r="D2377" t="inlineStr">
        <is>
          <t>HORECA CAFETERIA</t>
        </is>
      </c>
      <c r="E2377" s="34" t="n">
        <v>29988</v>
      </c>
      <c r="F2377" t="inlineStr">
        <is>
          <t>F</t>
        </is>
      </c>
      <c r="G2377" s="34" t="n">
        <v>4788</v>
      </c>
      <c r="H2377" s="34" t="n">
        <v>25200</v>
      </c>
      <c r="I2377" t="inlineStr">
        <is>
          <t>3.1</t>
        </is>
      </c>
      <c r="J2377" t="inlineStr">
        <is>
          <t>Ventas HoReCa</t>
        </is>
      </c>
      <c r="K2377" t="inlineStr">
        <is>
          <t>CH1</t>
        </is>
      </c>
    </row>
    <row r="2378">
      <c r="A2378" s="33" t="n">
        <v>45863</v>
      </c>
      <c r="B2378" t="inlineStr">
        <is>
          <t>2025-07</t>
        </is>
      </c>
      <c r="C2378" t="inlineStr">
        <is>
          <t>jahira labra</t>
        </is>
      </c>
      <c r="D2378" t="inlineStr">
        <is>
          <t>Rellenos</t>
        </is>
      </c>
      <c r="E2378" s="34" t="n">
        <v>52790</v>
      </c>
      <c r="F2378" t="inlineStr">
        <is>
          <t>B</t>
        </is>
      </c>
      <c r="G2378" s="34" t="n">
        <v>8429</v>
      </c>
      <c r="H2378" s="34" t="n">
        <v>44361</v>
      </c>
      <c r="I2378" t="inlineStr">
        <is>
          <t>3.2</t>
        </is>
      </c>
      <c r="J2378" t="inlineStr">
        <is>
          <t>Ventas Personas (B2C)</t>
        </is>
      </c>
      <c r="K2378" t="inlineStr">
        <is>
          <t>CH2</t>
        </is>
      </c>
    </row>
    <row r="2379">
      <c r="A2379" s="33" t="n">
        <v>45863</v>
      </c>
      <c r="B2379" t="inlineStr">
        <is>
          <t>2025-07</t>
        </is>
      </c>
      <c r="C2379" t="inlineStr">
        <is>
          <t>María Verónica Mardones</t>
        </is>
      </c>
      <c r="D2379" t="inlineStr">
        <is>
          <t>Petit Tradicional</t>
        </is>
      </c>
      <c r="E2379" s="34" t="n">
        <v>17890</v>
      </c>
      <c r="F2379" t="inlineStr">
        <is>
          <t>B</t>
        </is>
      </c>
      <c r="G2379" s="34" t="n">
        <v>2856</v>
      </c>
      <c r="H2379" s="34" t="n">
        <v>15034</v>
      </c>
      <c r="I2379" t="inlineStr">
        <is>
          <t>3.2</t>
        </is>
      </c>
      <c r="J2379" t="inlineStr">
        <is>
          <t>Ventas Personas (B2C)</t>
        </is>
      </c>
      <c r="K2379" t="inlineStr">
        <is>
          <t>CH2</t>
        </is>
      </c>
    </row>
    <row r="2380">
      <c r="A2380" s="33" t="n">
        <v>45863</v>
      </c>
      <c r="B2380" t="inlineStr">
        <is>
          <t>2025-07</t>
        </is>
      </c>
      <c r="C2380" t="inlineStr">
        <is>
          <t>Julian Herman</t>
        </is>
      </c>
      <c r="D2380" t="inlineStr">
        <is>
          <t>Petit Crunchy</t>
        </is>
      </c>
      <c r="E2380" s="34" t="n">
        <v>13900</v>
      </c>
      <c r="F2380" t="inlineStr">
        <is>
          <t>B</t>
        </is>
      </c>
      <c r="G2380" s="34" t="n">
        <v>2219</v>
      </c>
      <c r="H2380" s="34" t="n">
        <v>11681</v>
      </c>
      <c r="I2380" t="inlineStr">
        <is>
          <t>3.2</t>
        </is>
      </c>
      <c r="J2380" t="inlineStr">
        <is>
          <t>Ventas Personas (B2C)</t>
        </is>
      </c>
      <c r="K2380" t="inlineStr">
        <is>
          <t>CH2</t>
        </is>
      </c>
    </row>
    <row r="2381">
      <c r="A2381" s="33" t="n">
        <v>45863</v>
      </c>
      <c r="B2381" t="inlineStr">
        <is>
          <t>2025-07</t>
        </is>
      </c>
      <c r="C2381" t="inlineStr">
        <is>
          <t>Constanza Garcia</t>
        </is>
      </c>
      <c r="D2381" t="inlineStr">
        <is>
          <t>SALSAS</t>
        </is>
      </c>
      <c r="E2381" s="34" t="n">
        <v>46860</v>
      </c>
      <c r="F2381" t="inlineStr">
        <is>
          <t>B</t>
        </is>
      </c>
      <c r="G2381" s="34" t="n">
        <v>7482</v>
      </c>
      <c r="H2381" s="34" t="n">
        <v>39378</v>
      </c>
      <c r="I2381" t="inlineStr">
        <is>
          <t>3.2</t>
        </is>
      </c>
      <c r="J2381" t="inlineStr">
        <is>
          <t>Ventas Personas (B2C)</t>
        </is>
      </c>
      <c r="K2381" t="inlineStr">
        <is>
          <t>CH2</t>
        </is>
      </c>
    </row>
    <row r="2382">
      <c r="A2382" s="33" t="n">
        <v>45863</v>
      </c>
      <c r="B2382" t="inlineStr">
        <is>
          <t>2025-07</t>
        </is>
      </c>
      <c r="C2382" t="inlineStr">
        <is>
          <t>Sin cliente</t>
        </is>
      </c>
      <c r="D2382" t="inlineStr">
        <is>
          <t>PLATAFORMAS RAP-PEYA-UBER-GOOD</t>
        </is>
      </c>
      <c r="E2382" s="34" t="n">
        <v>30960</v>
      </c>
      <c r="F2382" t="inlineStr">
        <is>
          <t>B</t>
        </is>
      </c>
      <c r="G2382" s="34" t="n">
        <v>4943</v>
      </c>
      <c r="H2382" s="34" t="n">
        <v>26017</v>
      </c>
      <c r="I2382" t="inlineStr">
        <is>
          <t>3.6</t>
        </is>
      </c>
      <c r="J2382" t="inlineStr">
        <is>
          <t>Ventas Delivery Apps</t>
        </is>
      </c>
      <c r="K2382" t="inlineStr">
        <is>
          <t>CH3</t>
        </is>
      </c>
    </row>
    <row r="2383">
      <c r="A2383" s="33" t="n">
        <v>45863</v>
      </c>
      <c r="B2383" t="inlineStr">
        <is>
          <t>2025-07</t>
        </is>
      </c>
      <c r="C2383" t="inlineStr">
        <is>
          <t>Sin cliente</t>
        </is>
      </c>
      <c r="D2383" t="inlineStr">
        <is>
          <t>PLATAFORMAS RAP-PEYA-UBER-GOOD</t>
        </is>
      </c>
      <c r="E2383" s="34" t="n">
        <v>17880</v>
      </c>
      <c r="F2383" t="inlineStr">
        <is>
          <t>B</t>
        </is>
      </c>
      <c r="G2383" s="34" t="n">
        <v>2855</v>
      </c>
      <c r="H2383" s="34" t="n">
        <v>15025</v>
      </c>
      <c r="I2383" t="inlineStr">
        <is>
          <t>3.6</t>
        </is>
      </c>
      <c r="J2383" t="inlineStr">
        <is>
          <t>Ventas Delivery Apps</t>
        </is>
      </c>
      <c r="K2383" t="inlineStr">
        <is>
          <t>CH3</t>
        </is>
      </c>
    </row>
    <row r="2384">
      <c r="A2384" s="33" t="n">
        <v>45863</v>
      </c>
      <c r="B2384" t="inlineStr">
        <is>
          <t>2025-07</t>
        </is>
      </c>
      <c r="C2384" t="inlineStr">
        <is>
          <t>Sin cliente</t>
        </is>
      </c>
      <c r="D2384" t="inlineStr">
        <is>
          <t>PLATAFORMAS RAP-PEYA-UBER-GOOD</t>
        </is>
      </c>
      <c r="E2384" s="34" t="n">
        <v>25080</v>
      </c>
      <c r="F2384" t="inlineStr">
        <is>
          <t>B</t>
        </is>
      </c>
      <c r="G2384" s="34" t="n">
        <v>4004</v>
      </c>
      <c r="H2384" s="34" t="n">
        <v>21076</v>
      </c>
      <c r="I2384" t="inlineStr">
        <is>
          <t>3.6</t>
        </is>
      </c>
      <c r="J2384" t="inlineStr">
        <is>
          <t>Ventas Delivery Apps</t>
        </is>
      </c>
      <c r="K2384" t="inlineStr">
        <is>
          <t>CH3</t>
        </is>
      </c>
    </row>
    <row r="2385">
      <c r="A2385" s="33" t="n">
        <v>45863</v>
      </c>
      <c r="B2385" t="inlineStr">
        <is>
          <t>2025-07</t>
        </is>
      </c>
      <c r="C2385" t="inlineStr">
        <is>
          <t>MOI'S SPA</t>
        </is>
      </c>
      <c r="D2385" t="inlineStr">
        <is>
          <t>HORECA CAFETERIA</t>
        </is>
      </c>
      <c r="E2385" s="34" t="n">
        <v>101382</v>
      </c>
      <c r="F2385" t="inlineStr">
        <is>
          <t>F</t>
        </is>
      </c>
      <c r="G2385" s="34" t="n">
        <v>16187</v>
      </c>
      <c r="H2385" s="34" t="n">
        <v>85195</v>
      </c>
      <c r="I2385" t="inlineStr">
        <is>
          <t>3.1</t>
        </is>
      </c>
      <c r="J2385" t="inlineStr">
        <is>
          <t>Ventas HoReCa</t>
        </is>
      </c>
      <c r="K2385" t="inlineStr">
        <is>
          <t>CH1</t>
        </is>
      </c>
    </row>
    <row r="2386">
      <c r="A2386" s="33" t="n">
        <v>45863</v>
      </c>
      <c r="B2386" t="inlineStr">
        <is>
          <t>2025-07</t>
        </is>
      </c>
      <c r="C2386" t="inlineStr">
        <is>
          <t>Romina Peralta</t>
        </is>
      </c>
      <c r="D2386" t="inlineStr">
        <is>
          <t>CANELÉ TRADICIONAL</t>
        </is>
      </c>
      <c r="E2386" s="34" t="n">
        <v>26900</v>
      </c>
      <c r="F2386" t="inlineStr">
        <is>
          <t>B</t>
        </is>
      </c>
      <c r="G2386" s="34" t="n">
        <v>4295</v>
      </c>
      <c r="H2386" s="34" t="n">
        <v>22605</v>
      </c>
      <c r="I2386" t="inlineStr">
        <is>
          <t>3.2</t>
        </is>
      </c>
      <c r="J2386" t="inlineStr">
        <is>
          <t>Ventas Personas (B2C)</t>
        </is>
      </c>
      <c r="K2386" t="inlineStr">
        <is>
          <t>CH2</t>
        </is>
      </c>
    </row>
    <row r="2387">
      <c r="A2387" s="33" t="n">
        <v>45863</v>
      </c>
      <c r="B2387" t="inlineStr">
        <is>
          <t>2025-07</t>
        </is>
      </c>
      <c r="C2387" t="inlineStr">
        <is>
          <t>constanza Torrejón</t>
        </is>
      </c>
      <c r="D2387" t="inlineStr">
        <is>
          <t>Petit Tradicional</t>
        </is>
      </c>
      <c r="E2387" s="34" t="n">
        <v>8900</v>
      </c>
      <c r="F2387" t="inlineStr">
        <is>
          <t>B</t>
        </is>
      </c>
      <c r="G2387" s="34" t="n">
        <v>1421</v>
      </c>
      <c r="H2387" s="34" t="n">
        <v>7479</v>
      </c>
      <c r="I2387" t="inlineStr">
        <is>
          <t>3.2</t>
        </is>
      </c>
      <c r="J2387" t="inlineStr">
        <is>
          <t>Ventas Personas (B2C)</t>
        </is>
      </c>
      <c r="K2387" t="inlineStr">
        <is>
          <t>CH2</t>
        </is>
      </c>
    </row>
    <row r="2388">
      <c r="A2388" s="33" t="n">
        <v>45863</v>
      </c>
      <c r="B2388" t="inlineStr">
        <is>
          <t>2025-07</t>
        </is>
      </c>
      <c r="C2388" t="inlineStr">
        <is>
          <t>Matías Montecinos</t>
        </is>
      </c>
      <c r="D2388" t="inlineStr">
        <is>
          <t>Mix Sabores</t>
        </is>
      </c>
      <c r="E2388" s="34" t="n">
        <v>20890</v>
      </c>
      <c r="F2388" t="inlineStr">
        <is>
          <t>B</t>
        </is>
      </c>
      <c r="G2388" s="34" t="n">
        <v>3335</v>
      </c>
      <c r="H2388" s="34" t="n">
        <v>17555</v>
      </c>
      <c r="I2388" t="inlineStr">
        <is>
          <t>3.2</t>
        </is>
      </c>
      <c r="J2388" t="inlineStr">
        <is>
          <t>Ventas Personas (B2C)</t>
        </is>
      </c>
      <c r="K2388" t="inlineStr">
        <is>
          <t>CH2</t>
        </is>
      </c>
    </row>
    <row r="2389">
      <c r="A2389" s="33" t="n">
        <v>45863</v>
      </c>
      <c r="B2389" t="inlineStr">
        <is>
          <t>2025-07</t>
        </is>
      </c>
      <c r="C2389" t="inlineStr">
        <is>
          <t>Yuki  Fujioka</t>
        </is>
      </c>
      <c r="D2389" t="inlineStr">
        <is>
          <t>Mix Sabores</t>
        </is>
      </c>
      <c r="E2389" s="34" t="n">
        <v>30000</v>
      </c>
      <c r="F2389" t="inlineStr">
        <is>
          <t>B</t>
        </is>
      </c>
      <c r="G2389" s="34" t="n">
        <v>4790</v>
      </c>
      <c r="H2389" s="34" t="n">
        <v>25210</v>
      </c>
      <c r="I2389" t="inlineStr">
        <is>
          <t>3.2</t>
        </is>
      </c>
      <c r="J2389" t="inlineStr">
        <is>
          <t>Ventas Personas (B2C)</t>
        </is>
      </c>
      <c r="K2389" t="inlineStr">
        <is>
          <t>CH2</t>
        </is>
      </c>
    </row>
    <row r="2390">
      <c r="A2390" s="33" t="n">
        <v>45863</v>
      </c>
      <c r="B2390" t="inlineStr">
        <is>
          <t>2025-07</t>
        </is>
      </c>
      <c r="C2390" t="inlineStr">
        <is>
          <t>Iliani Petit</t>
        </is>
      </c>
      <c r="D2390" t="inlineStr">
        <is>
          <t>CANELÉ TRADICIONAL</t>
        </is>
      </c>
      <c r="E2390" s="34" t="n">
        <v>38800</v>
      </c>
      <c r="F2390" t="inlineStr">
        <is>
          <t>B</t>
        </is>
      </c>
      <c r="G2390" s="34" t="n">
        <v>6195</v>
      </c>
      <c r="H2390" s="34" t="n">
        <v>32605</v>
      </c>
      <c r="I2390" t="inlineStr">
        <is>
          <t>3.2</t>
        </is>
      </c>
      <c r="J2390" t="inlineStr">
        <is>
          <t>Ventas Personas (B2C)</t>
        </is>
      </c>
      <c r="K2390" t="inlineStr">
        <is>
          <t>CH2</t>
        </is>
      </c>
    </row>
    <row r="2391">
      <c r="A2391" s="33" t="n">
        <v>45863</v>
      </c>
      <c r="B2391" t="inlineStr">
        <is>
          <t>2025-07</t>
        </is>
      </c>
      <c r="C2391" t="inlineStr">
        <is>
          <t>Iliani Petit</t>
        </is>
      </c>
      <c r="D2391" t="inlineStr">
        <is>
          <t>Delicatessen</t>
        </is>
      </c>
      <c r="E2391" s="34" t="n">
        <v>13900</v>
      </c>
      <c r="F2391" t="inlineStr">
        <is>
          <t>B</t>
        </is>
      </c>
      <c r="G2391" s="34" t="n">
        <v>2219</v>
      </c>
      <c r="H2391" s="34" t="n">
        <v>11681</v>
      </c>
      <c r="I2391" t="inlineStr">
        <is>
          <t>3.2</t>
        </is>
      </c>
      <c r="J2391" t="inlineStr">
        <is>
          <t>Ventas Personas (B2C)</t>
        </is>
      </c>
      <c r="K2391" t="inlineStr">
        <is>
          <t>CH2</t>
        </is>
      </c>
    </row>
    <row r="2392">
      <c r="A2392" s="33" t="n">
        <v>45863</v>
      </c>
      <c r="B2392" t="inlineStr">
        <is>
          <t>2025-07</t>
        </is>
      </c>
      <c r="C2392" t="inlineStr">
        <is>
          <t>maria jose grez</t>
        </is>
      </c>
      <c r="D2392" t="inlineStr">
        <is>
          <t>Petit Crunchy</t>
        </is>
      </c>
      <c r="E2392" s="34" t="n">
        <v>33800</v>
      </c>
      <c r="F2392" t="inlineStr">
        <is>
          <t>B</t>
        </is>
      </c>
      <c r="G2392" s="34" t="n">
        <v>5397</v>
      </c>
      <c r="H2392" s="34" t="n">
        <v>28403</v>
      </c>
      <c r="I2392" t="inlineStr">
        <is>
          <t>3.2</t>
        </is>
      </c>
      <c r="J2392" t="inlineStr">
        <is>
          <t>Ventas Personas (B2C)</t>
        </is>
      </c>
      <c r="K2392" t="inlineStr">
        <is>
          <t>CH2</t>
        </is>
      </c>
    </row>
    <row r="2393">
      <c r="A2393" s="33" t="n">
        <v>45863</v>
      </c>
      <c r="B2393" t="inlineStr">
        <is>
          <t>2025-07</t>
        </is>
      </c>
      <c r="C2393" t="inlineStr">
        <is>
          <t>Isidora Arestizábal</t>
        </is>
      </c>
      <c r="D2393" t="inlineStr">
        <is>
          <t>Mix Sabores</t>
        </is>
      </c>
      <c r="E2393" s="34" t="n">
        <v>19300</v>
      </c>
      <c r="F2393" t="inlineStr">
        <is>
          <t>B</t>
        </is>
      </c>
      <c r="G2393" s="34" t="n">
        <v>3082</v>
      </c>
      <c r="H2393" s="34" t="n">
        <v>16218</v>
      </c>
      <c r="I2393" t="inlineStr">
        <is>
          <t>3.2</t>
        </is>
      </c>
      <c r="J2393" t="inlineStr">
        <is>
          <t>Ventas Personas (B2C)</t>
        </is>
      </c>
      <c r="K2393" t="inlineStr">
        <is>
          <t>CH2</t>
        </is>
      </c>
    </row>
    <row r="2394">
      <c r="A2394" s="33" t="n">
        <v>45864</v>
      </c>
      <c r="B2394" t="inlineStr">
        <is>
          <t>2025-07</t>
        </is>
      </c>
      <c r="C2394" t="inlineStr">
        <is>
          <t>CAFE DIARIO ENCOMENDEROS SPA</t>
        </is>
      </c>
      <c r="D2394" t="inlineStr">
        <is>
          <t>HORECA CAFETERIA</t>
        </is>
      </c>
      <c r="E2394" s="34" t="n">
        <v>82830</v>
      </c>
      <c r="F2394" t="inlineStr">
        <is>
          <t>F</t>
        </is>
      </c>
      <c r="G2394" s="34" t="n">
        <v>13225</v>
      </c>
      <c r="H2394" s="34" t="n">
        <v>69605</v>
      </c>
      <c r="I2394" t="inlineStr">
        <is>
          <t>3.1</t>
        </is>
      </c>
      <c r="J2394" t="inlineStr">
        <is>
          <t>Ventas HoReCa</t>
        </is>
      </c>
      <c r="K2394" t="inlineStr">
        <is>
          <t>CH1</t>
        </is>
      </c>
    </row>
    <row r="2395">
      <c r="A2395" s="33" t="n">
        <v>45864</v>
      </c>
      <c r="B2395" t="inlineStr">
        <is>
          <t>2025-07</t>
        </is>
      </c>
      <c r="C2395" t="inlineStr">
        <is>
          <t>Cristobal Correa Ehlers</t>
        </is>
      </c>
      <c r="D2395" t="inlineStr">
        <is>
          <t>Petit Tradicional</t>
        </is>
      </c>
      <c r="E2395" s="34" t="n">
        <v>37700</v>
      </c>
      <c r="F2395" t="inlineStr">
        <is>
          <t>B</t>
        </is>
      </c>
      <c r="G2395" s="34" t="n">
        <v>6019</v>
      </c>
      <c r="H2395" s="34" t="n">
        <v>31681</v>
      </c>
      <c r="I2395" t="inlineStr">
        <is>
          <t>3.2</t>
        </is>
      </c>
      <c r="J2395" t="inlineStr">
        <is>
          <t>Ventas Personas (B2C)</t>
        </is>
      </c>
      <c r="K2395" t="inlineStr">
        <is>
          <t>CH2</t>
        </is>
      </c>
    </row>
    <row r="2396">
      <c r="A2396" s="33" t="n">
        <v>45864</v>
      </c>
      <c r="B2396" t="inlineStr">
        <is>
          <t>2025-07</t>
        </is>
      </c>
      <c r="C2396" t="inlineStr">
        <is>
          <t>Tomas Douds</t>
        </is>
      </c>
      <c r="D2396" t="inlineStr">
        <is>
          <t>CANELÉ TRADICIONAL</t>
        </is>
      </c>
      <c r="E2396" s="34" t="n">
        <v>15215</v>
      </c>
      <c r="F2396" t="inlineStr">
        <is>
          <t>B</t>
        </is>
      </c>
      <c r="G2396" s="34" t="n">
        <v>2429</v>
      </c>
      <c r="H2396" s="34" t="n">
        <v>12786</v>
      </c>
      <c r="I2396" t="inlineStr">
        <is>
          <t>3.2</t>
        </is>
      </c>
      <c r="J2396" t="inlineStr">
        <is>
          <t>Ventas Personas (B2C)</t>
        </is>
      </c>
      <c r="K2396" t="inlineStr">
        <is>
          <t>CH2</t>
        </is>
      </c>
    </row>
    <row r="2397">
      <c r="A2397" s="33" t="n">
        <v>45864</v>
      </c>
      <c r="B2397" t="inlineStr">
        <is>
          <t>2025-07</t>
        </is>
      </c>
      <c r="C2397" t="inlineStr">
        <is>
          <t>Adolfo Gana</t>
        </is>
      </c>
      <c r="D2397" t="inlineStr">
        <is>
          <t>CANELÉ TRADICIONAL</t>
        </is>
      </c>
      <c r="E2397" s="34" t="n">
        <v>23389</v>
      </c>
      <c r="F2397" t="inlineStr">
        <is>
          <t>B</t>
        </is>
      </c>
      <c r="G2397" s="34" t="n">
        <v>3734</v>
      </c>
      <c r="H2397" s="34" t="n">
        <v>19655</v>
      </c>
      <c r="I2397" t="inlineStr">
        <is>
          <t>3.2</t>
        </is>
      </c>
      <c r="J2397" t="inlineStr">
        <is>
          <t>Ventas Personas (B2C)</t>
        </is>
      </c>
      <c r="K2397" t="inlineStr">
        <is>
          <t>CH2</t>
        </is>
      </c>
    </row>
    <row r="2398">
      <c r="A2398" s="33" t="n">
        <v>45864</v>
      </c>
      <c r="B2398" t="inlineStr">
        <is>
          <t>2025-07</t>
        </is>
      </c>
      <c r="C2398" t="inlineStr">
        <is>
          <t>Sin cliente</t>
        </is>
      </c>
      <c r="D2398" t="inlineStr">
        <is>
          <t>CANELÉ TRADICIONAL</t>
        </is>
      </c>
      <c r="E2398" s="34" t="n">
        <v>19900</v>
      </c>
      <c r="F2398" t="inlineStr">
        <is>
          <t>B</t>
        </is>
      </c>
      <c r="G2398" s="34" t="n">
        <v>3177</v>
      </c>
      <c r="H2398" s="34" t="n">
        <v>16723</v>
      </c>
      <c r="I2398" t="inlineStr">
        <is>
          <t>3.2</t>
        </is>
      </c>
      <c r="J2398" t="inlineStr">
        <is>
          <t>Ventas Personas (B2C)</t>
        </is>
      </c>
      <c r="K2398" t="inlineStr">
        <is>
          <t>CH2</t>
        </is>
      </c>
    </row>
    <row r="2399">
      <c r="A2399" s="33" t="n">
        <v>45864</v>
      </c>
      <c r="B2399" t="inlineStr">
        <is>
          <t>2025-07</t>
        </is>
      </c>
      <c r="C2399" t="inlineStr">
        <is>
          <t>Sin cliente</t>
        </is>
      </c>
      <c r="D2399" t="inlineStr">
        <is>
          <t>Petit Tradicional</t>
        </is>
      </c>
      <c r="E2399" s="34" t="n">
        <v>35800</v>
      </c>
      <c r="F2399" t="inlineStr">
        <is>
          <t>B</t>
        </is>
      </c>
      <c r="G2399" s="34" t="n">
        <v>5716</v>
      </c>
      <c r="H2399" s="34" t="n">
        <v>30084</v>
      </c>
      <c r="I2399" t="inlineStr">
        <is>
          <t>3.2</t>
        </is>
      </c>
      <c r="J2399" t="inlineStr">
        <is>
          <t>Ventas Personas (B2C)</t>
        </is>
      </c>
      <c r="K2399" t="inlineStr">
        <is>
          <t>CH2</t>
        </is>
      </c>
    </row>
    <row r="2400">
      <c r="A2400" s="33" t="n">
        <v>45864</v>
      </c>
      <c r="B2400" t="inlineStr">
        <is>
          <t>2025-07</t>
        </is>
      </c>
      <c r="C2400" t="inlineStr">
        <is>
          <t>Sin cliente</t>
        </is>
      </c>
      <c r="D2400" t="inlineStr">
        <is>
          <t>PLATAFORMAS RAP-PEYA-UBER-GOOD</t>
        </is>
      </c>
      <c r="E2400" s="34" t="n">
        <v>39240</v>
      </c>
      <c r="F2400" t="inlineStr">
        <is>
          <t>B</t>
        </is>
      </c>
      <c r="G2400" s="34" t="n">
        <v>6265</v>
      </c>
      <c r="H2400" s="34" t="n">
        <v>32975</v>
      </c>
      <c r="I2400" t="inlineStr">
        <is>
          <t>3.6</t>
        </is>
      </c>
      <c r="J2400" t="inlineStr">
        <is>
          <t>Ventas Delivery Apps</t>
        </is>
      </c>
      <c r="K2400" t="inlineStr">
        <is>
          <t>CH3</t>
        </is>
      </c>
    </row>
    <row r="2401">
      <c r="A2401" s="33" t="n">
        <v>45864</v>
      </c>
      <c r="B2401" t="inlineStr">
        <is>
          <t>2025-07</t>
        </is>
      </c>
      <c r="C2401" t="inlineStr">
        <is>
          <t>Sin cliente</t>
        </is>
      </c>
      <c r="D2401" t="inlineStr">
        <is>
          <t>PLATAFORMAS RAP-PEYA-UBER-GOOD</t>
        </is>
      </c>
      <c r="E2401" s="34" t="n">
        <v>26280</v>
      </c>
      <c r="F2401" t="inlineStr">
        <is>
          <t>B</t>
        </is>
      </c>
      <c r="G2401" s="34" t="n">
        <v>4196</v>
      </c>
      <c r="H2401" s="34" t="n">
        <v>22084</v>
      </c>
      <c r="I2401" t="inlineStr">
        <is>
          <t>3.6</t>
        </is>
      </c>
      <c r="J2401" t="inlineStr">
        <is>
          <t>Ventas Delivery Apps</t>
        </is>
      </c>
      <c r="K2401" t="inlineStr">
        <is>
          <t>CH3</t>
        </is>
      </c>
    </row>
    <row r="2402">
      <c r="A2402" s="33" t="n">
        <v>45864</v>
      </c>
      <c r="B2402" t="inlineStr">
        <is>
          <t>2025-07</t>
        </is>
      </c>
      <c r="C2402" t="inlineStr">
        <is>
          <t>Sin cliente</t>
        </is>
      </c>
      <c r="D2402" t="inlineStr">
        <is>
          <t>Petit Tradicional</t>
        </is>
      </c>
      <c r="E2402" s="34" t="n">
        <v>30900</v>
      </c>
      <c r="F2402" t="inlineStr">
        <is>
          <t>B</t>
        </is>
      </c>
      <c r="G2402" s="34" t="n">
        <v>4934</v>
      </c>
      <c r="H2402" s="34" t="n">
        <v>25966</v>
      </c>
      <c r="I2402" t="inlineStr">
        <is>
          <t>3.2</t>
        </is>
      </c>
      <c r="J2402" t="inlineStr">
        <is>
          <t>Ventas Personas (B2C)</t>
        </is>
      </c>
      <c r="K2402" t="inlineStr">
        <is>
          <t>CH2</t>
        </is>
      </c>
    </row>
    <row r="2403">
      <c r="A2403" s="33" t="n">
        <v>45864</v>
      </c>
      <c r="B2403" t="inlineStr">
        <is>
          <t>2025-07</t>
        </is>
      </c>
      <c r="C2403" t="inlineStr">
        <is>
          <t>Alejandro Martic</t>
        </is>
      </c>
      <c r="D2403" t="inlineStr">
        <is>
          <t>Petit Tradicional</t>
        </is>
      </c>
      <c r="E2403" s="34" t="n">
        <v>25800</v>
      </c>
      <c r="F2403" t="inlineStr">
        <is>
          <t>B</t>
        </is>
      </c>
      <c r="G2403" s="34" t="n">
        <v>4119</v>
      </c>
      <c r="H2403" s="34" t="n">
        <v>21681</v>
      </c>
      <c r="I2403" t="inlineStr">
        <is>
          <t>3.2</t>
        </is>
      </c>
      <c r="J2403" t="inlineStr">
        <is>
          <t>Ventas Personas (B2C)</t>
        </is>
      </c>
      <c r="K2403" t="inlineStr">
        <is>
          <t>CH2</t>
        </is>
      </c>
    </row>
    <row r="2404">
      <c r="A2404" s="33" t="n">
        <v>45864</v>
      </c>
      <c r="B2404" t="inlineStr">
        <is>
          <t>2025-07</t>
        </is>
      </c>
      <c r="C2404" t="inlineStr">
        <is>
          <t>Francisca Flores</t>
        </is>
      </c>
      <c r="D2404" t="inlineStr">
        <is>
          <t>Petit Crunchy</t>
        </is>
      </c>
      <c r="E2404" s="34" t="n">
        <v>34900</v>
      </c>
      <c r="F2404" t="inlineStr">
        <is>
          <t>B</t>
        </is>
      </c>
      <c r="G2404" s="34" t="n">
        <v>5572</v>
      </c>
      <c r="H2404" s="34" t="n">
        <v>29328</v>
      </c>
      <c r="I2404" t="inlineStr">
        <is>
          <t>3.2</t>
        </is>
      </c>
      <c r="J2404" t="inlineStr">
        <is>
          <t>Ventas Personas (B2C)</t>
        </is>
      </c>
      <c r="K2404" t="inlineStr">
        <is>
          <t>CH2</t>
        </is>
      </c>
    </row>
    <row r="2405">
      <c r="A2405" s="33" t="n">
        <v>45864</v>
      </c>
      <c r="B2405" t="inlineStr">
        <is>
          <t>2025-07</t>
        </is>
      </c>
      <c r="C2405" t="inlineStr">
        <is>
          <t>Alexander  Guale</t>
        </is>
      </c>
      <c r="D2405" t="inlineStr">
        <is>
          <t>CANELÉ TRADICIONAL</t>
        </is>
      </c>
      <c r="E2405" s="34" t="n">
        <v>17900</v>
      </c>
      <c r="F2405" t="inlineStr">
        <is>
          <t>B</t>
        </is>
      </c>
      <c r="G2405" s="34" t="n">
        <v>2858</v>
      </c>
      <c r="H2405" s="34" t="n">
        <v>15042</v>
      </c>
      <c r="I2405" t="inlineStr">
        <is>
          <t>3.2</t>
        </is>
      </c>
      <c r="J2405" t="inlineStr">
        <is>
          <t>Ventas Personas (B2C)</t>
        </is>
      </c>
      <c r="K2405" t="inlineStr">
        <is>
          <t>CH2</t>
        </is>
      </c>
    </row>
    <row r="2406">
      <c r="A2406" s="33" t="n">
        <v>45864</v>
      </c>
      <c r="B2406" t="inlineStr">
        <is>
          <t>2025-07</t>
        </is>
      </c>
      <c r="C2406" t="inlineStr">
        <is>
          <t>Maria Jose Grez</t>
        </is>
      </c>
      <c r="D2406" t="inlineStr">
        <is>
          <t>Delicatessen</t>
        </is>
      </c>
      <c r="E2406" s="34" t="n">
        <v>7120</v>
      </c>
      <c r="F2406" t="inlineStr">
        <is>
          <t>B</t>
        </is>
      </c>
      <c r="G2406" s="34" t="n">
        <v>1137</v>
      </c>
      <c r="H2406" s="34" t="n">
        <v>5983</v>
      </c>
      <c r="I2406" t="inlineStr">
        <is>
          <t>3.2</t>
        </is>
      </c>
      <c r="J2406" t="inlineStr">
        <is>
          <t>Ventas Personas (B2C)</t>
        </is>
      </c>
      <c r="K2406" t="inlineStr">
        <is>
          <t>CH2</t>
        </is>
      </c>
    </row>
    <row r="2407">
      <c r="A2407" s="33" t="n">
        <v>45864</v>
      </c>
      <c r="B2407" t="inlineStr">
        <is>
          <t>2025-07</t>
        </is>
      </c>
      <c r="C2407" t="inlineStr">
        <is>
          <t>Sin cliente</t>
        </is>
      </c>
      <c r="D2407" t="inlineStr">
        <is>
          <t>Petit Tradicional</t>
        </is>
      </c>
      <c r="E2407" s="34" t="n">
        <v>20900</v>
      </c>
      <c r="F2407" t="inlineStr">
        <is>
          <t>B</t>
        </is>
      </c>
      <c r="G2407" s="34" t="n">
        <v>3337</v>
      </c>
      <c r="H2407" s="34" t="n">
        <v>17563</v>
      </c>
      <c r="I2407" t="inlineStr">
        <is>
          <t>3.2</t>
        </is>
      </c>
      <c r="J2407" t="inlineStr">
        <is>
          <t>Ventas Personas (B2C)</t>
        </is>
      </c>
      <c r="K2407" t="inlineStr">
        <is>
          <t>CH2</t>
        </is>
      </c>
    </row>
    <row r="2408">
      <c r="A2408" s="33" t="n">
        <v>45864</v>
      </c>
      <c r="B2408" t="inlineStr">
        <is>
          <t>2025-07</t>
        </is>
      </c>
      <c r="C2408" t="inlineStr">
        <is>
          <t>Sin cliente</t>
        </is>
      </c>
      <c r="D2408" t="inlineStr">
        <is>
          <t>SALSAS</t>
        </is>
      </c>
      <c r="E2408" s="34" t="n">
        <v>6990</v>
      </c>
      <c r="F2408" t="inlineStr">
        <is>
          <t>B</t>
        </is>
      </c>
      <c r="G2408" s="34" t="n">
        <v>1116</v>
      </c>
      <c r="H2408" s="34" t="n">
        <v>5874</v>
      </c>
      <c r="I2408" t="inlineStr">
        <is>
          <t>3.2</t>
        </is>
      </c>
      <c r="J2408" t="inlineStr">
        <is>
          <t>Ventas Personas (B2C)</t>
        </is>
      </c>
      <c r="K2408" t="inlineStr">
        <is>
          <t>CH2</t>
        </is>
      </c>
    </row>
    <row r="2409">
      <c r="A2409" s="33" t="n">
        <v>45864</v>
      </c>
      <c r="B2409" t="inlineStr">
        <is>
          <t>2025-07</t>
        </is>
      </c>
      <c r="C2409" t="inlineStr">
        <is>
          <t>Valeria Fuenzalida</t>
        </is>
      </c>
      <c r="D2409" t="inlineStr">
        <is>
          <t>Petit Crunchy</t>
        </is>
      </c>
      <c r="E2409" s="34" t="n">
        <v>30890</v>
      </c>
      <c r="F2409" t="inlineStr">
        <is>
          <t>B</t>
        </is>
      </c>
      <c r="G2409" s="34" t="n">
        <v>4932</v>
      </c>
      <c r="H2409" s="34" t="n">
        <v>25958</v>
      </c>
      <c r="I2409" t="inlineStr">
        <is>
          <t>3.2</t>
        </is>
      </c>
      <c r="J2409" t="inlineStr">
        <is>
          <t>Ventas Personas (B2C)</t>
        </is>
      </c>
      <c r="K2409" t="inlineStr">
        <is>
          <t>CH2</t>
        </is>
      </c>
    </row>
    <row r="2410">
      <c r="A2410" s="33" t="n">
        <v>45866</v>
      </c>
      <c r="B2410" t="inlineStr">
        <is>
          <t>2025-07</t>
        </is>
      </c>
      <c r="C2410" t="inlineStr">
        <is>
          <t>Oswaldo Minagas</t>
        </is>
      </c>
      <c r="D2410" t="inlineStr">
        <is>
          <t>Petit Crunchy</t>
        </is>
      </c>
      <c r="E2410" s="34" t="n">
        <v>21890</v>
      </c>
      <c r="F2410" t="inlineStr">
        <is>
          <t>B</t>
        </is>
      </c>
      <c r="G2410" s="34" t="n">
        <v>3495</v>
      </c>
      <c r="H2410" s="34" t="n">
        <v>18395</v>
      </c>
      <c r="I2410" t="inlineStr">
        <is>
          <t>3.2</t>
        </is>
      </c>
      <c r="J2410" t="inlineStr">
        <is>
          <t>Ventas Personas (B2C)</t>
        </is>
      </c>
      <c r="K2410" t="inlineStr">
        <is>
          <t>CH2</t>
        </is>
      </c>
    </row>
    <row r="2411">
      <c r="A2411" s="33" t="n">
        <v>45866</v>
      </c>
      <c r="B2411" t="inlineStr">
        <is>
          <t>2025-07</t>
        </is>
      </c>
      <c r="C2411" t="inlineStr">
        <is>
          <t>CAFETERÍA ALTURA LIMITADA</t>
        </is>
      </c>
      <c r="D2411" t="inlineStr">
        <is>
          <t>HORECA CAFETERIA</t>
        </is>
      </c>
      <c r="E2411" s="34" t="n">
        <v>53899</v>
      </c>
      <c r="F2411" t="inlineStr">
        <is>
          <t>F</t>
        </is>
      </c>
      <c r="G2411" s="34" t="n">
        <v>8606</v>
      </c>
      <c r="H2411" s="34" t="n">
        <v>45293</v>
      </c>
      <c r="I2411" t="inlineStr">
        <is>
          <t>3.1</t>
        </is>
      </c>
      <c r="J2411" t="inlineStr">
        <is>
          <t>Ventas HoReCa</t>
        </is>
      </c>
      <c r="K2411" t="inlineStr">
        <is>
          <t>CH1</t>
        </is>
      </c>
    </row>
    <row r="2412">
      <c r="A2412" s="33" t="n">
        <v>45866</v>
      </c>
      <c r="B2412" t="inlineStr">
        <is>
          <t>2025-07</t>
        </is>
      </c>
      <c r="C2412" t="inlineStr">
        <is>
          <t>INVERSIONES Y COMERCIALIZADORA FED LIMITADA</t>
        </is>
      </c>
      <c r="D2412" t="inlineStr">
        <is>
          <t>HORECA CAFETERIA</t>
        </is>
      </c>
      <c r="E2412" s="34" t="n">
        <v>104807</v>
      </c>
      <c r="F2412" t="inlineStr">
        <is>
          <t>F</t>
        </is>
      </c>
      <c r="G2412" s="34" t="n">
        <v>16734</v>
      </c>
      <c r="H2412" s="34" t="n">
        <v>88073</v>
      </c>
      <c r="I2412" t="inlineStr">
        <is>
          <t>3.1</t>
        </is>
      </c>
      <c r="J2412" t="inlineStr">
        <is>
          <t>Ventas HoReCa</t>
        </is>
      </c>
      <c r="K2412" t="inlineStr">
        <is>
          <t>CH1</t>
        </is>
      </c>
    </row>
    <row r="2413">
      <c r="A2413" s="33" t="n">
        <v>45866</v>
      </c>
      <c r="B2413" t="inlineStr">
        <is>
          <t>2025-07</t>
        </is>
      </c>
      <c r="C2413" t="inlineStr">
        <is>
          <t>INVERSIONES Y COMERCIALIZADORA FED LIMITADA</t>
        </is>
      </c>
      <c r="D2413" t="inlineStr">
        <is>
          <t>HORECA CAFETERIA</t>
        </is>
      </c>
      <c r="E2413" s="34" t="n">
        <v>207131</v>
      </c>
      <c r="F2413" t="inlineStr">
        <is>
          <t>F</t>
        </is>
      </c>
      <c r="G2413" s="34" t="n">
        <v>33071</v>
      </c>
      <c r="H2413" s="34" t="n">
        <v>174060</v>
      </c>
      <c r="I2413" t="inlineStr">
        <is>
          <t>3.1</t>
        </is>
      </c>
      <c r="J2413" t="inlineStr">
        <is>
          <t>Ventas HoReCa</t>
        </is>
      </c>
      <c r="K2413" t="inlineStr">
        <is>
          <t>CH1</t>
        </is>
      </c>
    </row>
    <row r="2414">
      <c r="A2414" s="33" t="n">
        <v>45866</v>
      </c>
      <c r="B2414" t="inlineStr">
        <is>
          <t>2025-07</t>
        </is>
      </c>
      <c r="C2414" t="inlineStr">
        <is>
          <t>INVERSIONES Y ASESORIAS RAVAL LIMITADA</t>
        </is>
      </c>
      <c r="D2414" t="inlineStr">
        <is>
          <t>HORECA CAFETERIA</t>
        </is>
      </c>
      <c r="E2414" s="34" t="n">
        <v>67956</v>
      </c>
      <c r="F2414" t="inlineStr">
        <is>
          <t>F</t>
        </is>
      </c>
      <c r="G2414" s="34" t="n">
        <v>10850</v>
      </c>
      <c r="H2414" s="34" t="n">
        <v>57106</v>
      </c>
      <c r="I2414" t="inlineStr">
        <is>
          <t>3.1</t>
        </is>
      </c>
      <c r="J2414" t="inlineStr">
        <is>
          <t>Ventas HoReCa</t>
        </is>
      </c>
      <c r="K2414" t="inlineStr">
        <is>
          <t>CH1</t>
        </is>
      </c>
    </row>
    <row r="2415">
      <c r="A2415" s="33" t="n">
        <v>45866</v>
      </c>
      <c r="B2415" t="inlineStr">
        <is>
          <t>2025-07</t>
        </is>
      </c>
      <c r="C2415" t="inlineStr">
        <is>
          <t>Okinawa Spa</t>
        </is>
      </c>
      <c r="D2415" t="inlineStr">
        <is>
          <t>HORECA CAFETERIA</t>
        </is>
      </c>
      <c r="E2415" s="34" t="n">
        <v>112812</v>
      </c>
      <c r="F2415" t="inlineStr">
        <is>
          <t>F</t>
        </is>
      </c>
      <c r="G2415" s="34" t="n">
        <v>18012</v>
      </c>
      <c r="H2415" s="34" t="n">
        <v>94800</v>
      </c>
      <c r="I2415" t="inlineStr">
        <is>
          <t>3.1</t>
        </is>
      </c>
      <c r="J2415" t="inlineStr">
        <is>
          <t>Ventas HoReCa</t>
        </is>
      </c>
      <c r="K2415" t="inlineStr">
        <is>
          <t>CH1</t>
        </is>
      </c>
    </row>
    <row r="2416">
      <c r="A2416" s="33" t="n">
        <v>45866</v>
      </c>
      <c r="B2416" t="inlineStr">
        <is>
          <t>2025-07</t>
        </is>
      </c>
      <c r="C2416" t="inlineStr">
        <is>
          <t>Ivonne Peña</t>
        </is>
      </c>
      <c r="D2416" t="inlineStr">
        <is>
          <t>CANELÉ TRADICIONAL</t>
        </is>
      </c>
      <c r="E2416" s="34" t="n">
        <v>94390</v>
      </c>
      <c r="F2416" t="inlineStr">
        <is>
          <t>B</t>
        </is>
      </c>
      <c r="G2416" s="34" t="n">
        <v>15071</v>
      </c>
      <c r="H2416" s="34" t="n">
        <v>79319</v>
      </c>
      <c r="I2416" t="inlineStr">
        <is>
          <t>3.1</t>
        </is>
      </c>
      <c r="J2416" t="inlineStr">
        <is>
          <t>Ventas HoReCa</t>
        </is>
      </c>
      <c r="K2416" t="inlineStr">
        <is>
          <t>CH1</t>
        </is>
      </c>
    </row>
    <row r="2417">
      <c r="A2417" s="33" t="n">
        <v>45866</v>
      </c>
      <c r="B2417" t="inlineStr">
        <is>
          <t>2025-07</t>
        </is>
      </c>
      <c r="C2417" t="inlineStr">
        <is>
          <t>Camila Velasquez</t>
        </is>
      </c>
      <c r="D2417" t="inlineStr">
        <is>
          <t>Rellenos</t>
        </is>
      </c>
      <c r="E2417" s="34" t="n">
        <v>27889</v>
      </c>
      <c r="F2417" t="inlineStr">
        <is>
          <t>B</t>
        </is>
      </c>
      <c r="G2417" s="34" t="n">
        <v>4453</v>
      </c>
      <c r="H2417" s="34" t="n">
        <v>23436</v>
      </c>
      <c r="I2417" t="inlineStr">
        <is>
          <t>3.2</t>
        </is>
      </c>
      <c r="J2417" t="inlineStr">
        <is>
          <t>Ventas Personas (B2C)</t>
        </is>
      </c>
      <c r="K2417" t="inlineStr">
        <is>
          <t>CH2</t>
        </is>
      </c>
    </row>
    <row r="2418">
      <c r="A2418" s="33" t="n">
        <v>45866</v>
      </c>
      <c r="B2418" t="inlineStr">
        <is>
          <t>2025-07</t>
        </is>
      </c>
      <c r="C2418" t="inlineStr">
        <is>
          <t>POMPON SPA</t>
        </is>
      </c>
      <c r="D2418" t="inlineStr">
        <is>
          <t>HORECA CAFETERIA</t>
        </is>
      </c>
      <c r="E2418" s="34" t="n">
        <v>132510</v>
      </c>
      <c r="F2418" t="inlineStr">
        <is>
          <t>F</t>
        </is>
      </c>
      <c r="G2418" s="34" t="n">
        <v>21157</v>
      </c>
      <c r="H2418" s="34" t="n">
        <v>111353</v>
      </c>
      <c r="I2418" t="inlineStr">
        <is>
          <t>3.1</t>
        </is>
      </c>
      <c r="J2418" t="inlineStr">
        <is>
          <t>Ventas HoReCa</t>
        </is>
      </c>
      <c r="K2418" t="inlineStr">
        <is>
          <t>CH1</t>
        </is>
      </c>
    </row>
    <row r="2419">
      <c r="A2419" s="33" t="n">
        <v>45866</v>
      </c>
      <c r="B2419" t="inlineStr">
        <is>
          <t>2025-07</t>
        </is>
      </c>
      <c r="C2419" t="inlineStr">
        <is>
          <t>Sin cliente</t>
        </is>
      </c>
      <c r="D2419" t="inlineStr">
        <is>
          <t>PLATAFORMAS RAP-PEYA-UBER-GOOD</t>
        </is>
      </c>
      <c r="E2419" s="34" t="n">
        <v>15480</v>
      </c>
      <c r="F2419" t="inlineStr">
        <is>
          <t>B</t>
        </is>
      </c>
      <c r="G2419" s="34" t="n">
        <v>2472</v>
      </c>
      <c r="H2419" s="34" t="n">
        <v>13008</v>
      </c>
      <c r="I2419" t="inlineStr">
        <is>
          <t>3.6</t>
        </is>
      </c>
      <c r="J2419" t="inlineStr">
        <is>
          <t>Ventas Delivery Apps</t>
        </is>
      </c>
      <c r="K2419" t="inlineStr">
        <is>
          <t>CH3</t>
        </is>
      </c>
    </row>
    <row r="2420">
      <c r="A2420" s="33" t="n">
        <v>45866</v>
      </c>
      <c r="B2420" t="inlineStr">
        <is>
          <t>2025-07</t>
        </is>
      </c>
      <c r="C2420" t="inlineStr">
        <is>
          <t>Sin cliente</t>
        </is>
      </c>
      <c r="D2420" t="inlineStr">
        <is>
          <t>Petit Tradicional</t>
        </is>
      </c>
      <c r="E2420" s="34" t="n">
        <v>26700</v>
      </c>
      <c r="F2420" t="inlineStr">
        <is>
          <t>B</t>
        </is>
      </c>
      <c r="G2420" s="34" t="n">
        <v>4263</v>
      </c>
      <c r="H2420" s="34" t="n">
        <v>22437</v>
      </c>
      <c r="I2420" t="inlineStr">
        <is>
          <t>3.2</t>
        </is>
      </c>
      <c r="J2420" t="inlineStr">
        <is>
          <t>Ventas Personas (B2C)</t>
        </is>
      </c>
      <c r="K2420" t="inlineStr">
        <is>
          <t>CH2</t>
        </is>
      </c>
    </row>
    <row r="2421">
      <c r="A2421" s="33" t="n">
        <v>45866</v>
      </c>
      <c r="B2421" t="inlineStr">
        <is>
          <t>2025-07</t>
        </is>
      </c>
      <c r="C2421" t="inlineStr">
        <is>
          <t>Muriel Ropert Guerra</t>
        </is>
      </c>
      <c r="D2421" t="inlineStr">
        <is>
          <t>Petit Crunchy</t>
        </is>
      </c>
      <c r="E2421" s="34" t="n">
        <v>18890</v>
      </c>
      <c r="F2421" t="inlineStr">
        <is>
          <t>B</t>
        </is>
      </c>
      <c r="G2421" s="34" t="n">
        <v>3016</v>
      </c>
      <c r="H2421" s="34" t="n">
        <v>15874</v>
      </c>
      <c r="I2421" t="inlineStr">
        <is>
          <t>3.2</t>
        </is>
      </c>
      <c r="J2421" t="inlineStr">
        <is>
          <t>Ventas Personas (B2C)</t>
        </is>
      </c>
      <c r="K2421" t="inlineStr">
        <is>
          <t>CH2</t>
        </is>
      </c>
    </row>
    <row r="2422">
      <c r="A2422" s="33" t="n">
        <v>45866</v>
      </c>
      <c r="B2422" t="inlineStr">
        <is>
          <t>2025-07</t>
        </is>
      </c>
      <c r="C2422" t="inlineStr">
        <is>
          <t>Sin cliente</t>
        </is>
      </c>
      <c r="D2422" t="inlineStr">
        <is>
          <t>PLATAFORMAS RAP-PEYA-UBER-GOOD</t>
        </is>
      </c>
      <c r="E2422" s="34" t="n">
        <v>30960</v>
      </c>
      <c r="F2422" t="inlineStr">
        <is>
          <t>B</t>
        </is>
      </c>
      <c r="G2422" s="34" t="n">
        <v>4943</v>
      </c>
      <c r="H2422" s="34" t="n">
        <v>26017</v>
      </c>
      <c r="I2422" t="inlineStr">
        <is>
          <t>3.6</t>
        </is>
      </c>
      <c r="J2422" t="inlineStr">
        <is>
          <t>Ventas Delivery Apps</t>
        </is>
      </c>
      <c r="K2422" t="inlineStr">
        <is>
          <t>CH3</t>
        </is>
      </c>
    </row>
    <row r="2423">
      <c r="A2423" s="33" t="n">
        <v>45866</v>
      </c>
      <c r="B2423" t="inlineStr">
        <is>
          <t>2025-07</t>
        </is>
      </c>
      <c r="C2423" t="inlineStr">
        <is>
          <t>Sin cliente</t>
        </is>
      </c>
      <c r="D2423" t="inlineStr">
        <is>
          <t>PLATAFORMAS RAP-PEYA-UBER-GOOD</t>
        </is>
      </c>
      <c r="E2423" s="34" t="n">
        <v>15480</v>
      </c>
      <c r="F2423" t="inlineStr">
        <is>
          <t>B</t>
        </is>
      </c>
      <c r="G2423" s="34" t="n">
        <v>2472</v>
      </c>
      <c r="H2423" s="34" t="n">
        <v>13008</v>
      </c>
      <c r="I2423" t="inlineStr">
        <is>
          <t>3.6</t>
        </is>
      </c>
      <c r="J2423" t="inlineStr">
        <is>
          <t>Ventas Delivery Apps</t>
        </is>
      </c>
      <c r="K2423" t="inlineStr">
        <is>
          <t>CH3</t>
        </is>
      </c>
    </row>
    <row r="2424">
      <c r="A2424" s="33" t="n">
        <v>45866</v>
      </c>
      <c r="B2424" t="inlineStr">
        <is>
          <t>2025-07</t>
        </is>
      </c>
      <c r="C2424" t="inlineStr">
        <is>
          <t>Sin cliente</t>
        </is>
      </c>
      <c r="D2424" t="inlineStr">
        <is>
          <t>Petit Tradicional</t>
        </is>
      </c>
      <c r="E2424" s="34" t="n">
        <v>30900</v>
      </c>
      <c r="F2424" t="inlineStr">
        <is>
          <t>B</t>
        </is>
      </c>
      <c r="G2424" s="34" t="n">
        <v>4934</v>
      </c>
      <c r="H2424" s="34" t="n">
        <v>25966</v>
      </c>
      <c r="I2424" t="inlineStr">
        <is>
          <t>3.2</t>
        </is>
      </c>
      <c r="J2424" t="inlineStr">
        <is>
          <t>Ventas Personas (B2C)</t>
        </is>
      </c>
      <c r="K2424" t="inlineStr">
        <is>
          <t>CH2</t>
        </is>
      </c>
    </row>
    <row r="2425">
      <c r="A2425" s="33" t="n">
        <v>45866</v>
      </c>
      <c r="B2425" t="inlineStr">
        <is>
          <t>2025-07</t>
        </is>
      </c>
      <c r="C2425" t="inlineStr">
        <is>
          <t>Evelyn Momberg Momberg</t>
        </is>
      </c>
      <c r="D2425" t="inlineStr">
        <is>
          <t>CANELÉ TRADICIONAL</t>
        </is>
      </c>
      <c r="E2425" s="34" t="n">
        <v>26890</v>
      </c>
      <c r="F2425" t="inlineStr">
        <is>
          <t>B</t>
        </is>
      </c>
      <c r="G2425" s="34" t="n">
        <v>4293</v>
      </c>
      <c r="H2425" s="34" t="n">
        <v>22597</v>
      </c>
      <c r="I2425" t="inlineStr">
        <is>
          <t>3.2</t>
        </is>
      </c>
      <c r="J2425" t="inlineStr">
        <is>
          <t>Ventas Personas (B2C)</t>
        </is>
      </c>
      <c r="K2425" t="inlineStr">
        <is>
          <t>CH2</t>
        </is>
      </c>
    </row>
    <row r="2426">
      <c r="A2426" s="33" t="n">
        <v>45867</v>
      </c>
      <c r="B2426" t="inlineStr">
        <is>
          <t>2025-07</t>
        </is>
      </c>
      <c r="C2426" t="inlineStr">
        <is>
          <t>RATIO COFFEE COMPANY SPA</t>
        </is>
      </c>
      <c r="D2426" t="inlineStr">
        <is>
          <t>HORECA CAFETERIA</t>
        </is>
      </c>
      <c r="E2426" s="34" t="n">
        <v>179670</v>
      </c>
      <c r="F2426" t="inlineStr">
        <is>
          <t>F</t>
        </is>
      </c>
      <c r="G2426" s="34" t="n">
        <v>28687</v>
      </c>
      <c r="H2426" s="34" t="n">
        <v>150983</v>
      </c>
      <c r="I2426" t="inlineStr">
        <is>
          <t>3.1</t>
        </is>
      </c>
      <c r="J2426" t="inlineStr">
        <is>
          <t>Ventas HoReCa</t>
        </is>
      </c>
      <c r="K2426" t="inlineStr">
        <is>
          <t>CH1</t>
        </is>
      </c>
    </row>
    <row r="2427">
      <c r="A2427" s="33" t="n">
        <v>45867</v>
      </c>
      <c r="B2427" t="inlineStr">
        <is>
          <t>2025-07</t>
        </is>
      </c>
      <c r="C2427" t="inlineStr">
        <is>
          <t>Kanako Sekiguchi</t>
        </is>
      </c>
      <c r="D2427" t="inlineStr">
        <is>
          <t>Delicatessen</t>
        </is>
      </c>
      <c r="E2427" s="34" t="n">
        <v>25020</v>
      </c>
      <c r="F2427" t="inlineStr">
        <is>
          <t>B</t>
        </is>
      </c>
      <c r="G2427" s="34" t="n">
        <v>3995</v>
      </c>
      <c r="H2427" s="34" t="n">
        <v>21025</v>
      </c>
      <c r="I2427" t="inlineStr">
        <is>
          <t>3.2</t>
        </is>
      </c>
      <c r="J2427" t="inlineStr">
        <is>
          <t>Ventas Personas (B2C)</t>
        </is>
      </c>
      <c r="K2427" t="inlineStr">
        <is>
          <t>CH2</t>
        </is>
      </c>
    </row>
    <row r="2428">
      <c r="A2428" s="33" t="n">
        <v>45867</v>
      </c>
      <c r="B2428" t="inlineStr">
        <is>
          <t>2025-07</t>
        </is>
      </c>
      <c r="C2428" t="inlineStr">
        <is>
          <t>Sin cliente</t>
        </is>
      </c>
      <c r="D2428" t="inlineStr">
        <is>
          <t>CANELÉ TRADICIONAL</t>
        </is>
      </c>
      <c r="E2428" s="34" t="n">
        <v>26900</v>
      </c>
      <c r="F2428" t="inlineStr">
        <is>
          <t>B</t>
        </is>
      </c>
      <c r="G2428" s="34" t="n">
        <v>4295</v>
      </c>
      <c r="H2428" s="34" t="n">
        <v>22605</v>
      </c>
      <c r="I2428" t="inlineStr">
        <is>
          <t>3.2</t>
        </is>
      </c>
      <c r="J2428" t="inlineStr">
        <is>
          <t>Ventas Personas (B2C)</t>
        </is>
      </c>
      <c r="K2428" t="inlineStr">
        <is>
          <t>CH2</t>
        </is>
      </c>
    </row>
    <row r="2429">
      <c r="A2429" s="33" t="n">
        <v>45867</v>
      </c>
      <c r="B2429" t="inlineStr">
        <is>
          <t>2025-07</t>
        </is>
      </c>
      <c r="C2429" t="inlineStr">
        <is>
          <t>Inversiones Nagua SPA</t>
        </is>
      </c>
      <c r="D2429" t="inlineStr">
        <is>
          <t>HORECA CAFETERIA</t>
        </is>
      </c>
      <c r="E2429" s="34" t="n">
        <v>63966</v>
      </c>
      <c r="F2429" t="inlineStr">
        <is>
          <t>F</t>
        </is>
      </c>
      <c r="G2429" s="34" t="n">
        <v>10213</v>
      </c>
      <c r="H2429" s="34" t="n">
        <v>53753</v>
      </c>
      <c r="I2429" t="inlineStr">
        <is>
          <t>3.1</t>
        </is>
      </c>
      <c r="J2429" t="inlineStr">
        <is>
          <t>Ventas HoReCa</t>
        </is>
      </c>
      <c r="K2429" t="inlineStr">
        <is>
          <t>CH1</t>
        </is>
      </c>
    </row>
    <row r="2430">
      <c r="A2430" s="33" t="n">
        <v>45867</v>
      </c>
      <c r="B2430" t="inlineStr">
        <is>
          <t>2025-07</t>
        </is>
      </c>
      <c r="C2430" t="inlineStr">
        <is>
          <t>Clark Veloso Valenzuela</t>
        </is>
      </c>
      <c r="D2430" t="inlineStr">
        <is>
          <t>HORECA CAFETERIA</t>
        </is>
      </c>
      <c r="E2430" s="34" t="n">
        <v>64966</v>
      </c>
      <c r="F2430" t="inlineStr">
        <is>
          <t>F</t>
        </is>
      </c>
      <c r="G2430" s="34" t="n">
        <v>10373</v>
      </c>
      <c r="H2430" s="34" t="n">
        <v>54593</v>
      </c>
      <c r="I2430" t="inlineStr">
        <is>
          <t>3.1</t>
        </is>
      </c>
      <c r="J2430" t="inlineStr">
        <is>
          <t>Ventas HoReCa</t>
        </is>
      </c>
      <c r="K2430" t="inlineStr">
        <is>
          <t>CH1</t>
        </is>
      </c>
    </row>
    <row r="2431">
      <c r="A2431" s="33" t="n">
        <v>45867</v>
      </c>
      <c r="B2431" t="inlineStr">
        <is>
          <t>2025-07</t>
        </is>
      </c>
      <c r="C2431" t="inlineStr">
        <is>
          <t>Inversiones Las Urbinas SpA</t>
        </is>
      </c>
      <c r="D2431" t="inlineStr">
        <is>
          <t>HORECA CAFETERIA</t>
        </is>
      </c>
      <c r="E2431" s="34" t="n">
        <v>156438</v>
      </c>
      <c r="F2431" t="inlineStr">
        <is>
          <t>F</t>
        </is>
      </c>
      <c r="G2431" s="34" t="n">
        <v>24977</v>
      </c>
      <c r="H2431" s="34" t="n">
        <v>131461</v>
      </c>
      <c r="I2431" t="inlineStr">
        <is>
          <t>3.1</t>
        </is>
      </c>
      <c r="J2431" t="inlineStr">
        <is>
          <t>Ventas HoReCa</t>
        </is>
      </c>
      <c r="K2431" t="inlineStr">
        <is>
          <t>CH1</t>
        </is>
      </c>
    </row>
    <row r="2432">
      <c r="A2432" s="33" t="n">
        <v>45867</v>
      </c>
      <c r="B2432" t="inlineStr">
        <is>
          <t>2025-07</t>
        </is>
      </c>
      <c r="C2432" t="inlineStr">
        <is>
          <t>LEONARDO LOURTAU PONTORIERO</t>
        </is>
      </c>
      <c r="D2432" t="inlineStr">
        <is>
          <t>Petit Crunchy</t>
        </is>
      </c>
      <c r="E2432" s="34" t="n">
        <v>28889</v>
      </c>
      <c r="F2432" t="inlineStr">
        <is>
          <t>B</t>
        </is>
      </c>
      <c r="G2432" s="34" t="n">
        <v>4613</v>
      </c>
      <c r="H2432" s="34" t="n">
        <v>24276</v>
      </c>
      <c r="I2432" t="inlineStr">
        <is>
          <t>3.2</t>
        </is>
      </c>
      <c r="J2432" t="inlineStr">
        <is>
          <t>Ventas Personas (B2C)</t>
        </is>
      </c>
      <c r="K2432" t="inlineStr">
        <is>
          <t>CH2</t>
        </is>
      </c>
    </row>
    <row r="2433">
      <c r="A2433" s="33" t="n">
        <v>45867</v>
      </c>
      <c r="B2433" t="inlineStr">
        <is>
          <t>2025-07</t>
        </is>
      </c>
      <c r="C2433" t="inlineStr">
        <is>
          <t>Mariola Arteche</t>
        </is>
      </c>
      <c r="D2433" t="inlineStr">
        <is>
          <t>CANELÉ TRADICIONAL</t>
        </is>
      </c>
      <c r="E2433" s="34" t="n">
        <v>26890</v>
      </c>
      <c r="F2433" t="inlineStr">
        <is>
          <t>B</t>
        </is>
      </c>
      <c r="G2433" s="34" t="n">
        <v>4293</v>
      </c>
      <c r="H2433" s="34" t="n">
        <v>22597</v>
      </c>
      <c r="I2433" t="inlineStr">
        <is>
          <t>3.2</t>
        </is>
      </c>
      <c r="J2433" t="inlineStr">
        <is>
          <t>Ventas Personas (B2C)</t>
        </is>
      </c>
      <c r="K2433" t="inlineStr">
        <is>
          <t>CH2</t>
        </is>
      </c>
    </row>
    <row r="2434">
      <c r="A2434" s="33" t="n">
        <v>45868</v>
      </c>
      <c r="B2434" t="inlineStr">
        <is>
          <t>2025-07</t>
        </is>
      </c>
      <c r="C2434" t="inlineStr">
        <is>
          <t>CAFETERIA THE ELEPHANT COFFEE LIMITADA</t>
        </is>
      </c>
      <c r="D2434" t="inlineStr">
        <is>
          <t>HORECA CAFETERIA</t>
        </is>
      </c>
      <c r="E2434" s="34" t="n">
        <v>137865</v>
      </c>
      <c r="F2434" t="inlineStr">
        <is>
          <t>F</t>
        </is>
      </c>
      <c r="G2434" s="34" t="n">
        <v>22012</v>
      </c>
      <c r="H2434" s="34" t="n">
        <v>115853</v>
      </c>
      <c r="I2434" t="inlineStr">
        <is>
          <t>3.1</t>
        </is>
      </c>
      <c r="J2434" t="inlineStr">
        <is>
          <t>Ventas HoReCa</t>
        </is>
      </c>
      <c r="K2434" t="inlineStr">
        <is>
          <t>CH1</t>
        </is>
      </c>
    </row>
    <row r="2435">
      <c r="A2435" s="33" t="n">
        <v>45868</v>
      </c>
      <c r="B2435" t="inlineStr">
        <is>
          <t>2025-07</t>
        </is>
      </c>
      <c r="C2435" t="inlineStr">
        <is>
          <t>Sin cliente</t>
        </is>
      </c>
      <c r="D2435" t="inlineStr">
        <is>
          <t>PLATAFORMAS RAP-PEYA-UBER-GOOD</t>
        </is>
      </c>
      <c r="E2435" s="34" t="n">
        <v>55048</v>
      </c>
      <c r="F2435" t="inlineStr">
        <is>
          <t>B</t>
        </is>
      </c>
      <c r="G2435" s="34" t="n">
        <v>8789</v>
      </c>
      <c r="H2435" s="34" t="n">
        <v>46259</v>
      </c>
      <c r="I2435" t="inlineStr">
        <is>
          <t>3.6</t>
        </is>
      </c>
      <c r="J2435" t="inlineStr">
        <is>
          <t>Ventas Delivery Apps</t>
        </is>
      </c>
      <c r="K2435" t="inlineStr">
        <is>
          <t>CH3</t>
        </is>
      </c>
    </row>
    <row r="2436">
      <c r="A2436" s="33" t="n">
        <v>45868</v>
      </c>
      <c r="B2436" t="inlineStr">
        <is>
          <t>2025-07</t>
        </is>
      </c>
      <c r="C2436" t="inlineStr">
        <is>
          <t>Jose Antonio Osorio Del Olmo</t>
        </is>
      </c>
      <c r="D2436" t="inlineStr">
        <is>
          <t>CANELÉ TRADICIONAL</t>
        </is>
      </c>
      <c r="E2436" s="34" t="n">
        <v>24889</v>
      </c>
      <c r="F2436" t="inlineStr">
        <is>
          <t>B</t>
        </is>
      </c>
      <c r="G2436" s="34" t="n">
        <v>3974</v>
      </c>
      <c r="H2436" s="34" t="n">
        <v>20915</v>
      </c>
      <c r="I2436" t="inlineStr">
        <is>
          <t>3.2</t>
        </is>
      </c>
      <c r="J2436" t="inlineStr">
        <is>
          <t>Ventas Personas (B2C)</t>
        </is>
      </c>
      <c r="K2436" t="inlineStr">
        <is>
          <t>CH2</t>
        </is>
      </c>
    </row>
    <row r="2437">
      <c r="A2437" s="33" t="n">
        <v>45868</v>
      </c>
      <c r="B2437" t="inlineStr">
        <is>
          <t>2025-07</t>
        </is>
      </c>
      <c r="C2437" t="inlineStr">
        <is>
          <t>Carla Arata</t>
        </is>
      </c>
      <c r="D2437" t="inlineStr">
        <is>
          <t>Petit Crunchy</t>
        </is>
      </c>
      <c r="E2437" s="34" t="n">
        <v>16499</v>
      </c>
      <c r="F2437" t="inlineStr">
        <is>
          <t>B</t>
        </is>
      </c>
      <c r="G2437" s="34" t="n">
        <v>2634</v>
      </c>
      <c r="H2437" s="34" t="n">
        <v>13865</v>
      </c>
      <c r="I2437" t="inlineStr">
        <is>
          <t>3.2</t>
        </is>
      </c>
      <c r="J2437" t="inlineStr">
        <is>
          <t>Ventas Personas (B2C)</t>
        </is>
      </c>
      <c r="K2437" t="inlineStr">
        <is>
          <t>CH2</t>
        </is>
      </c>
    </row>
    <row r="2438">
      <c r="A2438" s="33" t="n">
        <v>45868</v>
      </c>
      <c r="B2438" t="inlineStr">
        <is>
          <t>2025-07</t>
        </is>
      </c>
      <c r="C2438" t="inlineStr">
        <is>
          <t>Carlos De los Rios</t>
        </is>
      </c>
      <c r="D2438" t="inlineStr">
        <is>
          <t>Petit Crunchy</t>
        </is>
      </c>
      <c r="E2438" s="34" t="n">
        <v>35790</v>
      </c>
      <c r="F2438" t="inlineStr">
        <is>
          <t>B</t>
        </is>
      </c>
      <c r="G2438" s="34" t="n">
        <v>5714</v>
      </c>
      <c r="H2438" s="34" t="n">
        <v>30076</v>
      </c>
      <c r="I2438" t="inlineStr">
        <is>
          <t>3.2</t>
        </is>
      </c>
      <c r="J2438" t="inlineStr">
        <is>
          <t>Ventas Personas (B2C)</t>
        </is>
      </c>
      <c r="K2438" t="inlineStr">
        <is>
          <t>CH2</t>
        </is>
      </c>
    </row>
    <row r="2439">
      <c r="A2439" s="33" t="n">
        <v>45868</v>
      </c>
      <c r="B2439" t="inlineStr">
        <is>
          <t>2025-07</t>
        </is>
      </c>
      <c r="C2439" t="inlineStr">
        <is>
          <t>Claudio Barrales</t>
        </is>
      </c>
      <c r="D2439" t="inlineStr">
        <is>
          <t>Mix Sabores</t>
        </is>
      </c>
      <c r="E2439" s="34" t="n">
        <v>15900</v>
      </c>
      <c r="F2439" t="inlineStr">
        <is>
          <t>B</t>
        </is>
      </c>
      <c r="G2439" s="34" t="n">
        <v>2539</v>
      </c>
      <c r="H2439" s="34" t="n">
        <v>13361</v>
      </c>
      <c r="I2439" t="inlineStr">
        <is>
          <t>3.2</t>
        </is>
      </c>
      <c r="J2439" t="inlineStr">
        <is>
          <t>Ventas Personas (B2C)</t>
        </is>
      </c>
      <c r="K2439" t="inlineStr">
        <is>
          <t>CH2</t>
        </is>
      </c>
    </row>
    <row r="2440">
      <c r="A2440" s="33" t="n">
        <v>45868</v>
      </c>
      <c r="B2440" t="inlineStr">
        <is>
          <t>2025-07</t>
        </is>
      </c>
      <c r="C2440" t="inlineStr">
        <is>
          <t>tristan  cornejo</t>
        </is>
      </c>
      <c r="D2440" t="inlineStr">
        <is>
          <t>Petit Tradicional</t>
        </is>
      </c>
      <c r="E2440" s="34" t="n">
        <v>17890</v>
      </c>
      <c r="F2440" t="inlineStr">
        <is>
          <t>B</t>
        </is>
      </c>
      <c r="G2440" s="34" t="n">
        <v>2856</v>
      </c>
      <c r="H2440" s="34" t="n">
        <v>15034</v>
      </c>
      <c r="I2440" t="inlineStr">
        <is>
          <t>3.2</t>
        </is>
      </c>
      <c r="J2440" t="inlineStr">
        <is>
          <t>Ventas Personas (B2C)</t>
        </is>
      </c>
      <c r="K2440" t="inlineStr">
        <is>
          <t>CH2</t>
        </is>
      </c>
    </row>
    <row r="2441">
      <c r="A2441" s="33" t="n">
        <v>45868</v>
      </c>
      <c r="B2441" t="inlineStr">
        <is>
          <t>2025-07</t>
        </is>
      </c>
      <c r="C2441" t="inlineStr">
        <is>
          <t>juan reyes</t>
        </is>
      </c>
      <c r="D2441" t="inlineStr">
        <is>
          <t>CANELÉ TRADICIONAL</t>
        </is>
      </c>
      <c r="E2441" s="34" t="n">
        <v>21900</v>
      </c>
      <c r="F2441" t="inlineStr">
        <is>
          <t>B</t>
        </is>
      </c>
      <c r="G2441" s="34" t="n">
        <v>3497</v>
      </c>
      <c r="H2441" s="34" t="n">
        <v>18403</v>
      </c>
      <c r="I2441" t="inlineStr">
        <is>
          <t>3.2</t>
        </is>
      </c>
      <c r="J2441" t="inlineStr">
        <is>
          <t>Ventas Personas (B2C)</t>
        </is>
      </c>
      <c r="K2441" t="inlineStr">
        <is>
          <t>CH2</t>
        </is>
      </c>
    </row>
    <row r="2442">
      <c r="A2442" s="33" t="n">
        <v>45868</v>
      </c>
      <c r="B2442" t="inlineStr">
        <is>
          <t>2025-07</t>
        </is>
      </c>
      <c r="C2442" t="inlineStr">
        <is>
          <t>Alvaro Mattus</t>
        </is>
      </c>
      <c r="D2442" t="inlineStr">
        <is>
          <t>CANELÉ TRADICIONAL</t>
        </is>
      </c>
      <c r="E2442" s="34" t="n">
        <v>14900</v>
      </c>
      <c r="F2442" t="inlineStr">
        <is>
          <t>B</t>
        </is>
      </c>
      <c r="G2442" s="34" t="n">
        <v>2379</v>
      </c>
      <c r="H2442" s="34" t="n">
        <v>12521</v>
      </c>
      <c r="I2442" t="inlineStr">
        <is>
          <t>3.2</t>
        </is>
      </c>
      <c r="J2442" t="inlineStr">
        <is>
          <t>Ventas Personas (B2C)</t>
        </is>
      </c>
      <c r="K2442" t="inlineStr">
        <is>
          <t>CH2</t>
        </is>
      </c>
    </row>
    <row r="2443">
      <c r="A2443" s="33" t="n">
        <v>45868</v>
      </c>
      <c r="B2443" t="inlineStr">
        <is>
          <t>2025-07</t>
        </is>
      </c>
      <c r="C2443" t="inlineStr">
        <is>
          <t>Claudio Barrales</t>
        </is>
      </c>
      <c r="D2443" t="inlineStr">
        <is>
          <t>REGION METROPOLITANA</t>
        </is>
      </c>
      <c r="E2443" s="34" t="n">
        <v>4990</v>
      </c>
      <c r="F2443" t="inlineStr">
        <is>
          <t>B</t>
        </is>
      </c>
      <c r="G2443" s="34" t="n">
        <v>797</v>
      </c>
      <c r="H2443" s="34" t="n">
        <v>4193</v>
      </c>
      <c r="I2443" t="inlineStr">
        <is>
          <t>3.2</t>
        </is>
      </c>
      <c r="J2443" t="inlineStr">
        <is>
          <t>Ventas Personas (B2C)</t>
        </is>
      </c>
      <c r="K2443" t="inlineStr">
        <is>
          <t>CH2</t>
        </is>
      </c>
    </row>
    <row r="2444">
      <c r="A2444" s="33" t="n">
        <v>45868</v>
      </c>
      <c r="B2444" t="inlineStr">
        <is>
          <t>2025-07</t>
        </is>
      </c>
      <c r="C2444" t="inlineStr">
        <is>
          <t>Sin cliente</t>
        </is>
      </c>
      <c r="D2444" t="inlineStr">
        <is>
          <t>CANELÉ TRADICIONAL</t>
        </is>
      </c>
      <c r="E2444" s="34" t="n">
        <v>21900</v>
      </c>
      <c r="F2444" t="inlineStr">
        <is>
          <t>B</t>
        </is>
      </c>
      <c r="G2444" s="34" t="n">
        <v>3497</v>
      </c>
      <c r="H2444" s="34" t="n">
        <v>18403</v>
      </c>
      <c r="I2444" t="inlineStr">
        <is>
          <t>3.2</t>
        </is>
      </c>
      <c r="J2444" t="inlineStr">
        <is>
          <t>Ventas Personas (B2C)</t>
        </is>
      </c>
      <c r="K2444" t="inlineStr">
        <is>
          <t>CH2</t>
        </is>
      </c>
    </row>
    <row r="2445">
      <c r="A2445" s="33" t="n">
        <v>45868</v>
      </c>
      <c r="B2445" t="inlineStr">
        <is>
          <t>2025-07</t>
        </is>
      </c>
      <c r="C2445" t="inlineStr">
        <is>
          <t>karol Oyanader Bernal</t>
        </is>
      </c>
      <c r="D2445" t="inlineStr">
        <is>
          <t>Petit Tradicional</t>
        </is>
      </c>
      <c r="E2445" s="34" t="n">
        <v>67025</v>
      </c>
      <c r="F2445" t="inlineStr">
        <is>
          <t>B</t>
        </is>
      </c>
      <c r="G2445" s="34" t="n">
        <v>10701</v>
      </c>
      <c r="H2445" s="34" t="n">
        <v>56324</v>
      </c>
      <c r="I2445" t="inlineStr">
        <is>
          <t>3.2</t>
        </is>
      </c>
      <c r="J2445" t="inlineStr">
        <is>
          <t>Ventas Personas (B2C)</t>
        </is>
      </c>
      <c r="K2445" t="inlineStr">
        <is>
          <t>CH2</t>
        </is>
      </c>
    </row>
    <row r="2446">
      <c r="A2446" s="33" t="n">
        <v>45868</v>
      </c>
      <c r="B2446" t="inlineStr">
        <is>
          <t>2025-07</t>
        </is>
      </c>
      <c r="C2446" t="inlineStr">
        <is>
          <t>Carolina Casanova</t>
        </is>
      </c>
      <c r="D2446" t="inlineStr">
        <is>
          <t>Petit Crunchy</t>
        </is>
      </c>
      <c r="E2446" s="34" t="n">
        <v>40790</v>
      </c>
      <c r="F2446" t="inlineStr">
        <is>
          <t>B</t>
        </is>
      </c>
      <c r="G2446" s="34" t="n">
        <v>6513</v>
      </c>
      <c r="H2446" s="34" t="n">
        <v>34277</v>
      </c>
      <c r="I2446" t="inlineStr">
        <is>
          <t>3.2</t>
        </is>
      </c>
      <c r="J2446" t="inlineStr">
        <is>
          <t>Ventas Personas (B2C)</t>
        </is>
      </c>
      <c r="K2446" t="inlineStr">
        <is>
          <t>CH2</t>
        </is>
      </c>
    </row>
    <row r="2447">
      <c r="A2447" s="33" t="n">
        <v>45869</v>
      </c>
      <c r="B2447" t="inlineStr">
        <is>
          <t>2025-07</t>
        </is>
      </c>
      <c r="C2447" t="inlineStr">
        <is>
          <t>CAFE HAITI AHUMADA LTDA</t>
        </is>
      </c>
      <c r="D2447" t="inlineStr">
        <is>
          <t>HORECA CAFETERIA</t>
        </is>
      </c>
      <c r="E2447" s="34" t="n">
        <v>1244730</v>
      </c>
      <c r="F2447" t="inlineStr">
        <is>
          <t>F</t>
        </is>
      </c>
      <c r="G2447" s="34" t="n">
        <v>198737</v>
      </c>
      <c r="H2447" s="34" t="n">
        <v>1045993</v>
      </c>
      <c r="I2447" t="inlineStr">
        <is>
          <t>3.1</t>
        </is>
      </c>
      <c r="J2447" t="inlineStr">
        <is>
          <t>Ventas HoReCa</t>
        </is>
      </c>
      <c r="K2447" t="inlineStr">
        <is>
          <t>CH1</t>
        </is>
      </c>
    </row>
    <row r="2448">
      <c r="A2448" s="33" t="n">
        <v>45869</v>
      </c>
      <c r="B2448" t="inlineStr">
        <is>
          <t>2025-07</t>
        </is>
      </c>
      <c r="C2448" t="inlineStr">
        <is>
          <t>CAFÉ UNDER SPA</t>
        </is>
      </c>
      <c r="D2448" t="inlineStr">
        <is>
          <t>HORECA CAFETERIA</t>
        </is>
      </c>
      <c r="E2448" s="34" t="n">
        <v>63966</v>
      </c>
      <c r="F2448" t="inlineStr">
        <is>
          <t>F</t>
        </is>
      </c>
      <c r="G2448" s="34" t="n">
        <v>10213</v>
      </c>
      <c r="H2448" s="34" t="n">
        <v>53753</v>
      </c>
      <c r="I2448" t="inlineStr">
        <is>
          <t>3.1</t>
        </is>
      </c>
      <c r="J2448" t="inlineStr">
        <is>
          <t>Ventas HoReCa</t>
        </is>
      </c>
      <c r="K2448" t="inlineStr">
        <is>
          <t>CH1</t>
        </is>
      </c>
    </row>
    <row r="2449">
      <c r="A2449" s="33" t="n">
        <v>45869</v>
      </c>
      <c r="B2449" t="inlineStr">
        <is>
          <t>2025-07</t>
        </is>
      </c>
      <c r="C2449" t="inlineStr">
        <is>
          <t>Sin cliente</t>
        </is>
      </c>
      <c r="D2449" t="inlineStr">
        <is>
          <t>Mix Sabores</t>
        </is>
      </c>
      <c r="E2449" s="34" t="n">
        <v>7950</v>
      </c>
      <c r="F2449" t="inlineStr">
        <is>
          <t>B</t>
        </is>
      </c>
      <c r="G2449" s="34" t="n">
        <v>1269</v>
      </c>
      <c r="H2449" s="34" t="n">
        <v>6681</v>
      </c>
      <c r="I2449" t="inlineStr">
        <is>
          <t>3.2</t>
        </is>
      </c>
      <c r="J2449" t="inlineStr">
        <is>
          <t>Ventas Personas (B2C)</t>
        </is>
      </c>
      <c r="K2449" t="inlineStr">
        <is>
          <t>CH2</t>
        </is>
      </c>
    </row>
    <row r="2450">
      <c r="A2450" s="33" t="n">
        <v>45869</v>
      </c>
      <c r="B2450" t="inlineStr">
        <is>
          <t>2025-07</t>
        </is>
      </c>
      <c r="C2450" t="inlineStr">
        <is>
          <t>Sin cliente</t>
        </is>
      </c>
      <c r="D2450" t="inlineStr">
        <is>
          <t>Petit Tradicional</t>
        </is>
      </c>
      <c r="E2450" s="34" t="n">
        <v>10450</v>
      </c>
      <c r="F2450" t="inlineStr">
        <is>
          <t>B</t>
        </is>
      </c>
      <c r="G2450" s="34" t="n">
        <v>1668</v>
      </c>
      <c r="H2450" s="34" t="n">
        <v>8782</v>
      </c>
      <c r="I2450" t="inlineStr">
        <is>
          <t>3.2</t>
        </is>
      </c>
      <c r="J2450" t="inlineStr">
        <is>
          <t>Ventas Personas (B2C)</t>
        </is>
      </c>
      <c r="K2450" t="inlineStr">
        <is>
          <t>CH2</t>
        </is>
      </c>
    </row>
    <row r="2451">
      <c r="A2451" s="33" t="n">
        <v>45869</v>
      </c>
      <c r="B2451" t="inlineStr">
        <is>
          <t>2025-07</t>
        </is>
      </c>
      <c r="C2451" t="inlineStr">
        <is>
          <t>constanza Torrejón</t>
        </is>
      </c>
      <c r="D2451" t="inlineStr">
        <is>
          <t>CANELÉ TRADICIONAL</t>
        </is>
      </c>
      <c r="E2451" s="34" t="n">
        <v>5000</v>
      </c>
      <c r="F2451" t="inlineStr">
        <is>
          <t>B</t>
        </is>
      </c>
      <c r="G2451" s="34" t="n">
        <v>798</v>
      </c>
      <c r="H2451" s="34" t="n">
        <v>4202</v>
      </c>
      <c r="I2451" t="inlineStr">
        <is>
          <t>3.2</t>
        </is>
      </c>
      <c r="J2451" t="inlineStr">
        <is>
          <t>Ventas Personas (B2C)</t>
        </is>
      </c>
      <c r="K2451" t="inlineStr">
        <is>
          <t>CH2</t>
        </is>
      </c>
    </row>
    <row r="2452">
      <c r="A2452" s="33" t="n">
        <v>45869</v>
      </c>
      <c r="B2452" t="inlineStr">
        <is>
          <t>2025-07</t>
        </is>
      </c>
      <c r="C2452" t="inlineStr">
        <is>
          <t>Sin cliente</t>
        </is>
      </c>
      <c r="D2452" t="inlineStr">
        <is>
          <t>PLATAFORMAS RAP-PEYA-UBER-GOOD</t>
        </is>
      </c>
      <c r="E2452" s="34" t="n">
        <v>15480</v>
      </c>
      <c r="F2452" t="inlineStr">
        <is>
          <t>B</t>
        </is>
      </c>
      <c r="G2452" s="34" t="n">
        <v>2472</v>
      </c>
      <c r="H2452" s="34" t="n">
        <v>13008</v>
      </c>
      <c r="I2452" t="inlineStr">
        <is>
          <t>3.6</t>
        </is>
      </c>
      <c r="J2452" t="inlineStr">
        <is>
          <t>Ventas Delivery Apps</t>
        </is>
      </c>
      <c r="K2452" t="inlineStr">
        <is>
          <t>CH3</t>
        </is>
      </c>
    </row>
    <row r="2453">
      <c r="A2453" s="33" t="n">
        <v>45869</v>
      </c>
      <c r="B2453" t="inlineStr">
        <is>
          <t>2025-07</t>
        </is>
      </c>
      <c r="C2453" t="inlineStr">
        <is>
          <t>Daniela Leiva</t>
        </is>
      </c>
      <c r="D2453" t="inlineStr">
        <is>
          <t>Petit Tradicional</t>
        </is>
      </c>
      <c r="E2453" s="34" t="n">
        <v>35890</v>
      </c>
      <c r="F2453" t="inlineStr">
        <is>
          <t>B</t>
        </is>
      </c>
      <c r="G2453" s="34" t="n">
        <v>5730</v>
      </c>
      <c r="H2453" s="34" t="n">
        <v>30160</v>
      </c>
      <c r="I2453" t="inlineStr">
        <is>
          <t>3.2</t>
        </is>
      </c>
      <c r="J2453" t="inlineStr">
        <is>
          <t>Ventas Personas (B2C)</t>
        </is>
      </c>
      <c r="K2453" t="inlineStr">
        <is>
          <t>CH2</t>
        </is>
      </c>
    </row>
    <row r="2454">
      <c r="A2454" s="33" t="n">
        <v>45869</v>
      </c>
      <c r="B2454" t="inlineStr">
        <is>
          <t>2025-07</t>
        </is>
      </c>
      <c r="C2454" t="inlineStr">
        <is>
          <t>gustavo  moreno</t>
        </is>
      </c>
      <c r="D2454" t="inlineStr">
        <is>
          <t>CANELÉ TRADICIONAL</t>
        </is>
      </c>
      <c r="E2454" s="34" t="n">
        <v>17520</v>
      </c>
      <c r="F2454" t="inlineStr">
        <is>
          <t>B</t>
        </is>
      </c>
      <c r="G2454" s="34" t="n">
        <v>2797</v>
      </c>
      <c r="H2454" s="34" t="n">
        <v>14723</v>
      </c>
      <c r="I2454" t="inlineStr">
        <is>
          <t>3.2</t>
        </is>
      </c>
      <c r="J2454" t="inlineStr">
        <is>
          <t>Ventas Personas (B2C)</t>
        </is>
      </c>
      <c r="K2454" t="inlineStr">
        <is>
          <t>CH2</t>
        </is>
      </c>
    </row>
    <row r="2455">
      <c r="A2455" s="33" t="n">
        <v>45869</v>
      </c>
      <c r="B2455" t="inlineStr">
        <is>
          <t>2025-07</t>
        </is>
      </c>
      <c r="C2455" t="inlineStr">
        <is>
          <t>Sin cliente</t>
        </is>
      </c>
      <c r="D2455" t="inlineStr">
        <is>
          <t>PLATAFORMAS RAP-PEYA-UBER-GOOD</t>
        </is>
      </c>
      <c r="E2455" s="34" t="n">
        <v>25080</v>
      </c>
      <c r="F2455" t="inlineStr">
        <is>
          <t>B</t>
        </is>
      </c>
      <c r="G2455" s="34" t="n">
        <v>4004</v>
      </c>
      <c r="H2455" s="34" t="n">
        <v>21076</v>
      </c>
      <c r="I2455" t="inlineStr">
        <is>
          <t>3.6</t>
        </is>
      </c>
      <c r="J2455" t="inlineStr">
        <is>
          <t>Ventas Delivery Apps</t>
        </is>
      </c>
      <c r="K2455" t="inlineStr">
        <is>
          <t>CH3</t>
        </is>
      </c>
    </row>
    <row r="2456">
      <c r="A2456" s="33" t="n">
        <v>45869</v>
      </c>
      <c r="B2456" t="inlineStr">
        <is>
          <t>2025-07</t>
        </is>
      </c>
      <c r="C2456" t="inlineStr">
        <is>
          <t>Sin cliente</t>
        </is>
      </c>
      <c r="D2456" t="inlineStr">
        <is>
          <t>PLATAFORMAS RAP-PEYA-UBER-GOOD</t>
        </is>
      </c>
      <c r="E2456" s="34" t="n">
        <v>15480</v>
      </c>
      <c r="F2456" t="inlineStr">
        <is>
          <t>B</t>
        </is>
      </c>
      <c r="G2456" s="34" t="n">
        <v>2472</v>
      </c>
      <c r="H2456" s="34" t="n">
        <v>13008</v>
      </c>
      <c r="I2456" t="inlineStr">
        <is>
          <t>3.6</t>
        </is>
      </c>
      <c r="J2456" t="inlineStr">
        <is>
          <t>Ventas Delivery Apps</t>
        </is>
      </c>
      <c r="K2456" t="inlineStr">
        <is>
          <t>CH3</t>
        </is>
      </c>
    </row>
    <row r="2457">
      <c r="A2457" s="33" t="n">
        <v>45869</v>
      </c>
      <c r="B2457" t="inlineStr">
        <is>
          <t>2025-07</t>
        </is>
      </c>
      <c r="C2457" t="inlineStr">
        <is>
          <t>Dani Donoso Pino</t>
        </is>
      </c>
      <c r="D2457" t="inlineStr">
        <is>
          <t>Mix Sabores</t>
        </is>
      </c>
      <c r="E2457" s="34" t="n">
        <v>19300</v>
      </c>
      <c r="F2457" t="inlineStr">
        <is>
          <t>B</t>
        </is>
      </c>
      <c r="G2457" s="34" t="n">
        <v>3082</v>
      </c>
      <c r="H2457" s="34" t="n">
        <v>16218</v>
      </c>
      <c r="I2457" t="inlineStr">
        <is>
          <t>3.2</t>
        </is>
      </c>
      <c r="J2457" t="inlineStr">
        <is>
          <t>Ventas Personas (B2C)</t>
        </is>
      </c>
      <c r="K2457" t="inlineStr">
        <is>
          <t>CH2</t>
        </is>
      </c>
    </row>
    <row r="2458">
      <c r="A2458" s="33" t="n">
        <v>45870</v>
      </c>
      <c r="B2458" t="inlineStr">
        <is>
          <t>2025-08</t>
        </is>
      </c>
      <c r="C2458" t="inlineStr">
        <is>
          <t>CUATROTRESTRES CAFÉ SPA</t>
        </is>
      </c>
      <c r="D2458" t="inlineStr">
        <is>
          <t>HORECA CAFETERIA</t>
        </is>
      </c>
      <c r="E2458" s="34" t="n">
        <v>196787</v>
      </c>
      <c r="F2458" t="inlineStr">
        <is>
          <t>F</t>
        </is>
      </c>
      <c r="G2458" s="34" t="n">
        <v>31420</v>
      </c>
      <c r="H2458" s="34" t="n">
        <v>165367</v>
      </c>
      <c r="I2458" t="inlineStr">
        <is>
          <t>3.1</t>
        </is>
      </c>
      <c r="J2458" t="inlineStr">
        <is>
          <t>Ventas HoReCa</t>
        </is>
      </c>
      <c r="K2458" t="inlineStr">
        <is>
          <t>CH1</t>
        </is>
      </c>
    </row>
    <row r="2459">
      <c r="A2459" s="33" t="n">
        <v>45870</v>
      </c>
      <c r="B2459" t="inlineStr">
        <is>
          <t>2025-08</t>
        </is>
      </c>
      <c r="C2459" t="inlineStr">
        <is>
          <t>BLUE OAK COFFE SPA</t>
        </is>
      </c>
      <c r="D2459" t="inlineStr">
        <is>
          <t>HORECA CAFETERIA</t>
        </is>
      </c>
      <c r="E2459" s="34" t="n">
        <v>251347</v>
      </c>
      <c r="F2459" t="inlineStr">
        <is>
          <t>F</t>
        </is>
      </c>
      <c r="G2459" s="34" t="n">
        <v>40131</v>
      </c>
      <c r="H2459" s="34" t="n">
        <v>211216</v>
      </c>
      <c r="I2459" t="inlineStr">
        <is>
          <t>3.1</t>
        </is>
      </c>
      <c r="J2459" t="inlineStr">
        <is>
          <t>Ventas HoReCa</t>
        </is>
      </c>
      <c r="K2459" t="inlineStr">
        <is>
          <t>CH1</t>
        </is>
      </c>
    </row>
    <row r="2460">
      <c r="A2460" s="33" t="n">
        <v>45870</v>
      </c>
      <c r="B2460" t="inlineStr">
        <is>
          <t>2025-08</t>
        </is>
      </c>
      <c r="C2460" t="inlineStr">
        <is>
          <t>Sociedad de inversiones solari y acuña spa</t>
        </is>
      </c>
      <c r="D2460" t="inlineStr">
        <is>
          <t>HORECA CAFETERIA</t>
        </is>
      </c>
      <c r="E2460" s="34" t="n">
        <v>142443</v>
      </c>
      <c r="F2460" t="inlineStr">
        <is>
          <t>F</t>
        </is>
      </c>
      <c r="G2460" s="34" t="n">
        <v>22743</v>
      </c>
      <c r="H2460" s="34" t="n">
        <v>119700</v>
      </c>
      <c r="I2460" t="inlineStr">
        <is>
          <t>3.1</t>
        </is>
      </c>
      <c r="J2460" t="inlineStr">
        <is>
          <t>Ventas HoReCa</t>
        </is>
      </c>
      <c r="K2460" t="inlineStr">
        <is>
          <t>CH1</t>
        </is>
      </c>
    </row>
    <row r="2461">
      <c r="A2461" s="33" t="n">
        <v>45870</v>
      </c>
      <c r="B2461" t="inlineStr">
        <is>
          <t>2025-08</t>
        </is>
      </c>
      <c r="C2461" t="inlineStr">
        <is>
          <t>NACIÓN CAFÉ SPA</t>
        </is>
      </c>
      <c r="D2461" t="inlineStr">
        <is>
          <t>HORECA CAFETERIA</t>
        </is>
      </c>
      <c r="E2461" s="34" t="n">
        <v>71463</v>
      </c>
      <c r="F2461" t="inlineStr">
        <is>
          <t>F</t>
        </is>
      </c>
      <c r="G2461" s="34" t="n">
        <v>11410</v>
      </c>
      <c r="H2461" s="34" t="n">
        <v>60053</v>
      </c>
      <c r="I2461" t="inlineStr">
        <is>
          <t>3.1</t>
        </is>
      </c>
      <c r="J2461" t="inlineStr">
        <is>
          <t>Ventas HoReCa</t>
        </is>
      </c>
      <c r="K2461" t="inlineStr">
        <is>
          <t>CH1</t>
        </is>
      </c>
    </row>
    <row r="2462">
      <c r="A2462" s="33" t="n">
        <v>45870</v>
      </c>
      <c r="B2462" t="inlineStr">
        <is>
          <t>2025-08</t>
        </is>
      </c>
      <c r="C2462" t="inlineStr">
        <is>
          <t>Soledad Fernandez Renard</t>
        </is>
      </c>
      <c r="D2462" t="inlineStr">
        <is>
          <t>Petit Crunchy</t>
        </is>
      </c>
      <c r="E2462" s="34" t="n">
        <v>37889</v>
      </c>
      <c r="F2462" t="inlineStr">
        <is>
          <t>B</t>
        </is>
      </c>
      <c r="G2462" s="34" t="n">
        <v>6050</v>
      </c>
      <c r="H2462" s="34" t="n">
        <v>31839</v>
      </c>
      <c r="I2462" t="inlineStr">
        <is>
          <t>3.2</t>
        </is>
      </c>
      <c r="J2462" t="inlineStr">
        <is>
          <t>Ventas Personas (B2C)</t>
        </is>
      </c>
      <c r="K2462" t="inlineStr">
        <is>
          <t>CH2</t>
        </is>
      </c>
    </row>
    <row r="2463">
      <c r="A2463" s="33" t="n">
        <v>45870</v>
      </c>
      <c r="B2463" t="inlineStr">
        <is>
          <t>2025-08</t>
        </is>
      </c>
      <c r="C2463" t="inlineStr">
        <is>
          <t>Eyleen Araya Fuentes</t>
        </is>
      </c>
      <c r="D2463" t="inlineStr">
        <is>
          <t>Petit Tradicional</t>
        </is>
      </c>
      <c r="E2463" s="34" t="n">
        <v>30790</v>
      </c>
      <c r="F2463" t="inlineStr">
        <is>
          <t>B</t>
        </is>
      </c>
      <c r="G2463" s="34" t="n">
        <v>4916</v>
      </c>
      <c r="H2463" s="34" t="n">
        <v>25874</v>
      </c>
      <c r="I2463" t="inlineStr">
        <is>
          <t>3.2</t>
        </is>
      </c>
      <c r="J2463" t="inlineStr">
        <is>
          <t>Ventas Personas (B2C)</t>
        </is>
      </c>
      <c r="K2463" t="inlineStr">
        <is>
          <t>CH2</t>
        </is>
      </c>
    </row>
    <row r="2464">
      <c r="A2464" s="33" t="n">
        <v>45870</v>
      </c>
      <c r="B2464" t="inlineStr">
        <is>
          <t>2025-08</t>
        </is>
      </c>
      <c r="C2464" t="inlineStr">
        <is>
          <t>Carolina Armijo</t>
        </is>
      </c>
      <c r="D2464" t="inlineStr">
        <is>
          <t>CANELÉ TRADICIONAL</t>
        </is>
      </c>
      <c r="E2464" s="34" t="n">
        <v>25890</v>
      </c>
      <c r="F2464" t="inlineStr">
        <is>
          <t>B</t>
        </is>
      </c>
      <c r="G2464" s="34" t="n">
        <v>4134</v>
      </c>
      <c r="H2464" s="34" t="n">
        <v>21756</v>
      </c>
      <c r="I2464" t="inlineStr">
        <is>
          <t>3.2</t>
        </is>
      </c>
      <c r="J2464" t="inlineStr">
        <is>
          <t>Ventas Personas (B2C)</t>
        </is>
      </c>
      <c r="K2464" t="inlineStr">
        <is>
          <t>CH2</t>
        </is>
      </c>
    </row>
    <row r="2465">
      <c r="A2465" s="33" t="n">
        <v>45870</v>
      </c>
      <c r="B2465" t="inlineStr">
        <is>
          <t>2025-08</t>
        </is>
      </c>
      <c r="C2465" t="inlineStr">
        <is>
          <t>Clément Demons</t>
        </is>
      </c>
      <c r="D2465" t="inlineStr">
        <is>
          <t>Petit Tradicional</t>
        </is>
      </c>
      <c r="E2465" s="34" t="n">
        <v>56729</v>
      </c>
      <c r="F2465" t="inlineStr">
        <is>
          <t>B</t>
        </is>
      </c>
      <c r="G2465" s="34" t="n">
        <v>9058</v>
      </c>
      <c r="H2465" s="34" t="n">
        <v>47671</v>
      </c>
      <c r="I2465" t="inlineStr">
        <is>
          <t>3.2</t>
        </is>
      </c>
      <c r="J2465" t="inlineStr">
        <is>
          <t>Ventas Personas (B2C)</t>
        </is>
      </c>
      <c r="K2465" t="inlineStr">
        <is>
          <t>CH2</t>
        </is>
      </c>
    </row>
    <row r="2466">
      <c r="A2466" s="33" t="n">
        <v>45870</v>
      </c>
      <c r="B2466" t="inlineStr">
        <is>
          <t>2025-08</t>
        </is>
      </c>
      <c r="C2466" t="inlineStr">
        <is>
          <t>Better Food Spa</t>
        </is>
      </c>
      <c r="D2466" t="inlineStr">
        <is>
          <t>HORECA CAFETERIA</t>
        </is>
      </c>
      <c r="E2466" s="34" t="n">
        <v>269892</v>
      </c>
      <c r="F2466" t="inlineStr">
        <is>
          <t>F</t>
        </is>
      </c>
      <c r="G2466" s="34" t="n">
        <v>43092</v>
      </c>
      <c r="H2466" s="34" t="n">
        <v>226800</v>
      </c>
      <c r="I2466" t="inlineStr">
        <is>
          <t>3.1</t>
        </is>
      </c>
      <c r="J2466" t="inlineStr">
        <is>
          <t>Ventas HoReCa</t>
        </is>
      </c>
      <c r="K2466" t="inlineStr">
        <is>
          <t>CH1</t>
        </is>
      </c>
    </row>
    <row r="2467">
      <c r="A2467" s="33" t="n">
        <v>45870</v>
      </c>
      <c r="B2467" t="inlineStr">
        <is>
          <t>2025-08</t>
        </is>
      </c>
      <c r="C2467" t="inlineStr">
        <is>
          <t>Alejandro Martic</t>
        </is>
      </c>
      <c r="D2467" t="inlineStr">
        <is>
          <t>Petit Crunchy</t>
        </is>
      </c>
      <c r="E2467" s="34" t="n">
        <v>28889</v>
      </c>
      <c r="F2467" t="inlineStr">
        <is>
          <t>B</t>
        </is>
      </c>
      <c r="G2467" s="34" t="n">
        <v>4613</v>
      </c>
      <c r="H2467" s="34" t="n">
        <v>24276</v>
      </c>
      <c r="I2467" t="inlineStr">
        <is>
          <t>3.2</t>
        </is>
      </c>
      <c r="J2467" t="inlineStr">
        <is>
          <t>Ventas Personas (B2C)</t>
        </is>
      </c>
      <c r="K2467" t="inlineStr">
        <is>
          <t>CH2</t>
        </is>
      </c>
    </row>
    <row r="2468">
      <c r="A2468" s="33" t="n">
        <v>45870</v>
      </c>
      <c r="B2468" t="inlineStr">
        <is>
          <t>2025-08</t>
        </is>
      </c>
      <c r="C2468" t="inlineStr">
        <is>
          <t>Sin cliente</t>
        </is>
      </c>
      <c r="D2468" t="inlineStr">
        <is>
          <t>PLATAFORMAS RAP-PEYA-UBER-GOOD</t>
        </is>
      </c>
      <c r="E2468" s="34" t="n">
        <v>8940</v>
      </c>
      <c r="F2468" t="inlineStr">
        <is>
          <t>B</t>
        </is>
      </c>
      <c r="G2468" s="34" t="n">
        <v>1427</v>
      </c>
      <c r="H2468" s="34" t="n">
        <v>7513</v>
      </c>
      <c r="I2468" t="inlineStr">
        <is>
          <t>3.6</t>
        </is>
      </c>
      <c r="J2468" t="inlineStr">
        <is>
          <t>Ventas Delivery Apps</t>
        </is>
      </c>
      <c r="K2468" t="inlineStr">
        <is>
          <t>CH3</t>
        </is>
      </c>
    </row>
    <row r="2469">
      <c r="A2469" s="33" t="n">
        <v>45870</v>
      </c>
      <c r="B2469" t="inlineStr">
        <is>
          <t>2025-08</t>
        </is>
      </c>
      <c r="C2469" t="inlineStr">
        <is>
          <t>CAFE DIARIO ENCOMENDEROS SPA</t>
        </is>
      </c>
      <c r="D2469" t="inlineStr">
        <is>
          <t>HORECA CAFETERIA</t>
        </is>
      </c>
      <c r="E2469" s="34" t="n">
        <v>91705</v>
      </c>
      <c r="F2469" t="inlineStr">
        <is>
          <t>F</t>
        </is>
      </c>
      <c r="G2469" s="34" t="n">
        <v>14642</v>
      </c>
      <c r="H2469" s="34" t="n">
        <v>77063</v>
      </c>
      <c r="I2469" t="inlineStr">
        <is>
          <t>3.1</t>
        </is>
      </c>
      <c r="J2469" t="inlineStr">
        <is>
          <t>Ventas HoReCa</t>
        </is>
      </c>
      <c r="K2469" t="inlineStr">
        <is>
          <t>CH1</t>
        </is>
      </c>
    </row>
    <row r="2470">
      <c r="A2470" s="33" t="n">
        <v>45870</v>
      </c>
      <c r="B2470" t="inlineStr">
        <is>
          <t>2025-08</t>
        </is>
      </c>
      <c r="C2470" t="inlineStr">
        <is>
          <t xml:space="preserve">Café lucerna spa </t>
        </is>
      </c>
      <c r="D2470" t="inlineStr">
        <is>
          <t>HORECA CAFETERIA</t>
        </is>
      </c>
      <c r="E2470" s="34" t="n">
        <v>68179</v>
      </c>
      <c r="F2470" t="inlineStr">
        <is>
          <t>F</t>
        </is>
      </c>
      <c r="G2470" s="34" t="n">
        <v>10886</v>
      </c>
      <c r="H2470" s="34" t="n">
        <v>57293</v>
      </c>
      <c r="I2470" t="inlineStr">
        <is>
          <t>3.1</t>
        </is>
      </c>
      <c r="J2470" t="inlineStr">
        <is>
          <t>Ventas HoReCa</t>
        </is>
      </c>
      <c r="K2470" t="inlineStr">
        <is>
          <t>CH1</t>
        </is>
      </c>
    </row>
    <row r="2471">
      <c r="A2471" s="33" t="n">
        <v>45870</v>
      </c>
      <c r="B2471" t="inlineStr">
        <is>
          <t>2025-08</t>
        </is>
      </c>
      <c r="C2471" t="inlineStr">
        <is>
          <t>POMPON SPA</t>
        </is>
      </c>
      <c r="D2471" t="inlineStr">
        <is>
          <t>HORECA CAFETERIA</t>
        </is>
      </c>
      <c r="E2471" s="34" t="n">
        <v>280983</v>
      </c>
      <c r="F2471" t="inlineStr">
        <is>
          <t>F</t>
        </is>
      </c>
      <c r="G2471" s="34" t="n">
        <v>44863</v>
      </c>
      <c r="H2471" s="34" t="n">
        <v>236120</v>
      </c>
      <c r="I2471" t="inlineStr">
        <is>
          <t>3.1</t>
        </is>
      </c>
      <c r="J2471" t="inlineStr">
        <is>
          <t>Ventas HoReCa</t>
        </is>
      </c>
      <c r="K2471" t="inlineStr">
        <is>
          <t>CH1</t>
        </is>
      </c>
    </row>
    <row r="2472">
      <c r="A2472" s="33" t="n">
        <v>45870</v>
      </c>
      <c r="B2472" t="inlineStr">
        <is>
          <t>2025-08</t>
        </is>
      </c>
      <c r="C2472" t="inlineStr">
        <is>
          <t>CAFÉ ROCAMAR LIMITADA</t>
        </is>
      </c>
      <c r="D2472" t="inlineStr">
        <is>
          <t>HORECA CAFETERIA</t>
        </is>
      </c>
      <c r="E2472" s="34" t="n">
        <v>68179</v>
      </c>
      <c r="F2472" t="inlineStr">
        <is>
          <t>F</t>
        </is>
      </c>
      <c r="G2472" s="34" t="n">
        <v>10886</v>
      </c>
      <c r="H2472" s="34" t="n">
        <v>57293</v>
      </c>
      <c r="I2472" t="inlineStr">
        <is>
          <t>3.1</t>
        </is>
      </c>
      <c r="J2472" t="inlineStr">
        <is>
          <t>Ventas HoReCa</t>
        </is>
      </c>
      <c r="K2472" t="inlineStr">
        <is>
          <t>CH1</t>
        </is>
      </c>
    </row>
    <row r="2473">
      <c r="A2473" s="33" t="n">
        <v>45870</v>
      </c>
      <c r="B2473" t="inlineStr">
        <is>
          <t>2025-08</t>
        </is>
      </c>
      <c r="C2473" t="inlineStr">
        <is>
          <t>Sin cliente</t>
        </is>
      </c>
      <c r="D2473" t="inlineStr">
        <is>
          <t>CANELÉ TRADICIONAL</t>
        </is>
      </c>
      <c r="E2473" s="34" t="n">
        <v>13450</v>
      </c>
      <c r="F2473" t="inlineStr">
        <is>
          <t>B</t>
        </is>
      </c>
      <c r="G2473" s="34" t="n">
        <v>2147</v>
      </c>
      <c r="H2473" s="34" t="n">
        <v>11303</v>
      </c>
      <c r="I2473" t="inlineStr">
        <is>
          <t>3.2</t>
        </is>
      </c>
      <c r="J2473" t="inlineStr">
        <is>
          <t>Ventas Personas (B2C)</t>
        </is>
      </c>
      <c r="K2473" t="inlineStr">
        <is>
          <t>CH2</t>
        </is>
      </c>
    </row>
    <row r="2474">
      <c r="A2474" s="33" t="n">
        <v>45870</v>
      </c>
      <c r="B2474" t="inlineStr">
        <is>
          <t>2025-08</t>
        </is>
      </c>
      <c r="C2474" t="inlineStr">
        <is>
          <t>dolores Roman</t>
        </is>
      </c>
      <c r="D2474" t="inlineStr">
        <is>
          <t>CANELÉ TRADICIONAL</t>
        </is>
      </c>
      <c r="E2474" s="34" t="n">
        <v>17889</v>
      </c>
      <c r="F2474" t="inlineStr">
        <is>
          <t>B</t>
        </is>
      </c>
      <c r="G2474" s="34" t="n">
        <v>2856</v>
      </c>
      <c r="H2474" s="34" t="n">
        <v>15033</v>
      </c>
      <c r="I2474" t="inlineStr">
        <is>
          <t>3.2</t>
        </is>
      </c>
      <c r="J2474" t="inlineStr">
        <is>
          <t>Ventas Personas (B2C)</t>
        </is>
      </c>
      <c r="K2474" t="inlineStr">
        <is>
          <t>CH2</t>
        </is>
      </c>
    </row>
    <row r="2475">
      <c r="A2475" s="33" t="n">
        <v>45870</v>
      </c>
      <c r="B2475" t="inlineStr">
        <is>
          <t>2025-08</t>
        </is>
      </c>
      <c r="C2475" t="inlineStr">
        <is>
          <t>BLUE OAK COFFE SPA</t>
        </is>
      </c>
      <c r="D2475" t="inlineStr">
        <is>
          <t>HORECA CAFETERIA</t>
        </is>
      </c>
      <c r="E2475" s="34" t="n">
        <v>68179</v>
      </c>
      <c r="F2475" t="inlineStr">
        <is>
          <t>F</t>
        </is>
      </c>
      <c r="G2475" s="34" t="n">
        <v>10886</v>
      </c>
      <c r="H2475" s="34" t="n">
        <v>57293</v>
      </c>
      <c r="I2475" t="inlineStr">
        <is>
          <t>3.1</t>
        </is>
      </c>
      <c r="J2475" t="inlineStr">
        <is>
          <t>Ventas HoReCa</t>
        </is>
      </c>
      <c r="K2475" t="inlineStr">
        <is>
          <t>CH1</t>
        </is>
      </c>
    </row>
    <row r="2476">
      <c r="A2476" s="33" t="n">
        <v>45870</v>
      </c>
      <c r="B2476" t="inlineStr">
        <is>
          <t>2025-08</t>
        </is>
      </c>
      <c r="C2476" t="inlineStr">
        <is>
          <t>ANTONIA DEL ROSARIO GARCIA DE VICENTE</t>
        </is>
      </c>
      <c r="D2476" t="inlineStr">
        <is>
          <t>Petit Tradicional</t>
        </is>
      </c>
      <c r="E2476" s="34" t="n">
        <v>6900</v>
      </c>
      <c r="F2476" t="inlineStr">
        <is>
          <t>B</t>
        </is>
      </c>
      <c r="G2476" s="34" t="n">
        <v>1102</v>
      </c>
      <c r="H2476" s="34" t="n">
        <v>5798</v>
      </c>
      <c r="I2476" t="inlineStr">
        <is>
          <t>3.2</t>
        </is>
      </c>
      <c r="J2476" t="inlineStr">
        <is>
          <t>Ventas Personas (B2C)</t>
        </is>
      </c>
      <c r="K2476" t="inlineStr">
        <is>
          <t>CH2</t>
        </is>
      </c>
    </row>
    <row r="2477">
      <c r="A2477" s="33" t="n">
        <v>45870</v>
      </c>
      <c r="B2477" t="inlineStr">
        <is>
          <t>2025-08</t>
        </is>
      </c>
      <c r="C2477" t="inlineStr">
        <is>
          <t>PRODUCTORA DE EVENTOS AGDV SPA</t>
        </is>
      </c>
      <c r="D2477" t="inlineStr">
        <is>
          <t>HORECA CATERING</t>
        </is>
      </c>
      <c r="E2477" s="34" t="n">
        <v>31833</v>
      </c>
      <c r="F2477" t="inlineStr">
        <is>
          <t>F</t>
        </is>
      </c>
      <c r="G2477" s="34" t="n">
        <v>5083</v>
      </c>
      <c r="H2477" s="34" t="n">
        <v>26750</v>
      </c>
      <c r="I2477" t="inlineStr">
        <is>
          <t>3.1</t>
        </is>
      </c>
      <c r="J2477" t="inlineStr">
        <is>
          <t>Ventas HoReCa</t>
        </is>
      </c>
      <c r="K2477" t="inlineStr">
        <is>
          <t>CH1</t>
        </is>
      </c>
    </row>
    <row r="2478">
      <c r="A2478" s="33" t="n">
        <v>45870</v>
      </c>
      <c r="B2478" t="inlineStr">
        <is>
          <t>2025-08</t>
        </is>
      </c>
      <c r="C2478" t="inlineStr">
        <is>
          <t>Victor Villarroel Muñoz</t>
        </is>
      </c>
      <c r="D2478" t="inlineStr">
        <is>
          <t>Petit Tradicional</t>
        </is>
      </c>
      <c r="E2478" s="34" t="n">
        <v>25890</v>
      </c>
      <c r="F2478" t="inlineStr">
        <is>
          <t>B</t>
        </is>
      </c>
      <c r="G2478" s="34" t="n">
        <v>4134</v>
      </c>
      <c r="H2478" s="34" t="n">
        <v>21756</v>
      </c>
      <c r="I2478" t="inlineStr">
        <is>
          <t>3.2</t>
        </is>
      </c>
      <c r="J2478" t="inlineStr">
        <is>
          <t>Ventas Personas (B2C)</t>
        </is>
      </c>
      <c r="K2478" t="inlineStr">
        <is>
          <t>CH2</t>
        </is>
      </c>
    </row>
    <row r="2479">
      <c r="A2479" s="33" t="n">
        <v>45870</v>
      </c>
      <c r="B2479" t="inlineStr">
        <is>
          <t>2025-08</t>
        </is>
      </c>
      <c r="C2479" t="inlineStr">
        <is>
          <t>Natalia Fuentealba</t>
        </is>
      </c>
      <c r="D2479" t="inlineStr">
        <is>
          <t>CANELÉ TRADICIONAL</t>
        </is>
      </c>
      <c r="E2479" s="34" t="n">
        <v>14900</v>
      </c>
      <c r="F2479" t="inlineStr">
        <is>
          <t>B</t>
        </is>
      </c>
      <c r="G2479" s="34" t="n">
        <v>2379</v>
      </c>
      <c r="H2479" s="34" t="n">
        <v>12521</v>
      </c>
      <c r="I2479" t="inlineStr">
        <is>
          <t>3.2</t>
        </is>
      </c>
      <c r="J2479" t="inlineStr">
        <is>
          <t>Ventas Personas (B2C)</t>
        </is>
      </c>
      <c r="K2479" t="inlineStr">
        <is>
          <t>CH2</t>
        </is>
      </c>
    </row>
    <row r="2480">
      <c r="A2480" s="33" t="n">
        <v>45870</v>
      </c>
      <c r="B2480" t="inlineStr">
        <is>
          <t>2025-08</t>
        </is>
      </c>
      <c r="C2480" t="inlineStr">
        <is>
          <t>Sin cliente</t>
        </is>
      </c>
      <c r="D2480" t="inlineStr">
        <is>
          <t>PLATAFORMAS RAP-PEYA-UBER-GOOD</t>
        </is>
      </c>
      <c r="E2480" s="34" t="n">
        <v>26280</v>
      </c>
      <c r="F2480" t="inlineStr">
        <is>
          <t>B</t>
        </is>
      </c>
      <c r="G2480" s="34" t="n">
        <v>4196</v>
      </c>
      <c r="H2480" s="34" t="n">
        <v>22084</v>
      </c>
      <c r="I2480" t="inlineStr">
        <is>
          <t>3.6</t>
        </is>
      </c>
      <c r="J2480" t="inlineStr">
        <is>
          <t>Ventas Delivery Apps</t>
        </is>
      </c>
      <c r="K2480" t="inlineStr">
        <is>
          <t>CH3</t>
        </is>
      </c>
    </row>
    <row r="2481">
      <c r="A2481" s="33" t="n">
        <v>45870</v>
      </c>
      <c r="B2481" t="inlineStr">
        <is>
          <t>2025-08</t>
        </is>
      </c>
      <c r="C2481" t="inlineStr">
        <is>
          <t>BLUE OAK COFFE SPA</t>
        </is>
      </c>
      <c r="D2481" t="inlineStr">
        <is>
          <t>HORECA CAFETERIA</t>
        </is>
      </c>
      <c r="E2481" s="34" t="n">
        <v>84732</v>
      </c>
      <c r="F2481" t="inlineStr">
        <is>
          <t>F</t>
        </is>
      </c>
      <c r="G2481" s="34" t="n">
        <v>13529</v>
      </c>
      <c r="H2481" s="34" t="n">
        <v>71203</v>
      </c>
      <c r="I2481" t="inlineStr">
        <is>
          <t>3.1</t>
        </is>
      </c>
      <c r="J2481" t="inlineStr">
        <is>
          <t>Ventas HoReCa</t>
        </is>
      </c>
      <c r="K2481" t="inlineStr">
        <is>
          <t>CH1</t>
        </is>
      </c>
    </row>
    <row r="2482">
      <c r="A2482" s="33" t="n">
        <v>45871</v>
      </c>
      <c r="B2482" t="inlineStr">
        <is>
          <t>2025-08</t>
        </is>
      </c>
      <c r="C2482" t="inlineStr">
        <is>
          <t>Gonzalo Patricio LAZO QUEZADA</t>
        </is>
      </c>
      <c r="D2482" t="inlineStr">
        <is>
          <t>CANELÉ TRADICIONAL</t>
        </is>
      </c>
      <c r="E2482" s="34" t="n">
        <v>30889</v>
      </c>
      <c r="F2482" t="inlineStr">
        <is>
          <t>B</t>
        </is>
      </c>
      <c r="G2482" s="34" t="n">
        <v>4932</v>
      </c>
      <c r="H2482" s="34" t="n">
        <v>25957</v>
      </c>
      <c r="I2482" t="inlineStr">
        <is>
          <t>3.2</t>
        </is>
      </c>
      <c r="J2482" t="inlineStr">
        <is>
          <t>Ventas Personas (B2C)</t>
        </is>
      </c>
      <c r="K2482" t="inlineStr">
        <is>
          <t>CH2</t>
        </is>
      </c>
    </row>
    <row r="2483">
      <c r="A2483" s="33" t="n">
        <v>45871</v>
      </c>
      <c r="B2483" t="inlineStr">
        <is>
          <t>2025-08</t>
        </is>
      </c>
      <c r="C2483" t="inlineStr">
        <is>
          <t>Sin cliente</t>
        </is>
      </c>
      <c r="D2483" t="inlineStr">
        <is>
          <t>CANELÉ TRADICIONAL</t>
        </is>
      </c>
      <c r="E2483" s="34" t="n">
        <v>21900</v>
      </c>
      <c r="F2483" t="inlineStr">
        <is>
          <t>B</t>
        </is>
      </c>
      <c r="G2483" s="34" t="n">
        <v>3497</v>
      </c>
      <c r="H2483" s="34" t="n">
        <v>18403</v>
      </c>
      <c r="I2483" t="inlineStr">
        <is>
          <t>3.2</t>
        </is>
      </c>
      <c r="J2483" t="inlineStr">
        <is>
          <t>Ventas Personas (B2C)</t>
        </is>
      </c>
      <c r="K2483" t="inlineStr">
        <is>
          <t>CH2</t>
        </is>
      </c>
    </row>
    <row r="2484">
      <c r="A2484" s="33" t="n">
        <v>45871</v>
      </c>
      <c r="B2484" t="inlineStr">
        <is>
          <t>2025-08</t>
        </is>
      </c>
      <c r="C2484" t="inlineStr">
        <is>
          <t>Sin cliente</t>
        </is>
      </c>
      <c r="D2484" t="inlineStr">
        <is>
          <t>CANELÉ TRADICIONAL</t>
        </is>
      </c>
      <c r="E2484" s="34" t="n">
        <v>21890</v>
      </c>
      <c r="F2484" t="inlineStr">
        <is>
          <t>B</t>
        </is>
      </c>
      <c r="G2484" s="34" t="n">
        <v>3495</v>
      </c>
      <c r="H2484" s="34" t="n">
        <v>18395</v>
      </c>
      <c r="I2484" t="inlineStr">
        <is>
          <t>3.2</t>
        </is>
      </c>
      <c r="J2484" t="inlineStr">
        <is>
          <t>Ventas Personas (B2C)</t>
        </is>
      </c>
      <c r="K2484" t="inlineStr">
        <is>
          <t>CH2</t>
        </is>
      </c>
    </row>
    <row r="2485">
      <c r="A2485" s="33" t="n">
        <v>45871</v>
      </c>
      <c r="B2485" t="inlineStr">
        <is>
          <t>2025-08</t>
        </is>
      </c>
      <c r="C2485" t="inlineStr">
        <is>
          <t>Pamela Teare</t>
        </is>
      </c>
      <c r="D2485" t="inlineStr">
        <is>
          <t>Petit Tradicional</t>
        </is>
      </c>
      <c r="E2485" s="34" t="n">
        <v>15889</v>
      </c>
      <c r="F2485" t="inlineStr">
        <is>
          <t>B</t>
        </is>
      </c>
      <c r="G2485" s="34" t="n">
        <v>2537</v>
      </c>
      <c r="H2485" s="34" t="n">
        <v>13352</v>
      </c>
      <c r="I2485" t="inlineStr">
        <is>
          <t>3.2</t>
        </is>
      </c>
      <c r="J2485" t="inlineStr">
        <is>
          <t>Ventas Personas (B2C)</t>
        </is>
      </c>
      <c r="K2485" t="inlineStr">
        <is>
          <t>CH2</t>
        </is>
      </c>
    </row>
    <row r="2486">
      <c r="A2486" s="33" t="n">
        <v>45871</v>
      </c>
      <c r="B2486" t="inlineStr">
        <is>
          <t>2025-08</t>
        </is>
      </c>
      <c r="C2486" t="inlineStr">
        <is>
          <t>Antonia Pardo</t>
        </is>
      </c>
      <c r="D2486" t="inlineStr">
        <is>
          <t>Mix Sabores</t>
        </is>
      </c>
      <c r="E2486" s="34" t="n">
        <v>32789</v>
      </c>
      <c r="F2486" t="inlineStr">
        <is>
          <t>B</t>
        </is>
      </c>
      <c r="G2486" s="34" t="n">
        <v>5235</v>
      </c>
      <c r="H2486" s="34" t="n">
        <v>27554</v>
      </c>
      <c r="I2486" t="inlineStr">
        <is>
          <t>3.2</t>
        </is>
      </c>
      <c r="J2486" t="inlineStr">
        <is>
          <t>Ventas Personas (B2C)</t>
        </is>
      </c>
      <c r="K2486" t="inlineStr">
        <is>
          <t>CH2</t>
        </is>
      </c>
    </row>
    <row r="2487">
      <c r="A2487" s="33" t="n">
        <v>45871</v>
      </c>
      <c r="B2487" t="inlineStr">
        <is>
          <t>2025-08</t>
        </is>
      </c>
      <c r="C2487" t="inlineStr">
        <is>
          <t>Sin cliente</t>
        </is>
      </c>
      <c r="D2487" t="inlineStr">
        <is>
          <t>CANELÉ TRADICIONAL</t>
        </is>
      </c>
      <c r="E2487" s="34" t="n">
        <v>17400</v>
      </c>
      <c r="F2487" t="inlineStr">
        <is>
          <t>B</t>
        </is>
      </c>
      <c r="G2487" s="34" t="n">
        <v>2778</v>
      </c>
      <c r="H2487" s="34" t="n">
        <v>14622</v>
      </c>
      <c r="I2487" t="inlineStr">
        <is>
          <t>3.2</t>
        </is>
      </c>
      <c r="J2487" t="inlineStr">
        <is>
          <t>Ventas Personas (B2C)</t>
        </is>
      </c>
      <c r="K2487" t="inlineStr">
        <is>
          <t>CH2</t>
        </is>
      </c>
    </row>
    <row r="2488">
      <c r="A2488" s="33" t="n">
        <v>45871</v>
      </c>
      <c r="B2488" t="inlineStr">
        <is>
          <t>2025-08</t>
        </is>
      </c>
      <c r="C2488" t="inlineStr">
        <is>
          <t>Maren Holz</t>
        </is>
      </c>
      <c r="D2488" t="inlineStr">
        <is>
          <t>PACKS GOURMET</t>
        </is>
      </c>
      <c r="E2488" s="34" t="n">
        <v>16990</v>
      </c>
      <c r="F2488" t="inlineStr">
        <is>
          <t>B</t>
        </is>
      </c>
      <c r="G2488" s="34" t="n">
        <v>2713</v>
      </c>
      <c r="H2488" s="34" t="n">
        <v>14277</v>
      </c>
      <c r="I2488" t="inlineStr">
        <is>
          <t>3.2</t>
        </is>
      </c>
      <c r="J2488" t="inlineStr">
        <is>
          <t>Ventas Personas (B2C)</t>
        </is>
      </c>
      <c r="K2488" t="inlineStr">
        <is>
          <t>CH2</t>
        </is>
      </c>
    </row>
    <row r="2489">
      <c r="A2489" s="33" t="n">
        <v>45873</v>
      </c>
      <c r="B2489" t="inlineStr">
        <is>
          <t>2025-08</t>
        </is>
      </c>
      <c r="C2489" t="inlineStr">
        <is>
          <t>CAFETERÍA ALTURA LIMITADA</t>
        </is>
      </c>
      <c r="D2489" t="inlineStr">
        <is>
          <t>HORECA CAFETERIA</t>
        </is>
      </c>
      <c r="E2489" s="34" t="n">
        <v>85831</v>
      </c>
      <c r="F2489" t="inlineStr">
        <is>
          <t>F</t>
        </is>
      </c>
      <c r="G2489" s="34" t="n">
        <v>13704</v>
      </c>
      <c r="H2489" s="34" t="n">
        <v>72127</v>
      </c>
      <c r="I2489" t="inlineStr">
        <is>
          <t>3.1</t>
        </is>
      </c>
      <c r="J2489" t="inlineStr">
        <is>
          <t>Ventas HoReCa</t>
        </is>
      </c>
      <c r="K2489" t="inlineStr">
        <is>
          <t>CH1</t>
        </is>
      </c>
    </row>
    <row r="2490">
      <c r="A2490" s="33" t="n">
        <v>45873</v>
      </c>
      <c r="B2490" t="inlineStr">
        <is>
          <t>2025-08</t>
        </is>
      </c>
      <c r="C2490" t="inlineStr">
        <is>
          <t>INVERSIONES Y COMERCIALIZADORA FED LIMITADA</t>
        </is>
      </c>
      <c r="D2490" t="inlineStr">
        <is>
          <t>HORECA CAFETERIA</t>
        </is>
      </c>
      <c r="E2490" s="34" t="n">
        <v>168671</v>
      </c>
      <c r="F2490" t="inlineStr">
        <is>
          <t>F</t>
        </is>
      </c>
      <c r="G2490" s="34" t="n">
        <v>26931</v>
      </c>
      <c r="H2490" s="34" t="n">
        <v>141740</v>
      </c>
      <c r="I2490" t="inlineStr">
        <is>
          <t>3.1</t>
        </is>
      </c>
      <c r="J2490" t="inlineStr">
        <is>
          <t>Ventas HoReCa</t>
        </is>
      </c>
      <c r="K2490" t="inlineStr">
        <is>
          <t>CH1</t>
        </is>
      </c>
    </row>
    <row r="2491">
      <c r="A2491" s="33" t="n">
        <v>45873</v>
      </c>
      <c r="B2491" t="inlineStr">
        <is>
          <t>2025-08</t>
        </is>
      </c>
      <c r="C2491" t="inlineStr">
        <is>
          <t>INVERSIONES Y COMERCIALIZADORA FED LIMITADA</t>
        </is>
      </c>
      <c r="D2491" t="inlineStr">
        <is>
          <t>HORECA CAFETERIA</t>
        </is>
      </c>
      <c r="E2491" s="34" t="n">
        <v>-168671</v>
      </c>
      <c r="F2491" t="inlineStr">
        <is>
          <t>NC</t>
        </is>
      </c>
      <c r="G2491" s="34" t="n">
        <v>-26931</v>
      </c>
      <c r="H2491" s="34" t="n">
        <v>-141740</v>
      </c>
      <c r="I2491" t="inlineStr">
        <is>
          <t>3.1</t>
        </is>
      </c>
      <c r="J2491" t="inlineStr">
        <is>
          <t>Ventas HoReCa</t>
        </is>
      </c>
      <c r="K2491" t="inlineStr">
        <is>
          <t>CH1</t>
        </is>
      </c>
    </row>
    <row r="2492">
      <c r="A2492" s="33" t="n">
        <v>45873</v>
      </c>
      <c r="B2492" t="inlineStr">
        <is>
          <t>2025-08</t>
        </is>
      </c>
      <c r="C2492" t="inlineStr">
        <is>
          <t>INVERSIONES Y COMERCIALIZADORA FED LIMITADA</t>
        </is>
      </c>
      <c r="D2492" t="inlineStr">
        <is>
          <t>HORECA CAFETERIA</t>
        </is>
      </c>
      <c r="E2492" s="34" t="n">
        <v>114110</v>
      </c>
      <c r="F2492" t="inlineStr">
        <is>
          <t>F</t>
        </is>
      </c>
      <c r="G2492" s="34" t="n">
        <v>18219</v>
      </c>
      <c r="H2492" s="34" t="n">
        <v>95891</v>
      </c>
      <c r="I2492" t="inlineStr">
        <is>
          <t>3.1</t>
        </is>
      </c>
      <c r="J2492" t="inlineStr">
        <is>
          <t>Ventas HoReCa</t>
        </is>
      </c>
      <c r="K2492" t="inlineStr">
        <is>
          <t>CH1</t>
        </is>
      </c>
    </row>
    <row r="2493">
      <c r="A2493" s="33" t="n">
        <v>45873</v>
      </c>
      <c r="B2493" t="inlineStr">
        <is>
          <t>2025-08</t>
        </is>
      </c>
      <c r="C2493" t="inlineStr">
        <is>
          <t>INVERSIONES Y COMERCIALIZADORA FED LIMITADA</t>
        </is>
      </c>
      <c r="D2493" t="inlineStr">
        <is>
          <t>HORECA CAFETERIA</t>
        </is>
      </c>
      <c r="E2493" s="34" t="n">
        <v>225738</v>
      </c>
      <c r="F2493" t="inlineStr">
        <is>
          <t>F</t>
        </is>
      </c>
      <c r="G2493" s="34" t="n">
        <v>36042</v>
      </c>
      <c r="H2493" s="34" t="n">
        <v>189696</v>
      </c>
      <c r="I2493" t="inlineStr">
        <is>
          <t>3.1</t>
        </is>
      </c>
      <c r="J2493" t="inlineStr">
        <is>
          <t>Ventas HoReCa</t>
        </is>
      </c>
      <c r="K2493" t="inlineStr">
        <is>
          <t>CH1</t>
        </is>
      </c>
    </row>
    <row r="2494">
      <c r="A2494" s="33" t="n">
        <v>45873</v>
      </c>
      <c r="B2494" t="inlineStr">
        <is>
          <t>2025-08</t>
        </is>
      </c>
      <c r="C2494" t="inlineStr">
        <is>
          <t>INVERSIONES Y ASESORIAS RAVAL LIMITADA</t>
        </is>
      </c>
      <c r="D2494" t="inlineStr">
        <is>
          <t>HORECA CAFETERIA</t>
        </is>
      </c>
      <c r="E2494" s="34" t="n">
        <v>72169</v>
      </c>
      <c r="F2494" t="inlineStr">
        <is>
          <t>F</t>
        </is>
      </c>
      <c r="G2494" s="34" t="n">
        <v>11523</v>
      </c>
      <c r="H2494" s="34" t="n">
        <v>60646</v>
      </c>
      <c r="I2494" t="inlineStr">
        <is>
          <t>3.1</t>
        </is>
      </c>
      <c r="J2494" t="inlineStr">
        <is>
          <t>Ventas HoReCa</t>
        </is>
      </c>
      <c r="K2494" t="inlineStr">
        <is>
          <t>CH1</t>
        </is>
      </c>
    </row>
    <row r="2495">
      <c r="A2495" s="33" t="n">
        <v>45873</v>
      </c>
      <c r="B2495" t="inlineStr">
        <is>
          <t>2025-08</t>
        </is>
      </c>
      <c r="C2495" t="inlineStr">
        <is>
          <t>Luis Ramos</t>
        </is>
      </c>
      <c r="D2495" t="inlineStr">
        <is>
          <t>CANELÉ TRADICIONAL</t>
        </is>
      </c>
      <c r="E2495" s="34" t="n">
        <v>24020</v>
      </c>
      <c r="F2495" t="inlineStr">
        <is>
          <t>B</t>
        </is>
      </c>
      <c r="G2495" s="34" t="n">
        <v>3835</v>
      </c>
      <c r="H2495" s="34" t="n">
        <v>20185</v>
      </c>
      <c r="I2495" t="inlineStr">
        <is>
          <t>3.2</t>
        </is>
      </c>
      <c r="J2495" t="inlineStr">
        <is>
          <t>Ventas Personas (B2C)</t>
        </is>
      </c>
      <c r="K2495" t="inlineStr">
        <is>
          <t>CH2</t>
        </is>
      </c>
    </row>
    <row r="2496">
      <c r="A2496" s="33" t="n">
        <v>45873</v>
      </c>
      <c r="B2496" t="inlineStr">
        <is>
          <t>2025-08</t>
        </is>
      </c>
      <c r="C2496" t="inlineStr">
        <is>
          <t>Katya contreras</t>
        </is>
      </c>
      <c r="D2496" t="inlineStr">
        <is>
          <t>Petit Tradicional</t>
        </is>
      </c>
      <c r="E2496" s="34" t="n">
        <v>15800</v>
      </c>
      <c r="F2496" t="inlineStr">
        <is>
          <t>B</t>
        </is>
      </c>
      <c r="G2496" s="34" t="n">
        <v>2523</v>
      </c>
      <c r="H2496" s="34" t="n">
        <v>13277</v>
      </c>
      <c r="I2496" t="inlineStr">
        <is>
          <t>3.2</t>
        </is>
      </c>
      <c r="J2496" t="inlineStr">
        <is>
          <t>Ventas Personas (B2C)</t>
        </is>
      </c>
      <c r="K2496" t="inlineStr">
        <is>
          <t>CH2</t>
        </is>
      </c>
    </row>
    <row r="2497">
      <c r="A2497" s="33" t="n">
        <v>45873</v>
      </c>
      <c r="B2497" t="inlineStr">
        <is>
          <t>2025-08</t>
        </is>
      </c>
      <c r="C2497" t="inlineStr">
        <is>
          <t>POMPON SPA</t>
        </is>
      </c>
      <c r="D2497" t="inlineStr">
        <is>
          <t>HORECA CAFETERIA</t>
        </is>
      </c>
      <c r="E2497" s="34" t="n">
        <v>187345</v>
      </c>
      <c r="F2497" t="inlineStr">
        <is>
          <t>F</t>
        </is>
      </c>
      <c r="G2497" s="34" t="n">
        <v>29912</v>
      </c>
      <c r="H2497" s="34" t="n">
        <v>157433</v>
      </c>
      <c r="I2497" t="inlineStr">
        <is>
          <t>3.1</t>
        </is>
      </c>
      <c r="J2497" t="inlineStr">
        <is>
          <t>Ventas HoReCa</t>
        </is>
      </c>
      <c r="K2497" t="inlineStr">
        <is>
          <t>CH1</t>
        </is>
      </c>
    </row>
    <row r="2498">
      <c r="A2498" s="33" t="n">
        <v>45873</v>
      </c>
      <c r="B2498" t="inlineStr">
        <is>
          <t>2025-08</t>
        </is>
      </c>
      <c r="C2498" t="inlineStr">
        <is>
          <t>Eduardo Duarte</t>
        </is>
      </c>
      <c r="D2498" t="inlineStr">
        <is>
          <t>Mix Sabores</t>
        </is>
      </c>
      <c r="E2498" s="34" t="n">
        <v>19889</v>
      </c>
      <c r="F2498" t="inlineStr">
        <is>
          <t>B</t>
        </is>
      </c>
      <c r="G2498" s="34" t="n">
        <v>3176</v>
      </c>
      <c r="H2498" s="34" t="n">
        <v>16713</v>
      </c>
      <c r="I2498" t="inlineStr">
        <is>
          <t>3.2</t>
        </is>
      </c>
      <c r="J2498" t="inlineStr">
        <is>
          <t>Ventas Personas (B2C)</t>
        </is>
      </c>
      <c r="K2498" t="inlineStr">
        <is>
          <t>CH2</t>
        </is>
      </c>
    </row>
    <row r="2499">
      <c r="A2499" s="33" t="n">
        <v>45873</v>
      </c>
      <c r="B2499" t="inlineStr">
        <is>
          <t>2025-08</t>
        </is>
      </c>
      <c r="C2499" t="inlineStr">
        <is>
          <t>MARIA HELENA rodriguez maldonado</t>
        </is>
      </c>
      <c r="D2499" t="inlineStr">
        <is>
          <t>Petit Tradicional</t>
        </is>
      </c>
      <c r="E2499" s="34" t="n">
        <v>19890</v>
      </c>
      <c r="F2499" t="inlineStr">
        <is>
          <t>B</t>
        </is>
      </c>
      <c r="G2499" s="34" t="n">
        <v>3176</v>
      </c>
      <c r="H2499" s="34" t="n">
        <v>16714</v>
      </c>
      <c r="I2499" t="inlineStr">
        <is>
          <t>3.2</t>
        </is>
      </c>
      <c r="J2499" t="inlineStr">
        <is>
          <t>Ventas Personas (B2C)</t>
        </is>
      </c>
      <c r="K2499" t="inlineStr">
        <is>
          <t>CH2</t>
        </is>
      </c>
    </row>
    <row r="2500">
      <c r="A2500" s="33" t="n">
        <v>45873</v>
      </c>
      <c r="B2500" t="inlineStr">
        <is>
          <t>2025-08</t>
        </is>
      </c>
      <c r="C2500" t="inlineStr">
        <is>
          <t>Daniela Castañeda</t>
        </is>
      </c>
      <c r="D2500" t="inlineStr">
        <is>
          <t>Petit Crunchy</t>
        </is>
      </c>
      <c r="E2500" s="34" t="n">
        <v>16889</v>
      </c>
      <c r="F2500" t="inlineStr">
        <is>
          <t>B</t>
        </is>
      </c>
      <c r="G2500" s="34" t="n">
        <v>2697</v>
      </c>
      <c r="H2500" s="34" t="n">
        <v>14192</v>
      </c>
      <c r="I2500" t="inlineStr">
        <is>
          <t>3.2</t>
        </is>
      </c>
      <c r="J2500" t="inlineStr">
        <is>
          <t>Ventas Personas (B2C)</t>
        </is>
      </c>
      <c r="K2500" t="inlineStr">
        <is>
          <t>CH2</t>
        </is>
      </c>
    </row>
    <row r="2501">
      <c r="A2501" s="33" t="n">
        <v>45873</v>
      </c>
      <c r="B2501" t="inlineStr">
        <is>
          <t>2025-08</t>
        </is>
      </c>
      <c r="C2501" t="inlineStr">
        <is>
          <t>Sin cliente</t>
        </is>
      </c>
      <c r="D2501" t="inlineStr">
        <is>
          <t>PLATAFORMAS RAP-PEYA-UBER-GOOD</t>
        </is>
      </c>
      <c r="E2501" s="34" t="n">
        <v>50160</v>
      </c>
      <c r="F2501" t="inlineStr">
        <is>
          <t>B</t>
        </is>
      </c>
      <c r="G2501" s="34" t="n">
        <v>8009</v>
      </c>
      <c r="H2501" s="34" t="n">
        <v>42151</v>
      </c>
      <c r="I2501" t="inlineStr">
        <is>
          <t>3.6</t>
        </is>
      </c>
      <c r="J2501" t="inlineStr">
        <is>
          <t>Ventas Delivery Apps</t>
        </is>
      </c>
      <c r="K2501" t="inlineStr">
        <is>
          <t>CH3</t>
        </is>
      </c>
    </row>
    <row r="2502">
      <c r="A2502" s="33" t="n">
        <v>45873</v>
      </c>
      <c r="B2502" t="inlineStr">
        <is>
          <t>2025-08</t>
        </is>
      </c>
      <c r="C2502" t="inlineStr">
        <is>
          <t>Lars Jaederlund</t>
        </is>
      </c>
      <c r="D2502" t="inlineStr">
        <is>
          <t>CANELÉ TRADICIONAL</t>
        </is>
      </c>
      <c r="E2502" s="34" t="n">
        <v>26890</v>
      </c>
      <c r="F2502" t="inlineStr">
        <is>
          <t>B</t>
        </is>
      </c>
      <c r="G2502" s="34" t="n">
        <v>4293</v>
      </c>
      <c r="H2502" s="34" t="n">
        <v>22597</v>
      </c>
      <c r="I2502" t="inlineStr">
        <is>
          <t>3.2</t>
        </is>
      </c>
      <c r="J2502" t="inlineStr">
        <is>
          <t>Ventas Personas (B2C)</t>
        </is>
      </c>
      <c r="K2502" t="inlineStr">
        <is>
          <t>CH2</t>
        </is>
      </c>
    </row>
    <row r="2503">
      <c r="A2503" s="33" t="n">
        <v>45874</v>
      </c>
      <c r="B2503" t="inlineStr">
        <is>
          <t>2025-08</t>
        </is>
      </c>
      <c r="C2503" t="inlineStr">
        <is>
          <t>Inversiones Café Dominicos SpA</t>
        </is>
      </c>
      <c r="D2503" t="inlineStr">
        <is>
          <t xml:space="preserve">THE COFFEE STORE </t>
        </is>
      </c>
      <c r="E2503" s="34" t="n">
        <v>39294</v>
      </c>
      <c r="F2503" t="inlineStr">
        <is>
          <t>F</t>
        </is>
      </c>
      <c r="G2503" s="34" t="n">
        <v>6274</v>
      </c>
      <c r="H2503" s="34" t="n">
        <v>33020</v>
      </c>
      <c r="I2503" t="inlineStr">
        <is>
          <t>3.1</t>
        </is>
      </c>
      <c r="J2503" t="inlineStr">
        <is>
          <t>Ventas HoReCa</t>
        </is>
      </c>
      <c r="K2503" t="inlineStr">
        <is>
          <t>CH1</t>
        </is>
      </c>
    </row>
    <row r="2504">
      <c r="A2504" s="33" t="n">
        <v>45874</v>
      </c>
      <c r="B2504" t="inlineStr">
        <is>
          <t>2025-08</t>
        </is>
      </c>
      <c r="C2504" t="inlineStr">
        <is>
          <t>the capital coffee spa</t>
        </is>
      </c>
      <c r="D2504" t="inlineStr">
        <is>
          <t>HORECA CAFETERIA</t>
        </is>
      </c>
      <c r="E2504" s="34" t="n">
        <v>235069</v>
      </c>
      <c r="F2504" t="inlineStr">
        <is>
          <t>F</t>
        </is>
      </c>
      <c r="G2504" s="34" t="n">
        <v>37532</v>
      </c>
      <c r="H2504" s="34" t="n">
        <v>197537</v>
      </c>
      <c r="I2504" t="inlineStr">
        <is>
          <t>3.1</t>
        </is>
      </c>
      <c r="J2504" t="inlineStr">
        <is>
          <t>Ventas HoReCa</t>
        </is>
      </c>
      <c r="K2504" t="inlineStr">
        <is>
          <t>CH1</t>
        </is>
      </c>
    </row>
    <row r="2505">
      <c r="A2505" s="33" t="n">
        <v>45874</v>
      </c>
      <c r="B2505" t="inlineStr">
        <is>
          <t>2025-08</t>
        </is>
      </c>
      <c r="C2505" t="inlineStr">
        <is>
          <t>BLUE OAK COFFE SPA</t>
        </is>
      </c>
      <c r="D2505" t="inlineStr">
        <is>
          <t>HORECA CAFETERIA</t>
        </is>
      </c>
      <c r="E2505" s="34" t="n">
        <v>68179</v>
      </c>
      <c r="F2505" t="inlineStr">
        <is>
          <t>F</t>
        </is>
      </c>
      <c r="G2505" s="34" t="n">
        <v>10886</v>
      </c>
      <c r="H2505" s="34" t="n">
        <v>57293</v>
      </c>
      <c r="I2505" t="inlineStr">
        <is>
          <t>3.1</t>
        </is>
      </c>
      <c r="J2505" t="inlineStr">
        <is>
          <t>Ventas HoReCa</t>
        </is>
      </c>
      <c r="K2505" t="inlineStr">
        <is>
          <t>CH1</t>
        </is>
      </c>
    </row>
    <row r="2506">
      <c r="A2506" s="33" t="n">
        <v>45874</v>
      </c>
      <c r="B2506" t="inlineStr">
        <is>
          <t>2025-08</t>
        </is>
      </c>
      <c r="C2506" t="inlineStr">
        <is>
          <t>María Ignacia Bustamante</t>
        </is>
      </c>
      <c r="D2506" t="inlineStr">
        <is>
          <t>Petit Crunchy</t>
        </is>
      </c>
      <c r="E2506" s="34" t="n">
        <v>27109</v>
      </c>
      <c r="F2506" t="inlineStr">
        <is>
          <t>B</t>
        </is>
      </c>
      <c r="G2506" s="34" t="n">
        <v>4328</v>
      </c>
      <c r="H2506" s="34" t="n">
        <v>22781</v>
      </c>
      <c r="I2506" t="inlineStr">
        <is>
          <t>3.2</t>
        </is>
      </c>
      <c r="J2506" t="inlineStr">
        <is>
          <t>Ventas Personas (B2C)</t>
        </is>
      </c>
      <c r="K2506" t="inlineStr">
        <is>
          <t>CH2</t>
        </is>
      </c>
    </row>
    <row r="2507">
      <c r="A2507" s="33" t="n">
        <v>45874</v>
      </c>
      <c r="B2507" t="inlineStr">
        <is>
          <t>2025-08</t>
        </is>
      </c>
      <c r="C2507" t="inlineStr">
        <is>
          <t>PRODUCTORA GALDAMES CORTEZ LIMITADA</t>
        </is>
      </c>
      <c r="D2507" t="inlineStr">
        <is>
          <t>HORECA CATERING</t>
        </is>
      </c>
      <c r="E2507" s="34" t="n">
        <v>63665</v>
      </c>
      <c r="F2507" t="inlineStr">
        <is>
          <t>F</t>
        </is>
      </c>
      <c r="G2507" s="34" t="n">
        <v>10165</v>
      </c>
      <c r="H2507" s="34" t="n">
        <v>53500</v>
      </c>
      <c r="I2507" t="inlineStr">
        <is>
          <t>3.1</t>
        </is>
      </c>
      <c r="J2507" t="inlineStr">
        <is>
          <t>Ventas HoReCa</t>
        </is>
      </c>
      <c r="K2507" t="inlineStr">
        <is>
          <t>CH1</t>
        </is>
      </c>
    </row>
    <row r="2508">
      <c r="A2508" s="33" t="n">
        <v>45874</v>
      </c>
      <c r="B2508" t="inlineStr">
        <is>
          <t>2025-08</t>
        </is>
      </c>
      <c r="C2508" t="inlineStr">
        <is>
          <t>Sylvia Diaz Araya</t>
        </is>
      </c>
      <c r="D2508" t="inlineStr">
        <is>
          <t>Delicatessen</t>
        </is>
      </c>
      <c r="E2508" s="34" t="n">
        <v>28800</v>
      </c>
      <c r="F2508" t="inlineStr">
        <is>
          <t>B</t>
        </is>
      </c>
      <c r="G2508" s="34" t="n">
        <v>4598</v>
      </c>
      <c r="H2508" s="34" t="n">
        <v>24202</v>
      </c>
      <c r="I2508" t="inlineStr">
        <is>
          <t>3.2</t>
        </is>
      </c>
      <c r="J2508" t="inlineStr">
        <is>
          <t>Ventas Personas (B2C)</t>
        </is>
      </c>
      <c r="K2508" t="inlineStr">
        <is>
          <t>CH2</t>
        </is>
      </c>
    </row>
    <row r="2509">
      <c r="A2509" s="33" t="n">
        <v>45874</v>
      </c>
      <c r="B2509" t="inlineStr">
        <is>
          <t>2025-08</t>
        </is>
      </c>
      <c r="C2509" t="inlineStr">
        <is>
          <t>nicolas gutierrez</t>
        </is>
      </c>
      <c r="D2509" t="inlineStr">
        <is>
          <t>Petit Crunchy</t>
        </is>
      </c>
      <c r="E2509" s="34" t="n">
        <v>13900</v>
      </c>
      <c r="F2509" t="inlineStr">
        <is>
          <t>B</t>
        </is>
      </c>
      <c r="G2509" s="34" t="n">
        <v>2219</v>
      </c>
      <c r="H2509" s="34" t="n">
        <v>11681</v>
      </c>
      <c r="I2509" t="inlineStr">
        <is>
          <t>3.2</t>
        </is>
      </c>
      <c r="J2509" t="inlineStr">
        <is>
          <t>Ventas Personas (B2C)</t>
        </is>
      </c>
      <c r="K2509" t="inlineStr">
        <is>
          <t>CH2</t>
        </is>
      </c>
    </row>
    <row r="2510">
      <c r="A2510" s="33" t="n">
        <v>45874</v>
      </c>
      <c r="B2510" t="inlineStr">
        <is>
          <t>2025-08</t>
        </is>
      </c>
      <c r="C2510" t="inlineStr">
        <is>
          <t>BUSTORF LARSEN Y COMPANIA LIMITADA</t>
        </is>
      </c>
      <c r="D2510" t="inlineStr">
        <is>
          <t>HORECA CAFETERIA</t>
        </is>
      </c>
      <c r="E2510" s="34" t="n">
        <v>69178</v>
      </c>
      <c r="F2510" t="inlineStr">
        <is>
          <t>F</t>
        </is>
      </c>
      <c r="G2510" s="34" t="n">
        <v>11045</v>
      </c>
      <c r="H2510" s="34" t="n">
        <v>58133</v>
      </c>
      <c r="I2510" t="inlineStr">
        <is>
          <t>3.1</t>
        </is>
      </c>
      <c r="J2510" t="inlineStr">
        <is>
          <t>Ventas HoReCa</t>
        </is>
      </c>
      <c r="K2510" t="inlineStr">
        <is>
          <t>CH1</t>
        </is>
      </c>
    </row>
    <row r="2511">
      <c r="A2511" s="33" t="n">
        <v>45874</v>
      </c>
      <c r="B2511" t="inlineStr">
        <is>
          <t>2025-08</t>
        </is>
      </c>
      <c r="C2511" t="inlineStr">
        <is>
          <t>OH SOME SPA</t>
        </is>
      </c>
      <c r="D2511" t="inlineStr">
        <is>
          <t>HORECA CAFETERIA</t>
        </is>
      </c>
      <c r="E2511" s="34" t="n">
        <v>132367</v>
      </c>
      <c r="F2511" t="inlineStr">
        <is>
          <t>F</t>
        </is>
      </c>
      <c r="G2511" s="34" t="n">
        <v>21134</v>
      </c>
      <c r="H2511" s="34" t="n">
        <v>111233</v>
      </c>
      <c r="I2511" t="inlineStr">
        <is>
          <t>3.1</t>
        </is>
      </c>
      <c r="J2511" t="inlineStr">
        <is>
          <t>Ventas HoReCa</t>
        </is>
      </c>
      <c r="K2511" t="inlineStr">
        <is>
          <t>CH1</t>
        </is>
      </c>
    </row>
    <row r="2512">
      <c r="A2512" s="33" t="n">
        <v>45874</v>
      </c>
      <c r="B2512" t="inlineStr">
        <is>
          <t>2025-08</t>
        </is>
      </c>
      <c r="C2512" t="inlineStr">
        <is>
          <t>Sin cliente</t>
        </is>
      </c>
      <c r="D2512" t="inlineStr">
        <is>
          <t>PLATAFORMAS RAP-PEYA-UBER-GOOD</t>
        </is>
      </c>
      <c r="E2512" s="34" t="n">
        <v>17880</v>
      </c>
      <c r="F2512" t="inlineStr">
        <is>
          <t>B</t>
        </is>
      </c>
      <c r="G2512" s="34" t="n">
        <v>2855</v>
      </c>
      <c r="H2512" s="34" t="n">
        <v>15025</v>
      </c>
      <c r="I2512" t="inlineStr">
        <is>
          <t>3.6</t>
        </is>
      </c>
      <c r="J2512" t="inlineStr">
        <is>
          <t>Ventas Delivery Apps</t>
        </is>
      </c>
      <c r="K2512" t="inlineStr">
        <is>
          <t>CH3</t>
        </is>
      </c>
    </row>
    <row r="2513">
      <c r="A2513" s="33" t="n">
        <v>45874</v>
      </c>
      <c r="B2513" t="inlineStr">
        <is>
          <t>2025-08</t>
        </is>
      </c>
      <c r="C2513" t="inlineStr">
        <is>
          <t>nicolas gutierrez</t>
        </is>
      </c>
      <c r="D2513" t="inlineStr">
        <is>
          <t>REGION METROPOLITANA</t>
        </is>
      </c>
      <c r="E2513" s="34" t="n">
        <v>3990</v>
      </c>
      <c r="F2513" t="inlineStr">
        <is>
          <t>B</t>
        </is>
      </c>
      <c r="G2513" s="34" t="n">
        <v>637</v>
      </c>
      <c r="H2513" s="34" t="n">
        <v>3353</v>
      </c>
      <c r="I2513" t="inlineStr">
        <is>
          <t>3.2</t>
        </is>
      </c>
      <c r="J2513" t="inlineStr">
        <is>
          <t>Ventas Personas (B2C)</t>
        </is>
      </c>
      <c r="K2513" t="inlineStr">
        <is>
          <t>CH2</t>
        </is>
      </c>
    </row>
    <row r="2514">
      <c r="A2514" s="33" t="n">
        <v>45874</v>
      </c>
      <c r="B2514" t="inlineStr">
        <is>
          <t>2025-08</t>
        </is>
      </c>
      <c r="C2514" t="inlineStr">
        <is>
          <t>Sin cliente</t>
        </is>
      </c>
      <c r="D2514" t="inlineStr">
        <is>
          <t>PLATAFORMAS RAP-PEYA-UBER-GOOD</t>
        </is>
      </c>
      <c r="E2514" s="34" t="n">
        <v>28768</v>
      </c>
      <c r="F2514" t="inlineStr">
        <is>
          <t>B</t>
        </is>
      </c>
      <c r="G2514" s="34" t="n">
        <v>4593</v>
      </c>
      <c r="H2514" s="34" t="n">
        <v>24175</v>
      </c>
      <c r="I2514" t="inlineStr">
        <is>
          <t>3.6</t>
        </is>
      </c>
      <c r="J2514" t="inlineStr">
        <is>
          <t>Ventas Delivery Apps</t>
        </is>
      </c>
      <c r="K2514" t="inlineStr">
        <is>
          <t>CH3</t>
        </is>
      </c>
    </row>
    <row r="2515">
      <c r="A2515" s="33" t="n">
        <v>45874</v>
      </c>
      <c r="B2515" t="inlineStr">
        <is>
          <t>2025-08</t>
        </is>
      </c>
      <c r="C2515" t="inlineStr">
        <is>
          <t>Sin cliente</t>
        </is>
      </c>
      <c r="D2515" t="inlineStr">
        <is>
          <t>PLATAFORMAS RAP-PEYA-UBER-GOOD</t>
        </is>
      </c>
      <c r="E2515" s="34" t="n">
        <v>20380</v>
      </c>
      <c r="F2515" t="inlineStr">
        <is>
          <t>B</t>
        </is>
      </c>
      <c r="G2515" s="34" t="n">
        <v>3254</v>
      </c>
      <c r="H2515" s="34" t="n">
        <v>17126</v>
      </c>
      <c r="I2515" t="inlineStr">
        <is>
          <t>3.6</t>
        </is>
      </c>
      <c r="J2515" t="inlineStr">
        <is>
          <t>Ventas Delivery Apps</t>
        </is>
      </c>
      <c r="K2515" t="inlineStr">
        <is>
          <t>CH3</t>
        </is>
      </c>
    </row>
    <row r="2516">
      <c r="A2516" s="33" t="n">
        <v>45874</v>
      </c>
      <c r="B2516" t="inlineStr">
        <is>
          <t>2025-08</t>
        </is>
      </c>
      <c r="C2516" t="inlineStr">
        <is>
          <t>Sofia Mereles</t>
        </is>
      </c>
      <c r="D2516" t="inlineStr">
        <is>
          <t>Petit Tradicional</t>
        </is>
      </c>
      <c r="E2516" s="34" t="n">
        <v>30790</v>
      </c>
      <c r="F2516" t="inlineStr">
        <is>
          <t>B</t>
        </is>
      </c>
      <c r="G2516" s="34" t="n">
        <v>4916</v>
      </c>
      <c r="H2516" s="34" t="n">
        <v>25874</v>
      </c>
      <c r="I2516" t="inlineStr">
        <is>
          <t>3.2</t>
        </is>
      </c>
      <c r="J2516" t="inlineStr">
        <is>
          <t>Ventas Personas (B2C)</t>
        </is>
      </c>
      <c r="K2516" t="inlineStr">
        <is>
          <t>CH2</t>
        </is>
      </c>
    </row>
    <row r="2517">
      <c r="A2517" s="33" t="n">
        <v>45874</v>
      </c>
      <c r="B2517" t="inlineStr">
        <is>
          <t>2025-08</t>
        </is>
      </c>
      <c r="C2517" t="inlineStr">
        <is>
          <t>Javier López Vilos</t>
        </is>
      </c>
      <c r="D2517" t="inlineStr">
        <is>
          <t>Petit Tradicional</t>
        </is>
      </c>
      <c r="E2517" s="34" t="n">
        <v>24789</v>
      </c>
      <c r="F2517" t="inlineStr">
        <is>
          <t>B</t>
        </is>
      </c>
      <c r="G2517" s="34" t="n">
        <v>3958</v>
      </c>
      <c r="H2517" s="34" t="n">
        <v>20831</v>
      </c>
      <c r="I2517" t="inlineStr">
        <is>
          <t>3.2</t>
        </is>
      </c>
      <c r="J2517" t="inlineStr">
        <is>
          <t>Ventas Personas (B2C)</t>
        </is>
      </c>
      <c r="K2517" t="inlineStr">
        <is>
          <t>CH2</t>
        </is>
      </c>
    </row>
    <row r="2518">
      <c r="A2518" s="33" t="n">
        <v>45874</v>
      </c>
      <c r="B2518" t="inlineStr">
        <is>
          <t>2025-08</t>
        </is>
      </c>
      <c r="C2518" t="inlineStr">
        <is>
          <t>Sin cliente</t>
        </is>
      </c>
      <c r="D2518" t="inlineStr">
        <is>
          <t>Petit Crunchy</t>
        </is>
      </c>
      <c r="E2518" s="34" t="n">
        <v>16400</v>
      </c>
      <c r="F2518" t="inlineStr">
        <is>
          <t>B</t>
        </is>
      </c>
      <c r="G2518" s="34" t="n">
        <v>2618</v>
      </c>
      <c r="H2518" s="34" t="n">
        <v>13782</v>
      </c>
      <c r="I2518" t="inlineStr">
        <is>
          <t>3.2</t>
        </is>
      </c>
      <c r="J2518" t="inlineStr">
        <is>
          <t>Ventas Personas (B2C)</t>
        </is>
      </c>
      <c r="K2518" t="inlineStr">
        <is>
          <t>CH2</t>
        </is>
      </c>
    </row>
    <row r="2519">
      <c r="A2519" s="33" t="n">
        <v>45874</v>
      </c>
      <c r="B2519" t="inlineStr">
        <is>
          <t>2025-08</t>
        </is>
      </c>
      <c r="C2519" t="inlineStr">
        <is>
          <t>Ricardo Quintanilla</t>
        </is>
      </c>
      <c r="D2519" t="inlineStr">
        <is>
          <t>Mix Sabores</t>
        </is>
      </c>
      <c r="E2519" s="34" t="n">
        <v>15900</v>
      </c>
      <c r="F2519" t="inlineStr">
        <is>
          <t>B</t>
        </is>
      </c>
      <c r="G2519" s="34" t="n">
        <v>2539</v>
      </c>
      <c r="H2519" s="34" t="n">
        <v>13361</v>
      </c>
      <c r="I2519" t="inlineStr">
        <is>
          <t>3.2</t>
        </is>
      </c>
      <c r="J2519" t="inlineStr">
        <is>
          <t>Ventas Personas (B2C)</t>
        </is>
      </c>
      <c r="K2519" t="inlineStr">
        <is>
          <t>CH2</t>
        </is>
      </c>
    </row>
    <row r="2520">
      <c r="A2520" s="33" t="n">
        <v>45875</v>
      </c>
      <c r="B2520" t="inlineStr">
        <is>
          <t>2025-08</t>
        </is>
      </c>
      <c r="C2520" t="inlineStr">
        <is>
          <t>Cafeteria de especialidad al paso Michael C. Plaza</t>
        </is>
      </c>
      <c r="D2520" t="inlineStr">
        <is>
          <t>HORECA CAFETERIA</t>
        </is>
      </c>
      <c r="E2520" s="34" t="n">
        <v>73189</v>
      </c>
      <c r="F2520" t="inlineStr">
        <is>
          <t>F</t>
        </is>
      </c>
      <c r="G2520" s="34" t="n">
        <v>11686</v>
      </c>
      <c r="H2520" s="34" t="n">
        <v>61503</v>
      </c>
      <c r="I2520" t="inlineStr">
        <is>
          <t>3.1</t>
        </is>
      </c>
      <c r="J2520" t="inlineStr">
        <is>
          <t>Ventas HoReCa</t>
        </is>
      </c>
      <c r="K2520" t="inlineStr">
        <is>
          <t>CH1</t>
        </is>
      </c>
    </row>
    <row r="2521">
      <c r="A2521" s="33" t="n">
        <v>45875</v>
      </c>
      <c r="B2521" t="inlineStr">
        <is>
          <t>2025-08</t>
        </is>
      </c>
      <c r="C2521" t="inlineStr">
        <is>
          <t>B KOFI SPA</t>
        </is>
      </c>
      <c r="D2521" t="inlineStr">
        <is>
          <t>HORECA CAFETERIA</t>
        </is>
      </c>
      <c r="E2521" s="34" t="n">
        <v>119283</v>
      </c>
      <c r="F2521" t="inlineStr">
        <is>
          <t>F</t>
        </is>
      </c>
      <c r="G2521" s="34" t="n">
        <v>19045</v>
      </c>
      <c r="H2521" s="34" t="n">
        <v>100238</v>
      </c>
      <c r="I2521" t="inlineStr">
        <is>
          <t>3.1</t>
        </is>
      </c>
      <c r="J2521" t="inlineStr">
        <is>
          <t>Ventas HoReCa</t>
        </is>
      </c>
      <c r="K2521" t="inlineStr">
        <is>
          <t>CH1</t>
        </is>
      </c>
    </row>
    <row r="2522">
      <c r="A2522" s="33" t="n">
        <v>45875</v>
      </c>
      <c r="B2522" t="inlineStr">
        <is>
          <t>2025-08</t>
        </is>
      </c>
      <c r="C2522" t="inlineStr">
        <is>
          <t>Comercial Aromo LTDA</t>
        </is>
      </c>
      <c r="D2522" t="inlineStr">
        <is>
          <t>HORECA CAFETERIA</t>
        </is>
      </c>
      <c r="E2522" s="34" t="n">
        <v>129405</v>
      </c>
      <c r="F2522" t="inlineStr">
        <is>
          <t>F</t>
        </is>
      </c>
      <c r="G2522" s="34" t="n">
        <v>20661</v>
      </c>
      <c r="H2522" s="34" t="n">
        <v>108744</v>
      </c>
      <c r="I2522" t="inlineStr">
        <is>
          <t>3.1</t>
        </is>
      </c>
      <c r="J2522" t="inlineStr">
        <is>
          <t>Ventas HoReCa</t>
        </is>
      </c>
      <c r="K2522" t="inlineStr">
        <is>
          <t>CH1</t>
        </is>
      </c>
    </row>
    <row r="2523">
      <c r="A2523" s="33" t="n">
        <v>45875</v>
      </c>
      <c r="B2523" t="inlineStr">
        <is>
          <t>2025-08</t>
        </is>
      </c>
      <c r="C2523" t="inlineStr">
        <is>
          <t>BUSTORF LARSEN Y COMPANIA LIMITADA</t>
        </is>
      </c>
      <c r="D2523" t="inlineStr">
        <is>
          <t>HORECA CAFETERIA</t>
        </is>
      </c>
      <c r="E2523" s="34" t="n">
        <v>68179</v>
      </c>
      <c r="F2523" t="inlineStr">
        <is>
          <t>F</t>
        </is>
      </c>
      <c r="G2523" s="34" t="n">
        <v>10886</v>
      </c>
      <c r="H2523" s="34" t="n">
        <v>57293</v>
      </c>
      <c r="I2523" t="inlineStr">
        <is>
          <t>3.1</t>
        </is>
      </c>
      <c r="J2523" t="inlineStr">
        <is>
          <t>Ventas HoReCa</t>
        </is>
      </c>
      <c r="K2523" t="inlineStr">
        <is>
          <t>CH1</t>
        </is>
      </c>
    </row>
    <row r="2524">
      <c r="A2524" s="33" t="n">
        <v>45875</v>
      </c>
      <c r="B2524" t="inlineStr">
        <is>
          <t>2025-08</t>
        </is>
      </c>
      <c r="C2524" t="inlineStr">
        <is>
          <t>BUSTORF LARSEN Y COMPANIA LIMITADA</t>
        </is>
      </c>
      <c r="D2524" t="inlineStr">
        <is>
          <t>HORECA CAFETERIA</t>
        </is>
      </c>
      <c r="E2524" s="34" t="n">
        <v>69178</v>
      </c>
      <c r="F2524" t="inlineStr">
        <is>
          <t>F</t>
        </is>
      </c>
      <c r="G2524" s="34" t="n">
        <v>11045</v>
      </c>
      <c r="H2524" s="34" t="n">
        <v>58133</v>
      </c>
      <c r="I2524" t="inlineStr">
        <is>
          <t>3.1</t>
        </is>
      </c>
      <c r="J2524" t="inlineStr">
        <is>
          <t>Ventas HoReCa</t>
        </is>
      </c>
      <c r="K2524" t="inlineStr">
        <is>
          <t>CH1</t>
        </is>
      </c>
    </row>
    <row r="2525">
      <c r="A2525" s="33" t="n">
        <v>45875</v>
      </c>
      <c r="B2525" t="inlineStr">
        <is>
          <t>2025-08</t>
        </is>
      </c>
      <c r="C2525" t="inlineStr">
        <is>
          <t>BUSTORF LARSEN Y COMPANIA LIMITADA</t>
        </is>
      </c>
      <c r="D2525" t="inlineStr">
        <is>
          <t>HORECA CAFETERIA</t>
        </is>
      </c>
      <c r="E2525" s="34" t="n">
        <v>69178</v>
      </c>
      <c r="F2525" t="inlineStr">
        <is>
          <t>F</t>
        </is>
      </c>
      <c r="G2525" s="34" t="n">
        <v>11045</v>
      </c>
      <c r="H2525" s="34" t="n">
        <v>58133</v>
      </c>
      <c r="I2525" t="inlineStr">
        <is>
          <t>3.1</t>
        </is>
      </c>
      <c r="J2525" t="inlineStr">
        <is>
          <t>Ventas HoReCa</t>
        </is>
      </c>
      <c r="K2525" t="inlineStr">
        <is>
          <t>CH1</t>
        </is>
      </c>
    </row>
    <row r="2526">
      <c r="A2526" s="33" t="n">
        <v>45875</v>
      </c>
      <c r="B2526" t="inlineStr">
        <is>
          <t>2025-08</t>
        </is>
      </c>
      <c r="C2526" t="inlineStr">
        <is>
          <t>BUSTORF LARSEN Y COMPANIA LIMITADA</t>
        </is>
      </c>
      <c r="D2526" t="inlineStr">
        <is>
          <t>HORECA CAFETERIA</t>
        </is>
      </c>
      <c r="E2526" s="34" t="n">
        <v>69178</v>
      </c>
      <c r="F2526" t="inlineStr">
        <is>
          <t>F</t>
        </is>
      </c>
      <c r="G2526" s="34" t="n">
        <v>11045</v>
      </c>
      <c r="H2526" s="34" t="n">
        <v>58133</v>
      </c>
      <c r="I2526" t="inlineStr">
        <is>
          <t>3.1</t>
        </is>
      </c>
      <c r="J2526" t="inlineStr">
        <is>
          <t>Ventas HoReCa</t>
        </is>
      </c>
      <c r="K2526" t="inlineStr">
        <is>
          <t>CH1</t>
        </is>
      </c>
    </row>
    <row r="2527">
      <c r="A2527" s="33" t="n">
        <v>45875</v>
      </c>
      <c r="B2527" t="inlineStr">
        <is>
          <t>2025-08</t>
        </is>
      </c>
      <c r="C2527" t="inlineStr">
        <is>
          <t>Carolina Campo - Martinez</t>
        </is>
      </c>
      <c r="D2527" t="inlineStr">
        <is>
          <t>CANELÉ TRADICIONAL</t>
        </is>
      </c>
      <c r="E2527" s="34" t="n">
        <v>25440</v>
      </c>
      <c r="F2527" t="inlineStr">
        <is>
          <t>B</t>
        </is>
      </c>
      <c r="G2527" s="34" t="n">
        <v>4062</v>
      </c>
      <c r="H2527" s="34" t="n">
        <v>21378</v>
      </c>
      <c r="I2527" t="inlineStr">
        <is>
          <t>3.2</t>
        </is>
      </c>
      <c r="J2527" t="inlineStr">
        <is>
          <t>Ventas Personas (B2C)</t>
        </is>
      </c>
      <c r="K2527" t="inlineStr">
        <is>
          <t>CH2</t>
        </is>
      </c>
    </row>
    <row r="2528">
      <c r="A2528" s="33" t="n">
        <v>45875</v>
      </c>
      <c r="B2528" t="inlineStr">
        <is>
          <t>2025-08</t>
        </is>
      </c>
      <c r="C2528" t="inlineStr">
        <is>
          <t>Café del Parque SpA</t>
        </is>
      </c>
      <c r="D2528" t="inlineStr">
        <is>
          <t>HORECA CAFETERIA</t>
        </is>
      </c>
      <c r="E2528" s="34" t="n">
        <v>75818</v>
      </c>
      <c r="F2528" t="inlineStr">
        <is>
          <t>F</t>
        </is>
      </c>
      <c r="G2528" s="34" t="n">
        <v>12105</v>
      </c>
      <c r="H2528" s="34" t="n">
        <v>63713</v>
      </c>
      <c r="I2528" t="inlineStr">
        <is>
          <t>3.1</t>
        </is>
      </c>
      <c r="J2528" t="inlineStr">
        <is>
          <t>Ventas HoReCa</t>
        </is>
      </c>
      <c r="K2528" t="inlineStr">
        <is>
          <t>CH1</t>
        </is>
      </c>
    </row>
    <row r="2529">
      <c r="A2529" s="33" t="n">
        <v>45875</v>
      </c>
      <c r="B2529" t="inlineStr">
        <is>
          <t>2025-08</t>
        </is>
      </c>
      <c r="C2529" t="inlineStr">
        <is>
          <t>Panduz panaderia y cafeteria SPA</t>
        </is>
      </c>
      <c r="D2529" t="inlineStr">
        <is>
          <t>HORECA CAFETERIA</t>
        </is>
      </c>
      <c r="E2529" s="34" t="n">
        <v>217418</v>
      </c>
      <c r="F2529" t="inlineStr">
        <is>
          <t>F</t>
        </is>
      </c>
      <c r="G2529" s="34" t="n">
        <v>34714</v>
      </c>
      <c r="H2529" s="34" t="n">
        <v>182704</v>
      </c>
      <c r="I2529" t="inlineStr">
        <is>
          <t>3.1</t>
        </is>
      </c>
      <c r="J2529" t="inlineStr">
        <is>
          <t>Ventas HoReCa</t>
        </is>
      </c>
      <c r="K2529" t="inlineStr">
        <is>
          <t>CH1</t>
        </is>
      </c>
    </row>
    <row r="2530">
      <c r="A2530" s="33" t="n">
        <v>45875</v>
      </c>
      <c r="B2530" t="inlineStr">
        <is>
          <t>2025-08</t>
        </is>
      </c>
      <c r="C2530" t="inlineStr">
        <is>
          <t>alejandro orellana</t>
        </is>
      </c>
      <c r="D2530" t="inlineStr">
        <is>
          <t>Petit Crunchy</t>
        </is>
      </c>
      <c r="E2530" s="34" t="n">
        <v>25900</v>
      </c>
      <c r="F2530" t="inlineStr">
        <is>
          <t>B</t>
        </is>
      </c>
      <c r="G2530" s="34" t="n">
        <v>4135</v>
      </c>
      <c r="H2530" s="34" t="n">
        <v>21765</v>
      </c>
      <c r="I2530" t="inlineStr">
        <is>
          <t>3.2</t>
        </is>
      </c>
      <c r="J2530" t="inlineStr">
        <is>
          <t>Ventas Personas (B2C)</t>
        </is>
      </c>
      <c r="K2530" t="inlineStr">
        <is>
          <t>CH2</t>
        </is>
      </c>
    </row>
    <row r="2531">
      <c r="A2531" s="33" t="n">
        <v>45875</v>
      </c>
      <c r="B2531" t="inlineStr">
        <is>
          <t>2025-08</t>
        </is>
      </c>
      <c r="C2531" t="inlineStr">
        <is>
          <t>Josefina Ortigosa</t>
        </is>
      </c>
      <c r="D2531" t="inlineStr">
        <is>
          <t>CANELÉ TRADICIONAL</t>
        </is>
      </c>
      <c r="E2531" s="34" t="n">
        <v>23840</v>
      </c>
      <c r="F2531" t="inlineStr">
        <is>
          <t>B</t>
        </is>
      </c>
      <c r="G2531" s="34" t="n">
        <v>3806</v>
      </c>
      <c r="H2531" s="34" t="n">
        <v>20034</v>
      </c>
      <c r="I2531" t="inlineStr">
        <is>
          <t>3.2</t>
        </is>
      </c>
      <c r="J2531" t="inlineStr">
        <is>
          <t>Ventas Personas (B2C)</t>
        </is>
      </c>
      <c r="K2531" t="inlineStr">
        <is>
          <t>CH2</t>
        </is>
      </c>
    </row>
    <row r="2532">
      <c r="A2532" s="33" t="n">
        <v>45875</v>
      </c>
      <c r="B2532" t="inlineStr">
        <is>
          <t>2025-08</t>
        </is>
      </c>
      <c r="C2532" t="inlineStr">
        <is>
          <t>Cecilia siraqyan</t>
        </is>
      </c>
      <c r="D2532" t="inlineStr">
        <is>
          <t>Petit Tradicional</t>
        </is>
      </c>
      <c r="E2532" s="34" t="n">
        <v>8900</v>
      </c>
      <c r="F2532" t="inlineStr">
        <is>
          <t>B</t>
        </is>
      </c>
      <c r="G2532" s="34" t="n">
        <v>1421</v>
      </c>
      <c r="H2532" s="34" t="n">
        <v>7479</v>
      </c>
      <c r="I2532" t="inlineStr">
        <is>
          <t>3.2</t>
        </is>
      </c>
      <c r="J2532" t="inlineStr">
        <is>
          <t>Ventas Personas (B2C)</t>
        </is>
      </c>
      <c r="K2532" t="inlineStr">
        <is>
          <t>CH2</t>
        </is>
      </c>
    </row>
    <row r="2533">
      <c r="A2533" s="33" t="n">
        <v>45875</v>
      </c>
      <c r="B2533" t="inlineStr">
        <is>
          <t>2025-08</t>
        </is>
      </c>
      <c r="C2533" t="inlineStr">
        <is>
          <t>CAFE DIARIO ENCOMENDEROS SPA</t>
        </is>
      </c>
      <c r="D2533" t="inlineStr">
        <is>
          <t>HORECA CAFETERIA</t>
        </is>
      </c>
      <c r="E2533" s="34" t="n">
        <v>123799</v>
      </c>
      <c r="F2533" t="inlineStr">
        <is>
          <t>F</t>
        </is>
      </c>
      <c r="G2533" s="34" t="n">
        <v>19766</v>
      </c>
      <c r="H2533" s="34" t="n">
        <v>104033</v>
      </c>
      <c r="I2533" t="inlineStr">
        <is>
          <t>3.1</t>
        </is>
      </c>
      <c r="J2533" t="inlineStr">
        <is>
          <t>Ventas HoReCa</t>
        </is>
      </c>
      <c r="K2533" t="inlineStr">
        <is>
          <t>CH1</t>
        </is>
      </c>
    </row>
    <row r="2534">
      <c r="A2534" s="33" t="n">
        <v>45875</v>
      </c>
      <c r="B2534" t="inlineStr">
        <is>
          <t>2025-08</t>
        </is>
      </c>
      <c r="C2534" t="inlineStr">
        <is>
          <t>Marciel Art Café SPA</t>
        </is>
      </c>
      <c r="D2534" t="inlineStr">
        <is>
          <t>HORECA CAFETERIA</t>
        </is>
      </c>
      <c r="E2534" s="34" t="n">
        <v>36084</v>
      </c>
      <c r="F2534" t="inlineStr">
        <is>
          <t>F</t>
        </is>
      </c>
      <c r="G2534" s="34" t="n">
        <v>5761</v>
      </c>
      <c r="H2534" s="34" t="n">
        <v>30323</v>
      </c>
      <c r="I2534" t="inlineStr">
        <is>
          <t>3.1</t>
        </is>
      </c>
      <c r="J2534" t="inlineStr">
        <is>
          <t>Ventas HoReCa</t>
        </is>
      </c>
      <c r="K2534" t="inlineStr">
        <is>
          <t>CH1</t>
        </is>
      </c>
    </row>
    <row r="2535">
      <c r="A2535" s="33" t="n">
        <v>45876</v>
      </c>
      <c r="B2535" t="inlineStr">
        <is>
          <t>2025-08</t>
        </is>
      </c>
      <c r="C2535" t="inlineStr">
        <is>
          <t>CAFÉ UNDER SPA</t>
        </is>
      </c>
      <c r="D2535" t="inlineStr">
        <is>
          <t>HORECA CAFETERIA</t>
        </is>
      </c>
      <c r="E2535" s="34" t="n">
        <v>68179</v>
      </c>
      <c r="F2535" t="inlineStr">
        <is>
          <t>F</t>
        </is>
      </c>
      <c r="G2535" s="34" t="n">
        <v>10886</v>
      </c>
      <c r="H2535" s="34" t="n">
        <v>57293</v>
      </c>
      <c r="I2535" t="inlineStr">
        <is>
          <t>3.1</t>
        </is>
      </c>
      <c r="J2535" t="inlineStr">
        <is>
          <t>Ventas HoReCa</t>
        </is>
      </c>
      <c r="K2535" t="inlineStr">
        <is>
          <t>CH1</t>
        </is>
      </c>
    </row>
    <row r="2536">
      <c r="A2536" s="33" t="n">
        <v>45876</v>
      </c>
      <c r="B2536" t="inlineStr">
        <is>
          <t>2025-08</t>
        </is>
      </c>
      <c r="C2536" t="inlineStr">
        <is>
          <t>BEMVINDO CAFE</t>
        </is>
      </c>
      <c r="D2536" t="inlineStr">
        <is>
          <t>HORECA CAFETERIA</t>
        </is>
      </c>
      <c r="E2536" s="34" t="n">
        <v>38520</v>
      </c>
      <c r="F2536" t="inlineStr">
        <is>
          <t>F</t>
        </is>
      </c>
      <c r="G2536" s="34" t="n">
        <v>6150</v>
      </c>
      <c r="H2536" s="34" t="n">
        <v>32370</v>
      </c>
      <c r="I2536" t="inlineStr">
        <is>
          <t>3.1</t>
        </is>
      </c>
      <c r="J2536" t="inlineStr">
        <is>
          <t>Ventas HoReCa</t>
        </is>
      </c>
      <c r="K2536" t="inlineStr">
        <is>
          <t>CH1</t>
        </is>
      </c>
    </row>
    <row r="2537">
      <c r="A2537" s="33" t="n">
        <v>45876</v>
      </c>
      <c r="B2537" t="inlineStr">
        <is>
          <t>2025-08</t>
        </is>
      </c>
      <c r="C2537" t="inlineStr">
        <is>
          <t>BLUE OAK COFFE SPA</t>
        </is>
      </c>
      <c r="D2537" t="inlineStr">
        <is>
          <t>HORECA CAFETERIA</t>
        </is>
      </c>
      <c r="E2537" s="34" t="n">
        <v>68179</v>
      </c>
      <c r="F2537" t="inlineStr">
        <is>
          <t>F</t>
        </is>
      </c>
      <c r="G2537" s="34" t="n">
        <v>10886</v>
      </c>
      <c r="H2537" s="34" t="n">
        <v>57293</v>
      </c>
      <c r="I2537" t="inlineStr">
        <is>
          <t>3.1</t>
        </is>
      </c>
      <c r="J2537" t="inlineStr">
        <is>
          <t>Ventas HoReCa</t>
        </is>
      </c>
      <c r="K2537" t="inlineStr">
        <is>
          <t>CH1</t>
        </is>
      </c>
    </row>
    <row r="2538">
      <c r="A2538" s="33" t="n">
        <v>45876</v>
      </c>
      <c r="B2538" t="inlineStr">
        <is>
          <t>2025-08</t>
        </is>
      </c>
      <c r="C2538" t="inlineStr">
        <is>
          <t>JOSE VIVANCO</t>
        </is>
      </c>
      <c r="D2538" t="inlineStr">
        <is>
          <t>Petit Crunchy</t>
        </is>
      </c>
      <c r="E2538" s="34" t="n">
        <v>45430</v>
      </c>
      <c r="F2538" t="inlineStr">
        <is>
          <t>B</t>
        </is>
      </c>
      <c r="G2538" s="34" t="n">
        <v>7254</v>
      </c>
      <c r="H2538" s="34" t="n">
        <v>38176</v>
      </c>
      <c r="I2538" t="inlineStr">
        <is>
          <t>3.2</t>
        </is>
      </c>
      <c r="J2538" t="inlineStr">
        <is>
          <t>Ventas Personas (B2C)</t>
        </is>
      </c>
      <c r="K2538" t="inlineStr">
        <is>
          <t>CH2</t>
        </is>
      </c>
    </row>
    <row r="2539">
      <c r="A2539" s="33" t="n">
        <v>45876</v>
      </c>
      <c r="B2539" t="inlineStr">
        <is>
          <t>2025-08</t>
        </is>
      </c>
      <c r="C2539" t="inlineStr">
        <is>
          <t>BLUE OAK COFFE SPA</t>
        </is>
      </c>
      <c r="D2539" t="inlineStr">
        <is>
          <t>HORECA CAFETERIA</t>
        </is>
      </c>
      <c r="E2539" s="34" t="n">
        <v>-68179</v>
      </c>
      <c r="F2539" t="inlineStr">
        <is>
          <t>NC</t>
        </is>
      </c>
      <c r="G2539" s="34" t="n">
        <v>-10886</v>
      </c>
      <c r="H2539" s="34" t="n">
        <v>-57293</v>
      </c>
      <c r="I2539" t="inlineStr">
        <is>
          <t>3.1</t>
        </is>
      </c>
      <c r="J2539" t="inlineStr">
        <is>
          <t>Ventas HoReCa</t>
        </is>
      </c>
      <c r="K2539" t="inlineStr">
        <is>
          <t>CH1</t>
        </is>
      </c>
    </row>
    <row r="2540">
      <c r="A2540" s="33" t="n">
        <v>45876</v>
      </c>
      <c r="B2540" t="inlineStr">
        <is>
          <t>2025-08</t>
        </is>
      </c>
      <c r="C2540" t="inlineStr">
        <is>
          <t>Paola Mazo</t>
        </is>
      </c>
      <c r="D2540" t="inlineStr">
        <is>
          <t>CANELÉ TRADICIONAL</t>
        </is>
      </c>
      <c r="E2540" s="34" t="n">
        <v>21900</v>
      </c>
      <c r="F2540" t="inlineStr">
        <is>
          <t>B</t>
        </is>
      </c>
      <c r="G2540" s="34" t="n">
        <v>3497</v>
      </c>
      <c r="H2540" s="34" t="n">
        <v>18403</v>
      </c>
      <c r="I2540" t="inlineStr">
        <is>
          <t>3.2</t>
        </is>
      </c>
      <c r="J2540" t="inlineStr">
        <is>
          <t>Ventas Personas (B2C)</t>
        </is>
      </c>
      <c r="K2540" t="inlineStr">
        <is>
          <t>CH2</t>
        </is>
      </c>
    </row>
    <row r="2541">
      <c r="A2541" s="33" t="n">
        <v>45876</v>
      </c>
      <c r="B2541" t="inlineStr">
        <is>
          <t>2025-08</t>
        </is>
      </c>
      <c r="C2541" t="inlineStr">
        <is>
          <t>Sin cliente</t>
        </is>
      </c>
      <c r="D2541" t="inlineStr">
        <is>
          <t>PLATAFORMAS RAP-PEYA-UBER-GOOD</t>
        </is>
      </c>
      <c r="E2541" s="34" t="n">
        <v>26280</v>
      </c>
      <c r="F2541" t="inlineStr">
        <is>
          <t>B</t>
        </is>
      </c>
      <c r="G2541" s="34" t="n">
        <v>4196</v>
      </c>
      <c r="H2541" s="34" t="n">
        <v>22084</v>
      </c>
      <c r="I2541" t="inlineStr">
        <is>
          <t>3.6</t>
        </is>
      </c>
      <c r="J2541" t="inlineStr">
        <is>
          <t>Ventas Delivery Apps</t>
        </is>
      </c>
      <c r="K2541" t="inlineStr">
        <is>
          <t>CH3</t>
        </is>
      </c>
    </row>
    <row r="2542">
      <c r="A2542" s="33" t="n">
        <v>45876</v>
      </c>
      <c r="B2542" t="inlineStr">
        <is>
          <t>2025-08</t>
        </is>
      </c>
      <c r="C2542" t="inlineStr">
        <is>
          <t>Sin cliente</t>
        </is>
      </c>
      <c r="D2542" t="inlineStr">
        <is>
          <t>CANELÉ TRADICIONAL</t>
        </is>
      </c>
      <c r="E2542" s="34" t="n">
        <v>14900</v>
      </c>
      <c r="F2542" t="inlineStr">
        <is>
          <t>B</t>
        </is>
      </c>
      <c r="G2542" s="34" t="n">
        <v>2379</v>
      </c>
      <c r="H2542" s="34" t="n">
        <v>12521</v>
      </c>
      <c r="I2542" t="inlineStr">
        <is>
          <t>3.2</t>
        </is>
      </c>
      <c r="J2542" t="inlineStr">
        <is>
          <t>Ventas Personas (B2C)</t>
        </is>
      </c>
      <c r="K2542" t="inlineStr">
        <is>
          <t>CH2</t>
        </is>
      </c>
    </row>
    <row r="2543">
      <c r="A2543" s="33" t="n">
        <v>45876</v>
      </c>
      <c r="B2543" t="inlineStr">
        <is>
          <t>2025-08</t>
        </is>
      </c>
      <c r="C2543" t="inlineStr">
        <is>
          <t>beatriz montoya</t>
        </is>
      </c>
      <c r="D2543" t="inlineStr">
        <is>
          <t>CANELÉ TRADICIONAL</t>
        </is>
      </c>
      <c r="E2543" s="34" t="n">
        <v>21900</v>
      </c>
      <c r="F2543" t="inlineStr">
        <is>
          <t>B</t>
        </is>
      </c>
      <c r="G2543" s="34" t="n">
        <v>3497</v>
      </c>
      <c r="H2543" s="34" t="n">
        <v>18403</v>
      </c>
      <c r="I2543" t="inlineStr">
        <is>
          <t>3.2</t>
        </is>
      </c>
      <c r="J2543" t="inlineStr">
        <is>
          <t>Ventas Personas (B2C)</t>
        </is>
      </c>
      <c r="K2543" t="inlineStr">
        <is>
          <t>CH2</t>
        </is>
      </c>
    </row>
    <row r="2544">
      <c r="A2544" s="33" t="n">
        <v>45876</v>
      </c>
      <c r="B2544" t="inlineStr">
        <is>
          <t>2025-08</t>
        </is>
      </c>
      <c r="C2544" t="inlineStr">
        <is>
          <t>NATALIA JOHANNA SALGADO COFRE</t>
        </is>
      </c>
      <c r="D2544" t="inlineStr">
        <is>
          <t>HORECA CAFETERIA</t>
        </is>
      </c>
      <c r="E2544" s="34" t="n">
        <v>370315</v>
      </c>
      <c r="F2544" t="inlineStr">
        <is>
          <t>F</t>
        </is>
      </c>
      <c r="G2544" s="34" t="n">
        <v>59126</v>
      </c>
      <c r="H2544" s="34" t="n">
        <v>311189</v>
      </c>
      <c r="I2544" t="inlineStr">
        <is>
          <t>3.1</t>
        </is>
      </c>
      <c r="J2544" t="inlineStr">
        <is>
          <t>Ventas HoReCa</t>
        </is>
      </c>
      <c r="K2544" t="inlineStr">
        <is>
          <t>CH1</t>
        </is>
      </c>
    </row>
    <row r="2545">
      <c r="A2545" s="33" t="n">
        <v>45876</v>
      </c>
      <c r="B2545" t="inlineStr">
        <is>
          <t>2025-08</t>
        </is>
      </c>
      <c r="C2545" t="inlineStr">
        <is>
          <t>Sin cliente</t>
        </is>
      </c>
      <c r="D2545" t="inlineStr">
        <is>
          <t>PLATAFORMAS RAP-PEYA-UBER-GOOD</t>
        </is>
      </c>
      <c r="E2545" s="34" t="n">
        <v>25080</v>
      </c>
      <c r="F2545" t="inlineStr">
        <is>
          <t>B</t>
        </is>
      </c>
      <c r="G2545" s="34" t="n">
        <v>4004</v>
      </c>
      <c r="H2545" s="34" t="n">
        <v>21076</v>
      </c>
      <c r="I2545" t="inlineStr">
        <is>
          <t>3.6</t>
        </is>
      </c>
      <c r="J2545" t="inlineStr">
        <is>
          <t>Ventas Delivery Apps</t>
        </is>
      </c>
      <c r="K2545" t="inlineStr">
        <is>
          <t>CH3</t>
        </is>
      </c>
    </row>
    <row r="2546">
      <c r="A2546" s="33" t="n">
        <v>45876</v>
      </c>
      <c r="B2546" t="inlineStr">
        <is>
          <t>2025-08</t>
        </is>
      </c>
      <c r="C2546" t="inlineStr">
        <is>
          <t>Melissa Miranda</t>
        </is>
      </c>
      <c r="D2546" t="inlineStr">
        <is>
          <t>Petit Crunchy</t>
        </is>
      </c>
      <c r="E2546" s="34" t="n">
        <v>16889</v>
      </c>
      <c r="F2546" t="inlineStr">
        <is>
          <t>B</t>
        </is>
      </c>
      <c r="G2546" s="34" t="n">
        <v>2697</v>
      </c>
      <c r="H2546" s="34" t="n">
        <v>14192</v>
      </c>
      <c r="I2546" t="inlineStr">
        <is>
          <t>3.2</t>
        </is>
      </c>
      <c r="J2546" t="inlineStr">
        <is>
          <t>Ventas Personas (B2C)</t>
        </is>
      </c>
      <c r="K2546" t="inlineStr">
        <is>
          <t>CH2</t>
        </is>
      </c>
    </row>
    <row r="2547">
      <c r="A2547" s="33" t="n">
        <v>45876</v>
      </c>
      <c r="B2547" t="inlineStr">
        <is>
          <t>2025-08</t>
        </is>
      </c>
      <c r="C2547" t="inlineStr">
        <is>
          <t>Bernardita Sotomayor</t>
        </is>
      </c>
      <c r="D2547" t="inlineStr">
        <is>
          <t>CANELÉ TRADICIONAL</t>
        </is>
      </c>
      <c r="E2547" s="34" t="n">
        <v>26900</v>
      </c>
      <c r="F2547" t="inlineStr">
        <is>
          <t>B</t>
        </is>
      </c>
      <c r="G2547" s="34" t="n">
        <v>4295</v>
      </c>
      <c r="H2547" s="34" t="n">
        <v>22605</v>
      </c>
      <c r="I2547" t="inlineStr">
        <is>
          <t>3.2</t>
        </is>
      </c>
      <c r="J2547" t="inlineStr">
        <is>
          <t>Ventas Personas (B2C)</t>
        </is>
      </c>
      <c r="K2547" t="inlineStr">
        <is>
          <t>CH2</t>
        </is>
      </c>
    </row>
    <row r="2548">
      <c r="A2548" s="33" t="n">
        <v>45876</v>
      </c>
      <c r="B2548" t="inlineStr">
        <is>
          <t>2025-08</t>
        </is>
      </c>
      <c r="C2548" t="inlineStr">
        <is>
          <t>Maria Salinas leiva</t>
        </is>
      </c>
      <c r="D2548" t="inlineStr">
        <is>
          <t>SALSAS</t>
        </is>
      </c>
      <c r="E2548" s="34" t="n">
        <v>25880</v>
      </c>
      <c r="F2548" t="inlineStr">
        <is>
          <t>B</t>
        </is>
      </c>
      <c r="G2548" s="34" t="n">
        <v>4132</v>
      </c>
      <c r="H2548" s="34" t="n">
        <v>21748</v>
      </c>
      <c r="I2548" t="inlineStr">
        <is>
          <t>3.2</t>
        </is>
      </c>
      <c r="J2548" t="inlineStr">
        <is>
          <t>Ventas Personas (B2C)</t>
        </is>
      </c>
      <c r="K2548" t="inlineStr">
        <is>
          <t>CH2</t>
        </is>
      </c>
    </row>
    <row r="2549">
      <c r="A2549" s="33" t="n">
        <v>45877</v>
      </c>
      <c r="B2549" t="inlineStr">
        <is>
          <t>2025-08</t>
        </is>
      </c>
      <c r="C2549" t="inlineStr">
        <is>
          <t>GOOD LIFE SPA</t>
        </is>
      </c>
      <c r="D2549" t="inlineStr">
        <is>
          <t>HORECA CAFETERIA</t>
        </is>
      </c>
      <c r="E2549" s="34" t="n">
        <v>163681</v>
      </c>
      <c r="F2549" t="inlineStr">
        <is>
          <t>F</t>
        </is>
      </c>
      <c r="G2549" s="34" t="n">
        <v>26134</v>
      </c>
      <c r="H2549" s="34" t="n">
        <v>137547</v>
      </c>
      <c r="I2549" t="inlineStr">
        <is>
          <t>3.1</t>
        </is>
      </c>
      <c r="J2549" t="inlineStr">
        <is>
          <t>Ventas HoReCa</t>
        </is>
      </c>
      <c r="K2549" t="inlineStr">
        <is>
          <t>CH1</t>
        </is>
      </c>
    </row>
    <row r="2550">
      <c r="A2550" s="33" t="n">
        <v>45877</v>
      </c>
      <c r="B2550" t="inlineStr">
        <is>
          <t>2025-08</t>
        </is>
      </c>
      <c r="C2550" t="inlineStr">
        <is>
          <t>POMPON SPA</t>
        </is>
      </c>
      <c r="D2550" t="inlineStr">
        <is>
          <t>HORECA CAFETERIA</t>
        </is>
      </c>
      <c r="E2550" s="34" t="n">
        <v>142506</v>
      </c>
      <c r="F2550" t="inlineStr">
        <is>
          <t>F</t>
        </is>
      </c>
      <c r="G2550" s="34" t="n">
        <v>22753</v>
      </c>
      <c r="H2550" s="34" t="n">
        <v>119753</v>
      </c>
      <c r="I2550" t="inlineStr">
        <is>
          <t>3.1</t>
        </is>
      </c>
      <c r="J2550" t="inlineStr">
        <is>
          <t>Ventas HoReCa</t>
        </is>
      </c>
      <c r="K2550" t="inlineStr">
        <is>
          <t>CH1</t>
        </is>
      </c>
    </row>
    <row r="2551">
      <c r="A2551" s="33" t="n">
        <v>45877</v>
      </c>
      <c r="B2551" t="inlineStr">
        <is>
          <t>2025-08</t>
        </is>
      </c>
      <c r="C2551" t="inlineStr">
        <is>
          <t>Better Food Spa</t>
        </is>
      </c>
      <c r="D2551" t="inlineStr">
        <is>
          <t>HORECA CAFETERIA</t>
        </is>
      </c>
      <c r="E2551" s="34" t="n">
        <v>353037</v>
      </c>
      <c r="F2551" t="inlineStr">
        <is>
          <t>F</t>
        </is>
      </c>
      <c r="G2551" s="34" t="n">
        <v>56367</v>
      </c>
      <c r="H2551" s="34" t="n">
        <v>296670</v>
      </c>
      <c r="I2551" t="inlineStr">
        <is>
          <t>3.1</t>
        </is>
      </c>
      <c r="J2551" t="inlineStr">
        <is>
          <t>Ventas HoReCa</t>
        </is>
      </c>
      <c r="K2551" t="inlineStr">
        <is>
          <t>CH1</t>
        </is>
      </c>
    </row>
    <row r="2552">
      <c r="A2552" s="33" t="n">
        <v>45877</v>
      </c>
      <c r="B2552" t="inlineStr">
        <is>
          <t>2025-08</t>
        </is>
      </c>
      <c r="C2552" t="inlineStr">
        <is>
          <t>María paz Vergara</t>
        </is>
      </c>
      <c r="D2552" t="inlineStr">
        <is>
          <t>CANELÉ TRADICIONAL</t>
        </is>
      </c>
      <c r="E2552" s="34" t="n">
        <v>21100</v>
      </c>
      <c r="F2552" t="inlineStr">
        <is>
          <t>B</t>
        </is>
      </c>
      <c r="G2552" s="34" t="n">
        <v>3369</v>
      </c>
      <c r="H2552" s="34" t="n">
        <v>17731</v>
      </c>
      <c r="I2552" t="inlineStr">
        <is>
          <t>3.2</t>
        </is>
      </c>
      <c r="J2552" t="inlineStr">
        <is>
          <t>Ventas Personas (B2C)</t>
        </is>
      </c>
      <c r="K2552" t="inlineStr">
        <is>
          <t>CH2</t>
        </is>
      </c>
    </row>
    <row r="2553">
      <c r="A2553" s="33" t="n">
        <v>45877</v>
      </c>
      <c r="B2553" t="inlineStr">
        <is>
          <t>2025-08</t>
        </is>
      </c>
      <c r="C2553" t="inlineStr">
        <is>
          <t>VILAS BANQUETERIAS SPA</t>
        </is>
      </c>
      <c r="D2553" t="inlineStr">
        <is>
          <t>HORECA CATERING</t>
        </is>
      </c>
      <c r="E2553" s="34" t="n">
        <v>145362</v>
      </c>
      <c r="F2553" t="inlineStr">
        <is>
          <t>F</t>
        </is>
      </c>
      <c r="G2553" s="34" t="n">
        <v>23209</v>
      </c>
      <c r="H2553" s="34" t="n">
        <v>122153</v>
      </c>
      <c r="I2553" t="inlineStr">
        <is>
          <t>3.1</t>
        </is>
      </c>
      <c r="J2553" t="inlineStr">
        <is>
          <t>Ventas HoReCa</t>
        </is>
      </c>
      <c r="K2553" t="inlineStr">
        <is>
          <t>CH1</t>
        </is>
      </c>
    </row>
    <row r="2554">
      <c r="A2554" s="33" t="n">
        <v>45877</v>
      </c>
      <c r="B2554" t="inlineStr">
        <is>
          <t>2025-08</t>
        </is>
      </c>
      <c r="C2554" t="inlineStr">
        <is>
          <t>Karin Perez</t>
        </is>
      </c>
      <c r="D2554" t="inlineStr">
        <is>
          <t>Petit Crunchy</t>
        </is>
      </c>
      <c r="E2554" s="34" t="n">
        <v>13900</v>
      </c>
      <c r="F2554" t="inlineStr">
        <is>
          <t>B</t>
        </is>
      </c>
      <c r="G2554" s="34" t="n">
        <v>2219</v>
      </c>
      <c r="H2554" s="34" t="n">
        <v>11681</v>
      </c>
      <c r="I2554" t="inlineStr">
        <is>
          <t>3.2</t>
        </is>
      </c>
      <c r="J2554" t="inlineStr">
        <is>
          <t>Ventas Personas (B2C)</t>
        </is>
      </c>
      <c r="K2554" t="inlineStr">
        <is>
          <t>CH2</t>
        </is>
      </c>
    </row>
    <row r="2555">
      <c r="A2555" s="33" t="n">
        <v>45877</v>
      </c>
      <c r="B2555" t="inlineStr">
        <is>
          <t>2025-08</t>
        </is>
      </c>
      <c r="C2555" t="inlineStr">
        <is>
          <t>Daniel Ogalde</t>
        </is>
      </c>
      <c r="D2555" t="inlineStr">
        <is>
          <t>Petit Crunchy</t>
        </is>
      </c>
      <c r="E2555" s="34" t="n">
        <v>13900</v>
      </c>
      <c r="F2555" t="inlineStr">
        <is>
          <t>B</t>
        </is>
      </c>
      <c r="G2555" s="34" t="n">
        <v>2219</v>
      </c>
      <c r="H2555" s="34" t="n">
        <v>11681</v>
      </c>
      <c r="I2555" t="inlineStr">
        <is>
          <t>3.2</t>
        </is>
      </c>
      <c r="J2555" t="inlineStr">
        <is>
          <t>Ventas Personas (B2C)</t>
        </is>
      </c>
      <c r="K2555" t="inlineStr">
        <is>
          <t>CH2</t>
        </is>
      </c>
    </row>
    <row r="2556">
      <c r="A2556" s="33" t="n">
        <v>45877</v>
      </c>
      <c r="B2556" t="inlineStr">
        <is>
          <t>2025-08</t>
        </is>
      </c>
      <c r="C2556" t="inlineStr">
        <is>
          <t>CAFETERÍAS MISTER SPA</t>
        </is>
      </c>
      <c r="D2556" t="inlineStr">
        <is>
          <t>HORECA CAFETERIA</t>
        </is>
      </c>
      <c r="E2556" s="34" t="n">
        <v>36084</v>
      </c>
      <c r="F2556" t="inlineStr">
        <is>
          <t>F</t>
        </is>
      </c>
      <c r="G2556" s="34" t="n">
        <v>5761</v>
      </c>
      <c r="H2556" s="34" t="n">
        <v>30323</v>
      </c>
      <c r="I2556" t="inlineStr">
        <is>
          <t>3.1</t>
        </is>
      </c>
      <c r="J2556" t="inlineStr">
        <is>
          <t>Ventas HoReCa</t>
        </is>
      </c>
      <c r="K2556" t="inlineStr">
        <is>
          <t>CH1</t>
        </is>
      </c>
    </row>
    <row r="2557">
      <c r="A2557" s="33" t="n">
        <v>45877</v>
      </c>
      <c r="B2557" t="inlineStr">
        <is>
          <t>2025-08</t>
        </is>
      </c>
      <c r="C2557" t="inlineStr">
        <is>
          <t>CAFETERÍAS MISTER SPA</t>
        </is>
      </c>
      <c r="D2557" t="inlineStr">
        <is>
          <t>HORECA CAFETERIA</t>
        </is>
      </c>
      <c r="E2557" s="34" t="n">
        <v>68179</v>
      </c>
      <c r="F2557" t="inlineStr">
        <is>
          <t>F</t>
        </is>
      </c>
      <c r="G2557" s="34" t="n">
        <v>10886</v>
      </c>
      <c r="H2557" s="34" t="n">
        <v>57293</v>
      </c>
      <c r="I2557" t="inlineStr">
        <is>
          <t>3.1</t>
        </is>
      </c>
      <c r="J2557" t="inlineStr">
        <is>
          <t>Ventas HoReCa</t>
        </is>
      </c>
      <c r="K2557" t="inlineStr">
        <is>
          <t>CH1</t>
        </is>
      </c>
    </row>
    <row r="2558">
      <c r="A2558" s="33" t="n">
        <v>45877</v>
      </c>
      <c r="B2558" t="inlineStr">
        <is>
          <t>2025-08</t>
        </is>
      </c>
      <c r="C2558" t="inlineStr">
        <is>
          <t>Isabel León Soto</t>
        </is>
      </c>
      <c r="D2558" t="inlineStr">
        <is>
          <t>Rellenos</t>
        </is>
      </c>
      <c r="E2558" s="34" t="n">
        <v>59800</v>
      </c>
      <c r="F2558" t="inlineStr">
        <is>
          <t>B</t>
        </is>
      </c>
      <c r="G2558" s="34" t="n">
        <v>9548</v>
      </c>
      <c r="H2558" s="34" t="n">
        <v>50252</v>
      </c>
      <c r="I2558" t="inlineStr">
        <is>
          <t>3.2</t>
        </is>
      </c>
      <c r="J2558" t="inlineStr">
        <is>
          <t>Ventas Personas (B2C)</t>
        </is>
      </c>
      <c r="K2558" t="inlineStr">
        <is>
          <t>CH2</t>
        </is>
      </c>
    </row>
    <row r="2559">
      <c r="A2559" s="33" t="n">
        <v>45877</v>
      </c>
      <c r="B2559" t="inlineStr">
        <is>
          <t>2025-08</t>
        </is>
      </c>
      <c r="C2559" t="inlineStr">
        <is>
          <t>Sin cliente</t>
        </is>
      </c>
      <c r="D2559" t="inlineStr">
        <is>
          <t>CANELÉ TRADICIONAL</t>
        </is>
      </c>
      <c r="E2559" s="34" t="n">
        <v>5000</v>
      </c>
      <c r="F2559" t="inlineStr">
        <is>
          <t>B</t>
        </is>
      </c>
      <c r="G2559" s="34" t="n">
        <v>798</v>
      </c>
      <c r="H2559" s="34" t="n">
        <v>4202</v>
      </c>
      <c r="I2559" t="inlineStr">
        <is>
          <t>3.2</t>
        </is>
      </c>
      <c r="J2559" t="inlineStr">
        <is>
          <t>Ventas Personas (B2C)</t>
        </is>
      </c>
      <c r="K2559" t="inlineStr">
        <is>
          <t>CH2</t>
        </is>
      </c>
    </row>
    <row r="2560">
      <c r="A2560" s="33" t="n">
        <v>45877</v>
      </c>
      <c r="B2560" t="inlineStr">
        <is>
          <t>2025-08</t>
        </is>
      </c>
      <c r="C2560" t="inlineStr">
        <is>
          <t>Sin cliente</t>
        </is>
      </c>
      <c r="D2560" t="inlineStr">
        <is>
          <t>Mix Sabores</t>
        </is>
      </c>
      <c r="E2560" s="34" t="n">
        <v>22800</v>
      </c>
      <c r="F2560" t="inlineStr">
        <is>
          <t>B</t>
        </is>
      </c>
      <c r="G2560" s="34" t="n">
        <v>3640</v>
      </c>
      <c r="H2560" s="34" t="n">
        <v>19160</v>
      </c>
      <c r="I2560" t="inlineStr">
        <is>
          <t>3.2</t>
        </is>
      </c>
      <c r="J2560" t="inlineStr">
        <is>
          <t>Ventas Personas (B2C)</t>
        </is>
      </c>
      <c r="K2560" t="inlineStr">
        <is>
          <t>CH2</t>
        </is>
      </c>
    </row>
    <row r="2561">
      <c r="A2561" s="33" t="n">
        <v>45877</v>
      </c>
      <c r="B2561" t="inlineStr">
        <is>
          <t>2025-08</t>
        </is>
      </c>
      <c r="C2561" t="inlineStr">
        <is>
          <t>Stefania  Botto</t>
        </is>
      </c>
      <c r="D2561" t="inlineStr">
        <is>
          <t>CANELÉ TRADICIONAL</t>
        </is>
      </c>
      <c r="E2561" s="34" t="n">
        <v>5000</v>
      </c>
      <c r="F2561" t="inlineStr">
        <is>
          <t>B</t>
        </is>
      </c>
      <c r="G2561" s="34" t="n">
        <v>798</v>
      </c>
      <c r="H2561" s="34" t="n">
        <v>4202</v>
      </c>
      <c r="I2561" t="inlineStr">
        <is>
          <t>3.2</t>
        </is>
      </c>
      <c r="J2561" t="inlineStr">
        <is>
          <t>Ventas Personas (B2C)</t>
        </is>
      </c>
      <c r="K2561" t="inlineStr">
        <is>
          <t>CH2</t>
        </is>
      </c>
    </row>
    <row r="2562">
      <c r="A2562" s="33" t="n">
        <v>45877</v>
      </c>
      <c r="B2562" t="inlineStr">
        <is>
          <t>2025-08</t>
        </is>
      </c>
      <c r="C2562" t="inlineStr">
        <is>
          <t>Sin cliente</t>
        </is>
      </c>
      <c r="D2562" t="inlineStr">
        <is>
          <t>PLATAFORMAS RAP-PEYA-UBER-GOOD</t>
        </is>
      </c>
      <c r="E2562" s="34" t="n">
        <v>37080</v>
      </c>
      <c r="F2562" t="inlineStr">
        <is>
          <t>B</t>
        </is>
      </c>
      <c r="G2562" s="34" t="n">
        <v>5920</v>
      </c>
      <c r="H2562" s="34" t="n">
        <v>31160</v>
      </c>
      <c r="I2562" t="inlineStr">
        <is>
          <t>3.6</t>
        </is>
      </c>
      <c r="J2562" t="inlineStr">
        <is>
          <t>Ventas Delivery Apps</t>
        </is>
      </c>
      <c r="K2562" t="inlineStr">
        <is>
          <t>CH3</t>
        </is>
      </c>
    </row>
    <row r="2563">
      <c r="A2563" s="33" t="n">
        <v>45877</v>
      </c>
      <c r="B2563" t="inlineStr">
        <is>
          <t>2025-08</t>
        </is>
      </c>
      <c r="C2563" t="inlineStr">
        <is>
          <t>Ines Mendez  González</t>
        </is>
      </c>
      <c r="D2563" t="inlineStr">
        <is>
          <t>Petit Tradicional</t>
        </is>
      </c>
      <c r="E2563" s="34" t="n">
        <v>23879</v>
      </c>
      <c r="F2563" t="inlineStr">
        <is>
          <t>B</t>
        </is>
      </c>
      <c r="G2563" s="34" t="n">
        <v>3813</v>
      </c>
      <c r="H2563" s="34" t="n">
        <v>20066</v>
      </c>
      <c r="I2563" t="inlineStr">
        <is>
          <t>3.2</t>
        </is>
      </c>
      <c r="J2563" t="inlineStr">
        <is>
          <t>Ventas Personas (B2C)</t>
        </is>
      </c>
      <c r="K2563" t="inlineStr">
        <is>
          <t>CH2</t>
        </is>
      </c>
    </row>
    <row r="2564">
      <c r="A2564" s="33" t="n">
        <v>45877</v>
      </c>
      <c r="B2564" t="inlineStr">
        <is>
          <t>2025-08</t>
        </is>
      </c>
      <c r="C2564" t="inlineStr">
        <is>
          <t>Diego Carrasco</t>
        </is>
      </c>
      <c r="D2564" t="inlineStr">
        <is>
          <t>CANELÉ TRADICIONAL</t>
        </is>
      </c>
      <c r="E2564" s="34" t="n">
        <v>39700</v>
      </c>
      <c r="F2564" t="inlineStr">
        <is>
          <t>B</t>
        </is>
      </c>
      <c r="G2564" s="34" t="n">
        <v>6339</v>
      </c>
      <c r="H2564" s="34" t="n">
        <v>33361</v>
      </c>
      <c r="I2564" t="inlineStr">
        <is>
          <t>3.2</t>
        </is>
      </c>
      <c r="J2564" t="inlineStr">
        <is>
          <t>Ventas Personas (B2C)</t>
        </is>
      </c>
      <c r="K2564" t="inlineStr">
        <is>
          <t>CH2</t>
        </is>
      </c>
    </row>
    <row r="2565">
      <c r="A2565" s="33" t="n">
        <v>45878</v>
      </c>
      <c r="B2565" t="inlineStr">
        <is>
          <t>2025-08</t>
        </is>
      </c>
      <c r="C2565" t="inlineStr">
        <is>
          <t>Pamela Aguilera</t>
        </is>
      </c>
      <c r="D2565" t="inlineStr">
        <is>
          <t>Petit Crunchy</t>
        </is>
      </c>
      <c r="E2565" s="34" t="n">
        <v>17889</v>
      </c>
      <c r="F2565" t="inlineStr">
        <is>
          <t>B</t>
        </is>
      </c>
      <c r="G2565" s="34" t="n">
        <v>2856</v>
      </c>
      <c r="H2565" s="34" t="n">
        <v>15033</v>
      </c>
      <c r="I2565" t="inlineStr">
        <is>
          <t>3.2</t>
        </is>
      </c>
      <c r="J2565" t="inlineStr">
        <is>
          <t>Ventas Personas (B2C)</t>
        </is>
      </c>
      <c r="K2565" t="inlineStr">
        <is>
          <t>CH2</t>
        </is>
      </c>
    </row>
    <row r="2566">
      <c r="A2566" s="33" t="n">
        <v>45878</v>
      </c>
      <c r="B2566" t="inlineStr">
        <is>
          <t>2025-08</t>
        </is>
      </c>
      <c r="C2566" t="inlineStr">
        <is>
          <t>Ines Mendez  González</t>
        </is>
      </c>
      <c r="D2566" t="inlineStr">
        <is>
          <t>CANELÉ TRADICIONAL</t>
        </is>
      </c>
      <c r="E2566" s="34" t="n">
        <v>46779</v>
      </c>
      <c r="F2566" t="inlineStr">
        <is>
          <t>B</t>
        </is>
      </c>
      <c r="G2566" s="34" t="n">
        <v>7469</v>
      </c>
      <c r="H2566" s="34" t="n">
        <v>39310</v>
      </c>
      <c r="I2566" t="inlineStr">
        <is>
          <t>3.2</t>
        </is>
      </c>
      <c r="J2566" t="inlineStr">
        <is>
          <t>Ventas Personas (B2C)</t>
        </is>
      </c>
      <c r="K2566" t="inlineStr">
        <is>
          <t>CH2</t>
        </is>
      </c>
    </row>
    <row r="2567">
      <c r="A2567" s="33" t="n">
        <v>45878</v>
      </c>
      <c r="B2567" t="inlineStr">
        <is>
          <t>2025-08</t>
        </is>
      </c>
      <c r="C2567" t="inlineStr">
        <is>
          <t>Maria Jose Bruna Alvarez</t>
        </is>
      </c>
      <c r="D2567" t="inlineStr">
        <is>
          <t>SALSAS</t>
        </is>
      </c>
      <c r="E2567" s="34" t="n">
        <v>33790</v>
      </c>
      <c r="F2567" t="inlineStr">
        <is>
          <t>B</t>
        </is>
      </c>
      <c r="G2567" s="34" t="n">
        <v>5395</v>
      </c>
      <c r="H2567" s="34" t="n">
        <v>28395</v>
      </c>
      <c r="I2567" t="inlineStr">
        <is>
          <t>3.2</t>
        </is>
      </c>
      <c r="J2567" t="inlineStr">
        <is>
          <t>Ventas Personas (B2C)</t>
        </is>
      </c>
      <c r="K2567" t="inlineStr">
        <is>
          <t>CH2</t>
        </is>
      </c>
    </row>
    <row r="2568">
      <c r="A2568" s="33" t="n">
        <v>45878</v>
      </c>
      <c r="B2568" t="inlineStr">
        <is>
          <t>2025-08</t>
        </is>
      </c>
      <c r="C2568" t="inlineStr">
        <is>
          <t>Victor Badillo</t>
        </is>
      </c>
      <c r="D2568" t="inlineStr">
        <is>
          <t>Rellenos</t>
        </is>
      </c>
      <c r="E2568" s="34" t="n">
        <v>26889</v>
      </c>
      <c r="F2568" t="inlineStr">
        <is>
          <t>B</t>
        </is>
      </c>
      <c r="G2568" s="34" t="n">
        <v>4293</v>
      </c>
      <c r="H2568" s="34" t="n">
        <v>22596</v>
      </c>
      <c r="I2568" t="inlineStr">
        <is>
          <t>3.2</t>
        </is>
      </c>
      <c r="J2568" t="inlineStr">
        <is>
          <t>Ventas Personas (B2C)</t>
        </is>
      </c>
      <c r="K2568" t="inlineStr">
        <is>
          <t>CH2</t>
        </is>
      </c>
    </row>
    <row r="2569">
      <c r="A2569" s="33" t="n">
        <v>45878</v>
      </c>
      <c r="B2569" t="inlineStr">
        <is>
          <t>2025-08</t>
        </is>
      </c>
      <c r="C2569" t="inlineStr">
        <is>
          <t>MARIELA  AHUMADA</t>
        </is>
      </c>
      <c r="D2569" t="inlineStr">
        <is>
          <t>CANELÉ TRADICIONAL</t>
        </is>
      </c>
      <c r="E2569" s="34" t="n">
        <v>21900</v>
      </c>
      <c r="F2569" t="inlineStr">
        <is>
          <t>B</t>
        </is>
      </c>
      <c r="G2569" s="34" t="n">
        <v>3497</v>
      </c>
      <c r="H2569" s="34" t="n">
        <v>18403</v>
      </c>
      <c r="I2569" t="inlineStr">
        <is>
          <t>3.2</t>
        </is>
      </c>
      <c r="J2569" t="inlineStr">
        <is>
          <t>Ventas Personas (B2C)</t>
        </is>
      </c>
      <c r="K2569" t="inlineStr">
        <is>
          <t>CH2</t>
        </is>
      </c>
    </row>
    <row r="2570">
      <c r="A2570" s="33" t="n">
        <v>45878</v>
      </c>
      <c r="B2570" t="inlineStr">
        <is>
          <t>2025-08</t>
        </is>
      </c>
      <c r="C2570" t="inlineStr">
        <is>
          <t>Sin cliente</t>
        </is>
      </c>
      <c r="D2570" t="inlineStr">
        <is>
          <t>PLATAFORMAS RAP-PEYA-UBER-GOOD</t>
        </is>
      </c>
      <c r="E2570" s="34" t="n">
        <v>15480</v>
      </c>
      <c r="F2570" t="inlineStr">
        <is>
          <t>B</t>
        </is>
      </c>
      <c r="G2570" s="34" t="n">
        <v>2472</v>
      </c>
      <c r="H2570" s="34" t="n">
        <v>13008</v>
      </c>
      <c r="I2570" t="inlineStr">
        <is>
          <t>3.6</t>
        </is>
      </c>
      <c r="J2570" t="inlineStr">
        <is>
          <t>Ventas Delivery Apps</t>
        </is>
      </c>
      <c r="K2570" t="inlineStr">
        <is>
          <t>CH3</t>
        </is>
      </c>
    </row>
    <row r="2571">
      <c r="A2571" s="33" t="n">
        <v>45878</v>
      </c>
      <c r="B2571" t="inlineStr">
        <is>
          <t>2025-08</t>
        </is>
      </c>
      <c r="C2571" t="inlineStr">
        <is>
          <t>Andrés Fuenzalida Soler</t>
        </is>
      </c>
      <c r="D2571" t="inlineStr">
        <is>
          <t>Rellenos</t>
        </is>
      </c>
      <c r="E2571" s="34" t="n">
        <v>32889</v>
      </c>
      <c r="F2571" t="inlineStr">
        <is>
          <t>B</t>
        </is>
      </c>
      <c r="G2571" s="34" t="n">
        <v>5251</v>
      </c>
      <c r="H2571" s="34" t="n">
        <v>27638</v>
      </c>
      <c r="I2571" t="inlineStr">
        <is>
          <t>3.2</t>
        </is>
      </c>
      <c r="J2571" t="inlineStr">
        <is>
          <t>Ventas Personas (B2C)</t>
        </is>
      </c>
      <c r="K2571" t="inlineStr">
        <is>
          <t>CH2</t>
        </is>
      </c>
    </row>
    <row r="2572">
      <c r="A2572" s="33" t="n">
        <v>45878</v>
      </c>
      <c r="B2572" t="inlineStr">
        <is>
          <t>2025-08</t>
        </is>
      </c>
      <c r="C2572" t="inlineStr">
        <is>
          <t>Pablo Andres Guarnaccia</t>
        </is>
      </c>
      <c r="D2572" t="inlineStr">
        <is>
          <t>CANELÉ TRADICIONAL</t>
        </is>
      </c>
      <c r="E2572" s="34" t="n">
        <v>17889</v>
      </c>
      <c r="F2572" t="inlineStr">
        <is>
          <t>B</t>
        </is>
      </c>
      <c r="G2572" s="34" t="n">
        <v>2856</v>
      </c>
      <c r="H2572" s="34" t="n">
        <v>15033</v>
      </c>
      <c r="I2572" t="inlineStr">
        <is>
          <t>3.2</t>
        </is>
      </c>
      <c r="J2572" t="inlineStr">
        <is>
          <t>Ventas Personas (B2C)</t>
        </is>
      </c>
      <c r="K2572" t="inlineStr">
        <is>
          <t>CH2</t>
        </is>
      </c>
    </row>
    <row r="2573">
      <c r="A2573" s="33" t="n">
        <v>45878</v>
      </c>
      <c r="B2573" t="inlineStr">
        <is>
          <t>2025-08</t>
        </is>
      </c>
      <c r="C2573" t="inlineStr">
        <is>
          <t>Sin cliente</t>
        </is>
      </c>
      <c r="D2573" t="inlineStr">
        <is>
          <t>Petit Tradicional</t>
        </is>
      </c>
      <c r="E2573" s="34" t="n">
        <v>20900</v>
      </c>
      <c r="F2573" t="inlineStr">
        <is>
          <t>B</t>
        </is>
      </c>
      <c r="G2573" s="34" t="n">
        <v>3337</v>
      </c>
      <c r="H2573" s="34" t="n">
        <v>17563</v>
      </c>
      <c r="I2573" t="inlineStr">
        <is>
          <t>3.2</t>
        </is>
      </c>
      <c r="J2573" t="inlineStr">
        <is>
          <t>Ventas Personas (B2C)</t>
        </is>
      </c>
      <c r="K2573" t="inlineStr">
        <is>
          <t>CH2</t>
        </is>
      </c>
    </row>
    <row r="2574">
      <c r="A2574" s="33" t="n">
        <v>45878</v>
      </c>
      <c r="B2574" t="inlineStr">
        <is>
          <t>2025-08</t>
        </is>
      </c>
      <c r="C2574" t="inlineStr">
        <is>
          <t>Sin cliente</t>
        </is>
      </c>
      <c r="D2574" t="inlineStr">
        <is>
          <t>CANELÉ TRADICIONAL</t>
        </is>
      </c>
      <c r="E2574" s="34" t="n">
        <v>43800</v>
      </c>
      <c r="F2574" t="inlineStr">
        <is>
          <t>B</t>
        </is>
      </c>
      <c r="G2574" s="34" t="n">
        <v>6993</v>
      </c>
      <c r="H2574" s="34" t="n">
        <v>36807</v>
      </c>
      <c r="I2574" t="inlineStr">
        <is>
          <t>3.2</t>
        </is>
      </c>
      <c r="J2574" t="inlineStr">
        <is>
          <t>Ventas Personas (B2C)</t>
        </is>
      </c>
      <c r="K2574" t="inlineStr">
        <is>
          <t>CH2</t>
        </is>
      </c>
    </row>
    <row r="2575">
      <c r="A2575" s="33" t="n">
        <v>45878</v>
      </c>
      <c r="B2575" t="inlineStr">
        <is>
          <t>2025-08</t>
        </is>
      </c>
      <c r="C2575" t="inlineStr">
        <is>
          <t>Eduardo Benedetto</t>
        </is>
      </c>
      <c r="D2575" t="inlineStr">
        <is>
          <t>Mix Sabores</t>
        </is>
      </c>
      <c r="E2575" s="34" t="n">
        <v>59689</v>
      </c>
      <c r="F2575" t="inlineStr">
        <is>
          <t>B</t>
        </is>
      </c>
      <c r="G2575" s="34" t="n">
        <v>9530</v>
      </c>
      <c r="H2575" s="34" t="n">
        <v>50159</v>
      </c>
      <c r="I2575" t="inlineStr">
        <is>
          <t>3.2</t>
        </is>
      </c>
      <c r="J2575" t="inlineStr">
        <is>
          <t>Ventas Personas (B2C)</t>
        </is>
      </c>
      <c r="K2575" t="inlineStr">
        <is>
          <t>CH2</t>
        </is>
      </c>
    </row>
    <row r="2576">
      <c r="A2576" s="33" t="n">
        <v>45878</v>
      </c>
      <c r="B2576" t="inlineStr">
        <is>
          <t>2025-08</t>
        </is>
      </c>
      <c r="C2576" t="inlineStr">
        <is>
          <t>VJERA  SOFIA TRIANTAFILO VLADILO</t>
        </is>
      </c>
      <c r="D2576" t="inlineStr">
        <is>
          <t>CANELÉ TRADICIONAL</t>
        </is>
      </c>
      <c r="E2576" s="34" t="n">
        <v>26189</v>
      </c>
      <c r="F2576" t="inlineStr">
        <is>
          <t>B</t>
        </is>
      </c>
      <c r="G2576" s="34" t="n">
        <v>4181</v>
      </c>
      <c r="H2576" s="34" t="n">
        <v>22008</v>
      </c>
      <c r="I2576" t="inlineStr">
        <is>
          <t>3.2</t>
        </is>
      </c>
      <c r="J2576" t="inlineStr">
        <is>
          <t>Ventas Personas (B2C)</t>
        </is>
      </c>
      <c r="K2576" t="inlineStr">
        <is>
          <t>CH2</t>
        </is>
      </c>
    </row>
    <row r="2577">
      <c r="A2577" s="33" t="n">
        <v>45878</v>
      </c>
      <c r="B2577" t="inlineStr">
        <is>
          <t>2025-08</t>
        </is>
      </c>
      <c r="C2577" t="inlineStr">
        <is>
          <t>Sin cliente</t>
        </is>
      </c>
      <c r="D2577" t="inlineStr">
        <is>
          <t>Petit Crunchy</t>
        </is>
      </c>
      <c r="E2577" s="34" t="n">
        <v>21400</v>
      </c>
      <c r="F2577" t="inlineStr">
        <is>
          <t>B</t>
        </is>
      </c>
      <c r="G2577" s="34" t="n">
        <v>3417</v>
      </c>
      <c r="H2577" s="34" t="n">
        <v>17983</v>
      </c>
      <c r="I2577" t="inlineStr">
        <is>
          <t>3.2</t>
        </is>
      </c>
      <c r="J2577" t="inlineStr">
        <is>
          <t>Ventas Personas (B2C)</t>
        </is>
      </c>
      <c r="K2577" t="inlineStr">
        <is>
          <t>CH2</t>
        </is>
      </c>
    </row>
    <row r="2578">
      <c r="A2578" s="33" t="n">
        <v>45878</v>
      </c>
      <c r="B2578" t="inlineStr">
        <is>
          <t>2025-08</t>
        </is>
      </c>
      <c r="C2578" t="inlineStr">
        <is>
          <t>Gonzalo Patricio LAZO QUEZADA</t>
        </is>
      </c>
      <c r="D2578" t="inlineStr">
        <is>
          <t>CANELÉ TRADICIONAL</t>
        </is>
      </c>
      <c r="E2578" s="34" t="n">
        <v>31890</v>
      </c>
      <c r="F2578" t="inlineStr">
        <is>
          <t>B</t>
        </is>
      </c>
      <c r="G2578" s="34" t="n">
        <v>5092</v>
      </c>
      <c r="H2578" s="34" t="n">
        <v>26798</v>
      </c>
      <c r="I2578" t="inlineStr">
        <is>
          <t>3.2</t>
        </is>
      </c>
      <c r="J2578" t="inlineStr">
        <is>
          <t>Ventas Personas (B2C)</t>
        </is>
      </c>
      <c r="K2578" t="inlineStr">
        <is>
          <t>CH2</t>
        </is>
      </c>
    </row>
    <row r="2579">
      <c r="A2579" s="33" t="n">
        <v>45880</v>
      </c>
      <c r="B2579" t="inlineStr">
        <is>
          <t>2025-08</t>
        </is>
      </c>
      <c r="C2579" t="inlineStr">
        <is>
          <t>HUERTO SUR LIMITADA</t>
        </is>
      </c>
      <c r="D2579" t="inlineStr">
        <is>
          <t>HORECA CAFETERIA</t>
        </is>
      </c>
      <c r="E2579" s="34" t="n">
        <v>36084</v>
      </c>
      <c r="F2579" t="inlineStr">
        <is>
          <t>F</t>
        </is>
      </c>
      <c r="G2579" s="34" t="n">
        <v>5761</v>
      </c>
      <c r="H2579" s="34" t="n">
        <v>30323</v>
      </c>
      <c r="I2579" t="inlineStr">
        <is>
          <t>3.1</t>
        </is>
      </c>
      <c r="J2579" t="inlineStr">
        <is>
          <t>Ventas HoReCa</t>
        </is>
      </c>
      <c r="K2579" t="inlineStr">
        <is>
          <t>CH1</t>
        </is>
      </c>
    </row>
    <row r="2580">
      <c r="A2580" s="33" t="n">
        <v>45880</v>
      </c>
      <c r="B2580" t="inlineStr">
        <is>
          <t>2025-08</t>
        </is>
      </c>
      <c r="C2580" t="inlineStr">
        <is>
          <t>CAFETERÍA ALTURA LIMITADA</t>
        </is>
      </c>
      <c r="D2580" t="inlineStr">
        <is>
          <t>HORECA CAFETERIA</t>
        </is>
      </c>
      <c r="E2580" s="34" t="n">
        <v>85831</v>
      </c>
      <c r="F2580" t="inlineStr">
        <is>
          <t>F</t>
        </is>
      </c>
      <c r="G2580" s="34" t="n">
        <v>13704</v>
      </c>
      <c r="H2580" s="34" t="n">
        <v>72127</v>
      </c>
      <c r="I2580" t="inlineStr">
        <is>
          <t>3.1</t>
        </is>
      </c>
      <c r="J2580" t="inlineStr">
        <is>
          <t>Ventas HoReCa</t>
        </is>
      </c>
      <c r="K2580" t="inlineStr">
        <is>
          <t>CH1</t>
        </is>
      </c>
    </row>
    <row r="2581">
      <c r="A2581" s="33" t="n">
        <v>45880</v>
      </c>
      <c r="B2581" t="inlineStr">
        <is>
          <t>2025-08</t>
        </is>
      </c>
      <c r="C2581" t="inlineStr">
        <is>
          <t>INVERSIONES Y COMERCIALIZADORA FED LIMITADA</t>
        </is>
      </c>
      <c r="D2581" t="inlineStr">
        <is>
          <t>HORECA CAFETERIA</t>
        </is>
      </c>
      <c r="E2581" s="34" t="n">
        <v>114110</v>
      </c>
      <c r="F2581" t="inlineStr">
        <is>
          <t>F</t>
        </is>
      </c>
      <c r="G2581" s="34" t="n">
        <v>18219</v>
      </c>
      <c r="H2581" s="34" t="n">
        <v>95891</v>
      </c>
      <c r="I2581" t="inlineStr">
        <is>
          <t>3.1</t>
        </is>
      </c>
      <c r="J2581" t="inlineStr">
        <is>
          <t>Ventas HoReCa</t>
        </is>
      </c>
      <c r="K2581" t="inlineStr">
        <is>
          <t>CH1</t>
        </is>
      </c>
    </row>
    <row r="2582">
      <c r="A2582" s="33" t="n">
        <v>45880</v>
      </c>
      <c r="B2582" t="inlineStr">
        <is>
          <t>2025-08</t>
        </is>
      </c>
      <c r="C2582" t="inlineStr">
        <is>
          <t>INVERSIONES Y COMERCIALIZADORA FED LIMITADA</t>
        </is>
      </c>
      <c r="D2582" t="inlineStr">
        <is>
          <t>HORECA CAFETERIA</t>
        </is>
      </c>
      <c r="E2582" s="34" t="n">
        <v>198459</v>
      </c>
      <c r="F2582" t="inlineStr">
        <is>
          <t>F</t>
        </is>
      </c>
      <c r="G2582" s="34" t="n">
        <v>31687</v>
      </c>
      <c r="H2582" s="34" t="n">
        <v>166772</v>
      </c>
      <c r="I2582" t="inlineStr">
        <is>
          <t>3.1</t>
        </is>
      </c>
      <c r="J2582" t="inlineStr">
        <is>
          <t>Ventas HoReCa</t>
        </is>
      </c>
      <c r="K2582" t="inlineStr">
        <is>
          <t>CH1</t>
        </is>
      </c>
    </row>
    <row r="2583">
      <c r="A2583" s="33" t="n">
        <v>45880</v>
      </c>
      <c r="B2583" t="inlineStr">
        <is>
          <t>2025-08</t>
        </is>
      </c>
      <c r="C2583" t="inlineStr">
        <is>
          <t>POMPON SPA</t>
        </is>
      </c>
      <c r="D2583" t="inlineStr">
        <is>
          <t>HORECA CAFETERIA</t>
        </is>
      </c>
      <c r="E2583" s="34" t="n">
        <v>95668</v>
      </c>
      <c r="F2583" t="inlineStr">
        <is>
          <t>F</t>
        </is>
      </c>
      <c r="G2583" s="34" t="n">
        <v>15275</v>
      </c>
      <c r="H2583" s="34" t="n">
        <v>80393</v>
      </c>
      <c r="I2583" t="inlineStr">
        <is>
          <t>3.1</t>
        </is>
      </c>
      <c r="J2583" t="inlineStr">
        <is>
          <t>Ventas HoReCa</t>
        </is>
      </c>
      <c r="K2583" t="inlineStr">
        <is>
          <t>CH1</t>
        </is>
      </c>
    </row>
    <row r="2584">
      <c r="A2584" s="33" t="n">
        <v>45880</v>
      </c>
      <c r="B2584" t="inlineStr">
        <is>
          <t>2025-08</t>
        </is>
      </c>
      <c r="C2584" t="inlineStr">
        <is>
          <t>INVERSIONES Y ASESORIAS RAVAL LIMITADA</t>
        </is>
      </c>
      <c r="D2584" t="inlineStr">
        <is>
          <t>HORECA CAFETERIA</t>
        </is>
      </c>
      <c r="E2584" s="34" t="n">
        <v>72169</v>
      </c>
      <c r="F2584" t="inlineStr">
        <is>
          <t>F</t>
        </is>
      </c>
      <c r="G2584" s="34" t="n">
        <v>11523</v>
      </c>
      <c r="H2584" s="34" t="n">
        <v>60646</v>
      </c>
      <c r="I2584" t="inlineStr">
        <is>
          <t>3.1</t>
        </is>
      </c>
      <c r="J2584" t="inlineStr">
        <is>
          <t>Ventas HoReCa</t>
        </is>
      </c>
      <c r="K2584" t="inlineStr">
        <is>
          <t>CH1</t>
        </is>
      </c>
    </row>
    <row r="2585">
      <c r="A2585" s="33" t="n">
        <v>45880</v>
      </c>
      <c r="B2585" t="inlineStr">
        <is>
          <t>2025-08</t>
        </is>
      </c>
      <c r="C2585" t="inlineStr">
        <is>
          <t>NACIÓN CAFÉ SPA</t>
        </is>
      </c>
      <c r="D2585" t="inlineStr">
        <is>
          <t>HORECA CAFETERIA</t>
        </is>
      </c>
      <c r="E2585" s="34" t="n">
        <v>105842</v>
      </c>
      <c r="F2585" t="inlineStr">
        <is>
          <t>F</t>
        </is>
      </c>
      <c r="G2585" s="34" t="n">
        <v>16899</v>
      </c>
      <c r="H2585" s="34" t="n">
        <v>88943</v>
      </c>
      <c r="I2585" t="inlineStr">
        <is>
          <t>3.1</t>
        </is>
      </c>
      <c r="J2585" t="inlineStr">
        <is>
          <t>Ventas HoReCa</t>
        </is>
      </c>
      <c r="K2585" t="inlineStr">
        <is>
          <t>CH1</t>
        </is>
      </c>
    </row>
    <row r="2586">
      <c r="A2586" s="33" t="n">
        <v>45880</v>
      </c>
      <c r="B2586" t="inlineStr">
        <is>
          <t>2025-08</t>
        </is>
      </c>
      <c r="C2586" t="inlineStr">
        <is>
          <t>Sin cliente</t>
        </is>
      </c>
      <c r="D2586" t="inlineStr">
        <is>
          <t>PLATAFORMAS RAP-PEYA-UBER-GOOD</t>
        </is>
      </c>
      <c r="E2586" s="34" t="n">
        <v>13140</v>
      </c>
      <c r="F2586" t="inlineStr">
        <is>
          <t>B</t>
        </is>
      </c>
      <c r="G2586" s="34" t="n">
        <v>2098</v>
      </c>
      <c r="H2586" s="34" t="n">
        <v>11042</v>
      </c>
      <c r="I2586" t="inlineStr">
        <is>
          <t>3.6</t>
        </is>
      </c>
      <c r="J2586" t="inlineStr">
        <is>
          <t>Ventas Delivery Apps</t>
        </is>
      </c>
      <c r="K2586" t="inlineStr">
        <is>
          <t>CH3</t>
        </is>
      </c>
    </row>
    <row r="2587">
      <c r="A2587" s="33" t="n">
        <v>45880</v>
      </c>
      <c r="B2587" t="inlineStr">
        <is>
          <t>2025-08</t>
        </is>
      </c>
      <c r="C2587" t="inlineStr">
        <is>
          <t>Benjamin Roa</t>
        </is>
      </c>
      <c r="D2587" t="inlineStr">
        <is>
          <t>CANELÉ TRADICIONAL</t>
        </is>
      </c>
      <c r="E2587" s="34" t="n">
        <v>31890</v>
      </c>
      <c r="F2587" t="inlineStr">
        <is>
          <t>B</t>
        </is>
      </c>
      <c r="G2587" s="34" t="n">
        <v>5092</v>
      </c>
      <c r="H2587" s="34" t="n">
        <v>26798</v>
      </c>
      <c r="I2587" t="inlineStr">
        <is>
          <t>3.2</t>
        </is>
      </c>
      <c r="J2587" t="inlineStr">
        <is>
          <t>Ventas Personas (B2C)</t>
        </is>
      </c>
      <c r="K2587" t="inlineStr">
        <is>
          <t>CH2</t>
        </is>
      </c>
    </row>
    <row r="2588">
      <c r="A2588" s="33" t="n">
        <v>45880</v>
      </c>
      <c r="B2588" t="inlineStr">
        <is>
          <t>2025-08</t>
        </is>
      </c>
      <c r="C2588" t="inlineStr">
        <is>
          <t>Vanessa Ortega</t>
        </is>
      </c>
      <c r="D2588" t="inlineStr">
        <is>
          <t>CANELÉ TRADICIONAL</t>
        </is>
      </c>
      <c r="E2588" s="34" t="n">
        <v>50000</v>
      </c>
      <c r="F2588" t="inlineStr">
        <is>
          <t>B</t>
        </is>
      </c>
      <c r="G2588" s="34" t="n">
        <v>7983</v>
      </c>
      <c r="H2588" s="34" t="n">
        <v>42017</v>
      </c>
      <c r="I2588" t="inlineStr">
        <is>
          <t>3.2</t>
        </is>
      </c>
      <c r="J2588" t="inlineStr">
        <is>
          <t>Ventas Personas (B2C)</t>
        </is>
      </c>
      <c r="K2588" t="inlineStr">
        <is>
          <t>CH2</t>
        </is>
      </c>
    </row>
    <row r="2589">
      <c r="A2589" s="33" t="n">
        <v>45880</v>
      </c>
      <c r="B2589" t="inlineStr">
        <is>
          <t>2025-08</t>
        </is>
      </c>
      <c r="C2589" t="inlineStr">
        <is>
          <t>Sin cliente</t>
        </is>
      </c>
      <c r="D2589" t="inlineStr">
        <is>
          <t>PLATAFORMAS RAP-PEYA-UBER-GOOD</t>
        </is>
      </c>
      <c r="E2589" s="34" t="n">
        <v>15480</v>
      </c>
      <c r="F2589" t="inlineStr">
        <is>
          <t>B</t>
        </is>
      </c>
      <c r="G2589" s="34" t="n">
        <v>2472</v>
      </c>
      <c r="H2589" s="34" t="n">
        <v>13008</v>
      </c>
      <c r="I2589" t="inlineStr">
        <is>
          <t>3.6</t>
        </is>
      </c>
      <c r="J2589" t="inlineStr">
        <is>
          <t>Ventas Delivery Apps</t>
        </is>
      </c>
      <c r="K2589" t="inlineStr">
        <is>
          <t>CH3</t>
        </is>
      </c>
    </row>
    <row r="2590">
      <c r="A2590" s="33" t="n">
        <v>45880</v>
      </c>
      <c r="B2590" t="inlineStr">
        <is>
          <t>2025-08</t>
        </is>
      </c>
      <c r="C2590" t="inlineStr">
        <is>
          <t>Leticia Medina</t>
        </is>
      </c>
      <c r="D2590" t="inlineStr">
        <is>
          <t>CANELÉ TRADICIONAL</t>
        </is>
      </c>
      <c r="E2590" s="34" t="n">
        <v>24889</v>
      </c>
      <c r="F2590" t="inlineStr">
        <is>
          <t>B</t>
        </is>
      </c>
      <c r="G2590" s="34" t="n">
        <v>3974</v>
      </c>
      <c r="H2590" s="34" t="n">
        <v>20915</v>
      </c>
      <c r="I2590" t="inlineStr">
        <is>
          <t>3.2</t>
        </is>
      </c>
      <c r="J2590" t="inlineStr">
        <is>
          <t>Ventas Personas (B2C)</t>
        </is>
      </c>
      <c r="K2590" t="inlineStr">
        <is>
          <t>CH2</t>
        </is>
      </c>
    </row>
    <row r="2591">
      <c r="A2591" s="33" t="n">
        <v>45881</v>
      </c>
      <c r="B2591" t="inlineStr">
        <is>
          <t>2025-08</t>
        </is>
      </c>
      <c r="C2591" t="inlineStr">
        <is>
          <t>CAFE DIARIO ENCOMENDEROS SPA</t>
        </is>
      </c>
      <c r="D2591" t="inlineStr">
        <is>
          <t>HORECA CAFETERIA</t>
        </is>
      </c>
      <c r="E2591" s="34" t="n">
        <v>91705</v>
      </c>
      <c r="F2591" t="inlineStr">
        <is>
          <t>F</t>
        </is>
      </c>
      <c r="G2591" s="34" t="n">
        <v>14642</v>
      </c>
      <c r="H2591" s="34" t="n">
        <v>77063</v>
      </c>
      <c r="I2591" t="inlineStr">
        <is>
          <t>3.1</t>
        </is>
      </c>
      <c r="J2591" t="inlineStr">
        <is>
          <t>Ventas HoReCa</t>
        </is>
      </c>
      <c r="K2591" t="inlineStr">
        <is>
          <t>CH1</t>
        </is>
      </c>
    </row>
    <row r="2592">
      <c r="A2592" s="33" t="n">
        <v>45881</v>
      </c>
      <c r="B2592" t="inlineStr">
        <is>
          <t>2025-08</t>
        </is>
      </c>
      <c r="C2592" t="inlineStr">
        <is>
          <t>Inversiones Café Dominicos SpA</t>
        </is>
      </c>
      <c r="D2592" t="inlineStr">
        <is>
          <t xml:space="preserve">THE COFFEE STORE </t>
        </is>
      </c>
      <c r="E2592" s="34" t="n">
        <v>39294</v>
      </c>
      <c r="F2592" t="inlineStr">
        <is>
          <t>F</t>
        </is>
      </c>
      <c r="G2592" s="34" t="n">
        <v>6274</v>
      </c>
      <c r="H2592" s="34" t="n">
        <v>33020</v>
      </c>
      <c r="I2592" t="inlineStr">
        <is>
          <t>3.1</t>
        </is>
      </c>
      <c r="J2592" t="inlineStr">
        <is>
          <t>Ventas HoReCa</t>
        </is>
      </c>
      <c r="K2592" t="inlineStr">
        <is>
          <t>CH1</t>
        </is>
      </c>
    </row>
    <row r="2593">
      <c r="A2593" s="33" t="n">
        <v>45881</v>
      </c>
      <c r="B2593" t="inlineStr">
        <is>
          <t>2025-08</t>
        </is>
      </c>
      <c r="C2593" t="inlineStr">
        <is>
          <t>BLUE OAK COFFE SPA</t>
        </is>
      </c>
      <c r="D2593" t="inlineStr">
        <is>
          <t>HORECA CAFETERIA</t>
        </is>
      </c>
      <c r="E2593" s="34" t="n">
        <v>163681</v>
      </c>
      <c r="F2593" t="inlineStr">
        <is>
          <t>F</t>
        </is>
      </c>
      <c r="G2593" s="34" t="n">
        <v>26134</v>
      </c>
      <c r="H2593" s="34" t="n">
        <v>137547</v>
      </c>
      <c r="I2593" t="inlineStr">
        <is>
          <t>3.1</t>
        </is>
      </c>
      <c r="J2593" t="inlineStr">
        <is>
          <t>Ventas HoReCa</t>
        </is>
      </c>
      <c r="K2593" t="inlineStr">
        <is>
          <t>CH1</t>
        </is>
      </c>
    </row>
    <row r="2594">
      <c r="A2594" s="33" t="n">
        <v>45881</v>
      </c>
      <c r="B2594" t="inlineStr">
        <is>
          <t>2025-08</t>
        </is>
      </c>
      <c r="C2594" t="inlineStr">
        <is>
          <t>HUERTO SUR LIMITADA</t>
        </is>
      </c>
      <c r="D2594" t="inlineStr">
        <is>
          <t>HORECA CAFETERIA</t>
        </is>
      </c>
      <c r="E2594" s="34" t="n">
        <v>101273</v>
      </c>
      <c r="F2594" t="inlineStr">
        <is>
          <t>F</t>
        </is>
      </c>
      <c r="G2594" s="34" t="n">
        <v>16170</v>
      </c>
      <c r="H2594" s="34" t="n">
        <v>85103</v>
      </c>
      <c r="I2594" t="inlineStr">
        <is>
          <t>3.1</t>
        </is>
      </c>
      <c r="J2594" t="inlineStr">
        <is>
          <t>Ventas HoReCa</t>
        </is>
      </c>
      <c r="K2594" t="inlineStr">
        <is>
          <t>CH1</t>
        </is>
      </c>
    </row>
    <row r="2595">
      <c r="A2595" s="33" t="n">
        <v>45881</v>
      </c>
      <c r="B2595" t="inlineStr">
        <is>
          <t>2025-08</t>
        </is>
      </c>
      <c r="C2595" t="inlineStr">
        <is>
          <t>D&amp;S SERVICIOS DE ALIMENTACIÓN SpA</t>
        </is>
      </c>
      <c r="D2595" t="inlineStr">
        <is>
          <t xml:space="preserve">THE COFFEE STORE </t>
        </is>
      </c>
      <c r="E2595" s="34" t="n">
        <v>40293</v>
      </c>
      <c r="F2595" t="inlineStr">
        <is>
          <t>F</t>
        </is>
      </c>
      <c r="G2595" s="34" t="n">
        <v>6433</v>
      </c>
      <c r="H2595" s="34" t="n">
        <v>33860</v>
      </c>
      <c r="I2595" t="inlineStr">
        <is>
          <t>3.1</t>
        </is>
      </c>
      <c r="J2595" t="inlineStr">
        <is>
          <t>Ventas HoReCa</t>
        </is>
      </c>
      <c r="K2595" t="inlineStr">
        <is>
          <t>CH1</t>
        </is>
      </c>
    </row>
    <row r="2596">
      <c r="A2596" s="33" t="n">
        <v>45881</v>
      </c>
      <c r="B2596" t="inlineStr">
        <is>
          <t>2025-08</t>
        </is>
      </c>
      <c r="C2596" t="inlineStr">
        <is>
          <t>Carmen Mayo</t>
        </is>
      </c>
      <c r="D2596" t="inlineStr">
        <is>
          <t>CANELÉ TRADICIONAL</t>
        </is>
      </c>
      <c r="E2596" s="34" t="n">
        <v>25890</v>
      </c>
      <c r="F2596" t="inlineStr">
        <is>
          <t>B</t>
        </is>
      </c>
      <c r="G2596" s="34" t="n">
        <v>4134</v>
      </c>
      <c r="H2596" s="34" t="n">
        <v>21756</v>
      </c>
      <c r="I2596" t="inlineStr">
        <is>
          <t>3.2</t>
        </is>
      </c>
      <c r="J2596" t="inlineStr">
        <is>
          <t>Ventas Personas (B2C)</t>
        </is>
      </c>
      <c r="K2596" t="inlineStr">
        <is>
          <t>CH2</t>
        </is>
      </c>
    </row>
    <row r="2597">
      <c r="A2597" s="33" t="n">
        <v>45881</v>
      </c>
      <c r="B2597" t="inlineStr">
        <is>
          <t>2025-08</t>
        </is>
      </c>
      <c r="C2597" t="inlineStr">
        <is>
          <t>Inversiones Nagua SPA</t>
        </is>
      </c>
      <c r="D2597" t="inlineStr">
        <is>
          <t>HORECA CAFETERIA</t>
        </is>
      </c>
      <c r="E2597" s="34" t="n">
        <v>68179</v>
      </c>
      <c r="F2597" t="inlineStr">
        <is>
          <t>F</t>
        </is>
      </c>
      <c r="G2597" s="34" t="n">
        <v>10886</v>
      </c>
      <c r="H2597" s="34" t="n">
        <v>57293</v>
      </c>
      <c r="I2597" t="inlineStr">
        <is>
          <t>3.1</t>
        </is>
      </c>
      <c r="J2597" t="inlineStr">
        <is>
          <t>Ventas HoReCa</t>
        </is>
      </c>
      <c r="K2597" t="inlineStr">
        <is>
          <t>CH1</t>
        </is>
      </c>
    </row>
    <row r="2598">
      <c r="A2598" s="33" t="n">
        <v>45881</v>
      </c>
      <c r="B2598" t="inlineStr">
        <is>
          <t>2025-08</t>
        </is>
      </c>
      <c r="C2598" t="inlineStr">
        <is>
          <t>PRODUCTORA GALDAMES CORTEZ LIMITADA</t>
        </is>
      </c>
      <c r="D2598" t="inlineStr">
        <is>
          <t>HORECA CATERING</t>
        </is>
      </c>
      <c r="E2598" s="34" t="n">
        <v>63665</v>
      </c>
      <c r="F2598" t="inlineStr">
        <is>
          <t>F</t>
        </is>
      </c>
      <c r="G2598" s="34" t="n">
        <v>10165</v>
      </c>
      <c r="H2598" s="34" t="n">
        <v>53500</v>
      </c>
      <c r="I2598" t="inlineStr">
        <is>
          <t>3.1</t>
        </is>
      </c>
      <c r="J2598" t="inlineStr">
        <is>
          <t>Ventas HoReCa</t>
        </is>
      </c>
      <c r="K2598" t="inlineStr">
        <is>
          <t>CH1</t>
        </is>
      </c>
    </row>
    <row r="2599">
      <c r="A2599" s="33" t="n">
        <v>45881</v>
      </c>
      <c r="B2599" t="inlineStr">
        <is>
          <t>2025-08</t>
        </is>
      </c>
      <c r="C2599" t="inlineStr">
        <is>
          <t>Sin cliente</t>
        </is>
      </c>
      <c r="D2599" t="inlineStr">
        <is>
          <t>PLATAFORMAS RAP-PEYA-UBER-GOOD</t>
        </is>
      </c>
      <c r="E2599" s="34" t="n">
        <v>40548</v>
      </c>
      <c r="F2599" t="inlineStr">
        <is>
          <t>B</t>
        </is>
      </c>
      <c r="G2599" s="34" t="n">
        <v>6474</v>
      </c>
      <c r="H2599" s="34" t="n">
        <v>34074</v>
      </c>
      <c r="I2599" t="inlineStr">
        <is>
          <t>3.6</t>
        </is>
      </c>
      <c r="J2599" t="inlineStr">
        <is>
          <t>Ventas Delivery Apps</t>
        </is>
      </c>
      <c r="K2599" t="inlineStr">
        <is>
          <t>CH3</t>
        </is>
      </c>
    </row>
    <row r="2600">
      <c r="A2600" s="33" t="n">
        <v>45881</v>
      </c>
      <c r="B2600" t="inlineStr">
        <is>
          <t>2025-08</t>
        </is>
      </c>
      <c r="C2600" t="inlineStr">
        <is>
          <t>Sin cliente</t>
        </is>
      </c>
      <c r="D2600" t="inlineStr">
        <is>
          <t>PLATAFORMAS RAP-PEYA-UBER-GOOD</t>
        </is>
      </c>
      <c r="E2600" s="34" t="n">
        <v>17880</v>
      </c>
      <c r="F2600" t="inlineStr">
        <is>
          <t>B</t>
        </is>
      </c>
      <c r="G2600" s="34" t="n">
        <v>2855</v>
      </c>
      <c r="H2600" s="34" t="n">
        <v>15025</v>
      </c>
      <c r="I2600" t="inlineStr">
        <is>
          <t>3.6</t>
        </is>
      </c>
      <c r="J2600" t="inlineStr">
        <is>
          <t>Ventas Delivery Apps</t>
        </is>
      </c>
      <c r="K2600" t="inlineStr">
        <is>
          <t>CH3</t>
        </is>
      </c>
    </row>
    <row r="2601">
      <c r="A2601" s="33" t="n">
        <v>45881</v>
      </c>
      <c r="B2601" t="inlineStr">
        <is>
          <t>2025-08</t>
        </is>
      </c>
      <c r="C2601" t="inlineStr">
        <is>
          <t>Carmen Mayo</t>
        </is>
      </c>
      <c r="D2601" t="inlineStr">
        <is>
          <t>CANELÉ TRADICIONAL</t>
        </is>
      </c>
      <c r="E2601" s="34" t="n">
        <v>25890</v>
      </c>
      <c r="F2601" t="inlineStr">
        <is>
          <t>B</t>
        </is>
      </c>
      <c r="G2601" s="34" t="n">
        <v>4134</v>
      </c>
      <c r="H2601" s="34" t="n">
        <v>21756</v>
      </c>
      <c r="I2601" t="inlineStr">
        <is>
          <t>3.2</t>
        </is>
      </c>
      <c r="J2601" t="inlineStr">
        <is>
          <t>Ventas Personas (B2C)</t>
        </is>
      </c>
      <c r="K2601" t="inlineStr">
        <is>
          <t>CH2</t>
        </is>
      </c>
    </row>
    <row r="2602">
      <c r="A2602" s="33" t="n">
        <v>45881</v>
      </c>
      <c r="B2602" t="inlineStr">
        <is>
          <t>2025-08</t>
        </is>
      </c>
      <c r="C2602" t="inlineStr">
        <is>
          <t>Catalina Meza</t>
        </is>
      </c>
      <c r="D2602" t="inlineStr">
        <is>
          <t>Petit Crunchy</t>
        </is>
      </c>
      <c r="E2602" s="34" t="n">
        <v>17500</v>
      </c>
      <c r="F2602" t="inlineStr">
        <is>
          <t>B</t>
        </is>
      </c>
      <c r="G2602" s="34" t="n">
        <v>2794</v>
      </c>
      <c r="H2602" s="34" t="n">
        <v>14706</v>
      </c>
      <c r="I2602" t="inlineStr">
        <is>
          <t>3.2</t>
        </is>
      </c>
      <c r="J2602" t="inlineStr">
        <is>
          <t>Ventas Personas (B2C)</t>
        </is>
      </c>
      <c r="K2602" t="inlineStr">
        <is>
          <t>CH2</t>
        </is>
      </c>
    </row>
    <row r="2603">
      <c r="A2603" s="33" t="n">
        <v>45882</v>
      </c>
      <c r="B2603" t="inlineStr">
        <is>
          <t>2025-08</t>
        </is>
      </c>
      <c r="C2603" t="inlineStr">
        <is>
          <t>CAFETERIA THE ELEPHANT COFFEE LIMITADA</t>
        </is>
      </c>
      <c r="D2603" t="inlineStr">
        <is>
          <t>HORECA CAFETERIA</t>
        </is>
      </c>
      <c r="E2603" s="34" t="n">
        <v>156438</v>
      </c>
      <c r="F2603" t="inlineStr">
        <is>
          <t>F</t>
        </is>
      </c>
      <c r="G2603" s="34" t="n">
        <v>24977</v>
      </c>
      <c r="H2603" s="34" t="n">
        <v>131461</v>
      </c>
      <c r="I2603" t="inlineStr">
        <is>
          <t>3.1</t>
        </is>
      </c>
      <c r="J2603" t="inlineStr">
        <is>
          <t>Ventas HoReCa</t>
        </is>
      </c>
      <c r="K2603" t="inlineStr">
        <is>
          <t>CH1</t>
        </is>
      </c>
    </row>
    <row r="2604">
      <c r="A2604" s="33" t="n">
        <v>45882</v>
      </c>
      <c r="B2604" t="inlineStr">
        <is>
          <t>2025-08</t>
        </is>
      </c>
      <c r="C2604" t="inlineStr">
        <is>
          <t>Clark Veloso Valenzuela</t>
        </is>
      </c>
      <c r="D2604" t="inlineStr">
        <is>
          <t>HORECA CAFETERIA</t>
        </is>
      </c>
      <c r="E2604" s="34" t="n">
        <v>69178</v>
      </c>
      <c r="F2604" t="inlineStr">
        <is>
          <t>F</t>
        </is>
      </c>
      <c r="G2604" s="34" t="n">
        <v>11045</v>
      </c>
      <c r="H2604" s="34" t="n">
        <v>58133</v>
      </c>
      <c r="I2604" t="inlineStr">
        <is>
          <t>3.1</t>
        </is>
      </c>
      <c r="J2604" t="inlineStr">
        <is>
          <t>Ventas HoReCa</t>
        </is>
      </c>
      <c r="K2604" t="inlineStr">
        <is>
          <t>CH1</t>
        </is>
      </c>
    </row>
    <row r="2605">
      <c r="A2605" s="33" t="n">
        <v>45882</v>
      </c>
      <c r="B2605" t="inlineStr">
        <is>
          <t>2025-08</t>
        </is>
      </c>
      <c r="C2605" t="inlineStr">
        <is>
          <t>VJERA  SOFIA TRIANTAFILO VLADILO</t>
        </is>
      </c>
      <c r="D2605" t="inlineStr">
        <is>
          <t>CANELÉ TRADICIONAL</t>
        </is>
      </c>
      <c r="E2605" s="34" t="n">
        <v>36789</v>
      </c>
      <c r="F2605" t="inlineStr">
        <is>
          <t>B</t>
        </is>
      </c>
      <c r="G2605" s="34" t="n">
        <v>5874</v>
      </c>
      <c r="H2605" s="34" t="n">
        <v>30915</v>
      </c>
      <c r="I2605" t="inlineStr">
        <is>
          <t>3.2</t>
        </is>
      </c>
      <c r="J2605" t="inlineStr">
        <is>
          <t>Ventas Personas (B2C)</t>
        </is>
      </c>
      <c r="K2605" t="inlineStr">
        <is>
          <t>CH2</t>
        </is>
      </c>
    </row>
    <row r="2606">
      <c r="A2606" s="33" t="n">
        <v>45882</v>
      </c>
      <c r="B2606" t="inlineStr">
        <is>
          <t>2025-08</t>
        </is>
      </c>
      <c r="C2606" t="inlineStr">
        <is>
          <t>Mónica Borquez</t>
        </is>
      </c>
      <c r="D2606" t="inlineStr">
        <is>
          <t>CANELÉ TRADICIONAL</t>
        </is>
      </c>
      <c r="E2606" s="34" t="n">
        <v>26880</v>
      </c>
      <c r="F2606" t="inlineStr">
        <is>
          <t>B</t>
        </is>
      </c>
      <c r="G2606" s="34" t="n">
        <v>4292</v>
      </c>
      <c r="H2606" s="34" t="n">
        <v>22588</v>
      </c>
      <c r="I2606" t="inlineStr">
        <is>
          <t>3.2</t>
        </is>
      </c>
      <c r="J2606" t="inlineStr">
        <is>
          <t>Ventas Personas (B2C)</t>
        </is>
      </c>
      <c r="K2606" t="inlineStr">
        <is>
          <t>CH2</t>
        </is>
      </c>
    </row>
    <row r="2607">
      <c r="A2607" s="33" t="n">
        <v>45882</v>
      </c>
      <c r="B2607" t="inlineStr">
        <is>
          <t>2025-08</t>
        </is>
      </c>
      <c r="C2607" t="inlineStr">
        <is>
          <t>Evelyn Momberg</t>
        </is>
      </c>
      <c r="D2607" t="inlineStr">
        <is>
          <t>CANELÉ TRADICIONAL</t>
        </is>
      </c>
      <c r="E2607" s="34" t="n">
        <v>26890</v>
      </c>
      <c r="F2607" t="inlineStr">
        <is>
          <t>B</t>
        </is>
      </c>
      <c r="G2607" s="34" t="n">
        <v>4293</v>
      </c>
      <c r="H2607" s="34" t="n">
        <v>22597</v>
      </c>
      <c r="I2607" t="inlineStr">
        <is>
          <t>3.2</t>
        </is>
      </c>
      <c r="J2607" t="inlineStr">
        <is>
          <t>Ventas Personas (B2C)</t>
        </is>
      </c>
      <c r="K2607" t="inlineStr">
        <is>
          <t>CH2</t>
        </is>
      </c>
    </row>
    <row r="2608">
      <c r="A2608" s="33" t="n">
        <v>45882</v>
      </c>
      <c r="B2608" t="inlineStr">
        <is>
          <t>2025-08</t>
        </is>
      </c>
      <c r="C2608" t="inlineStr">
        <is>
          <t>Nicolás Gómez</t>
        </is>
      </c>
      <c r="D2608" t="inlineStr">
        <is>
          <t>Petit Crunchy</t>
        </is>
      </c>
      <c r="E2608" s="34" t="n">
        <v>30789</v>
      </c>
      <c r="F2608" t="inlineStr">
        <is>
          <t>B</t>
        </is>
      </c>
      <c r="G2608" s="34" t="n">
        <v>4916</v>
      </c>
      <c r="H2608" s="34" t="n">
        <v>25873</v>
      </c>
      <c r="I2608" t="inlineStr">
        <is>
          <t>3.2</t>
        </is>
      </c>
      <c r="J2608" t="inlineStr">
        <is>
          <t>Ventas Personas (B2C)</t>
        </is>
      </c>
      <c r="K2608" t="inlineStr">
        <is>
          <t>CH2</t>
        </is>
      </c>
    </row>
    <row r="2609">
      <c r="A2609" s="33" t="n">
        <v>45882</v>
      </c>
      <c r="B2609" t="inlineStr">
        <is>
          <t>2025-08</t>
        </is>
      </c>
      <c r="C2609" t="inlineStr">
        <is>
          <t>Stefano Bianchetti Frohlich</t>
        </is>
      </c>
      <c r="D2609" t="inlineStr">
        <is>
          <t>Petit Crunchy</t>
        </is>
      </c>
      <c r="E2609" s="34" t="n">
        <v>40810</v>
      </c>
      <c r="F2609" t="inlineStr">
        <is>
          <t>B</t>
        </is>
      </c>
      <c r="G2609" s="34" t="n">
        <v>6516</v>
      </c>
      <c r="H2609" s="34" t="n">
        <v>34294</v>
      </c>
      <c r="I2609" t="inlineStr">
        <is>
          <t>3.2</t>
        </is>
      </c>
      <c r="J2609" t="inlineStr">
        <is>
          <t>Ventas Personas (B2C)</t>
        </is>
      </c>
      <c r="K2609" t="inlineStr">
        <is>
          <t>CH2</t>
        </is>
      </c>
    </row>
    <row r="2610">
      <c r="A2610" s="33" t="n">
        <v>45882</v>
      </c>
      <c r="B2610" t="inlineStr">
        <is>
          <t>2025-08</t>
        </is>
      </c>
      <c r="C2610" t="inlineStr">
        <is>
          <t>Pamela Aguilera</t>
        </is>
      </c>
      <c r="D2610" t="inlineStr">
        <is>
          <t>Petit Crunchy</t>
        </is>
      </c>
      <c r="E2610" s="34" t="n">
        <v>17889</v>
      </c>
      <c r="F2610" t="inlineStr">
        <is>
          <t>B</t>
        </is>
      </c>
      <c r="G2610" s="34" t="n">
        <v>2856</v>
      </c>
      <c r="H2610" s="34" t="n">
        <v>15033</v>
      </c>
      <c r="I2610" t="inlineStr">
        <is>
          <t>3.2</t>
        </is>
      </c>
      <c r="J2610" t="inlineStr">
        <is>
          <t>Ventas Personas (B2C)</t>
        </is>
      </c>
      <c r="K2610" t="inlineStr">
        <is>
          <t>CH2</t>
        </is>
      </c>
    </row>
    <row r="2611">
      <c r="A2611" s="33" t="n">
        <v>45883</v>
      </c>
      <c r="B2611" t="inlineStr">
        <is>
          <t>2025-08</t>
        </is>
      </c>
      <c r="C2611" t="inlineStr">
        <is>
          <t>Sociedad de inversiones solari y acuña spa</t>
        </is>
      </c>
      <c r="D2611" t="inlineStr">
        <is>
          <t>HORECA CAFETERIA</t>
        </is>
      </c>
      <c r="E2611" s="34" t="n">
        <v>152448</v>
      </c>
      <c r="F2611" t="inlineStr">
        <is>
          <t>F</t>
        </is>
      </c>
      <c r="G2611" s="34" t="n">
        <v>24340</v>
      </c>
      <c r="H2611" s="34" t="n">
        <v>128108</v>
      </c>
      <c r="I2611" t="inlineStr">
        <is>
          <t>3.1</t>
        </is>
      </c>
      <c r="J2611" t="inlineStr">
        <is>
          <t>Ventas HoReCa</t>
        </is>
      </c>
      <c r="K2611" t="inlineStr">
        <is>
          <t>CH1</t>
        </is>
      </c>
    </row>
    <row r="2612">
      <c r="A2612" s="33" t="n">
        <v>45883</v>
      </c>
      <c r="B2612" t="inlineStr">
        <is>
          <t>2025-08</t>
        </is>
      </c>
      <c r="C2612" t="inlineStr">
        <is>
          <t>Dianmar Briceño</t>
        </is>
      </c>
      <c r="D2612" t="inlineStr">
        <is>
          <t>CANELÉ TRADICIONAL</t>
        </is>
      </c>
      <c r="E2612" s="34" t="n">
        <v>14900</v>
      </c>
      <c r="F2612" t="inlineStr">
        <is>
          <t>B</t>
        </is>
      </c>
      <c r="G2612" s="34" t="n">
        <v>2379</v>
      </c>
      <c r="H2612" s="34" t="n">
        <v>12521</v>
      </c>
      <c r="I2612" t="inlineStr">
        <is>
          <t>3.2</t>
        </is>
      </c>
      <c r="J2612" t="inlineStr">
        <is>
          <t>Ventas Personas (B2C)</t>
        </is>
      </c>
      <c r="K2612" t="inlineStr">
        <is>
          <t>CH2</t>
        </is>
      </c>
    </row>
    <row r="2613">
      <c r="A2613" s="33" t="n">
        <v>45883</v>
      </c>
      <c r="B2613" t="inlineStr">
        <is>
          <t>2025-08</t>
        </is>
      </c>
      <c r="C2613" t="inlineStr">
        <is>
          <t>luca zanettin</t>
        </is>
      </c>
      <c r="D2613" t="inlineStr">
        <is>
          <t>Petit Crunchy</t>
        </is>
      </c>
      <c r="E2613" s="34" t="n">
        <v>15499</v>
      </c>
      <c r="F2613" t="inlineStr">
        <is>
          <t>B</t>
        </is>
      </c>
      <c r="G2613" s="34" t="n">
        <v>2475</v>
      </c>
      <c r="H2613" s="34" t="n">
        <v>13024</v>
      </c>
      <c r="I2613" t="inlineStr">
        <is>
          <t>3.2</t>
        </is>
      </c>
      <c r="J2613" t="inlineStr">
        <is>
          <t>Ventas Personas (B2C)</t>
        </is>
      </c>
      <c r="K2613" t="inlineStr">
        <is>
          <t>CH2</t>
        </is>
      </c>
    </row>
    <row r="2614">
      <c r="A2614" s="33" t="n">
        <v>45883</v>
      </c>
      <c r="B2614" t="inlineStr">
        <is>
          <t>2025-08</t>
        </is>
      </c>
      <c r="C2614" t="inlineStr">
        <is>
          <t>magdalena Coutts</t>
        </is>
      </c>
      <c r="D2614" t="inlineStr">
        <is>
          <t>SALSAS</t>
        </is>
      </c>
      <c r="E2614" s="34" t="n">
        <v>25101</v>
      </c>
      <c r="F2614" t="inlineStr">
        <is>
          <t>B</t>
        </is>
      </c>
      <c r="G2614" s="34" t="n">
        <v>4008</v>
      </c>
      <c r="H2614" s="34" t="n">
        <v>21093</v>
      </c>
      <c r="I2614" t="inlineStr">
        <is>
          <t>3.2</t>
        </is>
      </c>
      <c r="J2614" t="inlineStr">
        <is>
          <t>Ventas Personas (B2C)</t>
        </is>
      </c>
      <c r="K2614" t="inlineStr">
        <is>
          <t>CH2</t>
        </is>
      </c>
    </row>
    <row r="2615">
      <c r="A2615" s="33" t="n">
        <v>45883</v>
      </c>
      <c r="B2615" t="inlineStr">
        <is>
          <t>2025-08</t>
        </is>
      </c>
      <c r="C2615" t="inlineStr">
        <is>
          <t>CAFÉ UNDER SPA</t>
        </is>
      </c>
      <c r="D2615" t="inlineStr">
        <is>
          <t>HORECA CAFETERIA</t>
        </is>
      </c>
      <c r="E2615" s="34" t="n">
        <v>68179</v>
      </c>
      <c r="F2615" t="inlineStr">
        <is>
          <t>F</t>
        </is>
      </c>
      <c r="G2615" s="34" t="n">
        <v>10886</v>
      </c>
      <c r="H2615" s="34" t="n">
        <v>57293</v>
      </c>
      <c r="I2615" t="inlineStr">
        <is>
          <t>3.1</t>
        </is>
      </c>
      <c r="J2615" t="inlineStr">
        <is>
          <t>Ventas HoReCa</t>
        </is>
      </c>
      <c r="K2615" t="inlineStr">
        <is>
          <t>CH1</t>
        </is>
      </c>
    </row>
    <row r="2616">
      <c r="A2616" s="33" t="n">
        <v>45883</v>
      </c>
      <c r="B2616" t="inlineStr">
        <is>
          <t>2025-08</t>
        </is>
      </c>
      <c r="C2616" t="inlineStr">
        <is>
          <t>Sin cliente</t>
        </is>
      </c>
      <c r="D2616" t="inlineStr">
        <is>
          <t>PLATAFORMAS RAP-PEYA-UBER-GOOD</t>
        </is>
      </c>
      <c r="E2616" s="34" t="n">
        <v>26280</v>
      </c>
      <c r="F2616" t="inlineStr">
        <is>
          <t>B</t>
        </is>
      </c>
      <c r="G2616" s="34" t="n">
        <v>4196</v>
      </c>
      <c r="H2616" s="34" t="n">
        <v>22084</v>
      </c>
      <c r="I2616" t="inlineStr">
        <is>
          <t>3.6</t>
        </is>
      </c>
      <c r="J2616" t="inlineStr">
        <is>
          <t>Ventas Delivery Apps</t>
        </is>
      </c>
      <c r="K2616" t="inlineStr">
        <is>
          <t>CH3</t>
        </is>
      </c>
    </row>
    <row r="2617">
      <c r="A2617" s="33" t="n">
        <v>45883</v>
      </c>
      <c r="B2617" t="inlineStr">
        <is>
          <t>2025-08</t>
        </is>
      </c>
      <c r="C2617" t="inlineStr">
        <is>
          <t>Sin cliente</t>
        </is>
      </c>
      <c r="D2617" t="inlineStr">
        <is>
          <t>PLATAFORMAS RAP-PEYA-UBER-GOOD</t>
        </is>
      </c>
      <c r="E2617" s="34" t="n">
        <v>23760</v>
      </c>
      <c r="F2617" t="inlineStr">
        <is>
          <t>B</t>
        </is>
      </c>
      <c r="G2617" s="34" t="n">
        <v>3794</v>
      </c>
      <c r="H2617" s="34" t="n">
        <v>19966</v>
      </c>
      <c r="I2617" t="inlineStr">
        <is>
          <t>3.6</t>
        </is>
      </c>
      <c r="J2617" t="inlineStr">
        <is>
          <t>Ventas Delivery Apps</t>
        </is>
      </c>
      <c r="K2617" t="inlineStr">
        <is>
          <t>CH3</t>
        </is>
      </c>
    </row>
    <row r="2618">
      <c r="A2618" s="33" t="n">
        <v>45883</v>
      </c>
      <c r="B2618" t="inlineStr">
        <is>
          <t>2025-08</t>
        </is>
      </c>
      <c r="C2618" t="inlineStr">
        <is>
          <t>Sin cliente</t>
        </is>
      </c>
      <c r="D2618" t="inlineStr">
        <is>
          <t>Petit Tradicional</t>
        </is>
      </c>
      <c r="E2618" s="34" t="n">
        <v>12900</v>
      </c>
      <c r="F2618" t="inlineStr">
        <is>
          <t>B</t>
        </is>
      </c>
      <c r="G2618" s="34" t="n">
        <v>2060</v>
      </c>
      <c r="H2618" s="34" t="n">
        <v>10840</v>
      </c>
      <c r="I2618" t="inlineStr">
        <is>
          <t>3.2</t>
        </is>
      </c>
      <c r="J2618" t="inlineStr">
        <is>
          <t>Ventas Personas (B2C)</t>
        </is>
      </c>
      <c r="K2618" t="inlineStr">
        <is>
          <t>CH2</t>
        </is>
      </c>
    </row>
    <row r="2619">
      <c r="A2619" s="33" t="n">
        <v>45883</v>
      </c>
      <c r="B2619" t="inlineStr">
        <is>
          <t>2025-08</t>
        </is>
      </c>
      <c r="C2619" t="inlineStr">
        <is>
          <t>Sin cliente</t>
        </is>
      </c>
      <c r="D2619" t="inlineStr">
        <is>
          <t>PLATAFORMAS RAP-PEYA-UBER-GOOD</t>
        </is>
      </c>
      <c r="E2619" s="34" t="n">
        <v>42960</v>
      </c>
      <c r="F2619" t="inlineStr">
        <is>
          <t>B</t>
        </is>
      </c>
      <c r="G2619" s="34" t="n">
        <v>6859</v>
      </c>
      <c r="H2619" s="34" t="n">
        <v>36101</v>
      </c>
      <c r="I2619" t="inlineStr">
        <is>
          <t>3.6</t>
        </is>
      </c>
      <c r="J2619" t="inlineStr">
        <is>
          <t>Ventas Delivery Apps</t>
        </is>
      </c>
      <c r="K2619" t="inlineStr">
        <is>
          <t>CH3</t>
        </is>
      </c>
    </row>
    <row r="2620">
      <c r="A2620" s="33" t="n">
        <v>45883</v>
      </c>
      <c r="B2620" t="inlineStr">
        <is>
          <t>2025-08</t>
        </is>
      </c>
      <c r="C2620" t="inlineStr">
        <is>
          <t>JNCONCEPT SPA</t>
        </is>
      </c>
      <c r="D2620" t="inlineStr">
        <is>
          <t>CANELÉ TRADICIONAL</t>
        </is>
      </c>
      <c r="E2620" s="34" t="n">
        <v>39700</v>
      </c>
      <c r="F2620" t="inlineStr">
        <is>
          <t>F</t>
        </is>
      </c>
      <c r="G2620" s="34" t="n">
        <v>6339</v>
      </c>
      <c r="H2620" s="34" t="n">
        <v>33361</v>
      </c>
      <c r="I2620" t="inlineStr">
        <is>
          <t>3.1</t>
        </is>
      </c>
      <c r="J2620" t="inlineStr">
        <is>
          <t>Ventas HoReCa</t>
        </is>
      </c>
      <c r="K2620" t="inlineStr">
        <is>
          <t>CH1</t>
        </is>
      </c>
    </row>
    <row r="2621">
      <c r="A2621" s="33" t="n">
        <v>45883</v>
      </c>
      <c r="B2621" t="inlineStr">
        <is>
          <t>2025-08</t>
        </is>
      </c>
      <c r="C2621" t="inlineStr">
        <is>
          <t>maria elisa grez</t>
        </is>
      </c>
      <c r="D2621" t="inlineStr">
        <is>
          <t>Delicatessen</t>
        </is>
      </c>
      <c r="E2621" s="34" t="n">
        <v>18240</v>
      </c>
      <c r="F2621" t="inlineStr">
        <is>
          <t>B</t>
        </is>
      </c>
      <c r="G2621" s="34" t="n">
        <v>2912</v>
      </c>
      <c r="H2621" s="34" t="n">
        <v>15328</v>
      </c>
      <c r="I2621" t="inlineStr">
        <is>
          <t>3.2</t>
        </is>
      </c>
      <c r="J2621" t="inlineStr">
        <is>
          <t>Ventas Personas (B2C)</t>
        </is>
      </c>
      <c r="K2621" t="inlineStr">
        <is>
          <t>CH2</t>
        </is>
      </c>
    </row>
    <row r="2622">
      <c r="A2622" s="33" t="n">
        <v>45883</v>
      </c>
      <c r="B2622" t="inlineStr">
        <is>
          <t>2025-08</t>
        </is>
      </c>
      <c r="C2622" t="inlineStr">
        <is>
          <t>Paola Espinoza</t>
        </is>
      </c>
      <c r="D2622" t="inlineStr">
        <is>
          <t>Petit Tradicional</t>
        </is>
      </c>
      <c r="E2622" s="34" t="n">
        <v>50500</v>
      </c>
      <c r="F2622" t="inlineStr">
        <is>
          <t>B</t>
        </is>
      </c>
      <c r="G2622" s="34" t="n">
        <v>8063</v>
      </c>
      <c r="H2622" s="34" t="n">
        <v>42437</v>
      </c>
      <c r="I2622" t="inlineStr">
        <is>
          <t>3.2</t>
        </is>
      </c>
      <c r="J2622" t="inlineStr">
        <is>
          <t>Ventas Personas (B2C)</t>
        </is>
      </c>
      <c r="K2622" t="inlineStr">
        <is>
          <t>CH2</t>
        </is>
      </c>
    </row>
    <row r="2623">
      <c r="A2623" s="33" t="n">
        <v>45883</v>
      </c>
      <c r="B2623" t="inlineStr">
        <is>
          <t>2025-08</t>
        </is>
      </c>
      <c r="C2623" t="inlineStr">
        <is>
          <t>Paola Espinoza</t>
        </is>
      </c>
      <c r="D2623" t="inlineStr">
        <is>
          <t>CANELÉ TRADICIONAL</t>
        </is>
      </c>
      <c r="E2623" s="34" t="n">
        <v>5000</v>
      </c>
      <c r="F2623" t="inlineStr">
        <is>
          <t>B</t>
        </is>
      </c>
      <c r="G2623" s="34" t="n">
        <v>798</v>
      </c>
      <c r="H2623" s="34" t="n">
        <v>4202</v>
      </c>
      <c r="I2623" t="inlineStr">
        <is>
          <t>3.2</t>
        </is>
      </c>
      <c r="J2623" t="inlineStr">
        <is>
          <t>Ventas Personas (B2C)</t>
        </is>
      </c>
      <c r="K2623" t="inlineStr">
        <is>
          <t>CH2</t>
        </is>
      </c>
    </row>
    <row r="2624">
      <c r="A2624" s="33" t="n">
        <v>45883</v>
      </c>
      <c r="B2624" t="inlineStr">
        <is>
          <t>2025-08</t>
        </is>
      </c>
      <c r="C2624" t="inlineStr">
        <is>
          <t>Dianmar Briceño</t>
        </is>
      </c>
      <c r="D2624" t="inlineStr">
        <is>
          <t>REGION METROPOLITANA</t>
        </is>
      </c>
      <c r="E2624" s="34" t="n">
        <v>18000</v>
      </c>
      <c r="F2624" t="inlineStr">
        <is>
          <t>B</t>
        </is>
      </c>
      <c r="G2624" s="34" t="n">
        <v>2874</v>
      </c>
      <c r="H2624" s="34" t="n">
        <v>15126</v>
      </c>
      <c r="I2624" t="inlineStr">
        <is>
          <t>3.2</t>
        </is>
      </c>
      <c r="J2624" t="inlineStr">
        <is>
          <t>Ventas Personas (B2C)</t>
        </is>
      </c>
      <c r="K2624" t="inlineStr">
        <is>
          <t>CH2</t>
        </is>
      </c>
    </row>
    <row r="2625">
      <c r="A2625" s="33" t="n">
        <v>45884</v>
      </c>
      <c r="B2625" t="inlineStr">
        <is>
          <t>2025-08</t>
        </is>
      </c>
      <c r="C2625" t="inlineStr">
        <is>
          <t>POMPON SPA</t>
        </is>
      </c>
      <c r="D2625" t="inlineStr">
        <is>
          <t>HORECA CAFETERIA</t>
        </is>
      </c>
      <c r="E2625" s="34" t="n">
        <v>166386</v>
      </c>
      <c r="F2625" t="inlineStr">
        <is>
          <t>F</t>
        </is>
      </c>
      <c r="G2625" s="34" t="n">
        <v>26566</v>
      </c>
      <c r="H2625" s="34" t="n">
        <v>139820</v>
      </c>
      <c r="I2625" t="inlineStr">
        <is>
          <t>3.1</t>
        </is>
      </c>
      <c r="J2625" t="inlineStr">
        <is>
          <t>Ventas HoReCa</t>
        </is>
      </c>
      <c r="K2625" t="inlineStr">
        <is>
          <t>CH1</t>
        </is>
      </c>
    </row>
    <row r="2626">
      <c r="A2626" s="33" t="n">
        <v>45884</v>
      </c>
      <c r="B2626" t="inlineStr">
        <is>
          <t>2025-08</t>
        </is>
      </c>
      <c r="C2626" t="inlineStr">
        <is>
          <t>Better Food Spa</t>
        </is>
      </c>
      <c r="D2626" t="inlineStr">
        <is>
          <t>HORECA CAFETERIA</t>
        </is>
      </c>
      <c r="E2626" s="34" t="n">
        <v>385132</v>
      </c>
      <c r="F2626" t="inlineStr">
        <is>
          <t>F</t>
        </is>
      </c>
      <c r="G2626" s="34" t="n">
        <v>61492</v>
      </c>
      <c r="H2626" s="34" t="n">
        <v>323640</v>
      </c>
      <c r="I2626" t="inlineStr">
        <is>
          <t>3.1</t>
        </is>
      </c>
      <c r="J2626" t="inlineStr">
        <is>
          <t>Ventas HoReCa</t>
        </is>
      </c>
      <c r="K2626" t="inlineStr">
        <is>
          <t>CH1</t>
        </is>
      </c>
    </row>
    <row r="2627">
      <c r="A2627" s="33" t="n">
        <v>45884</v>
      </c>
      <c r="B2627" t="inlineStr">
        <is>
          <t>2025-08</t>
        </is>
      </c>
      <c r="C2627" t="inlineStr">
        <is>
          <t>Sin cliente</t>
        </is>
      </c>
      <c r="D2627" t="inlineStr">
        <is>
          <t>Petit Tradicional</t>
        </is>
      </c>
      <c r="E2627" s="34" t="n">
        <v>12900</v>
      </c>
      <c r="F2627" t="inlineStr">
        <is>
          <t>B</t>
        </is>
      </c>
      <c r="G2627" s="34" t="n">
        <v>2060</v>
      </c>
      <c r="H2627" s="34" t="n">
        <v>10840</v>
      </c>
      <c r="I2627" t="inlineStr">
        <is>
          <t>3.2</t>
        </is>
      </c>
      <c r="J2627" t="inlineStr">
        <is>
          <t>Ventas Personas (B2C)</t>
        </is>
      </c>
      <c r="K2627" t="inlineStr">
        <is>
          <t>CH2</t>
        </is>
      </c>
    </row>
    <row r="2628">
      <c r="A2628" s="33" t="n">
        <v>45884</v>
      </c>
      <c r="B2628" t="inlineStr">
        <is>
          <t>2025-08</t>
        </is>
      </c>
      <c r="C2628" t="inlineStr">
        <is>
          <t>Sin cliente</t>
        </is>
      </c>
      <c r="D2628" t="inlineStr">
        <is>
          <t>PLATAFORMAS RAP-PEYA-UBER-GOOD</t>
        </is>
      </c>
      <c r="E2628" s="34" t="n">
        <v>15480</v>
      </c>
      <c r="F2628" t="inlineStr">
        <is>
          <t>B</t>
        </is>
      </c>
      <c r="G2628" s="34" t="n">
        <v>2472</v>
      </c>
      <c r="H2628" s="34" t="n">
        <v>13008</v>
      </c>
      <c r="I2628" t="inlineStr">
        <is>
          <t>3.6</t>
        </is>
      </c>
      <c r="J2628" t="inlineStr">
        <is>
          <t>Ventas Delivery Apps</t>
        </is>
      </c>
      <c r="K2628" t="inlineStr">
        <is>
          <t>CH3</t>
        </is>
      </c>
    </row>
    <row r="2629">
      <c r="A2629" s="33" t="n">
        <v>45884</v>
      </c>
      <c r="B2629" t="inlineStr">
        <is>
          <t>2025-08</t>
        </is>
      </c>
      <c r="C2629" t="inlineStr">
        <is>
          <t>Min Kwon</t>
        </is>
      </c>
      <c r="D2629" t="inlineStr">
        <is>
          <t>Mix Sabores</t>
        </is>
      </c>
      <c r="E2629" s="34" t="n">
        <v>29800</v>
      </c>
      <c r="F2629" t="inlineStr">
        <is>
          <t>B</t>
        </is>
      </c>
      <c r="G2629" s="34" t="n">
        <v>4758</v>
      </c>
      <c r="H2629" s="34" t="n">
        <v>25042</v>
      </c>
      <c r="I2629" t="inlineStr">
        <is>
          <t>3.2</t>
        </is>
      </c>
      <c r="J2629" t="inlineStr">
        <is>
          <t>Ventas Personas (B2C)</t>
        </is>
      </c>
      <c r="K2629" t="inlineStr">
        <is>
          <t>CH2</t>
        </is>
      </c>
    </row>
    <row r="2630">
      <c r="A2630" s="33" t="n">
        <v>45884</v>
      </c>
      <c r="B2630" t="inlineStr">
        <is>
          <t>2025-08</t>
        </is>
      </c>
      <c r="C2630" t="inlineStr">
        <is>
          <t>DANIEL BURKSDORF</t>
        </is>
      </c>
      <c r="D2630" t="inlineStr">
        <is>
          <t>CANELÉ TRADICIONAL</t>
        </is>
      </c>
      <c r="E2630" s="34" t="n">
        <v>21900</v>
      </c>
      <c r="F2630" t="inlineStr">
        <is>
          <t>B</t>
        </is>
      </c>
      <c r="G2630" s="34" t="n">
        <v>3497</v>
      </c>
      <c r="H2630" s="34" t="n">
        <v>18403</v>
      </c>
      <c r="I2630" t="inlineStr">
        <is>
          <t>3.2</t>
        </is>
      </c>
      <c r="J2630" t="inlineStr">
        <is>
          <t>Ventas Personas (B2C)</t>
        </is>
      </c>
      <c r="K2630" t="inlineStr">
        <is>
          <t>CH2</t>
        </is>
      </c>
    </row>
    <row r="2631">
      <c r="A2631" s="33" t="n">
        <v>45884</v>
      </c>
      <c r="B2631" t="inlineStr">
        <is>
          <t>2025-08</t>
        </is>
      </c>
      <c r="C2631" t="inlineStr">
        <is>
          <t>Sin cliente</t>
        </is>
      </c>
      <c r="D2631" t="inlineStr">
        <is>
          <t>CANELÉ TRADICIONAL</t>
        </is>
      </c>
      <c r="E2631" s="34" t="n">
        <v>29400</v>
      </c>
      <c r="F2631" t="inlineStr">
        <is>
          <t>B</t>
        </is>
      </c>
      <c r="G2631" s="34" t="n">
        <v>4694</v>
      </c>
      <c r="H2631" s="34" t="n">
        <v>24706</v>
      </c>
      <c r="I2631" t="inlineStr">
        <is>
          <t>3.2</t>
        </is>
      </c>
      <c r="J2631" t="inlineStr">
        <is>
          <t>Ventas Personas (B2C)</t>
        </is>
      </c>
      <c r="K2631" t="inlineStr">
        <is>
          <t>CH2</t>
        </is>
      </c>
    </row>
    <row r="2632">
      <c r="A2632" s="33" t="n">
        <v>45885</v>
      </c>
      <c r="B2632" t="inlineStr">
        <is>
          <t>2025-08</t>
        </is>
      </c>
      <c r="C2632" t="inlineStr">
        <is>
          <t>Ting Ting Lee</t>
        </is>
      </c>
      <c r="D2632" t="inlineStr">
        <is>
          <t>Petit Crunchy</t>
        </is>
      </c>
      <c r="E2632" s="34" t="n">
        <v>25900</v>
      </c>
      <c r="F2632" t="inlineStr">
        <is>
          <t>B</t>
        </is>
      </c>
      <c r="G2632" s="34" t="n">
        <v>4135</v>
      </c>
      <c r="H2632" s="34" t="n">
        <v>21765</v>
      </c>
      <c r="I2632" t="inlineStr">
        <is>
          <t>3.2</t>
        </is>
      </c>
      <c r="J2632" t="inlineStr">
        <is>
          <t>Ventas Personas (B2C)</t>
        </is>
      </c>
      <c r="K2632" t="inlineStr">
        <is>
          <t>CH2</t>
        </is>
      </c>
    </row>
    <row r="2633">
      <c r="A2633" s="33" t="n">
        <v>45885</v>
      </c>
      <c r="B2633" t="inlineStr">
        <is>
          <t>2025-08</t>
        </is>
      </c>
      <c r="C2633" t="inlineStr">
        <is>
          <t>Francisca Richard</t>
        </is>
      </c>
      <c r="D2633" t="inlineStr">
        <is>
          <t>CANELÉ TRADICIONAL</t>
        </is>
      </c>
      <c r="E2633" s="34" t="n">
        <v>14289</v>
      </c>
      <c r="F2633" t="inlineStr">
        <is>
          <t>B</t>
        </is>
      </c>
      <c r="G2633" s="34" t="n">
        <v>2281</v>
      </c>
      <c r="H2633" s="34" t="n">
        <v>12008</v>
      </c>
      <c r="I2633" t="inlineStr">
        <is>
          <t>3.2</t>
        </is>
      </c>
      <c r="J2633" t="inlineStr">
        <is>
          <t>Ventas Personas (B2C)</t>
        </is>
      </c>
      <c r="K2633" t="inlineStr">
        <is>
          <t>CH2</t>
        </is>
      </c>
    </row>
    <row r="2634">
      <c r="A2634" s="33" t="n">
        <v>45885</v>
      </c>
      <c r="B2634" t="inlineStr">
        <is>
          <t>2025-08</t>
        </is>
      </c>
      <c r="C2634" t="inlineStr">
        <is>
          <t>Sin cliente</t>
        </is>
      </c>
      <c r="D2634" t="inlineStr">
        <is>
          <t>CANELÉ TRADICIONAL</t>
        </is>
      </c>
      <c r="E2634" s="34" t="n">
        <v>14900</v>
      </c>
      <c r="F2634" t="inlineStr">
        <is>
          <t>B</t>
        </is>
      </c>
      <c r="G2634" s="34" t="n">
        <v>2379</v>
      </c>
      <c r="H2634" s="34" t="n">
        <v>12521</v>
      </c>
      <c r="I2634" t="inlineStr">
        <is>
          <t>3.2</t>
        </is>
      </c>
      <c r="J2634" t="inlineStr">
        <is>
          <t>Ventas Personas (B2C)</t>
        </is>
      </c>
      <c r="K2634" t="inlineStr">
        <is>
          <t>CH2</t>
        </is>
      </c>
    </row>
    <row r="2635">
      <c r="A2635" s="33" t="n">
        <v>45885</v>
      </c>
      <c r="B2635" t="inlineStr">
        <is>
          <t>2025-08</t>
        </is>
      </c>
      <c r="C2635" t="inlineStr">
        <is>
          <t>Sin cliente</t>
        </is>
      </c>
      <c r="D2635" t="inlineStr">
        <is>
          <t>PLATAFORMAS RAP-PEYA-UBER-GOOD</t>
        </is>
      </c>
      <c r="E2635" s="34" t="n">
        <v>30960</v>
      </c>
      <c r="F2635" t="inlineStr">
        <is>
          <t>B</t>
        </is>
      </c>
      <c r="G2635" s="34" t="n">
        <v>4943</v>
      </c>
      <c r="H2635" s="34" t="n">
        <v>26017</v>
      </c>
      <c r="I2635" t="inlineStr">
        <is>
          <t>3.6</t>
        </is>
      </c>
      <c r="J2635" t="inlineStr">
        <is>
          <t>Ventas Delivery Apps</t>
        </is>
      </c>
      <c r="K2635" t="inlineStr">
        <is>
          <t>CH3</t>
        </is>
      </c>
    </row>
    <row r="2636">
      <c r="A2636" s="33" t="n">
        <v>45885</v>
      </c>
      <c r="B2636" t="inlineStr">
        <is>
          <t>2025-08</t>
        </is>
      </c>
      <c r="C2636" t="inlineStr">
        <is>
          <t>Carole Mazurek</t>
        </is>
      </c>
      <c r="D2636" t="inlineStr">
        <is>
          <t>CANELÉ TRADICIONAL</t>
        </is>
      </c>
      <c r="E2636" s="34" t="n">
        <v>46780</v>
      </c>
      <c r="F2636" t="inlineStr">
        <is>
          <t>B</t>
        </is>
      </c>
      <c r="G2636" s="34" t="n">
        <v>7469</v>
      </c>
      <c r="H2636" s="34" t="n">
        <v>39311</v>
      </c>
      <c r="I2636" t="inlineStr">
        <is>
          <t>3.2</t>
        </is>
      </c>
      <c r="J2636" t="inlineStr">
        <is>
          <t>Ventas Personas (B2C)</t>
        </is>
      </c>
      <c r="K2636" t="inlineStr">
        <is>
          <t>CH2</t>
        </is>
      </c>
    </row>
    <row r="2637">
      <c r="A2637" s="33" t="n">
        <v>45885</v>
      </c>
      <c r="B2637" t="inlineStr">
        <is>
          <t>2025-08</t>
        </is>
      </c>
      <c r="C2637" t="inlineStr">
        <is>
          <t>Andrea Fogliatti</t>
        </is>
      </c>
      <c r="D2637" t="inlineStr">
        <is>
          <t>Rellenos</t>
        </is>
      </c>
      <c r="E2637" s="34" t="n">
        <v>59886</v>
      </c>
      <c r="F2637" t="inlineStr">
        <is>
          <t>B</t>
        </is>
      </c>
      <c r="G2637" s="34" t="n">
        <v>9562</v>
      </c>
      <c r="H2637" s="34" t="n">
        <v>50324</v>
      </c>
      <c r="I2637" t="inlineStr">
        <is>
          <t>3.2</t>
        </is>
      </c>
      <c r="J2637" t="inlineStr">
        <is>
          <t>Ventas Personas (B2C)</t>
        </is>
      </c>
      <c r="K2637" t="inlineStr">
        <is>
          <t>CH2</t>
        </is>
      </c>
    </row>
    <row r="2638">
      <c r="A2638" s="33" t="n">
        <v>45885</v>
      </c>
      <c r="B2638" t="inlineStr">
        <is>
          <t>2025-08</t>
        </is>
      </c>
      <c r="C2638" t="inlineStr">
        <is>
          <t>Sin cliente</t>
        </is>
      </c>
      <c r="D2638" t="inlineStr">
        <is>
          <t>Petit Tradicional</t>
        </is>
      </c>
      <c r="E2638" s="34" t="n">
        <v>39800</v>
      </c>
      <c r="F2638" t="inlineStr">
        <is>
          <t>B</t>
        </is>
      </c>
      <c r="G2638" s="34" t="n">
        <v>6355</v>
      </c>
      <c r="H2638" s="34" t="n">
        <v>33445</v>
      </c>
      <c r="I2638" t="inlineStr">
        <is>
          <t>3.2</t>
        </is>
      </c>
      <c r="J2638" t="inlineStr">
        <is>
          <t>Ventas Personas (B2C)</t>
        </is>
      </c>
      <c r="K2638" t="inlineStr">
        <is>
          <t>CH2</t>
        </is>
      </c>
    </row>
    <row r="2639">
      <c r="A2639" s="33" t="n">
        <v>45885</v>
      </c>
      <c r="B2639" t="inlineStr">
        <is>
          <t>2025-08</t>
        </is>
      </c>
      <c r="C2639" t="inlineStr">
        <is>
          <t>Sin cliente</t>
        </is>
      </c>
      <c r="D2639" t="inlineStr">
        <is>
          <t>CANELÉ TRADICIONAL</t>
        </is>
      </c>
      <c r="E2639" s="34" t="n">
        <v>14900</v>
      </c>
      <c r="F2639" t="inlineStr">
        <is>
          <t>B</t>
        </is>
      </c>
      <c r="G2639" s="34" t="n">
        <v>2379</v>
      </c>
      <c r="H2639" s="34" t="n">
        <v>12521</v>
      </c>
      <c r="I2639" t="inlineStr">
        <is>
          <t>3.2</t>
        </is>
      </c>
      <c r="J2639" t="inlineStr">
        <is>
          <t>Ventas Personas (B2C)</t>
        </is>
      </c>
      <c r="K2639" t="inlineStr">
        <is>
          <t>CH2</t>
        </is>
      </c>
    </row>
    <row r="2640">
      <c r="A2640" s="33" t="n">
        <v>45887</v>
      </c>
      <c r="B2640" t="inlineStr">
        <is>
          <t>2025-08</t>
        </is>
      </c>
      <c r="C2640" t="inlineStr">
        <is>
          <t>CAFETERÍA ALTURA LIMITADA</t>
        </is>
      </c>
      <c r="D2640" t="inlineStr">
        <is>
          <t>HORECA CAFETERIA</t>
        </is>
      </c>
      <c r="E2640" s="34" t="n">
        <v>85831</v>
      </c>
      <c r="F2640" t="inlineStr">
        <is>
          <t>F</t>
        </is>
      </c>
      <c r="G2640" s="34" t="n">
        <v>13704</v>
      </c>
      <c r="H2640" s="34" t="n">
        <v>72127</v>
      </c>
      <c r="I2640" t="inlineStr">
        <is>
          <t>3.1</t>
        </is>
      </c>
      <c r="J2640" t="inlineStr">
        <is>
          <t>Ventas HoReCa</t>
        </is>
      </c>
      <c r="K2640" t="inlineStr">
        <is>
          <t>CH1</t>
        </is>
      </c>
    </row>
    <row r="2641">
      <c r="A2641" s="33" t="n">
        <v>45887</v>
      </c>
      <c r="B2641" t="inlineStr">
        <is>
          <t>2025-08</t>
        </is>
      </c>
      <c r="C2641" t="inlineStr">
        <is>
          <t>INVERSIONES Y COMERCIALIZADORA FED LIMITADA</t>
        </is>
      </c>
      <c r="D2641" t="inlineStr">
        <is>
          <t>HORECA CAFETERIA</t>
        </is>
      </c>
      <c r="E2641" s="34" t="n">
        <v>114110</v>
      </c>
      <c r="F2641" t="inlineStr">
        <is>
          <t>F</t>
        </is>
      </c>
      <c r="G2641" s="34" t="n">
        <v>18219</v>
      </c>
      <c r="H2641" s="34" t="n">
        <v>95891</v>
      </c>
      <c r="I2641" t="inlineStr">
        <is>
          <t>3.1</t>
        </is>
      </c>
      <c r="J2641" t="inlineStr">
        <is>
          <t>Ventas HoReCa</t>
        </is>
      </c>
      <c r="K2641" t="inlineStr">
        <is>
          <t>CH1</t>
        </is>
      </c>
    </row>
    <row r="2642">
      <c r="A2642" s="33" t="n">
        <v>45887</v>
      </c>
      <c r="B2642" t="inlineStr">
        <is>
          <t>2025-08</t>
        </is>
      </c>
      <c r="C2642" t="inlineStr">
        <is>
          <t>INVERSIONES Y COMERCIALIZADORA FED LIMITADA</t>
        </is>
      </c>
      <c r="D2642" t="inlineStr">
        <is>
          <t>HORECA CAFETERIA</t>
        </is>
      </c>
      <c r="E2642" s="34" t="n">
        <v>225738</v>
      </c>
      <c r="F2642" t="inlineStr">
        <is>
          <t>F</t>
        </is>
      </c>
      <c r="G2642" s="34" t="n">
        <v>36042</v>
      </c>
      <c r="H2642" s="34" t="n">
        <v>189696</v>
      </c>
      <c r="I2642" t="inlineStr">
        <is>
          <t>3.1</t>
        </is>
      </c>
      <c r="J2642" t="inlineStr">
        <is>
          <t>Ventas HoReCa</t>
        </is>
      </c>
      <c r="K2642" t="inlineStr">
        <is>
          <t>CH1</t>
        </is>
      </c>
    </row>
    <row r="2643">
      <c r="A2643" s="33" t="n">
        <v>45887</v>
      </c>
      <c r="B2643" t="inlineStr">
        <is>
          <t>2025-08</t>
        </is>
      </c>
      <c r="C2643" t="inlineStr">
        <is>
          <t>BUSTORF LARSEN Y COMPANIA LIMITADA</t>
        </is>
      </c>
      <c r="D2643" t="inlineStr">
        <is>
          <t>HORECA CAFETERIA</t>
        </is>
      </c>
      <c r="E2643" s="34" t="n">
        <v>68179</v>
      </c>
      <c r="F2643" t="inlineStr">
        <is>
          <t>F</t>
        </is>
      </c>
      <c r="G2643" s="34" t="n">
        <v>10886</v>
      </c>
      <c r="H2643" s="34" t="n">
        <v>57293</v>
      </c>
      <c r="I2643" t="inlineStr">
        <is>
          <t>3.1</t>
        </is>
      </c>
      <c r="J2643" t="inlineStr">
        <is>
          <t>Ventas HoReCa</t>
        </is>
      </c>
      <c r="K2643" t="inlineStr">
        <is>
          <t>CH1</t>
        </is>
      </c>
    </row>
    <row r="2644">
      <c r="A2644" s="33" t="n">
        <v>45887</v>
      </c>
      <c r="B2644" t="inlineStr">
        <is>
          <t>2025-08</t>
        </is>
      </c>
      <c r="C2644" t="inlineStr">
        <is>
          <t>BUSTORF LARSEN Y COMPANIA LIMITADA</t>
        </is>
      </c>
      <c r="D2644" t="inlineStr">
        <is>
          <t>HORECA CAFETERIA</t>
        </is>
      </c>
      <c r="E2644" s="34" t="n">
        <v>69178</v>
      </c>
      <c r="F2644" t="inlineStr">
        <is>
          <t>F</t>
        </is>
      </c>
      <c r="G2644" s="34" t="n">
        <v>11045</v>
      </c>
      <c r="H2644" s="34" t="n">
        <v>58133</v>
      </c>
      <c r="I2644" t="inlineStr">
        <is>
          <t>3.1</t>
        </is>
      </c>
      <c r="J2644" t="inlineStr">
        <is>
          <t>Ventas HoReCa</t>
        </is>
      </c>
      <c r="K2644" t="inlineStr">
        <is>
          <t>CH1</t>
        </is>
      </c>
    </row>
    <row r="2645">
      <c r="A2645" s="33" t="n">
        <v>45887</v>
      </c>
      <c r="B2645" t="inlineStr">
        <is>
          <t>2025-08</t>
        </is>
      </c>
      <c r="C2645" t="inlineStr">
        <is>
          <t>POMPON SPA</t>
        </is>
      </c>
      <c r="D2645" t="inlineStr">
        <is>
          <t>HORECA CAFETERIA</t>
        </is>
      </c>
      <c r="E2645" s="34" t="n">
        <v>118587</v>
      </c>
      <c r="F2645" t="inlineStr">
        <is>
          <t>F</t>
        </is>
      </c>
      <c r="G2645" s="34" t="n">
        <v>18934</v>
      </c>
      <c r="H2645" s="34" t="n">
        <v>99653</v>
      </c>
      <c r="I2645" t="inlineStr">
        <is>
          <t>3.1</t>
        </is>
      </c>
      <c r="J2645" t="inlineStr">
        <is>
          <t>Ventas HoReCa</t>
        </is>
      </c>
      <c r="K2645" t="inlineStr">
        <is>
          <t>CH1</t>
        </is>
      </c>
    </row>
    <row r="2646">
      <c r="A2646" s="33" t="n">
        <v>45887</v>
      </c>
      <c r="B2646" t="inlineStr">
        <is>
          <t>2025-08</t>
        </is>
      </c>
      <c r="C2646" t="inlineStr">
        <is>
          <t>INVERSIONES Y ASESORIAS RAVAL LIMITADA</t>
        </is>
      </c>
      <c r="D2646" t="inlineStr">
        <is>
          <t>HORECA CAFETERIA</t>
        </is>
      </c>
      <c r="E2646" s="34" t="n">
        <v>72169</v>
      </c>
      <c r="F2646" t="inlineStr">
        <is>
          <t>F</t>
        </is>
      </c>
      <c r="G2646" s="34" t="n">
        <v>11523</v>
      </c>
      <c r="H2646" s="34" t="n">
        <v>60646</v>
      </c>
      <c r="I2646" t="inlineStr">
        <is>
          <t>3.1</t>
        </is>
      </c>
      <c r="J2646" t="inlineStr">
        <is>
          <t>Ventas HoReCa</t>
        </is>
      </c>
      <c r="K2646" t="inlineStr">
        <is>
          <t>CH1</t>
        </is>
      </c>
    </row>
    <row r="2647">
      <c r="A2647" s="33" t="n">
        <v>45887</v>
      </c>
      <c r="B2647" t="inlineStr">
        <is>
          <t>2025-08</t>
        </is>
      </c>
      <c r="C2647" t="inlineStr">
        <is>
          <t>Camila Rosale</t>
        </is>
      </c>
      <c r="D2647" t="inlineStr">
        <is>
          <t>CANELÉ TRADICIONAL</t>
        </is>
      </c>
      <c r="E2647" s="34" t="n">
        <v>6239</v>
      </c>
      <c r="F2647" t="inlineStr">
        <is>
          <t>B</t>
        </is>
      </c>
      <c r="G2647" s="34" t="n">
        <v>996</v>
      </c>
      <c r="H2647" s="34" t="n">
        <v>5243</v>
      </c>
      <c r="I2647" t="inlineStr">
        <is>
          <t>3.2</t>
        </is>
      </c>
      <c r="J2647" t="inlineStr">
        <is>
          <t>Ventas Personas (B2C)</t>
        </is>
      </c>
      <c r="K2647" t="inlineStr">
        <is>
          <t>CH2</t>
        </is>
      </c>
    </row>
    <row r="2648">
      <c r="A2648" s="33" t="n">
        <v>45887</v>
      </c>
      <c r="B2648" t="inlineStr">
        <is>
          <t>2025-08</t>
        </is>
      </c>
      <c r="C2648" t="inlineStr">
        <is>
          <t>Constanza Pino</t>
        </is>
      </c>
      <c r="D2648" t="inlineStr">
        <is>
          <t>Petit Crunchy</t>
        </is>
      </c>
      <c r="E2648" s="34" t="n">
        <v>38889</v>
      </c>
      <c r="F2648" t="inlineStr">
        <is>
          <t>B</t>
        </is>
      </c>
      <c r="G2648" s="34" t="n">
        <v>6209</v>
      </c>
      <c r="H2648" s="34" t="n">
        <v>32680</v>
      </c>
      <c r="I2648" t="inlineStr">
        <is>
          <t>3.2</t>
        </is>
      </c>
      <c r="J2648" t="inlineStr">
        <is>
          <t>Ventas Personas (B2C)</t>
        </is>
      </c>
      <c r="K2648" t="inlineStr">
        <is>
          <t>CH2</t>
        </is>
      </c>
    </row>
    <row r="2649">
      <c r="A2649" s="33" t="n">
        <v>45887</v>
      </c>
      <c r="B2649" t="inlineStr">
        <is>
          <t>2025-08</t>
        </is>
      </c>
      <c r="C2649" t="inlineStr">
        <is>
          <t>Matias Medina Zelada</t>
        </is>
      </c>
      <c r="D2649" t="inlineStr">
        <is>
          <t>Petit Crunchy</t>
        </is>
      </c>
      <c r="E2649" s="34" t="n">
        <v>17889</v>
      </c>
      <c r="F2649" t="inlineStr">
        <is>
          <t>B</t>
        </is>
      </c>
      <c r="G2649" s="34" t="n">
        <v>2856</v>
      </c>
      <c r="H2649" s="34" t="n">
        <v>15033</v>
      </c>
      <c r="I2649" t="inlineStr">
        <is>
          <t>3.2</t>
        </is>
      </c>
      <c r="J2649" t="inlineStr">
        <is>
          <t>Ventas Personas (B2C)</t>
        </is>
      </c>
      <c r="K2649" t="inlineStr">
        <is>
          <t>CH2</t>
        </is>
      </c>
    </row>
    <row r="2650">
      <c r="A2650" s="33" t="n">
        <v>45887</v>
      </c>
      <c r="B2650" t="inlineStr">
        <is>
          <t>2025-08</t>
        </is>
      </c>
      <c r="C2650" t="inlineStr">
        <is>
          <t>Lourdes Dominguez</t>
        </is>
      </c>
      <c r="D2650" t="inlineStr">
        <is>
          <t>CANELÉ TRADICIONAL</t>
        </is>
      </c>
      <c r="E2650" s="34" t="n">
        <v>18889</v>
      </c>
      <c r="F2650" t="inlineStr">
        <is>
          <t>B</t>
        </is>
      </c>
      <c r="G2650" s="34" t="n">
        <v>3016</v>
      </c>
      <c r="H2650" s="34" t="n">
        <v>15873</v>
      </c>
      <c r="I2650" t="inlineStr">
        <is>
          <t>3.2</t>
        </is>
      </c>
      <c r="J2650" t="inlineStr">
        <is>
          <t>Ventas Personas (B2C)</t>
        </is>
      </c>
      <c r="K2650" t="inlineStr">
        <is>
          <t>CH2</t>
        </is>
      </c>
    </row>
    <row r="2651">
      <c r="A2651" s="33" t="n">
        <v>45887</v>
      </c>
      <c r="B2651" t="inlineStr">
        <is>
          <t>2025-08</t>
        </is>
      </c>
      <c r="C2651" t="inlineStr">
        <is>
          <t>Sin cliente</t>
        </is>
      </c>
      <c r="D2651" t="inlineStr">
        <is>
          <t>CANELÉ TRADICIONAL</t>
        </is>
      </c>
      <c r="E2651" s="34" t="n">
        <v>50780</v>
      </c>
      <c r="F2651" t="inlineStr">
        <is>
          <t>B</t>
        </is>
      </c>
      <c r="G2651" s="34" t="n">
        <v>8108</v>
      </c>
      <c r="H2651" s="34" t="n">
        <v>42672</v>
      </c>
      <c r="I2651" t="inlineStr">
        <is>
          <t>3.2</t>
        </is>
      </c>
      <c r="J2651" t="inlineStr">
        <is>
          <t>Ventas Personas (B2C)</t>
        </is>
      </c>
      <c r="K2651" t="inlineStr">
        <is>
          <t>CH2</t>
        </is>
      </c>
    </row>
    <row r="2652">
      <c r="A2652" s="33" t="n">
        <v>45887</v>
      </c>
      <c r="B2652" t="inlineStr">
        <is>
          <t>2025-08</t>
        </is>
      </c>
      <c r="C2652" t="inlineStr">
        <is>
          <t>VIEIRA Y VIEIRA SPA</t>
        </is>
      </c>
      <c r="D2652" t="inlineStr">
        <is>
          <t>HORECA CAFETERIA</t>
        </is>
      </c>
      <c r="E2652" s="34" t="n">
        <v>37084</v>
      </c>
      <c r="F2652" t="inlineStr">
        <is>
          <t>F</t>
        </is>
      </c>
      <c r="G2652" s="34" t="n">
        <v>5921</v>
      </c>
      <c r="H2652" s="34" t="n">
        <v>31163</v>
      </c>
      <c r="I2652" t="inlineStr">
        <is>
          <t>3.1</t>
        </is>
      </c>
      <c r="J2652" t="inlineStr">
        <is>
          <t>Ventas HoReCa</t>
        </is>
      </c>
      <c r="K2652" t="inlineStr">
        <is>
          <t>CH1</t>
        </is>
      </c>
    </row>
    <row r="2653">
      <c r="A2653" s="33" t="n">
        <v>45887</v>
      </c>
      <c r="B2653" t="inlineStr">
        <is>
          <t>2025-08</t>
        </is>
      </c>
      <c r="C2653" t="inlineStr">
        <is>
          <t>Sin cliente</t>
        </is>
      </c>
      <c r="D2653" t="inlineStr">
        <is>
          <t>CANELÉ TRADICIONAL</t>
        </is>
      </c>
      <c r="E2653" s="34" t="n">
        <v>15026</v>
      </c>
      <c r="F2653" t="inlineStr">
        <is>
          <t>B</t>
        </is>
      </c>
      <c r="G2653" s="34" t="n">
        <v>2399</v>
      </c>
      <c r="H2653" s="34" t="n">
        <v>12627</v>
      </c>
      <c r="I2653" t="inlineStr">
        <is>
          <t>3.2</t>
        </is>
      </c>
      <c r="J2653" t="inlineStr">
        <is>
          <t>Ventas Personas (B2C)</t>
        </is>
      </c>
      <c r="K2653" t="inlineStr">
        <is>
          <t>CH2</t>
        </is>
      </c>
    </row>
    <row r="2654">
      <c r="A2654" s="33" t="n">
        <v>45887</v>
      </c>
      <c r="B2654" t="inlineStr">
        <is>
          <t>2025-08</t>
        </is>
      </c>
      <c r="C2654" t="inlineStr">
        <is>
          <t>Sin cliente</t>
        </is>
      </c>
      <c r="D2654" t="inlineStr">
        <is>
          <t>CANELÉ TRADICIONAL</t>
        </is>
      </c>
      <c r="E2654" s="34" t="n">
        <v>50780</v>
      </c>
      <c r="F2654" t="inlineStr">
        <is>
          <t>B</t>
        </is>
      </c>
      <c r="G2654" s="34" t="n">
        <v>8108</v>
      </c>
      <c r="H2654" s="34" t="n">
        <v>42672</v>
      </c>
      <c r="I2654" t="inlineStr">
        <is>
          <t>3.2</t>
        </is>
      </c>
      <c r="J2654" t="inlineStr">
        <is>
          <t>Ventas Personas (B2C)</t>
        </is>
      </c>
      <c r="K2654" t="inlineStr">
        <is>
          <t>CH2</t>
        </is>
      </c>
    </row>
    <row r="2655">
      <c r="A2655" s="33" t="n">
        <v>45887</v>
      </c>
      <c r="B2655" t="inlineStr">
        <is>
          <t>2025-08</t>
        </is>
      </c>
      <c r="C2655" t="inlineStr">
        <is>
          <t>RICO SPA</t>
        </is>
      </c>
      <c r="D2655" t="inlineStr">
        <is>
          <t>HORECA CATERING</t>
        </is>
      </c>
      <c r="E2655" s="34" t="n">
        <v>210392</v>
      </c>
      <c r="F2655" t="inlineStr">
        <is>
          <t>F</t>
        </is>
      </c>
      <c r="G2655" s="34" t="n">
        <v>33592</v>
      </c>
      <c r="H2655" s="34" t="n">
        <v>176800</v>
      </c>
      <c r="I2655" t="inlineStr">
        <is>
          <t>3.1</t>
        </is>
      </c>
      <c r="J2655" t="inlineStr">
        <is>
          <t>Ventas HoReCa</t>
        </is>
      </c>
      <c r="K2655" t="inlineStr">
        <is>
          <t>CH1</t>
        </is>
      </c>
    </row>
    <row r="2656">
      <c r="A2656" s="33" t="n">
        <v>45887</v>
      </c>
      <c r="B2656" t="inlineStr">
        <is>
          <t>2025-08</t>
        </is>
      </c>
      <c r="C2656" t="inlineStr">
        <is>
          <t>Sin cliente</t>
        </is>
      </c>
      <c r="D2656" t="inlineStr">
        <is>
          <t>Petit Tradicional</t>
        </is>
      </c>
      <c r="E2656" s="34" t="n">
        <v>38800</v>
      </c>
      <c r="F2656" t="inlineStr">
        <is>
          <t>B</t>
        </is>
      </c>
      <c r="G2656" s="34" t="n">
        <v>6195</v>
      </c>
      <c r="H2656" s="34" t="n">
        <v>32605</v>
      </c>
      <c r="I2656" t="inlineStr">
        <is>
          <t>3.2</t>
        </is>
      </c>
      <c r="J2656" t="inlineStr">
        <is>
          <t>Ventas Personas (B2C)</t>
        </is>
      </c>
      <c r="K2656" t="inlineStr">
        <is>
          <t>CH2</t>
        </is>
      </c>
    </row>
    <row r="2657">
      <c r="A2657" s="33" t="n">
        <v>45887</v>
      </c>
      <c r="B2657" t="inlineStr">
        <is>
          <t>2025-08</t>
        </is>
      </c>
      <c r="C2657" t="inlineStr">
        <is>
          <t>katya avila</t>
        </is>
      </c>
      <c r="D2657" t="inlineStr">
        <is>
          <t>CANELÉ TRADICIONAL</t>
        </is>
      </c>
      <c r="E2657" s="34" t="n">
        <v>15654</v>
      </c>
      <c r="F2657" t="inlineStr">
        <is>
          <t>B</t>
        </is>
      </c>
      <c r="G2657" s="34" t="n">
        <v>2499</v>
      </c>
      <c r="H2657" s="34" t="n">
        <v>13155</v>
      </c>
      <c r="I2657" t="inlineStr">
        <is>
          <t>3.2</t>
        </is>
      </c>
      <c r="J2657" t="inlineStr">
        <is>
          <t>Ventas Personas (B2C)</t>
        </is>
      </c>
      <c r="K2657" t="inlineStr">
        <is>
          <t>CH2</t>
        </is>
      </c>
    </row>
    <row r="2658">
      <c r="A2658" s="33" t="n">
        <v>45888</v>
      </c>
      <c r="B2658" t="inlineStr">
        <is>
          <t>2025-08</t>
        </is>
      </c>
      <c r="C2658" t="inlineStr">
        <is>
          <t>BLUE OAK COFFE SPA</t>
        </is>
      </c>
      <c r="D2658" t="inlineStr">
        <is>
          <t>HORECA CAFETERIA</t>
        </is>
      </c>
      <c r="E2658" s="34" t="n">
        <v>68179</v>
      </c>
      <c r="F2658" t="inlineStr">
        <is>
          <t>F</t>
        </is>
      </c>
      <c r="G2658" s="34" t="n">
        <v>10886</v>
      </c>
      <c r="H2658" s="34" t="n">
        <v>57293</v>
      </c>
      <c r="I2658" t="inlineStr">
        <is>
          <t>3.1</t>
        </is>
      </c>
      <c r="J2658" t="inlineStr">
        <is>
          <t>Ventas HoReCa</t>
        </is>
      </c>
      <c r="K2658" t="inlineStr">
        <is>
          <t>CH1</t>
        </is>
      </c>
    </row>
    <row r="2659">
      <c r="A2659" s="33" t="n">
        <v>45888</v>
      </c>
      <c r="B2659" t="inlineStr">
        <is>
          <t>2025-08</t>
        </is>
      </c>
      <c r="C2659" t="inlineStr">
        <is>
          <t>HUERTO SUR LIMITADA</t>
        </is>
      </c>
      <c r="D2659" t="inlineStr">
        <is>
          <t>HORECA CAFETERIA</t>
        </is>
      </c>
      <c r="E2659" s="34" t="n">
        <v>100273</v>
      </c>
      <c r="F2659" t="inlineStr">
        <is>
          <t>F</t>
        </is>
      </c>
      <c r="G2659" s="34" t="n">
        <v>16010</v>
      </c>
      <c r="H2659" s="34" t="n">
        <v>84263</v>
      </c>
      <c r="I2659" t="inlineStr">
        <is>
          <t>3.1</t>
        </is>
      </c>
      <c r="J2659" t="inlineStr">
        <is>
          <t>Ventas HoReCa</t>
        </is>
      </c>
      <c r="K2659" t="inlineStr">
        <is>
          <t>CH1</t>
        </is>
      </c>
    </row>
    <row r="2660">
      <c r="A2660" s="33" t="n">
        <v>45888</v>
      </c>
      <c r="B2660" t="inlineStr">
        <is>
          <t>2025-08</t>
        </is>
      </c>
      <c r="C2660" t="inlineStr">
        <is>
          <t>CAFÉ ROCAMAR LIMITADA</t>
        </is>
      </c>
      <c r="D2660" t="inlineStr">
        <is>
          <t>HORECA CAFETERIA</t>
        </is>
      </c>
      <c r="E2660" s="34" t="n">
        <v>100273</v>
      </c>
      <c r="F2660" t="inlineStr">
        <is>
          <t>F</t>
        </is>
      </c>
      <c r="G2660" s="34" t="n">
        <v>16010</v>
      </c>
      <c r="H2660" s="34" t="n">
        <v>84263</v>
      </c>
      <c r="I2660" t="inlineStr">
        <is>
          <t>3.1</t>
        </is>
      </c>
      <c r="J2660" t="inlineStr">
        <is>
          <t>Ventas HoReCa</t>
        </is>
      </c>
      <c r="K2660" t="inlineStr">
        <is>
          <t>CH1</t>
        </is>
      </c>
    </row>
    <row r="2661">
      <c r="A2661" s="33" t="n">
        <v>45888</v>
      </c>
      <c r="B2661" t="inlineStr">
        <is>
          <t>2025-08</t>
        </is>
      </c>
      <c r="C2661" t="inlineStr">
        <is>
          <t>Café del Parque SpA</t>
        </is>
      </c>
      <c r="D2661" t="inlineStr">
        <is>
          <t>HORECA CAFETERIA</t>
        </is>
      </c>
      <c r="E2661" s="34" t="n">
        <v>75818</v>
      </c>
      <c r="F2661" t="inlineStr">
        <is>
          <t>F</t>
        </is>
      </c>
      <c r="G2661" s="34" t="n">
        <v>12105</v>
      </c>
      <c r="H2661" s="34" t="n">
        <v>63713</v>
      </c>
      <c r="I2661" t="inlineStr">
        <is>
          <t>3.1</t>
        </is>
      </c>
      <c r="J2661" t="inlineStr">
        <is>
          <t>Ventas HoReCa</t>
        </is>
      </c>
      <c r="K2661" t="inlineStr">
        <is>
          <t>CH1</t>
        </is>
      </c>
    </row>
    <row r="2662">
      <c r="A2662" s="33" t="n">
        <v>45888</v>
      </c>
      <c r="B2662" t="inlineStr">
        <is>
          <t>2025-08</t>
        </is>
      </c>
      <c r="C2662" t="inlineStr">
        <is>
          <t xml:space="preserve">Café lucerna spa </t>
        </is>
      </c>
      <c r="D2662" t="inlineStr">
        <is>
          <t>HORECA CAFETERIA</t>
        </is>
      </c>
      <c r="E2662" s="34" t="n">
        <v>68179</v>
      </c>
      <c r="F2662" t="inlineStr">
        <is>
          <t>F</t>
        </is>
      </c>
      <c r="G2662" s="34" t="n">
        <v>10886</v>
      </c>
      <c r="H2662" s="34" t="n">
        <v>57293</v>
      </c>
      <c r="I2662" t="inlineStr">
        <is>
          <t>3.1</t>
        </is>
      </c>
      <c r="J2662" t="inlineStr">
        <is>
          <t>Ventas HoReCa</t>
        </is>
      </c>
      <c r="K2662" t="inlineStr">
        <is>
          <t>CH1</t>
        </is>
      </c>
    </row>
    <row r="2663">
      <c r="A2663" s="33" t="n">
        <v>45888</v>
      </c>
      <c r="B2663" t="inlineStr">
        <is>
          <t>2025-08</t>
        </is>
      </c>
      <c r="C2663" t="inlineStr">
        <is>
          <t>monica guerrero</t>
        </is>
      </c>
      <c r="D2663" t="inlineStr">
        <is>
          <t>CANELÉ TRADICIONAL</t>
        </is>
      </c>
      <c r="E2663" s="34" t="n">
        <v>14900</v>
      </c>
      <c r="F2663" t="inlineStr">
        <is>
          <t>B</t>
        </is>
      </c>
      <c r="G2663" s="34" t="n">
        <v>2379</v>
      </c>
      <c r="H2663" s="34" t="n">
        <v>12521</v>
      </c>
      <c r="I2663" t="inlineStr">
        <is>
          <t>3.2</t>
        </is>
      </c>
      <c r="J2663" t="inlineStr">
        <is>
          <t>Ventas Personas (B2C)</t>
        </is>
      </c>
      <c r="K2663" t="inlineStr">
        <is>
          <t>CH2</t>
        </is>
      </c>
    </row>
    <row r="2664">
      <c r="A2664" s="33" t="n">
        <v>45888</v>
      </c>
      <c r="B2664" t="inlineStr">
        <is>
          <t>2025-08</t>
        </is>
      </c>
      <c r="C2664" t="inlineStr">
        <is>
          <t>Sin cliente</t>
        </is>
      </c>
      <c r="D2664" t="inlineStr">
        <is>
          <t>PLATAFORMAS RAP-PEYA-UBER-GOOD</t>
        </is>
      </c>
      <c r="E2664" s="34" t="n">
        <v>13080</v>
      </c>
      <c r="F2664" t="inlineStr">
        <is>
          <t>B</t>
        </is>
      </c>
      <c r="G2664" s="34" t="n">
        <v>2088</v>
      </c>
      <c r="H2664" s="34" t="n">
        <v>10992</v>
      </c>
      <c r="I2664" t="inlineStr">
        <is>
          <t>3.6</t>
        </is>
      </c>
      <c r="J2664" t="inlineStr">
        <is>
          <t>Ventas Delivery Apps</t>
        </is>
      </c>
      <c r="K2664" t="inlineStr">
        <is>
          <t>CH3</t>
        </is>
      </c>
    </row>
    <row r="2665">
      <c r="A2665" s="33" t="n">
        <v>45888</v>
      </c>
      <c r="B2665" t="inlineStr">
        <is>
          <t>2025-08</t>
        </is>
      </c>
      <c r="C2665" t="inlineStr">
        <is>
          <t>Maria Jose Grez</t>
        </is>
      </c>
      <c r="D2665" t="inlineStr">
        <is>
          <t>CANELÉ TRADICIONAL</t>
        </is>
      </c>
      <c r="E2665" s="34" t="n">
        <v>-50780</v>
      </c>
      <c r="F2665" t="inlineStr">
        <is>
          <t>NC</t>
        </is>
      </c>
      <c r="G2665" s="34" t="n">
        <v>-8108</v>
      </c>
      <c r="H2665" s="34" t="n">
        <v>-42672</v>
      </c>
      <c r="I2665" t="inlineStr">
        <is>
          <t>3.2</t>
        </is>
      </c>
      <c r="J2665" t="inlineStr">
        <is>
          <t>Ventas Personas (B2C)</t>
        </is>
      </c>
      <c r="K2665" t="inlineStr">
        <is>
          <t>CH2</t>
        </is>
      </c>
    </row>
    <row r="2666">
      <c r="A2666" s="33" t="n">
        <v>45888</v>
      </c>
      <c r="B2666" t="inlineStr">
        <is>
          <t>2025-08</t>
        </is>
      </c>
      <c r="C2666" t="inlineStr">
        <is>
          <t>Sin cliente</t>
        </is>
      </c>
      <c r="D2666" t="inlineStr">
        <is>
          <t>CANELÉ TRADICIONAL</t>
        </is>
      </c>
      <c r="E2666" s="34" t="n">
        <v>20280</v>
      </c>
      <c r="F2666" t="inlineStr">
        <is>
          <t>B</t>
        </is>
      </c>
      <c r="G2666" s="34" t="n">
        <v>3238</v>
      </c>
      <c r="H2666" s="34" t="n">
        <v>17042</v>
      </c>
      <c r="I2666" t="inlineStr">
        <is>
          <t>3.2</t>
        </is>
      </c>
      <c r="J2666" t="inlineStr">
        <is>
          <t>Ventas Personas (B2C)</t>
        </is>
      </c>
      <c r="K2666" t="inlineStr">
        <is>
          <t>CH2</t>
        </is>
      </c>
    </row>
    <row r="2667">
      <c r="A2667" s="33" t="n">
        <v>45888</v>
      </c>
      <c r="B2667" t="inlineStr">
        <is>
          <t>2025-08</t>
        </is>
      </c>
      <c r="C2667" t="inlineStr">
        <is>
          <t>Jaqueline  Misle</t>
        </is>
      </c>
      <c r="D2667" t="inlineStr">
        <is>
          <t>Mix Sabores</t>
        </is>
      </c>
      <c r="E2667" s="34" t="n">
        <v>7600</v>
      </c>
      <c r="F2667" t="inlineStr">
        <is>
          <t>B</t>
        </is>
      </c>
      <c r="G2667" s="34" t="n">
        <v>1213</v>
      </c>
      <c r="H2667" s="34" t="n">
        <v>6387</v>
      </c>
      <c r="I2667" t="inlineStr">
        <is>
          <t>3.2</t>
        </is>
      </c>
      <c r="J2667" t="inlineStr">
        <is>
          <t>Ventas Personas (B2C)</t>
        </is>
      </c>
      <c r="K2667" t="inlineStr">
        <is>
          <t>CH2</t>
        </is>
      </c>
    </row>
    <row r="2668">
      <c r="A2668" s="33" t="n">
        <v>45888</v>
      </c>
      <c r="B2668" t="inlineStr">
        <is>
          <t>2025-08</t>
        </is>
      </c>
      <c r="C2668" t="inlineStr">
        <is>
          <t>Israel Becerra Santander</t>
        </is>
      </c>
      <c r="D2668" t="inlineStr">
        <is>
          <t>Petit Crunchy</t>
        </is>
      </c>
      <c r="E2668" s="34" t="n">
        <v>39779</v>
      </c>
      <c r="F2668" t="inlineStr">
        <is>
          <t>B</t>
        </is>
      </c>
      <c r="G2668" s="34" t="n">
        <v>6351</v>
      </c>
      <c r="H2668" s="34" t="n">
        <v>33428</v>
      </c>
      <c r="I2668" t="inlineStr">
        <is>
          <t>3.2</t>
        </is>
      </c>
      <c r="J2668" t="inlineStr">
        <is>
          <t>Ventas Personas (B2C)</t>
        </is>
      </c>
      <c r="K2668" t="inlineStr">
        <is>
          <t>CH2</t>
        </is>
      </c>
    </row>
    <row r="2669">
      <c r="A2669" s="33" t="n">
        <v>45889</v>
      </c>
      <c r="B2669" t="inlineStr">
        <is>
          <t>2025-08</t>
        </is>
      </c>
      <c r="C2669" t="inlineStr">
        <is>
          <t>BACOLIO SPA</t>
        </is>
      </c>
      <c r="D2669" t="inlineStr">
        <is>
          <t>HORECA CAFETERIA</t>
        </is>
      </c>
      <c r="E2669" s="34" t="n">
        <v>290279</v>
      </c>
      <c r="F2669" t="inlineStr">
        <is>
          <t>F</t>
        </is>
      </c>
      <c r="G2669" s="34" t="n">
        <v>46347</v>
      </c>
      <c r="H2669" s="34" t="n">
        <v>243932</v>
      </c>
      <c r="I2669" t="inlineStr">
        <is>
          <t>3.1</t>
        </is>
      </c>
      <c r="J2669" t="inlineStr">
        <is>
          <t>Ventas HoReCa</t>
        </is>
      </c>
      <c r="K2669" t="inlineStr">
        <is>
          <t>CH1</t>
        </is>
      </c>
    </row>
    <row r="2670">
      <c r="A2670" s="33" t="n">
        <v>45889</v>
      </c>
      <c r="B2670" t="inlineStr">
        <is>
          <t>2025-08</t>
        </is>
      </c>
      <c r="C2670" t="inlineStr">
        <is>
          <t>Luis Felipe La Corte Castro</t>
        </is>
      </c>
      <c r="D2670" t="inlineStr">
        <is>
          <t>HORECA CAFETERIA</t>
        </is>
      </c>
      <c r="E2670" s="34" t="n">
        <v>100273</v>
      </c>
      <c r="F2670" t="inlineStr">
        <is>
          <t>F</t>
        </is>
      </c>
      <c r="G2670" s="34" t="n">
        <v>16010</v>
      </c>
      <c r="H2670" s="34" t="n">
        <v>84263</v>
      </c>
      <c r="I2670" t="inlineStr">
        <is>
          <t>3.1</t>
        </is>
      </c>
      <c r="J2670" t="inlineStr">
        <is>
          <t>Ventas HoReCa</t>
        </is>
      </c>
      <c r="K2670" t="inlineStr">
        <is>
          <t>CH1</t>
        </is>
      </c>
    </row>
    <row r="2671">
      <c r="A2671" s="33" t="n">
        <v>45889</v>
      </c>
      <c r="B2671" t="inlineStr">
        <is>
          <t>2025-08</t>
        </is>
      </c>
      <c r="C2671" t="inlineStr">
        <is>
          <t>Okinawa Spa</t>
        </is>
      </c>
      <c r="D2671" t="inlineStr">
        <is>
          <t>HORECA CAFETERIA</t>
        </is>
      </c>
      <c r="E2671" s="34" t="n">
        <v>52637</v>
      </c>
      <c r="F2671" t="inlineStr">
        <is>
          <t>F</t>
        </is>
      </c>
      <c r="G2671" s="34" t="n">
        <v>8404</v>
      </c>
      <c r="H2671" s="34" t="n">
        <v>44233</v>
      </c>
      <c r="I2671" t="inlineStr">
        <is>
          <t>3.1</t>
        </is>
      </c>
      <c r="J2671" t="inlineStr">
        <is>
          <t>Ventas HoReCa</t>
        </is>
      </c>
      <c r="K2671" t="inlineStr">
        <is>
          <t>CH1</t>
        </is>
      </c>
    </row>
    <row r="2672">
      <c r="A2672" s="33" t="n">
        <v>45889</v>
      </c>
      <c r="B2672" t="inlineStr">
        <is>
          <t>2025-08</t>
        </is>
      </c>
      <c r="C2672" t="inlineStr">
        <is>
          <t>CUATROTRESTRES CAFÉ SPA</t>
        </is>
      </c>
      <c r="D2672" t="inlineStr">
        <is>
          <t>HORECA CAFETERIA</t>
        </is>
      </c>
      <c r="E2672" s="34" t="n">
        <v>163681</v>
      </c>
      <c r="F2672" t="inlineStr">
        <is>
          <t>F</t>
        </is>
      </c>
      <c r="G2672" s="34" t="n">
        <v>26134</v>
      </c>
      <c r="H2672" s="34" t="n">
        <v>137547</v>
      </c>
      <c r="I2672" t="inlineStr">
        <is>
          <t>3.1</t>
        </is>
      </c>
      <c r="J2672" t="inlineStr">
        <is>
          <t>Ventas HoReCa</t>
        </is>
      </c>
      <c r="K2672" t="inlineStr">
        <is>
          <t>CH1</t>
        </is>
      </c>
    </row>
    <row r="2673">
      <c r="A2673" s="33" t="n">
        <v>45889</v>
      </c>
      <c r="B2673" t="inlineStr">
        <is>
          <t>2025-08</t>
        </is>
      </c>
      <c r="C2673" t="inlineStr">
        <is>
          <t>Sin cliente</t>
        </is>
      </c>
      <c r="D2673" t="inlineStr">
        <is>
          <t>PLATAFORMAS RAP-PEYA-UBER-GOOD</t>
        </is>
      </c>
      <c r="E2673" s="34" t="n">
        <v>26268</v>
      </c>
      <c r="F2673" t="inlineStr">
        <is>
          <t>B</t>
        </is>
      </c>
      <c r="G2673" s="34" t="n">
        <v>4194</v>
      </c>
      <c r="H2673" s="34" t="n">
        <v>22074</v>
      </c>
      <c r="I2673" t="inlineStr">
        <is>
          <t>3.6</t>
        </is>
      </c>
      <c r="J2673" t="inlineStr">
        <is>
          <t>Ventas Delivery Apps</t>
        </is>
      </c>
      <c r="K2673" t="inlineStr">
        <is>
          <t>CH3</t>
        </is>
      </c>
    </row>
    <row r="2674">
      <c r="A2674" s="33" t="n">
        <v>45889</v>
      </c>
      <c r="B2674" t="inlineStr">
        <is>
          <t>2025-08</t>
        </is>
      </c>
      <c r="C2674" t="inlineStr">
        <is>
          <t>Rosario Martín</t>
        </is>
      </c>
      <c r="D2674" t="inlineStr">
        <is>
          <t>SALSAS</t>
        </is>
      </c>
      <c r="E2674" s="34" t="n">
        <v>19879</v>
      </c>
      <c r="F2674" t="inlineStr">
        <is>
          <t>B</t>
        </is>
      </c>
      <c r="G2674" s="34" t="n">
        <v>3174</v>
      </c>
      <c r="H2674" s="34" t="n">
        <v>16705</v>
      </c>
      <c r="I2674" t="inlineStr">
        <is>
          <t>3.2</t>
        </is>
      </c>
      <c r="J2674" t="inlineStr">
        <is>
          <t>Ventas Personas (B2C)</t>
        </is>
      </c>
      <c r="K2674" t="inlineStr">
        <is>
          <t>CH2</t>
        </is>
      </c>
    </row>
    <row r="2675">
      <c r="A2675" s="33" t="n">
        <v>45889</v>
      </c>
      <c r="B2675" t="inlineStr">
        <is>
          <t>2025-08</t>
        </is>
      </c>
      <c r="C2675" t="inlineStr">
        <is>
          <t>catalina gepp</t>
        </is>
      </c>
      <c r="D2675" t="inlineStr">
        <is>
          <t>CANELÉ TRADICIONAL</t>
        </is>
      </c>
      <c r="E2675" s="34" t="n">
        <v>14900</v>
      </c>
      <c r="F2675" t="inlineStr">
        <is>
          <t>B</t>
        </is>
      </c>
      <c r="G2675" s="34" t="n">
        <v>2379</v>
      </c>
      <c r="H2675" s="34" t="n">
        <v>12521</v>
      </c>
      <c r="I2675" t="inlineStr">
        <is>
          <t>3.2</t>
        </is>
      </c>
      <c r="J2675" t="inlineStr">
        <is>
          <t>Ventas Personas (B2C)</t>
        </is>
      </c>
      <c r="K2675" t="inlineStr">
        <is>
          <t>CH2</t>
        </is>
      </c>
    </row>
    <row r="2676">
      <c r="A2676" s="33" t="n">
        <v>45889</v>
      </c>
      <c r="B2676" t="inlineStr">
        <is>
          <t>2025-08</t>
        </is>
      </c>
      <c r="C2676" t="inlineStr">
        <is>
          <t>Maria jose gallardo</t>
        </is>
      </c>
      <c r="D2676" t="inlineStr">
        <is>
          <t>CANELÉ TRADICIONAL</t>
        </is>
      </c>
      <c r="E2676" s="34" t="n">
        <v>14900</v>
      </c>
      <c r="F2676" t="inlineStr">
        <is>
          <t>B</t>
        </is>
      </c>
      <c r="G2676" s="34" t="n">
        <v>2379</v>
      </c>
      <c r="H2676" s="34" t="n">
        <v>12521</v>
      </c>
      <c r="I2676" t="inlineStr">
        <is>
          <t>3.2</t>
        </is>
      </c>
      <c r="J2676" t="inlineStr">
        <is>
          <t>Ventas Personas (B2C)</t>
        </is>
      </c>
      <c r="K2676" t="inlineStr">
        <is>
          <t>CH2</t>
        </is>
      </c>
    </row>
    <row r="2677">
      <c r="A2677" s="33" t="n">
        <v>45890</v>
      </c>
      <c r="B2677" t="inlineStr">
        <is>
          <t>2025-08</t>
        </is>
      </c>
      <c r="C2677" t="inlineStr">
        <is>
          <t>CAFE DIARIO ENCOMENDEROS SPA</t>
        </is>
      </c>
      <c r="D2677" t="inlineStr">
        <is>
          <t>HORECA CAFETERIA</t>
        </is>
      </c>
      <c r="E2677" s="34" t="n">
        <v>91705</v>
      </c>
      <c r="F2677" t="inlineStr">
        <is>
          <t>F</t>
        </is>
      </c>
      <c r="G2677" s="34" t="n">
        <v>14642</v>
      </c>
      <c r="H2677" s="34" t="n">
        <v>77063</v>
      </c>
      <c r="I2677" t="inlineStr">
        <is>
          <t>3.1</t>
        </is>
      </c>
      <c r="J2677" t="inlineStr">
        <is>
          <t>Ventas HoReCa</t>
        </is>
      </c>
      <c r="K2677" t="inlineStr">
        <is>
          <t>CH1</t>
        </is>
      </c>
    </row>
    <row r="2678">
      <c r="A2678" s="33" t="n">
        <v>45890</v>
      </c>
      <c r="B2678" t="inlineStr">
        <is>
          <t>2025-08</t>
        </is>
      </c>
      <c r="C2678" t="inlineStr">
        <is>
          <t>CAFÉ UNDER SPA</t>
        </is>
      </c>
      <c r="D2678" t="inlineStr">
        <is>
          <t>HORECA CAFETERIA</t>
        </is>
      </c>
      <c r="E2678" s="34" t="n">
        <v>68179</v>
      </c>
      <c r="F2678" t="inlineStr">
        <is>
          <t>F</t>
        </is>
      </c>
      <c r="G2678" s="34" t="n">
        <v>10886</v>
      </c>
      <c r="H2678" s="34" t="n">
        <v>57293</v>
      </c>
      <c r="I2678" t="inlineStr">
        <is>
          <t>3.1</t>
        </is>
      </c>
      <c r="J2678" t="inlineStr">
        <is>
          <t>Ventas HoReCa</t>
        </is>
      </c>
      <c r="K2678" t="inlineStr">
        <is>
          <t>CH1</t>
        </is>
      </c>
    </row>
    <row r="2679">
      <c r="A2679" s="33" t="n">
        <v>45890</v>
      </c>
      <c r="B2679" t="inlineStr">
        <is>
          <t>2025-08</t>
        </is>
      </c>
      <c r="C2679" t="inlineStr">
        <is>
          <t>daniela sprohnle</t>
        </is>
      </c>
      <c r="D2679" t="inlineStr">
        <is>
          <t>Petit Tradicional</t>
        </is>
      </c>
      <c r="E2679" s="34" t="n">
        <v>30900</v>
      </c>
      <c r="F2679" t="inlineStr">
        <is>
          <t>B</t>
        </is>
      </c>
      <c r="G2679" s="34" t="n">
        <v>4934</v>
      </c>
      <c r="H2679" s="34" t="n">
        <v>25966</v>
      </c>
      <c r="I2679" t="inlineStr">
        <is>
          <t>3.2</t>
        </is>
      </c>
      <c r="J2679" t="inlineStr">
        <is>
          <t>Ventas Personas (B2C)</t>
        </is>
      </c>
      <c r="K2679" t="inlineStr">
        <is>
          <t>CH2</t>
        </is>
      </c>
    </row>
    <row r="2680">
      <c r="A2680" s="33" t="n">
        <v>45890</v>
      </c>
      <c r="B2680" t="inlineStr">
        <is>
          <t>2025-08</t>
        </is>
      </c>
      <c r="C2680" t="inlineStr">
        <is>
          <t>Paulina Campos</t>
        </is>
      </c>
      <c r="D2680" t="inlineStr">
        <is>
          <t>Petit Crunchy</t>
        </is>
      </c>
      <c r="E2680" s="34" t="n">
        <v>15499</v>
      </c>
      <c r="F2680" t="inlineStr">
        <is>
          <t>B</t>
        </is>
      </c>
      <c r="G2680" s="34" t="n">
        <v>2475</v>
      </c>
      <c r="H2680" s="34" t="n">
        <v>13024</v>
      </c>
      <c r="I2680" t="inlineStr">
        <is>
          <t>3.2</t>
        </is>
      </c>
      <c r="J2680" t="inlineStr">
        <is>
          <t>Ventas Personas (B2C)</t>
        </is>
      </c>
      <c r="K2680" t="inlineStr">
        <is>
          <t>CH2</t>
        </is>
      </c>
    </row>
    <row r="2681">
      <c r="A2681" s="33" t="n">
        <v>45890</v>
      </c>
      <c r="B2681" t="inlineStr">
        <is>
          <t>2025-08</t>
        </is>
      </c>
      <c r="C2681" t="inlineStr">
        <is>
          <t>Sin cliente</t>
        </is>
      </c>
      <c r="D2681" t="inlineStr">
        <is>
          <t>PLATAFORMAS RAP-PEYA-UBER-GOOD</t>
        </is>
      </c>
      <c r="E2681" s="34" t="n">
        <v>15480</v>
      </c>
      <c r="F2681" t="inlineStr">
        <is>
          <t>B</t>
        </is>
      </c>
      <c r="G2681" s="34" t="n">
        <v>2472</v>
      </c>
      <c r="H2681" s="34" t="n">
        <v>13008</v>
      </c>
      <c r="I2681" t="inlineStr">
        <is>
          <t>3.6</t>
        </is>
      </c>
      <c r="J2681" t="inlineStr">
        <is>
          <t>Ventas Delivery Apps</t>
        </is>
      </c>
      <c r="K2681" t="inlineStr">
        <is>
          <t>CH3</t>
        </is>
      </c>
    </row>
    <row r="2682">
      <c r="A2682" s="33" t="n">
        <v>45890</v>
      </c>
      <c r="B2682" t="inlineStr">
        <is>
          <t>2025-08</t>
        </is>
      </c>
      <c r="C2682" t="inlineStr">
        <is>
          <t>Sin cliente</t>
        </is>
      </c>
      <c r="D2682" t="inlineStr">
        <is>
          <t>PLATAFORMAS RAP-PEYA-UBER-GOOD</t>
        </is>
      </c>
      <c r="E2682" s="34" t="n">
        <v>40812</v>
      </c>
      <c r="F2682" t="inlineStr">
        <is>
          <t>B</t>
        </is>
      </c>
      <c r="G2682" s="34" t="n">
        <v>6516</v>
      </c>
      <c r="H2682" s="34" t="n">
        <v>34296</v>
      </c>
      <c r="I2682" t="inlineStr">
        <is>
          <t>3.6</t>
        </is>
      </c>
      <c r="J2682" t="inlineStr">
        <is>
          <t>Ventas Delivery Apps</t>
        </is>
      </c>
      <c r="K2682" t="inlineStr">
        <is>
          <t>CH3</t>
        </is>
      </c>
    </row>
    <row r="2683">
      <c r="A2683" s="33" t="n">
        <v>45890</v>
      </c>
      <c r="B2683" t="inlineStr">
        <is>
          <t>2025-08</t>
        </is>
      </c>
      <c r="C2683" t="inlineStr">
        <is>
          <t>federico ponce</t>
        </is>
      </c>
      <c r="D2683" t="inlineStr">
        <is>
          <t>Petit Crunchy</t>
        </is>
      </c>
      <c r="E2683" s="34" t="n">
        <v>30890</v>
      </c>
      <c r="F2683" t="inlineStr">
        <is>
          <t>B</t>
        </is>
      </c>
      <c r="G2683" s="34" t="n">
        <v>4932</v>
      </c>
      <c r="H2683" s="34" t="n">
        <v>25958</v>
      </c>
      <c r="I2683" t="inlineStr">
        <is>
          <t>3.2</t>
        </is>
      </c>
      <c r="J2683" t="inlineStr">
        <is>
          <t>Ventas Personas (B2C)</t>
        </is>
      </c>
      <c r="K2683" t="inlineStr">
        <is>
          <t>CH2</t>
        </is>
      </c>
    </row>
    <row r="2684">
      <c r="A2684" s="33" t="n">
        <v>45890</v>
      </c>
      <c r="B2684" t="inlineStr">
        <is>
          <t>2025-08</t>
        </is>
      </c>
      <c r="C2684" t="inlineStr">
        <is>
          <t>Sin cliente</t>
        </is>
      </c>
      <c r="D2684" t="inlineStr">
        <is>
          <t>PLATAFORMAS RAP-PEYA-UBER-GOOD</t>
        </is>
      </c>
      <c r="E2684" s="34" t="n">
        <v>26280</v>
      </c>
      <c r="F2684" t="inlineStr">
        <is>
          <t>B</t>
        </is>
      </c>
      <c r="G2684" s="34" t="n">
        <v>4196</v>
      </c>
      <c r="H2684" s="34" t="n">
        <v>22084</v>
      </c>
      <c r="I2684" t="inlineStr">
        <is>
          <t>3.6</t>
        </is>
      </c>
      <c r="J2684" t="inlineStr">
        <is>
          <t>Ventas Delivery Apps</t>
        </is>
      </c>
      <c r="K2684" t="inlineStr">
        <is>
          <t>CH3</t>
        </is>
      </c>
    </row>
    <row r="2685">
      <c r="A2685" s="33" t="n">
        <v>45890</v>
      </c>
      <c r="B2685" t="inlineStr">
        <is>
          <t>2025-08</t>
        </is>
      </c>
      <c r="C2685" t="inlineStr">
        <is>
          <t>juan reyes</t>
        </is>
      </c>
      <c r="D2685" t="inlineStr">
        <is>
          <t>CANELÉ TRADICIONAL</t>
        </is>
      </c>
      <c r="E2685" s="34" t="n">
        <v>14900</v>
      </c>
      <c r="F2685" t="inlineStr">
        <is>
          <t>B</t>
        </is>
      </c>
      <c r="G2685" s="34" t="n">
        <v>2379</v>
      </c>
      <c r="H2685" s="34" t="n">
        <v>12521</v>
      </c>
      <c r="I2685" t="inlineStr">
        <is>
          <t>3.2</t>
        </is>
      </c>
      <c r="J2685" t="inlineStr">
        <is>
          <t>Ventas Personas (B2C)</t>
        </is>
      </c>
      <c r="K2685" t="inlineStr">
        <is>
          <t>CH2</t>
        </is>
      </c>
    </row>
    <row r="2686">
      <c r="A2686" s="33" t="n">
        <v>45890</v>
      </c>
      <c r="B2686" t="inlineStr">
        <is>
          <t>2025-08</t>
        </is>
      </c>
      <c r="C2686" t="inlineStr">
        <is>
          <t>JNCONCEPT SPA</t>
        </is>
      </c>
      <c r="D2686" t="inlineStr">
        <is>
          <t>CANELÉ TRADICIONAL</t>
        </is>
      </c>
      <c r="E2686" s="34" t="n">
        <v>40600</v>
      </c>
      <c r="F2686" t="inlineStr">
        <is>
          <t>F</t>
        </is>
      </c>
      <c r="G2686" s="34" t="n">
        <v>6482</v>
      </c>
      <c r="H2686" s="34" t="n">
        <v>34118</v>
      </c>
      <c r="I2686" t="inlineStr">
        <is>
          <t>3.1</t>
        </is>
      </c>
      <c r="J2686" t="inlineStr">
        <is>
          <t>Ventas HoReCa</t>
        </is>
      </c>
      <c r="K2686" t="inlineStr">
        <is>
          <t>CH1</t>
        </is>
      </c>
    </row>
    <row r="2687">
      <c r="A2687" s="33" t="n">
        <v>45890</v>
      </c>
      <c r="B2687" t="inlineStr">
        <is>
          <t>2025-08</t>
        </is>
      </c>
      <c r="C2687" t="inlineStr">
        <is>
          <t>HYUNWOO KANG KANG</t>
        </is>
      </c>
      <c r="D2687" t="inlineStr">
        <is>
          <t>Petit Tradicional</t>
        </is>
      </c>
      <c r="E2687" s="34" t="n">
        <v>46849</v>
      </c>
      <c r="F2687" t="inlineStr">
        <is>
          <t>B</t>
        </is>
      </c>
      <c r="G2687" s="34" t="n">
        <v>7480</v>
      </c>
      <c r="H2687" s="34" t="n">
        <v>39369</v>
      </c>
      <c r="I2687" t="inlineStr">
        <is>
          <t>3.2</t>
        </is>
      </c>
      <c r="J2687" t="inlineStr">
        <is>
          <t>Ventas Personas (B2C)</t>
        </is>
      </c>
      <c r="K2687" t="inlineStr">
        <is>
          <t>CH2</t>
        </is>
      </c>
    </row>
    <row r="2688">
      <c r="A2688" s="33" t="n">
        <v>45891</v>
      </c>
      <c r="B2688" t="inlineStr">
        <is>
          <t>2025-08</t>
        </is>
      </c>
      <c r="C2688" t="inlineStr">
        <is>
          <t>POMPON SPA</t>
        </is>
      </c>
      <c r="D2688" t="inlineStr">
        <is>
          <t>HORECA CAFETERIA</t>
        </is>
      </c>
      <c r="E2688" s="34" t="n">
        <v>326822</v>
      </c>
      <c r="F2688" t="inlineStr">
        <is>
          <t>F</t>
        </is>
      </c>
      <c r="G2688" s="34" t="n">
        <v>52182</v>
      </c>
      <c r="H2688" s="34" t="n">
        <v>274640</v>
      </c>
      <c r="I2688" t="inlineStr">
        <is>
          <t>3.1</t>
        </is>
      </c>
      <c r="J2688" t="inlineStr">
        <is>
          <t>Ventas HoReCa</t>
        </is>
      </c>
      <c r="K2688" t="inlineStr">
        <is>
          <t>CH1</t>
        </is>
      </c>
    </row>
    <row r="2689">
      <c r="A2689" s="33" t="n">
        <v>45891</v>
      </c>
      <c r="B2689" t="inlineStr">
        <is>
          <t>2025-08</t>
        </is>
      </c>
      <c r="C2689" t="inlineStr">
        <is>
          <t>Better Food Spa</t>
        </is>
      </c>
      <c r="D2689" t="inlineStr">
        <is>
          <t>HORECA CAFETERIA</t>
        </is>
      </c>
      <c r="E2689" s="34" t="n">
        <v>288849</v>
      </c>
      <c r="F2689" t="inlineStr">
        <is>
          <t>F</t>
        </is>
      </c>
      <c r="G2689" s="34" t="n">
        <v>46119</v>
      </c>
      <c r="H2689" s="34" t="n">
        <v>242730</v>
      </c>
      <c r="I2689" t="inlineStr">
        <is>
          <t>3.1</t>
        </is>
      </c>
      <c r="J2689" t="inlineStr">
        <is>
          <t>Ventas HoReCa</t>
        </is>
      </c>
      <c r="K2689" t="inlineStr">
        <is>
          <t>CH1</t>
        </is>
      </c>
    </row>
    <row r="2690">
      <c r="A2690" s="33" t="n">
        <v>45891</v>
      </c>
      <c r="B2690" t="inlineStr">
        <is>
          <t>2025-08</t>
        </is>
      </c>
      <c r="C2690" t="inlineStr">
        <is>
          <t>Andres Narvaez</t>
        </is>
      </c>
      <c r="D2690" t="inlineStr">
        <is>
          <t>CANELÉ TRADICIONAL</t>
        </is>
      </c>
      <c r="E2690" s="34" t="n">
        <v>39790</v>
      </c>
      <c r="F2690" t="inlineStr">
        <is>
          <t>B</t>
        </is>
      </c>
      <c r="G2690" s="34" t="n">
        <v>6353</v>
      </c>
      <c r="H2690" s="34" t="n">
        <v>33437</v>
      </c>
      <c r="I2690" t="inlineStr">
        <is>
          <t>3.2</t>
        </is>
      </c>
      <c r="J2690" t="inlineStr">
        <is>
          <t>Ventas Personas (B2C)</t>
        </is>
      </c>
      <c r="K2690" t="inlineStr">
        <is>
          <t>CH2</t>
        </is>
      </c>
    </row>
    <row r="2691">
      <c r="A2691" s="33" t="n">
        <v>45891</v>
      </c>
      <c r="B2691" t="inlineStr">
        <is>
          <t>2025-08</t>
        </is>
      </c>
      <c r="C2691" t="inlineStr">
        <is>
          <t>Constanza Castell</t>
        </is>
      </c>
      <c r="D2691" t="inlineStr">
        <is>
          <t>Rellenos</t>
        </is>
      </c>
      <c r="E2691" s="34" t="n">
        <v>21349</v>
      </c>
      <c r="F2691" t="inlineStr">
        <is>
          <t>B</t>
        </is>
      </c>
      <c r="G2691" s="34" t="n">
        <v>3409</v>
      </c>
      <c r="H2691" s="34" t="n">
        <v>17940</v>
      </c>
      <c r="I2691" t="inlineStr">
        <is>
          <t>3.2</t>
        </is>
      </c>
      <c r="J2691" t="inlineStr">
        <is>
          <t>Ventas Personas (B2C)</t>
        </is>
      </c>
      <c r="K2691" t="inlineStr">
        <is>
          <t>CH2</t>
        </is>
      </c>
    </row>
    <row r="2692">
      <c r="A2692" s="33" t="n">
        <v>45891</v>
      </c>
      <c r="B2692" t="inlineStr">
        <is>
          <t>2025-08</t>
        </is>
      </c>
      <c r="C2692" t="inlineStr">
        <is>
          <t>Sociedad de inversiones solari y acuña spa</t>
        </is>
      </c>
      <c r="D2692" t="inlineStr">
        <is>
          <t>HORECA CAFETERIA</t>
        </is>
      </c>
      <c r="E2692" s="34" t="n">
        <v>185554</v>
      </c>
      <c r="F2692" t="inlineStr">
        <is>
          <t>F</t>
        </is>
      </c>
      <c r="G2692" s="34" t="n">
        <v>29626</v>
      </c>
      <c r="H2692" s="34" t="n">
        <v>155928</v>
      </c>
      <c r="I2692" t="inlineStr">
        <is>
          <t>3.1</t>
        </is>
      </c>
      <c r="J2692" t="inlineStr">
        <is>
          <t>Ventas HoReCa</t>
        </is>
      </c>
      <c r="K2692" t="inlineStr">
        <is>
          <t>CH1</t>
        </is>
      </c>
    </row>
    <row r="2693">
      <c r="A2693" s="33" t="n">
        <v>45891</v>
      </c>
      <c r="B2693" t="inlineStr">
        <is>
          <t>2025-08</t>
        </is>
      </c>
      <c r="C2693" t="inlineStr">
        <is>
          <t>MARIA IGNACIA GREZ</t>
        </is>
      </c>
      <c r="D2693" t="inlineStr">
        <is>
          <t>CANELÉ TRADICIONAL</t>
        </is>
      </c>
      <c r="E2693" s="34" t="n">
        <v>55744</v>
      </c>
      <c r="F2693" t="inlineStr">
        <is>
          <t>B</t>
        </is>
      </c>
      <c r="G2693" s="34" t="n">
        <v>8900</v>
      </c>
      <c r="H2693" s="34" t="n">
        <v>46844</v>
      </c>
      <c r="I2693" t="inlineStr">
        <is>
          <t>3.2</t>
        </is>
      </c>
      <c r="J2693" t="inlineStr">
        <is>
          <t>Ventas Personas (B2C)</t>
        </is>
      </c>
      <c r="K2693" t="inlineStr">
        <is>
          <t>CH2</t>
        </is>
      </c>
    </row>
    <row r="2694">
      <c r="A2694" s="33" t="n">
        <v>45891</v>
      </c>
      <c r="B2694" t="inlineStr">
        <is>
          <t>2025-08</t>
        </is>
      </c>
      <c r="C2694" t="inlineStr">
        <is>
          <t>Quintana&amp;Rivera SpA</t>
        </is>
      </c>
      <c r="D2694" t="inlineStr">
        <is>
          <t>HORECA CAFETERIA</t>
        </is>
      </c>
      <c r="E2694" s="34" t="n">
        <v>32094</v>
      </c>
      <c r="F2694" t="inlineStr">
        <is>
          <t>F</t>
        </is>
      </c>
      <c r="G2694" s="34" t="n">
        <v>5124</v>
      </c>
      <c r="H2694" s="34" t="n">
        <v>26970</v>
      </c>
      <c r="I2694" t="inlineStr">
        <is>
          <t>3.1</t>
        </is>
      </c>
      <c r="J2694" t="inlineStr">
        <is>
          <t>Ventas HoReCa</t>
        </is>
      </c>
      <c r="K2694" t="inlineStr">
        <is>
          <t>CH1</t>
        </is>
      </c>
    </row>
    <row r="2695">
      <c r="A2695" s="33" t="n">
        <v>45891</v>
      </c>
      <c r="B2695" t="inlineStr">
        <is>
          <t>2025-08</t>
        </is>
      </c>
      <c r="C2695" t="inlineStr">
        <is>
          <t>Sin cliente</t>
        </is>
      </c>
      <c r="D2695" t="inlineStr">
        <is>
          <t>PLATAFORMAS RAP-PEYA-UBER-GOOD</t>
        </is>
      </c>
      <c r="E2695" s="34" t="n">
        <v>17880</v>
      </c>
      <c r="F2695" t="inlineStr">
        <is>
          <t>B</t>
        </is>
      </c>
      <c r="G2695" s="34" t="n">
        <v>2855</v>
      </c>
      <c r="H2695" s="34" t="n">
        <v>15025</v>
      </c>
      <c r="I2695" t="inlineStr">
        <is>
          <t>3.6</t>
        </is>
      </c>
      <c r="J2695" t="inlineStr">
        <is>
          <t>Ventas Delivery Apps</t>
        </is>
      </c>
      <c r="K2695" t="inlineStr">
        <is>
          <t>CH3</t>
        </is>
      </c>
    </row>
    <row r="2696">
      <c r="A2696" s="33" t="n">
        <v>45891</v>
      </c>
      <c r="B2696" t="inlineStr">
        <is>
          <t>2025-08</t>
        </is>
      </c>
      <c r="C2696" t="inlineStr">
        <is>
          <t>Sin cliente</t>
        </is>
      </c>
      <c r="D2696" t="inlineStr">
        <is>
          <t>PLATAFORMAS RAP-PEYA-UBER-GOOD</t>
        </is>
      </c>
      <c r="E2696" s="34" t="n">
        <v>16140</v>
      </c>
      <c r="F2696" t="inlineStr">
        <is>
          <t>B</t>
        </is>
      </c>
      <c r="G2696" s="34" t="n">
        <v>2577</v>
      </c>
      <c r="H2696" s="34" t="n">
        <v>13563</v>
      </c>
      <c r="I2696" t="inlineStr">
        <is>
          <t>3.6</t>
        </is>
      </c>
      <c r="J2696" t="inlineStr">
        <is>
          <t>Ventas Delivery Apps</t>
        </is>
      </c>
      <c r="K2696" t="inlineStr">
        <is>
          <t>CH3</t>
        </is>
      </c>
    </row>
    <row r="2697">
      <c r="A2697" s="33" t="n">
        <v>45891</v>
      </c>
      <c r="B2697" t="inlineStr">
        <is>
          <t>2025-08</t>
        </is>
      </c>
      <c r="C2697" t="inlineStr">
        <is>
          <t>Sin cliente</t>
        </is>
      </c>
      <c r="D2697" t="inlineStr">
        <is>
          <t>PLATAFORMAS RAP-PEYA-UBER-GOOD</t>
        </is>
      </c>
      <c r="E2697" s="34" t="n">
        <v>13140</v>
      </c>
      <c r="F2697" t="inlineStr">
        <is>
          <t>B</t>
        </is>
      </c>
      <c r="G2697" s="34" t="n">
        <v>2098</v>
      </c>
      <c r="H2697" s="34" t="n">
        <v>11042</v>
      </c>
      <c r="I2697" t="inlineStr">
        <is>
          <t>3.6</t>
        </is>
      </c>
      <c r="J2697" t="inlineStr">
        <is>
          <t>Ventas Delivery Apps</t>
        </is>
      </c>
      <c r="K2697" t="inlineStr">
        <is>
          <t>CH3</t>
        </is>
      </c>
    </row>
    <row r="2698">
      <c r="A2698" s="33" t="n">
        <v>45891</v>
      </c>
      <c r="B2698" t="inlineStr">
        <is>
          <t>2025-08</t>
        </is>
      </c>
      <c r="C2698" t="inlineStr">
        <is>
          <t>Nestor Diaz</t>
        </is>
      </c>
      <c r="D2698" t="inlineStr">
        <is>
          <t>CANELÉ TRADICIONAL</t>
        </is>
      </c>
      <c r="E2698" s="34" t="n">
        <v>16399</v>
      </c>
      <c r="F2698" t="inlineStr">
        <is>
          <t>B</t>
        </is>
      </c>
      <c r="G2698" s="34" t="n">
        <v>2618</v>
      </c>
      <c r="H2698" s="34" t="n">
        <v>13781</v>
      </c>
      <c r="I2698" t="inlineStr">
        <is>
          <t>3.2</t>
        </is>
      </c>
      <c r="J2698" t="inlineStr">
        <is>
          <t>Ventas Personas (B2C)</t>
        </is>
      </c>
      <c r="K2698" t="inlineStr">
        <is>
          <t>CH2</t>
        </is>
      </c>
    </row>
    <row r="2699">
      <c r="A2699" s="33" t="n">
        <v>45892</v>
      </c>
      <c r="B2699" t="inlineStr">
        <is>
          <t>2025-08</t>
        </is>
      </c>
      <c r="C2699" t="inlineStr">
        <is>
          <t>Atsuko Ohashi</t>
        </is>
      </c>
      <c r="D2699" t="inlineStr">
        <is>
          <t>Petit Crunchy</t>
        </is>
      </c>
      <c r="E2699" s="34" t="n">
        <v>17889</v>
      </c>
      <c r="F2699" t="inlineStr">
        <is>
          <t>B</t>
        </is>
      </c>
      <c r="G2699" s="34" t="n">
        <v>2856</v>
      </c>
      <c r="H2699" s="34" t="n">
        <v>15033</v>
      </c>
      <c r="I2699" t="inlineStr">
        <is>
          <t>3.2</t>
        </is>
      </c>
      <c r="J2699" t="inlineStr">
        <is>
          <t>Ventas Personas (B2C)</t>
        </is>
      </c>
      <c r="K2699" t="inlineStr">
        <is>
          <t>CH2</t>
        </is>
      </c>
    </row>
    <row r="2700">
      <c r="A2700" s="33" t="n">
        <v>45892</v>
      </c>
      <c r="B2700" t="inlineStr">
        <is>
          <t>2025-08</t>
        </is>
      </c>
      <c r="C2700" t="inlineStr">
        <is>
          <t xml:space="preserve">Aida  Gana </t>
        </is>
      </c>
      <c r="D2700" t="inlineStr">
        <is>
          <t>Petit Tradicional</t>
        </is>
      </c>
      <c r="E2700" s="34" t="n">
        <v>12900</v>
      </c>
      <c r="F2700" t="inlineStr">
        <is>
          <t>B</t>
        </is>
      </c>
      <c r="G2700" s="34" t="n">
        <v>2060</v>
      </c>
      <c r="H2700" s="34" t="n">
        <v>10840</v>
      </c>
      <c r="I2700" t="inlineStr">
        <is>
          <t>3.2</t>
        </is>
      </c>
      <c r="J2700" t="inlineStr">
        <is>
          <t>Ventas Personas (B2C)</t>
        </is>
      </c>
      <c r="K2700" t="inlineStr">
        <is>
          <t>CH2</t>
        </is>
      </c>
    </row>
    <row r="2701">
      <c r="A2701" s="33" t="n">
        <v>45892</v>
      </c>
      <c r="B2701" t="inlineStr">
        <is>
          <t>2025-08</t>
        </is>
      </c>
      <c r="C2701" t="inlineStr">
        <is>
          <t>Sin cliente</t>
        </is>
      </c>
      <c r="D2701" t="inlineStr">
        <is>
          <t>CANELÉ TRADICIONAL</t>
        </is>
      </c>
      <c r="E2701" s="34" t="n">
        <v>29800</v>
      </c>
      <c r="F2701" t="inlineStr">
        <is>
          <t>B</t>
        </is>
      </c>
      <c r="G2701" s="34" t="n">
        <v>4758</v>
      </c>
      <c r="H2701" s="34" t="n">
        <v>25042</v>
      </c>
      <c r="I2701" t="inlineStr">
        <is>
          <t>3.2</t>
        </is>
      </c>
      <c r="J2701" t="inlineStr">
        <is>
          <t>Ventas Personas (B2C)</t>
        </is>
      </c>
      <c r="K2701" t="inlineStr">
        <is>
          <t>CH2</t>
        </is>
      </c>
    </row>
    <row r="2702">
      <c r="A2702" s="33" t="n">
        <v>45893</v>
      </c>
      <c r="B2702" t="inlineStr">
        <is>
          <t>2025-08</t>
        </is>
      </c>
      <c r="C2702" t="inlineStr">
        <is>
          <t>Freddy Olano</t>
        </is>
      </c>
      <c r="D2702" t="inlineStr">
        <is>
          <t>Delicatessen</t>
        </is>
      </c>
      <c r="E2702" s="34" t="n">
        <v>33789</v>
      </c>
      <c r="F2702" t="inlineStr">
        <is>
          <t>B</t>
        </is>
      </c>
      <c r="G2702" s="34" t="n">
        <v>5395</v>
      </c>
      <c r="H2702" s="34" t="n">
        <v>28394</v>
      </c>
      <c r="I2702" t="inlineStr">
        <is>
          <t>3.2</t>
        </is>
      </c>
      <c r="J2702" t="inlineStr">
        <is>
          <t>Ventas Personas (B2C)</t>
        </is>
      </c>
      <c r="K2702" t="inlineStr">
        <is>
          <t>CH2</t>
        </is>
      </c>
    </row>
    <row r="2703">
      <c r="A2703" s="33" t="n">
        <v>45893</v>
      </c>
      <c r="B2703" t="inlineStr">
        <is>
          <t>2025-08</t>
        </is>
      </c>
      <c r="C2703" t="inlineStr">
        <is>
          <t>Ines Mendez  González</t>
        </is>
      </c>
      <c r="D2703" t="inlineStr">
        <is>
          <t>SALSAS</t>
        </is>
      </c>
      <c r="E2703" s="34" t="n">
        <v>31870</v>
      </c>
      <c r="F2703" t="inlineStr">
        <is>
          <t>B</t>
        </is>
      </c>
      <c r="G2703" s="34" t="n">
        <v>5088</v>
      </c>
      <c r="H2703" s="34" t="n">
        <v>26782</v>
      </c>
      <c r="I2703" t="inlineStr">
        <is>
          <t>3.2</t>
        </is>
      </c>
      <c r="J2703" t="inlineStr">
        <is>
          <t>Ventas Personas (B2C)</t>
        </is>
      </c>
      <c r="K2703" t="inlineStr">
        <is>
          <t>CH2</t>
        </is>
      </c>
    </row>
    <row r="2704">
      <c r="A2704" s="33" t="n">
        <v>45894</v>
      </c>
      <c r="B2704" t="inlineStr">
        <is>
          <t>2025-08</t>
        </is>
      </c>
      <c r="C2704" t="inlineStr">
        <is>
          <t>CAFETERÍA ALTURA LIMITADA</t>
        </is>
      </c>
      <c r="D2704" t="inlineStr">
        <is>
          <t>HORECA CAFETERIA</t>
        </is>
      </c>
      <c r="E2704" s="34" t="n">
        <v>85831</v>
      </c>
      <c r="F2704" t="inlineStr">
        <is>
          <t>F</t>
        </is>
      </c>
      <c r="G2704" s="34" t="n">
        <v>13704</v>
      </c>
      <c r="H2704" s="34" t="n">
        <v>72127</v>
      </c>
      <c r="I2704" t="inlineStr">
        <is>
          <t>3.1</t>
        </is>
      </c>
      <c r="J2704" t="inlineStr">
        <is>
          <t>Ventas HoReCa</t>
        </is>
      </c>
      <c r="K2704" t="inlineStr">
        <is>
          <t>CH1</t>
        </is>
      </c>
    </row>
    <row r="2705">
      <c r="A2705" s="33" t="n">
        <v>45894</v>
      </c>
      <c r="B2705" t="inlineStr">
        <is>
          <t>2025-08</t>
        </is>
      </c>
      <c r="C2705" t="inlineStr">
        <is>
          <t>INVERSIONES Y COMERCIALIZADORA FED LIMITADA</t>
        </is>
      </c>
      <c r="D2705" t="inlineStr">
        <is>
          <t>HORECA CAFETERIA</t>
        </is>
      </c>
      <c r="E2705" s="34" t="n">
        <v>225738</v>
      </c>
      <c r="F2705" t="inlineStr">
        <is>
          <t>F</t>
        </is>
      </c>
      <c r="G2705" s="34" t="n">
        <v>36042</v>
      </c>
      <c r="H2705" s="34" t="n">
        <v>189696</v>
      </c>
      <c r="I2705" t="inlineStr">
        <is>
          <t>3.1</t>
        </is>
      </c>
      <c r="J2705" t="inlineStr">
        <is>
          <t>Ventas HoReCa</t>
        </is>
      </c>
      <c r="K2705" t="inlineStr">
        <is>
          <t>CH1</t>
        </is>
      </c>
    </row>
    <row r="2706">
      <c r="A2706" s="33" t="n">
        <v>45894</v>
      </c>
      <c r="B2706" t="inlineStr">
        <is>
          <t>2025-08</t>
        </is>
      </c>
      <c r="C2706" t="inlineStr">
        <is>
          <t>INVERSIONES Y COMERCIALIZADORA FED LIMITADA</t>
        </is>
      </c>
      <c r="D2706" t="inlineStr">
        <is>
          <t>HORECA CAFETERIA</t>
        </is>
      </c>
      <c r="E2706" s="34" t="n">
        <v>114110</v>
      </c>
      <c r="F2706" t="inlineStr">
        <is>
          <t>F</t>
        </is>
      </c>
      <c r="G2706" s="34" t="n">
        <v>18219</v>
      </c>
      <c r="H2706" s="34" t="n">
        <v>95891</v>
      </c>
      <c r="I2706" t="inlineStr">
        <is>
          <t>3.1</t>
        </is>
      </c>
      <c r="J2706" t="inlineStr">
        <is>
          <t>Ventas HoReCa</t>
        </is>
      </c>
      <c r="K2706" t="inlineStr">
        <is>
          <t>CH1</t>
        </is>
      </c>
    </row>
    <row r="2707">
      <c r="A2707" s="33" t="n">
        <v>45894</v>
      </c>
      <c r="B2707" t="inlineStr">
        <is>
          <t>2025-08</t>
        </is>
      </c>
      <c r="C2707" t="inlineStr">
        <is>
          <t>INVERSIONES Y ASESORIAS RAVAL LIMITADA</t>
        </is>
      </c>
      <c r="D2707" t="inlineStr">
        <is>
          <t>HORECA CAFETERIA</t>
        </is>
      </c>
      <c r="E2707" s="34" t="n">
        <v>36084</v>
      </c>
      <c r="F2707" t="inlineStr">
        <is>
          <t>F</t>
        </is>
      </c>
      <c r="G2707" s="34" t="n">
        <v>5761</v>
      </c>
      <c r="H2707" s="34" t="n">
        <v>30323</v>
      </c>
      <c r="I2707" t="inlineStr">
        <is>
          <t>3.1</t>
        </is>
      </c>
      <c r="J2707" t="inlineStr">
        <is>
          <t>Ventas HoReCa</t>
        </is>
      </c>
      <c r="K2707" t="inlineStr">
        <is>
          <t>CH1</t>
        </is>
      </c>
    </row>
    <row r="2708">
      <c r="A2708" s="33" t="n">
        <v>45894</v>
      </c>
      <c r="B2708" t="inlineStr">
        <is>
          <t>2025-08</t>
        </is>
      </c>
      <c r="C2708" t="inlineStr">
        <is>
          <t>INVERSIONES Y ASESORIAS RAVAL LIMITADA</t>
        </is>
      </c>
      <c r="D2708" t="inlineStr">
        <is>
          <t>HORECA CAFETERIA</t>
        </is>
      </c>
      <c r="E2708" s="34" t="n">
        <v>-36084</v>
      </c>
      <c r="F2708" t="inlineStr">
        <is>
          <t>NC</t>
        </is>
      </c>
      <c r="G2708" s="34" t="n">
        <v>-5761</v>
      </c>
      <c r="H2708" s="34" t="n">
        <v>-30323</v>
      </c>
      <c r="I2708" t="inlineStr">
        <is>
          <t>3.1</t>
        </is>
      </c>
      <c r="J2708" t="inlineStr">
        <is>
          <t>Ventas HoReCa</t>
        </is>
      </c>
      <c r="K2708" t="inlineStr">
        <is>
          <t>CH1</t>
        </is>
      </c>
    </row>
    <row r="2709">
      <c r="A2709" s="33" t="n">
        <v>45894</v>
      </c>
      <c r="B2709" t="inlineStr">
        <is>
          <t>2025-08</t>
        </is>
      </c>
      <c r="C2709" t="inlineStr">
        <is>
          <t>INVERSIONES Y ASESORIAS RAVAL LIMITADA</t>
        </is>
      </c>
      <c r="D2709" t="inlineStr">
        <is>
          <t>HORECA CAFETERIA</t>
        </is>
      </c>
      <c r="E2709" s="34" t="n">
        <v>68179</v>
      </c>
      <c r="F2709" t="inlineStr">
        <is>
          <t>F</t>
        </is>
      </c>
      <c r="G2709" s="34" t="n">
        <v>10886</v>
      </c>
      <c r="H2709" s="34" t="n">
        <v>57293</v>
      </c>
      <c r="I2709" t="inlineStr">
        <is>
          <t>3.1</t>
        </is>
      </c>
      <c r="J2709" t="inlineStr">
        <is>
          <t>Ventas HoReCa</t>
        </is>
      </c>
      <c r="K2709" t="inlineStr">
        <is>
          <t>CH1</t>
        </is>
      </c>
    </row>
    <row r="2710">
      <c r="A2710" s="33" t="n">
        <v>45894</v>
      </c>
      <c r="B2710" t="inlineStr">
        <is>
          <t>2025-08</t>
        </is>
      </c>
      <c r="C2710" t="inlineStr">
        <is>
          <t>GALO SPA</t>
        </is>
      </c>
      <c r="D2710" t="inlineStr">
        <is>
          <t>HORECA CAFETERIA</t>
        </is>
      </c>
      <c r="E2710" s="34" t="n">
        <v>141506</v>
      </c>
      <c r="F2710" t="inlineStr">
        <is>
          <t>F</t>
        </is>
      </c>
      <c r="G2710" s="34" t="n">
        <v>22593</v>
      </c>
      <c r="H2710" s="34" t="n">
        <v>118913</v>
      </c>
      <c r="I2710" t="inlineStr">
        <is>
          <t>3.1</t>
        </is>
      </c>
      <c r="J2710" t="inlineStr">
        <is>
          <t>Ventas HoReCa</t>
        </is>
      </c>
      <c r="K2710" t="inlineStr">
        <is>
          <t>CH1</t>
        </is>
      </c>
    </row>
    <row r="2711">
      <c r="A2711" s="33" t="n">
        <v>45894</v>
      </c>
      <c r="B2711" t="inlineStr">
        <is>
          <t>2025-08</t>
        </is>
      </c>
      <c r="C2711" t="inlineStr">
        <is>
          <t>victoria fuentes morales</t>
        </is>
      </c>
      <c r="D2711" t="inlineStr">
        <is>
          <t>CANELE SIN AZUCAR</t>
        </is>
      </c>
      <c r="E2711" s="34" t="n">
        <v>29290</v>
      </c>
      <c r="F2711" t="inlineStr">
        <is>
          <t>B</t>
        </is>
      </c>
      <c r="G2711" s="34" t="n">
        <v>4677</v>
      </c>
      <c r="H2711" s="34" t="n">
        <v>24613</v>
      </c>
      <c r="I2711" t="inlineStr">
        <is>
          <t>3.2</t>
        </is>
      </c>
      <c r="J2711" t="inlineStr">
        <is>
          <t>Ventas Personas (B2C)</t>
        </is>
      </c>
      <c r="K2711" t="inlineStr">
        <is>
          <t>CH2</t>
        </is>
      </c>
    </row>
    <row r="2712">
      <c r="A2712" s="33" t="n">
        <v>45894</v>
      </c>
      <c r="B2712" t="inlineStr">
        <is>
          <t>2025-08</t>
        </is>
      </c>
      <c r="C2712" t="inlineStr">
        <is>
          <t>cristian araneda</t>
        </is>
      </c>
      <c r="D2712" t="inlineStr">
        <is>
          <t>CANELÉ TRADICIONAL</t>
        </is>
      </c>
      <c r="E2712" s="34" t="n">
        <v>33800</v>
      </c>
      <c r="F2712" t="inlineStr">
        <is>
          <t>B</t>
        </is>
      </c>
      <c r="G2712" s="34" t="n">
        <v>5397</v>
      </c>
      <c r="H2712" s="34" t="n">
        <v>28403</v>
      </c>
      <c r="I2712" t="inlineStr">
        <is>
          <t>3.2</t>
        </is>
      </c>
      <c r="J2712" t="inlineStr">
        <is>
          <t>Ventas Personas (B2C)</t>
        </is>
      </c>
      <c r="K2712" t="inlineStr">
        <is>
          <t>CH2</t>
        </is>
      </c>
    </row>
    <row r="2713">
      <c r="A2713" s="33" t="n">
        <v>45894</v>
      </c>
      <c r="B2713" t="inlineStr">
        <is>
          <t>2025-08</t>
        </is>
      </c>
      <c r="C2713" t="inlineStr">
        <is>
          <t>Lily Guther</t>
        </is>
      </c>
      <c r="D2713" t="inlineStr">
        <is>
          <t>REGION METROPOLITANA</t>
        </is>
      </c>
      <c r="E2713" s="34" t="n">
        <v>79390</v>
      </c>
      <c r="F2713" t="inlineStr">
        <is>
          <t>B</t>
        </is>
      </c>
      <c r="G2713" s="34" t="n">
        <v>12676</v>
      </c>
      <c r="H2713" s="34" t="n">
        <v>66714</v>
      </c>
      <c r="I2713" t="inlineStr">
        <is>
          <t>3.2</t>
        </is>
      </c>
      <c r="J2713" t="inlineStr">
        <is>
          <t>Ventas Personas (B2C)</t>
        </is>
      </c>
      <c r="K2713" t="inlineStr">
        <is>
          <t>CH2</t>
        </is>
      </c>
    </row>
    <row r="2714">
      <c r="A2714" s="33" t="n">
        <v>45894</v>
      </c>
      <c r="B2714" t="inlineStr">
        <is>
          <t>2025-08</t>
        </is>
      </c>
      <c r="C2714" t="inlineStr">
        <is>
          <t>Emilia Arrese</t>
        </is>
      </c>
      <c r="D2714" t="inlineStr">
        <is>
          <t>Petit Crunchy</t>
        </is>
      </c>
      <c r="E2714" s="34" t="n">
        <v>20500</v>
      </c>
      <c r="F2714" t="inlineStr">
        <is>
          <t>B</t>
        </is>
      </c>
      <c r="G2714" s="34" t="n">
        <v>3273</v>
      </c>
      <c r="H2714" s="34" t="n">
        <v>17227</v>
      </c>
      <c r="I2714" t="inlineStr">
        <is>
          <t>3.2</t>
        </is>
      </c>
      <c r="J2714" t="inlineStr">
        <is>
          <t>Ventas Personas (B2C)</t>
        </is>
      </c>
      <c r="K2714" t="inlineStr">
        <is>
          <t>CH2</t>
        </is>
      </c>
    </row>
    <row r="2715">
      <c r="A2715" s="33" t="n">
        <v>45894</v>
      </c>
      <c r="B2715" t="inlineStr">
        <is>
          <t>2025-08</t>
        </is>
      </c>
      <c r="C2715" t="inlineStr">
        <is>
          <t>consuelo cruz</t>
        </is>
      </c>
      <c r="D2715" t="inlineStr">
        <is>
          <t>Canelé Petit Tradicional</t>
        </is>
      </c>
      <c r="E2715" s="34" t="n">
        <v>22240</v>
      </c>
      <c r="F2715" t="inlineStr">
        <is>
          <t>B</t>
        </is>
      </c>
      <c r="G2715" s="34" t="n">
        <v>3551</v>
      </c>
      <c r="H2715" s="34" t="n">
        <v>18689</v>
      </c>
      <c r="I2715" t="inlineStr">
        <is>
          <t>3.2</t>
        </is>
      </c>
      <c r="J2715" t="inlineStr">
        <is>
          <t>Ventas Personas (B2C)</t>
        </is>
      </c>
      <c r="K2715" t="inlineStr">
        <is>
          <t>CH2</t>
        </is>
      </c>
    </row>
    <row r="2716">
      <c r="A2716" s="33" t="n">
        <v>45894</v>
      </c>
      <c r="B2716" t="inlineStr">
        <is>
          <t>2025-08</t>
        </is>
      </c>
      <c r="C2716" t="inlineStr">
        <is>
          <t>BUSTORF LARSEN Y COMPANIA LIMITADA</t>
        </is>
      </c>
      <c r="D2716" t="inlineStr">
        <is>
          <t>HORECA CAFETERIA</t>
        </is>
      </c>
      <c r="E2716" s="34" t="n">
        <v>68179</v>
      </c>
      <c r="F2716" t="inlineStr">
        <is>
          <t>F</t>
        </is>
      </c>
      <c r="G2716" s="34" t="n">
        <v>10886</v>
      </c>
      <c r="H2716" s="34" t="n">
        <v>57293</v>
      </c>
      <c r="I2716" t="inlineStr">
        <is>
          <t>3.1</t>
        </is>
      </c>
      <c r="J2716" t="inlineStr">
        <is>
          <t>Ventas HoReCa</t>
        </is>
      </c>
      <c r="K2716" t="inlineStr">
        <is>
          <t>CH1</t>
        </is>
      </c>
    </row>
    <row r="2717">
      <c r="A2717" s="33" t="n">
        <v>45894</v>
      </c>
      <c r="B2717" t="inlineStr">
        <is>
          <t>2025-08</t>
        </is>
      </c>
      <c r="C2717" t="inlineStr">
        <is>
          <t>BUSTORF LARSEN Y COMPANIA LIMITADA</t>
        </is>
      </c>
      <c r="D2717" t="inlineStr">
        <is>
          <t>HORECA CAFETERIA</t>
        </is>
      </c>
      <c r="E2717" s="34" t="n">
        <v>69178</v>
      </c>
      <c r="F2717" t="inlineStr">
        <is>
          <t>F</t>
        </is>
      </c>
      <c r="G2717" s="34" t="n">
        <v>11045</v>
      </c>
      <c r="H2717" s="34" t="n">
        <v>58133</v>
      </c>
      <c r="I2717" t="inlineStr">
        <is>
          <t>3.1</t>
        </is>
      </c>
      <c r="J2717" t="inlineStr">
        <is>
          <t>Ventas HoReCa</t>
        </is>
      </c>
      <c r="K2717" t="inlineStr">
        <is>
          <t>CH1</t>
        </is>
      </c>
    </row>
    <row r="2718">
      <c r="A2718" s="33" t="n">
        <v>45894</v>
      </c>
      <c r="B2718" t="inlineStr">
        <is>
          <t>2025-08</t>
        </is>
      </c>
      <c r="C2718" t="inlineStr">
        <is>
          <t>BUSTORF LARSEN Y COMPANIA LIMITADA</t>
        </is>
      </c>
      <c r="D2718" t="inlineStr">
        <is>
          <t>HORECA CAFETERIA</t>
        </is>
      </c>
      <c r="E2718" s="34" t="n">
        <v>101273</v>
      </c>
      <c r="F2718" t="inlineStr">
        <is>
          <t>F</t>
        </is>
      </c>
      <c r="G2718" s="34" t="n">
        <v>16170</v>
      </c>
      <c r="H2718" s="34" t="n">
        <v>85103</v>
      </c>
      <c r="I2718" t="inlineStr">
        <is>
          <t>3.1</t>
        </is>
      </c>
      <c r="J2718" t="inlineStr">
        <is>
          <t>Ventas HoReCa</t>
        </is>
      </c>
      <c r="K2718" t="inlineStr">
        <is>
          <t>CH1</t>
        </is>
      </c>
    </row>
    <row r="2719">
      <c r="A2719" s="33" t="n">
        <v>45894</v>
      </c>
      <c r="B2719" t="inlineStr">
        <is>
          <t>2025-08</t>
        </is>
      </c>
      <c r="C2719" t="inlineStr">
        <is>
          <t>Sin cliente</t>
        </is>
      </c>
      <c r="D2719" t="inlineStr">
        <is>
          <t>Rellenos</t>
        </is>
      </c>
      <c r="E2719" s="34" t="n">
        <v>25800</v>
      </c>
      <c r="F2719" t="inlineStr">
        <is>
          <t>B</t>
        </is>
      </c>
      <c r="G2719" s="34" t="n">
        <v>4119</v>
      </c>
      <c r="H2719" s="34" t="n">
        <v>21681</v>
      </c>
      <c r="I2719" t="inlineStr">
        <is>
          <t>3.2</t>
        </is>
      </c>
      <c r="J2719" t="inlineStr">
        <is>
          <t>Ventas Personas (B2C)</t>
        </is>
      </c>
      <c r="K2719" t="inlineStr">
        <is>
          <t>CH2</t>
        </is>
      </c>
    </row>
    <row r="2720">
      <c r="A2720" s="33" t="n">
        <v>45895</v>
      </c>
      <c r="B2720" t="inlineStr">
        <is>
          <t>2025-08</t>
        </is>
      </c>
      <c r="C2720" t="inlineStr">
        <is>
          <t>Inversiones Café Dominicos SpA</t>
        </is>
      </c>
      <c r="D2720" t="inlineStr">
        <is>
          <t xml:space="preserve">THE COFFEE STORE </t>
        </is>
      </c>
      <c r="E2720" s="34" t="n">
        <v>39294</v>
      </c>
      <c r="F2720" t="inlineStr">
        <is>
          <t>F</t>
        </is>
      </c>
      <c r="G2720" s="34" t="n">
        <v>6274</v>
      </c>
      <c r="H2720" s="34" t="n">
        <v>33020</v>
      </c>
      <c r="I2720" t="inlineStr">
        <is>
          <t>3.1</t>
        </is>
      </c>
      <c r="J2720" t="inlineStr">
        <is>
          <t>Ventas HoReCa</t>
        </is>
      </c>
      <c r="K2720" t="inlineStr">
        <is>
          <t>CH1</t>
        </is>
      </c>
    </row>
    <row r="2721">
      <c r="A2721" s="33" t="n">
        <v>45895</v>
      </c>
      <c r="B2721" t="inlineStr">
        <is>
          <t>2025-08</t>
        </is>
      </c>
      <c r="C2721" t="inlineStr">
        <is>
          <t>NACIÓN CAFÉ SPA</t>
        </is>
      </c>
      <c r="D2721" t="inlineStr">
        <is>
          <t>HORECA CAFETERIA</t>
        </is>
      </c>
      <c r="E2721" s="34" t="n">
        <v>71463</v>
      </c>
      <c r="F2721" t="inlineStr">
        <is>
          <t>F</t>
        </is>
      </c>
      <c r="G2721" s="34" t="n">
        <v>11410</v>
      </c>
      <c r="H2721" s="34" t="n">
        <v>60053</v>
      </c>
      <c r="I2721" t="inlineStr">
        <is>
          <t>3.1</t>
        </is>
      </c>
      <c r="J2721" t="inlineStr">
        <is>
          <t>Ventas HoReCa</t>
        </is>
      </c>
      <c r="K2721" t="inlineStr">
        <is>
          <t>CH1</t>
        </is>
      </c>
    </row>
    <row r="2722">
      <c r="A2722" s="33" t="n">
        <v>45895</v>
      </c>
      <c r="B2722" t="inlineStr">
        <is>
          <t>2025-08</t>
        </is>
      </c>
      <c r="C2722" t="inlineStr">
        <is>
          <t>RATIO COFFEE COMPANY SPA</t>
        </is>
      </c>
      <c r="D2722" t="inlineStr">
        <is>
          <t>HORECA CAFETERIA</t>
        </is>
      </c>
      <c r="E2722" s="34" t="n">
        <v>236069</v>
      </c>
      <c r="F2722" t="inlineStr">
        <is>
          <t>F</t>
        </is>
      </c>
      <c r="G2722" s="34" t="n">
        <v>37692</v>
      </c>
      <c r="H2722" s="34" t="n">
        <v>198377</v>
      </c>
      <c r="I2722" t="inlineStr">
        <is>
          <t>3.1</t>
        </is>
      </c>
      <c r="J2722" t="inlineStr">
        <is>
          <t>Ventas HoReCa</t>
        </is>
      </c>
      <c r="K2722" t="inlineStr">
        <is>
          <t>CH1</t>
        </is>
      </c>
    </row>
    <row r="2723">
      <c r="A2723" s="33" t="n">
        <v>45895</v>
      </c>
      <c r="B2723" t="inlineStr">
        <is>
          <t>2025-08</t>
        </is>
      </c>
      <c r="C2723" t="inlineStr">
        <is>
          <t>Inversiones Las Urbinas SpA</t>
        </is>
      </c>
      <c r="D2723" t="inlineStr">
        <is>
          <t>HORECA CAFETERIA</t>
        </is>
      </c>
      <c r="E2723" s="34" t="n">
        <v>186828</v>
      </c>
      <c r="F2723" t="inlineStr">
        <is>
          <t>F</t>
        </is>
      </c>
      <c r="G2723" s="34" t="n">
        <v>29830</v>
      </c>
      <c r="H2723" s="34" t="n">
        <v>156998</v>
      </c>
      <c r="I2723" t="inlineStr">
        <is>
          <t>3.1</t>
        </is>
      </c>
      <c r="J2723" t="inlineStr">
        <is>
          <t>Ventas HoReCa</t>
        </is>
      </c>
      <c r="K2723" t="inlineStr">
        <is>
          <t>CH1</t>
        </is>
      </c>
    </row>
    <row r="2724">
      <c r="A2724" s="33" t="n">
        <v>45895</v>
      </c>
      <c r="B2724" t="inlineStr">
        <is>
          <t>2025-08</t>
        </is>
      </c>
      <c r="C2724" t="inlineStr">
        <is>
          <t>Clark Veloso Valenzuela</t>
        </is>
      </c>
      <c r="D2724" t="inlineStr">
        <is>
          <t>HORECA CAFETERIA</t>
        </is>
      </c>
      <c r="E2724" s="34" t="n">
        <v>37084</v>
      </c>
      <c r="F2724" t="inlineStr">
        <is>
          <t>F</t>
        </is>
      </c>
      <c r="G2724" s="34" t="n">
        <v>5921</v>
      </c>
      <c r="H2724" s="34" t="n">
        <v>31163</v>
      </c>
      <c r="I2724" t="inlineStr">
        <is>
          <t>3.1</t>
        </is>
      </c>
      <c r="J2724" t="inlineStr">
        <is>
          <t>Ventas HoReCa</t>
        </is>
      </c>
      <c r="K2724" t="inlineStr">
        <is>
          <t>CH1</t>
        </is>
      </c>
    </row>
    <row r="2725">
      <c r="A2725" s="33" t="n">
        <v>45895</v>
      </c>
      <c r="B2725" t="inlineStr">
        <is>
          <t>2025-08</t>
        </is>
      </c>
      <c r="C2725" t="inlineStr">
        <is>
          <t>jahira labra</t>
        </is>
      </c>
      <c r="D2725" t="inlineStr">
        <is>
          <t>Mix Sabores</t>
        </is>
      </c>
      <c r="E2725" s="34" t="n">
        <v>25789</v>
      </c>
      <c r="F2725" t="inlineStr">
        <is>
          <t>B</t>
        </is>
      </c>
      <c r="G2725" s="34" t="n">
        <v>4118</v>
      </c>
      <c r="H2725" s="34" t="n">
        <v>21671</v>
      </c>
      <c r="I2725" t="inlineStr">
        <is>
          <t>3.2</t>
        </is>
      </c>
      <c r="J2725" t="inlineStr">
        <is>
          <t>Ventas Personas (B2C)</t>
        </is>
      </c>
      <c r="K2725" t="inlineStr">
        <is>
          <t>CH2</t>
        </is>
      </c>
    </row>
    <row r="2726">
      <c r="A2726" s="33" t="n">
        <v>45895</v>
      </c>
      <c r="B2726" t="inlineStr">
        <is>
          <t>2025-08</t>
        </is>
      </c>
      <c r="C2726" t="inlineStr">
        <is>
          <t>Sin cliente</t>
        </is>
      </c>
      <c r="D2726" t="inlineStr">
        <is>
          <t>PLATAFORMAS RAP-PEYA-UBER-GOOD</t>
        </is>
      </c>
      <c r="E2726" s="34" t="n">
        <v>8940</v>
      </c>
      <c r="F2726" t="inlineStr">
        <is>
          <t>B</t>
        </is>
      </c>
      <c r="G2726" s="34" t="n">
        <v>1427</v>
      </c>
      <c r="H2726" s="34" t="n">
        <v>7513</v>
      </c>
      <c r="I2726" t="inlineStr">
        <is>
          <t>3.6</t>
        </is>
      </c>
      <c r="J2726" t="inlineStr">
        <is>
          <t>Ventas Delivery Apps</t>
        </is>
      </c>
      <c r="K2726" t="inlineStr">
        <is>
          <t>CH3</t>
        </is>
      </c>
    </row>
    <row r="2727">
      <c r="A2727" s="33" t="n">
        <v>45895</v>
      </c>
      <c r="B2727" t="inlineStr">
        <is>
          <t>2025-08</t>
        </is>
      </c>
      <c r="C2727" t="inlineStr">
        <is>
          <t>Jorge Leon</t>
        </is>
      </c>
      <c r="D2727" t="inlineStr">
        <is>
          <t>Mix Sabores</t>
        </is>
      </c>
      <c r="E2727" s="34" t="n">
        <v>26789</v>
      </c>
      <c r="F2727" t="inlineStr">
        <is>
          <t>B</t>
        </is>
      </c>
      <c r="G2727" s="34" t="n">
        <v>4277</v>
      </c>
      <c r="H2727" s="34" t="n">
        <v>22512</v>
      </c>
      <c r="I2727" t="inlineStr">
        <is>
          <t>3.2</t>
        </is>
      </c>
      <c r="J2727" t="inlineStr">
        <is>
          <t>Ventas Personas (B2C)</t>
        </is>
      </c>
      <c r="K2727" t="inlineStr">
        <is>
          <t>CH2</t>
        </is>
      </c>
    </row>
    <row r="2728">
      <c r="A2728" s="33" t="n">
        <v>45895</v>
      </c>
      <c r="B2728" t="inlineStr">
        <is>
          <t>2025-08</t>
        </is>
      </c>
      <c r="C2728" t="inlineStr">
        <is>
          <t>Josefina Ortigosa</t>
        </is>
      </c>
      <c r="D2728" t="inlineStr">
        <is>
          <t>CANELÉ TRADICIONAL</t>
        </is>
      </c>
      <c r="E2728" s="34" t="n">
        <v>23840</v>
      </c>
      <c r="F2728" t="inlineStr">
        <is>
          <t>B</t>
        </is>
      </c>
      <c r="G2728" s="34" t="n">
        <v>3806</v>
      </c>
      <c r="H2728" s="34" t="n">
        <v>20034</v>
      </c>
      <c r="I2728" t="inlineStr">
        <is>
          <t>3.2</t>
        </is>
      </c>
      <c r="J2728" t="inlineStr">
        <is>
          <t>Ventas Personas (B2C)</t>
        </is>
      </c>
      <c r="K2728" t="inlineStr">
        <is>
          <t>CH2</t>
        </is>
      </c>
    </row>
    <row r="2729">
      <c r="A2729" s="33" t="n">
        <v>45895</v>
      </c>
      <c r="B2729" t="inlineStr">
        <is>
          <t>2025-08</t>
        </is>
      </c>
      <c r="C2729" t="inlineStr">
        <is>
          <t>Sin cliente</t>
        </is>
      </c>
      <c r="D2729" t="inlineStr">
        <is>
          <t>PLATAFORMAS RAP-PEYA-UBER-GOOD</t>
        </is>
      </c>
      <c r="E2729" s="34" t="n">
        <v>25080</v>
      </c>
      <c r="F2729" t="inlineStr">
        <is>
          <t>B</t>
        </is>
      </c>
      <c r="G2729" s="34" t="n">
        <v>4004</v>
      </c>
      <c r="H2729" s="34" t="n">
        <v>21076</v>
      </c>
      <c r="I2729" t="inlineStr">
        <is>
          <t>3.6</t>
        </is>
      </c>
      <c r="J2729" t="inlineStr">
        <is>
          <t>Ventas Delivery Apps</t>
        </is>
      </c>
      <c r="K2729" t="inlineStr">
        <is>
          <t>CH3</t>
        </is>
      </c>
    </row>
    <row r="2730">
      <c r="A2730" s="33" t="n">
        <v>45895</v>
      </c>
      <c r="B2730" t="inlineStr">
        <is>
          <t>2025-08</t>
        </is>
      </c>
      <c r="C2730" t="inlineStr">
        <is>
          <t>Maria Jose Bruna</t>
        </is>
      </c>
      <c r="D2730" t="inlineStr">
        <is>
          <t>Mix Sabores</t>
        </is>
      </c>
      <c r="E2730" s="34" t="n">
        <v>34689</v>
      </c>
      <c r="F2730" t="inlineStr">
        <is>
          <t>B</t>
        </is>
      </c>
      <c r="G2730" s="34" t="n">
        <v>5539</v>
      </c>
      <c r="H2730" s="34" t="n">
        <v>29150</v>
      </c>
      <c r="I2730" t="inlineStr">
        <is>
          <t>3.2</t>
        </is>
      </c>
      <c r="J2730" t="inlineStr">
        <is>
          <t>Ventas Personas (B2C)</t>
        </is>
      </c>
      <c r="K2730" t="inlineStr">
        <is>
          <t>CH2</t>
        </is>
      </c>
    </row>
    <row r="2731">
      <c r="A2731" s="33" t="n">
        <v>45896</v>
      </c>
      <c r="B2731" t="inlineStr">
        <is>
          <t>2025-08</t>
        </is>
      </c>
      <c r="C2731" t="inlineStr">
        <is>
          <t>CAFETERIA THE ELEPHANT COFFEE LIMITADA</t>
        </is>
      </c>
      <c r="D2731" t="inlineStr">
        <is>
          <t>HORECA CAFETERIA</t>
        </is>
      </c>
      <c r="E2731" s="34" t="n">
        <v>186928</v>
      </c>
      <c r="F2731" t="inlineStr">
        <is>
          <t>F</t>
        </is>
      </c>
      <c r="G2731" s="34" t="n">
        <v>29846</v>
      </c>
      <c r="H2731" s="34" t="n">
        <v>157082</v>
      </c>
      <c r="I2731" t="inlineStr">
        <is>
          <t>3.1</t>
        </is>
      </c>
      <c r="J2731" t="inlineStr">
        <is>
          <t>Ventas HoReCa</t>
        </is>
      </c>
      <c r="K2731" t="inlineStr">
        <is>
          <t>CH1</t>
        </is>
      </c>
    </row>
    <row r="2732">
      <c r="A2732" s="33" t="n">
        <v>45896</v>
      </c>
      <c r="B2732" t="inlineStr">
        <is>
          <t>2025-08</t>
        </is>
      </c>
      <c r="C2732" t="inlineStr">
        <is>
          <t>CAFE DIARIO ENCOMENDEROS SPA</t>
        </is>
      </c>
      <c r="D2732" t="inlineStr">
        <is>
          <t>HORECA CAFETERIA</t>
        </is>
      </c>
      <c r="E2732" s="34" t="n">
        <v>91705</v>
      </c>
      <c r="F2732" t="inlineStr">
        <is>
          <t>F</t>
        </is>
      </c>
      <c r="G2732" s="34" t="n">
        <v>14642</v>
      </c>
      <c r="H2732" s="34" t="n">
        <v>77063</v>
      </c>
      <c r="I2732" t="inlineStr">
        <is>
          <t>3.1</t>
        </is>
      </c>
      <c r="J2732" t="inlineStr">
        <is>
          <t>Ventas HoReCa</t>
        </is>
      </c>
      <c r="K2732" t="inlineStr">
        <is>
          <t>CH1</t>
        </is>
      </c>
    </row>
    <row r="2733">
      <c r="A2733" s="33" t="n">
        <v>45896</v>
      </c>
      <c r="B2733" t="inlineStr">
        <is>
          <t>2025-08</t>
        </is>
      </c>
      <c r="C2733" t="inlineStr">
        <is>
          <t>D&amp;S SERVICIOS DE ALIMENTACIÓN SpA</t>
        </is>
      </c>
      <c r="D2733" t="inlineStr">
        <is>
          <t xml:space="preserve">THE COFFEE STORE </t>
        </is>
      </c>
      <c r="E2733" s="34" t="n">
        <v>40293</v>
      </c>
      <c r="F2733" t="inlineStr">
        <is>
          <t>F</t>
        </is>
      </c>
      <c r="G2733" s="34" t="n">
        <v>6433</v>
      </c>
      <c r="H2733" s="34" t="n">
        <v>33860</v>
      </c>
      <c r="I2733" t="inlineStr">
        <is>
          <t>3.1</t>
        </is>
      </c>
      <c r="J2733" t="inlineStr">
        <is>
          <t>Ventas HoReCa</t>
        </is>
      </c>
      <c r="K2733" t="inlineStr">
        <is>
          <t>CH1</t>
        </is>
      </c>
    </row>
    <row r="2734">
      <c r="A2734" s="33" t="n">
        <v>45896</v>
      </c>
      <c r="B2734" t="inlineStr">
        <is>
          <t>2025-08</t>
        </is>
      </c>
      <c r="C2734" t="inlineStr">
        <is>
          <t>Better Food Spa</t>
        </is>
      </c>
      <c r="D2734" t="inlineStr">
        <is>
          <t>HORECA CAFETERIA</t>
        </is>
      </c>
      <c r="E2734" s="34" t="n">
        <v>385132</v>
      </c>
      <c r="F2734" t="inlineStr">
        <is>
          <t>F</t>
        </is>
      </c>
      <c r="G2734" s="34" t="n">
        <v>61492</v>
      </c>
      <c r="H2734" s="34" t="n">
        <v>323640</v>
      </c>
      <c r="I2734" t="inlineStr">
        <is>
          <t>3.1</t>
        </is>
      </c>
      <c r="J2734" t="inlineStr">
        <is>
          <t>Ventas HoReCa</t>
        </is>
      </c>
      <c r="K2734" t="inlineStr">
        <is>
          <t>CH1</t>
        </is>
      </c>
    </row>
    <row r="2735">
      <c r="A2735" s="33" t="n">
        <v>45896</v>
      </c>
      <c r="B2735" t="inlineStr">
        <is>
          <t>2025-08</t>
        </is>
      </c>
      <c r="C2735" t="inlineStr">
        <is>
          <t>Better Food Spa</t>
        </is>
      </c>
      <c r="D2735" t="inlineStr">
        <is>
          <t>HORECA CAFETERIA</t>
        </is>
      </c>
      <c r="E2735" s="34" t="n">
        <v>-385132</v>
      </c>
      <c r="F2735" t="inlineStr">
        <is>
          <t>NC</t>
        </is>
      </c>
      <c r="G2735" s="34" t="n">
        <v>-61492</v>
      </c>
      <c r="H2735" s="34" t="n">
        <v>-323640</v>
      </c>
      <c r="I2735" t="inlineStr">
        <is>
          <t>3.1</t>
        </is>
      </c>
      <c r="J2735" t="inlineStr">
        <is>
          <t>Ventas HoReCa</t>
        </is>
      </c>
      <c r="K2735" t="inlineStr">
        <is>
          <t>CH1</t>
        </is>
      </c>
    </row>
    <row r="2736">
      <c r="A2736" s="33" t="n">
        <v>45896</v>
      </c>
      <c r="B2736" t="inlineStr">
        <is>
          <t>2025-08</t>
        </is>
      </c>
      <c r="C2736" t="inlineStr">
        <is>
          <t>Better Food Spa</t>
        </is>
      </c>
      <c r="D2736" t="inlineStr">
        <is>
          <t>HORECA CAFETERIA</t>
        </is>
      </c>
      <c r="E2736" s="34" t="n">
        <v>385132</v>
      </c>
      <c r="F2736" t="inlineStr">
        <is>
          <t>F</t>
        </is>
      </c>
      <c r="G2736" s="34" t="n">
        <v>61492</v>
      </c>
      <c r="H2736" s="34" t="n">
        <v>323640</v>
      </c>
      <c r="I2736" t="inlineStr">
        <is>
          <t>3.1</t>
        </is>
      </c>
      <c r="J2736" t="inlineStr">
        <is>
          <t>Ventas HoReCa</t>
        </is>
      </c>
      <c r="K2736" t="inlineStr">
        <is>
          <t>CH1</t>
        </is>
      </c>
    </row>
    <row r="2737">
      <c r="A2737" s="33" t="n">
        <v>45896</v>
      </c>
      <c r="B2737" t="inlineStr">
        <is>
          <t>2025-08</t>
        </is>
      </c>
      <c r="C2737" t="inlineStr">
        <is>
          <t>Patricio Javier Traslaviña Rivera</t>
        </is>
      </c>
      <c r="D2737" t="inlineStr">
        <is>
          <t>Petit Tradicional</t>
        </is>
      </c>
      <c r="E2737" s="34" t="n">
        <v>32220</v>
      </c>
      <c r="F2737" t="inlineStr">
        <is>
          <t>B</t>
        </is>
      </c>
      <c r="G2737" s="34" t="n">
        <v>5144</v>
      </c>
      <c r="H2737" s="34" t="n">
        <v>27076</v>
      </c>
      <c r="I2737" t="inlineStr">
        <is>
          <t>3.2</t>
        </is>
      </c>
      <c r="J2737" t="inlineStr">
        <is>
          <t>Ventas Personas (B2C)</t>
        </is>
      </c>
      <c r="K2737" t="inlineStr">
        <is>
          <t>CH2</t>
        </is>
      </c>
    </row>
    <row r="2738">
      <c r="A2738" s="33" t="n">
        <v>45896</v>
      </c>
      <c r="B2738" t="inlineStr">
        <is>
          <t>2025-08</t>
        </is>
      </c>
      <c r="C2738" t="inlineStr">
        <is>
          <t>Sin cliente</t>
        </is>
      </c>
      <c r="D2738" t="inlineStr">
        <is>
          <t>CANELÉ TRADICIONAL</t>
        </is>
      </c>
      <c r="E2738" s="34" t="n">
        <v>11920</v>
      </c>
      <c r="F2738" t="inlineStr">
        <is>
          <t>B</t>
        </is>
      </c>
      <c r="G2738" s="34" t="n">
        <v>1903</v>
      </c>
      <c r="H2738" s="34" t="n">
        <v>10017</v>
      </c>
      <c r="I2738" t="inlineStr">
        <is>
          <t>3.2</t>
        </is>
      </c>
      <c r="J2738" t="inlineStr">
        <is>
          <t>Ventas Personas (B2C)</t>
        </is>
      </c>
      <c r="K2738" t="inlineStr">
        <is>
          <t>CH2</t>
        </is>
      </c>
    </row>
    <row r="2739">
      <c r="A2739" s="33" t="n">
        <v>45896</v>
      </c>
      <c r="B2739" t="inlineStr">
        <is>
          <t>2025-08</t>
        </is>
      </c>
      <c r="C2739" t="inlineStr">
        <is>
          <t>Guillermo Castro</t>
        </is>
      </c>
      <c r="D2739" t="inlineStr">
        <is>
          <t>Petit Crunchy</t>
        </is>
      </c>
      <c r="E2739" s="34" t="n">
        <v>27299</v>
      </c>
      <c r="F2739" t="inlineStr">
        <is>
          <t>B</t>
        </is>
      </c>
      <c r="G2739" s="34" t="n">
        <v>4359</v>
      </c>
      <c r="H2739" s="34" t="n">
        <v>22940</v>
      </c>
      <c r="I2739" t="inlineStr">
        <is>
          <t>3.2</t>
        </is>
      </c>
      <c r="J2739" t="inlineStr">
        <is>
          <t>Ventas Personas (B2C)</t>
        </is>
      </c>
      <c r="K2739" t="inlineStr">
        <is>
          <t>CH2</t>
        </is>
      </c>
    </row>
    <row r="2740">
      <c r="A2740" s="33" t="n">
        <v>45896</v>
      </c>
      <c r="B2740" t="inlineStr">
        <is>
          <t>2025-08</t>
        </is>
      </c>
      <c r="C2740" t="inlineStr">
        <is>
          <t>Macarena Neira</t>
        </is>
      </c>
      <c r="D2740" t="inlineStr">
        <is>
          <t>CANELÉ TRADICIONAL</t>
        </is>
      </c>
      <c r="E2740" s="34" t="n">
        <v>5000</v>
      </c>
      <c r="F2740" t="inlineStr">
        <is>
          <t>B</t>
        </is>
      </c>
      <c r="G2740" s="34" t="n">
        <v>798</v>
      </c>
      <c r="H2740" s="34" t="n">
        <v>4202</v>
      </c>
      <c r="I2740" t="inlineStr">
        <is>
          <t>3.2</t>
        </is>
      </c>
      <c r="J2740" t="inlineStr">
        <is>
          <t>Ventas Personas (B2C)</t>
        </is>
      </c>
      <c r="K2740" t="inlineStr">
        <is>
          <t>CH2</t>
        </is>
      </c>
    </row>
    <row r="2741">
      <c r="A2741" s="33" t="n">
        <v>45896</v>
      </c>
      <c r="B2741" t="inlineStr">
        <is>
          <t>2025-08</t>
        </is>
      </c>
      <c r="C2741" t="inlineStr">
        <is>
          <t>Francisco Subiabre</t>
        </is>
      </c>
      <c r="D2741" t="inlineStr">
        <is>
          <t>CANELÉ TRADICIONAL</t>
        </is>
      </c>
      <c r="E2741" s="34" t="n">
        <v>22890</v>
      </c>
      <c r="F2741" t="inlineStr">
        <is>
          <t>B</t>
        </is>
      </c>
      <c r="G2741" s="34" t="n">
        <v>3655</v>
      </c>
      <c r="H2741" s="34" t="n">
        <v>19235</v>
      </c>
      <c r="I2741" t="inlineStr">
        <is>
          <t>3.2</t>
        </is>
      </c>
      <c r="J2741" t="inlineStr">
        <is>
          <t>Ventas Personas (B2C)</t>
        </is>
      </c>
      <c r="K2741" t="inlineStr">
        <is>
          <t>CH2</t>
        </is>
      </c>
    </row>
    <row r="2742">
      <c r="A2742" s="33" t="n">
        <v>45896</v>
      </c>
      <c r="B2742" t="inlineStr">
        <is>
          <t>2025-08</t>
        </is>
      </c>
      <c r="C2742" t="inlineStr">
        <is>
          <t>IVANA PERICH</t>
        </is>
      </c>
      <c r="D2742" t="inlineStr">
        <is>
          <t>Petit Crunchy</t>
        </is>
      </c>
      <c r="E2742" s="34" t="n">
        <v>18890</v>
      </c>
      <c r="F2742" t="inlineStr">
        <is>
          <t>B</t>
        </is>
      </c>
      <c r="G2742" s="34" t="n">
        <v>3016</v>
      </c>
      <c r="H2742" s="34" t="n">
        <v>15874</v>
      </c>
      <c r="I2742" t="inlineStr">
        <is>
          <t>3.2</t>
        </is>
      </c>
      <c r="J2742" t="inlineStr">
        <is>
          <t>Ventas Personas (B2C)</t>
        </is>
      </c>
      <c r="K2742" t="inlineStr">
        <is>
          <t>CH2</t>
        </is>
      </c>
    </row>
    <row r="2743">
      <c r="A2743" s="33" t="n">
        <v>45896</v>
      </c>
      <c r="B2743" t="inlineStr">
        <is>
          <t>2025-08</t>
        </is>
      </c>
      <c r="C2743" t="inlineStr">
        <is>
          <t>maría pérez</t>
        </is>
      </c>
      <c r="D2743" t="inlineStr">
        <is>
          <t>CANELÉ TRADICIONAL</t>
        </is>
      </c>
      <c r="E2743" s="34" t="n">
        <v>14900</v>
      </c>
      <c r="F2743" t="inlineStr">
        <is>
          <t>B</t>
        </is>
      </c>
      <c r="G2743" s="34" t="n">
        <v>2379</v>
      </c>
      <c r="H2743" s="34" t="n">
        <v>12521</v>
      </c>
      <c r="I2743" t="inlineStr">
        <is>
          <t>3.2</t>
        </is>
      </c>
      <c r="J2743" t="inlineStr">
        <is>
          <t>Ventas Personas (B2C)</t>
        </is>
      </c>
      <c r="K2743" t="inlineStr">
        <is>
          <t>CH2</t>
        </is>
      </c>
    </row>
    <row r="2744">
      <c r="A2744" s="33" t="n">
        <v>45897</v>
      </c>
      <c r="B2744" t="inlineStr">
        <is>
          <t>2025-08</t>
        </is>
      </c>
      <c r="C2744" t="inlineStr">
        <is>
          <t>GALVEZ Y HEUSSER SPA</t>
        </is>
      </c>
      <c r="D2744" t="inlineStr">
        <is>
          <t>HORECA CATERING</t>
        </is>
      </c>
      <c r="E2744" s="34" t="n">
        <v>75676</v>
      </c>
      <c r="F2744" t="inlineStr">
        <is>
          <t>F</t>
        </is>
      </c>
      <c r="G2744" s="34" t="n">
        <v>12083</v>
      </c>
      <c r="H2744" s="34" t="n">
        <v>63593</v>
      </c>
      <c r="I2744" t="inlineStr">
        <is>
          <t>3.1</t>
        </is>
      </c>
      <c r="J2744" t="inlineStr">
        <is>
          <t>Ventas HoReCa</t>
        </is>
      </c>
      <c r="K2744" t="inlineStr">
        <is>
          <t>CH1</t>
        </is>
      </c>
    </row>
    <row r="2745">
      <c r="A2745" s="33" t="n">
        <v>45897</v>
      </c>
      <c r="B2745" t="inlineStr">
        <is>
          <t>2025-08</t>
        </is>
      </c>
      <c r="C2745" t="inlineStr">
        <is>
          <t>Santa María spa</t>
        </is>
      </c>
      <c r="D2745" t="inlineStr">
        <is>
          <t>HORECA CAFETERIA</t>
        </is>
      </c>
      <c r="E2745" s="34" t="n">
        <v>217418</v>
      </c>
      <c r="F2745" t="inlineStr">
        <is>
          <t>F</t>
        </is>
      </c>
      <c r="G2745" s="34" t="n">
        <v>34714</v>
      </c>
      <c r="H2745" s="34" t="n">
        <v>182704</v>
      </c>
      <c r="I2745" t="inlineStr">
        <is>
          <t>3.1</t>
        </is>
      </c>
      <c r="J2745" t="inlineStr">
        <is>
          <t>Ventas HoReCa</t>
        </is>
      </c>
      <c r="K2745" t="inlineStr">
        <is>
          <t>CH1</t>
        </is>
      </c>
    </row>
    <row r="2746">
      <c r="A2746" s="33" t="n">
        <v>45897</v>
      </c>
      <c r="B2746" t="inlineStr">
        <is>
          <t>2025-08</t>
        </is>
      </c>
      <c r="C2746" t="inlineStr">
        <is>
          <t>Sin cliente</t>
        </is>
      </c>
      <c r="D2746" t="inlineStr">
        <is>
          <t>PLATAFORMAS RAP-PEYA-UBER-GOOD</t>
        </is>
      </c>
      <c r="E2746" s="34" t="n">
        <v>25080</v>
      </c>
      <c r="F2746" t="inlineStr">
        <is>
          <t>B</t>
        </is>
      </c>
      <c r="G2746" s="34" t="n">
        <v>4004</v>
      </c>
      <c r="H2746" s="34" t="n">
        <v>21076</v>
      </c>
      <c r="I2746" t="inlineStr">
        <is>
          <t>3.6</t>
        </is>
      </c>
      <c r="J2746" t="inlineStr">
        <is>
          <t>Ventas Delivery Apps</t>
        </is>
      </c>
      <c r="K2746" t="inlineStr">
        <is>
          <t>CH3</t>
        </is>
      </c>
    </row>
    <row r="2747">
      <c r="A2747" s="33" t="n">
        <v>45897</v>
      </c>
      <c r="B2747" t="inlineStr">
        <is>
          <t>2025-08</t>
        </is>
      </c>
      <c r="C2747" t="inlineStr">
        <is>
          <t>Diane de Galbert</t>
        </is>
      </c>
      <c r="D2747" t="inlineStr">
        <is>
          <t>Petit Tradicional</t>
        </is>
      </c>
      <c r="E2747" s="34" t="n">
        <v>53689</v>
      </c>
      <c r="F2747" t="inlineStr">
        <is>
          <t>B</t>
        </is>
      </c>
      <c r="G2747" s="34" t="n">
        <v>8572</v>
      </c>
      <c r="H2747" s="34" t="n">
        <v>45117</v>
      </c>
      <c r="I2747" t="inlineStr">
        <is>
          <t>3.2</t>
        </is>
      </c>
      <c r="J2747" t="inlineStr">
        <is>
          <t>Ventas Personas (B2C)</t>
        </is>
      </c>
      <c r="K2747" t="inlineStr">
        <is>
          <t>CH2</t>
        </is>
      </c>
    </row>
    <row r="2748">
      <c r="A2748" s="33" t="n">
        <v>45897</v>
      </c>
      <c r="B2748" t="inlineStr">
        <is>
          <t>2025-08</t>
        </is>
      </c>
      <c r="C2748" t="inlineStr">
        <is>
          <t>Jessie Gómez</t>
        </is>
      </c>
      <c r="D2748" t="inlineStr">
        <is>
          <t>Petit Crunchy</t>
        </is>
      </c>
      <c r="E2748" s="34" t="n">
        <v>52789</v>
      </c>
      <c r="F2748" t="inlineStr">
        <is>
          <t>B</t>
        </is>
      </c>
      <c r="G2748" s="34" t="n">
        <v>8428</v>
      </c>
      <c r="H2748" s="34" t="n">
        <v>44361</v>
      </c>
      <c r="I2748" t="inlineStr">
        <is>
          <t>3.2</t>
        </is>
      </c>
      <c r="J2748" t="inlineStr">
        <is>
          <t>Ventas Personas (B2C)</t>
        </is>
      </c>
      <c r="K2748" t="inlineStr">
        <is>
          <t>CH2</t>
        </is>
      </c>
    </row>
    <row r="2749">
      <c r="A2749" s="33" t="n">
        <v>45897</v>
      </c>
      <c r="B2749" t="inlineStr">
        <is>
          <t>2025-08</t>
        </is>
      </c>
      <c r="C2749" t="inlineStr">
        <is>
          <t>Sin cliente</t>
        </is>
      </c>
      <c r="D2749" t="inlineStr">
        <is>
          <t>PLATAFORMAS RAP-PEYA-UBER-GOOD</t>
        </is>
      </c>
      <c r="E2749" s="34" t="n">
        <v>16680</v>
      </c>
      <c r="F2749" t="inlineStr">
        <is>
          <t>B</t>
        </is>
      </c>
      <c r="G2749" s="34" t="n">
        <v>2663</v>
      </c>
      <c r="H2749" s="34" t="n">
        <v>14017</v>
      </c>
      <c r="I2749" t="inlineStr">
        <is>
          <t>3.6</t>
        </is>
      </c>
      <c r="J2749" t="inlineStr">
        <is>
          <t>Ventas Delivery Apps</t>
        </is>
      </c>
      <c r="K2749" t="inlineStr">
        <is>
          <t>CH3</t>
        </is>
      </c>
    </row>
    <row r="2750">
      <c r="A2750" s="33" t="n">
        <v>45897</v>
      </c>
      <c r="B2750" t="inlineStr">
        <is>
          <t>2025-08</t>
        </is>
      </c>
      <c r="C2750" t="inlineStr">
        <is>
          <t>juan reyes</t>
        </is>
      </c>
      <c r="D2750" t="inlineStr">
        <is>
          <t>CANELÉ TRADICIONAL</t>
        </is>
      </c>
      <c r="E2750" s="34" t="n">
        <v>21900</v>
      </c>
      <c r="F2750" t="inlineStr">
        <is>
          <t>B</t>
        </is>
      </c>
      <c r="G2750" s="34" t="n">
        <v>3497</v>
      </c>
      <c r="H2750" s="34" t="n">
        <v>18403</v>
      </c>
      <c r="I2750" t="inlineStr">
        <is>
          <t>3.2</t>
        </is>
      </c>
      <c r="J2750" t="inlineStr">
        <is>
          <t>Ventas Personas (B2C)</t>
        </is>
      </c>
      <c r="K2750" t="inlineStr">
        <is>
          <t>CH2</t>
        </is>
      </c>
    </row>
    <row r="2751">
      <c r="A2751" s="33" t="n">
        <v>45897</v>
      </c>
      <c r="B2751" t="inlineStr">
        <is>
          <t>2025-08</t>
        </is>
      </c>
      <c r="C2751" t="inlineStr">
        <is>
          <t>Sin cliente</t>
        </is>
      </c>
      <c r="D2751" t="inlineStr">
        <is>
          <t>PLATAFORMAS RAP-PEYA-UBER-GOOD</t>
        </is>
      </c>
      <c r="E2751" s="34" t="n">
        <v>50148</v>
      </c>
      <c r="F2751" t="inlineStr">
        <is>
          <t>B</t>
        </is>
      </c>
      <c r="G2751" s="34" t="n">
        <v>8007</v>
      </c>
      <c r="H2751" s="34" t="n">
        <v>42141</v>
      </c>
      <c r="I2751" t="inlineStr">
        <is>
          <t>3.6</t>
        </is>
      </c>
      <c r="J2751" t="inlineStr">
        <is>
          <t>Ventas Delivery Apps</t>
        </is>
      </c>
      <c r="K2751" t="inlineStr">
        <is>
          <t>CH3</t>
        </is>
      </c>
    </row>
    <row r="2752">
      <c r="A2752" s="33" t="n">
        <v>45897</v>
      </c>
      <c r="B2752" t="inlineStr">
        <is>
          <t>2025-08</t>
        </is>
      </c>
      <c r="C2752" t="inlineStr">
        <is>
          <t>Sin cliente</t>
        </is>
      </c>
      <c r="D2752" t="inlineStr">
        <is>
          <t>PLATAFORMAS RAP-PEYA-UBER-GOOD</t>
        </is>
      </c>
      <c r="E2752" s="34" t="n">
        <v>20280</v>
      </c>
      <c r="F2752" t="inlineStr">
        <is>
          <t>B</t>
        </is>
      </c>
      <c r="G2752" s="34" t="n">
        <v>3238</v>
      </c>
      <c r="H2752" s="34" t="n">
        <v>17042</v>
      </c>
      <c r="I2752" t="inlineStr">
        <is>
          <t>3.6</t>
        </is>
      </c>
      <c r="J2752" t="inlineStr">
        <is>
          <t>Ventas Delivery Apps</t>
        </is>
      </c>
      <c r="K2752" t="inlineStr">
        <is>
          <t>CH3</t>
        </is>
      </c>
    </row>
    <row r="2753">
      <c r="A2753" s="33" t="n">
        <v>45898</v>
      </c>
      <c r="B2753" t="inlineStr">
        <is>
          <t>2025-08</t>
        </is>
      </c>
      <c r="C2753" t="inlineStr">
        <is>
          <t>GALO SPA</t>
        </is>
      </c>
      <c r="D2753" t="inlineStr">
        <is>
          <t>HORECA CAFETERIA</t>
        </is>
      </c>
      <c r="E2753" s="34" t="n">
        <v>189305</v>
      </c>
      <c r="F2753" t="inlineStr">
        <is>
          <t>F</t>
        </is>
      </c>
      <c r="G2753" s="34" t="n">
        <v>30225</v>
      </c>
      <c r="H2753" s="34" t="n">
        <v>159080</v>
      </c>
      <c r="I2753" t="inlineStr">
        <is>
          <t>3.1</t>
        </is>
      </c>
      <c r="J2753" t="inlineStr">
        <is>
          <t>Ventas HoReCa</t>
        </is>
      </c>
      <c r="K2753" t="inlineStr">
        <is>
          <t>CH1</t>
        </is>
      </c>
    </row>
    <row r="2754">
      <c r="A2754" s="33" t="n">
        <v>45898</v>
      </c>
      <c r="B2754" t="inlineStr">
        <is>
          <t>2025-08</t>
        </is>
      </c>
      <c r="C2754" t="inlineStr">
        <is>
          <t>BEMVINDO CAFE</t>
        </is>
      </c>
      <c r="D2754" t="inlineStr">
        <is>
          <t>HORECA CAFETERIA</t>
        </is>
      </c>
      <c r="E2754" s="34" t="n">
        <v>38520</v>
      </c>
      <c r="F2754" t="inlineStr">
        <is>
          <t>F</t>
        </is>
      </c>
      <c r="G2754" s="34" t="n">
        <v>6150</v>
      </c>
      <c r="H2754" s="34" t="n">
        <v>32370</v>
      </c>
      <c r="I2754" t="inlineStr">
        <is>
          <t>3.1</t>
        </is>
      </c>
      <c r="J2754" t="inlineStr">
        <is>
          <t>Ventas HoReCa</t>
        </is>
      </c>
      <c r="K2754" t="inlineStr">
        <is>
          <t>CH1</t>
        </is>
      </c>
    </row>
    <row r="2755">
      <c r="A2755" s="33" t="n">
        <v>45898</v>
      </c>
      <c r="B2755" t="inlineStr">
        <is>
          <t>2025-08</t>
        </is>
      </c>
      <c r="C2755" t="inlineStr">
        <is>
          <t>Clark Veloso Valenzuela</t>
        </is>
      </c>
      <c r="D2755" t="inlineStr">
        <is>
          <t>HORECA CAFETERIA</t>
        </is>
      </c>
      <c r="E2755" s="34" t="n">
        <v>32094</v>
      </c>
      <c r="F2755" t="inlineStr">
        <is>
          <t>F</t>
        </is>
      </c>
      <c r="G2755" s="34" t="n">
        <v>5124</v>
      </c>
      <c r="H2755" s="34" t="n">
        <v>26970</v>
      </c>
      <c r="I2755" t="inlineStr">
        <is>
          <t>3.1</t>
        </is>
      </c>
      <c r="J2755" t="inlineStr">
        <is>
          <t>Ventas HoReCa</t>
        </is>
      </c>
      <c r="K2755" t="inlineStr">
        <is>
          <t>CH1</t>
        </is>
      </c>
    </row>
    <row r="2756">
      <c r="A2756" s="33" t="n">
        <v>45898</v>
      </c>
      <c r="B2756" t="inlineStr">
        <is>
          <t>2025-08</t>
        </is>
      </c>
      <c r="C2756" t="inlineStr">
        <is>
          <t>I-LIN WU</t>
        </is>
      </c>
      <c r="D2756" t="inlineStr">
        <is>
          <t>Rellenos</t>
        </is>
      </c>
      <c r="E2756" s="34" t="n">
        <v>39709</v>
      </c>
      <c r="F2756" t="inlineStr">
        <is>
          <t>B</t>
        </is>
      </c>
      <c r="G2756" s="34" t="n">
        <v>6340</v>
      </c>
      <c r="H2756" s="34" t="n">
        <v>33369</v>
      </c>
      <c r="I2756" t="inlineStr">
        <is>
          <t>3.2</t>
        </is>
      </c>
      <c r="J2756" t="inlineStr">
        <is>
          <t>Ventas Personas (B2C)</t>
        </is>
      </c>
      <c r="K2756" t="inlineStr">
        <is>
          <t>CH2</t>
        </is>
      </c>
    </row>
    <row r="2757">
      <c r="A2757" s="33" t="n">
        <v>45898</v>
      </c>
      <c r="B2757" t="inlineStr">
        <is>
          <t>2025-08</t>
        </is>
      </c>
      <c r="C2757" t="inlineStr">
        <is>
          <t>Sin cliente</t>
        </is>
      </c>
      <c r="D2757" t="inlineStr">
        <is>
          <t>PLATAFORMAS RAP-PEYA-UBER-GOOD</t>
        </is>
      </c>
      <c r="E2757" s="34" t="n">
        <v>26268</v>
      </c>
      <c r="F2757" t="inlineStr">
        <is>
          <t>B</t>
        </is>
      </c>
      <c r="G2757" s="34" t="n">
        <v>4194</v>
      </c>
      <c r="H2757" s="34" t="n">
        <v>22074</v>
      </c>
      <c r="I2757" t="inlineStr">
        <is>
          <t>3.6</t>
        </is>
      </c>
      <c r="J2757" t="inlineStr">
        <is>
          <t>Ventas Delivery Apps</t>
        </is>
      </c>
      <c r="K2757" t="inlineStr">
        <is>
          <t>CH3</t>
        </is>
      </c>
    </row>
    <row r="2758">
      <c r="A2758" s="33" t="n">
        <v>45898</v>
      </c>
      <c r="B2758" t="inlineStr">
        <is>
          <t>2025-08</t>
        </is>
      </c>
      <c r="C2758" t="inlineStr">
        <is>
          <t>Sin cliente</t>
        </is>
      </c>
      <c r="D2758" t="inlineStr">
        <is>
          <t>PLATAFORMAS RAP-PEYA-UBER-GOOD</t>
        </is>
      </c>
      <c r="E2758" s="34" t="n">
        <v>16140</v>
      </c>
      <c r="F2758" t="inlineStr">
        <is>
          <t>B</t>
        </is>
      </c>
      <c r="G2758" s="34" t="n">
        <v>2577</v>
      </c>
      <c r="H2758" s="34" t="n">
        <v>13563</v>
      </c>
      <c r="I2758" t="inlineStr">
        <is>
          <t>3.6</t>
        </is>
      </c>
      <c r="J2758" t="inlineStr">
        <is>
          <t>Ventas Delivery Apps</t>
        </is>
      </c>
      <c r="K2758" t="inlineStr">
        <is>
          <t>CH3</t>
        </is>
      </c>
    </row>
    <row r="2759">
      <c r="A2759" s="33" t="n">
        <v>45898</v>
      </c>
      <c r="B2759" t="inlineStr">
        <is>
          <t>2025-08</t>
        </is>
      </c>
      <c r="C2759" t="inlineStr">
        <is>
          <t>Yuri Uehiro</t>
        </is>
      </c>
      <c r="D2759" t="inlineStr">
        <is>
          <t>Petit Tradicional</t>
        </is>
      </c>
      <c r="E2759" s="34" t="n">
        <v>20900</v>
      </c>
      <c r="F2759" t="inlineStr">
        <is>
          <t>B</t>
        </is>
      </c>
      <c r="G2759" s="34" t="n">
        <v>3337</v>
      </c>
      <c r="H2759" s="34" t="n">
        <v>17563</v>
      </c>
      <c r="I2759" t="inlineStr">
        <is>
          <t>3.2</t>
        </is>
      </c>
      <c r="J2759" t="inlineStr">
        <is>
          <t>Ventas Personas (B2C)</t>
        </is>
      </c>
      <c r="K2759" t="inlineStr">
        <is>
          <t>CH2</t>
        </is>
      </c>
    </row>
    <row r="2760">
      <c r="A2760" s="33" t="n">
        <v>45898</v>
      </c>
      <c r="B2760" t="inlineStr">
        <is>
          <t>2025-08</t>
        </is>
      </c>
      <c r="C2760" t="inlineStr">
        <is>
          <t>francisco  ebel</t>
        </is>
      </c>
      <c r="D2760" t="inlineStr">
        <is>
          <t>SALSAS</t>
        </is>
      </c>
      <c r="E2760" s="34" t="n">
        <v>36790</v>
      </c>
      <c r="F2760" t="inlineStr">
        <is>
          <t>B</t>
        </is>
      </c>
      <c r="G2760" s="34" t="n">
        <v>5874</v>
      </c>
      <c r="H2760" s="34" t="n">
        <v>30916</v>
      </c>
      <c r="I2760" t="inlineStr">
        <is>
          <t>3.2</t>
        </is>
      </c>
      <c r="J2760" t="inlineStr">
        <is>
          <t>Ventas Personas (B2C)</t>
        </is>
      </c>
      <c r="K2760" t="inlineStr">
        <is>
          <t>CH2</t>
        </is>
      </c>
    </row>
    <row r="2761">
      <c r="A2761" s="33" t="n">
        <v>45898</v>
      </c>
      <c r="B2761" t="inlineStr">
        <is>
          <t>2025-08</t>
        </is>
      </c>
      <c r="C2761" t="inlineStr">
        <is>
          <t>MONICA  SERRANO</t>
        </is>
      </c>
      <c r="D2761" t="inlineStr">
        <is>
          <t>Petit Tradicional</t>
        </is>
      </c>
      <c r="E2761" s="34" t="n">
        <v>12900</v>
      </c>
      <c r="F2761" t="inlineStr">
        <is>
          <t>B</t>
        </is>
      </c>
      <c r="G2761" s="34" t="n">
        <v>2060</v>
      </c>
      <c r="H2761" s="34" t="n">
        <v>10840</v>
      </c>
      <c r="I2761" t="inlineStr">
        <is>
          <t>3.2</t>
        </is>
      </c>
      <c r="J2761" t="inlineStr">
        <is>
          <t>Ventas Personas (B2C)</t>
        </is>
      </c>
      <c r="K2761" t="inlineStr">
        <is>
          <t>CH2</t>
        </is>
      </c>
    </row>
    <row r="2762">
      <c r="A2762" s="33" t="n">
        <v>45898</v>
      </c>
      <c r="B2762" t="inlineStr">
        <is>
          <t>2025-08</t>
        </is>
      </c>
      <c r="C2762" t="inlineStr">
        <is>
          <t>MARIA JOSE MARTINEZ</t>
        </is>
      </c>
      <c r="D2762" t="inlineStr">
        <is>
          <t>CANELÉ TRADICIONAL</t>
        </is>
      </c>
      <c r="E2762" s="34" t="n">
        <v>28640</v>
      </c>
      <c r="F2762" t="inlineStr">
        <is>
          <t>B</t>
        </is>
      </c>
      <c r="G2762" s="34" t="n">
        <v>4573</v>
      </c>
      <c r="H2762" s="34" t="n">
        <v>24067</v>
      </c>
      <c r="I2762" t="inlineStr">
        <is>
          <t>3.2</t>
        </is>
      </c>
      <c r="J2762" t="inlineStr">
        <is>
          <t>Ventas Personas (B2C)</t>
        </is>
      </c>
      <c r="K2762" t="inlineStr">
        <is>
          <t>CH2</t>
        </is>
      </c>
    </row>
    <row r="2763">
      <c r="A2763" s="33" t="n">
        <v>45898</v>
      </c>
      <c r="B2763" t="inlineStr">
        <is>
          <t>2025-08</t>
        </is>
      </c>
      <c r="C2763" t="inlineStr">
        <is>
          <t>CAFETERÍA ALTURA LIMITADA</t>
        </is>
      </c>
      <c r="D2763" t="inlineStr">
        <is>
          <t>HORECA CAFETERIA</t>
        </is>
      </c>
      <c r="E2763" s="34" t="n">
        <v>31271</v>
      </c>
      <c r="F2763" t="inlineStr">
        <is>
          <t>F</t>
        </is>
      </c>
      <c r="G2763" s="34" t="n">
        <v>4993</v>
      </c>
      <c r="H2763" s="34" t="n">
        <v>26278</v>
      </c>
      <c r="I2763" t="inlineStr">
        <is>
          <t>3.1</t>
        </is>
      </c>
      <c r="J2763" t="inlineStr">
        <is>
          <t>Ventas HoReCa</t>
        </is>
      </c>
      <c r="K2763" t="inlineStr">
        <is>
          <t>CH1</t>
        </is>
      </c>
    </row>
    <row r="2764">
      <c r="A2764" s="33" t="n">
        <v>45898</v>
      </c>
      <c r="B2764" t="inlineStr">
        <is>
          <t>2025-08</t>
        </is>
      </c>
      <c r="C2764" t="inlineStr">
        <is>
          <t>Sin cliente</t>
        </is>
      </c>
      <c r="D2764" t="inlineStr">
        <is>
          <t>SALSAS</t>
        </is>
      </c>
      <c r="E2764" s="34" t="n">
        <v>27890</v>
      </c>
      <c r="F2764" t="inlineStr">
        <is>
          <t>B</t>
        </is>
      </c>
      <c r="G2764" s="34" t="n">
        <v>4453</v>
      </c>
      <c r="H2764" s="34" t="n">
        <v>23437</v>
      </c>
      <c r="I2764" t="inlineStr">
        <is>
          <t>3.2</t>
        </is>
      </c>
      <c r="J2764" t="inlineStr">
        <is>
          <t>Ventas Personas (B2C)</t>
        </is>
      </c>
      <c r="K2764" t="inlineStr">
        <is>
          <t>CH2</t>
        </is>
      </c>
    </row>
    <row r="2765">
      <c r="A2765" s="33" t="n">
        <v>45898</v>
      </c>
      <c r="B2765" t="inlineStr">
        <is>
          <t>2025-08</t>
        </is>
      </c>
      <c r="C2765" t="inlineStr">
        <is>
          <t>Sin cliente</t>
        </is>
      </c>
      <c r="D2765" t="inlineStr">
        <is>
          <t>PLATAFORMAS RAP-PEYA-UBER-GOOD</t>
        </is>
      </c>
      <c r="E2765" s="34" t="n">
        <v>7740</v>
      </c>
      <c r="F2765" t="inlineStr">
        <is>
          <t>B</t>
        </is>
      </c>
      <c r="G2765" s="34" t="n">
        <v>1236</v>
      </c>
      <c r="H2765" s="34" t="n">
        <v>6504</v>
      </c>
      <c r="I2765" t="inlineStr">
        <is>
          <t>3.6</t>
        </is>
      </c>
      <c r="J2765" t="inlineStr">
        <is>
          <t>Ventas Delivery Apps</t>
        </is>
      </c>
      <c r="K2765" t="inlineStr">
        <is>
          <t>CH3</t>
        </is>
      </c>
    </row>
    <row r="2766">
      <c r="A2766" s="33" t="n">
        <v>45898</v>
      </c>
      <c r="B2766" t="inlineStr">
        <is>
          <t>2025-08</t>
        </is>
      </c>
      <c r="C2766" t="inlineStr">
        <is>
          <t>Sin cliente</t>
        </is>
      </c>
      <c r="D2766" t="inlineStr">
        <is>
          <t>PLATAFORMAS RAP-PEYA-UBER-GOOD</t>
        </is>
      </c>
      <c r="E2766" s="34" t="n">
        <v>7740</v>
      </c>
      <c r="F2766" t="inlineStr">
        <is>
          <t>B</t>
        </is>
      </c>
      <c r="G2766" s="34" t="n">
        <v>1236</v>
      </c>
      <c r="H2766" s="34" t="n">
        <v>6504</v>
      </c>
      <c r="I2766" t="inlineStr">
        <is>
          <t>3.6</t>
        </is>
      </c>
      <c r="J2766" t="inlineStr">
        <is>
          <t>Ventas Delivery Apps</t>
        </is>
      </c>
      <c r="K2766" t="inlineStr">
        <is>
          <t>CH3</t>
        </is>
      </c>
    </row>
    <row r="2767">
      <c r="A2767" s="33" t="n">
        <v>45898</v>
      </c>
      <c r="B2767" t="inlineStr">
        <is>
          <t>2025-08</t>
        </is>
      </c>
      <c r="C2767" t="inlineStr">
        <is>
          <t>AMBROSIA RESTAURANT SPA</t>
        </is>
      </c>
      <c r="D2767" t="inlineStr">
        <is>
          <t>HORECA CAFETERIA</t>
        </is>
      </c>
      <c r="E2767" s="34" t="n">
        <v>36084</v>
      </c>
      <c r="F2767" t="inlineStr">
        <is>
          <t>F</t>
        </is>
      </c>
      <c r="G2767" s="34" t="n">
        <v>5761</v>
      </c>
      <c r="H2767" s="34" t="n">
        <v>30323</v>
      </c>
      <c r="I2767" t="inlineStr">
        <is>
          <t>3.1</t>
        </is>
      </c>
      <c r="J2767" t="inlineStr">
        <is>
          <t>Ventas HoReCa</t>
        </is>
      </c>
      <c r="K2767" t="inlineStr">
        <is>
          <t>CH1</t>
        </is>
      </c>
    </row>
    <row r="2768">
      <c r="A2768" s="33" t="n">
        <v>45898</v>
      </c>
      <c r="B2768" t="inlineStr">
        <is>
          <t>2025-08</t>
        </is>
      </c>
      <c r="C2768" t="inlineStr">
        <is>
          <t>Sin cliente</t>
        </is>
      </c>
      <c r="D2768" t="inlineStr">
        <is>
          <t>PLATAFORMAS RAP-PEYA-UBER-GOOD</t>
        </is>
      </c>
      <c r="E2768" s="34" t="n">
        <v>26268</v>
      </c>
      <c r="F2768" t="inlineStr">
        <is>
          <t>B</t>
        </is>
      </c>
      <c r="G2768" s="34" t="n">
        <v>4194</v>
      </c>
      <c r="H2768" s="34" t="n">
        <v>22074</v>
      </c>
      <c r="I2768" t="inlineStr">
        <is>
          <t>3.6</t>
        </is>
      </c>
      <c r="J2768" t="inlineStr">
        <is>
          <t>Ventas Delivery Apps</t>
        </is>
      </c>
      <c r="K2768" t="inlineStr">
        <is>
          <t>CH3</t>
        </is>
      </c>
    </row>
    <row r="2769">
      <c r="A2769" s="33" t="n">
        <v>45898</v>
      </c>
      <c r="B2769" t="inlineStr">
        <is>
          <t>2025-08</t>
        </is>
      </c>
      <c r="C2769" t="inlineStr">
        <is>
          <t>Sin cliente</t>
        </is>
      </c>
      <c r="D2769" t="inlineStr">
        <is>
          <t>Mix Sabores</t>
        </is>
      </c>
      <c r="E2769" s="34" t="n">
        <v>11400</v>
      </c>
      <c r="F2769" t="inlineStr">
        <is>
          <t>B</t>
        </is>
      </c>
      <c r="G2769" s="34" t="n">
        <v>1820</v>
      </c>
      <c r="H2769" s="34" t="n">
        <v>9580</v>
      </c>
      <c r="I2769" t="inlineStr">
        <is>
          <t>3.2</t>
        </is>
      </c>
      <c r="J2769" t="inlineStr">
        <is>
          <t>Ventas Personas (B2C)</t>
        </is>
      </c>
      <c r="K2769" t="inlineStr">
        <is>
          <t>CH2</t>
        </is>
      </c>
    </row>
    <row r="2770">
      <c r="A2770" s="33" t="n">
        <v>45898</v>
      </c>
      <c r="B2770" t="inlineStr">
        <is>
          <t>2025-08</t>
        </is>
      </c>
      <c r="C2770" t="inlineStr">
        <is>
          <t>Sin cliente</t>
        </is>
      </c>
      <c r="D2770" t="inlineStr">
        <is>
          <t>Mix Sabores</t>
        </is>
      </c>
      <c r="E2770" s="34" t="n">
        <v>19080</v>
      </c>
      <c r="F2770" t="inlineStr">
        <is>
          <t>B</t>
        </is>
      </c>
      <c r="G2770" s="34" t="n">
        <v>3046</v>
      </c>
      <c r="H2770" s="34" t="n">
        <v>16034</v>
      </c>
      <c r="I2770" t="inlineStr">
        <is>
          <t>3.2</t>
        </is>
      </c>
      <c r="J2770" t="inlineStr">
        <is>
          <t>Ventas Personas (B2C)</t>
        </is>
      </c>
      <c r="K2770" t="inlineStr">
        <is>
          <t>CH2</t>
        </is>
      </c>
    </row>
    <row r="2771">
      <c r="A2771" s="33" t="n">
        <v>45898</v>
      </c>
      <c r="B2771" t="inlineStr">
        <is>
          <t>2025-08</t>
        </is>
      </c>
      <c r="C2771" t="inlineStr">
        <is>
          <t>Sin cliente</t>
        </is>
      </c>
      <c r="D2771" t="inlineStr">
        <is>
          <t>CANELÉ TRADICIONAL</t>
        </is>
      </c>
      <c r="E2771" s="34" t="n">
        <v>79700</v>
      </c>
      <c r="F2771" t="inlineStr">
        <is>
          <t>B</t>
        </is>
      </c>
      <c r="G2771" s="34" t="n">
        <v>12725</v>
      </c>
      <c r="H2771" s="34" t="n">
        <v>66975</v>
      </c>
      <c r="I2771" t="inlineStr">
        <is>
          <t>3.2</t>
        </is>
      </c>
      <c r="J2771" t="inlineStr">
        <is>
          <t>Ventas Personas (B2C)</t>
        </is>
      </c>
      <c r="K2771" t="inlineStr">
        <is>
          <t>CH2</t>
        </is>
      </c>
    </row>
    <row r="2772">
      <c r="A2772" s="33" t="n">
        <v>45898</v>
      </c>
      <c r="B2772" t="inlineStr">
        <is>
          <t>2025-08</t>
        </is>
      </c>
      <c r="C2772" t="inlineStr">
        <is>
          <t>Renata Buzzoni</t>
        </is>
      </c>
      <c r="D2772" t="inlineStr">
        <is>
          <t>CANELÉ TRADICIONAL</t>
        </is>
      </c>
      <c r="E2772" s="34" t="n">
        <v>7500</v>
      </c>
      <c r="F2772" t="inlineStr">
        <is>
          <t>B</t>
        </is>
      </c>
      <c r="G2772" s="34" t="n">
        <v>1197</v>
      </c>
      <c r="H2772" s="34" t="n">
        <v>6303</v>
      </c>
      <c r="I2772" t="inlineStr">
        <is>
          <t>3.2</t>
        </is>
      </c>
      <c r="J2772" t="inlineStr">
        <is>
          <t>Ventas Personas (B2C)</t>
        </is>
      </c>
      <c r="K2772" t="inlineStr">
        <is>
          <t>CH2</t>
        </is>
      </c>
    </row>
    <row r="2773">
      <c r="A2773" s="33" t="n">
        <v>45898</v>
      </c>
      <c r="B2773" t="inlineStr">
        <is>
          <t>2025-08</t>
        </is>
      </c>
      <c r="C2773" t="inlineStr">
        <is>
          <t>nataly morales</t>
        </is>
      </c>
      <c r="D2773" t="inlineStr">
        <is>
          <t>Rellenos</t>
        </is>
      </c>
      <c r="E2773" s="34" t="n">
        <v>20640</v>
      </c>
      <c r="F2773" t="inlineStr">
        <is>
          <t>B</t>
        </is>
      </c>
      <c r="G2773" s="34" t="n">
        <v>3295</v>
      </c>
      <c r="H2773" s="34" t="n">
        <v>17345</v>
      </c>
      <c r="I2773" t="inlineStr">
        <is>
          <t>3.2</t>
        </is>
      </c>
      <c r="J2773" t="inlineStr">
        <is>
          <t>Ventas Personas (B2C)</t>
        </is>
      </c>
      <c r="K2773" t="inlineStr">
        <is>
          <t>CH2</t>
        </is>
      </c>
    </row>
    <row r="2774">
      <c r="A2774" s="33" t="n">
        <v>45898</v>
      </c>
      <c r="B2774" t="inlineStr">
        <is>
          <t>2025-08</t>
        </is>
      </c>
      <c r="C2774" t="inlineStr">
        <is>
          <t>vanessa marchant</t>
        </is>
      </c>
      <c r="D2774" t="inlineStr">
        <is>
          <t>CANELÉ TRADICIONAL</t>
        </is>
      </c>
      <c r="E2774" s="34" t="n">
        <v>26849</v>
      </c>
      <c r="F2774" t="inlineStr">
        <is>
          <t>B</t>
        </is>
      </c>
      <c r="G2774" s="34" t="n">
        <v>4287</v>
      </c>
      <c r="H2774" s="34" t="n">
        <v>22562</v>
      </c>
      <c r="I2774" t="inlineStr">
        <is>
          <t>3.2</t>
        </is>
      </c>
      <c r="J2774" t="inlineStr">
        <is>
          <t>Ventas Personas (B2C)</t>
        </is>
      </c>
      <c r="K2774" t="inlineStr">
        <is>
          <t>CH2</t>
        </is>
      </c>
    </row>
    <row r="2775">
      <c r="A2775" s="33" t="n">
        <v>45898</v>
      </c>
      <c r="B2775" t="inlineStr">
        <is>
          <t>2025-08</t>
        </is>
      </c>
      <c r="C2775" t="inlineStr">
        <is>
          <t>Sebastián Espinoza</t>
        </is>
      </c>
      <c r="D2775" t="inlineStr">
        <is>
          <t>Rellenos</t>
        </is>
      </c>
      <c r="E2775" s="34" t="n">
        <v>14990</v>
      </c>
      <c r="F2775" t="inlineStr">
        <is>
          <t>B</t>
        </is>
      </c>
      <c r="G2775" s="34" t="n">
        <v>2393</v>
      </c>
      <c r="H2775" s="34" t="n">
        <v>12597</v>
      </c>
      <c r="I2775" t="inlineStr">
        <is>
          <t>3.2</t>
        </is>
      </c>
      <c r="J2775" t="inlineStr">
        <is>
          <t>Ventas Personas (B2C)</t>
        </is>
      </c>
      <c r="K2775" t="inlineStr">
        <is>
          <t>CH2</t>
        </is>
      </c>
    </row>
    <row r="2776">
      <c r="A2776" s="33" t="n">
        <v>45899</v>
      </c>
      <c r="B2776" t="inlineStr">
        <is>
          <t>2025-08</t>
        </is>
      </c>
      <c r="C2776" t="inlineStr">
        <is>
          <t>Gabriela Sepúlveda</t>
        </is>
      </c>
      <c r="D2776" t="inlineStr">
        <is>
          <t>Petit Tradicional</t>
        </is>
      </c>
      <c r="E2776" s="34" t="n">
        <v>44690</v>
      </c>
      <c r="F2776" t="inlineStr">
        <is>
          <t>B</t>
        </is>
      </c>
      <c r="G2776" s="34" t="n">
        <v>7135</v>
      </c>
      <c r="H2776" s="34" t="n">
        <v>37555</v>
      </c>
      <c r="I2776" t="inlineStr">
        <is>
          <t>3.2</t>
        </is>
      </c>
      <c r="J2776" t="inlineStr">
        <is>
          <t>Ventas Personas (B2C)</t>
        </is>
      </c>
      <c r="K2776" t="inlineStr">
        <is>
          <t>CH2</t>
        </is>
      </c>
    </row>
    <row r="2777">
      <c r="A2777" s="33" t="n">
        <v>45899</v>
      </c>
      <c r="B2777" t="inlineStr">
        <is>
          <t>2025-08</t>
        </is>
      </c>
      <c r="C2777" t="inlineStr">
        <is>
          <t>Sebastián Acosta Villa</t>
        </is>
      </c>
      <c r="D2777" t="inlineStr">
        <is>
          <t>CANELÉ TRADICIONAL</t>
        </is>
      </c>
      <c r="E2777" s="34" t="n">
        <v>18889</v>
      </c>
      <c r="F2777" t="inlineStr">
        <is>
          <t>B</t>
        </is>
      </c>
      <c r="G2777" s="34" t="n">
        <v>3016</v>
      </c>
      <c r="H2777" s="34" t="n">
        <v>15873</v>
      </c>
      <c r="I2777" t="inlineStr">
        <is>
          <t>3.2</t>
        </is>
      </c>
      <c r="J2777" t="inlineStr">
        <is>
          <t>Ventas Personas (B2C)</t>
        </is>
      </c>
      <c r="K2777" t="inlineStr">
        <is>
          <t>CH2</t>
        </is>
      </c>
    </row>
    <row r="2778">
      <c r="A2778" s="33" t="n">
        <v>45899</v>
      </c>
      <c r="B2778" t="inlineStr">
        <is>
          <t>2025-08</t>
        </is>
      </c>
      <c r="C2778" t="inlineStr">
        <is>
          <t>Ana Pina</t>
        </is>
      </c>
      <c r="D2778" t="inlineStr">
        <is>
          <t>Mix Sabores</t>
        </is>
      </c>
      <c r="E2778" s="34" t="n">
        <v>19889</v>
      </c>
      <c r="F2778" t="inlineStr">
        <is>
          <t>B</t>
        </is>
      </c>
      <c r="G2778" s="34" t="n">
        <v>3176</v>
      </c>
      <c r="H2778" s="34" t="n">
        <v>16713</v>
      </c>
      <c r="I2778" t="inlineStr">
        <is>
          <t>3.2</t>
        </is>
      </c>
      <c r="J2778" t="inlineStr">
        <is>
          <t>Ventas Personas (B2C)</t>
        </is>
      </c>
      <c r="K2778" t="inlineStr">
        <is>
          <t>CH2</t>
        </is>
      </c>
    </row>
    <row r="2779">
      <c r="A2779" s="33" t="n">
        <v>45899</v>
      </c>
      <c r="B2779" t="inlineStr">
        <is>
          <t>2025-08</t>
        </is>
      </c>
      <c r="C2779" t="inlineStr">
        <is>
          <t>Sin cliente</t>
        </is>
      </c>
      <c r="D2779" t="inlineStr">
        <is>
          <t>CANELÉ TRADICIONAL</t>
        </is>
      </c>
      <c r="E2779" s="34" t="n">
        <v>5000</v>
      </c>
      <c r="F2779" t="inlineStr">
        <is>
          <t>B</t>
        </is>
      </c>
      <c r="G2779" s="34" t="n">
        <v>798</v>
      </c>
      <c r="H2779" s="34" t="n">
        <v>4202</v>
      </c>
      <c r="I2779" t="inlineStr">
        <is>
          <t>3.2</t>
        </is>
      </c>
      <c r="J2779" t="inlineStr">
        <is>
          <t>Ventas Personas (B2C)</t>
        </is>
      </c>
      <c r="K2779" t="inlineStr">
        <is>
          <t>CH2</t>
        </is>
      </c>
    </row>
    <row r="2780">
      <c r="A2780" s="33" t="n">
        <v>45899</v>
      </c>
      <c r="B2780" t="inlineStr">
        <is>
          <t>2025-08</t>
        </is>
      </c>
      <c r="C2780" t="inlineStr">
        <is>
          <t>Vanessa Marchant</t>
        </is>
      </c>
      <c r="D2780" t="inlineStr">
        <is>
          <t>Petit Crunchy</t>
        </is>
      </c>
      <c r="E2780" s="34" t="n">
        <v>13900</v>
      </c>
      <c r="F2780" t="inlineStr">
        <is>
          <t>B</t>
        </is>
      </c>
      <c r="G2780" s="34" t="n">
        <v>2219</v>
      </c>
      <c r="H2780" s="34" t="n">
        <v>11681</v>
      </c>
      <c r="I2780" t="inlineStr">
        <is>
          <t>3.2</t>
        </is>
      </c>
      <c r="J2780" t="inlineStr">
        <is>
          <t>Ventas Personas (B2C)</t>
        </is>
      </c>
      <c r="K2780" t="inlineStr">
        <is>
          <t>CH2</t>
        </is>
      </c>
    </row>
    <row r="2781">
      <c r="A2781" s="33" t="n">
        <v>45899</v>
      </c>
      <c r="B2781" t="inlineStr">
        <is>
          <t>2025-08</t>
        </is>
      </c>
      <c r="C2781" t="inlineStr">
        <is>
          <t>Sin cliente</t>
        </is>
      </c>
      <c r="D2781" t="inlineStr">
        <is>
          <t>PLATAFORMAS RAP-PEYA-UBER-GOOD</t>
        </is>
      </c>
      <c r="E2781" s="34" t="n">
        <v>29160</v>
      </c>
      <c r="F2781" t="inlineStr">
        <is>
          <t>B</t>
        </is>
      </c>
      <c r="G2781" s="34" t="n">
        <v>4656</v>
      </c>
      <c r="H2781" s="34" t="n">
        <v>24504</v>
      </c>
      <c r="I2781" t="inlineStr">
        <is>
          <t>3.6</t>
        </is>
      </c>
      <c r="J2781" t="inlineStr">
        <is>
          <t>Ventas Delivery Apps</t>
        </is>
      </c>
      <c r="K2781" t="inlineStr">
        <is>
          <t>CH3</t>
        </is>
      </c>
    </row>
    <row r="2782">
      <c r="A2782" s="33" t="n">
        <v>45899</v>
      </c>
      <c r="B2782" t="inlineStr">
        <is>
          <t>2025-08</t>
        </is>
      </c>
      <c r="C2782" t="inlineStr">
        <is>
          <t>Sin cliente</t>
        </is>
      </c>
      <c r="D2782" t="inlineStr">
        <is>
          <t>PLATAFORMAS RAP-PEYA-UBER-GOOD</t>
        </is>
      </c>
      <c r="E2782" s="34" t="n">
        <v>27468</v>
      </c>
      <c r="F2782" t="inlineStr">
        <is>
          <t>B</t>
        </is>
      </c>
      <c r="G2782" s="34" t="n">
        <v>4386</v>
      </c>
      <c r="H2782" s="34" t="n">
        <v>23082</v>
      </c>
      <c r="I2782" t="inlineStr">
        <is>
          <t>3.6</t>
        </is>
      </c>
      <c r="J2782" t="inlineStr">
        <is>
          <t>Ventas Delivery Apps</t>
        </is>
      </c>
      <c r="K2782" t="inlineStr">
        <is>
          <t>CH3</t>
        </is>
      </c>
    </row>
    <row r="2783">
      <c r="A2783" s="33" t="n">
        <v>45901</v>
      </c>
      <c r="B2783" t="inlineStr">
        <is>
          <t>2025-09</t>
        </is>
      </c>
      <c r="C2783" t="inlineStr">
        <is>
          <t>the capital coffee spa</t>
        </is>
      </c>
      <c r="D2783" t="inlineStr">
        <is>
          <t>HORECA CAFETERIA</t>
        </is>
      </c>
      <c r="E2783" s="34" t="n">
        <v>235069</v>
      </c>
      <c r="F2783" t="inlineStr">
        <is>
          <t>F</t>
        </is>
      </c>
      <c r="G2783" s="34" t="n">
        <v>37532</v>
      </c>
      <c r="H2783" s="34" t="n">
        <v>197537</v>
      </c>
      <c r="I2783" t="inlineStr">
        <is>
          <t>3.1</t>
        </is>
      </c>
      <c r="J2783" t="inlineStr">
        <is>
          <t>Ventas HoReCa</t>
        </is>
      </c>
      <c r="K2783" t="inlineStr">
        <is>
          <t>CH1</t>
        </is>
      </c>
    </row>
    <row r="2784">
      <c r="A2784" s="33" t="n">
        <v>45901</v>
      </c>
      <c r="B2784" t="inlineStr">
        <is>
          <t>2025-09</t>
        </is>
      </c>
      <c r="C2784" t="inlineStr">
        <is>
          <t>INVERSIONES Y COMERCIALIZADORA FED LIMITADA</t>
        </is>
      </c>
      <c r="D2784" t="inlineStr">
        <is>
          <t>HORECA CAFETERIA</t>
        </is>
      </c>
      <c r="E2784" s="34" t="n">
        <v>114110</v>
      </c>
      <c r="F2784" t="inlineStr">
        <is>
          <t>F</t>
        </is>
      </c>
      <c r="G2784" s="34" t="n">
        <v>18219</v>
      </c>
      <c r="H2784" s="34" t="n">
        <v>95891</v>
      </c>
      <c r="I2784" t="inlineStr">
        <is>
          <t>3.1</t>
        </is>
      </c>
      <c r="J2784" t="inlineStr">
        <is>
          <t>Ventas HoReCa</t>
        </is>
      </c>
      <c r="K2784" t="inlineStr">
        <is>
          <t>CH1</t>
        </is>
      </c>
    </row>
    <row r="2785">
      <c r="A2785" s="33" t="n">
        <v>45901</v>
      </c>
      <c r="B2785" t="inlineStr">
        <is>
          <t>2025-09</t>
        </is>
      </c>
      <c r="C2785" t="inlineStr">
        <is>
          <t>INVERSIONES Y COMERCIALIZADORA FED LIMITADA</t>
        </is>
      </c>
      <c r="D2785" t="inlineStr">
        <is>
          <t>HORECA CAFETERIA</t>
        </is>
      </c>
      <c r="E2785" s="34" t="n">
        <v>280299</v>
      </c>
      <c r="F2785" t="inlineStr">
        <is>
          <t>F</t>
        </is>
      </c>
      <c r="G2785" s="34" t="n">
        <v>44754</v>
      </c>
      <c r="H2785" s="34" t="n">
        <v>235545</v>
      </c>
      <c r="I2785" t="inlineStr">
        <is>
          <t>3.1</t>
        </is>
      </c>
      <c r="J2785" t="inlineStr">
        <is>
          <t>Ventas HoReCa</t>
        </is>
      </c>
      <c r="K2785" t="inlineStr">
        <is>
          <t>CH1</t>
        </is>
      </c>
    </row>
    <row r="2786">
      <c r="A2786" s="33" t="n">
        <v>45901</v>
      </c>
      <c r="B2786" t="inlineStr">
        <is>
          <t>2025-09</t>
        </is>
      </c>
      <c r="C2786" t="inlineStr">
        <is>
          <t>INVERSIONES Y ASESORIAS RAVAL LIMITADA</t>
        </is>
      </c>
      <c r="D2786" t="inlineStr">
        <is>
          <t>HORECA CAFETERIA</t>
        </is>
      </c>
      <c r="E2786" s="34" t="n">
        <v>68179</v>
      </c>
      <c r="F2786" t="inlineStr">
        <is>
          <t>F</t>
        </is>
      </c>
      <c r="G2786" s="34" t="n">
        <v>10886</v>
      </c>
      <c r="H2786" s="34" t="n">
        <v>57293</v>
      </c>
      <c r="I2786" t="inlineStr">
        <is>
          <t>3.1</t>
        </is>
      </c>
      <c r="J2786" t="inlineStr">
        <is>
          <t>Ventas HoReCa</t>
        </is>
      </c>
      <c r="K2786" t="inlineStr">
        <is>
          <t>CH1</t>
        </is>
      </c>
    </row>
    <row r="2787">
      <c r="A2787" s="33" t="n">
        <v>45901</v>
      </c>
      <c r="B2787" t="inlineStr">
        <is>
          <t>2025-09</t>
        </is>
      </c>
      <c r="C2787" t="inlineStr">
        <is>
          <t>INVERSIONES Y ASESORIAS RAVAL LIMITADA</t>
        </is>
      </c>
      <c r="D2787" t="inlineStr">
        <is>
          <t>HORECA CAFETERIA</t>
        </is>
      </c>
      <c r="E2787" s="34" t="n">
        <v>-68179</v>
      </c>
      <c r="F2787" t="inlineStr">
        <is>
          <t>NC</t>
        </is>
      </c>
      <c r="G2787" s="34" t="n">
        <v>-10886</v>
      </c>
      <c r="H2787" s="34" t="n">
        <v>-57293</v>
      </c>
      <c r="I2787" t="inlineStr">
        <is>
          <t>3.1</t>
        </is>
      </c>
      <c r="J2787" t="inlineStr">
        <is>
          <t>Ventas HoReCa</t>
        </is>
      </c>
      <c r="K2787" t="inlineStr">
        <is>
          <t>CH1</t>
        </is>
      </c>
    </row>
    <row r="2788">
      <c r="A2788" s="33" t="n">
        <v>45901</v>
      </c>
      <c r="B2788" t="inlineStr">
        <is>
          <t>2025-09</t>
        </is>
      </c>
      <c r="C2788" t="inlineStr">
        <is>
          <t>INVERSIONES Y ASESORIAS RAVAL LIMITADA</t>
        </is>
      </c>
      <c r="D2788" t="inlineStr">
        <is>
          <t>HORECA CAFETERIA</t>
        </is>
      </c>
      <c r="E2788" s="34" t="n">
        <v>72169</v>
      </c>
      <c r="F2788" t="inlineStr">
        <is>
          <t>F</t>
        </is>
      </c>
      <c r="G2788" s="34" t="n">
        <v>11523</v>
      </c>
      <c r="H2788" s="34" t="n">
        <v>60646</v>
      </c>
      <c r="I2788" t="inlineStr">
        <is>
          <t>3.1</t>
        </is>
      </c>
      <c r="J2788" t="inlineStr">
        <is>
          <t>Ventas HoReCa</t>
        </is>
      </c>
      <c r="K2788" t="inlineStr">
        <is>
          <t>CH1</t>
        </is>
      </c>
    </row>
    <row r="2789">
      <c r="A2789" s="33" t="n">
        <v>45901</v>
      </c>
      <c r="B2789" t="inlineStr">
        <is>
          <t>2025-09</t>
        </is>
      </c>
      <c r="C2789" t="inlineStr">
        <is>
          <t>GALO SPA</t>
        </is>
      </c>
      <c r="D2789" t="inlineStr">
        <is>
          <t>HORECA CAFETERIA</t>
        </is>
      </c>
      <c r="E2789" s="34" t="n">
        <v>187345</v>
      </c>
      <c r="F2789" t="inlineStr">
        <is>
          <t>F</t>
        </is>
      </c>
      <c r="G2789" s="34" t="n">
        <v>29912</v>
      </c>
      <c r="H2789" s="34" t="n">
        <v>157433</v>
      </c>
      <c r="I2789" t="inlineStr">
        <is>
          <t>3.1</t>
        </is>
      </c>
      <c r="J2789" t="inlineStr">
        <is>
          <t>Ventas HoReCa</t>
        </is>
      </c>
      <c r="K2789" t="inlineStr">
        <is>
          <t>CH1</t>
        </is>
      </c>
    </row>
    <row r="2790">
      <c r="A2790" s="33" t="n">
        <v>45901</v>
      </c>
      <c r="B2790" t="inlineStr">
        <is>
          <t>2025-09</t>
        </is>
      </c>
      <c r="C2790" t="inlineStr">
        <is>
          <t>Nestor Diaz</t>
        </is>
      </c>
      <c r="D2790" t="inlineStr">
        <is>
          <t>Petit Tradicional</t>
        </is>
      </c>
      <c r="E2790" s="34" t="n">
        <v>25800</v>
      </c>
      <c r="F2790" t="inlineStr">
        <is>
          <t>B</t>
        </is>
      </c>
      <c r="G2790" s="34" t="n">
        <v>4119</v>
      </c>
      <c r="H2790" s="34" t="n">
        <v>21681</v>
      </c>
      <c r="I2790" t="inlineStr">
        <is>
          <t>3.2</t>
        </is>
      </c>
      <c r="J2790" t="inlineStr">
        <is>
          <t>Ventas Personas (B2C)</t>
        </is>
      </c>
      <c r="K2790" t="inlineStr">
        <is>
          <t>CH2</t>
        </is>
      </c>
    </row>
    <row r="2791">
      <c r="A2791" s="33" t="n">
        <v>45901</v>
      </c>
      <c r="B2791" t="inlineStr">
        <is>
          <t>2025-09</t>
        </is>
      </c>
      <c r="C2791" t="inlineStr">
        <is>
          <t>Sin cliente</t>
        </is>
      </c>
      <c r="D2791" t="inlineStr">
        <is>
          <t>SALSAS</t>
        </is>
      </c>
      <c r="E2791" s="34" t="n">
        <v>60790</v>
      </c>
      <c r="F2791" t="inlineStr">
        <is>
          <t>B</t>
        </is>
      </c>
      <c r="G2791" s="34" t="n">
        <v>9706</v>
      </c>
      <c r="H2791" s="34" t="n">
        <v>51084</v>
      </c>
      <c r="I2791" t="inlineStr">
        <is>
          <t>3.2</t>
        </is>
      </c>
      <c r="J2791" t="inlineStr">
        <is>
          <t>Ventas Personas (B2C)</t>
        </is>
      </c>
      <c r="K2791" t="inlineStr">
        <is>
          <t>CH2</t>
        </is>
      </c>
    </row>
    <row r="2792">
      <c r="A2792" s="33" t="n">
        <v>45901</v>
      </c>
      <c r="B2792" t="inlineStr">
        <is>
          <t>2025-09</t>
        </is>
      </c>
      <c r="C2792" t="inlineStr">
        <is>
          <t>Lorena Vidal Duran</t>
        </is>
      </c>
      <c r="D2792" t="inlineStr">
        <is>
          <t>Delicatessen</t>
        </is>
      </c>
      <c r="E2792" s="34" t="n">
        <v>35820</v>
      </c>
      <c r="F2792" t="inlineStr">
        <is>
          <t>B</t>
        </is>
      </c>
      <c r="G2792" s="34" t="n">
        <v>5719</v>
      </c>
      <c r="H2792" s="34" t="n">
        <v>30101</v>
      </c>
      <c r="I2792" t="inlineStr">
        <is>
          <t>3.2</t>
        </is>
      </c>
      <c r="J2792" t="inlineStr">
        <is>
          <t>Ventas Personas (B2C)</t>
        </is>
      </c>
      <c r="K2792" t="inlineStr">
        <is>
          <t>CH2</t>
        </is>
      </c>
    </row>
    <row r="2793">
      <c r="A2793" s="33" t="n">
        <v>45901</v>
      </c>
      <c r="B2793" t="inlineStr">
        <is>
          <t>2025-09</t>
        </is>
      </c>
      <c r="C2793" t="inlineStr">
        <is>
          <t>CAFE HAITI AHUMADA LTDA</t>
        </is>
      </c>
      <c r="D2793" t="inlineStr">
        <is>
          <t>HORECA CAFETERIA</t>
        </is>
      </c>
      <c r="E2793" s="34" t="n">
        <v>1330496</v>
      </c>
      <c r="F2793" t="inlineStr">
        <is>
          <t>F</t>
        </is>
      </c>
      <c r="G2793" s="34" t="n">
        <v>212431</v>
      </c>
      <c r="H2793" s="34" t="n">
        <v>1118065</v>
      </c>
      <c r="I2793" t="inlineStr">
        <is>
          <t>3.1</t>
        </is>
      </c>
      <c r="J2793" t="inlineStr">
        <is>
          <t>Ventas HoReCa</t>
        </is>
      </c>
      <c r="K2793" t="inlineStr">
        <is>
          <t>CH1</t>
        </is>
      </c>
    </row>
    <row r="2794">
      <c r="A2794" s="33" t="n">
        <v>45901</v>
      </c>
      <c r="B2794" t="inlineStr">
        <is>
          <t>2025-09</t>
        </is>
      </c>
      <c r="C2794" t="inlineStr">
        <is>
          <t>Agostina Alava</t>
        </is>
      </c>
      <c r="D2794" t="inlineStr">
        <is>
          <t>Petit Crunchy</t>
        </is>
      </c>
      <c r="E2794" s="34" t="n">
        <v>29889</v>
      </c>
      <c r="F2794" t="inlineStr">
        <is>
          <t>B</t>
        </is>
      </c>
      <c r="G2794" s="34" t="n">
        <v>4772</v>
      </c>
      <c r="H2794" s="34" t="n">
        <v>25117</v>
      </c>
      <c r="I2794" t="inlineStr">
        <is>
          <t>3.2</t>
        </is>
      </c>
      <c r="J2794" t="inlineStr">
        <is>
          <t>Ventas Personas (B2C)</t>
        </is>
      </c>
      <c r="K2794" t="inlineStr">
        <is>
          <t>CH2</t>
        </is>
      </c>
    </row>
    <row r="2795">
      <c r="A2795" s="33" t="n">
        <v>45901</v>
      </c>
      <c r="B2795" t="inlineStr">
        <is>
          <t>2025-09</t>
        </is>
      </c>
      <c r="C2795" t="inlineStr">
        <is>
          <t>Sin cliente</t>
        </is>
      </c>
      <c r="D2795" t="inlineStr">
        <is>
          <t>PLATAFORMAS RAP-PEYA-UBER-GOOD</t>
        </is>
      </c>
      <c r="E2795" s="34" t="n">
        <v>16140</v>
      </c>
      <c r="F2795" t="inlineStr">
        <is>
          <t>B</t>
        </is>
      </c>
      <c r="G2795" s="34" t="n">
        <v>2577</v>
      </c>
      <c r="H2795" s="34" t="n">
        <v>13563</v>
      </c>
      <c r="I2795" t="inlineStr">
        <is>
          <t>3.6</t>
        </is>
      </c>
      <c r="J2795" t="inlineStr">
        <is>
          <t>Ventas Delivery Apps</t>
        </is>
      </c>
      <c r="K2795" t="inlineStr">
        <is>
          <t>CH3</t>
        </is>
      </c>
    </row>
    <row r="2796">
      <c r="A2796" s="33" t="n">
        <v>45901</v>
      </c>
      <c r="B2796" t="inlineStr">
        <is>
          <t>2025-09</t>
        </is>
      </c>
      <c r="C2796" t="inlineStr">
        <is>
          <t>bernardita arellano</t>
        </is>
      </c>
      <c r="D2796" t="inlineStr">
        <is>
          <t>Petit Tradicional</t>
        </is>
      </c>
      <c r="E2796" s="34" t="n">
        <v>24889</v>
      </c>
      <c r="F2796" t="inlineStr">
        <is>
          <t>B</t>
        </is>
      </c>
      <c r="G2796" s="34" t="n">
        <v>3974</v>
      </c>
      <c r="H2796" s="34" t="n">
        <v>20915</v>
      </c>
      <c r="I2796" t="inlineStr">
        <is>
          <t>3.2</t>
        </is>
      </c>
      <c r="J2796" t="inlineStr">
        <is>
          <t>Ventas Personas (B2C)</t>
        </is>
      </c>
      <c r="K2796" t="inlineStr">
        <is>
          <t>CH2</t>
        </is>
      </c>
    </row>
    <row r="2797">
      <c r="A2797" s="33" t="n">
        <v>45901</v>
      </c>
      <c r="B2797" t="inlineStr">
        <is>
          <t>2025-09</t>
        </is>
      </c>
      <c r="C2797" t="inlineStr">
        <is>
          <t>romina rangel</t>
        </is>
      </c>
      <c r="D2797" t="inlineStr">
        <is>
          <t>CANELÉ TRADICIONAL</t>
        </is>
      </c>
      <c r="E2797" s="34" t="n">
        <v>24390</v>
      </c>
      <c r="F2797" t="inlineStr">
        <is>
          <t>B</t>
        </is>
      </c>
      <c r="G2797" s="34" t="n">
        <v>3894</v>
      </c>
      <c r="H2797" s="34" t="n">
        <v>20496</v>
      </c>
      <c r="I2797" t="inlineStr">
        <is>
          <t>3.2</t>
        </is>
      </c>
      <c r="J2797" t="inlineStr">
        <is>
          <t>Ventas Personas (B2C)</t>
        </is>
      </c>
      <c r="K2797" t="inlineStr">
        <is>
          <t>CH2</t>
        </is>
      </c>
    </row>
    <row r="2798">
      <c r="A2798" s="33" t="n">
        <v>45901</v>
      </c>
      <c r="B2798" t="inlineStr">
        <is>
          <t>2025-09</t>
        </is>
      </c>
      <c r="C2798" t="inlineStr">
        <is>
          <t>María Coutts Silva</t>
        </is>
      </c>
      <c r="D2798" t="inlineStr">
        <is>
          <t>Petit Tradicional</t>
        </is>
      </c>
      <c r="E2798" s="34" t="n">
        <v>26265</v>
      </c>
      <c r="F2798" t="inlineStr">
        <is>
          <t>B</t>
        </is>
      </c>
      <c r="G2798" s="34" t="n">
        <v>4194</v>
      </c>
      <c r="H2798" s="34" t="n">
        <v>22071</v>
      </c>
      <c r="I2798" t="inlineStr">
        <is>
          <t>3.2</t>
        </is>
      </c>
      <c r="J2798" t="inlineStr">
        <is>
          <t>Ventas Personas (B2C)</t>
        </is>
      </c>
      <c r="K2798" t="inlineStr">
        <is>
          <t>CH2</t>
        </is>
      </c>
    </row>
    <row r="2799">
      <c r="A2799" s="33" t="n">
        <v>45901</v>
      </c>
      <c r="B2799" t="inlineStr">
        <is>
          <t>2025-09</t>
        </is>
      </c>
      <c r="C2799" t="inlineStr">
        <is>
          <t>Estefanía Chacón Jara</t>
        </is>
      </c>
      <c r="D2799" t="inlineStr">
        <is>
          <t>Petit Tradicional</t>
        </is>
      </c>
      <c r="E2799" s="34" t="n">
        <v>13890</v>
      </c>
      <c r="F2799" t="inlineStr">
        <is>
          <t>B</t>
        </is>
      </c>
      <c r="G2799" s="34" t="n">
        <v>2218</v>
      </c>
      <c r="H2799" s="34" t="n">
        <v>11672</v>
      </c>
      <c r="I2799" t="inlineStr">
        <is>
          <t>3.2</t>
        </is>
      </c>
      <c r="J2799" t="inlineStr">
        <is>
          <t>Ventas Personas (B2C)</t>
        </is>
      </c>
      <c r="K2799" t="inlineStr">
        <is>
          <t>CH2</t>
        </is>
      </c>
    </row>
    <row r="2800">
      <c r="A2800" s="33" t="n">
        <v>45901</v>
      </c>
      <c r="B2800" t="inlineStr">
        <is>
          <t>2025-09</t>
        </is>
      </c>
      <c r="C2800" t="inlineStr">
        <is>
          <t>Jean paul Latournerie</t>
        </is>
      </c>
      <c r="D2800" t="inlineStr">
        <is>
          <t>Rellenos</t>
        </is>
      </c>
      <c r="E2800" s="34" t="n">
        <v>29489</v>
      </c>
      <c r="F2800" t="inlineStr">
        <is>
          <t>B</t>
        </is>
      </c>
      <c r="G2800" s="34" t="n">
        <v>4708</v>
      </c>
      <c r="H2800" s="34" t="n">
        <v>24781</v>
      </c>
      <c r="I2800" t="inlineStr">
        <is>
          <t>3.2</t>
        </is>
      </c>
      <c r="J2800" t="inlineStr">
        <is>
          <t>Ventas Personas (B2C)</t>
        </is>
      </c>
      <c r="K2800" t="inlineStr">
        <is>
          <t>CH2</t>
        </is>
      </c>
    </row>
    <row r="2801">
      <c r="A2801" s="33" t="n">
        <v>45902</v>
      </c>
      <c r="B2801" t="inlineStr">
        <is>
          <t>2025-09</t>
        </is>
      </c>
      <c r="C2801" t="inlineStr">
        <is>
          <t>BLUE OAK COFFE SPA</t>
        </is>
      </c>
      <c r="D2801" t="inlineStr">
        <is>
          <t>HORECA CAFETERIA</t>
        </is>
      </c>
      <c r="E2801" s="34" t="n">
        <v>68179</v>
      </c>
      <c r="F2801" t="inlineStr">
        <is>
          <t>F</t>
        </is>
      </c>
      <c r="G2801" s="34" t="n">
        <v>10886</v>
      </c>
      <c r="H2801" s="34" t="n">
        <v>57293</v>
      </c>
      <c r="I2801" t="inlineStr">
        <is>
          <t>3.1</t>
        </is>
      </c>
      <c r="J2801" t="inlineStr">
        <is>
          <t>Ventas HoReCa</t>
        </is>
      </c>
      <c r="K2801" t="inlineStr">
        <is>
          <t>CH1</t>
        </is>
      </c>
    </row>
    <row r="2802">
      <c r="A2802" s="33" t="n">
        <v>45902</v>
      </c>
      <c r="B2802" t="inlineStr">
        <is>
          <t>2025-09</t>
        </is>
      </c>
      <c r="C2802" t="inlineStr">
        <is>
          <t>BLUE OAK COFFE SPA</t>
        </is>
      </c>
      <c r="D2802" t="inlineStr">
        <is>
          <t>HORECA CAFETERIA</t>
        </is>
      </c>
      <c r="E2802" s="34" t="n">
        <v>132367</v>
      </c>
      <c r="F2802" t="inlineStr">
        <is>
          <t>F</t>
        </is>
      </c>
      <c r="G2802" s="34" t="n">
        <v>21134</v>
      </c>
      <c r="H2802" s="34" t="n">
        <v>111233</v>
      </c>
      <c r="I2802" t="inlineStr">
        <is>
          <t>3.1</t>
        </is>
      </c>
      <c r="J2802" t="inlineStr">
        <is>
          <t>Ventas HoReCa</t>
        </is>
      </c>
      <c r="K2802" t="inlineStr">
        <is>
          <t>CH1</t>
        </is>
      </c>
    </row>
    <row r="2803">
      <c r="A2803" s="33" t="n">
        <v>45902</v>
      </c>
      <c r="B2803" t="inlineStr">
        <is>
          <t>2025-09</t>
        </is>
      </c>
      <c r="C2803" t="inlineStr">
        <is>
          <t>CONSTRUCTORA CUEVAS Y PURCELL S.A.</t>
        </is>
      </c>
      <c r="D2803" t="inlineStr">
        <is>
          <t>REGION METROPOLITANA</t>
        </is>
      </c>
      <c r="E2803" s="34" t="n">
        <v>38890</v>
      </c>
      <c r="F2803" t="inlineStr">
        <is>
          <t>B</t>
        </is>
      </c>
      <c r="G2803" s="34" t="n">
        <v>6209</v>
      </c>
      <c r="H2803" s="34" t="n">
        <v>32681</v>
      </c>
      <c r="I2803" t="inlineStr">
        <is>
          <t>3.2</t>
        </is>
      </c>
      <c r="J2803" t="inlineStr">
        <is>
          <t>Ventas Personas (B2C)</t>
        </is>
      </c>
      <c r="K2803" t="inlineStr">
        <is>
          <t>CH2</t>
        </is>
      </c>
    </row>
    <row r="2804">
      <c r="A2804" s="33" t="n">
        <v>45902</v>
      </c>
      <c r="B2804" t="inlineStr">
        <is>
          <t>2025-09</t>
        </is>
      </c>
      <c r="C2804" t="inlineStr">
        <is>
          <t>Sin cliente</t>
        </is>
      </c>
      <c r="D2804" t="inlineStr">
        <is>
          <t>CANELÉ TRADICIONAL</t>
        </is>
      </c>
      <c r="E2804" s="34" t="n">
        <v>20280</v>
      </c>
      <c r="F2804" t="inlineStr">
        <is>
          <t>B</t>
        </is>
      </c>
      <c r="G2804" s="34" t="n">
        <v>3238</v>
      </c>
      <c r="H2804" s="34" t="n">
        <v>17042</v>
      </c>
      <c r="I2804" t="inlineStr">
        <is>
          <t>3.2</t>
        </is>
      </c>
      <c r="J2804" t="inlineStr">
        <is>
          <t>Ventas Personas (B2C)</t>
        </is>
      </c>
      <c r="K2804" t="inlineStr">
        <is>
          <t>CH2</t>
        </is>
      </c>
    </row>
    <row r="2805">
      <c r="A2805" s="33" t="n">
        <v>45902</v>
      </c>
      <c r="B2805" t="inlineStr">
        <is>
          <t>2025-09</t>
        </is>
      </c>
      <c r="C2805" t="inlineStr">
        <is>
          <t>Okinawa Spa</t>
        </is>
      </c>
      <c r="D2805" t="inlineStr">
        <is>
          <t>HORECA CAFETERIA</t>
        </is>
      </c>
      <c r="E2805" s="34" t="n">
        <v>68179</v>
      </c>
      <c r="F2805" t="inlineStr">
        <is>
          <t>F</t>
        </is>
      </c>
      <c r="G2805" s="34" t="n">
        <v>10886</v>
      </c>
      <c r="H2805" s="34" t="n">
        <v>57293</v>
      </c>
      <c r="I2805" t="inlineStr">
        <is>
          <t>3.1</t>
        </is>
      </c>
      <c r="J2805" t="inlineStr">
        <is>
          <t>Ventas HoReCa</t>
        </is>
      </c>
      <c r="K2805" t="inlineStr">
        <is>
          <t>CH1</t>
        </is>
      </c>
    </row>
    <row r="2806">
      <c r="A2806" s="33" t="n">
        <v>45902</v>
      </c>
      <c r="B2806" t="inlineStr">
        <is>
          <t>2025-09</t>
        </is>
      </c>
      <c r="C2806" t="inlineStr">
        <is>
          <t>Okinawa Spa</t>
        </is>
      </c>
      <c r="D2806" t="inlineStr">
        <is>
          <t>HORECA CAFETERIA</t>
        </is>
      </c>
      <c r="E2806" s="34" t="n">
        <v>-68179</v>
      </c>
      <c r="F2806" t="inlineStr">
        <is>
          <t>NC</t>
        </is>
      </c>
      <c r="G2806" s="34" t="n">
        <v>-10886</v>
      </c>
      <c r="H2806" s="34" t="n">
        <v>-57293</v>
      </c>
      <c r="I2806" t="inlineStr">
        <is>
          <t>3.1</t>
        </is>
      </c>
      <c r="J2806" t="inlineStr">
        <is>
          <t>Ventas HoReCa</t>
        </is>
      </c>
      <c r="K2806" t="inlineStr">
        <is>
          <t>CH1</t>
        </is>
      </c>
    </row>
    <row r="2807">
      <c r="A2807" s="33" t="n">
        <v>45902</v>
      </c>
      <c r="B2807" t="inlineStr">
        <is>
          <t>2025-09</t>
        </is>
      </c>
      <c r="C2807" t="inlineStr">
        <is>
          <t>Panduz panaderia y cafeteria SPA</t>
        </is>
      </c>
      <c r="D2807" t="inlineStr">
        <is>
          <t>HORECA CAFETERIA</t>
        </is>
      </c>
      <c r="E2807" s="34" t="n">
        <v>217418</v>
      </c>
      <c r="F2807" t="inlineStr">
        <is>
          <t>F</t>
        </is>
      </c>
      <c r="G2807" s="34" t="n">
        <v>34714</v>
      </c>
      <c r="H2807" s="34" t="n">
        <v>182704</v>
      </c>
      <c r="I2807" t="inlineStr">
        <is>
          <t>3.1</t>
        </is>
      </c>
      <c r="J2807" t="inlineStr">
        <is>
          <t>Ventas HoReCa</t>
        </is>
      </c>
      <c r="K2807" t="inlineStr">
        <is>
          <t>CH1</t>
        </is>
      </c>
    </row>
    <row r="2808">
      <c r="A2808" s="33" t="n">
        <v>45902</v>
      </c>
      <c r="B2808" t="inlineStr">
        <is>
          <t>2025-09</t>
        </is>
      </c>
      <c r="C2808" t="inlineStr">
        <is>
          <t>sixto maldonado</t>
        </is>
      </c>
      <c r="D2808" t="inlineStr">
        <is>
          <t>CANELÉ TRADICIONAL</t>
        </is>
      </c>
      <c r="E2808" s="34" t="n">
        <v>23800</v>
      </c>
      <c r="F2808" t="inlineStr">
        <is>
          <t>B</t>
        </is>
      </c>
      <c r="G2808" s="34" t="n">
        <v>3800</v>
      </c>
      <c r="H2808" s="34" t="n">
        <v>20000</v>
      </c>
      <c r="I2808" t="inlineStr">
        <is>
          <t>3.2</t>
        </is>
      </c>
      <c r="J2808" t="inlineStr">
        <is>
          <t>Ventas Personas (B2C)</t>
        </is>
      </c>
      <c r="K2808" t="inlineStr">
        <is>
          <t>CH2</t>
        </is>
      </c>
    </row>
    <row r="2809">
      <c r="A2809" s="33" t="n">
        <v>45902</v>
      </c>
      <c r="B2809" t="inlineStr">
        <is>
          <t>2025-09</t>
        </is>
      </c>
      <c r="C2809" t="inlineStr">
        <is>
          <t>JNCONCEPT SPA</t>
        </is>
      </c>
      <c r="D2809" t="inlineStr">
        <is>
          <t>CANELE SIN AZUCAR</t>
        </is>
      </c>
      <c r="E2809" s="34" t="n">
        <v>5400</v>
      </c>
      <c r="F2809" t="inlineStr">
        <is>
          <t>F</t>
        </is>
      </c>
      <c r="G2809" s="34" t="n">
        <v>862</v>
      </c>
      <c r="H2809" s="34" t="n">
        <v>4538</v>
      </c>
      <c r="I2809" t="inlineStr">
        <is>
          <t>3.1</t>
        </is>
      </c>
      <c r="J2809" t="inlineStr">
        <is>
          <t>Ventas HoReCa</t>
        </is>
      </c>
      <c r="K2809" t="inlineStr">
        <is>
          <t>CH1</t>
        </is>
      </c>
    </row>
    <row r="2810">
      <c r="A2810" s="33" t="n">
        <v>45903</v>
      </c>
      <c r="B2810" t="inlineStr">
        <is>
          <t>2025-09</t>
        </is>
      </c>
      <c r="C2810" t="inlineStr">
        <is>
          <t>Okinawa Spa</t>
        </is>
      </c>
      <c r="D2810" t="inlineStr">
        <is>
          <t>HORECA CAFETERIA</t>
        </is>
      </c>
      <c r="E2810" s="34" t="n">
        <v>68179</v>
      </c>
      <c r="F2810" t="inlineStr">
        <is>
          <t>F</t>
        </is>
      </c>
      <c r="G2810" s="34" t="n">
        <v>10886</v>
      </c>
      <c r="H2810" s="34" t="n">
        <v>57293</v>
      </c>
      <c r="I2810" t="inlineStr">
        <is>
          <t>3.1</t>
        </is>
      </c>
      <c r="J2810" t="inlineStr">
        <is>
          <t>Ventas HoReCa</t>
        </is>
      </c>
      <c r="K2810" t="inlineStr">
        <is>
          <t>CH1</t>
        </is>
      </c>
    </row>
    <row r="2811">
      <c r="A2811" s="33" t="n">
        <v>45903</v>
      </c>
      <c r="B2811" t="inlineStr">
        <is>
          <t>2025-09</t>
        </is>
      </c>
      <c r="C2811" t="inlineStr">
        <is>
          <t>HUERTO SUR LIMITADA</t>
        </is>
      </c>
      <c r="D2811" t="inlineStr">
        <is>
          <t>HORECA CAFETERIA</t>
        </is>
      </c>
      <c r="E2811" s="34" t="n">
        <v>187927</v>
      </c>
      <c r="F2811" t="inlineStr">
        <is>
          <t>F</t>
        </is>
      </c>
      <c r="G2811" s="34" t="n">
        <v>30005</v>
      </c>
      <c r="H2811" s="34" t="n">
        <v>157922</v>
      </c>
      <c r="I2811" t="inlineStr">
        <is>
          <t>3.1</t>
        </is>
      </c>
      <c r="J2811" t="inlineStr">
        <is>
          <t>Ventas HoReCa</t>
        </is>
      </c>
      <c r="K2811" t="inlineStr">
        <is>
          <t>CH1</t>
        </is>
      </c>
    </row>
    <row r="2812">
      <c r="A2812" s="33" t="n">
        <v>45903</v>
      </c>
      <c r="B2812" t="inlineStr">
        <is>
          <t>2025-09</t>
        </is>
      </c>
      <c r="C2812" t="inlineStr">
        <is>
          <t>Tomas Villar</t>
        </is>
      </c>
      <c r="D2812" t="inlineStr">
        <is>
          <t>Rellenos</t>
        </is>
      </c>
      <c r="E2812" s="34" t="n">
        <v>23389</v>
      </c>
      <c r="F2812" t="inlineStr">
        <is>
          <t>B</t>
        </is>
      </c>
      <c r="G2812" s="34" t="n">
        <v>3734</v>
      </c>
      <c r="H2812" s="34" t="n">
        <v>19655</v>
      </c>
      <c r="I2812" t="inlineStr">
        <is>
          <t>3.2</t>
        </is>
      </c>
      <c r="J2812" t="inlineStr">
        <is>
          <t>Ventas Personas (B2C)</t>
        </is>
      </c>
      <c r="K2812" t="inlineStr">
        <is>
          <t>CH2</t>
        </is>
      </c>
    </row>
    <row r="2813">
      <c r="A2813" s="33" t="n">
        <v>45903</v>
      </c>
      <c r="B2813" t="inlineStr">
        <is>
          <t>2025-09</t>
        </is>
      </c>
      <c r="C2813" t="inlineStr">
        <is>
          <t>Daniela Cooper</t>
        </is>
      </c>
      <c r="D2813" t="inlineStr">
        <is>
          <t>CANELÉ TRADICIONAL</t>
        </is>
      </c>
      <c r="E2813" s="34" t="n">
        <v>22890</v>
      </c>
      <c r="F2813" t="inlineStr">
        <is>
          <t>B</t>
        </is>
      </c>
      <c r="G2813" s="34" t="n">
        <v>3655</v>
      </c>
      <c r="H2813" s="34" t="n">
        <v>19235</v>
      </c>
      <c r="I2813" t="inlineStr">
        <is>
          <t>3.2</t>
        </is>
      </c>
      <c r="J2813" t="inlineStr">
        <is>
          <t>Ventas Personas (B2C)</t>
        </is>
      </c>
      <c r="K2813" t="inlineStr">
        <is>
          <t>CH2</t>
        </is>
      </c>
    </row>
    <row r="2814">
      <c r="A2814" s="33" t="n">
        <v>45903</v>
      </c>
      <c r="B2814" t="inlineStr">
        <is>
          <t>2025-09</t>
        </is>
      </c>
      <c r="C2814" t="inlineStr">
        <is>
          <t>Sin cliente</t>
        </is>
      </c>
      <c r="D2814" t="inlineStr">
        <is>
          <t>CANELÉ TRADICIONAL</t>
        </is>
      </c>
      <c r="E2814" s="34" t="n">
        <v>14900</v>
      </c>
      <c r="F2814" t="inlineStr">
        <is>
          <t>B</t>
        </is>
      </c>
      <c r="G2814" s="34" t="n">
        <v>2379</v>
      </c>
      <c r="H2814" s="34" t="n">
        <v>12521</v>
      </c>
      <c r="I2814" t="inlineStr">
        <is>
          <t>3.2</t>
        </is>
      </c>
      <c r="J2814" t="inlineStr">
        <is>
          <t>Ventas Personas (B2C)</t>
        </is>
      </c>
      <c r="K2814" t="inlineStr">
        <is>
          <t>CH2</t>
        </is>
      </c>
    </row>
    <row r="2815">
      <c r="A2815" s="33" t="n">
        <v>45903</v>
      </c>
      <c r="B2815" t="inlineStr">
        <is>
          <t>2025-09</t>
        </is>
      </c>
      <c r="C2815" t="inlineStr">
        <is>
          <t>Sadia Monsalves</t>
        </is>
      </c>
      <c r="D2815" t="inlineStr">
        <is>
          <t>Rellenos</t>
        </is>
      </c>
      <c r="E2815" s="34" t="n">
        <v>24700</v>
      </c>
      <c r="F2815" t="inlineStr">
        <is>
          <t>B</t>
        </is>
      </c>
      <c r="G2815" s="34" t="n">
        <v>3944</v>
      </c>
      <c r="H2815" s="34" t="n">
        <v>20756</v>
      </c>
      <c r="I2815" t="inlineStr">
        <is>
          <t>3.2</t>
        </is>
      </c>
      <c r="J2815" t="inlineStr">
        <is>
          <t>Ventas Personas (B2C)</t>
        </is>
      </c>
      <c r="K2815" t="inlineStr">
        <is>
          <t>CH2</t>
        </is>
      </c>
    </row>
    <row r="2816">
      <c r="A2816" s="33" t="n">
        <v>45903</v>
      </c>
      <c r="B2816" t="inlineStr">
        <is>
          <t>2025-09</t>
        </is>
      </c>
      <c r="C2816" t="inlineStr">
        <is>
          <t>Andariego Coffee Spa</t>
        </is>
      </c>
      <c r="D2816" t="inlineStr">
        <is>
          <t>HORECA CAFETERIA</t>
        </is>
      </c>
      <c r="E2816" s="34" t="n">
        <v>337342</v>
      </c>
      <c r="F2816" t="inlineStr">
        <is>
          <t>F</t>
        </is>
      </c>
      <c r="G2816" s="34" t="n">
        <v>53861</v>
      </c>
      <c r="H2816" s="34" t="n">
        <v>283481</v>
      </c>
      <c r="I2816" t="inlineStr">
        <is>
          <t>3.1</t>
        </is>
      </c>
      <c r="J2816" t="inlineStr">
        <is>
          <t>Ventas HoReCa</t>
        </is>
      </c>
      <c r="K2816" t="inlineStr">
        <is>
          <t>CH1</t>
        </is>
      </c>
    </row>
    <row r="2817">
      <c r="A2817" s="33" t="n">
        <v>45903</v>
      </c>
      <c r="B2817" t="inlineStr">
        <is>
          <t>2025-09</t>
        </is>
      </c>
      <c r="C2817" t="inlineStr">
        <is>
          <t>ALEJANDRO FERNANDEZ</t>
        </is>
      </c>
      <c r="D2817" t="inlineStr">
        <is>
          <t>CANELE SIN AZUCAR</t>
        </is>
      </c>
      <c r="E2817" s="34" t="n">
        <v>25859</v>
      </c>
      <c r="F2817" t="inlineStr">
        <is>
          <t>B</t>
        </is>
      </c>
      <c r="G2817" s="34" t="n">
        <v>4129</v>
      </c>
      <c r="H2817" s="34" t="n">
        <v>21730</v>
      </c>
      <c r="I2817" t="inlineStr">
        <is>
          <t>3.2</t>
        </is>
      </c>
      <c r="J2817" t="inlineStr">
        <is>
          <t>Ventas Personas (B2C)</t>
        </is>
      </c>
      <c r="K2817" t="inlineStr">
        <is>
          <t>CH2</t>
        </is>
      </c>
    </row>
    <row r="2818">
      <c r="A2818" s="33" t="n">
        <v>45903</v>
      </c>
      <c r="B2818" t="inlineStr">
        <is>
          <t>2025-09</t>
        </is>
      </c>
      <c r="C2818" t="inlineStr">
        <is>
          <t>Felipe Rodriguez</t>
        </is>
      </c>
      <c r="D2818" t="inlineStr">
        <is>
          <t>CANELÉ TRADICIONAL</t>
        </is>
      </c>
      <c r="E2818" s="34" t="n">
        <v>50589</v>
      </c>
      <c r="F2818" t="inlineStr">
        <is>
          <t>B</t>
        </is>
      </c>
      <c r="G2818" s="34" t="n">
        <v>8077</v>
      </c>
      <c r="H2818" s="34" t="n">
        <v>42512</v>
      </c>
      <c r="I2818" t="inlineStr">
        <is>
          <t>3.2</t>
        </is>
      </c>
      <c r="J2818" t="inlineStr">
        <is>
          <t>Ventas Personas (B2C)</t>
        </is>
      </c>
      <c r="K2818" t="inlineStr">
        <is>
          <t>CH2</t>
        </is>
      </c>
    </row>
    <row r="2819">
      <c r="A2819" s="33" t="n">
        <v>45904</v>
      </c>
      <c r="B2819" t="inlineStr">
        <is>
          <t>2025-09</t>
        </is>
      </c>
      <c r="C2819" t="inlineStr">
        <is>
          <t>COMERCIALIZADORA NATUTEA SPA</t>
        </is>
      </c>
      <c r="D2819" t="inlineStr">
        <is>
          <t>HORECA CAFETERIA</t>
        </is>
      </c>
      <c r="E2819" s="34" t="n">
        <v>37084</v>
      </c>
      <c r="F2819" t="inlineStr">
        <is>
          <t>F</t>
        </is>
      </c>
      <c r="G2819" s="34" t="n">
        <v>5921</v>
      </c>
      <c r="H2819" s="34" t="n">
        <v>31163</v>
      </c>
      <c r="I2819" t="inlineStr">
        <is>
          <t>3.1</t>
        </is>
      </c>
      <c r="J2819" t="inlineStr">
        <is>
          <t>Ventas HoReCa</t>
        </is>
      </c>
      <c r="K2819" t="inlineStr">
        <is>
          <t>CH1</t>
        </is>
      </c>
    </row>
    <row r="2820">
      <c r="A2820" s="33" t="n">
        <v>45904</v>
      </c>
      <c r="B2820" t="inlineStr">
        <is>
          <t>2025-09</t>
        </is>
      </c>
      <c r="C2820" t="inlineStr">
        <is>
          <t>BLUE OAK COFFE SPA</t>
        </is>
      </c>
      <c r="D2820" t="inlineStr">
        <is>
          <t>HORECA CAFETERIA</t>
        </is>
      </c>
      <c r="E2820" s="34" t="n">
        <v>264185</v>
      </c>
      <c r="F2820" t="inlineStr">
        <is>
          <t>F</t>
        </is>
      </c>
      <c r="G2820" s="34" t="n">
        <v>42181</v>
      </c>
      <c r="H2820" s="34" t="n">
        <v>222004</v>
      </c>
      <c r="I2820" t="inlineStr">
        <is>
          <t>3.1</t>
        </is>
      </c>
      <c r="J2820" t="inlineStr">
        <is>
          <t>Ventas HoReCa</t>
        </is>
      </c>
      <c r="K2820" t="inlineStr">
        <is>
          <t>CH1</t>
        </is>
      </c>
    </row>
    <row r="2821">
      <c r="A2821" s="33" t="n">
        <v>45904</v>
      </c>
      <c r="B2821" t="inlineStr">
        <is>
          <t>2025-09</t>
        </is>
      </c>
      <c r="C2821" t="inlineStr">
        <is>
          <t>CAFÉ UNDER SPA</t>
        </is>
      </c>
      <c r="D2821" t="inlineStr">
        <is>
          <t>HORECA CAFETERIA</t>
        </is>
      </c>
      <c r="E2821" s="34" t="n">
        <v>68179</v>
      </c>
      <c r="F2821" t="inlineStr">
        <is>
          <t>F</t>
        </is>
      </c>
      <c r="G2821" s="34" t="n">
        <v>10886</v>
      </c>
      <c r="H2821" s="34" t="n">
        <v>57293</v>
      </c>
      <c r="I2821" t="inlineStr">
        <is>
          <t>3.1</t>
        </is>
      </c>
      <c r="J2821" t="inlineStr">
        <is>
          <t>Ventas HoReCa</t>
        </is>
      </c>
      <c r="K2821" t="inlineStr">
        <is>
          <t>CH1</t>
        </is>
      </c>
    </row>
    <row r="2822">
      <c r="A2822" s="33" t="n">
        <v>45904</v>
      </c>
      <c r="B2822" t="inlineStr">
        <is>
          <t>2025-09</t>
        </is>
      </c>
      <c r="C2822" t="inlineStr">
        <is>
          <t>Marcela Muñoz</t>
        </is>
      </c>
      <c r="D2822" t="inlineStr">
        <is>
          <t>PACKS GOURMET</t>
        </is>
      </c>
      <c r="E2822" s="34" t="n">
        <v>40976</v>
      </c>
      <c r="F2822" t="inlineStr">
        <is>
          <t>B</t>
        </is>
      </c>
      <c r="G2822" s="34" t="n">
        <v>6542</v>
      </c>
      <c r="H2822" s="34" t="n">
        <v>34434</v>
      </c>
      <c r="I2822" t="inlineStr">
        <is>
          <t>3.2</t>
        </is>
      </c>
      <c r="J2822" t="inlineStr">
        <is>
          <t>Ventas Personas (B2C)</t>
        </is>
      </c>
      <c r="K2822" t="inlineStr">
        <is>
          <t>CH2</t>
        </is>
      </c>
    </row>
    <row r="2823">
      <c r="A2823" s="33" t="n">
        <v>45904</v>
      </c>
      <c r="B2823" t="inlineStr">
        <is>
          <t>2025-09</t>
        </is>
      </c>
      <c r="C2823" t="inlineStr">
        <is>
          <t>catalina henriquez</t>
        </is>
      </c>
      <c r="D2823" t="inlineStr">
        <is>
          <t>Mix Sabores</t>
        </is>
      </c>
      <c r="E2823" s="34" t="n">
        <v>58630</v>
      </c>
      <c r="F2823" t="inlineStr">
        <is>
          <t>B</t>
        </is>
      </c>
      <c r="G2823" s="34" t="n">
        <v>9361</v>
      </c>
      <c r="H2823" s="34" t="n">
        <v>49269</v>
      </c>
      <c r="I2823" t="inlineStr">
        <is>
          <t>3.2</t>
        </is>
      </c>
      <c r="J2823" t="inlineStr">
        <is>
          <t>Ventas Personas (B2C)</t>
        </is>
      </c>
      <c r="K2823" t="inlineStr">
        <is>
          <t>CH2</t>
        </is>
      </c>
    </row>
    <row r="2824">
      <c r="A2824" s="33" t="n">
        <v>45904</v>
      </c>
      <c r="B2824" t="inlineStr">
        <is>
          <t>2025-09</t>
        </is>
      </c>
      <c r="C2824" t="inlineStr">
        <is>
          <t>María José Rojas</t>
        </is>
      </c>
      <c r="D2824" t="inlineStr">
        <is>
          <t>Rellenos</t>
        </is>
      </c>
      <c r="E2824" s="34" t="n">
        <v>14989</v>
      </c>
      <c r="F2824" t="inlineStr">
        <is>
          <t>B</t>
        </is>
      </c>
      <c r="G2824" s="34" t="n">
        <v>2393</v>
      </c>
      <c r="H2824" s="34" t="n">
        <v>12596</v>
      </c>
      <c r="I2824" t="inlineStr">
        <is>
          <t>3.2</t>
        </is>
      </c>
      <c r="J2824" t="inlineStr">
        <is>
          <t>Ventas Personas (B2C)</t>
        </is>
      </c>
      <c r="K2824" t="inlineStr">
        <is>
          <t>CH2</t>
        </is>
      </c>
    </row>
    <row r="2825">
      <c r="A2825" s="33" t="n">
        <v>45904</v>
      </c>
      <c r="B2825" t="inlineStr">
        <is>
          <t>2025-09</t>
        </is>
      </c>
      <c r="C2825" t="inlineStr">
        <is>
          <t>jhosbel villarroel</t>
        </is>
      </c>
      <c r="D2825" t="inlineStr">
        <is>
          <t>CANELÉ TRADICIONAL</t>
        </is>
      </c>
      <c r="E2825" s="34" t="n">
        <v>27400</v>
      </c>
      <c r="F2825" t="inlineStr">
        <is>
          <t>B</t>
        </is>
      </c>
      <c r="G2825" s="34" t="n">
        <v>4375</v>
      </c>
      <c r="H2825" s="34" t="n">
        <v>23025</v>
      </c>
      <c r="I2825" t="inlineStr">
        <is>
          <t>3.2</t>
        </is>
      </c>
      <c r="J2825" t="inlineStr">
        <is>
          <t>Ventas Personas (B2C)</t>
        </is>
      </c>
      <c r="K2825" t="inlineStr">
        <is>
          <t>CH2</t>
        </is>
      </c>
    </row>
    <row r="2826">
      <c r="A2826" s="33" t="n">
        <v>45904</v>
      </c>
      <c r="B2826" t="inlineStr">
        <is>
          <t>2025-09</t>
        </is>
      </c>
      <c r="C2826" t="inlineStr">
        <is>
          <t>Juan Diego Santibanez</t>
        </is>
      </c>
      <c r="D2826" t="inlineStr">
        <is>
          <t>CANELÉ TRADICIONAL</t>
        </is>
      </c>
      <c r="E2826" s="34" t="n">
        <v>51220</v>
      </c>
      <c r="F2826" t="inlineStr">
        <is>
          <t>B</t>
        </is>
      </c>
      <c r="G2826" s="34" t="n">
        <v>8178</v>
      </c>
      <c r="H2826" s="34" t="n">
        <v>43042</v>
      </c>
      <c r="I2826" t="inlineStr">
        <is>
          <t>3.2</t>
        </is>
      </c>
      <c r="J2826" t="inlineStr">
        <is>
          <t>Ventas Personas (B2C)</t>
        </is>
      </c>
      <c r="K2826" t="inlineStr">
        <is>
          <t>CH2</t>
        </is>
      </c>
    </row>
    <row r="2827">
      <c r="A2827" s="33" t="n">
        <v>45904</v>
      </c>
      <c r="B2827" t="inlineStr">
        <is>
          <t>2025-09</t>
        </is>
      </c>
      <c r="C2827" t="inlineStr">
        <is>
          <t>Sin cliente</t>
        </is>
      </c>
      <c r="D2827" t="inlineStr">
        <is>
          <t>Mix Sabores</t>
        </is>
      </c>
      <c r="E2827" s="34" t="n">
        <v>17880</v>
      </c>
      <c r="F2827" t="inlineStr">
        <is>
          <t>B</t>
        </is>
      </c>
      <c r="G2827" s="34" t="n">
        <v>2855</v>
      </c>
      <c r="H2827" s="34" t="n">
        <v>15025</v>
      </c>
      <c r="I2827" t="inlineStr">
        <is>
          <t>3.2</t>
        </is>
      </c>
      <c r="J2827" t="inlineStr">
        <is>
          <t>Ventas Personas (B2C)</t>
        </is>
      </c>
      <c r="K2827" t="inlineStr">
        <is>
          <t>CH2</t>
        </is>
      </c>
    </row>
    <row r="2828">
      <c r="A2828" s="33" t="n">
        <v>45904</v>
      </c>
      <c r="B2828" t="inlineStr">
        <is>
          <t>2025-09</t>
        </is>
      </c>
      <c r="C2828" t="inlineStr">
        <is>
          <t>Sin cliente</t>
        </is>
      </c>
      <c r="D2828" t="inlineStr">
        <is>
          <t>Rellenos</t>
        </is>
      </c>
      <c r="E2828" s="34" t="n">
        <v>31800</v>
      </c>
      <c r="F2828" t="inlineStr">
        <is>
          <t>B</t>
        </is>
      </c>
      <c r="G2828" s="34" t="n">
        <v>5077</v>
      </c>
      <c r="H2828" s="34" t="n">
        <v>26723</v>
      </c>
      <c r="I2828" t="inlineStr">
        <is>
          <t>3.2</t>
        </is>
      </c>
      <c r="J2828" t="inlineStr">
        <is>
          <t>Ventas Personas (B2C)</t>
        </is>
      </c>
      <c r="K2828" t="inlineStr">
        <is>
          <t>CH2</t>
        </is>
      </c>
    </row>
    <row r="2829">
      <c r="A2829" s="33" t="n">
        <v>45904</v>
      </c>
      <c r="B2829" t="inlineStr">
        <is>
          <t>2025-09</t>
        </is>
      </c>
      <c r="C2829" t="inlineStr">
        <is>
          <t>Sin cliente</t>
        </is>
      </c>
      <c r="D2829" t="inlineStr">
        <is>
          <t>PLATAFORMAS RAP-PEYA-UBER-GOOD</t>
        </is>
      </c>
      <c r="E2829" s="34" t="n">
        <v>19600</v>
      </c>
      <c r="F2829" t="inlineStr">
        <is>
          <t>B</t>
        </is>
      </c>
      <c r="G2829" s="34" t="n">
        <v>3129</v>
      </c>
      <c r="H2829" s="34" t="n">
        <v>16471</v>
      </c>
      <c r="I2829" t="inlineStr">
        <is>
          <t>3.6</t>
        </is>
      </c>
      <c r="J2829" t="inlineStr">
        <is>
          <t>Ventas Delivery Apps</t>
        </is>
      </c>
      <c r="K2829" t="inlineStr">
        <is>
          <t>CH3</t>
        </is>
      </c>
    </row>
    <row r="2830">
      <c r="A2830" s="33" t="n">
        <v>45904</v>
      </c>
      <c r="B2830" t="inlineStr">
        <is>
          <t>2025-09</t>
        </is>
      </c>
      <c r="C2830" t="inlineStr">
        <is>
          <t>Andariego Coffee Spa</t>
        </is>
      </c>
      <c r="D2830" t="inlineStr">
        <is>
          <t>HORECA CAFETERIA</t>
        </is>
      </c>
      <c r="E2830" s="34" t="n">
        <v>16553</v>
      </c>
      <c r="F2830" t="inlineStr">
        <is>
          <t>F</t>
        </is>
      </c>
      <c r="G2830" s="34" t="n">
        <v>2643</v>
      </c>
      <c r="H2830" s="34" t="n">
        <v>13910</v>
      </c>
      <c r="I2830" t="inlineStr">
        <is>
          <t>3.1</t>
        </is>
      </c>
      <c r="J2830" t="inlineStr">
        <is>
          <t>Ventas HoReCa</t>
        </is>
      </c>
      <c r="K2830" t="inlineStr">
        <is>
          <t>CH1</t>
        </is>
      </c>
    </row>
    <row r="2831">
      <c r="A2831" s="33" t="n">
        <v>45904</v>
      </c>
      <c r="B2831" t="inlineStr">
        <is>
          <t>2025-09</t>
        </is>
      </c>
      <c r="C2831" t="inlineStr">
        <is>
          <t>Sin cliente</t>
        </is>
      </c>
      <c r="D2831" t="inlineStr">
        <is>
          <t>PLATAFORMAS RAP-PEYA-UBER-GOOD</t>
        </is>
      </c>
      <c r="E2831" s="34" t="n">
        <v>25080</v>
      </c>
      <c r="F2831" t="inlineStr">
        <is>
          <t>B</t>
        </is>
      </c>
      <c r="G2831" s="34" t="n">
        <v>4004</v>
      </c>
      <c r="H2831" s="34" t="n">
        <v>21076</v>
      </c>
      <c r="I2831" t="inlineStr">
        <is>
          <t>3.6</t>
        </is>
      </c>
      <c r="J2831" t="inlineStr">
        <is>
          <t>Ventas Delivery Apps</t>
        </is>
      </c>
      <c r="K2831" t="inlineStr">
        <is>
          <t>CH3</t>
        </is>
      </c>
    </row>
    <row r="2832">
      <c r="A2832" s="33" t="n">
        <v>45904</v>
      </c>
      <c r="B2832" t="inlineStr">
        <is>
          <t>2025-09</t>
        </is>
      </c>
      <c r="C2832" t="inlineStr">
        <is>
          <t>florencia  imschenetzky</t>
        </is>
      </c>
      <c r="D2832" t="inlineStr">
        <is>
          <t>Petit Tradicional</t>
        </is>
      </c>
      <c r="E2832" s="34" t="n">
        <v>32880</v>
      </c>
      <c r="F2832" t="inlineStr">
        <is>
          <t>B</t>
        </is>
      </c>
      <c r="G2832" s="34" t="n">
        <v>5250</v>
      </c>
      <c r="H2832" s="34" t="n">
        <v>27630</v>
      </c>
      <c r="I2832" t="inlineStr">
        <is>
          <t>3.2</t>
        </is>
      </c>
      <c r="J2832" t="inlineStr">
        <is>
          <t>Ventas Personas (B2C)</t>
        </is>
      </c>
      <c r="K2832" t="inlineStr">
        <is>
          <t>CH2</t>
        </is>
      </c>
    </row>
    <row r="2833">
      <c r="A2833" s="33" t="n">
        <v>45905</v>
      </c>
      <c r="B2833" t="inlineStr">
        <is>
          <t>2025-09</t>
        </is>
      </c>
      <c r="C2833" t="inlineStr">
        <is>
          <t>GALO SPA</t>
        </is>
      </c>
      <c r="D2833" t="inlineStr">
        <is>
          <t>HORECA CAFETERIA</t>
        </is>
      </c>
      <c r="E2833" s="34" t="n">
        <v>205858</v>
      </c>
      <c r="F2833" t="inlineStr">
        <is>
          <t>F</t>
        </is>
      </c>
      <c r="G2833" s="34" t="n">
        <v>32868</v>
      </c>
      <c r="H2833" s="34" t="n">
        <v>172990</v>
      </c>
      <c r="I2833" t="inlineStr">
        <is>
          <t>3.1</t>
        </is>
      </c>
      <c r="J2833" t="inlineStr">
        <is>
          <t>Ventas HoReCa</t>
        </is>
      </c>
      <c r="K2833" t="inlineStr">
        <is>
          <t>CH1</t>
        </is>
      </c>
    </row>
    <row r="2834">
      <c r="A2834" s="33" t="n">
        <v>45905</v>
      </c>
      <c r="B2834" t="inlineStr">
        <is>
          <t>2025-09</t>
        </is>
      </c>
      <c r="C2834" t="inlineStr">
        <is>
          <t>GALO SPA</t>
        </is>
      </c>
      <c r="D2834" t="inlineStr">
        <is>
          <t>HORECA CAFETERIA</t>
        </is>
      </c>
      <c r="E2834" s="34" t="n">
        <v>-205858</v>
      </c>
      <c r="F2834" t="inlineStr">
        <is>
          <t>NC</t>
        </is>
      </c>
      <c r="G2834" s="34" t="n">
        <v>-32868</v>
      </c>
      <c r="H2834" s="34" t="n">
        <v>-172990</v>
      </c>
      <c r="I2834" t="inlineStr">
        <is>
          <t>3.1</t>
        </is>
      </c>
      <c r="J2834" t="inlineStr">
        <is>
          <t>Ventas HoReCa</t>
        </is>
      </c>
      <c r="K2834" t="inlineStr">
        <is>
          <t>CH1</t>
        </is>
      </c>
    </row>
    <row r="2835">
      <c r="A2835" s="33" t="n">
        <v>45905</v>
      </c>
      <c r="B2835" t="inlineStr">
        <is>
          <t>2025-09</t>
        </is>
      </c>
      <c r="C2835" t="inlineStr">
        <is>
          <t>GALO SPA</t>
        </is>
      </c>
      <c r="D2835" t="inlineStr">
        <is>
          <t>HORECA CAFETERIA</t>
        </is>
      </c>
      <c r="E2835" s="34" t="n">
        <v>205858</v>
      </c>
      <c r="F2835" t="inlineStr">
        <is>
          <t>F</t>
        </is>
      </c>
      <c r="G2835" s="34" t="n">
        <v>32868</v>
      </c>
      <c r="H2835" s="34" t="n">
        <v>172990</v>
      </c>
      <c r="I2835" t="inlineStr">
        <is>
          <t>3.1</t>
        </is>
      </c>
      <c r="J2835" t="inlineStr">
        <is>
          <t>Ventas HoReCa</t>
        </is>
      </c>
      <c r="K2835" t="inlineStr">
        <is>
          <t>CH1</t>
        </is>
      </c>
    </row>
    <row r="2836">
      <c r="A2836" s="33" t="n">
        <v>45905</v>
      </c>
      <c r="B2836" t="inlineStr">
        <is>
          <t>2025-09</t>
        </is>
      </c>
      <c r="C2836" t="inlineStr">
        <is>
          <t>Better Food Spa</t>
        </is>
      </c>
      <c r="D2836" t="inlineStr">
        <is>
          <t>HORECA CAFETERIA</t>
        </is>
      </c>
      <c r="E2836" s="34" t="n">
        <v>481415</v>
      </c>
      <c r="F2836" t="inlineStr">
        <is>
          <t>F</t>
        </is>
      </c>
      <c r="G2836" s="34" t="n">
        <v>76865</v>
      </c>
      <c r="H2836" s="34" t="n">
        <v>404550</v>
      </c>
      <c r="I2836" t="inlineStr">
        <is>
          <t>3.1</t>
        </is>
      </c>
      <c r="J2836" t="inlineStr">
        <is>
          <t>Ventas HoReCa</t>
        </is>
      </c>
      <c r="K2836" t="inlineStr">
        <is>
          <t>CH1</t>
        </is>
      </c>
    </row>
    <row r="2837">
      <c r="A2837" s="33" t="n">
        <v>45905</v>
      </c>
      <c r="B2837" t="inlineStr">
        <is>
          <t>2025-09</t>
        </is>
      </c>
      <c r="C2837" t="inlineStr">
        <is>
          <t>Eduardo Jose Spencer Eckart Spa</t>
        </is>
      </c>
      <c r="D2837" t="inlineStr">
        <is>
          <t>HORECA CAFETERIA</t>
        </is>
      </c>
      <c r="E2837" s="34" t="n">
        <v>68179</v>
      </c>
      <c r="F2837" t="inlineStr">
        <is>
          <t>F</t>
        </is>
      </c>
      <c r="G2837" s="34" t="n">
        <v>10886</v>
      </c>
      <c r="H2837" s="34" t="n">
        <v>57293</v>
      </c>
      <c r="I2837" t="inlineStr">
        <is>
          <t>3.1</t>
        </is>
      </c>
      <c r="J2837" t="inlineStr">
        <is>
          <t>Ventas HoReCa</t>
        </is>
      </c>
      <c r="K2837" t="inlineStr">
        <is>
          <t>CH1</t>
        </is>
      </c>
    </row>
    <row r="2838">
      <c r="A2838" s="33" t="n">
        <v>45905</v>
      </c>
      <c r="B2838" t="inlineStr">
        <is>
          <t>2025-09</t>
        </is>
      </c>
      <c r="C2838" t="inlineStr">
        <is>
          <t xml:space="preserve">Café lucerna spa </t>
        </is>
      </c>
      <c r="D2838" t="inlineStr">
        <is>
          <t>HORECA CAFETERIA</t>
        </is>
      </c>
      <c r="E2838" s="34" t="n">
        <v>68179</v>
      </c>
      <c r="F2838" t="inlineStr">
        <is>
          <t>F</t>
        </is>
      </c>
      <c r="G2838" s="34" t="n">
        <v>10886</v>
      </c>
      <c r="H2838" s="34" t="n">
        <v>57293</v>
      </c>
      <c r="I2838" t="inlineStr">
        <is>
          <t>3.1</t>
        </is>
      </c>
      <c r="J2838" t="inlineStr">
        <is>
          <t>Ventas HoReCa</t>
        </is>
      </c>
      <c r="K2838" t="inlineStr">
        <is>
          <t>CH1</t>
        </is>
      </c>
    </row>
    <row r="2839">
      <c r="A2839" s="33" t="n">
        <v>45905</v>
      </c>
      <c r="B2839" t="inlineStr">
        <is>
          <t>2025-09</t>
        </is>
      </c>
      <c r="C2839" t="inlineStr">
        <is>
          <t>VILAS BANQUETERIAS SPA</t>
        </is>
      </c>
      <c r="D2839" t="inlineStr">
        <is>
          <t>HORECA CATERING</t>
        </is>
      </c>
      <c r="E2839" s="34" t="n">
        <v>110019</v>
      </c>
      <c r="F2839" t="inlineStr">
        <is>
          <t>F</t>
        </is>
      </c>
      <c r="G2839" s="34" t="n">
        <v>17566</v>
      </c>
      <c r="H2839" s="34" t="n">
        <v>92453</v>
      </c>
      <c r="I2839" t="inlineStr">
        <is>
          <t>3.1</t>
        </is>
      </c>
      <c r="J2839" t="inlineStr">
        <is>
          <t>Ventas HoReCa</t>
        </is>
      </c>
      <c r="K2839" t="inlineStr">
        <is>
          <t>CH1</t>
        </is>
      </c>
    </row>
    <row r="2840">
      <c r="A2840" s="33" t="n">
        <v>45905</v>
      </c>
      <c r="B2840" t="inlineStr">
        <is>
          <t>2025-09</t>
        </is>
      </c>
      <c r="C2840" t="inlineStr">
        <is>
          <t>Inversiones Nagua SPA</t>
        </is>
      </c>
      <c r="D2840" t="inlineStr">
        <is>
          <t>HORECA CAFETERIA</t>
        </is>
      </c>
      <c r="E2840" s="34" t="n">
        <v>68179</v>
      </c>
      <c r="F2840" t="inlineStr">
        <is>
          <t>F</t>
        </is>
      </c>
      <c r="G2840" s="34" t="n">
        <v>10886</v>
      </c>
      <c r="H2840" s="34" t="n">
        <v>57293</v>
      </c>
      <c r="I2840" t="inlineStr">
        <is>
          <t>3.1</t>
        </is>
      </c>
      <c r="J2840" t="inlineStr">
        <is>
          <t>Ventas HoReCa</t>
        </is>
      </c>
      <c r="K2840" t="inlineStr">
        <is>
          <t>CH1</t>
        </is>
      </c>
    </row>
    <row r="2841">
      <c r="A2841" s="33" t="n">
        <v>45905</v>
      </c>
      <c r="B2841" t="inlineStr">
        <is>
          <t>2025-09</t>
        </is>
      </c>
      <c r="C2841" t="inlineStr">
        <is>
          <t>CAFE DIARIO ENCOMENDEROS SPA</t>
        </is>
      </c>
      <c r="D2841" t="inlineStr">
        <is>
          <t>HORECA CAFETERIA</t>
        </is>
      </c>
      <c r="E2841" s="34" t="n">
        <v>91705</v>
      </c>
      <c r="F2841" t="inlineStr">
        <is>
          <t>F</t>
        </is>
      </c>
      <c r="G2841" s="34" t="n">
        <v>14642</v>
      </c>
      <c r="H2841" s="34" t="n">
        <v>77063</v>
      </c>
      <c r="I2841" t="inlineStr">
        <is>
          <t>3.1</t>
        </is>
      </c>
      <c r="J2841" t="inlineStr">
        <is>
          <t>Ventas HoReCa</t>
        </is>
      </c>
      <c r="K2841" t="inlineStr">
        <is>
          <t>CH1</t>
        </is>
      </c>
    </row>
    <row r="2842">
      <c r="A2842" s="33" t="n">
        <v>45905</v>
      </c>
      <c r="B2842" t="inlineStr">
        <is>
          <t>2025-09</t>
        </is>
      </c>
      <c r="C2842" t="inlineStr">
        <is>
          <t>Clark Veloso Valenzuela</t>
        </is>
      </c>
      <c r="D2842" t="inlineStr">
        <is>
          <t>HORECA CAFETERIA</t>
        </is>
      </c>
      <c r="E2842" s="34" t="n">
        <v>69178</v>
      </c>
      <c r="F2842" t="inlineStr">
        <is>
          <t>F</t>
        </is>
      </c>
      <c r="G2842" s="34" t="n">
        <v>11045</v>
      </c>
      <c r="H2842" s="34" t="n">
        <v>58133</v>
      </c>
      <c r="I2842" t="inlineStr">
        <is>
          <t>3.1</t>
        </is>
      </c>
      <c r="J2842" t="inlineStr">
        <is>
          <t>Ventas HoReCa</t>
        </is>
      </c>
      <c r="K2842" t="inlineStr">
        <is>
          <t>CH1</t>
        </is>
      </c>
    </row>
    <row r="2843">
      <c r="A2843" s="33" t="n">
        <v>45905</v>
      </c>
      <c r="B2843" t="inlineStr">
        <is>
          <t>2025-09</t>
        </is>
      </c>
      <c r="C2843" t="inlineStr">
        <is>
          <t>CIA Inversiones Adriatico</t>
        </is>
      </c>
      <c r="D2843" t="inlineStr">
        <is>
          <t>Petit Crunchy</t>
        </is>
      </c>
      <c r="E2843" s="34" t="n">
        <v>25900</v>
      </c>
      <c r="F2843" t="inlineStr">
        <is>
          <t>B</t>
        </is>
      </c>
      <c r="G2843" s="34" t="n">
        <v>4135</v>
      </c>
      <c r="H2843" s="34" t="n">
        <v>21765</v>
      </c>
      <c r="I2843" t="inlineStr">
        <is>
          <t>3.2</t>
        </is>
      </c>
      <c r="J2843" t="inlineStr">
        <is>
          <t>Ventas Personas (B2C)</t>
        </is>
      </c>
      <c r="K2843" t="inlineStr">
        <is>
          <t>CH2</t>
        </is>
      </c>
    </row>
    <row r="2844">
      <c r="A2844" s="33" t="n">
        <v>45905</v>
      </c>
      <c r="B2844" t="inlineStr">
        <is>
          <t>2025-09</t>
        </is>
      </c>
      <c r="C2844" t="inlineStr">
        <is>
          <t>Camila Velasquez</t>
        </is>
      </c>
      <c r="D2844" t="inlineStr">
        <is>
          <t>Rellenos</t>
        </is>
      </c>
      <c r="E2844" s="34" t="n">
        <v>48790</v>
      </c>
      <c r="F2844" t="inlineStr">
        <is>
          <t>B</t>
        </is>
      </c>
      <c r="G2844" s="34" t="n">
        <v>7790</v>
      </c>
      <c r="H2844" s="34" t="n">
        <v>41000</v>
      </c>
      <c r="I2844" t="inlineStr">
        <is>
          <t>3.2</t>
        </is>
      </c>
      <c r="J2844" t="inlineStr">
        <is>
          <t>Ventas Personas (B2C)</t>
        </is>
      </c>
      <c r="K2844" t="inlineStr">
        <is>
          <t>CH2</t>
        </is>
      </c>
    </row>
    <row r="2845">
      <c r="A2845" s="33" t="n">
        <v>45905</v>
      </c>
      <c r="B2845" t="inlineStr">
        <is>
          <t>2025-09</t>
        </is>
      </c>
      <c r="C2845" t="inlineStr">
        <is>
          <t>Francisca Perez</t>
        </is>
      </c>
      <c r="D2845" t="inlineStr">
        <is>
          <t>Rellenos</t>
        </is>
      </c>
      <c r="E2845" s="34" t="n">
        <v>28210</v>
      </c>
      <c r="F2845" t="inlineStr">
        <is>
          <t>B</t>
        </is>
      </c>
      <c r="G2845" s="34" t="n">
        <v>4504</v>
      </c>
      <c r="H2845" s="34" t="n">
        <v>23706</v>
      </c>
      <c r="I2845" t="inlineStr">
        <is>
          <t>3.2</t>
        </is>
      </c>
      <c r="J2845" t="inlineStr">
        <is>
          <t>Ventas Personas (B2C)</t>
        </is>
      </c>
      <c r="K2845" t="inlineStr">
        <is>
          <t>CH2</t>
        </is>
      </c>
    </row>
    <row r="2846">
      <c r="A2846" s="33" t="n">
        <v>45905</v>
      </c>
      <c r="B2846" t="inlineStr">
        <is>
          <t>2025-09</t>
        </is>
      </c>
      <c r="C2846" t="inlineStr">
        <is>
          <t>Inversiones Fofoca SpA</t>
        </is>
      </c>
      <c r="D2846" t="inlineStr">
        <is>
          <t>HORECA CAFETERIA</t>
        </is>
      </c>
      <c r="E2846" s="34" t="n">
        <v>37084</v>
      </c>
      <c r="F2846" t="inlineStr">
        <is>
          <t>F</t>
        </is>
      </c>
      <c r="G2846" s="34" t="n">
        <v>5921</v>
      </c>
      <c r="H2846" s="34" t="n">
        <v>31163</v>
      </c>
      <c r="I2846" t="inlineStr">
        <is>
          <t>3.1</t>
        </is>
      </c>
      <c r="J2846" t="inlineStr">
        <is>
          <t>Ventas HoReCa</t>
        </is>
      </c>
      <c r="K2846" t="inlineStr">
        <is>
          <t>CH1</t>
        </is>
      </c>
    </row>
    <row r="2847">
      <c r="A2847" s="33" t="n">
        <v>45905</v>
      </c>
      <c r="B2847" t="inlineStr">
        <is>
          <t>2025-09</t>
        </is>
      </c>
      <c r="C2847" t="inlineStr">
        <is>
          <t>INVERSIONES Y ASESORIAS RAVAL LIMITADA</t>
        </is>
      </c>
      <c r="D2847" t="inlineStr">
        <is>
          <t>HORECA CAFETERIA</t>
        </is>
      </c>
      <c r="E2847" s="34" t="n">
        <v>72169</v>
      </c>
      <c r="F2847" t="inlineStr">
        <is>
          <t>F</t>
        </is>
      </c>
      <c r="G2847" s="34" t="n">
        <v>11523</v>
      </c>
      <c r="H2847" s="34" t="n">
        <v>60646</v>
      </c>
      <c r="I2847" t="inlineStr">
        <is>
          <t>3.1</t>
        </is>
      </c>
      <c r="J2847" t="inlineStr">
        <is>
          <t>Ventas HoReCa</t>
        </is>
      </c>
      <c r="K2847" t="inlineStr">
        <is>
          <t>CH1</t>
        </is>
      </c>
    </row>
    <row r="2848">
      <c r="A2848" s="33" t="n">
        <v>45905</v>
      </c>
      <c r="B2848" t="inlineStr">
        <is>
          <t>2025-09</t>
        </is>
      </c>
      <c r="C2848" t="inlineStr">
        <is>
          <t>CAFETERÍA ALTURA LIMITADA</t>
        </is>
      </c>
      <c r="D2848" t="inlineStr">
        <is>
          <t>HORECA CAFETERIA</t>
        </is>
      </c>
      <c r="E2848" s="34" t="n">
        <v>31271</v>
      </c>
      <c r="F2848" t="inlineStr">
        <is>
          <t>F</t>
        </is>
      </c>
      <c r="G2848" s="34" t="n">
        <v>4993</v>
      </c>
      <c r="H2848" s="34" t="n">
        <v>26278</v>
      </c>
      <c r="I2848" t="inlineStr">
        <is>
          <t>3.1</t>
        </is>
      </c>
      <c r="J2848" t="inlineStr">
        <is>
          <t>Ventas HoReCa</t>
        </is>
      </c>
      <c r="K2848" t="inlineStr">
        <is>
          <t>CH1</t>
        </is>
      </c>
    </row>
    <row r="2849">
      <c r="A2849" s="33" t="n">
        <v>45905</v>
      </c>
      <c r="B2849" t="inlineStr">
        <is>
          <t>2025-09</t>
        </is>
      </c>
      <c r="C2849" t="inlineStr">
        <is>
          <t>Evelyn Momberg Momberg</t>
        </is>
      </c>
      <c r="D2849" t="inlineStr">
        <is>
          <t>Rellenos</t>
        </is>
      </c>
      <c r="E2849" s="34" t="n">
        <v>61090</v>
      </c>
      <c r="F2849" t="inlineStr">
        <is>
          <t>B</t>
        </is>
      </c>
      <c r="G2849" s="34" t="n">
        <v>9754</v>
      </c>
      <c r="H2849" s="34" t="n">
        <v>51336</v>
      </c>
      <c r="I2849" t="inlineStr">
        <is>
          <t>3.2</t>
        </is>
      </c>
      <c r="J2849" t="inlineStr">
        <is>
          <t>Ventas Personas (B2C)</t>
        </is>
      </c>
      <c r="K2849" t="inlineStr">
        <is>
          <t>CH2</t>
        </is>
      </c>
    </row>
    <row r="2850">
      <c r="A2850" s="33" t="n">
        <v>45905</v>
      </c>
      <c r="B2850" t="inlineStr">
        <is>
          <t>2025-09</t>
        </is>
      </c>
      <c r="C2850" t="inlineStr">
        <is>
          <t>Sofia Mereles</t>
        </is>
      </c>
      <c r="D2850" t="inlineStr">
        <is>
          <t>Rellenos</t>
        </is>
      </c>
      <c r="E2850" s="34" t="n">
        <v>47690</v>
      </c>
      <c r="F2850" t="inlineStr">
        <is>
          <t>B</t>
        </is>
      </c>
      <c r="G2850" s="34" t="n">
        <v>7614</v>
      </c>
      <c r="H2850" s="34" t="n">
        <v>40076</v>
      </c>
      <c r="I2850" t="inlineStr">
        <is>
          <t>3.2</t>
        </is>
      </c>
      <c r="J2850" t="inlineStr">
        <is>
          <t>Ventas Personas (B2C)</t>
        </is>
      </c>
      <c r="K2850" t="inlineStr">
        <is>
          <t>CH2</t>
        </is>
      </c>
    </row>
    <row r="2851">
      <c r="A2851" s="33" t="n">
        <v>45905</v>
      </c>
      <c r="B2851" t="inlineStr">
        <is>
          <t>2025-09</t>
        </is>
      </c>
      <c r="C2851" t="inlineStr">
        <is>
          <t>Arturo Berger</t>
        </is>
      </c>
      <c r="D2851" t="inlineStr">
        <is>
          <t>Rellenos</t>
        </is>
      </c>
      <c r="E2851" s="34" t="n">
        <v>21890</v>
      </c>
      <c r="F2851" t="inlineStr">
        <is>
          <t>B</t>
        </is>
      </c>
      <c r="G2851" s="34" t="n">
        <v>3495</v>
      </c>
      <c r="H2851" s="34" t="n">
        <v>18395</v>
      </c>
      <c r="I2851" t="inlineStr">
        <is>
          <t>3.2</t>
        </is>
      </c>
      <c r="J2851" t="inlineStr">
        <is>
          <t>Ventas Personas (B2C)</t>
        </is>
      </c>
      <c r="K2851" t="inlineStr">
        <is>
          <t>CH2</t>
        </is>
      </c>
    </row>
    <row r="2852">
      <c r="A2852" s="33" t="n">
        <v>45906</v>
      </c>
      <c r="B2852" t="inlineStr">
        <is>
          <t>2025-09</t>
        </is>
      </c>
      <c r="C2852" t="inlineStr">
        <is>
          <t>Ting Ting Lee</t>
        </is>
      </c>
      <c r="D2852" t="inlineStr">
        <is>
          <t>Petit Crunchy</t>
        </is>
      </c>
      <c r="E2852" s="34" t="n">
        <v>70700</v>
      </c>
      <c r="F2852" t="inlineStr">
        <is>
          <t>B</t>
        </is>
      </c>
      <c r="G2852" s="34" t="n">
        <v>11288</v>
      </c>
      <c r="H2852" s="34" t="n">
        <v>59412</v>
      </c>
      <c r="I2852" t="inlineStr">
        <is>
          <t>3.2</t>
        </is>
      </c>
      <c r="J2852" t="inlineStr">
        <is>
          <t>Ventas Personas (B2C)</t>
        </is>
      </c>
      <c r="K2852" t="inlineStr">
        <is>
          <t>CH2</t>
        </is>
      </c>
    </row>
    <row r="2853">
      <c r="A2853" s="33" t="n">
        <v>45906</v>
      </c>
      <c r="B2853" t="inlineStr">
        <is>
          <t>2025-09</t>
        </is>
      </c>
      <c r="C2853" t="inlineStr">
        <is>
          <t>CAMILA  P.</t>
        </is>
      </c>
      <c r="D2853" t="inlineStr">
        <is>
          <t>PLATAFORMAS RAP-PEYA-UBER-GOOD</t>
        </is>
      </c>
      <c r="E2853" s="34" t="n">
        <v>20380</v>
      </c>
      <c r="F2853" t="inlineStr">
        <is>
          <t>B</t>
        </is>
      </c>
      <c r="G2853" s="34" t="n">
        <v>3254</v>
      </c>
      <c r="H2853" s="34" t="n">
        <v>17126</v>
      </c>
      <c r="I2853" t="inlineStr">
        <is>
          <t>3.6</t>
        </is>
      </c>
      <c r="J2853" t="inlineStr">
        <is>
          <t>Ventas Delivery Apps</t>
        </is>
      </c>
      <c r="K2853" t="inlineStr">
        <is>
          <t>CH3</t>
        </is>
      </c>
    </row>
    <row r="2854">
      <c r="A2854" s="33" t="n">
        <v>45906</v>
      </c>
      <c r="B2854" t="inlineStr">
        <is>
          <t>2025-09</t>
        </is>
      </c>
      <c r="C2854" t="inlineStr">
        <is>
          <t>María Ignacia Burgos</t>
        </is>
      </c>
      <c r="D2854" t="inlineStr">
        <is>
          <t>Rellenos</t>
        </is>
      </c>
      <c r="E2854" s="34" t="n">
        <v>14689</v>
      </c>
      <c r="F2854" t="inlineStr">
        <is>
          <t>B</t>
        </is>
      </c>
      <c r="G2854" s="34" t="n">
        <v>2345</v>
      </c>
      <c r="H2854" s="34" t="n">
        <v>12344</v>
      </c>
      <c r="I2854" t="inlineStr">
        <is>
          <t>3.2</t>
        </is>
      </c>
      <c r="J2854" t="inlineStr">
        <is>
          <t>Ventas Personas (B2C)</t>
        </is>
      </c>
      <c r="K2854" t="inlineStr">
        <is>
          <t>CH2</t>
        </is>
      </c>
    </row>
    <row r="2855">
      <c r="A2855" s="33" t="n">
        <v>45907</v>
      </c>
      <c r="B2855" t="inlineStr">
        <is>
          <t>2025-09</t>
        </is>
      </c>
      <c r="C2855" t="inlineStr">
        <is>
          <t>Elisa Cousiño</t>
        </is>
      </c>
      <c r="D2855" t="inlineStr">
        <is>
          <t>CANELÉ TRADICIONAL</t>
        </is>
      </c>
      <c r="E2855" s="34" t="n">
        <v>31879</v>
      </c>
      <c r="F2855" t="inlineStr">
        <is>
          <t>B</t>
        </is>
      </c>
      <c r="G2855" s="34" t="n">
        <v>5090</v>
      </c>
      <c r="H2855" s="34" t="n">
        <v>26789</v>
      </c>
      <c r="I2855" t="inlineStr">
        <is>
          <t>3.2</t>
        </is>
      </c>
      <c r="J2855" t="inlineStr">
        <is>
          <t>Ventas Personas (B2C)</t>
        </is>
      </c>
      <c r="K2855" t="inlineStr">
        <is>
          <t>CH2</t>
        </is>
      </c>
    </row>
    <row r="2856">
      <c r="A2856" s="33" t="n">
        <v>45907</v>
      </c>
      <c r="B2856" t="inlineStr">
        <is>
          <t>2025-09</t>
        </is>
      </c>
      <c r="C2856" t="inlineStr">
        <is>
          <t>Catalina Mura</t>
        </is>
      </c>
      <c r="D2856" t="inlineStr">
        <is>
          <t>Petit Tradicional</t>
        </is>
      </c>
      <c r="E2856" s="34" t="n">
        <v>10999</v>
      </c>
      <c r="F2856" t="inlineStr">
        <is>
          <t>B</t>
        </is>
      </c>
      <c r="G2856" s="34" t="n">
        <v>1756</v>
      </c>
      <c r="H2856" s="34" t="n">
        <v>9243</v>
      </c>
      <c r="I2856" t="inlineStr">
        <is>
          <t>3.2</t>
        </is>
      </c>
      <c r="J2856" t="inlineStr">
        <is>
          <t>Ventas Personas (B2C)</t>
        </is>
      </c>
      <c r="K2856" t="inlineStr">
        <is>
          <t>CH2</t>
        </is>
      </c>
    </row>
    <row r="2857">
      <c r="A2857" s="33" t="n">
        <v>45907</v>
      </c>
      <c r="B2857" t="inlineStr">
        <is>
          <t>2025-09</t>
        </is>
      </c>
      <c r="C2857" t="inlineStr">
        <is>
          <t>Andrés Fuenzalida Soler</t>
        </is>
      </c>
      <c r="D2857" t="inlineStr">
        <is>
          <t>Rellenos</t>
        </is>
      </c>
      <c r="E2857" s="34" t="n">
        <v>16989</v>
      </c>
      <c r="F2857" t="inlineStr">
        <is>
          <t>B</t>
        </is>
      </c>
      <c r="G2857" s="34" t="n">
        <v>2713</v>
      </c>
      <c r="H2857" s="34" t="n">
        <v>14276</v>
      </c>
      <c r="I2857" t="inlineStr">
        <is>
          <t>3.2</t>
        </is>
      </c>
      <c r="J2857" t="inlineStr">
        <is>
          <t>Ventas Personas (B2C)</t>
        </is>
      </c>
      <c r="K2857" t="inlineStr">
        <is>
          <t>CH2</t>
        </is>
      </c>
    </row>
    <row r="2858">
      <c r="A2858" s="33" t="n">
        <v>45907</v>
      </c>
      <c r="B2858" t="inlineStr">
        <is>
          <t>2025-09</t>
        </is>
      </c>
      <c r="C2858" t="inlineStr">
        <is>
          <t>angeles bezanilla</t>
        </is>
      </c>
      <c r="D2858" t="inlineStr">
        <is>
          <t>CANELÉ TRADICIONAL</t>
        </is>
      </c>
      <c r="E2858" s="34" t="n">
        <v>28890</v>
      </c>
      <c r="F2858" t="inlineStr">
        <is>
          <t>B</t>
        </is>
      </c>
      <c r="G2858" s="34" t="n">
        <v>4613</v>
      </c>
      <c r="H2858" s="34" t="n">
        <v>24277</v>
      </c>
      <c r="I2858" t="inlineStr">
        <is>
          <t>3.2</t>
        </is>
      </c>
      <c r="J2858" t="inlineStr">
        <is>
          <t>Ventas Personas (B2C)</t>
        </is>
      </c>
      <c r="K2858" t="inlineStr">
        <is>
          <t>CH2</t>
        </is>
      </c>
    </row>
    <row r="2859">
      <c r="A2859" s="33" t="n">
        <v>45907</v>
      </c>
      <c r="B2859" t="inlineStr">
        <is>
          <t>2025-09</t>
        </is>
      </c>
      <c r="C2859" t="inlineStr">
        <is>
          <t>Gisela Awad</t>
        </is>
      </c>
      <c r="D2859" t="inlineStr">
        <is>
          <t>Delicatessen</t>
        </is>
      </c>
      <c r="E2859" s="34" t="n">
        <v>44851</v>
      </c>
      <c r="F2859" t="inlineStr">
        <is>
          <t>B</t>
        </is>
      </c>
      <c r="G2859" s="34" t="n">
        <v>7161</v>
      </c>
      <c r="H2859" s="34" t="n">
        <v>37690</v>
      </c>
      <c r="I2859" t="inlineStr">
        <is>
          <t>3.2</t>
        </is>
      </c>
      <c r="J2859" t="inlineStr">
        <is>
          <t>Ventas Personas (B2C)</t>
        </is>
      </c>
      <c r="K2859" t="inlineStr">
        <is>
          <t>CH2</t>
        </is>
      </c>
    </row>
    <row r="2860">
      <c r="A2860" s="33" t="n">
        <v>45908</v>
      </c>
      <c r="B2860" t="inlineStr">
        <is>
          <t>2025-09</t>
        </is>
      </c>
      <c r="C2860" t="inlineStr">
        <is>
          <t>INVERSIONES Y COMERCIALIZADORA FED LIMITADA</t>
        </is>
      </c>
      <c r="D2860" t="inlineStr">
        <is>
          <t>HORECA CAFETERIA</t>
        </is>
      </c>
      <c r="E2860" s="34" t="n">
        <v>114110</v>
      </c>
      <c r="F2860" t="inlineStr">
        <is>
          <t>F</t>
        </is>
      </c>
      <c r="G2860" s="34" t="n">
        <v>18219</v>
      </c>
      <c r="H2860" s="34" t="n">
        <v>95891</v>
      </c>
      <c r="I2860" t="inlineStr">
        <is>
          <t>3.1</t>
        </is>
      </c>
      <c r="J2860" t="inlineStr">
        <is>
          <t>Ventas HoReCa</t>
        </is>
      </c>
      <c r="K2860" t="inlineStr">
        <is>
          <t>CH1</t>
        </is>
      </c>
    </row>
    <row r="2861">
      <c r="A2861" s="33" t="n">
        <v>45908</v>
      </c>
      <c r="B2861" t="inlineStr">
        <is>
          <t>2025-09</t>
        </is>
      </c>
      <c r="C2861" t="inlineStr">
        <is>
          <t>INVERSIONES Y COMERCIALIZADORA FED LIMITADA</t>
        </is>
      </c>
      <c r="D2861" t="inlineStr">
        <is>
          <t>HORECA CAFETERIA</t>
        </is>
      </c>
      <c r="E2861" s="34" t="n">
        <v>307579</v>
      </c>
      <c r="F2861" t="inlineStr">
        <is>
          <t>F</t>
        </is>
      </c>
      <c r="G2861" s="34" t="n">
        <v>49109</v>
      </c>
      <c r="H2861" s="34" t="n">
        <v>258470</v>
      </c>
      <c r="I2861" t="inlineStr">
        <is>
          <t>3.1</t>
        </is>
      </c>
      <c r="J2861" t="inlineStr">
        <is>
          <t>Ventas HoReCa</t>
        </is>
      </c>
      <c r="K2861" t="inlineStr">
        <is>
          <t>CH1</t>
        </is>
      </c>
    </row>
    <row r="2862">
      <c r="A2862" s="33" t="n">
        <v>45908</v>
      </c>
      <c r="B2862" t="inlineStr">
        <is>
          <t>2025-09</t>
        </is>
      </c>
      <c r="C2862" t="inlineStr">
        <is>
          <t>INVERSIONES Y COMERCIALIZADORA FED LIMITADA</t>
        </is>
      </c>
      <c r="D2862" t="inlineStr">
        <is>
          <t>HORECA CAFETERIA</t>
        </is>
      </c>
      <c r="E2862" s="34" t="n">
        <v>-114110</v>
      </c>
      <c r="F2862" t="inlineStr">
        <is>
          <t>NC</t>
        </is>
      </c>
      <c r="G2862" s="34" t="n">
        <v>-18219</v>
      </c>
      <c r="H2862" s="34" t="n">
        <v>-95891</v>
      </c>
      <c r="I2862" t="inlineStr">
        <is>
          <t>3.1</t>
        </is>
      </c>
      <c r="J2862" t="inlineStr">
        <is>
          <t>Ventas HoReCa</t>
        </is>
      </c>
      <c r="K2862" t="inlineStr">
        <is>
          <t>CH1</t>
        </is>
      </c>
    </row>
    <row r="2863">
      <c r="A2863" s="33" t="n">
        <v>45908</v>
      </c>
      <c r="B2863" t="inlineStr">
        <is>
          <t>2025-09</t>
        </is>
      </c>
      <c r="C2863" t="inlineStr">
        <is>
          <t>INVERSIONES Y COMERCIALIZADORA FED LIMITADA</t>
        </is>
      </c>
      <c r="D2863" t="inlineStr">
        <is>
          <t>HORECA CAFETERIA</t>
        </is>
      </c>
      <c r="E2863" s="34" t="n">
        <v>135874</v>
      </c>
      <c r="F2863" t="inlineStr">
        <is>
          <t>F</t>
        </is>
      </c>
      <c r="G2863" s="34" t="n">
        <v>21694</v>
      </c>
      <c r="H2863" s="34" t="n">
        <v>114180</v>
      </c>
      <c r="I2863" t="inlineStr">
        <is>
          <t>3.1</t>
        </is>
      </c>
      <c r="J2863" t="inlineStr">
        <is>
          <t>Ventas HoReCa</t>
        </is>
      </c>
      <c r="K2863" t="inlineStr">
        <is>
          <t>CH1</t>
        </is>
      </c>
    </row>
    <row r="2864">
      <c r="A2864" s="33" t="n">
        <v>45908</v>
      </c>
      <c r="B2864" t="inlineStr">
        <is>
          <t>2025-09</t>
        </is>
      </c>
      <c r="C2864" t="inlineStr">
        <is>
          <t>GALO SPA</t>
        </is>
      </c>
      <c r="D2864" t="inlineStr">
        <is>
          <t>HORECA CAFETERIA</t>
        </is>
      </c>
      <c r="E2864" s="34" t="n">
        <v>187345</v>
      </c>
      <c r="F2864" t="inlineStr">
        <is>
          <t>F</t>
        </is>
      </c>
      <c r="G2864" s="34" t="n">
        <v>29912</v>
      </c>
      <c r="H2864" s="34" t="n">
        <v>157433</v>
      </c>
      <c r="I2864" t="inlineStr">
        <is>
          <t>3.1</t>
        </is>
      </c>
      <c r="J2864" t="inlineStr">
        <is>
          <t>Ventas HoReCa</t>
        </is>
      </c>
      <c r="K2864" t="inlineStr">
        <is>
          <t>CH1</t>
        </is>
      </c>
    </row>
    <row r="2865">
      <c r="A2865" s="33" t="n">
        <v>45908</v>
      </c>
      <c r="B2865" t="inlineStr">
        <is>
          <t>2025-09</t>
        </is>
      </c>
      <c r="C2865" t="inlineStr">
        <is>
          <t>CAFÉ ROCAMAR LIMITADA</t>
        </is>
      </c>
      <c r="D2865" t="inlineStr">
        <is>
          <t>HORECA CAFETERIA</t>
        </is>
      </c>
      <c r="E2865" s="34" t="n">
        <v>156438</v>
      </c>
      <c r="F2865" t="inlineStr">
        <is>
          <t>F</t>
        </is>
      </c>
      <c r="G2865" s="34" t="n">
        <v>24977</v>
      </c>
      <c r="H2865" s="34" t="n">
        <v>131461</v>
      </c>
      <c r="I2865" t="inlineStr">
        <is>
          <t>3.1</t>
        </is>
      </c>
      <c r="J2865" t="inlineStr">
        <is>
          <t>Ventas HoReCa</t>
        </is>
      </c>
      <c r="K2865" t="inlineStr">
        <is>
          <t>CH1</t>
        </is>
      </c>
    </row>
    <row r="2866">
      <c r="A2866" s="33" t="n">
        <v>45908</v>
      </c>
      <c r="B2866" t="inlineStr">
        <is>
          <t>2025-09</t>
        </is>
      </c>
      <c r="C2866" t="inlineStr">
        <is>
          <t>Janet Lohse</t>
        </is>
      </c>
      <c r="D2866" t="inlineStr">
        <is>
          <t>Rellenos</t>
        </is>
      </c>
      <c r="E2866" s="34" t="n">
        <v>20889</v>
      </c>
      <c r="F2866" t="inlineStr">
        <is>
          <t>B</t>
        </is>
      </c>
      <c r="G2866" s="34" t="n">
        <v>3335</v>
      </c>
      <c r="H2866" s="34" t="n">
        <v>17554</v>
      </c>
      <c r="I2866" t="inlineStr">
        <is>
          <t>3.2</t>
        </is>
      </c>
      <c r="J2866" t="inlineStr">
        <is>
          <t>Ventas Personas (B2C)</t>
        </is>
      </c>
      <c r="K2866" t="inlineStr">
        <is>
          <t>CH2</t>
        </is>
      </c>
    </row>
    <row r="2867">
      <c r="A2867" s="33" t="n">
        <v>45908</v>
      </c>
      <c r="B2867" t="inlineStr">
        <is>
          <t>2025-09</t>
        </is>
      </c>
      <c r="C2867" t="inlineStr">
        <is>
          <t>Sin cliente</t>
        </is>
      </c>
      <c r="D2867" t="inlineStr">
        <is>
          <t>PLATAFORMAS RAP-PEYA-UBER-GOOD</t>
        </is>
      </c>
      <c r="E2867" s="34" t="n">
        <v>35760</v>
      </c>
      <c r="F2867" t="inlineStr">
        <is>
          <t>B</t>
        </is>
      </c>
      <c r="G2867" s="34" t="n">
        <v>5710</v>
      </c>
      <c r="H2867" s="34" t="n">
        <v>30050</v>
      </c>
      <c r="I2867" t="inlineStr">
        <is>
          <t>3.6</t>
        </is>
      </c>
      <c r="J2867" t="inlineStr">
        <is>
          <t>Ventas Delivery Apps</t>
        </is>
      </c>
      <c r="K2867" t="inlineStr">
        <is>
          <t>CH3</t>
        </is>
      </c>
    </row>
    <row r="2868">
      <c r="A2868" s="33" t="n">
        <v>45908</v>
      </c>
      <c r="B2868" t="inlineStr">
        <is>
          <t>2025-09</t>
        </is>
      </c>
      <c r="C2868" t="inlineStr">
        <is>
          <t>Maria Fernanda Sáez</t>
        </is>
      </c>
      <c r="D2868" t="inlineStr">
        <is>
          <t>Rellenos</t>
        </is>
      </c>
      <c r="E2868" s="34" t="n">
        <v>20889</v>
      </c>
      <c r="F2868" t="inlineStr">
        <is>
          <t>B</t>
        </is>
      </c>
      <c r="G2868" s="34" t="n">
        <v>3335</v>
      </c>
      <c r="H2868" s="34" t="n">
        <v>17554</v>
      </c>
      <c r="I2868" t="inlineStr">
        <is>
          <t>3.2</t>
        </is>
      </c>
      <c r="J2868" t="inlineStr">
        <is>
          <t>Ventas Personas (B2C)</t>
        </is>
      </c>
      <c r="K2868" t="inlineStr">
        <is>
          <t>CH2</t>
        </is>
      </c>
    </row>
    <row r="2869">
      <c r="A2869" s="33" t="n">
        <v>45908</v>
      </c>
      <c r="B2869" t="inlineStr">
        <is>
          <t>2025-09</t>
        </is>
      </c>
      <c r="C2869" t="inlineStr">
        <is>
          <t>camila perez</t>
        </is>
      </c>
      <c r="D2869" t="inlineStr">
        <is>
          <t>Mix Sabores</t>
        </is>
      </c>
      <c r="E2869" s="34" t="n">
        <v>15900</v>
      </c>
      <c r="F2869" t="inlineStr">
        <is>
          <t>B</t>
        </is>
      </c>
      <c r="G2869" s="34" t="n">
        <v>2539</v>
      </c>
      <c r="H2869" s="34" t="n">
        <v>13361</v>
      </c>
      <c r="I2869" t="inlineStr">
        <is>
          <t>3.2</t>
        </is>
      </c>
      <c r="J2869" t="inlineStr">
        <is>
          <t>Ventas Personas (B2C)</t>
        </is>
      </c>
      <c r="K2869" t="inlineStr">
        <is>
          <t>CH2</t>
        </is>
      </c>
    </row>
    <row r="2870">
      <c r="A2870" s="33" t="n">
        <v>45908</v>
      </c>
      <c r="B2870" t="inlineStr">
        <is>
          <t>2025-09</t>
        </is>
      </c>
      <c r="C2870" t="inlineStr">
        <is>
          <t>Fabiola Alejandra Duran Labrin</t>
        </is>
      </c>
      <c r="D2870" t="inlineStr">
        <is>
          <t>Rellenos</t>
        </is>
      </c>
      <c r="E2870" s="34" t="n">
        <v>11989</v>
      </c>
      <c r="F2870" t="inlineStr">
        <is>
          <t>B</t>
        </is>
      </c>
      <c r="G2870" s="34" t="n">
        <v>1914</v>
      </c>
      <c r="H2870" s="34" t="n">
        <v>10075</v>
      </c>
      <c r="I2870" t="inlineStr">
        <is>
          <t>3.2</t>
        </is>
      </c>
      <c r="J2870" t="inlineStr">
        <is>
          <t>Ventas Personas (B2C)</t>
        </is>
      </c>
      <c r="K2870" t="inlineStr">
        <is>
          <t>CH2</t>
        </is>
      </c>
    </row>
    <row r="2871">
      <c r="A2871" s="33" t="n">
        <v>45908</v>
      </c>
      <c r="B2871" t="inlineStr">
        <is>
          <t>2025-09</t>
        </is>
      </c>
      <c r="C2871" t="inlineStr">
        <is>
          <t>RC BANQUETERIA SPA</t>
        </is>
      </c>
      <c r="D2871" t="inlineStr">
        <is>
          <t>HORECA CATERING</t>
        </is>
      </c>
      <c r="E2871" s="34" t="n">
        <v>46402</v>
      </c>
      <c r="F2871" t="inlineStr">
        <is>
          <t>F</t>
        </is>
      </c>
      <c r="G2871" s="34" t="n">
        <v>7409</v>
      </c>
      <c r="H2871" s="34" t="n">
        <v>38993</v>
      </c>
      <c r="I2871" t="inlineStr">
        <is>
          <t>3.1</t>
        </is>
      </c>
      <c r="J2871" t="inlineStr">
        <is>
          <t>Ventas HoReCa</t>
        </is>
      </c>
      <c r="K2871" t="inlineStr">
        <is>
          <t>CH1</t>
        </is>
      </c>
    </row>
    <row r="2872">
      <c r="A2872" s="33" t="n">
        <v>45908</v>
      </c>
      <c r="B2872" t="inlineStr">
        <is>
          <t>2025-09</t>
        </is>
      </c>
      <c r="C2872" t="inlineStr">
        <is>
          <t>D&amp;S SERVICIOS DE ALIMENTACIÓN SpA</t>
        </is>
      </c>
      <c r="D2872" t="inlineStr">
        <is>
          <t xml:space="preserve">THE COFFEE STORE </t>
        </is>
      </c>
      <c r="E2872" s="34" t="n">
        <v>40293</v>
      </c>
      <c r="F2872" t="inlineStr">
        <is>
          <t>F</t>
        </is>
      </c>
      <c r="G2872" s="34" t="n">
        <v>6433</v>
      </c>
      <c r="H2872" s="34" t="n">
        <v>33860</v>
      </c>
      <c r="I2872" t="inlineStr">
        <is>
          <t>3.1</t>
        </is>
      </c>
      <c r="J2872" t="inlineStr">
        <is>
          <t>Ventas HoReCa</t>
        </is>
      </c>
      <c r="K2872" t="inlineStr">
        <is>
          <t>CH1</t>
        </is>
      </c>
    </row>
    <row r="2873">
      <c r="A2873" s="33" t="n">
        <v>45908</v>
      </c>
      <c r="B2873" t="inlineStr">
        <is>
          <t>2025-09</t>
        </is>
      </c>
      <c r="C2873" t="inlineStr">
        <is>
          <t>Importadora y comercializadora Origenes SPA</t>
        </is>
      </c>
      <c r="D2873" t="inlineStr">
        <is>
          <t>HORECA CAFETERIA</t>
        </is>
      </c>
      <c r="E2873" s="34" t="n">
        <v>68179</v>
      </c>
      <c r="F2873" t="inlineStr">
        <is>
          <t>F</t>
        </is>
      </c>
      <c r="G2873" s="34" t="n">
        <v>10886</v>
      </c>
      <c r="H2873" s="34" t="n">
        <v>57293</v>
      </c>
      <c r="I2873" t="inlineStr">
        <is>
          <t>3.1</t>
        </is>
      </c>
      <c r="J2873" t="inlineStr">
        <is>
          <t>Ventas HoReCa</t>
        </is>
      </c>
      <c r="K2873" t="inlineStr">
        <is>
          <t>CH1</t>
        </is>
      </c>
    </row>
    <row r="2874">
      <c r="A2874" s="33" t="n">
        <v>45908</v>
      </c>
      <c r="B2874" t="inlineStr">
        <is>
          <t>2025-09</t>
        </is>
      </c>
      <c r="C2874" t="inlineStr">
        <is>
          <t>Claudio Capelli</t>
        </is>
      </c>
      <c r="D2874" t="inlineStr">
        <is>
          <t>Mix Sabores</t>
        </is>
      </c>
      <c r="E2874" s="34" t="n">
        <v>30150</v>
      </c>
      <c r="F2874" t="inlineStr">
        <is>
          <t>B</t>
        </is>
      </c>
      <c r="G2874" s="34" t="n">
        <v>4814</v>
      </c>
      <c r="H2874" s="34" t="n">
        <v>25336</v>
      </c>
      <c r="I2874" t="inlineStr">
        <is>
          <t>3.2</t>
        </is>
      </c>
      <c r="J2874" t="inlineStr">
        <is>
          <t>Ventas Personas (B2C)</t>
        </is>
      </c>
      <c r="K2874" t="inlineStr">
        <is>
          <t>CH2</t>
        </is>
      </c>
    </row>
    <row r="2875">
      <c r="A2875" s="33" t="n">
        <v>45908</v>
      </c>
      <c r="B2875" t="inlineStr">
        <is>
          <t>2025-09</t>
        </is>
      </c>
      <c r="C2875" t="inlineStr">
        <is>
          <t>paula muñoz</t>
        </is>
      </c>
      <c r="D2875" t="inlineStr">
        <is>
          <t>Rellenos</t>
        </is>
      </c>
      <c r="E2875" s="34" t="n">
        <v>29789</v>
      </c>
      <c r="F2875" t="inlineStr">
        <is>
          <t>B</t>
        </is>
      </c>
      <c r="G2875" s="34" t="n">
        <v>4756</v>
      </c>
      <c r="H2875" s="34" t="n">
        <v>25033</v>
      </c>
      <c r="I2875" t="inlineStr">
        <is>
          <t>3.2</t>
        </is>
      </c>
      <c r="J2875" t="inlineStr">
        <is>
          <t>Ventas Personas (B2C)</t>
        </is>
      </c>
      <c r="K2875" t="inlineStr">
        <is>
          <t>CH2</t>
        </is>
      </c>
    </row>
    <row r="2876">
      <c r="A2876" s="33" t="n">
        <v>45909</v>
      </c>
      <c r="B2876" t="inlineStr">
        <is>
          <t>2025-09</t>
        </is>
      </c>
      <c r="C2876" t="inlineStr">
        <is>
          <t>HUERTO SUR LIMITADA</t>
        </is>
      </c>
      <c r="D2876" t="inlineStr">
        <is>
          <t>HORECA CAFETERIA</t>
        </is>
      </c>
      <c r="E2876" s="34" t="n">
        <v>101273</v>
      </c>
      <c r="F2876" t="inlineStr">
        <is>
          <t>F</t>
        </is>
      </c>
      <c r="G2876" s="34" t="n">
        <v>16170</v>
      </c>
      <c r="H2876" s="34" t="n">
        <v>85103</v>
      </c>
      <c r="I2876" t="inlineStr">
        <is>
          <t>3.1</t>
        </is>
      </c>
      <c r="J2876" t="inlineStr">
        <is>
          <t>Ventas HoReCa</t>
        </is>
      </c>
      <c r="K2876" t="inlineStr">
        <is>
          <t>CH1</t>
        </is>
      </c>
    </row>
    <row r="2877">
      <c r="A2877" s="33" t="n">
        <v>45909</v>
      </c>
      <c r="B2877" t="inlineStr">
        <is>
          <t>2025-09</t>
        </is>
      </c>
      <c r="C2877" t="inlineStr">
        <is>
          <t>HUERTO SUR LIMITADA</t>
        </is>
      </c>
      <c r="D2877" t="inlineStr">
        <is>
          <t>HORECA CAFETERIA</t>
        </is>
      </c>
      <c r="E2877" s="34" t="n">
        <v>36084</v>
      </c>
      <c r="F2877" t="inlineStr">
        <is>
          <t>F</t>
        </is>
      </c>
      <c r="G2877" s="34" t="n">
        <v>5761</v>
      </c>
      <c r="H2877" s="34" t="n">
        <v>30323</v>
      </c>
      <c r="I2877" t="inlineStr">
        <is>
          <t>3.1</t>
        </is>
      </c>
      <c r="J2877" t="inlineStr">
        <is>
          <t>Ventas HoReCa</t>
        </is>
      </c>
      <c r="K2877" t="inlineStr">
        <is>
          <t>CH1</t>
        </is>
      </c>
    </row>
    <row r="2878">
      <c r="A2878" s="33" t="n">
        <v>45909</v>
      </c>
      <c r="B2878" t="inlineStr">
        <is>
          <t>2025-09</t>
        </is>
      </c>
      <c r="C2878" t="inlineStr">
        <is>
          <t>HUERTO SUR LIMITADA</t>
        </is>
      </c>
      <c r="D2878" t="inlineStr">
        <is>
          <t>HORECA CAFETERIA</t>
        </is>
      </c>
      <c r="E2878" s="34" t="n">
        <v>37084</v>
      </c>
      <c r="F2878" t="inlineStr">
        <is>
          <t>F</t>
        </is>
      </c>
      <c r="G2878" s="34" t="n">
        <v>5921</v>
      </c>
      <c r="H2878" s="34" t="n">
        <v>31163</v>
      </c>
      <c r="I2878" t="inlineStr">
        <is>
          <t>3.1</t>
        </is>
      </c>
      <c r="J2878" t="inlineStr">
        <is>
          <t>Ventas HoReCa</t>
        </is>
      </c>
      <c r="K2878" t="inlineStr">
        <is>
          <t>CH1</t>
        </is>
      </c>
    </row>
    <row r="2879">
      <c r="A2879" s="33" t="n">
        <v>45909</v>
      </c>
      <c r="B2879" t="inlineStr">
        <is>
          <t>2025-09</t>
        </is>
      </c>
      <c r="C2879" t="inlineStr">
        <is>
          <t>HUERTO SUR LIMITADA</t>
        </is>
      </c>
      <c r="D2879" t="inlineStr">
        <is>
          <t>HORECA CAFETERIA</t>
        </is>
      </c>
      <c r="E2879" s="34" t="n">
        <v>36084</v>
      </c>
      <c r="F2879" t="inlineStr">
        <is>
          <t>F</t>
        </is>
      </c>
      <c r="G2879" s="34" t="n">
        <v>5761</v>
      </c>
      <c r="H2879" s="34" t="n">
        <v>30323</v>
      </c>
      <c r="I2879" t="inlineStr">
        <is>
          <t>3.1</t>
        </is>
      </c>
      <c r="J2879" t="inlineStr">
        <is>
          <t>Ventas HoReCa</t>
        </is>
      </c>
      <c r="K2879" t="inlineStr">
        <is>
          <t>CH1</t>
        </is>
      </c>
    </row>
    <row r="2880">
      <c r="A2880" s="33" t="n">
        <v>45909</v>
      </c>
      <c r="B2880" t="inlineStr">
        <is>
          <t>2025-09</t>
        </is>
      </c>
      <c r="C2880" t="inlineStr">
        <is>
          <t>HUERTO SUR LIMITADA</t>
        </is>
      </c>
      <c r="D2880" t="inlineStr">
        <is>
          <t>HORECA CAFETERIA</t>
        </is>
      </c>
      <c r="E2880" s="34" t="n">
        <v>37084</v>
      </c>
      <c r="F2880" t="inlineStr">
        <is>
          <t>F</t>
        </is>
      </c>
      <c r="G2880" s="34" t="n">
        <v>5921</v>
      </c>
      <c r="H2880" s="34" t="n">
        <v>31163</v>
      </c>
      <c r="I2880" t="inlineStr">
        <is>
          <t>3.1</t>
        </is>
      </c>
      <c r="J2880" t="inlineStr">
        <is>
          <t>Ventas HoReCa</t>
        </is>
      </c>
      <c r="K2880" t="inlineStr">
        <is>
          <t>CH1</t>
        </is>
      </c>
    </row>
    <row r="2881">
      <c r="A2881" s="33" t="n">
        <v>45909</v>
      </c>
      <c r="B2881" t="inlineStr">
        <is>
          <t>2025-09</t>
        </is>
      </c>
      <c r="C2881" t="inlineStr">
        <is>
          <t>CUATROTRESTRES CAFÉ SPA</t>
        </is>
      </c>
      <c r="D2881" t="inlineStr">
        <is>
          <t>HORECA CAFETERIA</t>
        </is>
      </c>
      <c r="E2881" s="34" t="n">
        <v>220033</v>
      </c>
      <c r="F2881" t="inlineStr">
        <is>
          <t>F</t>
        </is>
      </c>
      <c r="G2881" s="34" t="n">
        <v>35131</v>
      </c>
      <c r="H2881" s="34" t="n">
        <v>184902</v>
      </c>
      <c r="I2881" t="inlineStr">
        <is>
          <t>3.1</t>
        </is>
      </c>
      <c r="J2881" t="inlineStr">
        <is>
          <t>Ventas HoReCa</t>
        </is>
      </c>
      <c r="K2881" t="inlineStr">
        <is>
          <t>CH1</t>
        </is>
      </c>
    </row>
    <row r="2882">
      <c r="A2882" s="33" t="n">
        <v>45909</v>
      </c>
      <c r="B2882" t="inlineStr">
        <is>
          <t>2025-09</t>
        </is>
      </c>
      <c r="C2882" t="inlineStr">
        <is>
          <t>José Ignacio Muñoz Daettwyler</t>
        </is>
      </c>
      <c r="D2882" t="inlineStr">
        <is>
          <t>Rellenos</t>
        </is>
      </c>
      <c r="E2882" s="34" t="n">
        <v>25800</v>
      </c>
      <c r="F2882" t="inlineStr">
        <is>
          <t>B</t>
        </is>
      </c>
      <c r="G2882" s="34" t="n">
        <v>4119</v>
      </c>
      <c r="H2882" s="34" t="n">
        <v>21681</v>
      </c>
      <c r="I2882" t="inlineStr">
        <is>
          <t>3.2</t>
        </is>
      </c>
      <c r="J2882" t="inlineStr">
        <is>
          <t>Ventas Personas (B2C)</t>
        </is>
      </c>
      <c r="K2882" t="inlineStr">
        <is>
          <t>CH2</t>
        </is>
      </c>
    </row>
    <row r="2883">
      <c r="A2883" s="33" t="n">
        <v>45909</v>
      </c>
      <c r="B2883" t="inlineStr">
        <is>
          <t>2025-09</t>
        </is>
      </c>
      <c r="C2883" t="inlineStr">
        <is>
          <t>Sin cliente</t>
        </is>
      </c>
      <c r="D2883" t="inlineStr">
        <is>
          <t>PLATAFORMAS RAP-PEYA-UBER-GOOD</t>
        </is>
      </c>
      <c r="E2883" s="34" t="n">
        <v>16140</v>
      </c>
      <c r="F2883" t="inlineStr">
        <is>
          <t>B</t>
        </is>
      </c>
      <c r="G2883" s="34" t="n">
        <v>2577</v>
      </c>
      <c r="H2883" s="34" t="n">
        <v>13563</v>
      </c>
      <c r="I2883" t="inlineStr">
        <is>
          <t>3.6</t>
        </is>
      </c>
      <c r="J2883" t="inlineStr">
        <is>
          <t>Ventas Delivery Apps</t>
        </is>
      </c>
      <c r="K2883" t="inlineStr">
        <is>
          <t>CH3</t>
        </is>
      </c>
    </row>
    <row r="2884">
      <c r="A2884" s="33" t="n">
        <v>45909</v>
      </c>
      <c r="B2884" t="inlineStr">
        <is>
          <t>2025-09</t>
        </is>
      </c>
      <c r="C2884" t="inlineStr">
        <is>
          <t>Sin cliente</t>
        </is>
      </c>
      <c r="D2884" t="inlineStr">
        <is>
          <t>Mix Sabores</t>
        </is>
      </c>
      <c r="E2884" s="34" t="n">
        <v>35760</v>
      </c>
      <c r="F2884" t="inlineStr">
        <is>
          <t>B</t>
        </is>
      </c>
      <c r="G2884" s="34" t="n">
        <v>5710</v>
      </c>
      <c r="H2884" s="34" t="n">
        <v>30050</v>
      </c>
      <c r="I2884" t="inlineStr">
        <is>
          <t>3.2</t>
        </is>
      </c>
      <c r="J2884" t="inlineStr">
        <is>
          <t>Ventas Personas (B2C)</t>
        </is>
      </c>
      <c r="K2884" t="inlineStr">
        <is>
          <t>CH2</t>
        </is>
      </c>
    </row>
    <row r="2885">
      <c r="A2885" s="33" t="n">
        <v>45909</v>
      </c>
      <c r="B2885" t="inlineStr">
        <is>
          <t>2025-09</t>
        </is>
      </c>
      <c r="C2885" t="inlineStr">
        <is>
          <t>CAROLINA GREZ</t>
        </is>
      </c>
      <c r="D2885" t="inlineStr">
        <is>
          <t>Delicatessen</t>
        </is>
      </c>
      <c r="E2885" s="34" t="n">
        <v>7840</v>
      </c>
      <c r="F2885" t="inlineStr">
        <is>
          <t>B</t>
        </is>
      </c>
      <c r="G2885" s="34" t="n">
        <v>1252</v>
      </c>
      <c r="H2885" s="34" t="n">
        <v>6588</v>
      </c>
      <c r="I2885" t="inlineStr">
        <is>
          <t>3.2</t>
        </is>
      </c>
      <c r="J2885" t="inlineStr">
        <is>
          <t>Ventas Personas (B2C)</t>
        </is>
      </c>
      <c r="K2885" t="inlineStr">
        <is>
          <t>CH2</t>
        </is>
      </c>
    </row>
    <row r="2886">
      <c r="A2886" s="33" t="n">
        <v>45909</v>
      </c>
      <c r="B2886" t="inlineStr">
        <is>
          <t>2025-09</t>
        </is>
      </c>
      <c r="C2886" t="inlineStr">
        <is>
          <t>Linda Carrasco Grunert</t>
        </is>
      </c>
      <c r="D2886" t="inlineStr">
        <is>
          <t>CANELÉ TRADICIONAL</t>
        </is>
      </c>
      <c r="E2886" s="34" t="n">
        <v>13100</v>
      </c>
      <c r="F2886" t="inlineStr">
        <is>
          <t>B</t>
        </is>
      </c>
      <c r="G2886" s="34" t="n">
        <v>2092</v>
      </c>
      <c r="H2886" s="34" t="n">
        <v>11008</v>
      </c>
      <c r="I2886" t="inlineStr">
        <is>
          <t>3.2</t>
        </is>
      </c>
      <c r="J2886" t="inlineStr">
        <is>
          <t>Ventas Personas (B2C)</t>
        </is>
      </c>
      <c r="K2886" t="inlineStr">
        <is>
          <t>CH2</t>
        </is>
      </c>
    </row>
    <row r="2887">
      <c r="A2887" s="33" t="n">
        <v>45909</v>
      </c>
      <c r="B2887" t="inlineStr">
        <is>
          <t>2025-09</t>
        </is>
      </c>
      <c r="C2887" t="inlineStr">
        <is>
          <t>Isabel Schild</t>
        </is>
      </c>
      <c r="D2887" t="inlineStr">
        <is>
          <t>Rellenos</t>
        </is>
      </c>
      <c r="E2887" s="34" t="n">
        <v>21789</v>
      </c>
      <c r="F2887" t="inlineStr">
        <is>
          <t>B</t>
        </is>
      </c>
      <c r="G2887" s="34" t="n">
        <v>3479</v>
      </c>
      <c r="H2887" s="34" t="n">
        <v>18310</v>
      </c>
      <c r="I2887" t="inlineStr">
        <is>
          <t>3.2</t>
        </is>
      </c>
      <c r="J2887" t="inlineStr">
        <is>
          <t>Ventas Personas (B2C)</t>
        </is>
      </c>
      <c r="K2887" t="inlineStr">
        <is>
          <t>CH2</t>
        </is>
      </c>
    </row>
    <row r="2888">
      <c r="A2888" s="33" t="n">
        <v>45910</v>
      </c>
      <c r="B2888" t="inlineStr">
        <is>
          <t>2025-09</t>
        </is>
      </c>
      <c r="C2888" t="inlineStr">
        <is>
          <t>BUSTORF LARSEN Y COMPANIA LIMITADA</t>
        </is>
      </c>
      <c r="D2888" t="inlineStr">
        <is>
          <t>HORECA CAFETERIA</t>
        </is>
      </c>
      <c r="E2888" s="34" t="n">
        <v>69178</v>
      </c>
      <c r="F2888" t="inlineStr">
        <is>
          <t>F</t>
        </is>
      </c>
      <c r="G2888" s="34" t="n">
        <v>11045</v>
      </c>
      <c r="H2888" s="34" t="n">
        <v>58133</v>
      </c>
      <c r="I2888" t="inlineStr">
        <is>
          <t>3.1</t>
        </is>
      </c>
      <c r="J2888" t="inlineStr">
        <is>
          <t>Ventas HoReCa</t>
        </is>
      </c>
      <c r="K2888" t="inlineStr">
        <is>
          <t>CH1</t>
        </is>
      </c>
    </row>
    <row r="2889">
      <c r="A2889" s="33" t="n">
        <v>45910</v>
      </c>
      <c r="B2889" t="inlineStr">
        <is>
          <t>2025-09</t>
        </is>
      </c>
      <c r="C2889" t="inlineStr">
        <is>
          <t>BUSTORF LARSEN Y COMPANIA LIMITADA</t>
        </is>
      </c>
      <c r="D2889" t="inlineStr">
        <is>
          <t>HORECA CAFETERIA</t>
        </is>
      </c>
      <c r="E2889" s="34" t="n">
        <v>69178</v>
      </c>
      <c r="F2889" t="inlineStr">
        <is>
          <t>F</t>
        </is>
      </c>
      <c r="G2889" s="34" t="n">
        <v>11045</v>
      </c>
      <c r="H2889" s="34" t="n">
        <v>58133</v>
      </c>
      <c r="I2889" t="inlineStr">
        <is>
          <t>3.1</t>
        </is>
      </c>
      <c r="J2889" t="inlineStr">
        <is>
          <t>Ventas HoReCa</t>
        </is>
      </c>
      <c r="K2889" t="inlineStr">
        <is>
          <t>CH1</t>
        </is>
      </c>
    </row>
    <row r="2890">
      <c r="A2890" s="33" t="n">
        <v>45910</v>
      </c>
      <c r="B2890" t="inlineStr">
        <is>
          <t>2025-09</t>
        </is>
      </c>
      <c r="C2890" t="inlineStr">
        <is>
          <t>BUSTORF LARSEN Y COMPANIA LIMITADA</t>
        </is>
      </c>
      <c r="D2890" t="inlineStr">
        <is>
          <t>HORECA CAFETERIA</t>
        </is>
      </c>
      <c r="E2890" s="34" t="n">
        <v>68179</v>
      </c>
      <c r="F2890" t="inlineStr">
        <is>
          <t>F</t>
        </is>
      </c>
      <c r="G2890" s="34" t="n">
        <v>10886</v>
      </c>
      <c r="H2890" s="34" t="n">
        <v>57293</v>
      </c>
      <c r="I2890" t="inlineStr">
        <is>
          <t>3.1</t>
        </is>
      </c>
      <c r="J2890" t="inlineStr">
        <is>
          <t>Ventas HoReCa</t>
        </is>
      </c>
      <c r="K2890" t="inlineStr">
        <is>
          <t>CH1</t>
        </is>
      </c>
    </row>
    <row r="2891">
      <c r="A2891" s="33" t="n">
        <v>45910</v>
      </c>
      <c r="B2891" t="inlineStr">
        <is>
          <t>2025-09</t>
        </is>
      </c>
      <c r="C2891" t="inlineStr">
        <is>
          <t>HUERTO SUR LIMITADA</t>
        </is>
      </c>
      <c r="D2891" t="inlineStr">
        <is>
          <t>HORECA CAFETERIA</t>
        </is>
      </c>
      <c r="E2891" s="34" t="n">
        <v>100273</v>
      </c>
      <c r="F2891" t="inlineStr">
        <is>
          <t>F</t>
        </is>
      </c>
      <c r="G2891" s="34" t="n">
        <v>16010</v>
      </c>
      <c r="H2891" s="34" t="n">
        <v>84263</v>
      </c>
      <c r="I2891" t="inlineStr">
        <is>
          <t>3.1</t>
        </is>
      </c>
      <c r="J2891" t="inlineStr">
        <is>
          <t>Ventas HoReCa</t>
        </is>
      </c>
      <c r="K2891" t="inlineStr">
        <is>
          <t>CH1</t>
        </is>
      </c>
    </row>
    <row r="2892">
      <c r="A2892" s="33" t="n">
        <v>45910</v>
      </c>
      <c r="B2892" t="inlineStr">
        <is>
          <t>2025-09</t>
        </is>
      </c>
      <c r="C2892" t="inlineStr">
        <is>
          <t>HUERTO SUR LIMITADA</t>
        </is>
      </c>
      <c r="D2892" t="inlineStr">
        <is>
          <t>HORECA CAFETERIA</t>
        </is>
      </c>
      <c r="E2892" s="34" t="n">
        <v>68179</v>
      </c>
      <c r="F2892" t="inlineStr">
        <is>
          <t>F</t>
        </is>
      </c>
      <c r="G2892" s="34" t="n">
        <v>10886</v>
      </c>
      <c r="H2892" s="34" t="n">
        <v>57293</v>
      </c>
      <c r="I2892" t="inlineStr">
        <is>
          <t>3.1</t>
        </is>
      </c>
      <c r="J2892" t="inlineStr">
        <is>
          <t>Ventas HoReCa</t>
        </is>
      </c>
      <c r="K2892" t="inlineStr">
        <is>
          <t>CH1</t>
        </is>
      </c>
    </row>
    <row r="2893">
      <c r="A2893" s="33" t="n">
        <v>45910</v>
      </c>
      <c r="B2893" t="inlineStr">
        <is>
          <t>2025-09</t>
        </is>
      </c>
      <c r="C2893" t="inlineStr">
        <is>
          <t>HUERTO SUR LIMITADA</t>
        </is>
      </c>
      <c r="D2893" t="inlineStr">
        <is>
          <t>HORECA CAFETERIA</t>
        </is>
      </c>
      <c r="E2893" s="34" t="n">
        <v>-68179</v>
      </c>
      <c r="F2893" t="inlineStr">
        <is>
          <t>NC</t>
        </is>
      </c>
      <c r="G2893" s="34" t="n">
        <v>-10886</v>
      </c>
      <c r="H2893" s="34" t="n">
        <v>-57293</v>
      </c>
      <c r="I2893" t="inlineStr">
        <is>
          <t>3.1</t>
        </is>
      </c>
      <c r="J2893" t="inlineStr">
        <is>
          <t>Ventas HoReCa</t>
        </is>
      </c>
      <c r="K2893" t="inlineStr">
        <is>
          <t>CH1</t>
        </is>
      </c>
    </row>
    <row r="2894">
      <c r="A2894" s="33" t="n">
        <v>45910</v>
      </c>
      <c r="B2894" t="inlineStr">
        <is>
          <t>2025-09</t>
        </is>
      </c>
      <c r="C2894" t="inlineStr">
        <is>
          <t>HUERTO SUR LIMITADA</t>
        </is>
      </c>
      <c r="D2894" t="inlineStr">
        <is>
          <t>HORECA CAFETERIA</t>
        </is>
      </c>
      <c r="E2894" s="34" t="n">
        <v>125948</v>
      </c>
      <c r="F2894" t="inlineStr">
        <is>
          <t>F</t>
        </is>
      </c>
      <c r="G2894" s="34" t="n">
        <v>20109</v>
      </c>
      <c r="H2894" s="34" t="n">
        <v>105839</v>
      </c>
      <c r="I2894" t="inlineStr">
        <is>
          <t>3.1</t>
        </is>
      </c>
      <c r="J2894" t="inlineStr">
        <is>
          <t>Ventas HoReCa</t>
        </is>
      </c>
      <c r="K2894" t="inlineStr">
        <is>
          <t>CH1</t>
        </is>
      </c>
    </row>
    <row r="2895">
      <c r="A2895" s="33" t="n">
        <v>45910</v>
      </c>
      <c r="B2895" t="inlineStr">
        <is>
          <t>2025-09</t>
        </is>
      </c>
      <c r="C2895" t="inlineStr">
        <is>
          <t>HUERTO SUR LIMITADA</t>
        </is>
      </c>
      <c r="D2895" t="inlineStr">
        <is>
          <t>HORECA CAFETERIA</t>
        </is>
      </c>
      <c r="E2895" s="34" t="n">
        <v>100273</v>
      </c>
      <c r="F2895" t="inlineStr">
        <is>
          <t>F</t>
        </is>
      </c>
      <c r="G2895" s="34" t="n">
        <v>16010</v>
      </c>
      <c r="H2895" s="34" t="n">
        <v>84263</v>
      </c>
      <c r="I2895" t="inlineStr">
        <is>
          <t>3.1</t>
        </is>
      </c>
      <c r="J2895" t="inlineStr">
        <is>
          <t>Ventas HoReCa</t>
        </is>
      </c>
      <c r="K2895" t="inlineStr">
        <is>
          <t>CH1</t>
        </is>
      </c>
    </row>
    <row r="2896">
      <c r="A2896" s="33" t="n">
        <v>45910</v>
      </c>
      <c r="B2896" t="inlineStr">
        <is>
          <t>2025-09</t>
        </is>
      </c>
      <c r="C2896" t="inlineStr">
        <is>
          <t>Okinawa Spa</t>
        </is>
      </c>
      <c r="D2896" t="inlineStr">
        <is>
          <t>HORECA CAFETERIA</t>
        </is>
      </c>
      <c r="E2896" s="34" t="n">
        <v>68179</v>
      </c>
      <c r="F2896" t="inlineStr">
        <is>
          <t>F</t>
        </is>
      </c>
      <c r="G2896" s="34" t="n">
        <v>10886</v>
      </c>
      <c r="H2896" s="34" t="n">
        <v>57293</v>
      </c>
      <c r="I2896" t="inlineStr">
        <is>
          <t>3.1</t>
        </is>
      </c>
      <c r="J2896" t="inlineStr">
        <is>
          <t>Ventas HoReCa</t>
        </is>
      </c>
      <c r="K2896" t="inlineStr">
        <is>
          <t>CH1</t>
        </is>
      </c>
    </row>
    <row r="2897">
      <c r="A2897" s="33" t="n">
        <v>45910</v>
      </c>
      <c r="B2897" t="inlineStr">
        <is>
          <t>2025-09</t>
        </is>
      </c>
      <c r="C2897" t="inlineStr">
        <is>
          <t>Mabel Weber</t>
        </is>
      </c>
      <c r="D2897" t="inlineStr">
        <is>
          <t>SALSAS</t>
        </is>
      </c>
      <c r="E2897" s="34" t="n">
        <v>26879</v>
      </c>
      <c r="F2897" t="inlineStr">
        <is>
          <t>B</t>
        </is>
      </c>
      <c r="G2897" s="34" t="n">
        <v>4292</v>
      </c>
      <c r="H2897" s="34" t="n">
        <v>22587</v>
      </c>
      <c r="I2897" t="inlineStr">
        <is>
          <t>3.2</t>
        </is>
      </c>
      <c r="J2897" t="inlineStr">
        <is>
          <t>Ventas Personas (B2C)</t>
        </is>
      </c>
      <c r="K2897" t="inlineStr">
        <is>
          <t>CH2</t>
        </is>
      </c>
    </row>
    <row r="2898">
      <c r="A2898" s="33" t="n">
        <v>45910</v>
      </c>
      <c r="B2898" t="inlineStr">
        <is>
          <t>2025-09</t>
        </is>
      </c>
      <c r="C2898" t="inlineStr">
        <is>
          <t>Linda Carrasco Grunert</t>
        </is>
      </c>
      <c r="D2898" t="inlineStr">
        <is>
          <t>REGION METROPOLITANA</t>
        </is>
      </c>
      <c r="E2898" s="34" t="n">
        <v>3990</v>
      </c>
      <c r="F2898" t="inlineStr">
        <is>
          <t>B</t>
        </is>
      </c>
      <c r="G2898" s="34" t="n">
        <v>637</v>
      </c>
      <c r="H2898" s="34" t="n">
        <v>3353</v>
      </c>
      <c r="I2898" t="inlineStr">
        <is>
          <t>3.2</t>
        </is>
      </c>
      <c r="J2898" t="inlineStr">
        <is>
          <t>Ventas Personas (B2C)</t>
        </is>
      </c>
      <c r="K2898" t="inlineStr">
        <is>
          <t>CH2</t>
        </is>
      </c>
    </row>
    <row r="2899">
      <c r="A2899" s="33" t="n">
        <v>45910</v>
      </c>
      <c r="B2899" t="inlineStr">
        <is>
          <t>2025-09</t>
        </is>
      </c>
      <c r="C2899" t="inlineStr">
        <is>
          <t>Sin cliente</t>
        </is>
      </c>
      <c r="D2899" t="inlineStr">
        <is>
          <t>Rellenos</t>
        </is>
      </c>
      <c r="E2899" s="34" t="n">
        <v>23900</v>
      </c>
      <c r="F2899" t="inlineStr">
        <is>
          <t>B</t>
        </is>
      </c>
      <c r="G2899" s="34" t="n">
        <v>3816</v>
      </c>
      <c r="H2899" s="34" t="n">
        <v>20084</v>
      </c>
      <c r="I2899" t="inlineStr">
        <is>
          <t>3.2</t>
        </is>
      </c>
      <c r="J2899" t="inlineStr">
        <is>
          <t>Ventas Personas (B2C)</t>
        </is>
      </c>
      <c r="K2899" t="inlineStr">
        <is>
          <t>CH2</t>
        </is>
      </c>
    </row>
    <row r="2900">
      <c r="A2900" s="33" t="n">
        <v>45910</v>
      </c>
      <c r="B2900" t="inlineStr">
        <is>
          <t>2025-09</t>
        </is>
      </c>
      <c r="C2900" t="inlineStr">
        <is>
          <t>Luis Ramos</t>
        </is>
      </c>
      <c r="D2900" t="inlineStr">
        <is>
          <t>SALSAS</t>
        </is>
      </c>
      <c r="E2900" s="34" t="n">
        <v>39790</v>
      </c>
      <c r="F2900" t="inlineStr">
        <is>
          <t>B</t>
        </is>
      </c>
      <c r="G2900" s="34" t="n">
        <v>6353</v>
      </c>
      <c r="H2900" s="34" t="n">
        <v>33437</v>
      </c>
      <c r="I2900" t="inlineStr">
        <is>
          <t>3.2</t>
        </is>
      </c>
      <c r="J2900" t="inlineStr">
        <is>
          <t>Ventas Personas (B2C)</t>
        </is>
      </c>
      <c r="K2900" t="inlineStr">
        <is>
          <t>CH2</t>
        </is>
      </c>
    </row>
    <row r="2901">
      <c r="A2901" s="33" t="n">
        <v>45910</v>
      </c>
      <c r="B2901" t="inlineStr">
        <is>
          <t>2025-09</t>
        </is>
      </c>
      <c r="C2901" t="inlineStr">
        <is>
          <t>Luis Ramos</t>
        </is>
      </c>
      <c r="D2901" t="inlineStr">
        <is>
          <t>CANELÉ TRADICIONAL</t>
        </is>
      </c>
      <c r="E2901" s="34" t="n">
        <v>17520</v>
      </c>
      <c r="F2901" t="inlineStr">
        <is>
          <t>B</t>
        </is>
      </c>
      <c r="G2901" s="34" t="n">
        <v>2797</v>
      </c>
      <c r="H2901" s="34" t="n">
        <v>14723</v>
      </c>
      <c r="I2901" t="inlineStr">
        <is>
          <t>3.2</t>
        </is>
      </c>
      <c r="J2901" t="inlineStr">
        <is>
          <t>Ventas Personas (B2C)</t>
        </is>
      </c>
      <c r="K2901" t="inlineStr">
        <is>
          <t>CH2</t>
        </is>
      </c>
    </row>
    <row r="2902">
      <c r="A2902" s="33" t="n">
        <v>45910</v>
      </c>
      <c r="B2902" t="inlineStr">
        <is>
          <t>2025-09</t>
        </is>
      </c>
      <c r="C2902" t="inlineStr">
        <is>
          <t>Rosana Torres</t>
        </is>
      </c>
      <c r="D2902" t="inlineStr">
        <is>
          <t>Rellenos</t>
        </is>
      </c>
      <c r="E2902" s="34" t="n">
        <v>37790</v>
      </c>
      <c r="F2902" t="inlineStr">
        <is>
          <t>B</t>
        </is>
      </c>
      <c r="G2902" s="34" t="n">
        <v>6034</v>
      </c>
      <c r="H2902" s="34" t="n">
        <v>31756</v>
      </c>
      <c r="I2902" t="inlineStr">
        <is>
          <t>3.2</t>
        </is>
      </c>
      <c r="J2902" t="inlineStr">
        <is>
          <t>Ventas Personas (B2C)</t>
        </is>
      </c>
      <c r="K2902" t="inlineStr">
        <is>
          <t>CH2</t>
        </is>
      </c>
    </row>
    <row r="2903">
      <c r="A2903" s="33" t="n">
        <v>45910</v>
      </c>
      <c r="B2903" t="inlineStr">
        <is>
          <t>2025-09</t>
        </is>
      </c>
      <c r="C2903" t="inlineStr">
        <is>
          <t>Ingrid Navarrete Santana</t>
        </is>
      </c>
      <c r="D2903" t="inlineStr">
        <is>
          <t>Rellenos</t>
        </is>
      </c>
      <c r="E2903" s="34" t="n">
        <v>30790</v>
      </c>
      <c r="F2903" t="inlineStr">
        <is>
          <t>B</t>
        </is>
      </c>
      <c r="G2903" s="34" t="n">
        <v>4916</v>
      </c>
      <c r="H2903" s="34" t="n">
        <v>25874</v>
      </c>
      <c r="I2903" t="inlineStr">
        <is>
          <t>3.2</t>
        </is>
      </c>
      <c r="J2903" t="inlineStr">
        <is>
          <t>Ventas Personas (B2C)</t>
        </is>
      </c>
      <c r="K2903" t="inlineStr">
        <is>
          <t>CH2</t>
        </is>
      </c>
    </row>
    <row r="2904">
      <c r="A2904" s="33" t="n">
        <v>45910</v>
      </c>
      <c r="B2904" t="inlineStr">
        <is>
          <t>2025-09</t>
        </is>
      </c>
      <c r="C2904" t="inlineStr">
        <is>
          <t>Omar Quintero</t>
        </is>
      </c>
      <c r="D2904" t="inlineStr">
        <is>
          <t>CANELE SIN AZUCAR</t>
        </is>
      </c>
      <c r="E2904" s="34" t="n">
        <v>21890</v>
      </c>
      <c r="F2904" t="inlineStr">
        <is>
          <t>B</t>
        </is>
      </c>
      <c r="G2904" s="34" t="n">
        <v>3495</v>
      </c>
      <c r="H2904" s="34" t="n">
        <v>18395</v>
      </c>
      <c r="I2904" t="inlineStr">
        <is>
          <t>3.2</t>
        </is>
      </c>
      <c r="J2904" t="inlineStr">
        <is>
          <t>Ventas Personas (B2C)</t>
        </is>
      </c>
      <c r="K2904" t="inlineStr">
        <is>
          <t>CH2</t>
        </is>
      </c>
    </row>
    <row r="2905">
      <c r="A2905" s="33" t="n">
        <v>45910</v>
      </c>
      <c r="B2905" t="inlineStr">
        <is>
          <t>2025-09</t>
        </is>
      </c>
      <c r="C2905" t="inlineStr">
        <is>
          <t>Javiera Ortiz</t>
        </is>
      </c>
      <c r="D2905" t="inlineStr">
        <is>
          <t>Rellenos</t>
        </is>
      </c>
      <c r="E2905" s="34" t="n">
        <v>25800</v>
      </c>
      <c r="F2905" t="inlineStr">
        <is>
          <t>B</t>
        </is>
      </c>
      <c r="G2905" s="34" t="n">
        <v>4119</v>
      </c>
      <c r="H2905" s="34" t="n">
        <v>21681</v>
      </c>
      <c r="I2905" t="inlineStr">
        <is>
          <t>3.2</t>
        </is>
      </c>
      <c r="J2905" t="inlineStr">
        <is>
          <t>Ventas Personas (B2C)</t>
        </is>
      </c>
      <c r="K2905" t="inlineStr">
        <is>
          <t>CH2</t>
        </is>
      </c>
    </row>
    <row r="2906">
      <c r="A2906" s="33" t="n">
        <v>45910</v>
      </c>
      <c r="B2906" t="inlineStr">
        <is>
          <t>2025-09</t>
        </is>
      </c>
      <c r="C2906" t="inlineStr">
        <is>
          <t>Sin cliente</t>
        </is>
      </c>
      <c r="D2906" t="inlineStr">
        <is>
          <t>CANELÉ TRADICIONAL</t>
        </is>
      </c>
      <c r="E2906" s="34" t="n">
        <v>7500</v>
      </c>
      <c r="F2906" t="inlineStr">
        <is>
          <t>B</t>
        </is>
      </c>
      <c r="G2906" s="34" t="n">
        <v>1197</v>
      </c>
      <c r="H2906" s="34" t="n">
        <v>6303</v>
      </c>
      <c r="I2906" t="inlineStr">
        <is>
          <t>3.2</t>
        </is>
      </c>
      <c r="J2906" t="inlineStr">
        <is>
          <t>Ventas Personas (B2C)</t>
        </is>
      </c>
      <c r="K2906" t="inlineStr">
        <is>
          <t>CH2</t>
        </is>
      </c>
    </row>
    <row r="2907">
      <c r="A2907" s="33" t="n">
        <v>45910</v>
      </c>
      <c r="B2907" t="inlineStr">
        <is>
          <t>2025-09</t>
        </is>
      </c>
      <c r="C2907" t="inlineStr">
        <is>
          <t>Sin cliente</t>
        </is>
      </c>
      <c r="D2907" t="inlineStr">
        <is>
          <t>Rellenos</t>
        </is>
      </c>
      <c r="E2907" s="34" t="n">
        <v>16900</v>
      </c>
      <c r="F2907" t="inlineStr">
        <is>
          <t>B</t>
        </is>
      </c>
      <c r="G2907" s="34" t="n">
        <v>2698</v>
      </c>
      <c r="H2907" s="34" t="n">
        <v>14202</v>
      </c>
      <c r="I2907" t="inlineStr">
        <is>
          <t>3.2</t>
        </is>
      </c>
      <c r="J2907" t="inlineStr">
        <is>
          <t>Ventas Personas (B2C)</t>
        </is>
      </c>
      <c r="K2907" t="inlineStr">
        <is>
          <t>CH2</t>
        </is>
      </c>
    </row>
    <row r="2908">
      <c r="A2908" s="33" t="n">
        <v>45910</v>
      </c>
      <c r="B2908" t="inlineStr">
        <is>
          <t>2025-09</t>
        </is>
      </c>
      <c r="C2908" t="inlineStr">
        <is>
          <t>Noemi sanchez</t>
        </is>
      </c>
      <c r="D2908" t="inlineStr">
        <is>
          <t>Petit Crunchy</t>
        </is>
      </c>
      <c r="E2908" s="34" t="n">
        <v>12510</v>
      </c>
      <c r="F2908" t="inlineStr">
        <is>
          <t>B</t>
        </is>
      </c>
      <c r="G2908" s="34" t="n">
        <v>1997</v>
      </c>
      <c r="H2908" s="34" t="n">
        <v>10513</v>
      </c>
      <c r="I2908" t="inlineStr">
        <is>
          <t>3.2</t>
        </is>
      </c>
      <c r="J2908" t="inlineStr">
        <is>
          <t>Ventas Personas (B2C)</t>
        </is>
      </c>
      <c r="K2908" t="inlineStr">
        <is>
          <t>CH2</t>
        </is>
      </c>
    </row>
    <row r="2909">
      <c r="A2909" s="33" t="n">
        <v>45910</v>
      </c>
      <c r="B2909" t="inlineStr">
        <is>
          <t>2025-09</t>
        </is>
      </c>
      <c r="C2909" t="inlineStr">
        <is>
          <t>Marcelo Hormazábal</t>
        </is>
      </c>
      <c r="D2909" t="inlineStr">
        <is>
          <t>Petit Tradicional</t>
        </is>
      </c>
      <c r="E2909" s="34" t="n">
        <v>16889</v>
      </c>
      <c r="F2909" t="inlineStr">
        <is>
          <t>B</t>
        </is>
      </c>
      <c r="G2909" s="34" t="n">
        <v>2697</v>
      </c>
      <c r="H2909" s="34" t="n">
        <v>14192</v>
      </c>
      <c r="I2909" t="inlineStr">
        <is>
          <t>3.2</t>
        </is>
      </c>
      <c r="J2909" t="inlineStr">
        <is>
          <t>Ventas Personas (B2C)</t>
        </is>
      </c>
      <c r="K2909" t="inlineStr">
        <is>
          <t>CH2</t>
        </is>
      </c>
    </row>
    <row r="2910">
      <c r="A2910" s="33" t="n">
        <v>45910</v>
      </c>
      <c r="B2910" t="inlineStr">
        <is>
          <t>2025-09</t>
        </is>
      </c>
      <c r="C2910" t="inlineStr">
        <is>
          <t>Natalia Bustos Figueroa</t>
        </is>
      </c>
      <c r="D2910" t="inlineStr">
        <is>
          <t>Rellenos</t>
        </is>
      </c>
      <c r="E2910" s="34" t="n">
        <v>16900</v>
      </c>
      <c r="F2910" t="inlineStr">
        <is>
          <t>B</t>
        </is>
      </c>
      <c r="G2910" s="34" t="n">
        <v>2698</v>
      </c>
      <c r="H2910" s="34" t="n">
        <v>14202</v>
      </c>
      <c r="I2910" t="inlineStr">
        <is>
          <t>3.2</t>
        </is>
      </c>
      <c r="J2910" t="inlineStr">
        <is>
          <t>Ventas Personas (B2C)</t>
        </is>
      </c>
      <c r="K2910" t="inlineStr">
        <is>
          <t>CH2</t>
        </is>
      </c>
    </row>
    <row r="2911">
      <c r="A2911" s="33" t="n">
        <v>45911</v>
      </c>
      <c r="B2911" t="inlineStr">
        <is>
          <t>2025-09</t>
        </is>
      </c>
      <c r="C2911" t="inlineStr">
        <is>
          <t>CAFETERIA THE ELEPHANT COFFEE LIMITADA</t>
        </is>
      </c>
      <c r="D2911" t="inlineStr">
        <is>
          <t>HORECA CAFETERIA</t>
        </is>
      </c>
      <c r="E2911" s="34" t="n">
        <v>235069</v>
      </c>
      <c r="F2911" t="inlineStr">
        <is>
          <t>F</t>
        </is>
      </c>
      <c r="G2911" s="34" t="n">
        <v>37532</v>
      </c>
      <c r="H2911" s="34" t="n">
        <v>197537</v>
      </c>
      <c r="I2911" t="inlineStr">
        <is>
          <t>3.1</t>
        </is>
      </c>
      <c r="J2911" t="inlineStr">
        <is>
          <t>Ventas HoReCa</t>
        </is>
      </c>
      <c r="K2911" t="inlineStr">
        <is>
          <t>CH1</t>
        </is>
      </c>
    </row>
    <row r="2912">
      <c r="A2912" s="33" t="n">
        <v>45911</v>
      </c>
      <c r="B2912" t="inlineStr">
        <is>
          <t>2025-09</t>
        </is>
      </c>
      <c r="C2912" t="inlineStr">
        <is>
          <t>Better Food Spa</t>
        </is>
      </c>
      <c r="D2912" t="inlineStr">
        <is>
          <t>HORECA CAFETERIA</t>
        </is>
      </c>
      <c r="E2912" s="34" t="n">
        <v>213428</v>
      </c>
      <c r="F2912" t="inlineStr">
        <is>
          <t>F</t>
        </is>
      </c>
      <c r="G2912" s="34" t="n">
        <v>34077</v>
      </c>
      <c r="H2912" s="34" t="n">
        <v>179351</v>
      </c>
      <c r="I2912" t="inlineStr">
        <is>
          <t>3.1</t>
        </is>
      </c>
      <c r="J2912" t="inlineStr">
        <is>
          <t>Ventas HoReCa</t>
        </is>
      </c>
      <c r="K2912" t="inlineStr">
        <is>
          <t>CH1</t>
        </is>
      </c>
    </row>
    <row r="2913">
      <c r="A2913" s="33" t="n">
        <v>45911</v>
      </c>
      <c r="B2913" t="inlineStr">
        <is>
          <t>2025-09</t>
        </is>
      </c>
      <c r="C2913" t="inlineStr">
        <is>
          <t>OH SOME SPA</t>
        </is>
      </c>
      <c r="D2913" t="inlineStr">
        <is>
          <t>HORECA CAFETERIA</t>
        </is>
      </c>
      <c r="E2913" s="34" t="n">
        <v>156438</v>
      </c>
      <c r="F2913" t="inlineStr">
        <is>
          <t>F</t>
        </is>
      </c>
      <c r="G2913" s="34" t="n">
        <v>24977</v>
      </c>
      <c r="H2913" s="34" t="n">
        <v>131461</v>
      </c>
      <c r="I2913" t="inlineStr">
        <is>
          <t>3.1</t>
        </is>
      </c>
      <c r="J2913" t="inlineStr">
        <is>
          <t>Ventas HoReCa</t>
        </is>
      </c>
      <c r="K2913" t="inlineStr">
        <is>
          <t>CH1</t>
        </is>
      </c>
    </row>
    <row r="2914">
      <c r="A2914" s="33" t="n">
        <v>45911</v>
      </c>
      <c r="B2914" t="inlineStr">
        <is>
          <t>2025-09</t>
        </is>
      </c>
      <c r="C2914" t="inlineStr">
        <is>
          <t>Priscila De Souza Santos</t>
        </is>
      </c>
      <c r="D2914" t="inlineStr">
        <is>
          <t>Rellenos</t>
        </is>
      </c>
      <c r="E2914" s="34" t="n">
        <v>31890</v>
      </c>
      <c r="F2914" t="inlineStr">
        <is>
          <t>B</t>
        </is>
      </c>
      <c r="G2914" s="34" t="n">
        <v>5092</v>
      </c>
      <c r="H2914" s="34" t="n">
        <v>26798</v>
      </c>
      <c r="I2914" t="inlineStr">
        <is>
          <t>3.2</t>
        </is>
      </c>
      <c r="J2914" t="inlineStr">
        <is>
          <t>Ventas Personas (B2C)</t>
        </is>
      </c>
      <c r="K2914" t="inlineStr">
        <is>
          <t>CH2</t>
        </is>
      </c>
    </row>
    <row r="2915">
      <c r="A2915" s="33" t="n">
        <v>45911</v>
      </c>
      <c r="B2915" t="inlineStr">
        <is>
          <t>2025-09</t>
        </is>
      </c>
      <c r="C2915" t="inlineStr">
        <is>
          <t>Blanca Valdes</t>
        </is>
      </c>
      <c r="D2915" t="inlineStr">
        <is>
          <t>CANELÉ TRADICIONAL</t>
        </is>
      </c>
      <c r="E2915" s="34" t="n">
        <v>58779</v>
      </c>
      <c r="F2915" t="inlineStr">
        <is>
          <t>B</t>
        </is>
      </c>
      <c r="G2915" s="34" t="n">
        <v>9385</v>
      </c>
      <c r="H2915" s="34" t="n">
        <v>49394</v>
      </c>
      <c r="I2915" t="inlineStr">
        <is>
          <t>3.2</t>
        </is>
      </c>
      <c r="J2915" t="inlineStr">
        <is>
          <t>Ventas Personas (B2C)</t>
        </is>
      </c>
      <c r="K2915" t="inlineStr">
        <is>
          <t>CH2</t>
        </is>
      </c>
    </row>
    <row r="2916">
      <c r="A2916" s="33" t="n">
        <v>45911</v>
      </c>
      <c r="B2916" t="inlineStr">
        <is>
          <t>2025-09</t>
        </is>
      </c>
      <c r="C2916" t="inlineStr">
        <is>
          <t>sonomi inove</t>
        </is>
      </c>
      <c r="D2916" t="inlineStr">
        <is>
          <t>Petit Crunchy</t>
        </is>
      </c>
      <c r="E2916" s="34" t="n">
        <v>29890</v>
      </c>
      <c r="F2916" t="inlineStr">
        <is>
          <t>B</t>
        </is>
      </c>
      <c r="G2916" s="34" t="n">
        <v>4772</v>
      </c>
      <c r="H2916" s="34" t="n">
        <v>25118</v>
      </c>
      <c r="I2916" t="inlineStr">
        <is>
          <t>3.2</t>
        </is>
      </c>
      <c r="J2916" t="inlineStr">
        <is>
          <t>Ventas Personas (B2C)</t>
        </is>
      </c>
      <c r="K2916" t="inlineStr">
        <is>
          <t>CH2</t>
        </is>
      </c>
    </row>
    <row r="2917">
      <c r="A2917" s="33" t="n">
        <v>45911</v>
      </c>
      <c r="B2917" t="inlineStr">
        <is>
          <t>2025-09</t>
        </is>
      </c>
      <c r="C2917" t="inlineStr">
        <is>
          <t>Inversiones Café Dominicos SpA</t>
        </is>
      </c>
      <c r="D2917" t="inlineStr">
        <is>
          <t xml:space="preserve">THE COFFEE STORE </t>
        </is>
      </c>
      <c r="E2917" s="34" t="n">
        <v>39294</v>
      </c>
      <c r="F2917" t="inlineStr">
        <is>
          <t>F</t>
        </is>
      </c>
      <c r="G2917" s="34" t="n">
        <v>6274</v>
      </c>
      <c r="H2917" s="34" t="n">
        <v>33020</v>
      </c>
      <c r="I2917" t="inlineStr">
        <is>
          <t>3.1</t>
        </is>
      </c>
      <c r="J2917" t="inlineStr">
        <is>
          <t>Ventas HoReCa</t>
        </is>
      </c>
      <c r="K2917" t="inlineStr">
        <is>
          <t>CH1</t>
        </is>
      </c>
    </row>
    <row r="2918">
      <c r="A2918" s="33" t="n">
        <v>45911</v>
      </c>
      <c r="B2918" t="inlineStr">
        <is>
          <t>2025-09</t>
        </is>
      </c>
      <c r="C2918" t="inlineStr">
        <is>
          <t>Isabel Schild</t>
        </is>
      </c>
      <c r="D2918" t="inlineStr">
        <is>
          <t>Rellenos</t>
        </is>
      </c>
      <c r="E2918" s="34" t="n">
        <v>45679</v>
      </c>
      <c r="F2918" t="inlineStr">
        <is>
          <t>B</t>
        </is>
      </c>
      <c r="G2918" s="34" t="n">
        <v>7293</v>
      </c>
      <c r="H2918" s="34" t="n">
        <v>38386</v>
      </c>
      <c r="I2918" t="inlineStr">
        <is>
          <t>3.2</t>
        </is>
      </c>
      <c r="J2918" t="inlineStr">
        <is>
          <t>Ventas Personas (B2C)</t>
        </is>
      </c>
      <c r="K2918" t="inlineStr">
        <is>
          <t>CH2</t>
        </is>
      </c>
    </row>
    <row r="2919">
      <c r="A2919" s="33" t="n">
        <v>45911</v>
      </c>
      <c r="B2919" t="inlineStr">
        <is>
          <t>2025-09</t>
        </is>
      </c>
      <c r="C2919" t="inlineStr">
        <is>
          <t>BEMVINDO CAFE</t>
        </is>
      </c>
      <c r="D2919" t="inlineStr">
        <is>
          <t>HORECA CAFETERIA</t>
        </is>
      </c>
      <c r="E2919" s="34" t="n">
        <v>38520</v>
      </c>
      <c r="F2919" t="inlineStr">
        <is>
          <t>F</t>
        </is>
      </c>
      <c r="G2919" s="34" t="n">
        <v>6150</v>
      </c>
      <c r="H2919" s="34" t="n">
        <v>32370</v>
      </c>
      <c r="I2919" t="inlineStr">
        <is>
          <t>3.1</t>
        </is>
      </c>
      <c r="J2919" t="inlineStr">
        <is>
          <t>Ventas HoReCa</t>
        </is>
      </c>
      <c r="K2919" t="inlineStr">
        <is>
          <t>CH1</t>
        </is>
      </c>
    </row>
    <row r="2920">
      <c r="A2920" s="33" t="n">
        <v>45911</v>
      </c>
      <c r="B2920" t="inlineStr">
        <is>
          <t>2025-09</t>
        </is>
      </c>
      <c r="C2920" t="inlineStr">
        <is>
          <t>Jaime Sepulveda</t>
        </is>
      </c>
      <c r="D2920" t="inlineStr">
        <is>
          <t>Rellenos</t>
        </is>
      </c>
      <c r="E2920" s="34" t="n">
        <v>19889</v>
      </c>
      <c r="F2920" t="inlineStr">
        <is>
          <t>B</t>
        </is>
      </c>
      <c r="G2920" s="34" t="n">
        <v>3176</v>
      </c>
      <c r="H2920" s="34" t="n">
        <v>16713</v>
      </c>
      <c r="I2920" t="inlineStr">
        <is>
          <t>3.2</t>
        </is>
      </c>
      <c r="J2920" t="inlineStr">
        <is>
          <t>Ventas Personas (B2C)</t>
        </is>
      </c>
      <c r="K2920" t="inlineStr">
        <is>
          <t>CH2</t>
        </is>
      </c>
    </row>
    <row r="2921">
      <c r="A2921" s="33" t="n">
        <v>45911</v>
      </c>
      <c r="B2921" t="inlineStr">
        <is>
          <t>2025-09</t>
        </is>
      </c>
      <c r="C2921" t="inlineStr">
        <is>
          <t>Gigliola Notari</t>
        </is>
      </c>
      <c r="D2921" t="inlineStr">
        <is>
          <t>Petit Tradicional</t>
        </is>
      </c>
      <c r="E2921" s="34" t="n">
        <v>17890</v>
      </c>
      <c r="F2921" t="inlineStr">
        <is>
          <t>B</t>
        </is>
      </c>
      <c r="G2921" s="34" t="n">
        <v>2856</v>
      </c>
      <c r="H2921" s="34" t="n">
        <v>15034</v>
      </c>
      <c r="I2921" t="inlineStr">
        <is>
          <t>3.2</t>
        </is>
      </c>
      <c r="J2921" t="inlineStr">
        <is>
          <t>Ventas Personas (B2C)</t>
        </is>
      </c>
      <c r="K2921" t="inlineStr">
        <is>
          <t>CH2</t>
        </is>
      </c>
    </row>
    <row r="2922">
      <c r="A2922" s="33" t="n">
        <v>45911</v>
      </c>
      <c r="B2922" t="inlineStr">
        <is>
          <t>2025-09</t>
        </is>
      </c>
      <c r="C2922" t="inlineStr">
        <is>
          <t>Sin cliente</t>
        </is>
      </c>
      <c r="D2922" t="inlineStr">
        <is>
          <t>PLATAFORMAS RAP-PEYA-UBER-GOOD</t>
        </is>
      </c>
      <c r="E2922" s="34" t="n">
        <v>25080</v>
      </c>
      <c r="F2922" t="inlineStr">
        <is>
          <t>B</t>
        </is>
      </c>
      <c r="G2922" s="34" t="n">
        <v>4004</v>
      </c>
      <c r="H2922" s="34" t="n">
        <v>21076</v>
      </c>
      <c r="I2922" t="inlineStr">
        <is>
          <t>3.6</t>
        </is>
      </c>
      <c r="J2922" t="inlineStr">
        <is>
          <t>Ventas Delivery Apps</t>
        </is>
      </c>
      <c r="K2922" t="inlineStr">
        <is>
          <t>CH3</t>
        </is>
      </c>
    </row>
    <row r="2923">
      <c r="A2923" s="33" t="n">
        <v>45911</v>
      </c>
      <c r="B2923" t="inlineStr">
        <is>
          <t>2025-09</t>
        </is>
      </c>
      <c r="C2923" t="inlineStr">
        <is>
          <t>Ignacio Rodríguez</t>
        </is>
      </c>
      <c r="D2923" t="inlineStr">
        <is>
          <t>Petit Tradicional</t>
        </is>
      </c>
      <c r="E2923" s="34" t="n">
        <v>12889</v>
      </c>
      <c r="F2923" t="inlineStr">
        <is>
          <t>B</t>
        </is>
      </c>
      <c r="G2923" s="34" t="n">
        <v>2058</v>
      </c>
      <c r="H2923" s="34" t="n">
        <v>10831</v>
      </c>
      <c r="I2923" t="inlineStr">
        <is>
          <t>3.2</t>
        </is>
      </c>
      <c r="J2923" t="inlineStr">
        <is>
          <t>Ventas Personas (B2C)</t>
        </is>
      </c>
      <c r="K2923" t="inlineStr">
        <is>
          <t>CH2</t>
        </is>
      </c>
    </row>
    <row r="2924">
      <c r="A2924" s="33" t="n">
        <v>45911</v>
      </c>
      <c r="B2924" t="inlineStr">
        <is>
          <t>2025-09</t>
        </is>
      </c>
      <c r="C2924" t="inlineStr">
        <is>
          <t>Diana Borchard</t>
        </is>
      </c>
      <c r="D2924" t="inlineStr">
        <is>
          <t>Rellenos</t>
        </is>
      </c>
      <c r="E2924" s="34" t="n">
        <v>25499</v>
      </c>
      <c r="F2924" t="inlineStr">
        <is>
          <t>B</t>
        </is>
      </c>
      <c r="G2924" s="34" t="n">
        <v>4071</v>
      </c>
      <c r="H2924" s="34" t="n">
        <v>21428</v>
      </c>
      <c r="I2924" t="inlineStr">
        <is>
          <t>3.2</t>
        </is>
      </c>
      <c r="J2924" t="inlineStr">
        <is>
          <t>Ventas Personas (B2C)</t>
        </is>
      </c>
      <c r="K2924" t="inlineStr">
        <is>
          <t>CH2</t>
        </is>
      </c>
    </row>
    <row r="2925">
      <c r="A2925" s="33" t="n">
        <v>45911</v>
      </c>
      <c r="B2925" t="inlineStr">
        <is>
          <t>2025-09</t>
        </is>
      </c>
      <c r="C2925" t="inlineStr">
        <is>
          <t>Andrea Elicer</t>
        </is>
      </c>
      <c r="D2925" t="inlineStr">
        <is>
          <t>Mix Sabores</t>
        </is>
      </c>
      <c r="E2925" s="34" t="n">
        <v>15900</v>
      </c>
      <c r="F2925" t="inlineStr">
        <is>
          <t>B</t>
        </is>
      </c>
      <c r="G2925" s="34" t="n">
        <v>2539</v>
      </c>
      <c r="H2925" s="34" t="n">
        <v>13361</v>
      </c>
      <c r="I2925" t="inlineStr">
        <is>
          <t>3.2</t>
        </is>
      </c>
      <c r="J2925" t="inlineStr">
        <is>
          <t>Ventas Personas (B2C)</t>
        </is>
      </c>
      <c r="K2925" t="inlineStr">
        <is>
          <t>CH2</t>
        </is>
      </c>
    </row>
    <row r="2926">
      <c r="A2926" s="33" t="n">
        <v>45911</v>
      </c>
      <c r="B2926" t="inlineStr">
        <is>
          <t>2025-09</t>
        </is>
      </c>
      <c r="C2926" t="inlineStr">
        <is>
          <t>Ines Mendez  González</t>
        </is>
      </c>
      <c r="D2926" t="inlineStr">
        <is>
          <t>Rellenos</t>
        </is>
      </c>
      <c r="E2926" s="34" t="n">
        <v>16890</v>
      </c>
      <c r="F2926" t="inlineStr">
        <is>
          <t>B</t>
        </is>
      </c>
      <c r="G2926" s="34" t="n">
        <v>2697</v>
      </c>
      <c r="H2926" s="34" t="n">
        <v>14193</v>
      </c>
      <c r="I2926" t="inlineStr">
        <is>
          <t>3.2</t>
        </is>
      </c>
      <c r="J2926" t="inlineStr">
        <is>
          <t>Ventas Personas (B2C)</t>
        </is>
      </c>
      <c r="K2926" t="inlineStr">
        <is>
          <t>CH2</t>
        </is>
      </c>
    </row>
    <row r="2927">
      <c r="A2927" s="33" t="n">
        <v>45912</v>
      </c>
      <c r="B2927" t="inlineStr">
        <is>
          <t>2025-09</t>
        </is>
      </c>
      <c r="C2927" t="inlineStr">
        <is>
          <t>GALO SPA</t>
        </is>
      </c>
      <c r="D2927" t="inlineStr">
        <is>
          <t>HORECA CAFETERIA</t>
        </is>
      </c>
      <c r="E2927" s="34" t="n">
        <v>280983</v>
      </c>
      <c r="F2927" t="inlineStr">
        <is>
          <t>F</t>
        </is>
      </c>
      <c r="G2927" s="34" t="n">
        <v>44863</v>
      </c>
      <c r="H2927" s="34" t="n">
        <v>236120</v>
      </c>
      <c r="I2927" t="inlineStr">
        <is>
          <t>3.1</t>
        </is>
      </c>
      <c r="J2927" t="inlineStr">
        <is>
          <t>Ventas HoReCa</t>
        </is>
      </c>
      <c r="K2927" t="inlineStr">
        <is>
          <t>CH1</t>
        </is>
      </c>
    </row>
    <row r="2928">
      <c r="A2928" s="33" t="n">
        <v>45912</v>
      </c>
      <c r="B2928" t="inlineStr">
        <is>
          <t>2025-09</t>
        </is>
      </c>
      <c r="C2928" t="inlineStr">
        <is>
          <t>VILAS BANQUETERIAS SPA</t>
        </is>
      </c>
      <c r="D2928" t="inlineStr">
        <is>
          <t>HORECA CATERING</t>
        </is>
      </c>
      <c r="E2928" s="34" t="n">
        <v>145362</v>
      </c>
      <c r="F2928" t="inlineStr">
        <is>
          <t>F</t>
        </is>
      </c>
      <c r="G2928" s="34" t="n">
        <v>23209</v>
      </c>
      <c r="H2928" s="34" t="n">
        <v>122153</v>
      </c>
      <c r="I2928" t="inlineStr">
        <is>
          <t>3.1</t>
        </is>
      </c>
      <c r="J2928" t="inlineStr">
        <is>
          <t>Ventas HoReCa</t>
        </is>
      </c>
      <c r="K2928" t="inlineStr">
        <is>
          <t>CH1</t>
        </is>
      </c>
    </row>
    <row r="2929">
      <c r="A2929" s="33" t="n">
        <v>45912</v>
      </c>
      <c r="B2929" t="inlineStr">
        <is>
          <t>2025-09</t>
        </is>
      </c>
      <c r="C2929" t="inlineStr">
        <is>
          <t>CAFE DIARIO ENCOMENDEROS SPA</t>
        </is>
      </c>
      <c r="D2929" t="inlineStr">
        <is>
          <t>HORECA CAFETERIA</t>
        </is>
      </c>
      <c r="E2929" s="34" t="n">
        <v>91705</v>
      </c>
      <c r="F2929" t="inlineStr">
        <is>
          <t>F</t>
        </is>
      </c>
      <c r="G2929" s="34" t="n">
        <v>14642</v>
      </c>
      <c r="H2929" s="34" t="n">
        <v>77063</v>
      </c>
      <c r="I2929" t="inlineStr">
        <is>
          <t>3.1</t>
        </is>
      </c>
      <c r="J2929" t="inlineStr">
        <is>
          <t>Ventas HoReCa</t>
        </is>
      </c>
      <c r="K2929" t="inlineStr">
        <is>
          <t>CH1</t>
        </is>
      </c>
    </row>
    <row r="2930">
      <c r="A2930" s="33" t="n">
        <v>45912</v>
      </c>
      <c r="B2930" t="inlineStr">
        <is>
          <t>2025-09</t>
        </is>
      </c>
      <c r="C2930" t="inlineStr">
        <is>
          <t>Amine Bahr</t>
        </is>
      </c>
      <c r="D2930" t="inlineStr">
        <is>
          <t>CANELÉ TRADICIONAL</t>
        </is>
      </c>
      <c r="E2930" s="34" t="n">
        <v>18889</v>
      </c>
      <c r="F2930" t="inlineStr">
        <is>
          <t>B</t>
        </is>
      </c>
      <c r="G2930" s="34" t="n">
        <v>3016</v>
      </c>
      <c r="H2930" s="34" t="n">
        <v>15873</v>
      </c>
      <c r="I2930" t="inlineStr">
        <is>
          <t>3.2</t>
        </is>
      </c>
      <c r="J2930" t="inlineStr">
        <is>
          <t>Ventas Personas (B2C)</t>
        </is>
      </c>
      <c r="K2930" t="inlineStr">
        <is>
          <t>CH2</t>
        </is>
      </c>
    </row>
    <row r="2931">
      <c r="A2931" s="33" t="n">
        <v>45912</v>
      </c>
      <c r="B2931" t="inlineStr">
        <is>
          <t>2025-09</t>
        </is>
      </c>
      <c r="C2931" t="inlineStr">
        <is>
          <t>Ariel Ignacio Cuevas Bustos</t>
        </is>
      </c>
      <c r="D2931" t="inlineStr">
        <is>
          <t>Petit Crunchy</t>
        </is>
      </c>
      <c r="E2931" s="34" t="n">
        <v>15499</v>
      </c>
      <c r="F2931" t="inlineStr">
        <is>
          <t>B</t>
        </is>
      </c>
      <c r="G2931" s="34" t="n">
        <v>2475</v>
      </c>
      <c r="H2931" s="34" t="n">
        <v>13024</v>
      </c>
      <c r="I2931" t="inlineStr">
        <is>
          <t>3.2</t>
        </is>
      </c>
      <c r="J2931" t="inlineStr">
        <is>
          <t>Ventas Personas (B2C)</t>
        </is>
      </c>
      <c r="K2931" t="inlineStr">
        <is>
          <t>CH2</t>
        </is>
      </c>
    </row>
    <row r="2932">
      <c r="A2932" s="33" t="n">
        <v>45912</v>
      </c>
      <c r="B2932" t="inlineStr">
        <is>
          <t>2025-09</t>
        </is>
      </c>
      <c r="C2932" t="inlineStr">
        <is>
          <t>Better Food Spa</t>
        </is>
      </c>
      <c r="D2932" t="inlineStr">
        <is>
          <t>HORECA CAFETERIA</t>
        </is>
      </c>
      <c r="E2932" s="34" t="n">
        <v>-213428</v>
      </c>
      <c r="F2932" t="inlineStr">
        <is>
          <t>NC</t>
        </is>
      </c>
      <c r="G2932" s="34" t="n">
        <v>-34077</v>
      </c>
      <c r="H2932" s="34" t="n">
        <v>-179351</v>
      </c>
      <c r="I2932" t="inlineStr">
        <is>
          <t>3.2</t>
        </is>
      </c>
      <c r="J2932" t="inlineStr">
        <is>
          <t>Ventas Personas (B2C)</t>
        </is>
      </c>
      <c r="K2932" t="inlineStr">
        <is>
          <t>CH2</t>
        </is>
      </c>
    </row>
    <row r="2933">
      <c r="A2933" s="33" t="n">
        <v>45912</v>
      </c>
      <c r="B2933" t="inlineStr">
        <is>
          <t>2025-09</t>
        </is>
      </c>
      <c r="C2933" t="inlineStr">
        <is>
          <t>Better Food Spa</t>
        </is>
      </c>
      <c r="D2933" t="inlineStr">
        <is>
          <t>HORECA CAFETERIA</t>
        </is>
      </c>
      <c r="E2933" s="34" t="n">
        <v>213428</v>
      </c>
      <c r="F2933" t="inlineStr">
        <is>
          <t>F</t>
        </is>
      </c>
      <c r="G2933" s="34" t="n">
        <v>34077</v>
      </c>
      <c r="H2933" s="34" t="n">
        <v>179351</v>
      </c>
      <c r="I2933" t="inlineStr">
        <is>
          <t>3.1</t>
        </is>
      </c>
      <c r="J2933" t="inlineStr">
        <is>
          <t>Ventas HoReCa</t>
        </is>
      </c>
      <c r="K2933" t="inlineStr">
        <is>
          <t>CH1</t>
        </is>
      </c>
    </row>
    <row r="2934">
      <c r="A2934" s="33" t="n">
        <v>45912</v>
      </c>
      <c r="B2934" t="inlineStr">
        <is>
          <t>2025-09</t>
        </is>
      </c>
      <c r="C2934" t="inlineStr">
        <is>
          <t>Andrea Elicer</t>
        </is>
      </c>
      <c r="D2934" t="inlineStr">
        <is>
          <t>REGION METROPOLITANA</t>
        </is>
      </c>
      <c r="E2934" s="34" t="n">
        <v>3990</v>
      </c>
      <c r="F2934" t="inlineStr">
        <is>
          <t>B</t>
        </is>
      </c>
      <c r="G2934" s="34" t="n">
        <v>637</v>
      </c>
      <c r="H2934" s="34" t="n">
        <v>3353</v>
      </c>
      <c r="I2934" t="inlineStr">
        <is>
          <t>3.2</t>
        </is>
      </c>
      <c r="J2934" t="inlineStr">
        <is>
          <t>Ventas Personas (B2C)</t>
        </is>
      </c>
      <c r="K2934" t="inlineStr">
        <is>
          <t>CH2</t>
        </is>
      </c>
    </row>
    <row r="2935">
      <c r="A2935" s="33" t="n">
        <v>45912</v>
      </c>
      <c r="B2935" t="inlineStr">
        <is>
          <t>2025-09</t>
        </is>
      </c>
      <c r="C2935" t="inlineStr">
        <is>
          <t>Victor Badillo</t>
        </is>
      </c>
      <c r="D2935" t="inlineStr">
        <is>
          <t>Rellenos</t>
        </is>
      </c>
      <c r="E2935" s="34" t="n">
        <v>29900</v>
      </c>
      <c r="F2935" t="inlineStr">
        <is>
          <t>B</t>
        </is>
      </c>
      <c r="G2935" s="34" t="n">
        <v>4774</v>
      </c>
      <c r="H2935" s="34" t="n">
        <v>25126</v>
      </c>
      <c r="I2935" t="inlineStr">
        <is>
          <t>3.2</t>
        </is>
      </c>
      <c r="J2935" t="inlineStr">
        <is>
          <t>Ventas Personas (B2C)</t>
        </is>
      </c>
      <c r="K2935" t="inlineStr">
        <is>
          <t>CH2</t>
        </is>
      </c>
    </row>
    <row r="2936">
      <c r="A2936" s="33" t="n">
        <v>45912</v>
      </c>
      <c r="B2936" t="inlineStr">
        <is>
          <t>2025-09</t>
        </is>
      </c>
      <c r="C2936" t="inlineStr">
        <is>
          <t>Catalina Santos</t>
        </is>
      </c>
      <c r="D2936" t="inlineStr">
        <is>
          <t>CANELÉ TRADICIONAL</t>
        </is>
      </c>
      <c r="E2936" s="34" t="n">
        <v>17889</v>
      </c>
      <c r="F2936" t="inlineStr">
        <is>
          <t>B</t>
        </is>
      </c>
      <c r="G2936" s="34" t="n">
        <v>2856</v>
      </c>
      <c r="H2936" s="34" t="n">
        <v>15033</v>
      </c>
      <c r="I2936" t="inlineStr">
        <is>
          <t>3.2</t>
        </is>
      </c>
      <c r="J2936" t="inlineStr">
        <is>
          <t>Ventas Personas (B2C)</t>
        </is>
      </c>
      <c r="K2936" t="inlineStr">
        <is>
          <t>CH2</t>
        </is>
      </c>
    </row>
    <row r="2937">
      <c r="A2937" s="33" t="n">
        <v>45912</v>
      </c>
      <c r="B2937" t="inlineStr">
        <is>
          <t>2025-09</t>
        </is>
      </c>
      <c r="C2937" t="inlineStr">
        <is>
          <t>Cesar Uban Carmona</t>
        </is>
      </c>
      <c r="D2937" t="inlineStr">
        <is>
          <t>Rellenos</t>
        </is>
      </c>
      <c r="E2937" s="34" t="n">
        <v>21989</v>
      </c>
      <c r="F2937" t="inlineStr">
        <is>
          <t>B</t>
        </is>
      </c>
      <c r="G2937" s="34" t="n">
        <v>3511</v>
      </c>
      <c r="H2937" s="34" t="n">
        <v>18478</v>
      </c>
      <c r="I2937" t="inlineStr">
        <is>
          <t>3.2</t>
        </is>
      </c>
      <c r="J2937" t="inlineStr">
        <is>
          <t>Ventas Personas (B2C)</t>
        </is>
      </c>
      <c r="K2937" t="inlineStr">
        <is>
          <t>CH2</t>
        </is>
      </c>
    </row>
    <row r="2938">
      <c r="A2938" s="33" t="n">
        <v>45912</v>
      </c>
      <c r="B2938" t="inlineStr">
        <is>
          <t>2025-09</t>
        </is>
      </c>
      <c r="C2938" t="inlineStr">
        <is>
          <t>Sin cliente</t>
        </is>
      </c>
      <c r="D2938" t="inlineStr">
        <is>
          <t>PLATAFORMAS RAP-PEYA-UBER-GOOD</t>
        </is>
      </c>
      <c r="E2938" s="34" t="n">
        <v>16140</v>
      </c>
      <c r="F2938" t="inlineStr">
        <is>
          <t>B</t>
        </is>
      </c>
      <c r="G2938" s="34" t="n">
        <v>2577</v>
      </c>
      <c r="H2938" s="34" t="n">
        <v>13563</v>
      </c>
      <c r="I2938" t="inlineStr">
        <is>
          <t>3.6</t>
        </is>
      </c>
      <c r="J2938" t="inlineStr">
        <is>
          <t>Ventas Delivery Apps</t>
        </is>
      </c>
      <c r="K2938" t="inlineStr">
        <is>
          <t>CH3</t>
        </is>
      </c>
    </row>
    <row r="2939">
      <c r="A2939" s="33" t="n">
        <v>45912</v>
      </c>
      <c r="B2939" t="inlineStr">
        <is>
          <t>2025-09</t>
        </is>
      </c>
      <c r="C2939" t="inlineStr">
        <is>
          <t>camila  valladares</t>
        </is>
      </c>
      <c r="D2939" t="inlineStr">
        <is>
          <t>Petit Tradicional</t>
        </is>
      </c>
      <c r="E2939" s="34" t="n">
        <v>12900</v>
      </c>
      <c r="F2939" t="inlineStr">
        <is>
          <t>B</t>
        </is>
      </c>
      <c r="G2939" s="34" t="n">
        <v>2060</v>
      </c>
      <c r="H2939" s="34" t="n">
        <v>10840</v>
      </c>
      <c r="I2939" t="inlineStr">
        <is>
          <t>3.2</t>
        </is>
      </c>
      <c r="J2939" t="inlineStr">
        <is>
          <t>Ventas Personas (B2C)</t>
        </is>
      </c>
      <c r="K2939" t="inlineStr">
        <is>
          <t>CH2</t>
        </is>
      </c>
    </row>
    <row r="2940">
      <c r="A2940" s="33" t="n">
        <v>45912</v>
      </c>
      <c r="B2940" t="inlineStr">
        <is>
          <t>2025-09</t>
        </is>
      </c>
      <c r="C2940" t="inlineStr">
        <is>
          <t>Sin cliente</t>
        </is>
      </c>
      <c r="D2940" t="inlineStr">
        <is>
          <t>PLATAFORMAS RAP-PEYA-UBER-GOOD</t>
        </is>
      </c>
      <c r="E2940" s="34" t="n">
        <v>32280</v>
      </c>
      <c r="F2940" t="inlineStr">
        <is>
          <t>B</t>
        </is>
      </c>
      <c r="G2940" s="34" t="n">
        <v>5154</v>
      </c>
      <c r="H2940" s="34" t="n">
        <v>27126</v>
      </c>
      <c r="I2940" t="inlineStr">
        <is>
          <t>3.6</t>
        </is>
      </c>
      <c r="J2940" t="inlineStr">
        <is>
          <t>Ventas Delivery Apps</t>
        </is>
      </c>
      <c r="K2940" t="inlineStr">
        <is>
          <t>CH3</t>
        </is>
      </c>
    </row>
    <row r="2941">
      <c r="A2941" s="33" t="n">
        <v>45912</v>
      </c>
      <c r="B2941" t="inlineStr">
        <is>
          <t>2025-09</t>
        </is>
      </c>
      <c r="C2941" t="inlineStr">
        <is>
          <t>Carolina Cornejo</t>
        </is>
      </c>
      <c r="D2941" t="inlineStr">
        <is>
          <t>CANELÉ TRADICIONAL</t>
        </is>
      </c>
      <c r="E2941" s="34" t="n">
        <v>19890</v>
      </c>
      <c r="F2941" t="inlineStr">
        <is>
          <t>B</t>
        </is>
      </c>
      <c r="G2941" s="34" t="n">
        <v>3176</v>
      </c>
      <c r="H2941" s="34" t="n">
        <v>16714</v>
      </c>
      <c r="I2941" t="inlineStr">
        <is>
          <t>3.2</t>
        </is>
      </c>
      <c r="J2941" t="inlineStr">
        <is>
          <t>Ventas Personas (B2C)</t>
        </is>
      </c>
      <c r="K2941" t="inlineStr">
        <is>
          <t>CH2</t>
        </is>
      </c>
    </row>
    <row r="2942">
      <c r="A2942" s="33" t="n">
        <v>45912</v>
      </c>
      <c r="B2942" t="inlineStr">
        <is>
          <t>2025-09</t>
        </is>
      </c>
      <c r="C2942" t="inlineStr">
        <is>
          <t>Sin cliente</t>
        </is>
      </c>
      <c r="D2942" t="inlineStr">
        <is>
          <t>PLATAFORMAS RAP-PEYA-UBER-GOOD</t>
        </is>
      </c>
      <c r="E2942" s="34" t="n">
        <v>26280</v>
      </c>
      <c r="F2942" t="inlineStr">
        <is>
          <t>B</t>
        </is>
      </c>
      <c r="G2942" s="34" t="n">
        <v>4196</v>
      </c>
      <c r="H2942" s="34" t="n">
        <v>22084</v>
      </c>
      <c r="I2942" t="inlineStr">
        <is>
          <t>3.6</t>
        </is>
      </c>
      <c r="J2942" t="inlineStr">
        <is>
          <t>Ventas Delivery Apps</t>
        </is>
      </c>
      <c r="K2942" t="inlineStr">
        <is>
          <t>CH3</t>
        </is>
      </c>
    </row>
    <row r="2943">
      <c r="A2943" s="33" t="n">
        <v>45912</v>
      </c>
      <c r="B2943" t="inlineStr">
        <is>
          <t>2025-09</t>
        </is>
      </c>
      <c r="C2943" t="inlineStr">
        <is>
          <t>CECILIA  ARELLANO</t>
        </is>
      </c>
      <c r="D2943" t="inlineStr">
        <is>
          <t>CANELÉ TRADICIONAL</t>
        </is>
      </c>
      <c r="E2943" s="34" t="n">
        <v>14900</v>
      </c>
      <c r="F2943" t="inlineStr">
        <is>
          <t>B</t>
        </is>
      </c>
      <c r="G2943" s="34" t="n">
        <v>2379</v>
      </c>
      <c r="H2943" s="34" t="n">
        <v>12521</v>
      </c>
      <c r="I2943" t="inlineStr">
        <is>
          <t>3.2</t>
        </is>
      </c>
      <c r="J2943" t="inlineStr">
        <is>
          <t>Ventas Personas (B2C)</t>
        </is>
      </c>
      <c r="K2943" t="inlineStr">
        <is>
          <t>CH2</t>
        </is>
      </c>
    </row>
    <row r="2944">
      <c r="A2944" s="33" t="n">
        <v>45912</v>
      </c>
      <c r="B2944" t="inlineStr">
        <is>
          <t>2025-09</t>
        </is>
      </c>
      <c r="C2944" t="inlineStr">
        <is>
          <t>MAURICIO Gabella</t>
        </is>
      </c>
      <c r="D2944" t="inlineStr">
        <is>
          <t>Rellenos</t>
        </is>
      </c>
      <c r="E2944" s="34" t="n">
        <v>20889</v>
      </c>
      <c r="F2944" t="inlineStr">
        <is>
          <t>B</t>
        </is>
      </c>
      <c r="G2944" s="34" t="n">
        <v>3335</v>
      </c>
      <c r="H2944" s="34" t="n">
        <v>17554</v>
      </c>
      <c r="I2944" t="inlineStr">
        <is>
          <t>3.2</t>
        </is>
      </c>
      <c r="J2944" t="inlineStr">
        <is>
          <t>Ventas Personas (B2C)</t>
        </is>
      </c>
      <c r="K2944" t="inlineStr">
        <is>
          <t>CH2</t>
        </is>
      </c>
    </row>
    <row r="2945">
      <c r="A2945" s="33" t="n">
        <v>45913</v>
      </c>
      <c r="B2945" t="inlineStr">
        <is>
          <t>2025-09</t>
        </is>
      </c>
      <c r="C2945" t="inlineStr">
        <is>
          <t>Carole Mazurek</t>
        </is>
      </c>
      <c r="D2945" t="inlineStr">
        <is>
          <t>Petit Crunchy</t>
        </is>
      </c>
      <c r="E2945" s="34" t="n">
        <v>31790</v>
      </c>
      <c r="F2945" t="inlineStr">
        <is>
          <t>B</t>
        </is>
      </c>
      <c r="G2945" s="34" t="n">
        <v>5076</v>
      </c>
      <c r="H2945" s="34" t="n">
        <v>26714</v>
      </c>
      <c r="I2945" t="inlineStr">
        <is>
          <t>3.2</t>
        </is>
      </c>
      <c r="J2945" t="inlineStr">
        <is>
          <t>Ventas Personas (B2C)</t>
        </is>
      </c>
      <c r="K2945" t="inlineStr">
        <is>
          <t>CH2</t>
        </is>
      </c>
    </row>
    <row r="2946">
      <c r="A2946" s="33" t="n">
        <v>45913</v>
      </c>
      <c r="B2946" t="inlineStr">
        <is>
          <t>2025-09</t>
        </is>
      </c>
      <c r="C2946" t="inlineStr">
        <is>
          <t>Alisa gonzalez</t>
        </is>
      </c>
      <c r="D2946" t="inlineStr">
        <is>
          <t>Rellenos</t>
        </is>
      </c>
      <c r="E2946" s="34" t="n">
        <v>25889</v>
      </c>
      <c r="F2946" t="inlineStr">
        <is>
          <t>B</t>
        </is>
      </c>
      <c r="G2946" s="34" t="n">
        <v>4134</v>
      </c>
      <c r="H2946" s="34" t="n">
        <v>21755</v>
      </c>
      <c r="I2946" t="inlineStr">
        <is>
          <t>3.2</t>
        </is>
      </c>
      <c r="J2946" t="inlineStr">
        <is>
          <t>Ventas Personas (B2C)</t>
        </is>
      </c>
      <c r="K2946" t="inlineStr">
        <is>
          <t>CH2</t>
        </is>
      </c>
    </row>
    <row r="2947">
      <c r="A2947" s="33" t="n">
        <v>45913</v>
      </c>
      <c r="B2947" t="inlineStr">
        <is>
          <t>2025-09</t>
        </is>
      </c>
      <c r="C2947" t="inlineStr">
        <is>
          <t>SERGIO R.</t>
        </is>
      </c>
      <c r="D2947" t="inlineStr">
        <is>
          <t>PLATAFORMAS RAP-PEYA-UBER-GOOD</t>
        </is>
      </c>
      <c r="E2947" s="34" t="n">
        <v>26280</v>
      </c>
      <c r="F2947" t="inlineStr">
        <is>
          <t>B</t>
        </is>
      </c>
      <c r="G2947" s="34" t="n">
        <v>4196</v>
      </c>
      <c r="H2947" s="34" t="n">
        <v>22084</v>
      </c>
      <c r="I2947" t="inlineStr">
        <is>
          <t>3.6</t>
        </is>
      </c>
      <c r="J2947" t="inlineStr">
        <is>
          <t>Ventas Delivery Apps</t>
        </is>
      </c>
      <c r="K2947" t="inlineStr">
        <is>
          <t>CH3</t>
        </is>
      </c>
    </row>
    <row r="2948">
      <c r="A2948" s="33" t="n">
        <v>45913</v>
      </c>
      <c r="B2948" t="inlineStr">
        <is>
          <t>2025-09</t>
        </is>
      </c>
      <c r="C2948" t="inlineStr">
        <is>
          <t>JOAQUIN P.</t>
        </is>
      </c>
      <c r="D2948" t="inlineStr">
        <is>
          <t>PLATAFORMAS RAP-PEYA-UBER-GOOD</t>
        </is>
      </c>
      <c r="E2948" s="34" t="n">
        <v>43056</v>
      </c>
      <c r="F2948" t="inlineStr">
        <is>
          <t>B</t>
        </is>
      </c>
      <c r="G2948" s="34" t="n">
        <v>6874</v>
      </c>
      <c r="H2948" s="34" t="n">
        <v>36182</v>
      </c>
      <c r="I2948" t="inlineStr">
        <is>
          <t>3.6</t>
        </is>
      </c>
      <c r="J2948" t="inlineStr">
        <is>
          <t>Ventas Delivery Apps</t>
        </is>
      </c>
      <c r="K2948" t="inlineStr">
        <is>
          <t>CH3</t>
        </is>
      </c>
    </row>
    <row r="2949">
      <c r="A2949" s="33" t="n">
        <v>45913</v>
      </c>
      <c r="B2949" t="inlineStr">
        <is>
          <t>2025-09</t>
        </is>
      </c>
      <c r="C2949" t="inlineStr">
        <is>
          <t>MARIA JOSE Q.</t>
        </is>
      </c>
      <c r="D2949" t="inlineStr">
        <is>
          <t>PLATAFORMAS RAP-PEYA-UBER-GOOD</t>
        </is>
      </c>
      <c r="E2949" s="34" t="n">
        <v>34668</v>
      </c>
      <c r="F2949" t="inlineStr">
        <is>
          <t>B</t>
        </is>
      </c>
      <c r="G2949" s="34" t="n">
        <v>5535</v>
      </c>
      <c r="H2949" s="34" t="n">
        <v>29133</v>
      </c>
      <c r="I2949" t="inlineStr">
        <is>
          <t>3.6</t>
        </is>
      </c>
      <c r="J2949" t="inlineStr">
        <is>
          <t>Ventas Delivery Apps</t>
        </is>
      </c>
      <c r="K2949" t="inlineStr">
        <is>
          <t>CH3</t>
        </is>
      </c>
    </row>
    <row r="2950">
      <c r="A2950" s="33" t="n">
        <v>45913</v>
      </c>
      <c r="B2950" t="inlineStr">
        <is>
          <t>2025-09</t>
        </is>
      </c>
      <c r="C2950" t="inlineStr">
        <is>
          <t>CARLOS HERNANDEZ</t>
        </is>
      </c>
      <c r="D2950" t="inlineStr">
        <is>
          <t>CANELÉ TRADICIONAL</t>
        </is>
      </c>
      <c r="E2950" s="34" t="n">
        <v>21900</v>
      </c>
      <c r="F2950" t="inlineStr">
        <is>
          <t>B</t>
        </is>
      </c>
      <c r="G2950" s="34" t="n">
        <v>3497</v>
      </c>
      <c r="H2950" s="34" t="n">
        <v>18403</v>
      </c>
      <c r="I2950" t="inlineStr">
        <is>
          <t>3.2</t>
        </is>
      </c>
      <c r="J2950" t="inlineStr">
        <is>
          <t>Ventas Personas (B2C)</t>
        </is>
      </c>
      <c r="K2950" t="inlineStr">
        <is>
          <t>CH2</t>
        </is>
      </c>
    </row>
    <row r="2951">
      <c r="A2951" s="33" t="n">
        <v>45913</v>
      </c>
      <c r="B2951" t="inlineStr">
        <is>
          <t>2025-09</t>
        </is>
      </c>
      <c r="C2951" t="inlineStr">
        <is>
          <t>EITAN N.</t>
        </is>
      </c>
      <c r="D2951" t="inlineStr">
        <is>
          <t>PLATAFORMAS RAP-PEYA-UBER-GOOD</t>
        </is>
      </c>
      <c r="E2951" s="34" t="n">
        <v>25080</v>
      </c>
      <c r="F2951" t="inlineStr">
        <is>
          <t>B</t>
        </is>
      </c>
      <c r="G2951" s="34" t="n">
        <v>4004</v>
      </c>
      <c r="H2951" s="34" t="n">
        <v>21076</v>
      </c>
      <c r="I2951" t="inlineStr">
        <is>
          <t>3.6</t>
        </is>
      </c>
      <c r="J2951" t="inlineStr">
        <is>
          <t>Ventas Delivery Apps</t>
        </is>
      </c>
      <c r="K2951" t="inlineStr">
        <is>
          <t>CH3</t>
        </is>
      </c>
    </row>
    <row r="2952">
      <c r="A2952" s="33" t="n">
        <v>45913</v>
      </c>
      <c r="B2952" t="inlineStr">
        <is>
          <t>2025-09</t>
        </is>
      </c>
      <c r="C2952" t="inlineStr">
        <is>
          <t>Katherin brockway</t>
        </is>
      </c>
      <c r="D2952" t="inlineStr">
        <is>
          <t>Rellenos</t>
        </is>
      </c>
      <c r="E2952" s="34" t="n">
        <v>27990</v>
      </c>
      <c r="F2952" t="inlineStr">
        <is>
          <t>B</t>
        </is>
      </c>
      <c r="G2952" s="34" t="n">
        <v>4469</v>
      </c>
      <c r="H2952" s="34" t="n">
        <v>23521</v>
      </c>
      <c r="I2952" t="inlineStr">
        <is>
          <t>3.2</t>
        </is>
      </c>
      <c r="J2952" t="inlineStr">
        <is>
          <t>Ventas Personas (B2C)</t>
        </is>
      </c>
      <c r="K2952" t="inlineStr">
        <is>
          <t>CH2</t>
        </is>
      </c>
    </row>
    <row r="2953">
      <c r="A2953" s="33" t="n">
        <v>45914</v>
      </c>
      <c r="B2953" t="inlineStr">
        <is>
          <t>2025-09</t>
        </is>
      </c>
      <c r="C2953" t="inlineStr">
        <is>
          <t>Maximiliano López</t>
        </is>
      </c>
      <c r="D2953" t="inlineStr">
        <is>
          <t>Rellenos</t>
        </is>
      </c>
      <c r="E2953" s="34" t="n">
        <v>9389</v>
      </c>
      <c r="F2953" t="inlineStr">
        <is>
          <t>B</t>
        </is>
      </c>
      <c r="G2953" s="34" t="n">
        <v>1499</v>
      </c>
      <c r="H2953" s="34" t="n">
        <v>7890</v>
      </c>
      <c r="I2953" t="inlineStr">
        <is>
          <t>3.2</t>
        </is>
      </c>
      <c r="J2953" t="inlineStr">
        <is>
          <t>Ventas Personas (B2C)</t>
        </is>
      </c>
      <c r="K2953" t="inlineStr">
        <is>
          <t>CH2</t>
        </is>
      </c>
    </row>
    <row r="2954">
      <c r="A2954" s="33" t="n">
        <v>45914</v>
      </c>
      <c r="B2954" t="inlineStr">
        <is>
          <t>2025-09</t>
        </is>
      </c>
      <c r="C2954" t="inlineStr">
        <is>
          <t>francisco gil bulacio</t>
        </is>
      </c>
      <c r="D2954" t="inlineStr">
        <is>
          <t>Rellenos</t>
        </is>
      </c>
      <c r="E2954" s="34" t="n">
        <v>38009</v>
      </c>
      <c r="F2954" t="inlineStr">
        <is>
          <t>B</t>
        </is>
      </c>
      <c r="G2954" s="34" t="n">
        <v>6069</v>
      </c>
      <c r="H2954" s="34" t="n">
        <v>31940</v>
      </c>
      <c r="I2954" t="inlineStr">
        <is>
          <t>3.2</t>
        </is>
      </c>
      <c r="J2954" t="inlineStr">
        <is>
          <t>Ventas Personas (B2C)</t>
        </is>
      </c>
      <c r="K2954" t="inlineStr">
        <is>
          <t>CH2</t>
        </is>
      </c>
    </row>
    <row r="2955">
      <c r="A2955" s="33" t="n">
        <v>45914</v>
      </c>
      <c r="B2955" t="inlineStr">
        <is>
          <t>2025-09</t>
        </is>
      </c>
      <c r="C2955" t="inlineStr">
        <is>
          <t>Mariana Ortiz Zúñiga</t>
        </is>
      </c>
      <c r="D2955" t="inlineStr">
        <is>
          <t>Rellenos</t>
        </is>
      </c>
      <c r="E2955" s="34" t="n">
        <v>49789</v>
      </c>
      <c r="F2955" t="inlineStr">
        <is>
          <t>B</t>
        </is>
      </c>
      <c r="G2955" s="34" t="n">
        <v>7950</v>
      </c>
      <c r="H2955" s="34" t="n">
        <v>41839</v>
      </c>
      <c r="I2955" t="inlineStr">
        <is>
          <t>3.2</t>
        </is>
      </c>
      <c r="J2955" t="inlineStr">
        <is>
          <t>Ventas Personas (B2C)</t>
        </is>
      </c>
      <c r="K2955" t="inlineStr">
        <is>
          <t>CH2</t>
        </is>
      </c>
    </row>
    <row r="2956">
      <c r="A2956" s="33" t="n">
        <v>45915</v>
      </c>
      <c r="B2956" t="inlineStr">
        <is>
          <t>2025-09</t>
        </is>
      </c>
      <c r="C2956" t="inlineStr">
        <is>
          <t>GALO SPA</t>
        </is>
      </c>
      <c r="D2956" t="inlineStr">
        <is>
          <t>HORECA CAFETERIA</t>
        </is>
      </c>
      <c r="E2956" s="34" t="n">
        <v>187345</v>
      </c>
      <c r="F2956" t="inlineStr">
        <is>
          <t>F</t>
        </is>
      </c>
      <c r="G2956" s="34" t="n">
        <v>29912</v>
      </c>
      <c r="H2956" s="34" t="n">
        <v>157433</v>
      </c>
      <c r="I2956" t="inlineStr">
        <is>
          <t>3.1</t>
        </is>
      </c>
      <c r="J2956" t="inlineStr">
        <is>
          <t>Ventas HoReCa</t>
        </is>
      </c>
      <c r="K2956" t="inlineStr">
        <is>
          <t>CH1</t>
        </is>
      </c>
    </row>
    <row r="2957">
      <c r="A2957" s="33" t="n">
        <v>45915</v>
      </c>
      <c r="B2957" t="inlineStr">
        <is>
          <t>2025-09</t>
        </is>
      </c>
      <c r="C2957" t="inlineStr">
        <is>
          <t>INVERSIONES Y ASESORIAS RAVAL LIMITADA</t>
        </is>
      </c>
      <c r="D2957" t="inlineStr">
        <is>
          <t>HORECA CAFETERIA</t>
        </is>
      </c>
      <c r="E2957" s="34" t="n">
        <v>68179</v>
      </c>
      <c r="F2957" t="inlineStr">
        <is>
          <t>F</t>
        </is>
      </c>
      <c r="G2957" s="34" t="n">
        <v>10886</v>
      </c>
      <c r="H2957" s="34" t="n">
        <v>57293</v>
      </c>
      <c r="I2957" t="inlineStr">
        <is>
          <t>3.1</t>
        </is>
      </c>
      <c r="J2957" t="inlineStr">
        <is>
          <t>Ventas HoReCa</t>
        </is>
      </c>
      <c r="K2957" t="inlineStr">
        <is>
          <t>CH1</t>
        </is>
      </c>
    </row>
    <row r="2958">
      <c r="A2958" s="33" t="n">
        <v>45915</v>
      </c>
      <c r="B2958" t="inlineStr">
        <is>
          <t>2025-09</t>
        </is>
      </c>
      <c r="C2958" t="inlineStr">
        <is>
          <t>CAFETERÍA ALTURA LIMITADA</t>
        </is>
      </c>
      <c r="D2958" t="inlineStr">
        <is>
          <t>HORECA CAFETERIA</t>
        </is>
      </c>
      <c r="E2958" s="34" t="n">
        <v>31271</v>
      </c>
      <c r="F2958" t="inlineStr">
        <is>
          <t>F</t>
        </is>
      </c>
      <c r="G2958" s="34" t="n">
        <v>4993</v>
      </c>
      <c r="H2958" s="34" t="n">
        <v>26278</v>
      </c>
      <c r="I2958" t="inlineStr">
        <is>
          <t>3.1</t>
        </is>
      </c>
      <c r="J2958" t="inlineStr">
        <is>
          <t>Ventas HoReCa</t>
        </is>
      </c>
      <c r="K2958" t="inlineStr">
        <is>
          <t>CH1</t>
        </is>
      </c>
    </row>
    <row r="2959">
      <c r="A2959" s="33" t="n">
        <v>45915</v>
      </c>
      <c r="B2959" t="inlineStr">
        <is>
          <t>2025-09</t>
        </is>
      </c>
      <c r="C2959" t="inlineStr">
        <is>
          <t>INVERSIONES Y COMERCIALIZADORA FED LIMITADA</t>
        </is>
      </c>
      <c r="D2959" t="inlineStr">
        <is>
          <t>HORECA CAFETERIA</t>
        </is>
      </c>
      <c r="E2959" s="34" t="n">
        <v>225738</v>
      </c>
      <c r="F2959" t="inlineStr">
        <is>
          <t>F</t>
        </is>
      </c>
      <c r="G2959" s="34" t="n">
        <v>36042</v>
      </c>
      <c r="H2959" s="34" t="n">
        <v>189696</v>
      </c>
      <c r="I2959" t="inlineStr">
        <is>
          <t>3.1</t>
        </is>
      </c>
      <c r="J2959" t="inlineStr">
        <is>
          <t>Ventas HoReCa</t>
        </is>
      </c>
      <c r="K2959" t="inlineStr">
        <is>
          <t>CH1</t>
        </is>
      </c>
    </row>
    <row r="2960">
      <c r="A2960" s="33" t="n">
        <v>45915</v>
      </c>
      <c r="B2960" t="inlineStr">
        <is>
          <t>2025-09</t>
        </is>
      </c>
      <c r="C2960" t="inlineStr">
        <is>
          <t>INVERSIONES Y COMERCIALIZADORA FED LIMITADA</t>
        </is>
      </c>
      <c r="D2960" t="inlineStr">
        <is>
          <t>HORECA CAFETERIA</t>
        </is>
      </c>
      <c r="E2960" s="34" t="n">
        <v>116618</v>
      </c>
      <c r="F2960" t="inlineStr">
        <is>
          <t>F</t>
        </is>
      </c>
      <c r="G2960" s="34" t="n">
        <v>18620</v>
      </c>
      <c r="H2960" s="34" t="n">
        <v>97998</v>
      </c>
      <c r="I2960" t="inlineStr">
        <is>
          <t>3.1</t>
        </is>
      </c>
      <c r="J2960" t="inlineStr">
        <is>
          <t>Ventas HoReCa</t>
        </is>
      </c>
      <c r="K2960" t="inlineStr">
        <is>
          <t>CH1</t>
        </is>
      </c>
    </row>
    <row r="2961">
      <c r="A2961" s="33" t="n">
        <v>45915</v>
      </c>
      <c r="B2961" t="inlineStr">
        <is>
          <t>2025-09</t>
        </is>
      </c>
      <c r="C2961" t="inlineStr">
        <is>
          <t>Catalina España Cartes</t>
        </is>
      </c>
      <c r="D2961" t="inlineStr">
        <is>
          <t>Rellenos</t>
        </is>
      </c>
      <c r="E2961" s="34" t="n">
        <v>36310</v>
      </c>
      <c r="F2961" t="inlineStr">
        <is>
          <t>B</t>
        </is>
      </c>
      <c r="G2961" s="34" t="n">
        <v>5797</v>
      </c>
      <c r="H2961" s="34" t="n">
        <v>30513</v>
      </c>
      <c r="I2961" t="inlineStr">
        <is>
          <t>3.2</t>
        </is>
      </c>
      <c r="J2961" t="inlineStr">
        <is>
          <t>Ventas Personas (B2C)</t>
        </is>
      </c>
      <c r="K2961" t="inlineStr">
        <is>
          <t>CH2</t>
        </is>
      </c>
    </row>
    <row r="2962">
      <c r="A2962" s="33" t="n">
        <v>45915</v>
      </c>
      <c r="B2962" t="inlineStr">
        <is>
          <t>2025-09</t>
        </is>
      </c>
      <c r="C2962" t="inlineStr">
        <is>
          <t>Francisco Aguila Tapia</t>
        </is>
      </c>
      <c r="D2962" t="inlineStr">
        <is>
          <t>Rellenos</t>
        </is>
      </c>
      <c r="E2962" s="34" t="n">
        <v>21890</v>
      </c>
      <c r="F2962" t="inlineStr">
        <is>
          <t>B</t>
        </is>
      </c>
      <c r="G2962" s="34" t="n">
        <v>3495</v>
      </c>
      <c r="H2962" s="34" t="n">
        <v>18395</v>
      </c>
      <c r="I2962" t="inlineStr">
        <is>
          <t>3.2</t>
        </is>
      </c>
      <c r="J2962" t="inlineStr">
        <is>
          <t>Ventas Personas (B2C)</t>
        </is>
      </c>
      <c r="K2962" t="inlineStr">
        <is>
          <t>CH2</t>
        </is>
      </c>
    </row>
    <row r="2963">
      <c r="A2963" s="33" t="n">
        <v>45915</v>
      </c>
      <c r="B2963" t="inlineStr">
        <is>
          <t>2025-09</t>
        </is>
      </c>
      <c r="C2963" t="inlineStr">
        <is>
          <t>Francisca Marquez</t>
        </is>
      </c>
      <c r="D2963" t="inlineStr">
        <is>
          <t>CANELÉ TRADICIONAL</t>
        </is>
      </c>
      <c r="E2963" s="34" t="n">
        <v>32790</v>
      </c>
      <c r="F2963" t="inlineStr">
        <is>
          <t>B</t>
        </is>
      </c>
      <c r="G2963" s="34" t="n">
        <v>5235</v>
      </c>
      <c r="H2963" s="34" t="n">
        <v>27555</v>
      </c>
      <c r="I2963" t="inlineStr">
        <is>
          <t>3.2</t>
        </is>
      </c>
      <c r="J2963" t="inlineStr">
        <is>
          <t>Ventas Personas (B2C)</t>
        </is>
      </c>
      <c r="K2963" t="inlineStr">
        <is>
          <t>CH2</t>
        </is>
      </c>
    </row>
    <row r="2964">
      <c r="A2964" s="33" t="n">
        <v>45915</v>
      </c>
      <c r="B2964" t="inlineStr">
        <is>
          <t>2025-09</t>
        </is>
      </c>
      <c r="C2964" t="inlineStr">
        <is>
          <t>Café del Parque SpA</t>
        </is>
      </c>
      <c r="D2964" t="inlineStr">
        <is>
          <t>HORECA CAFETERIA</t>
        </is>
      </c>
      <c r="E2964" s="34" t="n">
        <v>75818</v>
      </c>
      <c r="F2964" t="inlineStr">
        <is>
          <t>F</t>
        </is>
      </c>
      <c r="G2964" s="34" t="n">
        <v>12105</v>
      </c>
      <c r="H2964" s="34" t="n">
        <v>63713</v>
      </c>
      <c r="I2964" t="inlineStr">
        <is>
          <t>3.1</t>
        </is>
      </c>
      <c r="J2964" t="inlineStr">
        <is>
          <t>Ventas HoReCa</t>
        </is>
      </c>
      <c r="K2964" t="inlineStr">
        <is>
          <t>CH1</t>
        </is>
      </c>
    </row>
    <row r="2965">
      <c r="A2965" s="33" t="n">
        <v>45915</v>
      </c>
      <c r="B2965" t="inlineStr">
        <is>
          <t>2025-09</t>
        </is>
      </c>
      <c r="C2965" t="inlineStr">
        <is>
          <t>Café del Parque SpA</t>
        </is>
      </c>
      <c r="D2965" t="inlineStr">
        <is>
          <t>HORECA CAFETERIA</t>
        </is>
      </c>
      <c r="E2965" s="34" t="n">
        <v>-75818</v>
      </c>
      <c r="F2965" t="inlineStr">
        <is>
          <t>NC</t>
        </is>
      </c>
      <c r="G2965" s="34" t="n">
        <v>-12105</v>
      </c>
      <c r="H2965" s="34" t="n">
        <v>-63713</v>
      </c>
      <c r="I2965" t="inlineStr">
        <is>
          <t>3.2</t>
        </is>
      </c>
      <c r="J2965" t="inlineStr">
        <is>
          <t>Ventas Personas (B2C)</t>
        </is>
      </c>
      <c r="K2965" t="inlineStr">
        <is>
          <t>CH2</t>
        </is>
      </c>
    </row>
    <row r="2966">
      <c r="A2966" s="33" t="n">
        <v>45915</v>
      </c>
      <c r="B2966" t="inlineStr">
        <is>
          <t>2025-09</t>
        </is>
      </c>
      <c r="C2966" t="inlineStr">
        <is>
          <t>Café del Parque SpA</t>
        </is>
      </c>
      <c r="D2966" t="inlineStr">
        <is>
          <t>HORECA CAFETERIA</t>
        </is>
      </c>
      <c r="E2966" s="34" t="n">
        <v>75818</v>
      </c>
      <c r="F2966" t="inlineStr">
        <is>
          <t>F</t>
        </is>
      </c>
      <c r="G2966" s="34" t="n">
        <v>12105</v>
      </c>
      <c r="H2966" s="34" t="n">
        <v>63713</v>
      </c>
      <c r="I2966" t="inlineStr">
        <is>
          <t>3.1</t>
        </is>
      </c>
      <c r="J2966" t="inlineStr">
        <is>
          <t>Ventas HoReCa</t>
        </is>
      </c>
      <c r="K2966" t="inlineStr">
        <is>
          <t>CH1</t>
        </is>
      </c>
    </row>
    <row r="2967">
      <c r="A2967" s="33" t="n">
        <v>45915</v>
      </c>
      <c r="B2967" t="inlineStr">
        <is>
          <t>2025-09</t>
        </is>
      </c>
      <c r="C2967" t="inlineStr">
        <is>
          <t>Constanza Garcia</t>
        </is>
      </c>
      <c r="D2967" t="inlineStr">
        <is>
          <t>SALSAS</t>
        </is>
      </c>
      <c r="E2967" s="34" t="n">
        <v>48870</v>
      </c>
      <c r="F2967" t="inlineStr">
        <is>
          <t>B</t>
        </is>
      </c>
      <c r="G2967" s="34" t="n">
        <v>7803</v>
      </c>
      <c r="H2967" s="34" t="n">
        <v>41067</v>
      </c>
      <c r="I2967" t="inlineStr">
        <is>
          <t>3.2</t>
        </is>
      </c>
      <c r="J2967" t="inlineStr">
        <is>
          <t>Ventas Personas (B2C)</t>
        </is>
      </c>
      <c r="K2967" t="inlineStr">
        <is>
          <t>CH2</t>
        </is>
      </c>
    </row>
    <row r="2968">
      <c r="A2968" s="33" t="n">
        <v>45915</v>
      </c>
      <c r="B2968" t="inlineStr">
        <is>
          <t>2025-09</t>
        </is>
      </c>
      <c r="C2968" t="inlineStr">
        <is>
          <t>Juan Friedl</t>
        </is>
      </c>
      <c r="D2968" t="inlineStr">
        <is>
          <t>Rellenos</t>
        </is>
      </c>
      <c r="E2968" s="34" t="n">
        <v>17789</v>
      </c>
      <c r="F2968" t="inlineStr">
        <is>
          <t>B</t>
        </is>
      </c>
      <c r="G2968" s="34" t="n">
        <v>2840</v>
      </c>
      <c r="H2968" s="34" t="n">
        <v>14949</v>
      </c>
      <c r="I2968" t="inlineStr">
        <is>
          <t>3.2</t>
        </is>
      </c>
      <c r="J2968" t="inlineStr">
        <is>
          <t>Ventas Personas (B2C)</t>
        </is>
      </c>
      <c r="K2968" t="inlineStr">
        <is>
          <t>CH2</t>
        </is>
      </c>
    </row>
    <row r="2969">
      <c r="A2969" s="33" t="n">
        <v>45915</v>
      </c>
      <c r="B2969" t="inlineStr">
        <is>
          <t>2025-09</t>
        </is>
      </c>
      <c r="C2969" t="inlineStr">
        <is>
          <t>Eduardo Labarca</t>
        </is>
      </c>
      <c r="D2969" t="inlineStr">
        <is>
          <t>Mix Sabores</t>
        </is>
      </c>
      <c r="E2969" s="34" t="n">
        <v>32789</v>
      </c>
      <c r="F2969" t="inlineStr">
        <is>
          <t>B</t>
        </is>
      </c>
      <c r="G2969" s="34" t="n">
        <v>5235</v>
      </c>
      <c r="H2969" s="34" t="n">
        <v>27554</v>
      </c>
      <c r="I2969" t="inlineStr">
        <is>
          <t>3.2</t>
        </is>
      </c>
      <c r="J2969" t="inlineStr">
        <is>
          <t>Ventas Personas (B2C)</t>
        </is>
      </c>
      <c r="K2969" t="inlineStr">
        <is>
          <t>CH2</t>
        </is>
      </c>
    </row>
    <row r="2970">
      <c r="A2970" s="33" t="n">
        <v>45915</v>
      </c>
      <c r="B2970" t="inlineStr">
        <is>
          <t>2025-09</t>
        </is>
      </c>
      <c r="C2970" t="inlineStr">
        <is>
          <t>Ariel Torres</t>
        </is>
      </c>
      <c r="D2970" t="inlineStr">
        <is>
          <t>Mix Sabores</t>
        </is>
      </c>
      <c r="E2970" s="34" t="n">
        <v>33789</v>
      </c>
      <c r="F2970" t="inlineStr">
        <is>
          <t>B</t>
        </is>
      </c>
      <c r="G2970" s="34" t="n">
        <v>5395</v>
      </c>
      <c r="H2970" s="34" t="n">
        <v>28394</v>
      </c>
      <c r="I2970" t="inlineStr">
        <is>
          <t>3.2</t>
        </is>
      </c>
      <c r="J2970" t="inlineStr">
        <is>
          <t>Ventas Personas (B2C)</t>
        </is>
      </c>
      <c r="K2970" t="inlineStr">
        <is>
          <t>CH2</t>
        </is>
      </c>
    </row>
    <row r="2971">
      <c r="A2971" s="33" t="n">
        <v>45915</v>
      </c>
      <c r="B2971" t="inlineStr">
        <is>
          <t>2025-09</t>
        </is>
      </c>
      <c r="C2971" t="inlineStr">
        <is>
          <t>Cristobal Correa Ehlers</t>
        </is>
      </c>
      <c r="D2971" t="inlineStr">
        <is>
          <t>Delicatessen</t>
        </is>
      </c>
      <c r="E2971" s="34" t="n">
        <v>37200</v>
      </c>
      <c r="F2971" t="inlineStr">
        <is>
          <t>B</t>
        </is>
      </c>
      <c r="G2971" s="34" t="n">
        <v>5939</v>
      </c>
      <c r="H2971" s="34" t="n">
        <v>31261</v>
      </c>
      <c r="I2971" t="inlineStr">
        <is>
          <t>3.2</t>
        </is>
      </c>
      <c r="J2971" t="inlineStr">
        <is>
          <t>Ventas Personas (B2C)</t>
        </is>
      </c>
      <c r="K2971" t="inlineStr">
        <is>
          <t>CH2</t>
        </is>
      </c>
    </row>
    <row r="2972">
      <c r="A2972" s="33" t="n">
        <v>45915</v>
      </c>
      <c r="B2972" t="inlineStr">
        <is>
          <t>2025-09</t>
        </is>
      </c>
      <c r="C2972" t="inlineStr">
        <is>
          <t>Sofia Alcaino</t>
        </is>
      </c>
      <c r="D2972" t="inlineStr">
        <is>
          <t>Rellenos</t>
        </is>
      </c>
      <c r="E2972" s="34" t="n">
        <v>18400</v>
      </c>
      <c r="F2972" t="inlineStr">
        <is>
          <t>B</t>
        </is>
      </c>
      <c r="G2972" s="34" t="n">
        <v>2938</v>
      </c>
      <c r="H2972" s="34" t="n">
        <v>15462</v>
      </c>
      <c r="I2972" t="inlineStr">
        <is>
          <t>3.2</t>
        </is>
      </c>
      <c r="J2972" t="inlineStr">
        <is>
          <t>Ventas Personas (B2C)</t>
        </is>
      </c>
      <c r="K2972" t="inlineStr">
        <is>
          <t>CH2</t>
        </is>
      </c>
    </row>
    <row r="2973">
      <c r="A2973" s="33" t="n">
        <v>45915</v>
      </c>
      <c r="B2973" t="inlineStr">
        <is>
          <t>2025-09</t>
        </is>
      </c>
      <c r="C2973" t="inlineStr">
        <is>
          <t>Paloma Araya</t>
        </is>
      </c>
      <c r="D2973" t="inlineStr">
        <is>
          <t>Rellenos</t>
        </is>
      </c>
      <c r="E2973" s="34" t="n">
        <v>16900</v>
      </c>
      <c r="F2973" t="inlineStr">
        <is>
          <t>B</t>
        </is>
      </c>
      <c r="G2973" s="34" t="n">
        <v>2698</v>
      </c>
      <c r="H2973" s="34" t="n">
        <v>14202</v>
      </c>
      <c r="I2973" t="inlineStr">
        <is>
          <t>3.2</t>
        </is>
      </c>
      <c r="J2973" t="inlineStr">
        <is>
          <t>Ventas Personas (B2C)</t>
        </is>
      </c>
      <c r="K2973" t="inlineStr">
        <is>
          <t>CH2</t>
        </is>
      </c>
    </row>
    <row r="2974">
      <c r="A2974" s="33" t="n">
        <v>45915</v>
      </c>
      <c r="B2974" t="inlineStr">
        <is>
          <t>2025-09</t>
        </is>
      </c>
      <c r="C2974" t="inlineStr">
        <is>
          <t>Alba De armendaiz</t>
        </is>
      </c>
      <c r="D2974" t="inlineStr">
        <is>
          <t>Rellenos</t>
        </is>
      </c>
      <c r="E2974" s="34" t="n">
        <v>33889</v>
      </c>
      <c r="F2974" t="inlineStr">
        <is>
          <t>B</t>
        </is>
      </c>
      <c r="G2974" s="34" t="n">
        <v>5411</v>
      </c>
      <c r="H2974" s="34" t="n">
        <v>28478</v>
      </c>
      <c r="I2974" t="inlineStr">
        <is>
          <t>3.2</t>
        </is>
      </c>
      <c r="J2974" t="inlineStr">
        <is>
          <t>Ventas Personas (B2C)</t>
        </is>
      </c>
      <c r="K2974" t="inlineStr">
        <is>
          <t>CH2</t>
        </is>
      </c>
    </row>
    <row r="2975">
      <c r="A2975" s="33" t="n">
        <v>45915</v>
      </c>
      <c r="B2975" t="inlineStr">
        <is>
          <t>2025-09</t>
        </is>
      </c>
      <c r="C2975" t="inlineStr">
        <is>
          <t>Agustina Mendez</t>
        </is>
      </c>
      <c r="D2975" t="inlineStr">
        <is>
          <t>SALSAS</t>
        </is>
      </c>
      <c r="E2975" s="34" t="n">
        <v>6990</v>
      </c>
      <c r="F2975" t="inlineStr">
        <is>
          <t>B</t>
        </is>
      </c>
      <c r="G2975" s="34" t="n">
        <v>1116</v>
      </c>
      <c r="H2975" s="34" t="n">
        <v>5874</v>
      </c>
      <c r="I2975" t="inlineStr">
        <is>
          <t>3.2</t>
        </is>
      </c>
      <c r="J2975" t="inlineStr">
        <is>
          <t>Ventas Personas (B2C)</t>
        </is>
      </c>
      <c r="K2975" t="inlineStr">
        <is>
          <t>CH2</t>
        </is>
      </c>
    </row>
    <row r="2976">
      <c r="A2976" s="33" t="n">
        <v>45916</v>
      </c>
      <c r="B2976" t="inlineStr">
        <is>
          <t>2025-09</t>
        </is>
      </c>
      <c r="C2976" t="inlineStr">
        <is>
          <t>Juan Daniel Canales Salazar</t>
        </is>
      </c>
      <c r="D2976" t="inlineStr">
        <is>
          <t>Rellenos</t>
        </is>
      </c>
      <c r="E2976" s="34" t="n">
        <v>28890</v>
      </c>
      <c r="F2976" t="inlineStr">
        <is>
          <t>B</t>
        </is>
      </c>
      <c r="G2976" s="34" t="n">
        <v>4613</v>
      </c>
      <c r="H2976" s="34" t="n">
        <v>24277</v>
      </c>
      <c r="I2976" t="inlineStr">
        <is>
          <t>3.2</t>
        </is>
      </c>
      <c r="J2976" t="inlineStr">
        <is>
          <t>Ventas Personas (B2C)</t>
        </is>
      </c>
      <c r="K2976" t="inlineStr">
        <is>
          <t>CH2</t>
        </is>
      </c>
    </row>
    <row r="2977">
      <c r="A2977" s="33" t="n">
        <v>45916</v>
      </c>
      <c r="B2977" t="inlineStr">
        <is>
          <t>2025-09</t>
        </is>
      </c>
      <c r="C2977" t="inlineStr">
        <is>
          <t>maría teresa pérez</t>
        </is>
      </c>
      <c r="D2977" t="inlineStr">
        <is>
          <t>CANELÉ TRADICIONAL</t>
        </is>
      </c>
      <c r="E2977" s="34" t="n">
        <v>24889</v>
      </c>
      <c r="F2977" t="inlineStr">
        <is>
          <t>B</t>
        </is>
      </c>
      <c r="G2977" s="34" t="n">
        <v>3974</v>
      </c>
      <c r="H2977" s="34" t="n">
        <v>20915</v>
      </c>
      <c r="I2977" t="inlineStr">
        <is>
          <t>3.2</t>
        </is>
      </c>
      <c r="J2977" t="inlineStr">
        <is>
          <t>Ventas Personas (B2C)</t>
        </is>
      </c>
      <c r="K2977" t="inlineStr">
        <is>
          <t>CH2</t>
        </is>
      </c>
    </row>
    <row r="2978">
      <c r="A2978" s="33" t="n">
        <v>45916</v>
      </c>
      <c r="B2978" t="inlineStr">
        <is>
          <t>2025-09</t>
        </is>
      </c>
      <c r="C2978" t="inlineStr">
        <is>
          <t>Miguel.larrainp@gmail.com Larrain</t>
        </is>
      </c>
      <c r="D2978" t="inlineStr">
        <is>
          <t>Rellenos</t>
        </is>
      </c>
      <c r="E2978" s="34" t="n">
        <v>27889</v>
      </c>
      <c r="F2978" t="inlineStr">
        <is>
          <t>B</t>
        </is>
      </c>
      <c r="G2978" s="34" t="n">
        <v>4453</v>
      </c>
      <c r="H2978" s="34" t="n">
        <v>23436</v>
      </c>
      <c r="I2978" t="inlineStr">
        <is>
          <t>3.2</t>
        </is>
      </c>
      <c r="J2978" t="inlineStr">
        <is>
          <t>Ventas Personas (B2C)</t>
        </is>
      </c>
      <c r="K2978" t="inlineStr">
        <is>
          <t>CH2</t>
        </is>
      </c>
    </row>
    <row r="2979">
      <c r="A2979" s="33" t="n">
        <v>45916</v>
      </c>
      <c r="B2979" t="inlineStr">
        <is>
          <t>2025-09</t>
        </is>
      </c>
      <c r="C2979" t="inlineStr">
        <is>
          <t>Maria José Navarrete</t>
        </is>
      </c>
      <c r="D2979" t="inlineStr">
        <is>
          <t>Rellenos</t>
        </is>
      </c>
      <c r="E2979" s="34" t="n">
        <v>29790</v>
      </c>
      <c r="F2979" t="inlineStr">
        <is>
          <t>B</t>
        </is>
      </c>
      <c r="G2979" s="34" t="n">
        <v>4756</v>
      </c>
      <c r="H2979" s="34" t="n">
        <v>25034</v>
      </c>
      <c r="I2979" t="inlineStr">
        <is>
          <t>3.2</t>
        </is>
      </c>
      <c r="J2979" t="inlineStr">
        <is>
          <t>Ventas Personas (B2C)</t>
        </is>
      </c>
      <c r="K2979" t="inlineStr">
        <is>
          <t>CH2</t>
        </is>
      </c>
    </row>
    <row r="2980">
      <c r="A2980" s="33" t="n">
        <v>45916</v>
      </c>
      <c r="B2980" t="inlineStr">
        <is>
          <t>2025-09</t>
        </is>
      </c>
      <c r="C2980" t="inlineStr">
        <is>
          <t>Catalina Casamitjana</t>
        </is>
      </c>
      <c r="D2980" t="inlineStr">
        <is>
          <t>Rellenos</t>
        </is>
      </c>
      <c r="E2980" s="34" t="n">
        <v>25499</v>
      </c>
      <c r="F2980" t="inlineStr">
        <is>
          <t>B</t>
        </is>
      </c>
      <c r="G2980" s="34" t="n">
        <v>4071</v>
      </c>
      <c r="H2980" s="34" t="n">
        <v>21428</v>
      </c>
      <c r="I2980" t="inlineStr">
        <is>
          <t>3.2</t>
        </is>
      </c>
      <c r="J2980" t="inlineStr">
        <is>
          <t>Ventas Personas (B2C)</t>
        </is>
      </c>
      <c r="K2980" t="inlineStr">
        <is>
          <t>CH2</t>
        </is>
      </c>
    </row>
    <row r="2981">
      <c r="A2981" s="33" t="n">
        <v>45916</v>
      </c>
      <c r="B2981" t="inlineStr">
        <is>
          <t>2025-09</t>
        </is>
      </c>
      <c r="C2981" t="inlineStr">
        <is>
          <t>Cristobal Ortiz</t>
        </is>
      </c>
      <c r="D2981" t="inlineStr">
        <is>
          <t>Rellenos</t>
        </is>
      </c>
      <c r="E2981" s="34" t="n">
        <v>43790</v>
      </c>
      <c r="F2981" t="inlineStr">
        <is>
          <t>B</t>
        </is>
      </c>
      <c r="G2981" s="34" t="n">
        <v>6992</v>
      </c>
      <c r="H2981" s="34" t="n">
        <v>36798</v>
      </c>
      <c r="I2981" t="inlineStr">
        <is>
          <t>3.2</t>
        </is>
      </c>
      <c r="J2981" t="inlineStr">
        <is>
          <t>Ventas Personas (B2C)</t>
        </is>
      </c>
      <c r="K2981" t="inlineStr">
        <is>
          <t>CH2</t>
        </is>
      </c>
    </row>
    <row r="2982">
      <c r="A2982" s="33" t="n">
        <v>45916</v>
      </c>
      <c r="B2982" t="inlineStr">
        <is>
          <t>2025-09</t>
        </is>
      </c>
      <c r="C2982" t="inlineStr">
        <is>
          <t>María Teresa Fluxá Barros</t>
        </is>
      </c>
      <c r="D2982" t="inlineStr">
        <is>
          <t>PACKS GOURMET</t>
        </is>
      </c>
      <c r="E2982" s="34" t="n">
        <v>21746</v>
      </c>
      <c r="F2982" t="inlineStr">
        <is>
          <t>B</t>
        </is>
      </c>
      <c r="G2982" s="34" t="n">
        <v>3472</v>
      </c>
      <c r="H2982" s="34" t="n">
        <v>18274</v>
      </c>
      <c r="I2982" t="inlineStr">
        <is>
          <t>3.2</t>
        </is>
      </c>
      <c r="J2982" t="inlineStr">
        <is>
          <t>Ventas Personas (B2C)</t>
        </is>
      </c>
      <c r="K2982" t="inlineStr">
        <is>
          <t>CH2</t>
        </is>
      </c>
    </row>
    <row r="2983">
      <c r="A2983" s="33" t="n">
        <v>45916</v>
      </c>
      <c r="B2983" t="inlineStr">
        <is>
          <t>2025-09</t>
        </is>
      </c>
      <c r="C2983" t="inlineStr">
        <is>
          <t>Better Food Spa</t>
        </is>
      </c>
      <c r="D2983" t="inlineStr">
        <is>
          <t>HORECA CAFETERIA</t>
        </is>
      </c>
      <c r="E2983" s="34" t="n">
        <v>-213428</v>
      </c>
      <c r="F2983" t="inlineStr">
        <is>
          <t>NC</t>
        </is>
      </c>
      <c r="G2983" s="34" t="n">
        <v>-34077</v>
      </c>
      <c r="H2983" s="34" t="n">
        <v>-179351</v>
      </c>
      <c r="I2983" t="inlineStr">
        <is>
          <t>3.1</t>
        </is>
      </c>
      <c r="J2983" t="inlineStr">
        <is>
          <t>Ventas HoReCa</t>
        </is>
      </c>
      <c r="K2983" t="inlineStr">
        <is>
          <t>CH1</t>
        </is>
      </c>
    </row>
    <row r="2984">
      <c r="A2984" s="33" t="n">
        <v>45916</v>
      </c>
      <c r="B2984" t="inlineStr">
        <is>
          <t>2025-09</t>
        </is>
      </c>
      <c r="C2984" t="inlineStr">
        <is>
          <t>Better Food Spa</t>
        </is>
      </c>
      <c r="D2984" t="inlineStr">
        <is>
          <t>HORECA CAFETERIA</t>
        </is>
      </c>
      <c r="E2984" s="34" t="n">
        <v>224660</v>
      </c>
      <c r="F2984" t="inlineStr">
        <is>
          <t>F</t>
        </is>
      </c>
      <c r="G2984" s="34" t="n">
        <v>35870</v>
      </c>
      <c r="H2984" s="34" t="n">
        <v>188790</v>
      </c>
      <c r="I2984" t="inlineStr">
        <is>
          <t>3.1</t>
        </is>
      </c>
      <c r="J2984" t="inlineStr">
        <is>
          <t>Ventas HoReCa</t>
        </is>
      </c>
      <c r="K2984" t="inlineStr">
        <is>
          <t>CH1</t>
        </is>
      </c>
    </row>
    <row r="2985">
      <c r="A2985" s="33" t="n">
        <v>45916</v>
      </c>
      <c r="B2985" t="inlineStr">
        <is>
          <t>2025-09</t>
        </is>
      </c>
      <c r="C2985" t="inlineStr">
        <is>
          <t>Better Food Spa</t>
        </is>
      </c>
      <c r="D2985" t="inlineStr">
        <is>
          <t>HORECA CAFETERIA</t>
        </is>
      </c>
      <c r="E2985" s="34" t="n">
        <v>256754</v>
      </c>
      <c r="F2985" t="inlineStr">
        <is>
          <t>F</t>
        </is>
      </c>
      <c r="G2985" s="34" t="n">
        <v>40994</v>
      </c>
      <c r="H2985" s="34" t="n">
        <v>215760</v>
      </c>
      <c r="I2985" t="inlineStr">
        <is>
          <t>3.1</t>
        </is>
      </c>
      <c r="J2985" t="inlineStr">
        <is>
          <t>Ventas HoReCa</t>
        </is>
      </c>
      <c r="K2985" t="inlineStr">
        <is>
          <t>CH1</t>
        </is>
      </c>
    </row>
    <row r="2986">
      <c r="A2986" s="33" t="n">
        <v>45916</v>
      </c>
      <c r="B2986" t="inlineStr">
        <is>
          <t>2025-09</t>
        </is>
      </c>
      <c r="C2986" t="inlineStr">
        <is>
          <t>Sin cliente</t>
        </is>
      </c>
      <c r="D2986" t="inlineStr">
        <is>
          <t>CANELÉ TRADICIONAL</t>
        </is>
      </c>
      <c r="E2986" s="34" t="n">
        <v>13450</v>
      </c>
      <c r="F2986" t="inlineStr">
        <is>
          <t>B</t>
        </is>
      </c>
      <c r="G2986" s="34" t="n">
        <v>2147</v>
      </c>
      <c r="H2986" s="34" t="n">
        <v>11303</v>
      </c>
      <c r="I2986" t="inlineStr">
        <is>
          <t>3.2</t>
        </is>
      </c>
      <c r="J2986" t="inlineStr">
        <is>
          <t>Ventas Personas (B2C)</t>
        </is>
      </c>
      <c r="K2986" t="inlineStr">
        <is>
          <t>CH2</t>
        </is>
      </c>
    </row>
    <row r="2987">
      <c r="A2987" s="33" t="n">
        <v>45916</v>
      </c>
      <c r="B2987" t="inlineStr">
        <is>
          <t>2025-09</t>
        </is>
      </c>
      <c r="C2987" t="inlineStr">
        <is>
          <t>Daniela Echeverria</t>
        </is>
      </c>
      <c r="D2987" t="inlineStr">
        <is>
          <t>Rellenos</t>
        </is>
      </c>
      <c r="E2987" s="34" t="n">
        <v>26889</v>
      </c>
      <c r="F2987" t="inlineStr">
        <is>
          <t>B</t>
        </is>
      </c>
      <c r="G2987" s="34" t="n">
        <v>4293</v>
      </c>
      <c r="H2987" s="34" t="n">
        <v>22596</v>
      </c>
      <c r="I2987" t="inlineStr">
        <is>
          <t>3.2</t>
        </is>
      </c>
      <c r="J2987" t="inlineStr">
        <is>
          <t>Ventas Personas (B2C)</t>
        </is>
      </c>
      <c r="K2987" t="inlineStr">
        <is>
          <t>CH2</t>
        </is>
      </c>
    </row>
    <row r="2988">
      <c r="A2988" s="33" t="n">
        <v>45916</v>
      </c>
      <c r="B2988" t="inlineStr">
        <is>
          <t>2025-09</t>
        </is>
      </c>
      <c r="C2988" t="inlineStr">
        <is>
          <t>Sin cliente</t>
        </is>
      </c>
      <c r="D2988" t="inlineStr">
        <is>
          <t>PLATAFORMAS RAP-PEYA-UBER-GOOD</t>
        </is>
      </c>
      <c r="E2988" s="34" t="n">
        <v>29880</v>
      </c>
      <c r="F2988" t="inlineStr">
        <is>
          <t>B</t>
        </is>
      </c>
      <c r="G2988" s="34" t="n">
        <v>4771</v>
      </c>
      <c r="H2988" s="34" t="n">
        <v>25109</v>
      </c>
      <c r="I2988" t="inlineStr">
        <is>
          <t>3.6</t>
        </is>
      </c>
      <c r="J2988" t="inlineStr">
        <is>
          <t>Ventas Delivery Apps</t>
        </is>
      </c>
      <c r="K2988" t="inlineStr">
        <is>
          <t>CH3</t>
        </is>
      </c>
    </row>
    <row r="2989">
      <c r="A2989" s="33" t="n">
        <v>45916</v>
      </c>
      <c r="B2989" t="inlineStr">
        <is>
          <t>2025-09</t>
        </is>
      </c>
      <c r="C2989" t="inlineStr">
        <is>
          <t>MAURICIO Gabella</t>
        </is>
      </c>
      <c r="D2989" t="inlineStr">
        <is>
          <t>Rellenos</t>
        </is>
      </c>
      <c r="E2989" s="34" t="n">
        <v>20889</v>
      </c>
      <c r="F2989" t="inlineStr">
        <is>
          <t>B</t>
        </is>
      </c>
      <c r="G2989" s="34" t="n">
        <v>3335</v>
      </c>
      <c r="H2989" s="34" t="n">
        <v>17554</v>
      </c>
      <c r="I2989" t="inlineStr">
        <is>
          <t>3.2</t>
        </is>
      </c>
      <c r="J2989" t="inlineStr">
        <is>
          <t>Ventas Personas (B2C)</t>
        </is>
      </c>
      <c r="K2989" t="inlineStr">
        <is>
          <t>CH2</t>
        </is>
      </c>
    </row>
    <row r="2990">
      <c r="A2990" s="33" t="n">
        <v>45916</v>
      </c>
      <c r="B2990" t="inlineStr">
        <is>
          <t>2025-09</t>
        </is>
      </c>
      <c r="C2990" t="inlineStr">
        <is>
          <t>Sofia Giraudo</t>
        </is>
      </c>
      <c r="D2990" t="inlineStr">
        <is>
          <t>Rellenos</t>
        </is>
      </c>
      <c r="E2990" s="34" t="n">
        <v>28890</v>
      </c>
      <c r="F2990" t="inlineStr">
        <is>
          <t>B</t>
        </is>
      </c>
      <c r="G2990" s="34" t="n">
        <v>4613</v>
      </c>
      <c r="H2990" s="34" t="n">
        <v>24277</v>
      </c>
      <c r="I2990" t="inlineStr">
        <is>
          <t>3.2</t>
        </is>
      </c>
      <c r="J2990" t="inlineStr">
        <is>
          <t>Ventas Personas (B2C)</t>
        </is>
      </c>
      <c r="K2990" t="inlineStr">
        <is>
          <t>CH2</t>
        </is>
      </c>
    </row>
    <row r="2991">
      <c r="A2991" s="33" t="n">
        <v>45916</v>
      </c>
      <c r="B2991" t="inlineStr">
        <is>
          <t>2025-09</t>
        </is>
      </c>
      <c r="C2991" t="inlineStr">
        <is>
          <t>Fernanda Galmez</t>
        </is>
      </c>
      <c r="D2991" t="inlineStr">
        <is>
          <t>Petit Crunchy</t>
        </is>
      </c>
      <c r="E2991" s="34" t="n">
        <v>16889</v>
      </c>
      <c r="F2991" t="inlineStr">
        <is>
          <t>B</t>
        </is>
      </c>
      <c r="G2991" s="34" t="n">
        <v>2697</v>
      </c>
      <c r="H2991" s="34" t="n">
        <v>14192</v>
      </c>
      <c r="I2991" t="inlineStr">
        <is>
          <t>3.2</t>
        </is>
      </c>
      <c r="J2991" t="inlineStr">
        <is>
          <t>Ventas Personas (B2C)</t>
        </is>
      </c>
      <c r="K2991" t="inlineStr">
        <is>
          <t>CH2</t>
        </is>
      </c>
    </row>
    <row r="2992">
      <c r="A2992" s="33" t="n">
        <v>45916</v>
      </c>
      <c r="B2992" t="inlineStr">
        <is>
          <t>2025-09</t>
        </is>
      </c>
      <c r="C2992" t="inlineStr">
        <is>
          <t>Fernanda Galmez</t>
        </is>
      </c>
      <c r="D2992" t="inlineStr">
        <is>
          <t>Rellenos</t>
        </is>
      </c>
      <c r="E2992" s="34" t="n">
        <v>26889</v>
      </c>
      <c r="F2992" t="inlineStr">
        <is>
          <t>B</t>
        </is>
      </c>
      <c r="G2992" s="34" t="n">
        <v>4293</v>
      </c>
      <c r="H2992" s="34" t="n">
        <v>22596</v>
      </c>
      <c r="I2992" t="inlineStr">
        <is>
          <t>3.2</t>
        </is>
      </c>
      <c r="J2992" t="inlineStr">
        <is>
          <t>Ventas Personas (B2C)</t>
        </is>
      </c>
      <c r="K2992" t="inlineStr">
        <is>
          <t>CH2</t>
        </is>
      </c>
    </row>
    <row r="2993">
      <c r="A2993" s="33" t="n">
        <v>45917</v>
      </c>
      <c r="B2993" t="inlineStr">
        <is>
          <t>2025-09</t>
        </is>
      </c>
      <c r="C2993" t="inlineStr">
        <is>
          <t>CAFÉ UNDER SPA</t>
        </is>
      </c>
      <c r="D2993" t="inlineStr">
        <is>
          <t>HORECA CAFETERIA</t>
        </is>
      </c>
      <c r="E2993" s="34" t="n">
        <v>68179</v>
      </c>
      <c r="F2993" t="inlineStr">
        <is>
          <t>F</t>
        </is>
      </c>
      <c r="G2993" s="34" t="n">
        <v>10886</v>
      </c>
      <c r="H2993" s="34" t="n">
        <v>57293</v>
      </c>
      <c r="I2993" t="inlineStr">
        <is>
          <t>3.1</t>
        </is>
      </c>
      <c r="J2993" t="inlineStr">
        <is>
          <t>Ventas HoReCa</t>
        </is>
      </c>
      <c r="K2993" t="inlineStr">
        <is>
          <t>CH1</t>
        </is>
      </c>
    </row>
    <row r="2994">
      <c r="A2994" s="33" t="n">
        <v>45917</v>
      </c>
      <c r="B2994" t="inlineStr">
        <is>
          <t>2025-09</t>
        </is>
      </c>
      <c r="C2994" t="inlineStr">
        <is>
          <t>Sociedad de inversiones solari y acuña spa</t>
        </is>
      </c>
      <c r="D2994" t="inlineStr">
        <is>
          <t>HORECA CAFETERIA</t>
        </is>
      </c>
      <c r="E2994" s="34" t="n">
        <v>165473</v>
      </c>
      <c r="F2994" t="inlineStr">
        <is>
          <t>F</t>
        </is>
      </c>
      <c r="G2994" s="34" t="n">
        <v>26420</v>
      </c>
      <c r="H2994" s="34" t="n">
        <v>139053</v>
      </c>
      <c r="I2994" t="inlineStr">
        <is>
          <t>3.1</t>
        </is>
      </c>
      <c r="J2994" t="inlineStr">
        <is>
          <t>Ventas HoReCa</t>
        </is>
      </c>
      <c r="K2994" t="inlineStr">
        <is>
          <t>CH1</t>
        </is>
      </c>
    </row>
    <row r="2995">
      <c r="A2995" s="33" t="n">
        <v>45917</v>
      </c>
      <c r="B2995" t="inlineStr">
        <is>
          <t>2025-09</t>
        </is>
      </c>
      <c r="C2995" t="inlineStr">
        <is>
          <t>Sociedad de inversiones solari y acuña spa</t>
        </is>
      </c>
      <c r="D2995" t="inlineStr">
        <is>
          <t>HORECA CAFETERIA</t>
        </is>
      </c>
      <c r="E2995" s="34" t="n">
        <v>203480</v>
      </c>
      <c r="F2995" t="inlineStr">
        <is>
          <t>F</t>
        </is>
      </c>
      <c r="G2995" s="34" t="n">
        <v>32488</v>
      </c>
      <c r="H2995" s="34" t="n">
        <v>170992</v>
      </c>
      <c r="I2995" t="inlineStr">
        <is>
          <t>3.1</t>
        </is>
      </c>
      <c r="J2995" t="inlineStr">
        <is>
          <t>Ventas HoReCa</t>
        </is>
      </c>
      <c r="K2995" t="inlineStr">
        <is>
          <t>CH1</t>
        </is>
      </c>
    </row>
    <row r="2996">
      <c r="A2996" s="33" t="n">
        <v>45917</v>
      </c>
      <c r="B2996" t="inlineStr">
        <is>
          <t>2025-09</t>
        </is>
      </c>
      <c r="C2996" t="inlineStr">
        <is>
          <t>Christian Montt</t>
        </is>
      </c>
      <c r="D2996" t="inlineStr">
        <is>
          <t>Rellenos</t>
        </is>
      </c>
      <c r="E2996" s="34" t="n">
        <v>34890</v>
      </c>
      <c r="F2996" t="inlineStr">
        <is>
          <t>B</t>
        </is>
      </c>
      <c r="G2996" s="34" t="n">
        <v>5571</v>
      </c>
      <c r="H2996" s="34" t="n">
        <v>29319</v>
      </c>
      <c r="I2996" t="inlineStr">
        <is>
          <t>3.2</t>
        </is>
      </c>
      <c r="J2996" t="inlineStr">
        <is>
          <t>Ventas Personas (B2C)</t>
        </is>
      </c>
      <c r="K2996" t="inlineStr">
        <is>
          <t>CH2</t>
        </is>
      </c>
    </row>
    <row r="2997">
      <c r="A2997" s="33" t="n">
        <v>45917</v>
      </c>
      <c r="B2997" t="inlineStr">
        <is>
          <t>2025-09</t>
        </is>
      </c>
      <c r="C2997" t="inlineStr">
        <is>
          <t>Marisol Valencia Moya</t>
        </is>
      </c>
      <c r="D2997" t="inlineStr">
        <is>
          <t>Rellenos</t>
        </is>
      </c>
      <c r="E2997" s="34" t="n">
        <v>48690</v>
      </c>
      <c r="F2997" t="inlineStr">
        <is>
          <t>B</t>
        </is>
      </c>
      <c r="G2997" s="34" t="n">
        <v>7774</v>
      </c>
      <c r="H2997" s="34" t="n">
        <v>40916</v>
      </c>
      <c r="I2997" t="inlineStr">
        <is>
          <t>3.2</t>
        </is>
      </c>
      <c r="J2997" t="inlineStr">
        <is>
          <t>Ventas Personas (B2C)</t>
        </is>
      </c>
      <c r="K2997" t="inlineStr">
        <is>
          <t>CH2</t>
        </is>
      </c>
    </row>
    <row r="2998">
      <c r="A2998" s="33" t="n">
        <v>45917</v>
      </c>
      <c r="B2998" t="inlineStr">
        <is>
          <t>2025-09</t>
        </is>
      </c>
      <c r="C2998" t="inlineStr">
        <is>
          <t>Magdelis Dávila</t>
        </is>
      </c>
      <c r="D2998" t="inlineStr">
        <is>
          <t>CANELÉ TRADICIONAL</t>
        </is>
      </c>
      <c r="E2998" s="34" t="n">
        <v>45800</v>
      </c>
      <c r="F2998" t="inlineStr">
        <is>
          <t>B</t>
        </is>
      </c>
      <c r="G2998" s="34" t="n">
        <v>7313</v>
      </c>
      <c r="H2998" s="34" t="n">
        <v>38487</v>
      </c>
      <c r="I2998" t="inlineStr">
        <is>
          <t>3.2</t>
        </is>
      </c>
      <c r="J2998" t="inlineStr">
        <is>
          <t>Ventas Personas (B2C)</t>
        </is>
      </c>
      <c r="K2998" t="inlineStr">
        <is>
          <t>CH2</t>
        </is>
      </c>
    </row>
    <row r="2999">
      <c r="A2999" s="33" t="n">
        <v>45917</v>
      </c>
      <c r="B2999" t="inlineStr">
        <is>
          <t>2025-09</t>
        </is>
      </c>
      <c r="C2999" t="inlineStr">
        <is>
          <t>Ting Ting Lee</t>
        </is>
      </c>
      <c r="D2999" t="inlineStr">
        <is>
          <t>Petit Crunchy</t>
        </is>
      </c>
      <c r="E2999" s="34" t="n">
        <v>25900</v>
      </c>
      <c r="F2999" t="inlineStr">
        <is>
          <t>B</t>
        </is>
      </c>
      <c r="G2999" s="34" t="n">
        <v>4135</v>
      </c>
      <c r="H2999" s="34" t="n">
        <v>21765</v>
      </c>
      <c r="I2999" t="inlineStr">
        <is>
          <t>3.2</t>
        </is>
      </c>
      <c r="J2999" t="inlineStr">
        <is>
          <t>Ventas Personas (B2C)</t>
        </is>
      </c>
      <c r="K2999" t="inlineStr">
        <is>
          <t>CH2</t>
        </is>
      </c>
    </row>
    <row r="3000">
      <c r="A3000" s="33" t="n">
        <v>45917</v>
      </c>
      <c r="B3000" t="inlineStr">
        <is>
          <t>2025-09</t>
        </is>
      </c>
      <c r="C3000" t="inlineStr">
        <is>
          <t>Pedro ochoa</t>
        </is>
      </c>
      <c r="D3000" t="inlineStr">
        <is>
          <t>Rellenos</t>
        </is>
      </c>
      <c r="E3000" s="34" t="n">
        <v>23900</v>
      </c>
      <c r="F3000" t="inlineStr">
        <is>
          <t>B</t>
        </is>
      </c>
      <c r="G3000" s="34" t="n">
        <v>3816</v>
      </c>
      <c r="H3000" s="34" t="n">
        <v>20084</v>
      </c>
      <c r="I3000" t="inlineStr">
        <is>
          <t>3.2</t>
        </is>
      </c>
      <c r="J3000" t="inlineStr">
        <is>
          <t>Ventas Personas (B2C)</t>
        </is>
      </c>
      <c r="K3000" t="inlineStr">
        <is>
          <t>CH2</t>
        </is>
      </c>
    </row>
    <row r="3001">
      <c r="A3001" s="33" t="n">
        <v>45917</v>
      </c>
      <c r="B3001" t="inlineStr">
        <is>
          <t>2025-09</t>
        </is>
      </c>
      <c r="C3001" t="inlineStr">
        <is>
          <t>Blanca Del Prado</t>
        </is>
      </c>
      <c r="D3001" t="inlineStr">
        <is>
          <t>Rellenos</t>
        </is>
      </c>
      <c r="E3001" s="34" t="n">
        <v>28890</v>
      </c>
      <c r="F3001" t="inlineStr">
        <is>
          <t>B</t>
        </is>
      </c>
      <c r="G3001" s="34" t="n">
        <v>4613</v>
      </c>
      <c r="H3001" s="34" t="n">
        <v>24277</v>
      </c>
      <c r="I3001" t="inlineStr">
        <is>
          <t>3.2</t>
        </is>
      </c>
      <c r="J3001" t="inlineStr">
        <is>
          <t>Ventas Personas (B2C)</t>
        </is>
      </c>
      <c r="K3001" t="inlineStr">
        <is>
          <t>CH2</t>
        </is>
      </c>
    </row>
    <row r="3002">
      <c r="A3002" s="33" t="n">
        <v>45917</v>
      </c>
      <c r="B3002" t="inlineStr">
        <is>
          <t>2025-09</t>
        </is>
      </c>
      <c r="C3002" t="inlineStr">
        <is>
          <t>Javiera Valenzuela</t>
        </is>
      </c>
      <c r="D3002" t="inlineStr">
        <is>
          <t>Rellenos</t>
        </is>
      </c>
      <c r="E3002" s="34" t="n">
        <v>20889</v>
      </c>
      <c r="F3002" t="inlineStr">
        <is>
          <t>B</t>
        </is>
      </c>
      <c r="G3002" s="34" t="n">
        <v>3335</v>
      </c>
      <c r="H3002" s="34" t="n">
        <v>17554</v>
      </c>
      <c r="I3002" t="inlineStr">
        <is>
          <t>3.2</t>
        </is>
      </c>
      <c r="J3002" t="inlineStr">
        <is>
          <t>Ventas Personas (B2C)</t>
        </is>
      </c>
      <c r="K3002" t="inlineStr">
        <is>
          <t>CH2</t>
        </is>
      </c>
    </row>
    <row r="3003">
      <c r="A3003" s="33" t="n">
        <v>45917</v>
      </c>
      <c r="B3003" t="inlineStr">
        <is>
          <t>2025-09</t>
        </is>
      </c>
      <c r="C3003" t="inlineStr">
        <is>
          <t>Sin cliente</t>
        </is>
      </c>
      <c r="D3003" t="inlineStr">
        <is>
          <t>Petit Crunchy</t>
        </is>
      </c>
      <c r="E3003" s="34" t="n">
        <v>35800</v>
      </c>
      <c r="F3003" t="inlineStr">
        <is>
          <t>B</t>
        </is>
      </c>
      <c r="G3003" s="34" t="n">
        <v>5716</v>
      </c>
      <c r="H3003" s="34" t="n">
        <v>30084</v>
      </c>
      <c r="I3003" t="inlineStr">
        <is>
          <t>3.2</t>
        </is>
      </c>
      <c r="J3003" t="inlineStr">
        <is>
          <t>Ventas Personas (B2C)</t>
        </is>
      </c>
      <c r="K3003" t="inlineStr">
        <is>
          <t>CH2</t>
        </is>
      </c>
    </row>
    <row r="3004">
      <c r="A3004" s="33" t="n">
        <v>45920</v>
      </c>
      <c r="B3004" t="inlineStr">
        <is>
          <t>2025-09</t>
        </is>
      </c>
      <c r="C3004" t="inlineStr">
        <is>
          <t>Rudy Aravena</t>
        </is>
      </c>
      <c r="D3004" t="inlineStr">
        <is>
          <t>Petit Crunchy</t>
        </is>
      </c>
      <c r="E3004" s="34" t="n">
        <v>30010</v>
      </c>
      <c r="F3004" t="inlineStr">
        <is>
          <t>B</t>
        </is>
      </c>
      <c r="G3004" s="34" t="n">
        <v>4792</v>
      </c>
      <c r="H3004" s="34" t="n">
        <v>25218</v>
      </c>
      <c r="I3004" t="inlineStr">
        <is>
          <t>3.2</t>
        </is>
      </c>
      <c r="J3004" t="inlineStr">
        <is>
          <t>Ventas Personas (B2C)</t>
        </is>
      </c>
      <c r="K3004" t="inlineStr">
        <is>
          <t>CH2</t>
        </is>
      </c>
    </row>
    <row r="3005">
      <c r="A3005" s="33" t="n">
        <v>45920</v>
      </c>
      <c r="B3005" t="inlineStr">
        <is>
          <t>2025-09</t>
        </is>
      </c>
      <c r="C3005" t="inlineStr">
        <is>
          <t>MARIA BURGOS</t>
        </is>
      </c>
      <c r="D3005" t="inlineStr">
        <is>
          <t>Petit Crunchy</t>
        </is>
      </c>
      <c r="E3005" s="34" t="n">
        <v>16889</v>
      </c>
      <c r="F3005" t="inlineStr">
        <is>
          <t>B</t>
        </is>
      </c>
      <c r="G3005" s="34" t="n">
        <v>2697</v>
      </c>
      <c r="H3005" s="34" t="n">
        <v>14192</v>
      </c>
      <c r="I3005" t="inlineStr">
        <is>
          <t>3.2</t>
        </is>
      </c>
      <c r="J3005" t="inlineStr">
        <is>
          <t>Ventas Personas (B2C)</t>
        </is>
      </c>
      <c r="K3005" t="inlineStr">
        <is>
          <t>CH2</t>
        </is>
      </c>
    </row>
    <row r="3006">
      <c r="A3006" s="33" t="n">
        <v>45920</v>
      </c>
      <c r="B3006" t="inlineStr">
        <is>
          <t>2025-09</t>
        </is>
      </c>
      <c r="C3006" t="inlineStr">
        <is>
          <t>Viviana Orrego</t>
        </is>
      </c>
      <c r="D3006" t="inlineStr">
        <is>
          <t>Rellenos</t>
        </is>
      </c>
      <c r="E3006" s="34" t="n">
        <v>13990</v>
      </c>
      <c r="F3006" t="inlineStr">
        <is>
          <t>B</t>
        </is>
      </c>
      <c r="G3006" s="34" t="n">
        <v>2234</v>
      </c>
      <c r="H3006" s="34" t="n">
        <v>11756</v>
      </c>
      <c r="I3006" t="inlineStr">
        <is>
          <t>3.2</t>
        </is>
      </c>
      <c r="J3006" t="inlineStr">
        <is>
          <t>Ventas Personas (B2C)</t>
        </is>
      </c>
      <c r="K3006" t="inlineStr">
        <is>
          <t>CH2</t>
        </is>
      </c>
    </row>
    <row r="3007">
      <c r="A3007" s="33" t="n">
        <v>45922</v>
      </c>
      <c r="B3007" t="inlineStr">
        <is>
          <t>2025-09</t>
        </is>
      </c>
      <c r="C3007" t="inlineStr">
        <is>
          <t>GALO SPA</t>
        </is>
      </c>
      <c r="D3007" t="inlineStr">
        <is>
          <t>HORECA CAFETERIA</t>
        </is>
      </c>
      <c r="E3007" s="34" t="n">
        <v>187345</v>
      </c>
      <c r="F3007" t="inlineStr">
        <is>
          <t>F</t>
        </is>
      </c>
      <c r="G3007" s="34" t="n">
        <v>29912</v>
      </c>
      <c r="H3007" s="34" t="n">
        <v>157433</v>
      </c>
      <c r="I3007" t="inlineStr">
        <is>
          <t>3.1</t>
        </is>
      </c>
      <c r="J3007" t="inlineStr">
        <is>
          <t>Ventas HoReCa</t>
        </is>
      </c>
      <c r="K3007" t="inlineStr">
        <is>
          <t>CH1</t>
        </is>
      </c>
    </row>
    <row r="3008">
      <c r="A3008" s="33" t="n">
        <v>45922</v>
      </c>
      <c r="B3008" t="inlineStr">
        <is>
          <t>2025-09</t>
        </is>
      </c>
      <c r="C3008" t="inlineStr">
        <is>
          <t>CAFETERÍA ALTURA LIMITADA</t>
        </is>
      </c>
      <c r="D3008" t="inlineStr">
        <is>
          <t>HORECA CAFETERIA</t>
        </is>
      </c>
      <c r="E3008" s="34" t="n">
        <v>31271</v>
      </c>
      <c r="F3008" t="inlineStr">
        <is>
          <t>F</t>
        </is>
      </c>
      <c r="G3008" s="34" t="n">
        <v>4993</v>
      </c>
      <c r="H3008" s="34" t="n">
        <v>26278</v>
      </c>
      <c r="I3008" t="inlineStr">
        <is>
          <t>3.1</t>
        </is>
      </c>
      <c r="J3008" t="inlineStr">
        <is>
          <t>Ventas HoReCa</t>
        </is>
      </c>
      <c r="K3008" t="inlineStr">
        <is>
          <t>CH1</t>
        </is>
      </c>
    </row>
    <row r="3009">
      <c r="A3009" s="33" t="n">
        <v>45922</v>
      </c>
      <c r="B3009" t="inlineStr">
        <is>
          <t>2025-09</t>
        </is>
      </c>
      <c r="C3009" t="inlineStr">
        <is>
          <t>INVERSIONES Y COMERCIALIZADORA FED LIMITADA</t>
        </is>
      </c>
      <c r="D3009" t="inlineStr">
        <is>
          <t>HORECA CAFETERIA</t>
        </is>
      </c>
      <c r="E3009" s="34" t="n">
        <v>307579</v>
      </c>
      <c r="F3009" t="inlineStr">
        <is>
          <t>F</t>
        </is>
      </c>
      <c r="G3009" s="34" t="n">
        <v>49109</v>
      </c>
      <c r="H3009" s="34" t="n">
        <v>258470</v>
      </c>
      <c r="I3009" t="inlineStr">
        <is>
          <t>3.1</t>
        </is>
      </c>
      <c r="J3009" t="inlineStr">
        <is>
          <t>Ventas HoReCa</t>
        </is>
      </c>
      <c r="K3009" t="inlineStr">
        <is>
          <t>CH1</t>
        </is>
      </c>
    </row>
    <row r="3010">
      <c r="A3010" s="33" t="n">
        <v>45922</v>
      </c>
      <c r="B3010" t="inlineStr">
        <is>
          <t>2025-09</t>
        </is>
      </c>
      <c r="C3010" t="inlineStr">
        <is>
          <t>INVERSIONES Y COMERCIALIZADORA FED LIMITADA</t>
        </is>
      </c>
      <c r="D3010" t="inlineStr">
        <is>
          <t>HORECA CAFETERIA</t>
        </is>
      </c>
      <c r="E3010" s="34" t="n">
        <v>116618</v>
      </c>
      <c r="F3010" t="inlineStr">
        <is>
          <t>F</t>
        </is>
      </c>
      <c r="G3010" s="34" t="n">
        <v>18620</v>
      </c>
      <c r="H3010" s="34" t="n">
        <v>97998</v>
      </c>
      <c r="I3010" t="inlineStr">
        <is>
          <t>3.1</t>
        </is>
      </c>
      <c r="J3010" t="inlineStr">
        <is>
          <t>Ventas HoReCa</t>
        </is>
      </c>
      <c r="K3010" t="inlineStr">
        <is>
          <t>CH1</t>
        </is>
      </c>
    </row>
    <row r="3011">
      <c r="A3011" s="33" t="n">
        <v>45922</v>
      </c>
      <c r="B3011" t="inlineStr">
        <is>
          <t>2025-09</t>
        </is>
      </c>
      <c r="C3011" t="inlineStr">
        <is>
          <t>RICO SPA</t>
        </is>
      </c>
      <c r="D3011" t="inlineStr">
        <is>
          <t>HORECA CATERING</t>
        </is>
      </c>
      <c r="E3011" s="34" t="n">
        <v>212189</v>
      </c>
      <c r="F3011" t="inlineStr">
        <is>
          <t>F</t>
        </is>
      </c>
      <c r="G3011" s="34" t="n">
        <v>33879</v>
      </c>
      <c r="H3011" s="34" t="n">
        <v>178310</v>
      </c>
      <c r="I3011" t="inlineStr">
        <is>
          <t>3.1</t>
        </is>
      </c>
      <c r="J3011" t="inlineStr">
        <is>
          <t>Ventas HoReCa</t>
        </is>
      </c>
      <c r="K3011" t="inlineStr">
        <is>
          <t>CH1</t>
        </is>
      </c>
    </row>
    <row r="3012">
      <c r="A3012" s="33" t="n">
        <v>45922</v>
      </c>
      <c r="B3012" t="inlineStr">
        <is>
          <t>2025-09</t>
        </is>
      </c>
      <c r="C3012" t="inlineStr">
        <is>
          <t>Sin cliente</t>
        </is>
      </c>
      <c r="D3012" t="inlineStr">
        <is>
          <t>CANELÉ TRADICIONAL</t>
        </is>
      </c>
      <c r="E3012" s="34" t="n">
        <v>31800</v>
      </c>
      <c r="F3012" t="inlineStr">
        <is>
          <t>B</t>
        </is>
      </c>
      <c r="G3012" s="34" t="n">
        <v>5077</v>
      </c>
      <c r="H3012" s="34" t="n">
        <v>26723</v>
      </c>
      <c r="I3012" t="inlineStr">
        <is>
          <t>3.2</t>
        </is>
      </c>
      <c r="J3012" t="inlineStr">
        <is>
          <t>Ventas Personas (B2C)</t>
        </is>
      </c>
      <c r="K3012" t="inlineStr">
        <is>
          <t>CH2</t>
        </is>
      </c>
    </row>
    <row r="3013">
      <c r="A3013" s="33" t="n">
        <v>45922</v>
      </c>
      <c r="B3013" t="inlineStr">
        <is>
          <t>2025-09</t>
        </is>
      </c>
      <c r="C3013" t="inlineStr">
        <is>
          <t>Sin cliente</t>
        </is>
      </c>
      <c r="D3013" t="inlineStr">
        <is>
          <t>CANELÉ TRADICIONAL</t>
        </is>
      </c>
      <c r="E3013" s="34" t="n">
        <v>14900</v>
      </c>
      <c r="F3013" t="inlineStr">
        <is>
          <t>B</t>
        </is>
      </c>
      <c r="G3013" s="34" t="n">
        <v>2379</v>
      </c>
      <c r="H3013" s="34" t="n">
        <v>12521</v>
      </c>
      <c r="I3013" t="inlineStr">
        <is>
          <t>3.2</t>
        </is>
      </c>
      <c r="J3013" t="inlineStr">
        <is>
          <t>Ventas Personas (B2C)</t>
        </is>
      </c>
      <c r="K3013" t="inlineStr">
        <is>
          <t>CH2</t>
        </is>
      </c>
    </row>
    <row r="3014">
      <c r="A3014" s="33" t="n">
        <v>45922</v>
      </c>
      <c r="B3014" t="inlineStr">
        <is>
          <t>2025-09</t>
        </is>
      </c>
      <c r="C3014" t="inlineStr">
        <is>
          <t>Sin cliente</t>
        </is>
      </c>
      <c r="D3014" t="inlineStr">
        <is>
          <t>CANELE SIN AZUCAR</t>
        </is>
      </c>
      <c r="E3014" s="34" t="n">
        <v>33800</v>
      </c>
      <c r="F3014" t="inlineStr">
        <is>
          <t>B</t>
        </is>
      </c>
      <c r="G3014" s="34" t="n">
        <v>5397</v>
      </c>
      <c r="H3014" s="34" t="n">
        <v>28403</v>
      </c>
      <c r="I3014" t="inlineStr">
        <is>
          <t>3.2</t>
        </is>
      </c>
      <c r="J3014" t="inlineStr">
        <is>
          <t>Ventas Personas (B2C)</t>
        </is>
      </c>
      <c r="K3014" t="inlineStr">
        <is>
          <t>CH2</t>
        </is>
      </c>
    </row>
    <row r="3015">
      <c r="A3015" s="33" t="n">
        <v>45922</v>
      </c>
      <c r="B3015" t="inlineStr">
        <is>
          <t>2025-09</t>
        </is>
      </c>
      <c r="C3015" t="inlineStr">
        <is>
          <t>Sin cliente</t>
        </is>
      </c>
      <c r="D3015" t="inlineStr">
        <is>
          <t>Rellenos</t>
        </is>
      </c>
      <c r="E3015" s="34" t="n">
        <v>42600</v>
      </c>
      <c r="F3015" t="inlineStr">
        <is>
          <t>B</t>
        </is>
      </c>
      <c r="G3015" s="34" t="n">
        <v>6802</v>
      </c>
      <c r="H3015" s="34" t="n">
        <v>35798</v>
      </c>
      <c r="I3015" t="inlineStr">
        <is>
          <t>3.2</t>
        </is>
      </c>
      <c r="J3015" t="inlineStr">
        <is>
          <t>Ventas Personas (B2C)</t>
        </is>
      </c>
      <c r="K3015" t="inlineStr">
        <is>
          <t>CH2</t>
        </is>
      </c>
    </row>
    <row r="3016">
      <c r="A3016" s="33" t="n">
        <v>45922</v>
      </c>
      <c r="B3016" t="inlineStr">
        <is>
          <t>2025-09</t>
        </is>
      </c>
      <c r="C3016" t="inlineStr">
        <is>
          <t>Sin cliente</t>
        </is>
      </c>
      <c r="D3016" t="inlineStr">
        <is>
          <t>CANELÉ TRADICIONAL</t>
        </is>
      </c>
      <c r="E3016" s="34" t="n">
        <v>20280</v>
      </c>
      <c r="F3016" t="inlineStr">
        <is>
          <t>B</t>
        </is>
      </c>
      <c r="G3016" s="34" t="n">
        <v>3238</v>
      </c>
      <c r="H3016" s="34" t="n">
        <v>17042</v>
      </c>
      <c r="I3016" t="inlineStr">
        <is>
          <t>3.2</t>
        </is>
      </c>
      <c r="J3016" t="inlineStr">
        <is>
          <t>Ventas Personas (B2C)</t>
        </is>
      </c>
      <c r="K3016" t="inlineStr">
        <is>
          <t>CH2</t>
        </is>
      </c>
    </row>
    <row r="3017">
      <c r="A3017" s="33" t="n">
        <v>45922</v>
      </c>
      <c r="B3017" t="inlineStr">
        <is>
          <t>2025-09</t>
        </is>
      </c>
      <c r="C3017" t="inlineStr">
        <is>
          <t>Manuela Celis Nadales</t>
        </is>
      </c>
      <c r="D3017" t="inlineStr">
        <is>
          <t>Rellenos</t>
        </is>
      </c>
      <c r="E3017" s="34" t="n">
        <v>35800</v>
      </c>
      <c r="F3017" t="inlineStr">
        <is>
          <t>B</t>
        </is>
      </c>
      <c r="G3017" s="34" t="n">
        <v>5716</v>
      </c>
      <c r="H3017" s="34" t="n">
        <v>30084</v>
      </c>
      <c r="I3017" t="inlineStr">
        <is>
          <t>3.2</t>
        </is>
      </c>
      <c r="J3017" t="inlineStr">
        <is>
          <t>Ventas Personas (B2C)</t>
        </is>
      </c>
      <c r="K3017" t="inlineStr">
        <is>
          <t>CH2</t>
        </is>
      </c>
    </row>
    <row r="3018">
      <c r="A3018" s="33" t="n">
        <v>45922</v>
      </c>
      <c r="B3018" t="inlineStr">
        <is>
          <t>2025-09</t>
        </is>
      </c>
      <c r="C3018" t="inlineStr">
        <is>
          <t>Diana Borchard</t>
        </is>
      </c>
      <c r="D3018" t="inlineStr">
        <is>
          <t>CANELÉ TRADICIONAL</t>
        </is>
      </c>
      <c r="E3018" s="34" t="n">
        <v>39789</v>
      </c>
      <c r="F3018" t="inlineStr">
        <is>
          <t>B</t>
        </is>
      </c>
      <c r="G3018" s="34" t="n">
        <v>6353</v>
      </c>
      <c r="H3018" s="34" t="n">
        <v>33436</v>
      </c>
      <c r="I3018" t="inlineStr">
        <is>
          <t>3.2</t>
        </is>
      </c>
      <c r="J3018" t="inlineStr">
        <is>
          <t>Ventas Personas (B2C)</t>
        </is>
      </c>
      <c r="K3018" t="inlineStr">
        <is>
          <t>CH2</t>
        </is>
      </c>
    </row>
    <row r="3019">
      <c r="A3019" s="33" t="n">
        <v>45922</v>
      </c>
      <c r="B3019" t="inlineStr">
        <is>
          <t>2025-09</t>
        </is>
      </c>
      <c r="C3019" t="inlineStr">
        <is>
          <t>Inversiones Rico SpA</t>
        </is>
      </c>
      <c r="D3019" t="inlineStr">
        <is>
          <t>HORECA CATERING</t>
        </is>
      </c>
      <c r="E3019" s="34" t="n">
        <v>111384</v>
      </c>
      <c r="F3019" t="inlineStr">
        <is>
          <t>F</t>
        </is>
      </c>
      <c r="G3019" s="34" t="n">
        <v>17784</v>
      </c>
      <c r="H3019" s="34" t="n">
        <v>93600</v>
      </c>
      <c r="I3019" t="inlineStr">
        <is>
          <t>3.1</t>
        </is>
      </c>
      <c r="J3019" t="inlineStr">
        <is>
          <t>Ventas HoReCa</t>
        </is>
      </c>
      <c r="K3019" t="inlineStr">
        <is>
          <t>CH1</t>
        </is>
      </c>
    </row>
    <row r="3020">
      <c r="A3020" s="33" t="n">
        <v>45922</v>
      </c>
      <c r="B3020" t="inlineStr">
        <is>
          <t>2025-09</t>
        </is>
      </c>
      <c r="C3020" t="inlineStr">
        <is>
          <t>RICO SPA</t>
        </is>
      </c>
      <c r="D3020" t="inlineStr">
        <is>
          <t>HORECA CATERING</t>
        </is>
      </c>
      <c r="E3020" s="34" t="n">
        <v>-212189</v>
      </c>
      <c r="F3020" t="inlineStr">
        <is>
          <t>NC</t>
        </is>
      </c>
      <c r="G3020" s="34" t="n">
        <v>-33879</v>
      </c>
      <c r="H3020" s="34" t="n">
        <v>-178310</v>
      </c>
      <c r="I3020" t="inlineStr">
        <is>
          <t>3.1</t>
        </is>
      </c>
      <c r="J3020" t="inlineStr">
        <is>
          <t>Ventas HoReCa</t>
        </is>
      </c>
      <c r="K3020" t="inlineStr">
        <is>
          <t>CH1</t>
        </is>
      </c>
    </row>
    <row r="3021">
      <c r="A3021" s="33" t="n">
        <v>45922</v>
      </c>
      <c r="B3021" t="inlineStr">
        <is>
          <t>2025-09</t>
        </is>
      </c>
      <c r="C3021" t="inlineStr">
        <is>
          <t>Ignacio Ulloa Gallardo</t>
        </is>
      </c>
      <c r="D3021" t="inlineStr">
        <is>
          <t>CANELÉ TRADICIONAL</t>
        </is>
      </c>
      <c r="E3021" s="34" t="n">
        <v>10490</v>
      </c>
      <c r="F3021" t="inlineStr">
        <is>
          <t>B</t>
        </is>
      </c>
      <c r="G3021" s="34" t="n">
        <v>1675</v>
      </c>
      <c r="H3021" s="34" t="n">
        <v>8815</v>
      </c>
      <c r="I3021" t="inlineStr">
        <is>
          <t>3.2</t>
        </is>
      </c>
      <c r="J3021" t="inlineStr">
        <is>
          <t>Ventas Personas (B2C)</t>
        </is>
      </c>
      <c r="K3021" t="inlineStr">
        <is>
          <t>CH2</t>
        </is>
      </c>
    </row>
    <row r="3022">
      <c r="A3022" s="33" t="n">
        <v>45922</v>
      </c>
      <c r="B3022" t="inlineStr">
        <is>
          <t>2025-09</t>
        </is>
      </c>
      <c r="C3022" t="inlineStr">
        <is>
          <t>Sin cliente</t>
        </is>
      </c>
      <c r="D3022" t="inlineStr">
        <is>
          <t>PLATAFORMAS RAP-PEYA-UBER-GOOD</t>
        </is>
      </c>
      <c r="E3022" s="34" t="n">
        <v>16140</v>
      </c>
      <c r="F3022" t="inlineStr">
        <is>
          <t>B</t>
        </is>
      </c>
      <c r="G3022" s="34" t="n">
        <v>2577</v>
      </c>
      <c r="H3022" s="34" t="n">
        <v>13563</v>
      </c>
      <c r="I3022" t="inlineStr">
        <is>
          <t>3.6</t>
        </is>
      </c>
      <c r="J3022" t="inlineStr">
        <is>
          <t>Ventas Delivery Apps</t>
        </is>
      </c>
      <c r="K3022" t="inlineStr">
        <is>
          <t>CH3</t>
        </is>
      </c>
    </row>
    <row r="3023">
      <c r="A3023" s="33" t="n">
        <v>45922</v>
      </c>
      <c r="B3023" t="inlineStr">
        <is>
          <t>2025-09</t>
        </is>
      </c>
      <c r="C3023" t="inlineStr">
        <is>
          <t>Sin cliente</t>
        </is>
      </c>
      <c r="D3023" t="inlineStr">
        <is>
          <t>Petit Tradicional</t>
        </is>
      </c>
      <c r="E3023" s="34" t="n">
        <v>8900</v>
      </c>
      <c r="F3023" t="inlineStr">
        <is>
          <t>B</t>
        </is>
      </c>
      <c r="G3023" s="34" t="n">
        <v>1421</v>
      </c>
      <c r="H3023" s="34" t="n">
        <v>7479</v>
      </c>
      <c r="I3023" t="inlineStr">
        <is>
          <t>3.2</t>
        </is>
      </c>
      <c r="J3023" t="inlineStr">
        <is>
          <t>Ventas Personas (B2C)</t>
        </is>
      </c>
      <c r="K3023" t="inlineStr">
        <is>
          <t>CH2</t>
        </is>
      </c>
    </row>
    <row r="3024">
      <c r="A3024" s="33" t="n">
        <v>45922</v>
      </c>
      <c r="B3024" t="inlineStr">
        <is>
          <t>2025-09</t>
        </is>
      </c>
      <c r="C3024" t="inlineStr">
        <is>
          <t>INVERSIONES Y ASESORIAS RAVAL LIMITADA</t>
        </is>
      </c>
      <c r="D3024" t="inlineStr">
        <is>
          <t>HORECA CAFETERIA</t>
        </is>
      </c>
      <c r="E3024" s="34" t="n">
        <v>68179</v>
      </c>
      <c r="F3024" t="inlineStr">
        <is>
          <t>F</t>
        </is>
      </c>
      <c r="G3024" s="34" t="n">
        <v>10886</v>
      </c>
      <c r="H3024" s="34" t="n">
        <v>57293</v>
      </c>
      <c r="I3024" t="inlineStr">
        <is>
          <t>3.1</t>
        </is>
      </c>
      <c r="J3024" t="inlineStr">
        <is>
          <t>Ventas HoReCa</t>
        </is>
      </c>
      <c r="K3024" t="inlineStr">
        <is>
          <t>CH1</t>
        </is>
      </c>
    </row>
    <row r="3025">
      <c r="A3025" s="33" t="n">
        <v>45922</v>
      </c>
      <c r="B3025" t="inlineStr">
        <is>
          <t>2025-09</t>
        </is>
      </c>
      <c r="C3025" t="inlineStr">
        <is>
          <t>Sin cliente</t>
        </is>
      </c>
      <c r="D3025" t="inlineStr">
        <is>
          <t>PLATAFORMAS RAP-PEYA-UBER-GOOD</t>
        </is>
      </c>
      <c r="E3025" s="34" t="n">
        <v>7200</v>
      </c>
      <c r="F3025" t="inlineStr">
        <is>
          <t>B</t>
        </is>
      </c>
      <c r="G3025" s="34" t="n">
        <v>1150</v>
      </c>
      <c r="H3025" s="34" t="n">
        <v>6050</v>
      </c>
      <c r="I3025" t="inlineStr">
        <is>
          <t>3.6</t>
        </is>
      </c>
      <c r="J3025" t="inlineStr">
        <is>
          <t>Ventas Delivery Apps</t>
        </is>
      </c>
      <c r="K3025" t="inlineStr">
        <is>
          <t>CH3</t>
        </is>
      </c>
    </row>
    <row r="3026">
      <c r="A3026" s="33" t="n">
        <v>45922</v>
      </c>
      <c r="B3026" t="inlineStr">
        <is>
          <t>2025-09</t>
        </is>
      </c>
      <c r="C3026" t="inlineStr">
        <is>
          <t>Sin cliente</t>
        </is>
      </c>
      <c r="D3026" t="inlineStr">
        <is>
          <t>Rellenos</t>
        </is>
      </c>
      <c r="E3026" s="34" t="n">
        <v>19120</v>
      </c>
      <c r="F3026" t="inlineStr">
        <is>
          <t>B</t>
        </is>
      </c>
      <c r="G3026" s="34" t="n">
        <v>3053</v>
      </c>
      <c r="H3026" s="34" t="n">
        <v>16067</v>
      </c>
      <c r="I3026" t="inlineStr">
        <is>
          <t>3.2</t>
        </is>
      </c>
      <c r="J3026" t="inlineStr">
        <is>
          <t>Ventas Personas (B2C)</t>
        </is>
      </c>
      <c r="K3026" t="inlineStr">
        <is>
          <t>CH2</t>
        </is>
      </c>
    </row>
    <row r="3027">
      <c r="A3027" s="33" t="n">
        <v>45922</v>
      </c>
      <c r="B3027" t="inlineStr">
        <is>
          <t>2025-09</t>
        </is>
      </c>
      <c r="C3027" t="inlineStr">
        <is>
          <t>Sin cliente</t>
        </is>
      </c>
      <c r="D3027" t="inlineStr">
        <is>
          <t>Rellenos</t>
        </is>
      </c>
      <c r="E3027" s="34" t="n">
        <v>12000</v>
      </c>
      <c r="F3027" t="inlineStr">
        <is>
          <t>B</t>
        </is>
      </c>
      <c r="G3027" s="34" t="n">
        <v>1916</v>
      </c>
      <c r="H3027" s="34" t="n">
        <v>10084</v>
      </c>
      <c r="I3027" t="inlineStr">
        <is>
          <t>3.2</t>
        </is>
      </c>
      <c r="J3027" t="inlineStr">
        <is>
          <t>Ventas Personas (B2C)</t>
        </is>
      </c>
      <c r="K3027" t="inlineStr">
        <is>
          <t>CH2</t>
        </is>
      </c>
    </row>
    <row r="3028">
      <c r="A3028" s="33" t="n">
        <v>45922</v>
      </c>
      <c r="B3028" t="inlineStr">
        <is>
          <t>2025-09</t>
        </is>
      </c>
      <c r="C3028" t="inlineStr">
        <is>
          <t>Fernando Saka</t>
        </is>
      </c>
      <c r="D3028" t="inlineStr">
        <is>
          <t>Rellenos</t>
        </is>
      </c>
      <c r="E3028" s="34" t="n">
        <v>28890</v>
      </c>
      <c r="F3028" t="inlineStr">
        <is>
          <t>B</t>
        </is>
      </c>
      <c r="G3028" s="34" t="n">
        <v>4613</v>
      </c>
      <c r="H3028" s="34" t="n">
        <v>24277</v>
      </c>
      <c r="I3028" t="inlineStr">
        <is>
          <t>3.2</t>
        </is>
      </c>
      <c r="J3028" t="inlineStr">
        <is>
          <t>Ventas Personas (B2C)</t>
        </is>
      </c>
      <c r="K3028" t="inlineStr">
        <is>
          <t>CH2</t>
        </is>
      </c>
    </row>
    <row r="3029">
      <c r="A3029" s="33" t="n">
        <v>45922</v>
      </c>
      <c r="B3029" t="inlineStr">
        <is>
          <t>2025-09</t>
        </is>
      </c>
      <c r="C3029" t="inlineStr">
        <is>
          <t>Cristobal Cofre</t>
        </is>
      </c>
      <c r="D3029" t="inlineStr">
        <is>
          <t>Rellenos</t>
        </is>
      </c>
      <c r="E3029" s="34" t="n">
        <v>31890</v>
      </c>
      <c r="F3029" t="inlineStr">
        <is>
          <t>B</t>
        </is>
      </c>
      <c r="G3029" s="34" t="n">
        <v>5092</v>
      </c>
      <c r="H3029" s="34" t="n">
        <v>26798</v>
      </c>
      <c r="I3029" t="inlineStr">
        <is>
          <t>3.2</t>
        </is>
      </c>
      <c r="J3029" t="inlineStr">
        <is>
          <t>Ventas Personas (B2C)</t>
        </is>
      </c>
      <c r="K3029" t="inlineStr">
        <is>
          <t>CH2</t>
        </is>
      </c>
    </row>
    <row r="3030">
      <c r="A3030" s="33" t="n">
        <v>45922</v>
      </c>
      <c r="B3030" t="inlineStr">
        <is>
          <t>2025-09</t>
        </is>
      </c>
      <c r="C3030" t="inlineStr">
        <is>
          <t>Javier Vargas</t>
        </is>
      </c>
      <c r="D3030" t="inlineStr">
        <is>
          <t>CANELE SIN AZUCAR</t>
        </is>
      </c>
      <c r="E3030" s="34" t="n">
        <v>29689</v>
      </c>
      <c r="F3030" t="inlineStr">
        <is>
          <t>B</t>
        </is>
      </c>
      <c r="G3030" s="34" t="n">
        <v>4740</v>
      </c>
      <c r="H3030" s="34" t="n">
        <v>24949</v>
      </c>
      <c r="I3030" t="inlineStr">
        <is>
          <t>3.2</t>
        </is>
      </c>
      <c r="J3030" t="inlineStr">
        <is>
          <t>Ventas Personas (B2C)</t>
        </is>
      </c>
      <c r="K3030" t="inlineStr">
        <is>
          <t>CH2</t>
        </is>
      </c>
    </row>
    <row r="3031">
      <c r="A3031" s="33" t="n">
        <v>45922</v>
      </c>
      <c r="B3031" t="inlineStr">
        <is>
          <t>2025-09</t>
        </is>
      </c>
      <c r="C3031" t="inlineStr">
        <is>
          <t>Sin cliente</t>
        </is>
      </c>
      <c r="D3031" t="inlineStr">
        <is>
          <t>Rellenos</t>
        </is>
      </c>
      <c r="E3031" s="34" t="n">
        <v>35880</v>
      </c>
      <c r="F3031" t="inlineStr">
        <is>
          <t>B</t>
        </is>
      </c>
      <c r="G3031" s="34" t="n">
        <v>5729</v>
      </c>
      <c r="H3031" s="34" t="n">
        <v>30151</v>
      </c>
      <c r="I3031" t="inlineStr">
        <is>
          <t>3.2</t>
        </is>
      </c>
      <c r="J3031" t="inlineStr">
        <is>
          <t>Ventas Personas (B2C)</t>
        </is>
      </c>
      <c r="K3031" t="inlineStr">
        <is>
          <t>CH2</t>
        </is>
      </c>
    </row>
    <row r="3032">
      <c r="A3032" s="33" t="n">
        <v>45923</v>
      </c>
      <c r="B3032" t="inlineStr">
        <is>
          <t>2025-09</t>
        </is>
      </c>
      <c r="C3032" t="inlineStr">
        <is>
          <t>BLUE OAK COFFE SPA</t>
        </is>
      </c>
      <c r="D3032" t="inlineStr">
        <is>
          <t>HORECA CAFETERIA</t>
        </is>
      </c>
      <c r="E3032" s="34" t="n">
        <v>36084</v>
      </c>
      <c r="F3032" t="inlineStr">
        <is>
          <t>F</t>
        </is>
      </c>
      <c r="G3032" s="34" t="n">
        <v>5761</v>
      </c>
      <c r="H3032" s="34" t="n">
        <v>30323</v>
      </c>
      <c r="I3032" t="inlineStr">
        <is>
          <t>3.1</t>
        </is>
      </c>
      <c r="J3032" t="inlineStr">
        <is>
          <t>Ventas HoReCa</t>
        </is>
      </c>
      <c r="K3032" t="inlineStr">
        <is>
          <t>CH1</t>
        </is>
      </c>
    </row>
    <row r="3033">
      <c r="A3033" s="33" t="n">
        <v>45923</v>
      </c>
      <c r="B3033" t="inlineStr">
        <is>
          <t>2025-09</t>
        </is>
      </c>
      <c r="C3033" t="inlineStr">
        <is>
          <t>Clark Veloso Valenzuela</t>
        </is>
      </c>
      <c r="D3033" t="inlineStr">
        <is>
          <t>HORECA CAFETERIA</t>
        </is>
      </c>
      <c r="E3033" s="34" t="n">
        <v>69178</v>
      </c>
      <c r="F3033" t="inlineStr">
        <is>
          <t>F</t>
        </is>
      </c>
      <c r="G3033" s="34" t="n">
        <v>11045</v>
      </c>
      <c r="H3033" s="34" t="n">
        <v>58133</v>
      </c>
      <c r="I3033" t="inlineStr">
        <is>
          <t>3.1</t>
        </is>
      </c>
      <c r="J3033" t="inlineStr">
        <is>
          <t>Ventas HoReCa</t>
        </is>
      </c>
      <c r="K3033" t="inlineStr">
        <is>
          <t>CH1</t>
        </is>
      </c>
    </row>
    <row r="3034">
      <c r="A3034" s="33" t="n">
        <v>45923</v>
      </c>
      <c r="B3034" t="inlineStr">
        <is>
          <t>2025-09</t>
        </is>
      </c>
      <c r="C3034" t="inlineStr">
        <is>
          <t>NACIÓN CAFÉ SPA</t>
        </is>
      </c>
      <c r="D3034" t="inlineStr">
        <is>
          <t>HORECA CAFETERIA</t>
        </is>
      </c>
      <c r="E3034" s="34" t="n">
        <v>71463</v>
      </c>
      <c r="F3034" t="inlineStr">
        <is>
          <t>F</t>
        </is>
      </c>
      <c r="G3034" s="34" t="n">
        <v>11410</v>
      </c>
      <c r="H3034" s="34" t="n">
        <v>60053</v>
      </c>
      <c r="I3034" t="inlineStr">
        <is>
          <t>3.1</t>
        </is>
      </c>
      <c r="J3034" t="inlineStr">
        <is>
          <t>Ventas HoReCa</t>
        </is>
      </c>
      <c r="K3034" t="inlineStr">
        <is>
          <t>CH1</t>
        </is>
      </c>
    </row>
    <row r="3035">
      <c r="A3035" s="33" t="n">
        <v>45923</v>
      </c>
      <c r="B3035" t="inlineStr">
        <is>
          <t>2025-09</t>
        </is>
      </c>
      <c r="C3035" t="inlineStr">
        <is>
          <t>Eduardo Labarca</t>
        </is>
      </c>
      <c r="D3035" t="inlineStr">
        <is>
          <t>CANELÉ TRADICIONAL</t>
        </is>
      </c>
      <c r="E3035" s="34" t="n">
        <v>28199</v>
      </c>
      <c r="F3035" t="inlineStr">
        <is>
          <t>B</t>
        </is>
      </c>
      <c r="G3035" s="34" t="n">
        <v>4502</v>
      </c>
      <c r="H3035" s="34" t="n">
        <v>23697</v>
      </c>
      <c r="I3035" t="inlineStr">
        <is>
          <t>3.2</t>
        </is>
      </c>
      <c r="J3035" t="inlineStr">
        <is>
          <t>Ventas Personas (B2C)</t>
        </is>
      </c>
      <c r="K3035" t="inlineStr">
        <is>
          <t>CH2</t>
        </is>
      </c>
    </row>
    <row r="3036">
      <c r="A3036" s="33" t="n">
        <v>45923</v>
      </c>
      <c r="B3036" t="inlineStr">
        <is>
          <t>2025-09</t>
        </is>
      </c>
      <c r="C3036" t="inlineStr">
        <is>
          <t>Daniela Guarini Fernández</t>
        </is>
      </c>
      <c r="D3036" t="inlineStr">
        <is>
          <t>Rellenos</t>
        </is>
      </c>
      <c r="E3036" s="34" t="n">
        <v>48889</v>
      </c>
      <c r="F3036" t="inlineStr">
        <is>
          <t>B</t>
        </is>
      </c>
      <c r="G3036" s="34" t="n">
        <v>7806</v>
      </c>
      <c r="H3036" s="34" t="n">
        <v>41083</v>
      </c>
      <c r="I3036" t="inlineStr">
        <is>
          <t>3.2</t>
        </is>
      </c>
      <c r="J3036" t="inlineStr">
        <is>
          <t>Ventas Personas (B2C)</t>
        </is>
      </c>
      <c r="K3036" t="inlineStr">
        <is>
          <t>CH2</t>
        </is>
      </c>
    </row>
    <row r="3037">
      <c r="A3037" s="33" t="n">
        <v>45923</v>
      </c>
      <c r="B3037" t="inlineStr">
        <is>
          <t>2025-09</t>
        </is>
      </c>
      <c r="C3037" t="inlineStr">
        <is>
          <t>Marciel Art Café SPA</t>
        </is>
      </c>
      <c r="D3037" t="inlineStr">
        <is>
          <t>HORECA CAFETERIA</t>
        </is>
      </c>
      <c r="E3037" s="34" t="n">
        <v>36084</v>
      </c>
      <c r="F3037" t="inlineStr">
        <is>
          <t>F</t>
        </is>
      </c>
      <c r="G3037" s="34" t="n">
        <v>5761</v>
      </c>
      <c r="H3037" s="34" t="n">
        <v>30323</v>
      </c>
      <c r="I3037" t="inlineStr">
        <is>
          <t>3.1</t>
        </is>
      </c>
      <c r="J3037" t="inlineStr">
        <is>
          <t>Ventas HoReCa</t>
        </is>
      </c>
      <c r="K3037" t="inlineStr">
        <is>
          <t>CH1</t>
        </is>
      </c>
    </row>
    <row r="3038">
      <c r="A3038" s="33" t="n">
        <v>45923</v>
      </c>
      <c r="B3038" t="inlineStr">
        <is>
          <t>2025-09</t>
        </is>
      </c>
      <c r="C3038" t="inlineStr">
        <is>
          <t>Felipe Cifuentes</t>
        </is>
      </c>
      <c r="D3038" t="inlineStr">
        <is>
          <t>Rellenos</t>
        </is>
      </c>
      <c r="E3038" s="34" t="n">
        <v>29900</v>
      </c>
      <c r="F3038" t="inlineStr">
        <is>
          <t>B</t>
        </is>
      </c>
      <c r="G3038" s="34" t="n">
        <v>4774</v>
      </c>
      <c r="H3038" s="34" t="n">
        <v>25126</v>
      </c>
      <c r="I3038" t="inlineStr">
        <is>
          <t>3.2</t>
        </is>
      </c>
      <c r="J3038" t="inlineStr">
        <is>
          <t>Ventas Personas (B2C)</t>
        </is>
      </c>
      <c r="K3038" t="inlineStr">
        <is>
          <t>CH2</t>
        </is>
      </c>
    </row>
    <row r="3039">
      <c r="A3039" s="33" t="n">
        <v>45923</v>
      </c>
      <c r="B3039" t="inlineStr">
        <is>
          <t>2025-09</t>
        </is>
      </c>
      <c r="C3039" t="inlineStr">
        <is>
          <t>Matias Salas Fritz</t>
        </is>
      </c>
      <c r="D3039" t="inlineStr">
        <is>
          <t>Rellenos</t>
        </is>
      </c>
      <c r="E3039" s="34" t="n">
        <v>27889</v>
      </c>
      <c r="F3039" t="inlineStr">
        <is>
          <t>B</t>
        </is>
      </c>
      <c r="G3039" s="34" t="n">
        <v>4453</v>
      </c>
      <c r="H3039" s="34" t="n">
        <v>23436</v>
      </c>
      <c r="I3039" t="inlineStr">
        <is>
          <t>3.2</t>
        </is>
      </c>
      <c r="J3039" t="inlineStr">
        <is>
          <t>Ventas Personas (B2C)</t>
        </is>
      </c>
      <c r="K3039" t="inlineStr">
        <is>
          <t>CH2</t>
        </is>
      </c>
    </row>
    <row r="3040">
      <c r="A3040" s="33" t="n">
        <v>45923</v>
      </c>
      <c r="B3040" t="inlineStr">
        <is>
          <t>2025-09</t>
        </is>
      </c>
      <c r="C3040" t="inlineStr">
        <is>
          <t>amanecer Ledezma</t>
        </is>
      </c>
      <c r="D3040" t="inlineStr">
        <is>
          <t>Rellenos</t>
        </is>
      </c>
      <c r="E3040" s="34" t="n">
        <v>27889</v>
      </c>
      <c r="F3040" t="inlineStr">
        <is>
          <t>B</t>
        </is>
      </c>
      <c r="G3040" s="34" t="n">
        <v>4453</v>
      </c>
      <c r="H3040" s="34" t="n">
        <v>23436</v>
      </c>
      <c r="I3040" t="inlineStr">
        <is>
          <t>3.2</t>
        </is>
      </c>
      <c r="J3040" t="inlineStr">
        <is>
          <t>Ventas Personas (B2C)</t>
        </is>
      </c>
      <c r="K3040" t="inlineStr">
        <is>
          <t>CH2</t>
        </is>
      </c>
    </row>
    <row r="3041">
      <c r="A3041" s="33" t="n">
        <v>45923</v>
      </c>
      <c r="B3041" t="inlineStr">
        <is>
          <t>2025-09</t>
        </is>
      </c>
      <c r="C3041" t="inlineStr">
        <is>
          <t>Sin cliente</t>
        </is>
      </c>
      <c r="D3041" t="inlineStr">
        <is>
          <t>Petit Tradicional</t>
        </is>
      </c>
      <c r="E3041" s="34" t="n">
        <v>12900</v>
      </c>
      <c r="F3041" t="inlineStr">
        <is>
          <t>B</t>
        </is>
      </c>
      <c r="G3041" s="34" t="n">
        <v>2060</v>
      </c>
      <c r="H3041" s="34" t="n">
        <v>10840</v>
      </c>
      <c r="I3041" t="inlineStr">
        <is>
          <t>3.2</t>
        </is>
      </c>
      <c r="J3041" t="inlineStr">
        <is>
          <t>Ventas Personas (B2C)</t>
        </is>
      </c>
      <c r="K3041" t="inlineStr">
        <is>
          <t>CH2</t>
        </is>
      </c>
    </row>
    <row r="3042">
      <c r="A3042" s="33" t="n">
        <v>45923</v>
      </c>
      <c r="B3042" t="inlineStr">
        <is>
          <t>2025-09</t>
        </is>
      </c>
      <c r="C3042" t="inlineStr">
        <is>
          <t>Sin cliente</t>
        </is>
      </c>
      <c r="D3042" t="inlineStr">
        <is>
          <t>Rellenos</t>
        </is>
      </c>
      <c r="E3042" s="34" t="n">
        <v>10800</v>
      </c>
      <c r="F3042" t="inlineStr">
        <is>
          <t>B</t>
        </is>
      </c>
      <c r="G3042" s="34" t="n">
        <v>1724</v>
      </c>
      <c r="H3042" s="34" t="n">
        <v>9076</v>
      </c>
      <c r="I3042" t="inlineStr">
        <is>
          <t>3.6</t>
        </is>
      </c>
      <c r="J3042" t="inlineStr">
        <is>
          <t>Ventas Delivery Apps</t>
        </is>
      </c>
      <c r="K3042" t="inlineStr">
        <is>
          <t>CH3</t>
        </is>
      </c>
    </row>
    <row r="3043">
      <c r="A3043" s="33" t="n">
        <v>45923</v>
      </c>
      <c r="B3043" t="inlineStr">
        <is>
          <t>2025-09</t>
        </is>
      </c>
      <c r="C3043" t="inlineStr">
        <is>
          <t>Sin cliente</t>
        </is>
      </c>
      <c r="D3043" t="inlineStr">
        <is>
          <t>PLATAFORMAS RAP-PEYA-UBER-GOOD</t>
        </is>
      </c>
      <c r="E3043" s="34" t="n">
        <v>13800</v>
      </c>
      <c r="F3043" t="inlineStr">
        <is>
          <t>B</t>
        </is>
      </c>
      <c r="G3043" s="34" t="n">
        <v>2203</v>
      </c>
      <c r="H3043" s="34" t="n">
        <v>11597</v>
      </c>
      <c r="I3043" t="inlineStr">
        <is>
          <t>3.6</t>
        </is>
      </c>
      <c r="J3043" t="inlineStr">
        <is>
          <t>Ventas Delivery Apps</t>
        </is>
      </c>
      <c r="K3043" t="inlineStr">
        <is>
          <t>CH3</t>
        </is>
      </c>
    </row>
    <row r="3044">
      <c r="A3044" s="33" t="n">
        <v>45924</v>
      </c>
      <c r="B3044" t="inlineStr">
        <is>
          <t>2025-09</t>
        </is>
      </c>
      <c r="C3044" t="inlineStr">
        <is>
          <t>Inversiones Nagua SPA</t>
        </is>
      </c>
      <c r="D3044" t="inlineStr">
        <is>
          <t>HORECA CAFETERIA</t>
        </is>
      </c>
      <c r="E3044" s="34" t="n">
        <v>68179</v>
      </c>
      <c r="F3044" t="inlineStr">
        <is>
          <t>F</t>
        </is>
      </c>
      <c r="G3044" s="34" t="n">
        <v>10886</v>
      </c>
      <c r="H3044" s="34" t="n">
        <v>57293</v>
      </c>
      <c r="I3044" t="inlineStr">
        <is>
          <t>3.1</t>
        </is>
      </c>
      <c r="J3044" t="inlineStr">
        <is>
          <t>Ventas HoReCa</t>
        </is>
      </c>
      <c r="K3044" t="inlineStr">
        <is>
          <t>CH1</t>
        </is>
      </c>
    </row>
    <row r="3045">
      <c r="A3045" s="33" t="n">
        <v>45924</v>
      </c>
      <c r="B3045" t="inlineStr">
        <is>
          <t>2025-09</t>
        </is>
      </c>
      <c r="C3045" t="inlineStr">
        <is>
          <t>Elsy Nuñez</t>
        </is>
      </c>
      <c r="D3045" t="inlineStr">
        <is>
          <t>CANELÉ TRADICIONAL</t>
        </is>
      </c>
      <c r="E3045" s="34" t="n">
        <v>48330</v>
      </c>
      <c r="F3045" t="inlineStr">
        <is>
          <t>B</t>
        </is>
      </c>
      <c r="G3045" s="34" t="n">
        <v>7717</v>
      </c>
      <c r="H3045" s="34" t="n">
        <v>40613</v>
      </c>
      <c r="I3045" t="inlineStr">
        <is>
          <t>3.2</t>
        </is>
      </c>
      <c r="J3045" t="inlineStr">
        <is>
          <t>Ventas Personas (B2C)</t>
        </is>
      </c>
      <c r="K3045" t="inlineStr">
        <is>
          <t>CH2</t>
        </is>
      </c>
    </row>
    <row r="3046">
      <c r="A3046" s="33" t="n">
        <v>45924</v>
      </c>
      <c r="B3046" t="inlineStr">
        <is>
          <t>2025-09</t>
        </is>
      </c>
      <c r="C3046" t="inlineStr">
        <is>
          <t>COMERCIALIZADORA NATUTEA SPA</t>
        </is>
      </c>
      <c r="D3046" t="inlineStr">
        <is>
          <t>HORECA CAFETERIA</t>
        </is>
      </c>
      <c r="E3046" s="34" t="n">
        <v>37084</v>
      </c>
      <c r="F3046" t="inlineStr">
        <is>
          <t>F</t>
        </is>
      </c>
      <c r="G3046" s="34" t="n">
        <v>5921</v>
      </c>
      <c r="H3046" s="34" t="n">
        <v>31163</v>
      </c>
      <c r="I3046" t="inlineStr">
        <is>
          <t>3.1</t>
        </is>
      </c>
      <c r="J3046" t="inlineStr">
        <is>
          <t>Ventas HoReCa</t>
        </is>
      </c>
      <c r="K3046" t="inlineStr">
        <is>
          <t>CH1</t>
        </is>
      </c>
    </row>
    <row r="3047">
      <c r="A3047" s="33" t="n">
        <v>45924</v>
      </c>
      <c r="B3047" t="inlineStr">
        <is>
          <t>2025-09</t>
        </is>
      </c>
      <c r="C3047" t="inlineStr">
        <is>
          <t>Andar Café SpA</t>
        </is>
      </c>
      <c r="D3047" t="inlineStr">
        <is>
          <t>HORECA CAFETERIA</t>
        </is>
      </c>
      <c r="E3047" s="34" t="n">
        <v>70463</v>
      </c>
      <c r="F3047" t="inlineStr">
        <is>
          <t>F</t>
        </is>
      </c>
      <c r="G3047" s="34" t="n">
        <v>11250</v>
      </c>
      <c r="H3047" s="34" t="n">
        <v>59213</v>
      </c>
      <c r="I3047" t="inlineStr">
        <is>
          <t>3.1</t>
        </is>
      </c>
      <c r="J3047" t="inlineStr">
        <is>
          <t>Ventas HoReCa</t>
        </is>
      </c>
      <c r="K3047" t="inlineStr">
        <is>
          <t>CH1</t>
        </is>
      </c>
    </row>
    <row r="3048">
      <c r="A3048" s="33" t="n">
        <v>45924</v>
      </c>
      <c r="B3048" t="inlineStr">
        <is>
          <t>2025-09</t>
        </is>
      </c>
      <c r="C3048" t="inlineStr">
        <is>
          <t>INVERSIONES Y ASESORIAS RAVAL LIMITADA</t>
        </is>
      </c>
      <c r="D3048" t="inlineStr">
        <is>
          <t>HORECA CAFETERIA</t>
        </is>
      </c>
      <c r="E3048" s="34" t="n">
        <v>-68179</v>
      </c>
      <c r="F3048" t="inlineStr">
        <is>
          <t>NC</t>
        </is>
      </c>
      <c r="G3048" s="34" t="n">
        <v>-10886</v>
      </c>
      <c r="H3048" s="34" t="n">
        <v>-57293</v>
      </c>
      <c r="I3048" t="inlineStr">
        <is>
          <t>3.1</t>
        </is>
      </c>
      <c r="J3048" t="inlineStr">
        <is>
          <t>Ventas HoReCa</t>
        </is>
      </c>
      <c r="K3048" t="inlineStr">
        <is>
          <t>CH1</t>
        </is>
      </c>
    </row>
    <row r="3049">
      <c r="A3049" s="33" t="n">
        <v>45924</v>
      </c>
      <c r="B3049" t="inlineStr">
        <is>
          <t>2025-09</t>
        </is>
      </c>
      <c r="C3049" t="inlineStr">
        <is>
          <t>INVERSIONES Y ASESORIAS RAVAL LIMITADA</t>
        </is>
      </c>
      <c r="D3049" t="inlineStr">
        <is>
          <t>HORECA CAFETERIA</t>
        </is>
      </c>
      <c r="E3049" s="34" t="n">
        <v>72169</v>
      </c>
      <c r="F3049" t="inlineStr">
        <is>
          <t>F</t>
        </is>
      </c>
      <c r="G3049" s="34" t="n">
        <v>11523</v>
      </c>
      <c r="H3049" s="34" t="n">
        <v>60646</v>
      </c>
      <c r="I3049" t="inlineStr">
        <is>
          <t>3.1</t>
        </is>
      </c>
      <c r="J3049" t="inlineStr">
        <is>
          <t>Ventas HoReCa</t>
        </is>
      </c>
      <c r="K3049" t="inlineStr">
        <is>
          <t>CH1</t>
        </is>
      </c>
    </row>
    <row r="3050">
      <c r="A3050" s="33" t="n">
        <v>45924</v>
      </c>
      <c r="B3050" t="inlineStr">
        <is>
          <t>2025-09</t>
        </is>
      </c>
      <c r="C3050" t="inlineStr">
        <is>
          <t>Inversiones Las Urbinas SpA</t>
        </is>
      </c>
      <c r="D3050" t="inlineStr">
        <is>
          <t>HORECA CAFETERIA</t>
        </is>
      </c>
      <c r="E3050" s="34" t="n">
        <v>68758</v>
      </c>
      <c r="F3050" t="inlineStr">
        <is>
          <t>F</t>
        </is>
      </c>
      <c r="G3050" s="34" t="n">
        <v>10978</v>
      </c>
      <c r="H3050" s="34" t="n">
        <v>57780</v>
      </c>
      <c r="I3050" t="inlineStr">
        <is>
          <t>3.1</t>
        </is>
      </c>
      <c r="J3050" t="inlineStr">
        <is>
          <t>Ventas HoReCa</t>
        </is>
      </c>
      <c r="K3050" t="inlineStr">
        <is>
          <t>CH1</t>
        </is>
      </c>
    </row>
    <row r="3051">
      <c r="A3051" s="33" t="n">
        <v>45924</v>
      </c>
      <c r="B3051" t="inlineStr">
        <is>
          <t>2025-09</t>
        </is>
      </c>
      <c r="C3051" t="inlineStr">
        <is>
          <t>Sin cliente</t>
        </is>
      </c>
      <c r="D3051" t="inlineStr">
        <is>
          <t>Petit Crunchy</t>
        </is>
      </c>
      <c r="E3051" s="34" t="n">
        <v>52790</v>
      </c>
      <c r="F3051" t="inlineStr">
        <is>
          <t>B</t>
        </is>
      </c>
      <c r="G3051" s="34" t="n">
        <v>8429</v>
      </c>
      <c r="H3051" s="34" t="n">
        <v>44361</v>
      </c>
      <c r="I3051" t="inlineStr">
        <is>
          <t>3.2</t>
        </is>
      </c>
      <c r="J3051" t="inlineStr">
        <is>
          <t>Ventas Personas (B2C)</t>
        </is>
      </c>
      <c r="K3051" t="inlineStr">
        <is>
          <t>CH2</t>
        </is>
      </c>
    </row>
    <row r="3052">
      <c r="A3052" s="33" t="n">
        <v>45924</v>
      </c>
      <c r="B3052" t="inlineStr">
        <is>
          <t>2025-09</t>
        </is>
      </c>
      <c r="C3052" t="inlineStr">
        <is>
          <t>Sin cliente</t>
        </is>
      </c>
      <c r="D3052" t="inlineStr">
        <is>
          <t>CANELÉ TRADICIONAL</t>
        </is>
      </c>
      <c r="E3052" s="34" t="n">
        <v>5000</v>
      </c>
      <c r="F3052" t="inlineStr">
        <is>
          <t>B</t>
        </is>
      </c>
      <c r="G3052" s="34" t="n">
        <v>798</v>
      </c>
      <c r="H3052" s="34" t="n">
        <v>4202</v>
      </c>
      <c r="I3052" t="inlineStr">
        <is>
          <t>3.2</t>
        </is>
      </c>
      <c r="J3052" t="inlineStr">
        <is>
          <t>Ventas Personas (B2C)</t>
        </is>
      </c>
      <c r="K3052" t="inlineStr">
        <is>
          <t>CH2</t>
        </is>
      </c>
    </row>
    <row r="3053">
      <c r="A3053" s="33" t="n">
        <v>45924</v>
      </c>
      <c r="B3053" t="inlineStr">
        <is>
          <t>2025-09</t>
        </is>
      </c>
      <c r="C3053" t="inlineStr">
        <is>
          <t>Sin cliente</t>
        </is>
      </c>
      <c r="D3053" t="inlineStr">
        <is>
          <t>Mix Sabores</t>
        </is>
      </c>
      <c r="E3053" s="34" t="n">
        <v>35760</v>
      </c>
      <c r="F3053" t="inlineStr">
        <is>
          <t>B</t>
        </is>
      </c>
      <c r="G3053" s="34" t="n">
        <v>5710</v>
      </c>
      <c r="H3053" s="34" t="n">
        <v>30050</v>
      </c>
      <c r="I3053" t="inlineStr">
        <is>
          <t>3.2</t>
        </is>
      </c>
      <c r="J3053" t="inlineStr">
        <is>
          <t>Ventas Personas (B2C)</t>
        </is>
      </c>
      <c r="K3053" t="inlineStr">
        <is>
          <t>CH2</t>
        </is>
      </c>
    </row>
    <row r="3054">
      <c r="A3054" s="33" t="n">
        <v>45924</v>
      </c>
      <c r="B3054" t="inlineStr">
        <is>
          <t>2025-09</t>
        </is>
      </c>
      <c r="C3054" t="inlineStr">
        <is>
          <t>Sofia Castillo López</t>
        </is>
      </c>
      <c r="D3054" t="inlineStr">
        <is>
          <t>Petit Tradicional</t>
        </is>
      </c>
      <c r="E3054" s="34" t="n">
        <v>24889</v>
      </c>
      <c r="F3054" t="inlineStr">
        <is>
          <t>B</t>
        </is>
      </c>
      <c r="G3054" s="34" t="n">
        <v>3974</v>
      </c>
      <c r="H3054" s="34" t="n">
        <v>20915</v>
      </c>
      <c r="I3054" t="inlineStr">
        <is>
          <t>3.2</t>
        </is>
      </c>
      <c r="J3054" t="inlineStr">
        <is>
          <t>Ventas Personas (B2C)</t>
        </is>
      </c>
      <c r="K3054" t="inlineStr">
        <is>
          <t>CH2</t>
        </is>
      </c>
    </row>
    <row r="3055">
      <c r="A3055" s="33" t="n">
        <v>45924</v>
      </c>
      <c r="B3055" t="inlineStr">
        <is>
          <t>2025-09</t>
        </is>
      </c>
      <c r="C3055" t="inlineStr">
        <is>
          <t>CAROLINA VILLANUEVA</t>
        </is>
      </c>
      <c r="D3055" t="inlineStr">
        <is>
          <t>Rellenos</t>
        </is>
      </c>
      <c r="E3055" s="34" t="n">
        <v>18800</v>
      </c>
      <c r="F3055" t="inlineStr">
        <is>
          <t>B</t>
        </is>
      </c>
      <c r="G3055" s="34" t="n">
        <v>3002</v>
      </c>
      <c r="H3055" s="34" t="n">
        <v>15798</v>
      </c>
      <c r="I3055" t="inlineStr">
        <is>
          <t>3.2</t>
        </is>
      </c>
      <c r="J3055" t="inlineStr">
        <is>
          <t>Ventas Personas (B2C)</t>
        </is>
      </c>
      <c r="K3055" t="inlineStr">
        <is>
          <t>CH2</t>
        </is>
      </c>
    </row>
    <row r="3056">
      <c r="A3056" s="33" t="n">
        <v>45924</v>
      </c>
      <c r="B3056" t="inlineStr">
        <is>
          <t>2025-09</t>
        </is>
      </c>
      <c r="C3056" t="inlineStr">
        <is>
          <t>YOHANDRO GONZALES</t>
        </is>
      </c>
      <c r="D3056" t="inlineStr">
        <is>
          <t>Rellenos</t>
        </is>
      </c>
      <c r="E3056" s="34" t="n">
        <v>18800</v>
      </c>
      <c r="F3056" t="inlineStr">
        <is>
          <t>B</t>
        </is>
      </c>
      <c r="G3056" s="34" t="n">
        <v>3002</v>
      </c>
      <c r="H3056" s="34" t="n">
        <v>15798</v>
      </c>
      <c r="I3056" t="inlineStr">
        <is>
          <t>3.2</t>
        </is>
      </c>
      <c r="J3056" t="inlineStr">
        <is>
          <t>Ventas Personas (B2C)</t>
        </is>
      </c>
      <c r="K3056" t="inlineStr">
        <is>
          <t>CH2</t>
        </is>
      </c>
    </row>
    <row r="3057">
      <c r="A3057" s="33" t="n">
        <v>45924</v>
      </c>
      <c r="B3057" t="inlineStr">
        <is>
          <t>2025-09</t>
        </is>
      </c>
      <c r="C3057" t="inlineStr">
        <is>
          <t>Liz Vielma</t>
        </is>
      </c>
      <c r="D3057" t="inlineStr">
        <is>
          <t>Petit Crunchy</t>
        </is>
      </c>
      <c r="E3057" s="34" t="n">
        <v>18890</v>
      </c>
      <c r="F3057" t="inlineStr">
        <is>
          <t>B</t>
        </is>
      </c>
      <c r="G3057" s="34" t="n">
        <v>3016</v>
      </c>
      <c r="H3057" s="34" t="n">
        <v>15874</v>
      </c>
      <c r="I3057" t="inlineStr">
        <is>
          <t>3.2</t>
        </is>
      </c>
      <c r="J3057" t="inlineStr">
        <is>
          <t>Ventas Personas (B2C)</t>
        </is>
      </c>
      <c r="K3057" t="inlineStr">
        <is>
          <t>CH2</t>
        </is>
      </c>
    </row>
    <row r="3058">
      <c r="A3058" s="33" t="n">
        <v>45925</v>
      </c>
      <c r="B3058" t="inlineStr">
        <is>
          <t>2025-09</t>
        </is>
      </c>
      <c r="C3058" t="inlineStr">
        <is>
          <t>Andariego Coffee Spa</t>
        </is>
      </c>
      <c r="D3058" t="inlineStr">
        <is>
          <t>HORECA CAFETERIA</t>
        </is>
      </c>
      <c r="E3058" s="34" t="n">
        <v>400102</v>
      </c>
      <c r="F3058" t="inlineStr">
        <is>
          <t>F</t>
        </is>
      </c>
      <c r="G3058" s="34" t="n">
        <v>63882</v>
      </c>
      <c r="H3058" s="34" t="n">
        <v>336220</v>
      </c>
      <c r="I3058" t="inlineStr">
        <is>
          <t>3.1</t>
        </is>
      </c>
      <c r="J3058" t="inlineStr">
        <is>
          <t>Ventas HoReCa</t>
        </is>
      </c>
      <c r="K3058" t="inlineStr">
        <is>
          <t>CH1</t>
        </is>
      </c>
    </row>
    <row r="3059">
      <c r="A3059" s="33" t="n">
        <v>45925</v>
      </c>
      <c r="B3059" t="inlineStr">
        <is>
          <t>2025-09</t>
        </is>
      </c>
      <c r="C3059" t="inlineStr">
        <is>
          <t>CAFÉ UNDER SPA</t>
        </is>
      </c>
      <c r="D3059" t="inlineStr">
        <is>
          <t>HORECA CAFETERIA</t>
        </is>
      </c>
      <c r="E3059" s="34" t="n">
        <v>68179</v>
      </c>
      <c r="F3059" t="inlineStr">
        <is>
          <t>F</t>
        </is>
      </c>
      <c r="G3059" s="34" t="n">
        <v>10886</v>
      </c>
      <c r="H3059" s="34" t="n">
        <v>57293</v>
      </c>
      <c r="I3059" t="inlineStr">
        <is>
          <t>3.1</t>
        </is>
      </c>
      <c r="J3059" t="inlineStr">
        <is>
          <t>Ventas HoReCa</t>
        </is>
      </c>
      <c r="K3059" t="inlineStr">
        <is>
          <t>CH1</t>
        </is>
      </c>
    </row>
    <row r="3060">
      <c r="A3060" s="33" t="n">
        <v>45925</v>
      </c>
      <c r="B3060" t="inlineStr">
        <is>
          <t>2025-09</t>
        </is>
      </c>
      <c r="C3060" t="inlineStr">
        <is>
          <t>CAFETERÍAS MISTER SPA</t>
        </is>
      </c>
      <c r="D3060" t="inlineStr">
        <is>
          <t>HORECA CAFETERIA</t>
        </is>
      </c>
      <c r="E3060" s="34" t="n">
        <v>68179</v>
      </c>
      <c r="F3060" t="inlineStr">
        <is>
          <t>F</t>
        </is>
      </c>
      <c r="G3060" s="34" t="n">
        <v>10886</v>
      </c>
      <c r="H3060" s="34" t="n">
        <v>57293</v>
      </c>
      <c r="I3060" t="inlineStr">
        <is>
          <t>3.1</t>
        </is>
      </c>
      <c r="J3060" t="inlineStr">
        <is>
          <t>Ventas HoReCa</t>
        </is>
      </c>
      <c r="K3060" t="inlineStr">
        <is>
          <t>CH1</t>
        </is>
      </c>
    </row>
    <row r="3061">
      <c r="A3061" s="33" t="n">
        <v>45925</v>
      </c>
      <c r="B3061" t="inlineStr">
        <is>
          <t>2025-09</t>
        </is>
      </c>
      <c r="C3061" t="inlineStr">
        <is>
          <t>Sin cliente</t>
        </is>
      </c>
      <c r="D3061" t="inlineStr">
        <is>
          <t>REGION METROPOLITANA</t>
        </is>
      </c>
      <c r="E3061" s="34" t="n">
        <v>4990</v>
      </c>
      <c r="F3061" t="inlineStr">
        <is>
          <t>B</t>
        </is>
      </c>
      <c r="G3061" s="34" t="n">
        <v>797</v>
      </c>
      <c r="H3061" s="34" t="n">
        <v>4193</v>
      </c>
      <c r="I3061" t="inlineStr">
        <is>
          <t>3.2</t>
        </is>
      </c>
      <c r="J3061" t="inlineStr">
        <is>
          <t>Ventas Personas (B2C)</t>
        </is>
      </c>
      <c r="K3061" t="inlineStr">
        <is>
          <t>CH2</t>
        </is>
      </c>
    </row>
    <row r="3062">
      <c r="A3062" s="33" t="n">
        <v>45925</v>
      </c>
      <c r="B3062" t="inlineStr">
        <is>
          <t>2025-09</t>
        </is>
      </c>
      <c r="C3062" t="inlineStr">
        <is>
          <t>Andariego Coffee Spa</t>
        </is>
      </c>
      <c r="D3062" t="inlineStr">
        <is>
          <t>HORECA CAFETERIA</t>
        </is>
      </c>
      <c r="E3062" s="34" t="n">
        <v>-400102</v>
      </c>
      <c r="F3062" t="inlineStr">
        <is>
          <t>NC</t>
        </is>
      </c>
      <c r="G3062" s="34" t="n">
        <v>-63882</v>
      </c>
      <c r="H3062" s="34" t="n">
        <v>-336220</v>
      </c>
      <c r="I3062" t="inlineStr">
        <is>
          <t>3.1</t>
        </is>
      </c>
      <c r="J3062" t="inlineStr">
        <is>
          <t>Ventas HoReCa</t>
        </is>
      </c>
      <c r="K3062" t="inlineStr">
        <is>
          <t>CH1</t>
        </is>
      </c>
    </row>
    <row r="3063">
      <c r="A3063" s="33" t="n">
        <v>45925</v>
      </c>
      <c r="B3063" t="inlineStr">
        <is>
          <t>2025-09</t>
        </is>
      </c>
      <c r="C3063" t="inlineStr">
        <is>
          <t>Andariego Coffee Spa</t>
        </is>
      </c>
      <c r="D3063" t="inlineStr">
        <is>
          <t>HORECA CAFETERIA</t>
        </is>
      </c>
      <c r="E3063" s="34" t="n">
        <v>342332</v>
      </c>
      <c r="F3063" t="inlineStr">
        <is>
          <t>F</t>
        </is>
      </c>
      <c r="G3063" s="34" t="n">
        <v>54658</v>
      </c>
      <c r="H3063" s="34" t="n">
        <v>287674</v>
      </c>
      <c r="I3063" t="inlineStr">
        <is>
          <t>3.1</t>
        </is>
      </c>
      <c r="J3063" t="inlineStr">
        <is>
          <t>Ventas HoReCa</t>
        </is>
      </c>
      <c r="K3063" t="inlineStr">
        <is>
          <t>CH1</t>
        </is>
      </c>
    </row>
    <row r="3064">
      <c r="A3064" s="33" t="n">
        <v>45925</v>
      </c>
      <c r="B3064" t="inlineStr">
        <is>
          <t>2025-09</t>
        </is>
      </c>
      <c r="C3064" t="inlineStr">
        <is>
          <t>Maria Steeele</t>
        </is>
      </c>
      <c r="D3064" t="inlineStr">
        <is>
          <t>Petit Crunchy</t>
        </is>
      </c>
      <c r="E3064" s="34" t="n">
        <v>16889</v>
      </c>
      <c r="F3064" t="inlineStr">
        <is>
          <t>B</t>
        </is>
      </c>
      <c r="G3064" s="34" t="n">
        <v>2697</v>
      </c>
      <c r="H3064" s="34" t="n">
        <v>14192</v>
      </c>
      <c r="I3064" t="inlineStr">
        <is>
          <t>3.2</t>
        </is>
      </c>
      <c r="J3064" t="inlineStr">
        <is>
          <t>Ventas Personas (B2C)</t>
        </is>
      </c>
      <c r="K3064" t="inlineStr">
        <is>
          <t>CH2</t>
        </is>
      </c>
    </row>
    <row r="3065">
      <c r="A3065" s="33" t="n">
        <v>45925</v>
      </c>
      <c r="B3065" t="inlineStr">
        <is>
          <t>2025-09</t>
        </is>
      </c>
      <c r="C3065" t="inlineStr">
        <is>
          <t>Fanny Tora</t>
        </is>
      </c>
      <c r="D3065" t="inlineStr">
        <is>
          <t>Petit Crunchy</t>
        </is>
      </c>
      <c r="E3065" s="34" t="n">
        <v>21789</v>
      </c>
      <c r="F3065" t="inlineStr">
        <is>
          <t>B</t>
        </is>
      </c>
      <c r="G3065" s="34" t="n">
        <v>3479</v>
      </c>
      <c r="H3065" s="34" t="n">
        <v>18310</v>
      </c>
      <c r="I3065" t="inlineStr">
        <is>
          <t>3.2</t>
        </is>
      </c>
      <c r="J3065" t="inlineStr">
        <is>
          <t>Ventas Personas (B2C)</t>
        </is>
      </c>
      <c r="K3065" t="inlineStr">
        <is>
          <t>CH2</t>
        </is>
      </c>
    </row>
    <row r="3066">
      <c r="A3066" s="33" t="n">
        <v>45925</v>
      </c>
      <c r="B3066" t="inlineStr">
        <is>
          <t>2025-09</t>
        </is>
      </c>
      <c r="C3066" t="inlineStr">
        <is>
          <t>Sin cliente</t>
        </is>
      </c>
      <c r="D3066" t="inlineStr">
        <is>
          <t>PLATAFORMAS RAP-PEYA-UBER-GOOD</t>
        </is>
      </c>
      <c r="E3066" s="34" t="n">
        <v>20280</v>
      </c>
      <c r="F3066" t="inlineStr">
        <is>
          <t>B</t>
        </is>
      </c>
      <c r="G3066" s="34" t="n">
        <v>3238</v>
      </c>
      <c r="H3066" s="34" t="n">
        <v>17042</v>
      </c>
      <c r="I3066" t="inlineStr">
        <is>
          <t>3.6</t>
        </is>
      </c>
      <c r="J3066" t="inlineStr">
        <is>
          <t>Ventas Delivery Apps</t>
        </is>
      </c>
      <c r="K3066" t="inlineStr">
        <is>
          <t>CH3</t>
        </is>
      </c>
    </row>
    <row r="3067">
      <c r="A3067" s="33" t="n">
        <v>45925</v>
      </c>
      <c r="B3067" t="inlineStr">
        <is>
          <t>2025-09</t>
        </is>
      </c>
      <c r="C3067" t="inlineStr">
        <is>
          <t>Paula Gómez Hertz</t>
        </is>
      </c>
      <c r="D3067" t="inlineStr">
        <is>
          <t>Rellenos</t>
        </is>
      </c>
      <c r="E3067" s="34" t="n">
        <v>21989</v>
      </c>
      <c r="F3067" t="inlineStr">
        <is>
          <t>B</t>
        </is>
      </c>
      <c r="G3067" s="34" t="n">
        <v>3511</v>
      </c>
      <c r="H3067" s="34" t="n">
        <v>18478</v>
      </c>
      <c r="I3067" t="inlineStr">
        <is>
          <t>3.2</t>
        </is>
      </c>
      <c r="J3067" t="inlineStr">
        <is>
          <t>Ventas Personas (B2C)</t>
        </is>
      </c>
      <c r="K3067" t="inlineStr">
        <is>
          <t>CH2</t>
        </is>
      </c>
    </row>
    <row r="3068">
      <c r="A3068" s="33" t="n">
        <v>45925</v>
      </c>
      <c r="B3068" t="inlineStr">
        <is>
          <t>2025-09</t>
        </is>
      </c>
      <c r="C3068" t="inlineStr">
        <is>
          <t>Sin cliente</t>
        </is>
      </c>
      <c r="D3068" t="inlineStr">
        <is>
          <t>Rellenos</t>
        </is>
      </c>
      <c r="E3068" s="34" t="n">
        <v>11500</v>
      </c>
      <c r="F3068" t="inlineStr">
        <is>
          <t>B</t>
        </is>
      </c>
      <c r="G3068" s="34" t="n">
        <v>1836</v>
      </c>
      <c r="H3068" s="34" t="n">
        <v>9664</v>
      </c>
      <c r="I3068" t="inlineStr">
        <is>
          <t>3.2</t>
        </is>
      </c>
      <c r="J3068" t="inlineStr">
        <is>
          <t>Ventas Personas (B2C)</t>
        </is>
      </c>
      <c r="K3068" t="inlineStr">
        <is>
          <t>CH2</t>
        </is>
      </c>
    </row>
    <row r="3069">
      <c r="A3069" s="33" t="n">
        <v>45925</v>
      </c>
      <c r="B3069" t="inlineStr">
        <is>
          <t>2025-09</t>
        </is>
      </c>
      <c r="C3069" t="inlineStr">
        <is>
          <t>Sin cliente</t>
        </is>
      </c>
      <c r="D3069" t="inlineStr">
        <is>
          <t>PLATAFORMAS RAP-PEYA-UBER-GOOD</t>
        </is>
      </c>
      <c r="E3069" s="34" t="n">
        <v>28680</v>
      </c>
      <c r="F3069" t="inlineStr">
        <is>
          <t>B</t>
        </is>
      </c>
      <c r="G3069" s="34" t="n">
        <v>4579</v>
      </c>
      <c r="H3069" s="34" t="n">
        <v>24101</v>
      </c>
      <c r="I3069" t="inlineStr">
        <is>
          <t>3.6</t>
        </is>
      </c>
      <c r="J3069" t="inlineStr">
        <is>
          <t>Ventas Delivery Apps</t>
        </is>
      </c>
      <c r="K3069" t="inlineStr">
        <is>
          <t>CH3</t>
        </is>
      </c>
    </row>
    <row r="3070">
      <c r="A3070" s="33" t="n">
        <v>45925</v>
      </c>
      <c r="B3070" t="inlineStr">
        <is>
          <t>2025-09</t>
        </is>
      </c>
      <c r="C3070" t="inlineStr">
        <is>
          <t>Alejandro  de Giogio Lyon</t>
        </is>
      </c>
      <c r="D3070" t="inlineStr">
        <is>
          <t>CANELÉ TRADICIONAL</t>
        </is>
      </c>
      <c r="E3070" s="34" t="n">
        <v>10000</v>
      </c>
      <c r="F3070" t="inlineStr">
        <is>
          <t>B</t>
        </is>
      </c>
      <c r="G3070" s="34" t="n">
        <v>1597</v>
      </c>
      <c r="H3070" s="34" t="n">
        <v>8403</v>
      </c>
      <c r="I3070" t="inlineStr">
        <is>
          <t>3.2</t>
        </is>
      </c>
      <c r="J3070" t="inlineStr">
        <is>
          <t>Ventas Personas (B2C)</t>
        </is>
      </c>
      <c r="K3070" t="inlineStr">
        <is>
          <t>CH2</t>
        </is>
      </c>
    </row>
    <row r="3071">
      <c r="A3071" s="33" t="n">
        <v>45925</v>
      </c>
      <c r="B3071" t="inlineStr">
        <is>
          <t>2025-09</t>
        </is>
      </c>
      <c r="C3071" t="inlineStr">
        <is>
          <t>maría teresa pérez</t>
        </is>
      </c>
      <c r="D3071" t="inlineStr">
        <is>
          <t>CANELÉ TRADICIONAL</t>
        </is>
      </c>
      <c r="E3071" s="34" t="n">
        <v>34789</v>
      </c>
      <c r="F3071" t="inlineStr">
        <is>
          <t>B</t>
        </is>
      </c>
      <c r="G3071" s="34" t="n">
        <v>5555</v>
      </c>
      <c r="H3071" s="34" t="n">
        <v>29234</v>
      </c>
      <c r="I3071" t="inlineStr">
        <is>
          <t>3.2</t>
        </is>
      </c>
      <c r="J3071" t="inlineStr">
        <is>
          <t>Ventas Personas (B2C)</t>
        </is>
      </c>
      <c r="K3071" t="inlineStr">
        <is>
          <t>CH2</t>
        </is>
      </c>
    </row>
    <row r="3072">
      <c r="A3072" s="33" t="n">
        <v>45926</v>
      </c>
      <c r="B3072" t="inlineStr">
        <is>
          <t>2025-09</t>
        </is>
      </c>
      <c r="C3072" t="inlineStr">
        <is>
          <t>Better Food Spa</t>
        </is>
      </c>
      <c r="D3072" t="inlineStr">
        <is>
          <t>HORECA CAFETERIA</t>
        </is>
      </c>
      <c r="E3072" s="34" t="n">
        <v>160472</v>
      </c>
      <c r="F3072" t="inlineStr">
        <is>
          <t>F</t>
        </is>
      </c>
      <c r="G3072" s="34" t="n">
        <v>25622</v>
      </c>
      <c r="H3072" s="34" t="n">
        <v>134850</v>
      </c>
      <c r="I3072" t="inlineStr">
        <is>
          <t>3.1</t>
        </is>
      </c>
      <c r="J3072" t="inlineStr">
        <is>
          <t>Ventas HoReCa</t>
        </is>
      </c>
      <c r="K3072" t="inlineStr">
        <is>
          <t>CH1</t>
        </is>
      </c>
    </row>
    <row r="3073">
      <c r="A3073" s="33" t="n">
        <v>45926</v>
      </c>
      <c r="B3073" t="inlineStr">
        <is>
          <t>2025-09</t>
        </is>
      </c>
      <c r="C3073" t="inlineStr">
        <is>
          <t>VILAS BANQUETERIAS SPA</t>
        </is>
      </c>
      <c r="D3073" t="inlineStr">
        <is>
          <t>HORECA CATERING</t>
        </is>
      </c>
      <c r="E3073" s="34" t="n">
        <v>110019</v>
      </c>
      <c r="F3073" t="inlineStr">
        <is>
          <t>F</t>
        </is>
      </c>
      <c r="G3073" s="34" t="n">
        <v>17566</v>
      </c>
      <c r="H3073" s="34" t="n">
        <v>92453</v>
      </c>
      <c r="I3073" t="inlineStr">
        <is>
          <t>3.1</t>
        </is>
      </c>
      <c r="J3073" t="inlineStr">
        <is>
          <t>Ventas HoReCa</t>
        </is>
      </c>
      <c r="K3073" t="inlineStr">
        <is>
          <t>CH1</t>
        </is>
      </c>
    </row>
    <row r="3074">
      <c r="A3074" s="33" t="n">
        <v>45926</v>
      </c>
      <c r="B3074" t="inlineStr">
        <is>
          <t>2025-09</t>
        </is>
      </c>
      <c r="C3074" t="inlineStr">
        <is>
          <t>GALO SPA</t>
        </is>
      </c>
      <c r="D3074" t="inlineStr">
        <is>
          <t>HORECA CAFETERIA</t>
        </is>
      </c>
      <c r="E3074" s="34" t="n">
        <v>244712</v>
      </c>
      <c r="F3074" t="inlineStr">
        <is>
          <t>F</t>
        </is>
      </c>
      <c r="G3074" s="34" t="n">
        <v>39072</v>
      </c>
      <c r="H3074" s="34" t="n">
        <v>205640</v>
      </c>
      <c r="I3074" t="inlineStr">
        <is>
          <t>3.1</t>
        </is>
      </c>
      <c r="J3074" t="inlineStr">
        <is>
          <t>Ventas HoReCa</t>
        </is>
      </c>
      <c r="K3074" t="inlineStr">
        <is>
          <t>CH1</t>
        </is>
      </c>
    </row>
    <row r="3075">
      <c r="A3075" s="33" t="n">
        <v>45926</v>
      </c>
      <c r="B3075" t="inlineStr">
        <is>
          <t>2025-09</t>
        </is>
      </c>
      <c r="C3075" t="inlineStr">
        <is>
          <t>Nikita Pompei</t>
        </is>
      </c>
      <c r="D3075" t="inlineStr">
        <is>
          <t>Rellenos</t>
        </is>
      </c>
      <c r="E3075" s="34" t="n">
        <v>27889</v>
      </c>
      <c r="F3075" t="inlineStr">
        <is>
          <t>B</t>
        </is>
      </c>
      <c r="G3075" s="34" t="n">
        <v>4453</v>
      </c>
      <c r="H3075" s="34" t="n">
        <v>23436</v>
      </c>
      <c r="I3075" t="inlineStr">
        <is>
          <t>3.2</t>
        </is>
      </c>
      <c r="J3075" t="inlineStr">
        <is>
          <t>Ventas Personas (B2C)</t>
        </is>
      </c>
      <c r="K3075" t="inlineStr">
        <is>
          <t>CH2</t>
        </is>
      </c>
    </row>
    <row r="3076">
      <c r="A3076" s="33" t="n">
        <v>45926</v>
      </c>
      <c r="B3076" t="inlineStr">
        <is>
          <t>2025-09</t>
        </is>
      </c>
      <c r="C3076" t="inlineStr">
        <is>
          <t>CAFE DIARIO ENCOMENDEROS SPA</t>
        </is>
      </c>
      <c r="D3076" t="inlineStr">
        <is>
          <t>HORECA CAFETERIA</t>
        </is>
      </c>
      <c r="E3076" s="34" t="n">
        <v>36477</v>
      </c>
      <c r="F3076" t="inlineStr">
        <is>
          <t>F</t>
        </is>
      </c>
      <c r="G3076" s="34" t="n">
        <v>5824</v>
      </c>
      <c r="H3076" s="34" t="n">
        <v>30653</v>
      </c>
      <c r="I3076" t="inlineStr">
        <is>
          <t>3.1</t>
        </is>
      </c>
      <c r="J3076" t="inlineStr">
        <is>
          <t>Ventas HoReCa</t>
        </is>
      </c>
      <c r="K3076" t="inlineStr">
        <is>
          <t>CH1</t>
        </is>
      </c>
    </row>
    <row r="3077">
      <c r="A3077" s="33" t="n">
        <v>45926</v>
      </c>
      <c r="B3077" t="inlineStr">
        <is>
          <t>2025-09</t>
        </is>
      </c>
      <c r="C3077" t="inlineStr">
        <is>
          <t>Okinawa Spa</t>
        </is>
      </c>
      <c r="D3077" t="inlineStr">
        <is>
          <t>HORECA CAFETERIA</t>
        </is>
      </c>
      <c r="E3077" s="34" t="n">
        <v>52637</v>
      </c>
      <c r="F3077" t="inlineStr">
        <is>
          <t>F</t>
        </is>
      </c>
      <c r="G3077" s="34" t="n">
        <v>8404</v>
      </c>
      <c r="H3077" s="34" t="n">
        <v>44233</v>
      </c>
      <c r="I3077" t="inlineStr">
        <is>
          <t>3.1</t>
        </is>
      </c>
      <c r="J3077" t="inlineStr">
        <is>
          <t>Ventas HoReCa</t>
        </is>
      </c>
      <c r="K3077" t="inlineStr">
        <is>
          <t>CH1</t>
        </is>
      </c>
    </row>
    <row r="3078">
      <c r="A3078" s="33" t="n">
        <v>45926</v>
      </c>
      <c r="B3078" t="inlineStr">
        <is>
          <t>2025-09</t>
        </is>
      </c>
      <c r="C3078" t="inlineStr">
        <is>
          <t xml:space="preserve">Café lucerna spa </t>
        </is>
      </c>
      <c r="D3078" t="inlineStr">
        <is>
          <t>HORECA CAFETERIA</t>
        </is>
      </c>
      <c r="E3078" s="34" t="n">
        <v>68179</v>
      </c>
      <c r="F3078" t="inlineStr">
        <is>
          <t>F</t>
        </is>
      </c>
      <c r="G3078" s="34" t="n">
        <v>10886</v>
      </c>
      <c r="H3078" s="34" t="n">
        <v>57293</v>
      </c>
      <c r="I3078" t="inlineStr">
        <is>
          <t>3.1</t>
        </is>
      </c>
      <c r="J3078" t="inlineStr">
        <is>
          <t>Ventas HoReCa</t>
        </is>
      </c>
      <c r="K3078" t="inlineStr">
        <is>
          <t>CH1</t>
        </is>
      </c>
    </row>
    <row r="3079">
      <c r="A3079" s="33" t="n">
        <v>45926</v>
      </c>
      <c r="B3079" t="inlineStr">
        <is>
          <t>2025-09</t>
        </is>
      </c>
      <c r="C3079" t="inlineStr">
        <is>
          <t>Valeria Fuenzalida</t>
        </is>
      </c>
      <c r="D3079" t="inlineStr">
        <is>
          <t>Petit Crunchy</t>
        </is>
      </c>
      <c r="E3079" s="34" t="n">
        <v>43790</v>
      </c>
      <c r="F3079" t="inlineStr">
        <is>
          <t>B</t>
        </is>
      </c>
      <c r="G3079" s="34" t="n">
        <v>6992</v>
      </c>
      <c r="H3079" s="34" t="n">
        <v>36798</v>
      </c>
      <c r="I3079" t="inlineStr">
        <is>
          <t>3.2</t>
        </is>
      </c>
      <c r="J3079" t="inlineStr">
        <is>
          <t>Ventas Personas (B2C)</t>
        </is>
      </c>
      <c r="K3079" t="inlineStr">
        <is>
          <t>CH2</t>
        </is>
      </c>
    </row>
    <row r="3080">
      <c r="A3080" s="33" t="n">
        <v>45926</v>
      </c>
      <c r="B3080" t="inlineStr">
        <is>
          <t>2025-09</t>
        </is>
      </c>
      <c r="C3080" t="inlineStr">
        <is>
          <t>Claudia Alcivar</t>
        </is>
      </c>
      <c r="D3080" t="inlineStr">
        <is>
          <t>Petit Tradicional</t>
        </is>
      </c>
      <c r="E3080" s="34" t="n">
        <v>55829</v>
      </c>
      <c r="F3080" t="inlineStr">
        <is>
          <t>B</t>
        </is>
      </c>
      <c r="G3080" s="34" t="n">
        <v>8914</v>
      </c>
      <c r="H3080" s="34" t="n">
        <v>46915</v>
      </c>
      <c r="I3080" t="inlineStr">
        <is>
          <t>3.2</t>
        </is>
      </c>
      <c r="J3080" t="inlineStr">
        <is>
          <t>Ventas Personas (B2C)</t>
        </is>
      </c>
      <c r="K3080" t="inlineStr">
        <is>
          <t>CH2</t>
        </is>
      </c>
    </row>
    <row r="3081">
      <c r="A3081" s="33" t="n">
        <v>45926</v>
      </c>
      <c r="B3081" t="inlineStr">
        <is>
          <t>2025-09</t>
        </is>
      </c>
      <c r="C3081" t="inlineStr">
        <is>
          <t>Marisol Valencia Moya</t>
        </is>
      </c>
      <c r="D3081" t="inlineStr">
        <is>
          <t>Petit Tradicional</t>
        </is>
      </c>
      <c r="E3081" s="34" t="n">
        <v>46490</v>
      </c>
      <c r="F3081" t="inlineStr">
        <is>
          <t>B</t>
        </is>
      </c>
      <c r="G3081" s="34" t="n">
        <v>7423</v>
      </c>
      <c r="H3081" s="34" t="n">
        <v>39067</v>
      </c>
      <c r="I3081" t="inlineStr">
        <is>
          <t>3.2</t>
        </is>
      </c>
      <c r="J3081" t="inlineStr">
        <is>
          <t>Ventas Personas (B2C)</t>
        </is>
      </c>
      <c r="K3081" t="inlineStr">
        <is>
          <t>CH2</t>
        </is>
      </c>
    </row>
    <row r="3082">
      <c r="A3082" s="33" t="n">
        <v>45926</v>
      </c>
      <c r="B3082" t="inlineStr">
        <is>
          <t>2025-09</t>
        </is>
      </c>
      <c r="C3082" t="inlineStr">
        <is>
          <t>Max Cordero</t>
        </is>
      </c>
      <c r="D3082" t="inlineStr">
        <is>
          <t>Rellenos</t>
        </is>
      </c>
      <c r="E3082" s="34" t="n">
        <v>24499</v>
      </c>
      <c r="F3082" t="inlineStr">
        <is>
          <t>B</t>
        </is>
      </c>
      <c r="G3082" s="34" t="n">
        <v>3912</v>
      </c>
      <c r="H3082" s="34" t="n">
        <v>20587</v>
      </c>
      <c r="I3082" t="inlineStr">
        <is>
          <t>3.2</t>
        </is>
      </c>
      <c r="J3082" t="inlineStr">
        <is>
          <t>Ventas Personas (B2C)</t>
        </is>
      </c>
      <c r="K3082" t="inlineStr">
        <is>
          <t>CH2</t>
        </is>
      </c>
    </row>
    <row r="3083">
      <c r="A3083" s="33" t="n">
        <v>45926</v>
      </c>
      <c r="B3083" t="inlineStr">
        <is>
          <t>2025-09</t>
        </is>
      </c>
      <c r="C3083" t="inlineStr">
        <is>
          <t>Paula Gómez Hertz</t>
        </is>
      </c>
      <c r="D3083" t="inlineStr">
        <is>
          <t>Rellenos</t>
        </is>
      </c>
      <c r="E3083" s="34" t="n">
        <v>23489</v>
      </c>
      <c r="F3083" t="inlineStr">
        <is>
          <t>B</t>
        </is>
      </c>
      <c r="G3083" s="34" t="n">
        <v>3750</v>
      </c>
      <c r="H3083" s="34" t="n">
        <v>19739</v>
      </c>
      <c r="I3083" t="inlineStr">
        <is>
          <t>3.2</t>
        </is>
      </c>
      <c r="J3083" t="inlineStr">
        <is>
          <t>Ventas Personas (B2C)</t>
        </is>
      </c>
      <c r="K3083" t="inlineStr">
        <is>
          <t>CH2</t>
        </is>
      </c>
    </row>
    <row r="3084">
      <c r="A3084" s="33" t="n">
        <v>45926</v>
      </c>
      <c r="B3084" t="inlineStr">
        <is>
          <t>2025-09</t>
        </is>
      </c>
      <c r="C3084" t="inlineStr">
        <is>
          <t>robert garcia</t>
        </is>
      </c>
      <c r="D3084" t="inlineStr">
        <is>
          <t>Rellenos</t>
        </is>
      </c>
      <c r="E3084" s="34" t="n">
        <v>28890</v>
      </c>
      <c r="F3084" t="inlineStr">
        <is>
          <t>B</t>
        </is>
      </c>
      <c r="G3084" s="34" t="n">
        <v>4613</v>
      </c>
      <c r="H3084" s="34" t="n">
        <v>24277</v>
      </c>
      <c r="I3084" t="inlineStr">
        <is>
          <t>3.2</t>
        </is>
      </c>
      <c r="J3084" t="inlineStr">
        <is>
          <t>Ventas Personas (B2C)</t>
        </is>
      </c>
      <c r="K3084" t="inlineStr">
        <is>
          <t>CH2</t>
        </is>
      </c>
    </row>
    <row r="3085">
      <c r="A3085" s="33" t="n">
        <v>45926</v>
      </c>
      <c r="B3085" t="inlineStr">
        <is>
          <t>2025-09</t>
        </is>
      </c>
      <c r="C3085" t="inlineStr">
        <is>
          <t>Nelson Madriaga Ponce</t>
        </is>
      </c>
      <c r="D3085" t="inlineStr">
        <is>
          <t>Rellenos</t>
        </is>
      </c>
      <c r="E3085" s="34" t="n">
        <v>28890</v>
      </c>
      <c r="F3085" t="inlineStr">
        <is>
          <t>B</t>
        </is>
      </c>
      <c r="G3085" s="34" t="n">
        <v>4613</v>
      </c>
      <c r="H3085" s="34" t="n">
        <v>24277</v>
      </c>
      <c r="I3085" t="inlineStr">
        <is>
          <t>3.2</t>
        </is>
      </c>
      <c r="J3085" t="inlineStr">
        <is>
          <t>Ventas Personas (B2C)</t>
        </is>
      </c>
      <c r="K3085" t="inlineStr">
        <is>
          <t>CH2</t>
        </is>
      </c>
    </row>
    <row r="3086">
      <c r="A3086" s="33" t="n">
        <v>45926</v>
      </c>
      <c r="B3086" t="inlineStr">
        <is>
          <t>2025-09</t>
        </is>
      </c>
      <c r="C3086" t="inlineStr">
        <is>
          <t>claudio molina</t>
        </is>
      </c>
      <c r="D3086" t="inlineStr">
        <is>
          <t>Mix Sabores</t>
        </is>
      </c>
      <c r="E3086" s="34" t="n">
        <v>18889</v>
      </c>
      <c r="F3086" t="inlineStr">
        <is>
          <t>B</t>
        </is>
      </c>
      <c r="G3086" s="34" t="n">
        <v>3016</v>
      </c>
      <c r="H3086" s="34" t="n">
        <v>15873</v>
      </c>
      <c r="I3086" t="inlineStr">
        <is>
          <t>3.2</t>
        </is>
      </c>
      <c r="J3086" t="inlineStr">
        <is>
          <t>Ventas Personas (B2C)</t>
        </is>
      </c>
      <c r="K3086" t="inlineStr">
        <is>
          <t>CH2</t>
        </is>
      </c>
    </row>
    <row r="3087">
      <c r="A3087" s="33" t="n">
        <v>45926</v>
      </c>
      <c r="B3087" t="inlineStr">
        <is>
          <t>2025-09</t>
        </is>
      </c>
      <c r="C3087" t="inlineStr">
        <is>
          <t>Lily Günther</t>
        </is>
      </c>
      <c r="D3087" t="inlineStr">
        <is>
          <t>Petit Crunchy</t>
        </is>
      </c>
      <c r="E3087" s="34" t="n">
        <v>49689</v>
      </c>
      <c r="F3087" t="inlineStr">
        <is>
          <t>B</t>
        </is>
      </c>
      <c r="G3087" s="34" t="n">
        <v>7934</v>
      </c>
      <c r="H3087" s="34" t="n">
        <v>41755</v>
      </c>
      <c r="I3087" t="inlineStr">
        <is>
          <t>3.2</t>
        </is>
      </c>
      <c r="J3087" t="inlineStr">
        <is>
          <t>Ventas Personas (B2C)</t>
        </is>
      </c>
      <c r="K3087" t="inlineStr">
        <is>
          <t>CH2</t>
        </is>
      </c>
    </row>
    <row r="3088">
      <c r="A3088" s="33" t="n">
        <v>45926</v>
      </c>
      <c r="B3088" t="inlineStr">
        <is>
          <t>2025-09</t>
        </is>
      </c>
      <c r="C3088" t="inlineStr">
        <is>
          <t>MARIA IGNACIA GREZ</t>
        </is>
      </c>
      <c r="D3088" t="inlineStr">
        <is>
          <t>Delicatessen</t>
        </is>
      </c>
      <c r="E3088" s="34" t="n">
        <v>52320</v>
      </c>
      <c r="F3088" t="inlineStr">
        <is>
          <t>B</t>
        </is>
      </c>
      <c r="G3088" s="34" t="n">
        <v>8354</v>
      </c>
      <c r="H3088" s="34" t="n">
        <v>43966</v>
      </c>
      <c r="I3088" t="inlineStr">
        <is>
          <t>3.2</t>
        </is>
      </c>
      <c r="J3088" t="inlineStr">
        <is>
          <t>Ventas Personas (B2C)</t>
        </is>
      </c>
      <c r="K3088" t="inlineStr">
        <is>
          <t>CH2</t>
        </is>
      </c>
    </row>
    <row r="3089">
      <c r="A3089" s="33" t="n">
        <v>45926</v>
      </c>
      <c r="B3089" t="inlineStr">
        <is>
          <t>2025-09</t>
        </is>
      </c>
      <c r="C3089" t="inlineStr">
        <is>
          <t>Sin cliente</t>
        </is>
      </c>
      <c r="D3089" t="inlineStr">
        <is>
          <t>PLATAFORMAS RAP-PEYA-UBER-GOOD</t>
        </is>
      </c>
      <c r="E3089" s="34" t="n">
        <v>52560</v>
      </c>
      <c r="F3089" t="inlineStr">
        <is>
          <t>B</t>
        </is>
      </c>
      <c r="G3089" s="34" t="n">
        <v>8392</v>
      </c>
      <c r="H3089" s="34" t="n">
        <v>44168</v>
      </c>
      <c r="I3089" t="inlineStr">
        <is>
          <t>3.6</t>
        </is>
      </c>
      <c r="J3089" t="inlineStr">
        <is>
          <t>Ventas Delivery Apps</t>
        </is>
      </c>
      <c r="K3089" t="inlineStr">
        <is>
          <t>CH3</t>
        </is>
      </c>
    </row>
    <row r="3090">
      <c r="A3090" s="33" t="n">
        <v>45926</v>
      </c>
      <c r="B3090" t="inlineStr">
        <is>
          <t>2025-09</t>
        </is>
      </c>
      <c r="C3090" t="inlineStr">
        <is>
          <t>Sin cliente</t>
        </is>
      </c>
      <c r="D3090" t="inlineStr">
        <is>
          <t>PLATAFORMAS RAP-PEYA-UBER-GOOD</t>
        </is>
      </c>
      <c r="E3090" s="34" t="n">
        <v>10200</v>
      </c>
      <c r="F3090" t="inlineStr">
        <is>
          <t>B</t>
        </is>
      </c>
      <c r="G3090" s="34" t="n">
        <v>1629</v>
      </c>
      <c r="H3090" s="34" t="n">
        <v>8571</v>
      </c>
      <c r="I3090" t="inlineStr">
        <is>
          <t>3.6</t>
        </is>
      </c>
      <c r="J3090" t="inlineStr">
        <is>
          <t>Ventas Delivery Apps</t>
        </is>
      </c>
      <c r="K3090" t="inlineStr">
        <is>
          <t>CH3</t>
        </is>
      </c>
    </row>
    <row r="3091">
      <c r="A3091" s="33" t="n">
        <v>45926</v>
      </c>
      <c r="B3091" t="inlineStr">
        <is>
          <t>2025-09</t>
        </is>
      </c>
      <c r="C3091" t="inlineStr">
        <is>
          <t>Sin cliente</t>
        </is>
      </c>
      <c r="D3091" t="inlineStr">
        <is>
          <t>PLATAFORMAS RAP-PEYA-UBER-GOOD</t>
        </is>
      </c>
      <c r="E3091" s="34" t="n">
        <v>15480</v>
      </c>
      <c r="F3091" t="inlineStr">
        <is>
          <t>B</t>
        </is>
      </c>
      <c r="G3091" s="34" t="n">
        <v>2472</v>
      </c>
      <c r="H3091" s="34" t="n">
        <v>13008</v>
      </c>
      <c r="I3091" t="inlineStr">
        <is>
          <t>3.6</t>
        </is>
      </c>
      <c r="J3091" t="inlineStr">
        <is>
          <t>Ventas Delivery Apps</t>
        </is>
      </c>
      <c r="K3091" t="inlineStr">
        <is>
          <t>CH3</t>
        </is>
      </c>
    </row>
    <row r="3092">
      <c r="A3092" s="33" t="n">
        <v>45926</v>
      </c>
      <c r="B3092" t="inlineStr">
        <is>
          <t>2025-09</t>
        </is>
      </c>
      <c r="C3092" t="inlineStr">
        <is>
          <t>Sin cliente</t>
        </is>
      </c>
      <c r="D3092" t="inlineStr">
        <is>
          <t>Petit Tradicional</t>
        </is>
      </c>
      <c r="E3092" s="34" t="n">
        <v>51800</v>
      </c>
      <c r="F3092" t="inlineStr">
        <is>
          <t>B</t>
        </is>
      </c>
      <c r="G3092" s="34" t="n">
        <v>8271</v>
      </c>
      <c r="H3092" s="34" t="n">
        <v>43529</v>
      </c>
      <c r="I3092" t="inlineStr">
        <is>
          <t>3.2</t>
        </is>
      </c>
      <c r="J3092" t="inlineStr">
        <is>
          <t>Ventas Personas (B2C)</t>
        </is>
      </c>
      <c r="K3092" t="inlineStr">
        <is>
          <t>CH2</t>
        </is>
      </c>
    </row>
    <row r="3093">
      <c r="A3093" s="33" t="n">
        <v>45926</v>
      </c>
      <c r="B3093" t="inlineStr">
        <is>
          <t>2025-09</t>
        </is>
      </c>
      <c r="C3093" t="inlineStr">
        <is>
          <t>Sin cliente</t>
        </is>
      </c>
      <c r="D3093" t="inlineStr">
        <is>
          <t>CANELÉ TRADICIONAL</t>
        </is>
      </c>
      <c r="E3093" s="34" t="n">
        <v>26900</v>
      </c>
      <c r="F3093" t="inlineStr">
        <is>
          <t>B</t>
        </is>
      </c>
      <c r="G3093" s="34" t="n">
        <v>4295</v>
      </c>
      <c r="H3093" s="34" t="n">
        <v>22605</v>
      </c>
      <c r="I3093" t="inlineStr">
        <is>
          <t>3.2</t>
        </is>
      </c>
      <c r="J3093" t="inlineStr">
        <is>
          <t>Ventas Personas (B2C)</t>
        </is>
      </c>
      <c r="K3093" t="inlineStr">
        <is>
          <t>CH2</t>
        </is>
      </c>
    </row>
    <row r="3094">
      <c r="A3094" s="33" t="n">
        <v>45926</v>
      </c>
      <c r="B3094" t="inlineStr">
        <is>
          <t>2025-09</t>
        </is>
      </c>
      <c r="C3094" t="inlineStr">
        <is>
          <t>Oscar Larrain</t>
        </is>
      </c>
      <c r="D3094" t="inlineStr">
        <is>
          <t>Rellenos</t>
        </is>
      </c>
      <c r="E3094" s="34" t="n">
        <v>24499</v>
      </c>
      <c r="F3094" t="inlineStr">
        <is>
          <t>B</t>
        </is>
      </c>
      <c r="G3094" s="34" t="n">
        <v>3912</v>
      </c>
      <c r="H3094" s="34" t="n">
        <v>20587</v>
      </c>
      <c r="I3094" t="inlineStr">
        <is>
          <t>3.2</t>
        </is>
      </c>
      <c r="J3094" t="inlineStr">
        <is>
          <t>Ventas Personas (B2C)</t>
        </is>
      </c>
      <c r="K3094" t="inlineStr">
        <is>
          <t>CH2</t>
        </is>
      </c>
    </row>
    <row r="3095">
      <c r="A3095" s="33" t="n">
        <v>45926</v>
      </c>
      <c r="B3095" t="inlineStr">
        <is>
          <t>2025-09</t>
        </is>
      </c>
      <c r="C3095" t="inlineStr">
        <is>
          <t>Javiera Valdivieso calderon</t>
        </is>
      </c>
      <c r="D3095" t="inlineStr">
        <is>
          <t>Petit Crunchy</t>
        </is>
      </c>
      <c r="E3095" s="34" t="n">
        <v>16889</v>
      </c>
      <c r="F3095" t="inlineStr">
        <is>
          <t>B</t>
        </is>
      </c>
      <c r="G3095" s="34" t="n">
        <v>2697</v>
      </c>
      <c r="H3095" s="34" t="n">
        <v>14192</v>
      </c>
      <c r="I3095" t="inlineStr">
        <is>
          <t>3.2</t>
        </is>
      </c>
      <c r="J3095" t="inlineStr">
        <is>
          <t>Ventas Personas (B2C)</t>
        </is>
      </c>
      <c r="K3095" t="inlineStr">
        <is>
          <t>CH2</t>
        </is>
      </c>
    </row>
    <row r="3096">
      <c r="A3096" s="33" t="n">
        <v>45926</v>
      </c>
      <c r="B3096" t="inlineStr">
        <is>
          <t>2025-09</t>
        </is>
      </c>
      <c r="C3096" t="inlineStr">
        <is>
          <t>monserrat  ibarra</t>
        </is>
      </c>
      <c r="D3096" t="inlineStr">
        <is>
          <t>CANELÉ TRADICIONAL</t>
        </is>
      </c>
      <c r="E3096" s="34" t="n">
        <v>7500</v>
      </c>
      <c r="F3096" t="inlineStr">
        <is>
          <t>B</t>
        </is>
      </c>
      <c r="G3096" s="34" t="n">
        <v>1197</v>
      </c>
      <c r="H3096" s="34" t="n">
        <v>6303</v>
      </c>
      <c r="I3096" t="inlineStr">
        <is>
          <t>3.2</t>
        </is>
      </c>
      <c r="J3096" t="inlineStr">
        <is>
          <t>Ventas Personas (B2C)</t>
        </is>
      </c>
      <c r="K3096" t="inlineStr">
        <is>
          <t>CH2</t>
        </is>
      </c>
    </row>
    <row r="3097">
      <c r="A3097" s="33" t="n">
        <v>45926</v>
      </c>
      <c r="B3097" t="inlineStr">
        <is>
          <t>2025-09</t>
        </is>
      </c>
      <c r="C3097" t="inlineStr">
        <is>
          <t>Josefina Zunino</t>
        </is>
      </c>
      <c r="D3097" t="inlineStr">
        <is>
          <t>Petit Crunchy</t>
        </is>
      </c>
      <c r="E3097" s="34" t="n">
        <v>13889</v>
      </c>
      <c r="F3097" t="inlineStr">
        <is>
          <t>B</t>
        </is>
      </c>
      <c r="G3097" s="34" t="n">
        <v>2218</v>
      </c>
      <c r="H3097" s="34" t="n">
        <v>11671</v>
      </c>
      <c r="I3097" t="inlineStr">
        <is>
          <t>3.2</t>
        </is>
      </c>
      <c r="J3097" t="inlineStr">
        <is>
          <t>Ventas Personas (B2C)</t>
        </is>
      </c>
      <c r="K3097" t="inlineStr">
        <is>
          <t>CH2</t>
        </is>
      </c>
    </row>
    <row r="3098">
      <c r="A3098" s="33" t="n">
        <v>45926</v>
      </c>
      <c r="B3098" t="inlineStr">
        <is>
          <t>2025-09</t>
        </is>
      </c>
      <c r="C3098" t="inlineStr">
        <is>
          <t>Sin cliente</t>
        </is>
      </c>
      <c r="D3098" t="inlineStr">
        <is>
          <t>PLATAFORMAS RAP-PEYA-UBER-GOOD</t>
        </is>
      </c>
      <c r="E3098" s="34" t="n">
        <v>21480</v>
      </c>
      <c r="F3098" t="inlineStr">
        <is>
          <t>B</t>
        </is>
      </c>
      <c r="G3098" s="34" t="n">
        <v>3430</v>
      </c>
      <c r="H3098" s="34" t="n">
        <v>18050</v>
      </c>
      <c r="I3098" t="inlineStr">
        <is>
          <t>3.6</t>
        </is>
      </c>
      <c r="J3098" t="inlineStr">
        <is>
          <t>Ventas Delivery Apps</t>
        </is>
      </c>
      <c r="K3098" t="inlineStr">
        <is>
          <t>CH3</t>
        </is>
      </c>
    </row>
    <row r="3099">
      <c r="A3099" s="33" t="n">
        <v>45926</v>
      </c>
      <c r="B3099" t="inlineStr">
        <is>
          <t>2025-09</t>
        </is>
      </c>
      <c r="C3099" t="inlineStr">
        <is>
          <t>Francisca Rodriguez</t>
        </is>
      </c>
      <c r="D3099" t="inlineStr">
        <is>
          <t>Rellenos</t>
        </is>
      </c>
      <c r="E3099" s="34" t="n">
        <v>26500</v>
      </c>
      <c r="F3099" t="inlineStr">
        <is>
          <t>B</t>
        </is>
      </c>
      <c r="G3099" s="34" t="n">
        <v>4231</v>
      </c>
      <c r="H3099" s="34" t="n">
        <v>22269</v>
      </c>
      <c r="I3099" t="inlineStr">
        <is>
          <t>3.2</t>
        </is>
      </c>
      <c r="J3099" t="inlineStr">
        <is>
          <t>Ventas Personas (B2C)</t>
        </is>
      </c>
      <c r="K3099" t="inlineStr">
        <is>
          <t>CH2</t>
        </is>
      </c>
    </row>
    <row r="3100">
      <c r="A3100" s="33" t="n">
        <v>45926</v>
      </c>
      <c r="B3100" t="inlineStr">
        <is>
          <t>2025-09</t>
        </is>
      </c>
      <c r="C3100" t="inlineStr">
        <is>
          <t>Sin cliente</t>
        </is>
      </c>
      <c r="D3100" t="inlineStr">
        <is>
          <t>Mix Sabores</t>
        </is>
      </c>
      <c r="E3100" s="34" t="n">
        <v>31700</v>
      </c>
      <c r="F3100" t="inlineStr">
        <is>
          <t>B</t>
        </is>
      </c>
      <c r="G3100" s="34" t="n">
        <v>5061</v>
      </c>
      <c r="H3100" s="34" t="n">
        <v>26639</v>
      </c>
      <c r="I3100" t="inlineStr">
        <is>
          <t>3.2</t>
        </is>
      </c>
      <c r="J3100" t="inlineStr">
        <is>
          <t>Ventas Personas (B2C)</t>
        </is>
      </c>
      <c r="K3100" t="inlineStr">
        <is>
          <t>CH2</t>
        </is>
      </c>
    </row>
    <row r="3101">
      <c r="A3101" s="33" t="n">
        <v>45926</v>
      </c>
      <c r="B3101" t="inlineStr">
        <is>
          <t>2025-09</t>
        </is>
      </c>
      <c r="C3101" t="inlineStr">
        <is>
          <t>Sin cliente</t>
        </is>
      </c>
      <c r="D3101" t="inlineStr">
        <is>
          <t>PLATAFORMAS RAP-PEYA-UBER-GOOD</t>
        </is>
      </c>
      <c r="E3101" s="34" t="n">
        <v>34668</v>
      </c>
      <c r="F3101" t="inlineStr">
        <is>
          <t>B</t>
        </is>
      </c>
      <c r="G3101" s="34" t="n">
        <v>5535</v>
      </c>
      <c r="H3101" s="34" t="n">
        <v>29133</v>
      </c>
      <c r="I3101" t="inlineStr">
        <is>
          <t>3.6</t>
        </is>
      </c>
      <c r="J3101" t="inlineStr">
        <is>
          <t>Ventas Delivery Apps</t>
        </is>
      </c>
      <c r="K3101" t="inlineStr">
        <is>
          <t>CH3</t>
        </is>
      </c>
    </row>
    <row r="3102">
      <c r="A3102" s="33" t="n">
        <v>45926</v>
      </c>
      <c r="B3102" t="inlineStr">
        <is>
          <t>2025-09</t>
        </is>
      </c>
      <c r="C3102" t="inlineStr">
        <is>
          <t>Sin cliente</t>
        </is>
      </c>
      <c r="D3102" t="inlineStr">
        <is>
          <t>Rellenos</t>
        </is>
      </c>
      <c r="E3102" s="34" t="n">
        <v>19000</v>
      </c>
      <c r="F3102" t="inlineStr">
        <is>
          <t>B</t>
        </is>
      </c>
      <c r="G3102" s="34" t="n">
        <v>3034</v>
      </c>
      <c r="H3102" s="34" t="n">
        <v>15966</v>
      </c>
      <c r="I3102" t="inlineStr">
        <is>
          <t>3.2</t>
        </is>
      </c>
      <c r="J3102" t="inlineStr">
        <is>
          <t>Ventas Personas (B2C)</t>
        </is>
      </c>
      <c r="K3102" t="inlineStr">
        <is>
          <t>CH2</t>
        </is>
      </c>
    </row>
    <row r="3103">
      <c r="A3103" s="33" t="n">
        <v>45926</v>
      </c>
      <c r="B3103" t="inlineStr">
        <is>
          <t>2025-09</t>
        </is>
      </c>
      <c r="C3103" t="inlineStr">
        <is>
          <t>Paola Mazo</t>
        </is>
      </c>
      <c r="D3103" t="inlineStr">
        <is>
          <t>CANELÉ TRADICIONAL</t>
        </is>
      </c>
      <c r="E3103" s="34" t="n">
        <v>26900</v>
      </c>
      <c r="F3103" t="inlineStr">
        <is>
          <t>B</t>
        </is>
      </c>
      <c r="G3103" s="34" t="n">
        <v>4295</v>
      </c>
      <c r="H3103" s="34" t="n">
        <v>22605</v>
      </c>
      <c r="I3103" t="inlineStr">
        <is>
          <t>3.2</t>
        </is>
      </c>
      <c r="J3103" t="inlineStr">
        <is>
          <t>Ventas Personas (B2C)</t>
        </is>
      </c>
      <c r="K3103" t="inlineStr">
        <is>
          <t>CH2</t>
        </is>
      </c>
    </row>
    <row r="3104">
      <c r="A3104" s="33" t="n">
        <v>45926</v>
      </c>
      <c r="B3104" t="inlineStr">
        <is>
          <t>2025-09</t>
        </is>
      </c>
      <c r="C3104" t="inlineStr">
        <is>
          <t>Daniel Weinberger elberg</t>
        </is>
      </c>
      <c r="D3104" t="inlineStr">
        <is>
          <t>CANELE SIN AZUCAR</t>
        </is>
      </c>
      <c r="E3104" s="34" t="n">
        <v>35289</v>
      </c>
      <c r="F3104" t="inlineStr">
        <is>
          <t>B</t>
        </is>
      </c>
      <c r="G3104" s="34" t="n">
        <v>5634</v>
      </c>
      <c r="H3104" s="34" t="n">
        <v>29655</v>
      </c>
      <c r="I3104" t="inlineStr">
        <is>
          <t>3.2</t>
        </is>
      </c>
      <c r="J3104" t="inlineStr">
        <is>
          <t>Ventas Personas (B2C)</t>
        </is>
      </c>
      <c r="K3104" t="inlineStr">
        <is>
          <t>CH2</t>
        </is>
      </c>
    </row>
    <row r="3105">
      <c r="A3105" s="33" t="n">
        <v>45926</v>
      </c>
      <c r="B3105" t="inlineStr">
        <is>
          <t>2025-09</t>
        </is>
      </c>
      <c r="C3105" t="inlineStr">
        <is>
          <t>Camila Miguel</t>
        </is>
      </c>
      <c r="D3105" t="inlineStr">
        <is>
          <t>Rellenos</t>
        </is>
      </c>
      <c r="E3105" s="34" t="n">
        <v>19990</v>
      </c>
      <c r="F3105" t="inlineStr">
        <is>
          <t>B</t>
        </is>
      </c>
      <c r="G3105" s="34" t="n">
        <v>3192</v>
      </c>
      <c r="H3105" s="34" t="n">
        <v>16798</v>
      </c>
      <c r="I3105" t="inlineStr">
        <is>
          <t>3.2</t>
        </is>
      </c>
      <c r="J3105" t="inlineStr">
        <is>
          <t>Ventas Personas (B2C)</t>
        </is>
      </c>
      <c r="K3105" t="inlineStr">
        <is>
          <t>CH2</t>
        </is>
      </c>
    </row>
    <row r="3106">
      <c r="A3106" s="33" t="n">
        <v>45927</v>
      </c>
      <c r="B3106" t="inlineStr">
        <is>
          <t>2025-09</t>
        </is>
      </c>
      <c r="C3106" t="inlineStr">
        <is>
          <t>Jeanette Osorio</t>
        </is>
      </c>
      <c r="D3106" t="inlineStr">
        <is>
          <t>Rellenos</t>
        </is>
      </c>
      <c r="E3106" s="34" t="n">
        <v>42030</v>
      </c>
      <c r="F3106" t="inlineStr">
        <is>
          <t>B</t>
        </is>
      </c>
      <c r="G3106" s="34" t="n">
        <v>6711</v>
      </c>
      <c r="H3106" s="34" t="n">
        <v>35319</v>
      </c>
      <c r="I3106" t="inlineStr">
        <is>
          <t>3.2</t>
        </is>
      </c>
      <c r="J3106" t="inlineStr">
        <is>
          <t>Ventas Personas (B2C)</t>
        </is>
      </c>
      <c r="K3106" t="inlineStr">
        <is>
          <t>CH2</t>
        </is>
      </c>
    </row>
    <row r="3107">
      <c r="A3107" s="33" t="n">
        <v>45927</v>
      </c>
      <c r="B3107" t="inlineStr">
        <is>
          <t>2025-09</t>
        </is>
      </c>
      <c r="C3107" t="inlineStr">
        <is>
          <t>Kwang Lee</t>
        </is>
      </c>
      <c r="D3107" t="inlineStr">
        <is>
          <t>Rellenos</t>
        </is>
      </c>
      <c r="E3107" s="34" t="n">
        <v>29900</v>
      </c>
      <c r="F3107" t="inlineStr">
        <is>
          <t>B</t>
        </is>
      </c>
      <c r="G3107" s="34" t="n">
        <v>4774</v>
      </c>
      <c r="H3107" s="34" t="n">
        <v>25126</v>
      </c>
      <c r="I3107" t="inlineStr">
        <is>
          <t>3.2</t>
        </is>
      </c>
      <c r="J3107" t="inlineStr">
        <is>
          <t>Ventas Personas (B2C)</t>
        </is>
      </c>
      <c r="K3107" t="inlineStr">
        <is>
          <t>CH2</t>
        </is>
      </c>
    </row>
    <row r="3108">
      <c r="A3108" s="33" t="n">
        <v>45927</v>
      </c>
      <c r="B3108" t="inlineStr">
        <is>
          <t>2025-09</t>
        </is>
      </c>
      <c r="C3108" t="inlineStr">
        <is>
          <t>Sin cliente</t>
        </is>
      </c>
      <c r="D3108" t="inlineStr">
        <is>
          <t>CANELÉ TRADICIONAL</t>
        </is>
      </c>
      <c r="E3108" s="34" t="n">
        <v>29800</v>
      </c>
      <c r="F3108" t="inlineStr">
        <is>
          <t>B</t>
        </is>
      </c>
      <c r="G3108" s="34" t="n">
        <v>4758</v>
      </c>
      <c r="H3108" s="34" t="n">
        <v>25042</v>
      </c>
      <c r="I3108" t="inlineStr">
        <is>
          <t>3.2</t>
        </is>
      </c>
      <c r="J3108" t="inlineStr">
        <is>
          <t>Ventas Personas (B2C)</t>
        </is>
      </c>
      <c r="K3108" t="inlineStr">
        <is>
          <t>CH2</t>
        </is>
      </c>
    </row>
    <row r="3109">
      <c r="A3109" s="33" t="n">
        <v>45927</v>
      </c>
      <c r="B3109" t="inlineStr">
        <is>
          <t>2025-09</t>
        </is>
      </c>
      <c r="C3109" t="inlineStr">
        <is>
          <t>Sin cliente</t>
        </is>
      </c>
      <c r="D3109" t="inlineStr">
        <is>
          <t>CANELÉ TRADICIONAL</t>
        </is>
      </c>
      <c r="E3109" s="34" t="n">
        <v>48800</v>
      </c>
      <c r="F3109" t="inlineStr">
        <is>
          <t>B</t>
        </is>
      </c>
      <c r="G3109" s="34" t="n">
        <v>7792</v>
      </c>
      <c r="H3109" s="34" t="n">
        <v>41008</v>
      </c>
      <c r="I3109" t="inlineStr">
        <is>
          <t>3.2</t>
        </is>
      </c>
      <c r="J3109" t="inlineStr">
        <is>
          <t>Ventas Personas (B2C)</t>
        </is>
      </c>
      <c r="K3109" t="inlineStr">
        <is>
          <t>CH2</t>
        </is>
      </c>
    </row>
    <row r="3110">
      <c r="A3110" s="33" t="n">
        <v>45927</v>
      </c>
      <c r="B3110" t="inlineStr">
        <is>
          <t>2025-09</t>
        </is>
      </c>
      <c r="C3110" t="inlineStr">
        <is>
          <t>Sin cliente</t>
        </is>
      </c>
      <c r="D3110" t="inlineStr">
        <is>
          <t>Rellenos</t>
        </is>
      </c>
      <c r="E3110" s="34" t="n">
        <v>37500</v>
      </c>
      <c r="F3110" t="inlineStr">
        <is>
          <t>B</t>
        </is>
      </c>
      <c r="G3110" s="34" t="n">
        <v>5987</v>
      </c>
      <c r="H3110" s="34" t="n">
        <v>31513</v>
      </c>
      <c r="I3110" t="inlineStr">
        <is>
          <t>3.2</t>
        </is>
      </c>
      <c r="J3110" t="inlineStr">
        <is>
          <t>Ventas Personas (B2C)</t>
        </is>
      </c>
      <c r="K3110" t="inlineStr">
        <is>
          <t>CH2</t>
        </is>
      </c>
    </row>
    <row r="3111">
      <c r="A3111" s="33" t="n">
        <v>45927</v>
      </c>
      <c r="B3111" t="inlineStr">
        <is>
          <t>2025-09</t>
        </is>
      </c>
      <c r="C3111" t="inlineStr">
        <is>
          <t>Sin cliente</t>
        </is>
      </c>
      <c r="D3111" t="inlineStr">
        <is>
          <t>CANELÉ TRADICIONAL</t>
        </is>
      </c>
      <c r="E3111" s="34" t="n">
        <v>27800</v>
      </c>
      <c r="F3111" t="inlineStr">
        <is>
          <t>B</t>
        </is>
      </c>
      <c r="G3111" s="34" t="n">
        <v>4439</v>
      </c>
      <c r="H3111" s="34" t="n">
        <v>23361</v>
      </c>
      <c r="I3111" t="inlineStr">
        <is>
          <t>3.2</t>
        </is>
      </c>
      <c r="J3111" t="inlineStr">
        <is>
          <t>Ventas Personas (B2C)</t>
        </is>
      </c>
      <c r="K3111" t="inlineStr">
        <is>
          <t>CH2</t>
        </is>
      </c>
    </row>
    <row r="3112">
      <c r="A3112" s="33" t="n">
        <v>45927</v>
      </c>
      <c r="B3112" t="inlineStr">
        <is>
          <t>2025-09</t>
        </is>
      </c>
      <c r="C3112" t="inlineStr">
        <is>
          <t>Sin cliente</t>
        </is>
      </c>
      <c r="D3112" t="inlineStr">
        <is>
          <t>Rellenos</t>
        </is>
      </c>
      <c r="E3112" s="34" t="n">
        <v>8000</v>
      </c>
      <c r="F3112" t="inlineStr">
        <is>
          <t>B</t>
        </is>
      </c>
      <c r="G3112" s="34" t="n">
        <v>1277</v>
      </c>
      <c r="H3112" s="34" t="n">
        <v>6723</v>
      </c>
      <c r="I3112" t="inlineStr">
        <is>
          <t>3.2</t>
        </is>
      </c>
      <c r="J3112" t="inlineStr">
        <is>
          <t>Ventas Personas (B2C)</t>
        </is>
      </c>
      <c r="K3112" t="inlineStr">
        <is>
          <t>CH2</t>
        </is>
      </c>
    </row>
    <row r="3113">
      <c r="A3113" s="33" t="n">
        <v>45927</v>
      </c>
      <c r="B3113" t="inlineStr">
        <is>
          <t>2025-09</t>
        </is>
      </c>
      <c r="C3113" t="inlineStr">
        <is>
          <t>Sin cliente</t>
        </is>
      </c>
      <c r="D3113" t="inlineStr">
        <is>
          <t>CANELÉ TRADICIONAL</t>
        </is>
      </c>
      <c r="E3113" s="34" t="n">
        <v>5000</v>
      </c>
      <c r="F3113" t="inlineStr">
        <is>
          <t>B</t>
        </is>
      </c>
      <c r="G3113" s="34" t="n">
        <v>798</v>
      </c>
      <c r="H3113" s="34" t="n">
        <v>4202</v>
      </c>
      <c r="I3113" t="inlineStr">
        <is>
          <t>3.2</t>
        </is>
      </c>
      <c r="J3113" t="inlineStr">
        <is>
          <t>Ventas Personas (B2C)</t>
        </is>
      </c>
      <c r="K3113" t="inlineStr">
        <is>
          <t>CH2</t>
        </is>
      </c>
    </row>
    <row r="3114">
      <c r="A3114" s="33" t="n">
        <v>45928</v>
      </c>
      <c r="B3114" t="inlineStr">
        <is>
          <t>2025-09</t>
        </is>
      </c>
      <c r="C3114" t="inlineStr">
        <is>
          <t>Carlos Letelier</t>
        </is>
      </c>
      <c r="D3114" t="inlineStr">
        <is>
          <t>Rellenos</t>
        </is>
      </c>
      <c r="E3114" s="34" t="n">
        <v>19199</v>
      </c>
      <c r="F3114" t="inlineStr">
        <is>
          <t>B</t>
        </is>
      </c>
      <c r="G3114" s="34" t="n">
        <v>3065</v>
      </c>
      <c r="H3114" s="34" t="n">
        <v>16134</v>
      </c>
      <c r="I3114" t="inlineStr">
        <is>
          <t>3.2</t>
        </is>
      </c>
      <c r="J3114" t="inlineStr">
        <is>
          <t>Ventas Personas (B2C)</t>
        </is>
      </c>
      <c r="K3114" t="inlineStr">
        <is>
          <t>CH2</t>
        </is>
      </c>
    </row>
    <row r="3115">
      <c r="A3115" s="33" t="n">
        <v>45929</v>
      </c>
      <c r="B3115" t="inlineStr">
        <is>
          <t>2025-09</t>
        </is>
      </c>
      <c r="C3115" t="inlineStr">
        <is>
          <t>GALO SPA</t>
        </is>
      </c>
      <c r="D3115" t="inlineStr">
        <is>
          <t>HORECA CAFETERIA</t>
        </is>
      </c>
      <c r="E3115" s="34" t="n">
        <v>164426</v>
      </c>
      <c r="F3115" t="inlineStr">
        <is>
          <t>F</t>
        </is>
      </c>
      <c r="G3115" s="34" t="n">
        <v>26253</v>
      </c>
      <c r="H3115" s="34" t="n">
        <v>138173</v>
      </c>
      <c r="I3115" t="inlineStr">
        <is>
          <t>3.1</t>
        </is>
      </c>
      <c r="J3115" t="inlineStr">
        <is>
          <t>Ventas HoReCa</t>
        </is>
      </c>
      <c r="K3115" t="inlineStr">
        <is>
          <t>CH1</t>
        </is>
      </c>
    </row>
    <row r="3116">
      <c r="A3116" s="33" t="n">
        <v>45929</v>
      </c>
      <c r="B3116" t="inlineStr">
        <is>
          <t>2025-09</t>
        </is>
      </c>
      <c r="C3116" t="inlineStr">
        <is>
          <t>INVERSIONES Y ASESORIAS RAVAL LIMITADA</t>
        </is>
      </c>
      <c r="D3116" t="inlineStr">
        <is>
          <t>HORECA CAFETERIA</t>
        </is>
      </c>
      <c r="E3116" s="34" t="n">
        <v>72169</v>
      </c>
      <c r="F3116" t="inlineStr">
        <is>
          <t>F</t>
        </is>
      </c>
      <c r="G3116" s="34" t="n">
        <v>11523</v>
      </c>
      <c r="H3116" s="34" t="n">
        <v>60646</v>
      </c>
      <c r="I3116" t="inlineStr">
        <is>
          <t>3.1</t>
        </is>
      </c>
      <c r="J3116" t="inlineStr">
        <is>
          <t>Ventas HoReCa</t>
        </is>
      </c>
      <c r="K3116" t="inlineStr">
        <is>
          <t>CH1</t>
        </is>
      </c>
    </row>
    <row r="3117">
      <c r="A3117" s="33" t="n">
        <v>45929</v>
      </c>
      <c r="B3117" t="inlineStr">
        <is>
          <t>2025-09</t>
        </is>
      </c>
      <c r="C3117" t="inlineStr">
        <is>
          <t>INVERSIONES Y COMERCIALIZADORA FED LIMITADA</t>
        </is>
      </c>
      <c r="D3117" t="inlineStr">
        <is>
          <t>HORECA CAFETERIA</t>
        </is>
      </c>
      <c r="E3117" s="34" t="n">
        <v>328440</v>
      </c>
      <c r="F3117" t="inlineStr">
        <is>
          <t>F</t>
        </is>
      </c>
      <c r="G3117" s="34" t="n">
        <v>52440</v>
      </c>
      <c r="H3117" s="34" t="n">
        <v>276000</v>
      </c>
      <c r="I3117" t="inlineStr">
        <is>
          <t>3.1</t>
        </is>
      </c>
      <c r="J3117" t="inlineStr">
        <is>
          <t>Ventas HoReCa</t>
        </is>
      </c>
      <c r="K3117" t="inlineStr">
        <is>
          <t>CH1</t>
        </is>
      </c>
    </row>
    <row r="3118">
      <c r="A3118" s="33" t="n">
        <v>45929</v>
      </c>
      <c r="B3118" t="inlineStr">
        <is>
          <t>2025-09</t>
        </is>
      </c>
      <c r="C3118" t="inlineStr">
        <is>
          <t>INVERSIONES Y COMERCIALIZADORA FED LIMITADA</t>
        </is>
      </c>
      <c r="D3118" t="inlineStr">
        <is>
          <t>HORECA CAFETERIA</t>
        </is>
      </c>
      <c r="E3118" s="34" t="n">
        <v>89338</v>
      </c>
      <c r="F3118" t="inlineStr">
        <is>
          <t>F</t>
        </is>
      </c>
      <c r="G3118" s="34" t="n">
        <v>14264</v>
      </c>
      <c r="H3118" s="34" t="n">
        <v>75074</v>
      </c>
      <c r="I3118" t="inlineStr">
        <is>
          <t>3.1</t>
        </is>
      </c>
      <c r="J3118" t="inlineStr">
        <is>
          <t>Ventas HoReCa</t>
        </is>
      </c>
      <c r="K3118" t="inlineStr">
        <is>
          <t>CH1</t>
        </is>
      </c>
    </row>
    <row r="3119">
      <c r="A3119" s="33" t="n">
        <v>45929</v>
      </c>
      <c r="B3119" t="inlineStr">
        <is>
          <t>2025-09</t>
        </is>
      </c>
      <c r="C3119" t="inlineStr">
        <is>
          <t>Paula Pinto</t>
        </is>
      </c>
      <c r="D3119" t="inlineStr">
        <is>
          <t>CANELÉ TRADICIONAL</t>
        </is>
      </c>
      <c r="E3119" s="34" t="n">
        <v>57789</v>
      </c>
      <c r="F3119" t="inlineStr">
        <is>
          <t>B</t>
        </is>
      </c>
      <c r="G3119" s="34" t="n">
        <v>9227</v>
      </c>
      <c r="H3119" s="34" t="n">
        <v>48562</v>
      </c>
      <c r="I3119" t="inlineStr">
        <is>
          <t>3.2</t>
        </is>
      </c>
      <c r="J3119" t="inlineStr">
        <is>
          <t>Ventas Personas (B2C)</t>
        </is>
      </c>
      <c r="K3119" t="inlineStr">
        <is>
          <t>CH2</t>
        </is>
      </c>
    </row>
    <row r="3120">
      <c r="A3120" s="33" t="n">
        <v>45929</v>
      </c>
      <c r="B3120" t="inlineStr">
        <is>
          <t>2025-09</t>
        </is>
      </c>
      <c r="C3120" t="inlineStr">
        <is>
          <t>Yonathan Perelmuter</t>
        </is>
      </c>
      <c r="D3120" t="inlineStr">
        <is>
          <t>Mix Sabores</t>
        </is>
      </c>
      <c r="E3120" s="34" t="n">
        <v>35789</v>
      </c>
      <c r="F3120" t="inlineStr">
        <is>
          <t>B</t>
        </is>
      </c>
      <c r="G3120" s="34" t="n">
        <v>5714</v>
      </c>
      <c r="H3120" s="34" t="n">
        <v>30075</v>
      </c>
      <c r="I3120" t="inlineStr">
        <is>
          <t>3.2</t>
        </is>
      </c>
      <c r="J3120" t="inlineStr">
        <is>
          <t>Ventas Personas (B2C)</t>
        </is>
      </c>
      <c r="K3120" t="inlineStr">
        <is>
          <t>CH2</t>
        </is>
      </c>
    </row>
    <row r="3121">
      <c r="A3121" s="33" t="n">
        <v>45929</v>
      </c>
      <c r="B3121" t="inlineStr">
        <is>
          <t>2025-09</t>
        </is>
      </c>
      <c r="C3121" t="inlineStr">
        <is>
          <t>Caterina Contreras</t>
        </is>
      </c>
      <c r="D3121" t="inlineStr">
        <is>
          <t>Rellenos</t>
        </is>
      </c>
      <c r="E3121" s="34" t="n">
        <v>26890</v>
      </c>
      <c r="F3121" t="inlineStr">
        <is>
          <t>B</t>
        </is>
      </c>
      <c r="G3121" s="34" t="n">
        <v>4293</v>
      </c>
      <c r="H3121" s="34" t="n">
        <v>22597</v>
      </c>
      <c r="I3121" t="inlineStr">
        <is>
          <t>3.2</t>
        </is>
      </c>
      <c r="J3121" t="inlineStr">
        <is>
          <t>Ventas Personas (B2C)</t>
        </is>
      </c>
      <c r="K3121" t="inlineStr">
        <is>
          <t>CH2</t>
        </is>
      </c>
    </row>
    <row r="3122">
      <c r="A3122" s="33" t="n">
        <v>45929</v>
      </c>
      <c r="B3122" t="inlineStr">
        <is>
          <t>2025-09</t>
        </is>
      </c>
      <c r="C3122" t="inlineStr">
        <is>
          <t>Jimena Sanchez rojas</t>
        </is>
      </c>
      <c r="D3122" t="inlineStr">
        <is>
          <t>Rellenos</t>
        </is>
      </c>
      <c r="E3122" s="34" t="n">
        <v>20800</v>
      </c>
      <c r="F3122" t="inlineStr">
        <is>
          <t>B</t>
        </is>
      </c>
      <c r="G3122" s="34" t="n">
        <v>3321</v>
      </c>
      <c r="H3122" s="34" t="n">
        <v>17479</v>
      </c>
      <c r="I3122" t="inlineStr">
        <is>
          <t>3.2</t>
        </is>
      </c>
      <c r="J3122" t="inlineStr">
        <is>
          <t>Ventas Personas (B2C)</t>
        </is>
      </c>
      <c r="K3122" t="inlineStr">
        <is>
          <t>CH2</t>
        </is>
      </c>
    </row>
    <row r="3123">
      <c r="A3123" s="33" t="n">
        <v>45929</v>
      </c>
      <c r="B3123" t="inlineStr">
        <is>
          <t>2025-09</t>
        </is>
      </c>
      <c r="C3123" t="inlineStr">
        <is>
          <t>Paola Sepulveda</t>
        </is>
      </c>
      <c r="D3123" t="inlineStr">
        <is>
          <t>Rellenos</t>
        </is>
      </c>
      <c r="E3123" s="34" t="n">
        <v>13339</v>
      </c>
      <c r="F3123" t="inlineStr">
        <is>
          <t>B</t>
        </is>
      </c>
      <c r="G3123" s="34" t="n">
        <v>2130</v>
      </c>
      <c r="H3123" s="34" t="n">
        <v>11209</v>
      </c>
      <c r="I3123" t="inlineStr">
        <is>
          <t>3.2</t>
        </is>
      </c>
      <c r="J3123" t="inlineStr">
        <is>
          <t>Ventas Personas (B2C)</t>
        </is>
      </c>
      <c r="K3123" t="inlineStr">
        <is>
          <t>CH2</t>
        </is>
      </c>
    </row>
    <row r="3124">
      <c r="A3124" s="33" t="n">
        <v>45929</v>
      </c>
      <c r="B3124" t="inlineStr">
        <is>
          <t>2025-09</t>
        </is>
      </c>
      <c r="C3124" t="inlineStr">
        <is>
          <t>BLUE OAK COFFE SPA</t>
        </is>
      </c>
      <c r="D3124" t="inlineStr">
        <is>
          <t>HORECA CAFETERIA</t>
        </is>
      </c>
      <c r="E3124" s="34" t="n">
        <v>216043</v>
      </c>
      <c r="F3124" t="inlineStr">
        <is>
          <t>F</t>
        </is>
      </c>
      <c r="G3124" s="34" t="n">
        <v>34494</v>
      </c>
      <c r="H3124" s="34" t="n">
        <v>181549</v>
      </c>
      <c r="I3124" t="inlineStr">
        <is>
          <t>3.1</t>
        </is>
      </c>
      <c r="J3124" t="inlineStr">
        <is>
          <t>Ventas HoReCa</t>
        </is>
      </c>
      <c r="K3124" t="inlineStr">
        <is>
          <t>CH1</t>
        </is>
      </c>
    </row>
    <row r="3125">
      <c r="A3125" s="33" t="n">
        <v>45929</v>
      </c>
      <c r="B3125" t="inlineStr">
        <is>
          <t>2025-09</t>
        </is>
      </c>
      <c r="C3125" t="inlineStr">
        <is>
          <t>PAOLA  MAZO</t>
        </is>
      </c>
      <c r="D3125" t="inlineStr">
        <is>
          <t>REGION METROPOLITANA</t>
        </is>
      </c>
      <c r="E3125" s="34" t="n">
        <v>3990</v>
      </c>
      <c r="F3125" t="inlineStr">
        <is>
          <t>B</t>
        </is>
      </c>
      <c r="G3125" s="34" t="n">
        <v>637</v>
      </c>
      <c r="H3125" s="34" t="n">
        <v>3353</v>
      </c>
      <c r="I3125" t="inlineStr">
        <is>
          <t>3.2</t>
        </is>
      </c>
      <c r="J3125" t="inlineStr">
        <is>
          <t>Ventas Personas (B2C)</t>
        </is>
      </c>
      <c r="K3125" t="inlineStr">
        <is>
          <t>CH2</t>
        </is>
      </c>
    </row>
    <row r="3126">
      <c r="A3126" s="33" t="n">
        <v>45929</v>
      </c>
      <c r="B3126" t="inlineStr">
        <is>
          <t>2025-09</t>
        </is>
      </c>
      <c r="C3126" t="inlineStr">
        <is>
          <t>Jimena Sanchez rojas</t>
        </is>
      </c>
      <c r="D3126" t="inlineStr">
        <is>
          <t>REGION METROPOLITANA</t>
        </is>
      </c>
      <c r="E3126" s="34" t="n">
        <v>3990</v>
      </c>
      <c r="F3126" t="inlineStr">
        <is>
          <t>B</t>
        </is>
      </c>
      <c r="G3126" s="34" t="n">
        <v>637</v>
      </c>
      <c r="H3126" s="34" t="n">
        <v>3353</v>
      </c>
      <c r="I3126" t="inlineStr">
        <is>
          <t>3.2</t>
        </is>
      </c>
      <c r="J3126" t="inlineStr">
        <is>
          <t>Ventas Personas (B2C)</t>
        </is>
      </c>
      <c r="K3126" t="inlineStr">
        <is>
          <t>CH2</t>
        </is>
      </c>
    </row>
    <row r="3127">
      <c r="A3127" s="33" t="n">
        <v>45929</v>
      </c>
      <c r="B3127" t="inlineStr">
        <is>
          <t>2025-09</t>
        </is>
      </c>
      <c r="C3127" t="inlineStr">
        <is>
          <t>Jessica Aros Barrientos</t>
        </is>
      </c>
      <c r="D3127" t="inlineStr">
        <is>
          <t>Petit Crunchy</t>
        </is>
      </c>
      <c r="E3127" s="34" t="n">
        <v>23310</v>
      </c>
      <c r="F3127" t="inlineStr">
        <is>
          <t>B</t>
        </is>
      </c>
      <c r="G3127" s="34" t="n">
        <v>3722</v>
      </c>
      <c r="H3127" s="34" t="n">
        <v>19588</v>
      </c>
      <c r="I3127" t="inlineStr">
        <is>
          <t>3.2</t>
        </is>
      </c>
      <c r="J3127" t="inlineStr">
        <is>
          <t>Ventas Personas (B2C)</t>
        </is>
      </c>
      <c r="K3127" t="inlineStr">
        <is>
          <t>CH2</t>
        </is>
      </c>
    </row>
    <row r="3128">
      <c r="A3128" s="33" t="n">
        <v>45930</v>
      </c>
      <c r="B3128" t="inlineStr">
        <is>
          <t>2025-09</t>
        </is>
      </c>
      <c r="C3128" t="inlineStr">
        <is>
          <t>CAFETERIA THE ELEPHANT COFFEE LIMITADA</t>
        </is>
      </c>
      <c r="D3128" t="inlineStr">
        <is>
          <t>HORECA CAFETERIA</t>
        </is>
      </c>
      <c r="E3128" s="34" t="n">
        <v>186928</v>
      </c>
      <c r="F3128" t="inlineStr">
        <is>
          <t>F</t>
        </is>
      </c>
      <c r="G3128" s="34" t="n">
        <v>29846</v>
      </c>
      <c r="H3128" s="34" t="n">
        <v>157082</v>
      </c>
      <c r="I3128" t="inlineStr">
        <is>
          <t>3.1</t>
        </is>
      </c>
      <c r="J3128" t="inlineStr">
        <is>
          <t>Ventas HoReCa</t>
        </is>
      </c>
      <c r="K3128" t="inlineStr">
        <is>
          <t>CH1</t>
        </is>
      </c>
    </row>
    <row r="3129">
      <c r="A3129" s="33" t="n">
        <v>45930</v>
      </c>
      <c r="B3129" t="inlineStr">
        <is>
          <t>2025-09</t>
        </is>
      </c>
      <c r="C3129" t="inlineStr">
        <is>
          <t>samuel balmaceda</t>
        </is>
      </c>
      <c r="D3129" t="inlineStr">
        <is>
          <t>Rellenos</t>
        </is>
      </c>
      <c r="E3129" s="34" t="n">
        <v>31890</v>
      </c>
      <c r="F3129" t="inlineStr">
        <is>
          <t>B</t>
        </is>
      </c>
      <c r="G3129" s="34" t="n">
        <v>5092</v>
      </c>
      <c r="H3129" s="34" t="n">
        <v>26798</v>
      </c>
      <c r="I3129" t="inlineStr">
        <is>
          <t>3.2</t>
        </is>
      </c>
      <c r="J3129" t="inlineStr">
        <is>
          <t>Ventas Personas (B2C)</t>
        </is>
      </c>
      <c r="K3129" t="inlineStr">
        <is>
          <t>CH2</t>
        </is>
      </c>
    </row>
    <row r="3130">
      <c r="A3130" s="33" t="n">
        <v>45930</v>
      </c>
      <c r="B3130" t="inlineStr">
        <is>
          <t>2025-09</t>
        </is>
      </c>
      <c r="C3130" t="inlineStr">
        <is>
          <t>CAFE HAITI AHUMADA LTDA</t>
        </is>
      </c>
      <c r="D3130" t="inlineStr">
        <is>
          <t>HORECA CAFETERIA</t>
        </is>
      </c>
      <c r="E3130" s="34" t="n">
        <v>479000</v>
      </c>
      <c r="F3130" t="inlineStr">
        <is>
          <t>F</t>
        </is>
      </c>
      <c r="G3130" s="34" t="n">
        <v>76479</v>
      </c>
      <c r="H3130" s="34" t="n">
        <v>402521</v>
      </c>
      <c r="I3130" t="inlineStr">
        <is>
          <t>3.1</t>
        </is>
      </c>
      <c r="J3130" t="inlineStr">
        <is>
          <t>Ventas HoReCa</t>
        </is>
      </c>
      <c r="K3130" t="inlineStr">
        <is>
          <t>CH1</t>
        </is>
      </c>
    </row>
    <row r="3131">
      <c r="A3131" s="33" t="n">
        <v>45930</v>
      </c>
      <c r="B3131" t="inlineStr">
        <is>
          <t>2025-09</t>
        </is>
      </c>
      <c r="C3131" t="inlineStr">
        <is>
          <t>CAFE HAITI AHUMADA LTDA</t>
        </is>
      </c>
      <c r="D3131" t="inlineStr">
        <is>
          <t>HORECA CAFETERIA</t>
        </is>
      </c>
      <c r="E3131" s="34" t="n">
        <v>737207</v>
      </c>
      <c r="F3131" t="inlineStr">
        <is>
          <t>F</t>
        </is>
      </c>
      <c r="G3131" s="34" t="n">
        <v>117705</v>
      </c>
      <c r="H3131" s="34" t="n">
        <v>619502</v>
      </c>
      <c r="I3131" t="inlineStr">
        <is>
          <t>3.1</t>
        </is>
      </c>
      <c r="J3131" t="inlineStr">
        <is>
          <t>Ventas HoReCa</t>
        </is>
      </c>
      <c r="K3131" t="inlineStr">
        <is>
          <t>CH1</t>
        </is>
      </c>
    </row>
    <row r="3132">
      <c r="A3132" s="33" t="n">
        <v>45930</v>
      </c>
      <c r="B3132" t="inlineStr">
        <is>
          <t>2025-09</t>
        </is>
      </c>
      <c r="C3132" t="inlineStr">
        <is>
          <t>Javiera Alba Robles</t>
        </is>
      </c>
      <c r="D3132" t="inlineStr">
        <is>
          <t>Rellenos</t>
        </is>
      </c>
      <c r="E3132" s="34" t="n">
        <v>27030</v>
      </c>
      <c r="F3132" t="inlineStr">
        <is>
          <t>B</t>
        </is>
      </c>
      <c r="G3132" s="34" t="n">
        <v>4316</v>
      </c>
      <c r="H3132" s="34" t="n">
        <v>22714</v>
      </c>
      <c r="I3132" t="inlineStr">
        <is>
          <t>3.2</t>
        </is>
      </c>
      <c r="J3132" t="inlineStr">
        <is>
          <t>Ventas Personas (B2C)</t>
        </is>
      </c>
      <c r="K3132" t="inlineStr">
        <is>
          <t>CH2</t>
        </is>
      </c>
    </row>
    <row r="3133">
      <c r="A3133" s="33" t="n">
        <v>45930</v>
      </c>
      <c r="B3133" t="inlineStr">
        <is>
          <t>2025-09</t>
        </is>
      </c>
      <c r="C3133" t="inlineStr">
        <is>
          <t>Sin cliente</t>
        </is>
      </c>
      <c r="D3133" t="inlineStr">
        <is>
          <t>Petit Tradicional</t>
        </is>
      </c>
      <c r="E3133" s="34" t="n">
        <v>8900</v>
      </c>
      <c r="F3133" t="inlineStr">
        <is>
          <t>B</t>
        </is>
      </c>
      <c r="G3133" s="34" t="n">
        <v>1421</v>
      </c>
      <c r="H3133" s="34" t="n">
        <v>7479</v>
      </c>
      <c r="I3133" t="inlineStr">
        <is>
          <t>3.2</t>
        </is>
      </c>
      <c r="J3133" t="inlineStr">
        <is>
          <t>Ventas Personas (B2C)</t>
        </is>
      </c>
      <c r="K3133" t="inlineStr">
        <is>
          <t>CH2</t>
        </is>
      </c>
    </row>
    <row r="3134">
      <c r="A3134" s="33" t="n">
        <v>45930</v>
      </c>
      <c r="B3134" t="inlineStr">
        <is>
          <t>2025-09</t>
        </is>
      </c>
      <c r="C3134" t="inlineStr">
        <is>
          <t>Sin cliente</t>
        </is>
      </c>
      <c r="D3134" t="inlineStr">
        <is>
          <t>CANELÉ TRADICIONAL</t>
        </is>
      </c>
      <c r="E3134" s="34" t="n">
        <v>14900</v>
      </c>
      <c r="F3134" t="inlineStr">
        <is>
          <t>B</t>
        </is>
      </c>
      <c r="G3134" s="34" t="n">
        <v>2379</v>
      </c>
      <c r="H3134" s="34" t="n">
        <v>12521</v>
      </c>
      <c r="I3134" t="inlineStr">
        <is>
          <t>3.2</t>
        </is>
      </c>
      <c r="J3134" t="inlineStr">
        <is>
          <t>Ventas Personas (B2C)</t>
        </is>
      </c>
      <c r="K3134" t="inlineStr">
        <is>
          <t>CH2</t>
        </is>
      </c>
    </row>
    <row r="3135">
      <c r="A3135" s="33" t="n">
        <v>45930</v>
      </c>
      <c r="B3135" t="inlineStr">
        <is>
          <t>2025-09</t>
        </is>
      </c>
      <c r="C3135" t="inlineStr">
        <is>
          <t>Sin cliente</t>
        </is>
      </c>
      <c r="D3135" t="inlineStr">
        <is>
          <t>CANELÉ TRADICIONAL</t>
        </is>
      </c>
      <c r="E3135" s="34" t="n">
        <v>13450</v>
      </c>
      <c r="F3135" t="inlineStr">
        <is>
          <t>B</t>
        </is>
      </c>
      <c r="G3135" s="34" t="n">
        <v>2147</v>
      </c>
      <c r="H3135" s="34" t="n">
        <v>11303</v>
      </c>
      <c r="I3135" t="inlineStr">
        <is>
          <t>3.2</t>
        </is>
      </c>
      <c r="J3135" t="inlineStr">
        <is>
          <t>Ventas Personas (B2C)</t>
        </is>
      </c>
      <c r="K3135" t="inlineStr">
        <is>
          <t>CH2</t>
        </is>
      </c>
    </row>
    <row r="3136">
      <c r="A3136" s="33" t="n">
        <v>45930</v>
      </c>
      <c r="B3136" t="inlineStr">
        <is>
          <t>2025-09</t>
        </is>
      </c>
      <c r="C3136" t="inlineStr">
        <is>
          <t>Sin cliente</t>
        </is>
      </c>
      <c r="D3136" t="inlineStr">
        <is>
          <t>PLATAFORMAS RAP-PEYA-UBER-GOOD</t>
        </is>
      </c>
      <c r="E3136" s="34" t="n">
        <v>25070</v>
      </c>
      <c r="F3136" t="inlineStr">
        <is>
          <t>B</t>
        </is>
      </c>
      <c r="G3136" s="34" t="n">
        <v>4003</v>
      </c>
      <c r="H3136" s="34" t="n">
        <v>21067</v>
      </c>
      <c r="I3136" t="inlineStr">
        <is>
          <t>3.6</t>
        </is>
      </c>
      <c r="J3136" t="inlineStr">
        <is>
          <t>Ventas Delivery Apps</t>
        </is>
      </c>
      <c r="K3136" t="inlineStr">
        <is>
          <t>CH3</t>
        </is>
      </c>
    </row>
    <row r="3137">
      <c r="A3137" s="33" t="n">
        <v>45930</v>
      </c>
      <c r="B3137" t="inlineStr">
        <is>
          <t>2025-09</t>
        </is>
      </c>
      <c r="C3137" t="inlineStr">
        <is>
          <t>Sin cliente</t>
        </is>
      </c>
      <c r="D3137" t="inlineStr">
        <is>
          <t>PLATAFORMAS RAP-PEYA-UBER-GOOD</t>
        </is>
      </c>
      <c r="E3137" s="34" t="n">
        <v>28680</v>
      </c>
      <c r="F3137" t="inlineStr">
        <is>
          <t>B</t>
        </is>
      </c>
      <c r="G3137" s="34" t="n">
        <v>4579</v>
      </c>
      <c r="H3137" s="34" t="n">
        <v>24101</v>
      </c>
      <c r="I3137" t="inlineStr">
        <is>
          <t>3.6</t>
        </is>
      </c>
      <c r="J3137" t="inlineStr">
        <is>
          <t>Ventas Delivery Apps</t>
        </is>
      </c>
      <c r="K3137" t="inlineStr">
        <is>
          <t>CH3</t>
        </is>
      </c>
    </row>
    <row r="3138">
      <c r="A3138" s="33" t="n">
        <v>45930</v>
      </c>
      <c r="B3138" t="inlineStr">
        <is>
          <t>2025-09</t>
        </is>
      </c>
      <c r="C3138" t="inlineStr">
        <is>
          <t>Sin cliente</t>
        </is>
      </c>
      <c r="D3138" t="inlineStr">
        <is>
          <t>Petit Tradicional</t>
        </is>
      </c>
      <c r="E3138" s="34" t="n">
        <v>22680</v>
      </c>
      <c r="F3138" t="inlineStr">
        <is>
          <t>B</t>
        </is>
      </c>
      <c r="G3138" s="34" t="n">
        <v>3621</v>
      </c>
      <c r="H3138" s="34" t="n">
        <v>19059</v>
      </c>
      <c r="I3138" t="inlineStr">
        <is>
          <t>3.6</t>
        </is>
      </c>
      <c r="J3138" t="inlineStr">
        <is>
          <t>Ventas Delivery Apps</t>
        </is>
      </c>
      <c r="K3138" t="inlineStr">
        <is>
          <t>CH3</t>
        </is>
      </c>
    </row>
    <row r="3139">
      <c r="A3139" s="33" t="n">
        <v>45930</v>
      </c>
      <c r="B3139" t="inlineStr">
        <is>
          <t>2025-09</t>
        </is>
      </c>
      <c r="C3139" t="inlineStr">
        <is>
          <t>Camilo Vásquez</t>
        </is>
      </c>
      <c r="D3139" t="inlineStr">
        <is>
          <t>Rellenos</t>
        </is>
      </c>
      <c r="E3139" s="34" t="n">
        <v>37790</v>
      </c>
      <c r="F3139" t="inlineStr">
        <is>
          <t>B</t>
        </is>
      </c>
      <c r="G3139" s="34" t="n">
        <v>6034</v>
      </c>
      <c r="H3139" s="34" t="n">
        <v>31756</v>
      </c>
      <c r="I3139" t="inlineStr">
        <is>
          <t>3.2</t>
        </is>
      </c>
      <c r="J3139" t="inlineStr">
        <is>
          <t>Ventas Personas (B2C)</t>
        </is>
      </c>
      <c r="K3139" t="inlineStr">
        <is>
          <t>CH2</t>
        </is>
      </c>
    </row>
    <row r="3140">
      <c r="A3140" s="33" t="n">
        <v>45930</v>
      </c>
      <c r="B3140" t="inlineStr">
        <is>
          <t>2025-09</t>
        </is>
      </c>
      <c r="C3140" t="inlineStr">
        <is>
          <t>Ricardo Montero Miranda</t>
        </is>
      </c>
      <c r="D3140" t="inlineStr">
        <is>
          <t>Petit Crunchy</t>
        </is>
      </c>
      <c r="E3140" s="34" t="n">
        <v>27299</v>
      </c>
      <c r="F3140" t="inlineStr">
        <is>
          <t>B</t>
        </is>
      </c>
      <c r="G3140" s="34" t="n">
        <v>4359</v>
      </c>
      <c r="H3140" s="34" t="n">
        <v>22940</v>
      </c>
      <c r="I3140" t="inlineStr">
        <is>
          <t>3.2</t>
        </is>
      </c>
      <c r="J3140" t="inlineStr">
        <is>
          <t>Ventas Personas (B2C)</t>
        </is>
      </c>
      <c r="K3140" t="inlineStr">
        <is>
          <t>CH2</t>
        </is>
      </c>
    </row>
    <row r="3141">
      <c r="A3141" s="33" t="n">
        <v>45931</v>
      </c>
      <c r="B3141" t="inlineStr">
        <is>
          <t>2025-10</t>
        </is>
      </c>
      <c r="C3141" t="inlineStr">
        <is>
          <t>Alejandra Bustos Galleguillos</t>
        </is>
      </c>
      <c r="D3141" t="inlineStr">
        <is>
          <t>Petit Crunchy</t>
        </is>
      </c>
      <c r="E3141" s="34" t="n">
        <v>16499</v>
      </c>
      <c r="F3141" t="inlineStr">
        <is>
          <t>B</t>
        </is>
      </c>
      <c r="G3141" s="34" t="n">
        <v>2634</v>
      </c>
      <c r="H3141" s="34" t="n">
        <v>13865</v>
      </c>
      <c r="I3141" t="inlineStr">
        <is>
          <t>3.2</t>
        </is>
      </c>
      <c r="J3141" t="inlineStr">
        <is>
          <t>Ventas Personas (B2C)</t>
        </is>
      </c>
      <c r="K3141" t="inlineStr">
        <is>
          <t>CH2</t>
        </is>
      </c>
    </row>
    <row r="3142">
      <c r="A3142" s="33" t="n">
        <v>45931</v>
      </c>
      <c r="B3142" t="inlineStr">
        <is>
          <t>2025-10</t>
        </is>
      </c>
      <c r="C3142" t="inlineStr">
        <is>
          <t>Catalina Bandera</t>
        </is>
      </c>
      <c r="D3142" t="inlineStr">
        <is>
          <t>Rellenos</t>
        </is>
      </c>
      <c r="E3142" s="34" t="n">
        <v>29890</v>
      </c>
      <c r="F3142" t="inlineStr">
        <is>
          <t>B</t>
        </is>
      </c>
      <c r="G3142" s="34" t="n">
        <v>4772</v>
      </c>
      <c r="H3142" s="34" t="n">
        <v>25118</v>
      </c>
      <c r="I3142" t="inlineStr">
        <is>
          <t>3.2</t>
        </is>
      </c>
      <c r="J3142" t="inlineStr">
        <is>
          <t>Ventas Personas (B2C)</t>
        </is>
      </c>
      <c r="K3142" t="inlineStr">
        <is>
          <t>CH2</t>
        </is>
      </c>
    </row>
    <row r="3143">
      <c r="A3143" s="33" t="n">
        <v>45931</v>
      </c>
      <c r="B3143" t="inlineStr">
        <is>
          <t>2025-10</t>
        </is>
      </c>
      <c r="C3143" t="inlineStr">
        <is>
          <t>Sebastián Manns</t>
        </is>
      </c>
      <c r="D3143" t="inlineStr">
        <is>
          <t>Rellenos</t>
        </is>
      </c>
      <c r="E3143" s="34" t="n">
        <v>26889</v>
      </c>
      <c r="F3143" t="inlineStr">
        <is>
          <t>B</t>
        </is>
      </c>
      <c r="G3143" s="34" t="n">
        <v>4293</v>
      </c>
      <c r="H3143" s="34" t="n">
        <v>22596</v>
      </c>
      <c r="I3143" t="inlineStr">
        <is>
          <t>3.2</t>
        </is>
      </c>
      <c r="J3143" t="inlineStr">
        <is>
          <t>Ventas Personas (B2C)</t>
        </is>
      </c>
      <c r="K3143" t="inlineStr">
        <is>
          <t>CH2</t>
        </is>
      </c>
    </row>
    <row r="3144">
      <c r="A3144" s="33" t="n">
        <v>45931</v>
      </c>
      <c r="B3144" t="inlineStr">
        <is>
          <t>2025-10</t>
        </is>
      </c>
      <c r="C3144" t="inlineStr">
        <is>
          <t>GOOD LIFE SPA</t>
        </is>
      </c>
      <c r="D3144" t="inlineStr">
        <is>
          <t>HORECA CAFETERIA</t>
        </is>
      </c>
      <c r="E3144" s="34" t="n">
        <v>229893</v>
      </c>
      <c r="F3144" t="inlineStr">
        <is>
          <t>F</t>
        </is>
      </c>
      <c r="G3144" s="34" t="n">
        <v>36706</v>
      </c>
      <c r="H3144" s="34" t="n">
        <v>193187</v>
      </c>
      <c r="I3144" t="inlineStr">
        <is>
          <t>3.1</t>
        </is>
      </c>
      <c r="J3144" t="inlineStr">
        <is>
          <t>Ventas HoReCa</t>
        </is>
      </c>
      <c r="K3144" t="inlineStr">
        <is>
          <t>CH1</t>
        </is>
      </c>
    </row>
    <row r="3145">
      <c r="A3145" s="33" t="n">
        <v>45931</v>
      </c>
      <c r="B3145" t="inlineStr">
        <is>
          <t>2025-10</t>
        </is>
      </c>
      <c r="C3145" t="inlineStr">
        <is>
          <t>OPA SPA</t>
        </is>
      </c>
      <c r="D3145" t="inlineStr">
        <is>
          <t>HORECA CAFETERIA</t>
        </is>
      </c>
      <c r="E3145" s="34" t="n">
        <v>32094</v>
      </c>
      <c r="F3145" t="inlineStr">
        <is>
          <t>F</t>
        </is>
      </c>
      <c r="G3145" s="34" t="n">
        <v>5124</v>
      </c>
      <c r="H3145" s="34" t="n">
        <v>26970</v>
      </c>
      <c r="I3145" t="inlineStr">
        <is>
          <t>3.1</t>
        </is>
      </c>
      <c r="J3145" t="inlineStr">
        <is>
          <t>Ventas HoReCa</t>
        </is>
      </c>
      <c r="K3145" t="inlineStr">
        <is>
          <t>CH1</t>
        </is>
      </c>
    </row>
    <row r="3146">
      <c r="A3146" s="33" t="n">
        <v>45931</v>
      </c>
      <c r="B3146" t="inlineStr">
        <is>
          <t>2025-10</t>
        </is>
      </c>
      <c r="C3146" t="inlineStr">
        <is>
          <t>DIEGO VARGAS BANQUETERIA Y EVENTOS SPA</t>
        </is>
      </c>
      <c r="D3146" t="inlineStr">
        <is>
          <t>HORECA CATERING</t>
        </is>
      </c>
      <c r="E3146" s="34" t="n">
        <v>75676</v>
      </c>
      <c r="F3146" t="inlineStr">
        <is>
          <t>F</t>
        </is>
      </c>
      <c r="G3146" s="34" t="n">
        <v>12083</v>
      </c>
      <c r="H3146" s="34" t="n">
        <v>63593</v>
      </c>
      <c r="I3146" t="inlineStr">
        <is>
          <t>3.1</t>
        </is>
      </c>
      <c r="J3146" t="inlineStr">
        <is>
          <t>Ventas HoReCa</t>
        </is>
      </c>
      <c r="K3146" t="inlineStr">
        <is>
          <t>CH1</t>
        </is>
      </c>
    </row>
    <row r="3147">
      <c r="A3147" s="33" t="n">
        <v>45931</v>
      </c>
      <c r="B3147" t="inlineStr">
        <is>
          <t>2025-10</t>
        </is>
      </c>
      <c r="C3147" t="inlineStr">
        <is>
          <t>DIEGO VARGAS BANQUETERIA Y EVENTOS SPA</t>
        </is>
      </c>
      <c r="D3147" t="inlineStr">
        <is>
          <t>HORECA CATERING</t>
        </is>
      </c>
      <c r="E3147" s="34" t="n">
        <v>-75676</v>
      </c>
      <c r="F3147" t="inlineStr">
        <is>
          <t>NC</t>
        </is>
      </c>
      <c r="G3147" s="34" t="n">
        <v>-12083</v>
      </c>
      <c r="H3147" s="34" t="n">
        <v>-63593</v>
      </c>
      <c r="I3147" t="inlineStr">
        <is>
          <t>3.1</t>
        </is>
      </c>
      <c r="J3147" t="inlineStr">
        <is>
          <t>Ventas HoReCa</t>
        </is>
      </c>
      <c r="K3147" t="inlineStr">
        <is>
          <t>CH1</t>
        </is>
      </c>
    </row>
    <row r="3148">
      <c r="A3148" s="33" t="n">
        <v>45931</v>
      </c>
      <c r="B3148" t="inlineStr">
        <is>
          <t>2025-10</t>
        </is>
      </c>
      <c r="C3148" t="inlineStr">
        <is>
          <t>DIEGO VARGAS BANQUETERIA Y EVENTOS SPA</t>
        </is>
      </c>
      <c r="D3148" t="inlineStr">
        <is>
          <t>HORECA CATERING</t>
        </is>
      </c>
      <c r="E3148" s="34" t="n">
        <v>74676</v>
      </c>
      <c r="F3148" t="inlineStr">
        <is>
          <t>F</t>
        </is>
      </c>
      <c r="G3148" s="34" t="n">
        <v>11923</v>
      </c>
      <c r="H3148" s="34" t="n">
        <v>62753</v>
      </c>
      <c r="I3148" t="inlineStr">
        <is>
          <t>3.1</t>
        </is>
      </c>
      <c r="J3148" t="inlineStr">
        <is>
          <t>Ventas HoReCa</t>
        </is>
      </c>
      <c r="K3148" t="inlineStr">
        <is>
          <t>CH1</t>
        </is>
      </c>
    </row>
    <row r="3149">
      <c r="A3149" s="33" t="n">
        <v>45931</v>
      </c>
      <c r="B3149" t="inlineStr">
        <is>
          <t>2025-10</t>
        </is>
      </c>
      <c r="C3149" t="inlineStr">
        <is>
          <t>Andreina Martínez</t>
        </is>
      </c>
      <c r="D3149" t="inlineStr">
        <is>
          <t>Petit Crunchy</t>
        </is>
      </c>
      <c r="E3149" s="34" t="n">
        <v>27800</v>
      </c>
      <c r="F3149" t="inlineStr">
        <is>
          <t>B</t>
        </is>
      </c>
      <c r="G3149" s="34" t="n">
        <v>4439</v>
      </c>
      <c r="H3149" s="34" t="n">
        <v>23361</v>
      </c>
      <c r="I3149" t="inlineStr">
        <is>
          <t>3.2</t>
        </is>
      </c>
      <c r="J3149" t="inlineStr">
        <is>
          <t>Ventas Personas (B2C)</t>
        </is>
      </c>
      <c r="K3149" t="inlineStr">
        <is>
          <t>CH2</t>
        </is>
      </c>
    </row>
    <row r="3150">
      <c r="A3150" s="33" t="n">
        <v>45931</v>
      </c>
      <c r="B3150" t="inlineStr">
        <is>
          <t>2025-10</t>
        </is>
      </c>
      <c r="C3150" t="inlineStr">
        <is>
          <t>NORA M</t>
        </is>
      </c>
      <c r="D3150" t="inlineStr">
        <is>
          <t>PLATAFORMAS RAP-PEYA-UBER-GOOD</t>
        </is>
      </c>
      <c r="E3150" s="34" t="n">
        <v>15480</v>
      </c>
      <c r="F3150" t="inlineStr">
        <is>
          <t>B</t>
        </is>
      </c>
      <c r="G3150" s="34" t="n">
        <v>2472</v>
      </c>
      <c r="H3150" s="34" t="n">
        <v>13008</v>
      </c>
      <c r="I3150" t="inlineStr">
        <is>
          <t>3.6</t>
        </is>
      </c>
      <c r="J3150" t="inlineStr">
        <is>
          <t>Ventas Delivery Apps</t>
        </is>
      </c>
      <c r="K3150" t="inlineStr">
        <is>
          <t>CH3</t>
        </is>
      </c>
    </row>
    <row r="3151">
      <c r="A3151" s="33" t="n">
        <v>45931</v>
      </c>
      <c r="B3151" t="inlineStr">
        <is>
          <t>2025-10</t>
        </is>
      </c>
      <c r="C3151" t="inlineStr">
        <is>
          <t>Café del Parque SpA</t>
        </is>
      </c>
      <c r="D3151" t="inlineStr">
        <is>
          <t>HORECA CAFETERIA</t>
        </is>
      </c>
      <c r="E3151" s="34" t="n">
        <v>75818</v>
      </c>
      <c r="F3151" t="inlineStr">
        <is>
          <t>F</t>
        </is>
      </c>
      <c r="G3151" s="34" t="n">
        <v>12105</v>
      </c>
      <c r="H3151" s="34" t="n">
        <v>63713</v>
      </c>
      <c r="I3151" t="inlineStr">
        <is>
          <t>3.1</t>
        </is>
      </c>
      <c r="J3151" t="inlineStr">
        <is>
          <t>Ventas HoReCa</t>
        </is>
      </c>
      <c r="K3151" t="inlineStr">
        <is>
          <t>CH1</t>
        </is>
      </c>
    </row>
    <row r="3152">
      <c r="A3152" s="33" t="n">
        <v>45931</v>
      </c>
      <c r="B3152" t="inlineStr">
        <is>
          <t>2025-10</t>
        </is>
      </c>
      <c r="C3152" t="inlineStr">
        <is>
          <t>D&amp;S SERVICIOS DE ALIMENTACIÓN SpA</t>
        </is>
      </c>
      <c r="D3152" t="inlineStr">
        <is>
          <t xml:space="preserve">THE COFFEE STORE </t>
        </is>
      </c>
      <c r="E3152" s="34" t="n">
        <v>40293</v>
      </c>
      <c r="F3152" t="inlineStr">
        <is>
          <t>F</t>
        </is>
      </c>
      <c r="G3152" s="34" t="n">
        <v>6433</v>
      </c>
      <c r="H3152" s="34" t="n">
        <v>33860</v>
      </c>
      <c r="I3152" t="inlineStr">
        <is>
          <t>3.1</t>
        </is>
      </c>
      <c r="J3152" t="inlineStr">
        <is>
          <t>Ventas HoReCa</t>
        </is>
      </c>
      <c r="K3152" t="inlineStr">
        <is>
          <t>CH1</t>
        </is>
      </c>
    </row>
    <row r="3153">
      <c r="A3153" s="33" t="n">
        <v>45931</v>
      </c>
      <c r="B3153" t="inlineStr">
        <is>
          <t>2025-10</t>
        </is>
      </c>
      <c r="C3153" t="inlineStr">
        <is>
          <t>Carmen Mayo</t>
        </is>
      </c>
      <c r="D3153" t="inlineStr">
        <is>
          <t>Rellenos</t>
        </is>
      </c>
      <c r="E3153" s="34" t="n">
        <v>27889</v>
      </c>
      <c r="F3153" t="inlineStr">
        <is>
          <t>B</t>
        </is>
      </c>
      <c r="G3153" s="34" t="n">
        <v>4453</v>
      </c>
      <c r="H3153" s="34" t="n">
        <v>23436</v>
      </c>
      <c r="I3153" t="inlineStr">
        <is>
          <t>3.2</t>
        </is>
      </c>
      <c r="J3153" t="inlineStr">
        <is>
          <t>Ventas Personas (B2C)</t>
        </is>
      </c>
      <c r="K3153" t="inlineStr">
        <is>
          <t>CH2</t>
        </is>
      </c>
    </row>
    <row r="3154">
      <c r="A3154" s="33" t="n">
        <v>45931</v>
      </c>
      <c r="B3154" t="inlineStr">
        <is>
          <t>2025-10</t>
        </is>
      </c>
      <c r="C3154" t="inlineStr">
        <is>
          <t>Macarena Ormazabal</t>
        </is>
      </c>
      <c r="D3154" t="inlineStr">
        <is>
          <t>Petit Crunchy</t>
        </is>
      </c>
      <c r="E3154" s="34" t="n">
        <v>16889</v>
      </c>
      <c r="F3154" t="inlineStr">
        <is>
          <t>B</t>
        </is>
      </c>
      <c r="G3154" s="34" t="n">
        <v>2697</v>
      </c>
      <c r="H3154" s="34" t="n">
        <v>14192</v>
      </c>
      <c r="I3154" t="inlineStr">
        <is>
          <t>3.2</t>
        </is>
      </c>
      <c r="J3154" t="inlineStr">
        <is>
          <t>Ventas Personas (B2C)</t>
        </is>
      </c>
      <c r="K3154" t="inlineStr">
        <is>
          <t>CH2</t>
        </is>
      </c>
    </row>
    <row r="3155">
      <c r="A3155" s="33" t="n">
        <v>45931</v>
      </c>
      <c r="B3155" t="inlineStr">
        <is>
          <t>2025-10</t>
        </is>
      </c>
      <c r="C3155" t="inlineStr">
        <is>
          <t>Sandra Martinez</t>
        </is>
      </c>
      <c r="D3155" t="inlineStr">
        <is>
          <t>Petit Crunchy</t>
        </is>
      </c>
      <c r="E3155" s="34" t="n">
        <v>36890</v>
      </c>
      <c r="F3155" t="inlineStr">
        <is>
          <t>B</t>
        </is>
      </c>
      <c r="G3155" s="34" t="n">
        <v>5890</v>
      </c>
      <c r="H3155" s="34" t="n">
        <v>31000</v>
      </c>
      <c r="I3155" t="inlineStr">
        <is>
          <t>3.2</t>
        </is>
      </c>
      <c r="J3155" t="inlineStr">
        <is>
          <t>Ventas Personas (B2C)</t>
        </is>
      </c>
      <c r="K3155" t="inlineStr">
        <is>
          <t>CH2</t>
        </is>
      </c>
    </row>
    <row r="3156">
      <c r="A3156" s="33" t="n">
        <v>45931</v>
      </c>
      <c r="B3156" t="inlineStr">
        <is>
          <t>2025-10</t>
        </is>
      </c>
      <c r="C3156" t="inlineStr">
        <is>
          <t>Martin Alarcon Monares</t>
        </is>
      </c>
      <c r="D3156" t="inlineStr">
        <is>
          <t>CANELÉ TRADICIONAL</t>
        </is>
      </c>
      <c r="E3156" s="34" t="n">
        <v>11489</v>
      </c>
      <c r="F3156" t="inlineStr">
        <is>
          <t>B</t>
        </is>
      </c>
      <c r="G3156" s="34" t="n">
        <v>1834</v>
      </c>
      <c r="H3156" s="34" t="n">
        <v>9655</v>
      </c>
      <c r="I3156" t="inlineStr">
        <is>
          <t>3.2</t>
        </is>
      </c>
      <c r="J3156" t="inlineStr">
        <is>
          <t>Ventas Personas (B2C)</t>
        </is>
      </c>
      <c r="K3156" t="inlineStr">
        <is>
          <t>CH2</t>
        </is>
      </c>
    </row>
    <row r="3157">
      <c r="A3157" s="33" t="n">
        <v>45931</v>
      </c>
      <c r="B3157" t="inlineStr">
        <is>
          <t>2025-10</t>
        </is>
      </c>
      <c r="C3157" t="inlineStr">
        <is>
          <t>JUAN PABLO M</t>
        </is>
      </c>
      <c r="D3157" t="inlineStr">
        <is>
          <t>PLATAFORMAS RAP-PEYA-UBER-GOOD</t>
        </is>
      </c>
      <c r="E3157" s="34" t="n">
        <v>28680</v>
      </c>
      <c r="F3157" t="inlineStr">
        <is>
          <t>B</t>
        </is>
      </c>
      <c r="G3157" s="34" t="n">
        <v>4579</v>
      </c>
      <c r="H3157" s="34" t="n">
        <v>24101</v>
      </c>
      <c r="I3157" t="inlineStr">
        <is>
          <t>3.6</t>
        </is>
      </c>
      <c r="J3157" t="inlineStr">
        <is>
          <t>Ventas Delivery Apps</t>
        </is>
      </c>
      <c r="K3157" t="inlineStr">
        <is>
          <t>CH3</t>
        </is>
      </c>
    </row>
    <row r="3158">
      <c r="A3158" s="33" t="n">
        <v>45931</v>
      </c>
      <c r="B3158" t="inlineStr">
        <is>
          <t>2025-10</t>
        </is>
      </c>
      <c r="C3158" t="inlineStr">
        <is>
          <t>Sin cliente</t>
        </is>
      </c>
      <c r="D3158" t="inlineStr">
        <is>
          <t>PLATAFORMAS RAP-PEYA-UBER-GOOD</t>
        </is>
      </c>
      <c r="E3158" s="34" t="n">
        <v>10200</v>
      </c>
      <c r="F3158" t="inlineStr">
        <is>
          <t>B</t>
        </is>
      </c>
      <c r="G3158" s="34" t="n">
        <v>1629</v>
      </c>
      <c r="H3158" s="34" t="n">
        <v>8571</v>
      </c>
      <c r="I3158" t="inlineStr">
        <is>
          <t>3.6</t>
        </is>
      </c>
      <c r="J3158" t="inlineStr">
        <is>
          <t>Ventas Delivery Apps</t>
        </is>
      </c>
      <c r="K3158" t="inlineStr">
        <is>
          <t>CH3</t>
        </is>
      </c>
    </row>
    <row r="3159">
      <c r="A3159" s="33" t="n">
        <v>45931</v>
      </c>
      <c r="B3159" t="inlineStr">
        <is>
          <t>2025-10</t>
        </is>
      </c>
      <c r="C3159" t="inlineStr">
        <is>
          <t>Sin cliente</t>
        </is>
      </c>
      <c r="D3159" t="inlineStr">
        <is>
          <t>PLATAFORMAS RAP-PEYA-UBER-GOOD</t>
        </is>
      </c>
      <c r="E3159" s="34" t="n">
        <v>17400</v>
      </c>
      <c r="F3159" t="inlineStr">
        <is>
          <t>B</t>
        </is>
      </c>
      <c r="G3159" s="34" t="n">
        <v>2778</v>
      </c>
      <c r="H3159" s="34" t="n">
        <v>14622</v>
      </c>
      <c r="I3159" t="inlineStr">
        <is>
          <t>3.6</t>
        </is>
      </c>
      <c r="J3159" t="inlineStr">
        <is>
          <t>Ventas Delivery Apps</t>
        </is>
      </c>
      <c r="K3159" t="inlineStr">
        <is>
          <t>CH3</t>
        </is>
      </c>
    </row>
    <row r="3160">
      <c r="A3160" s="33" t="n">
        <v>45931</v>
      </c>
      <c r="B3160" t="inlineStr">
        <is>
          <t>2025-10</t>
        </is>
      </c>
      <c r="C3160" t="inlineStr">
        <is>
          <t>Sin cliente</t>
        </is>
      </c>
      <c r="D3160" t="inlineStr">
        <is>
          <t>PLATAFORMAS RAP-PEYA-UBER-GOOD</t>
        </is>
      </c>
      <c r="E3160" s="34" t="n">
        <v>17880</v>
      </c>
      <c r="F3160" t="inlineStr">
        <is>
          <t>B</t>
        </is>
      </c>
      <c r="G3160" s="34" t="n">
        <v>2855</v>
      </c>
      <c r="H3160" s="34" t="n">
        <v>15025</v>
      </c>
      <c r="I3160" t="inlineStr">
        <is>
          <t>3.6</t>
        </is>
      </c>
      <c r="J3160" t="inlineStr">
        <is>
          <t>Ventas Delivery Apps</t>
        </is>
      </c>
      <c r="K3160" t="inlineStr">
        <is>
          <t>CH3</t>
        </is>
      </c>
    </row>
    <row r="3161">
      <c r="A3161" s="33" t="n">
        <v>45932</v>
      </c>
      <c r="B3161" t="inlineStr">
        <is>
          <t>2025-10</t>
        </is>
      </c>
      <c r="C3161" t="inlineStr">
        <is>
          <t>BUSTORF LARSEN Y COMPANIA LIMITADA</t>
        </is>
      </c>
      <c r="D3161" t="inlineStr">
        <is>
          <t>HORECA CAFETERIA</t>
        </is>
      </c>
      <c r="E3161" s="34" t="n">
        <v>68179</v>
      </c>
      <c r="F3161" t="inlineStr">
        <is>
          <t>F</t>
        </is>
      </c>
      <c r="G3161" s="34" t="n">
        <v>10886</v>
      </c>
      <c r="H3161" s="34" t="n">
        <v>57293</v>
      </c>
      <c r="I3161" t="inlineStr">
        <is>
          <t>3.1</t>
        </is>
      </c>
      <c r="J3161" t="inlineStr">
        <is>
          <t>Ventas HoReCa</t>
        </is>
      </c>
      <c r="K3161" t="inlineStr">
        <is>
          <t>CH1</t>
        </is>
      </c>
    </row>
    <row r="3162">
      <c r="A3162" s="33" t="n">
        <v>45932</v>
      </c>
      <c r="B3162" t="inlineStr">
        <is>
          <t>2025-10</t>
        </is>
      </c>
      <c r="C3162" t="inlineStr">
        <is>
          <t>BUSTORF LARSEN Y COMPANIA LIMITADA</t>
        </is>
      </c>
      <c r="D3162" t="inlineStr">
        <is>
          <t>HORECA CAFETERIA</t>
        </is>
      </c>
      <c r="E3162" s="34" t="n">
        <v>68179</v>
      </c>
      <c r="F3162" t="inlineStr">
        <is>
          <t>F</t>
        </is>
      </c>
      <c r="G3162" s="34" t="n">
        <v>10886</v>
      </c>
      <c r="H3162" s="34" t="n">
        <v>57293</v>
      </c>
      <c r="I3162" t="inlineStr">
        <is>
          <t>3.1</t>
        </is>
      </c>
      <c r="J3162" t="inlineStr">
        <is>
          <t>Ventas HoReCa</t>
        </is>
      </c>
      <c r="K3162" t="inlineStr">
        <is>
          <t>CH1</t>
        </is>
      </c>
    </row>
    <row r="3163">
      <c r="A3163" s="33" t="n">
        <v>45932</v>
      </c>
      <c r="B3163" t="inlineStr">
        <is>
          <t>2025-10</t>
        </is>
      </c>
      <c r="C3163" t="inlineStr">
        <is>
          <t>BUSTORF LARSEN Y COMPANIA LIMITADA</t>
        </is>
      </c>
      <c r="D3163" t="inlineStr">
        <is>
          <t>HORECA CAFETERIA</t>
        </is>
      </c>
      <c r="E3163" s="34" t="n">
        <v>69178</v>
      </c>
      <c r="F3163" t="inlineStr">
        <is>
          <t>F</t>
        </is>
      </c>
      <c r="G3163" s="34" t="n">
        <v>11045</v>
      </c>
      <c r="H3163" s="34" t="n">
        <v>58133</v>
      </c>
      <c r="I3163" t="inlineStr">
        <is>
          <t>3.1</t>
        </is>
      </c>
      <c r="J3163" t="inlineStr">
        <is>
          <t>Ventas HoReCa</t>
        </is>
      </c>
      <c r="K3163" t="inlineStr">
        <is>
          <t>CH1</t>
        </is>
      </c>
    </row>
    <row r="3164">
      <c r="A3164" s="33" t="n">
        <v>45932</v>
      </c>
      <c r="B3164" t="inlineStr">
        <is>
          <t>2025-10</t>
        </is>
      </c>
      <c r="C3164" t="inlineStr">
        <is>
          <t>BLUE OAK COFFE SPA</t>
        </is>
      </c>
      <c r="D3164" t="inlineStr">
        <is>
          <t>HORECA CAFETERIA</t>
        </is>
      </c>
      <c r="E3164" s="34" t="n">
        <v>68179</v>
      </c>
      <c r="F3164" t="inlineStr">
        <is>
          <t>F</t>
        </is>
      </c>
      <c r="G3164" s="34" t="n">
        <v>10886</v>
      </c>
      <c r="H3164" s="34" t="n">
        <v>57293</v>
      </c>
      <c r="I3164" t="inlineStr">
        <is>
          <t>3.1</t>
        </is>
      </c>
      <c r="J3164" t="inlineStr">
        <is>
          <t>Ventas HoReCa</t>
        </is>
      </c>
      <c r="K3164" t="inlineStr">
        <is>
          <t>CH1</t>
        </is>
      </c>
    </row>
    <row r="3165">
      <c r="A3165" s="33" t="n">
        <v>45932</v>
      </c>
      <c r="B3165" t="inlineStr">
        <is>
          <t>2025-10</t>
        </is>
      </c>
      <c r="C3165" t="inlineStr">
        <is>
          <t>Sociedad de inversiones solari y acuña spa</t>
        </is>
      </c>
      <c r="D3165" t="inlineStr">
        <is>
          <t>HORECA CAFETERIA</t>
        </is>
      </c>
      <c r="E3165" s="34" t="n">
        <v>129389</v>
      </c>
      <c r="F3165" t="inlineStr">
        <is>
          <t>F</t>
        </is>
      </c>
      <c r="G3165" s="34" t="n">
        <v>20659</v>
      </c>
      <c r="H3165" s="34" t="n">
        <v>108730</v>
      </c>
      <c r="I3165" t="inlineStr">
        <is>
          <t>3.1</t>
        </is>
      </c>
      <c r="J3165" t="inlineStr">
        <is>
          <t>Ventas HoReCa</t>
        </is>
      </c>
      <c r="K3165" t="inlineStr">
        <is>
          <t>CH1</t>
        </is>
      </c>
    </row>
    <row r="3166">
      <c r="A3166" s="33" t="n">
        <v>45932</v>
      </c>
      <c r="B3166" t="inlineStr">
        <is>
          <t>2025-10</t>
        </is>
      </c>
      <c r="C3166" t="inlineStr">
        <is>
          <t>CAFÉ UNDER SPA</t>
        </is>
      </c>
      <c r="D3166" t="inlineStr">
        <is>
          <t>HORECA CAFETERIA</t>
        </is>
      </c>
      <c r="E3166" s="34" t="n">
        <v>68179</v>
      </c>
      <c r="F3166" t="inlineStr">
        <is>
          <t>F</t>
        </is>
      </c>
      <c r="G3166" s="34" t="n">
        <v>10886</v>
      </c>
      <c r="H3166" s="34" t="n">
        <v>57293</v>
      </c>
      <c r="I3166" t="inlineStr">
        <is>
          <t>3.1</t>
        </is>
      </c>
      <c r="J3166" t="inlineStr">
        <is>
          <t>Ventas HoReCa</t>
        </is>
      </c>
      <c r="K3166" t="inlineStr">
        <is>
          <t>CH1</t>
        </is>
      </c>
    </row>
    <row r="3167">
      <c r="A3167" s="33" t="n">
        <v>45932</v>
      </c>
      <c r="B3167" t="inlineStr">
        <is>
          <t>2025-10</t>
        </is>
      </c>
      <c r="C3167" t="inlineStr">
        <is>
          <t>Jairo Arias</t>
        </is>
      </c>
      <c r="D3167" t="inlineStr">
        <is>
          <t>CANELÉ TRADICIONAL</t>
        </is>
      </c>
      <c r="E3167" s="34" t="n">
        <v>18400</v>
      </c>
      <c r="F3167" t="inlineStr">
        <is>
          <t>B</t>
        </is>
      </c>
      <c r="G3167" s="34" t="n">
        <v>2938</v>
      </c>
      <c r="H3167" s="34" t="n">
        <v>15462</v>
      </c>
      <c r="I3167" t="inlineStr">
        <is>
          <t>3.2</t>
        </is>
      </c>
      <c r="J3167" t="inlineStr">
        <is>
          <t>Ventas Personas (B2C)</t>
        </is>
      </c>
      <c r="K3167" t="inlineStr">
        <is>
          <t>CH2</t>
        </is>
      </c>
    </row>
    <row r="3168">
      <c r="A3168" s="33" t="n">
        <v>45932</v>
      </c>
      <c r="B3168" t="inlineStr">
        <is>
          <t>2025-10</t>
        </is>
      </c>
      <c r="C3168" t="inlineStr">
        <is>
          <t>Maria Soledad Diaz</t>
        </is>
      </c>
      <c r="D3168" t="inlineStr">
        <is>
          <t>CANELÉ TRADICIONAL</t>
        </is>
      </c>
      <c r="E3168" s="34" t="n">
        <v>21900</v>
      </c>
      <c r="F3168" t="inlineStr">
        <is>
          <t>B</t>
        </is>
      </c>
      <c r="G3168" s="34" t="n">
        <v>3497</v>
      </c>
      <c r="H3168" s="34" t="n">
        <v>18403</v>
      </c>
      <c r="I3168" t="inlineStr">
        <is>
          <t>3.2</t>
        </is>
      </c>
      <c r="J3168" t="inlineStr">
        <is>
          <t>Ventas Personas (B2C)</t>
        </is>
      </c>
      <c r="K3168" t="inlineStr">
        <is>
          <t>CH2</t>
        </is>
      </c>
    </row>
    <row r="3169">
      <c r="A3169" s="33" t="n">
        <v>45932</v>
      </c>
      <c r="B3169" t="inlineStr">
        <is>
          <t>2025-10</t>
        </is>
      </c>
      <c r="C3169" t="inlineStr">
        <is>
          <t>Adriano Zotti</t>
        </is>
      </c>
      <c r="D3169" t="inlineStr">
        <is>
          <t>SALSAS</t>
        </is>
      </c>
      <c r="E3169" s="34" t="n">
        <v>65769</v>
      </c>
      <c r="F3169" t="inlineStr">
        <is>
          <t>B</t>
        </is>
      </c>
      <c r="G3169" s="34" t="n">
        <v>10501</v>
      </c>
      <c r="H3169" s="34" t="n">
        <v>55268</v>
      </c>
      <c r="I3169" t="inlineStr">
        <is>
          <t>3.2</t>
        </is>
      </c>
      <c r="J3169" t="inlineStr">
        <is>
          <t>Ventas Personas (B2C)</t>
        </is>
      </c>
      <c r="K3169" t="inlineStr">
        <is>
          <t>CH2</t>
        </is>
      </c>
    </row>
    <row r="3170">
      <c r="A3170" s="33" t="n">
        <v>45932</v>
      </c>
      <c r="B3170" t="inlineStr">
        <is>
          <t>2025-10</t>
        </is>
      </c>
      <c r="C3170" t="inlineStr">
        <is>
          <t>Better Food Spa</t>
        </is>
      </c>
      <c r="D3170" t="inlineStr">
        <is>
          <t>HORECA CAFETERIA</t>
        </is>
      </c>
      <c r="E3170" s="34" t="n">
        <v>-224660</v>
      </c>
      <c r="F3170" t="inlineStr">
        <is>
          <t>NC</t>
        </is>
      </c>
      <c r="G3170" s="34" t="n">
        <v>-35870</v>
      </c>
      <c r="H3170" s="34" t="n">
        <v>-188790</v>
      </c>
      <c r="I3170" t="inlineStr">
        <is>
          <t>3.1</t>
        </is>
      </c>
      <c r="J3170" t="inlineStr">
        <is>
          <t>Ventas HoReCa</t>
        </is>
      </c>
      <c r="K3170" t="inlineStr">
        <is>
          <t>CH1</t>
        </is>
      </c>
    </row>
    <row r="3171">
      <c r="A3171" s="33" t="n">
        <v>45932</v>
      </c>
      <c r="B3171" t="inlineStr">
        <is>
          <t>2025-10</t>
        </is>
      </c>
      <c r="C3171" t="inlineStr">
        <is>
          <t>Better Food Spa</t>
        </is>
      </c>
      <c r="D3171" t="inlineStr">
        <is>
          <t>HORECA CAFETERIA</t>
        </is>
      </c>
      <c r="E3171" s="34" t="n">
        <v>224660</v>
      </c>
      <c r="F3171" t="inlineStr">
        <is>
          <t>F</t>
        </is>
      </c>
      <c r="G3171" s="34" t="n">
        <v>35870</v>
      </c>
      <c r="H3171" s="34" t="n">
        <v>188790</v>
      </c>
      <c r="I3171" t="inlineStr">
        <is>
          <t>3.1</t>
        </is>
      </c>
      <c r="J3171" t="inlineStr">
        <is>
          <t>Ventas HoReCa</t>
        </is>
      </c>
      <c r="K3171" t="inlineStr">
        <is>
          <t>CH1</t>
        </is>
      </c>
    </row>
    <row r="3172">
      <c r="A3172" s="33" t="n">
        <v>45932</v>
      </c>
      <c r="B3172" t="inlineStr">
        <is>
          <t>2025-10</t>
        </is>
      </c>
      <c r="C3172" t="inlineStr">
        <is>
          <t>PRODUCTORA DE EVENTOS AGDV SPA</t>
        </is>
      </c>
      <c r="D3172" t="inlineStr">
        <is>
          <t>HORECA CATERING</t>
        </is>
      </c>
      <c r="E3172" s="34" t="n">
        <v>159044</v>
      </c>
      <c r="F3172" t="inlineStr">
        <is>
          <t>F</t>
        </is>
      </c>
      <c r="G3172" s="34" t="n">
        <v>25394</v>
      </c>
      <c r="H3172" s="34" t="n">
        <v>133650</v>
      </c>
      <c r="I3172" t="inlineStr">
        <is>
          <t>3.1</t>
        </is>
      </c>
      <c r="J3172" t="inlineStr">
        <is>
          <t>Ventas HoReCa</t>
        </is>
      </c>
      <c r="K3172" t="inlineStr">
        <is>
          <t>CH1</t>
        </is>
      </c>
    </row>
    <row r="3173">
      <c r="A3173" s="33" t="n">
        <v>45932</v>
      </c>
      <c r="B3173" t="inlineStr">
        <is>
          <t>2025-10</t>
        </is>
      </c>
      <c r="C3173" t="inlineStr">
        <is>
          <t>Felipe Villalón Silva</t>
        </is>
      </c>
      <c r="D3173" t="inlineStr">
        <is>
          <t>Rellenos</t>
        </is>
      </c>
      <c r="E3173" s="34" t="n">
        <v>26500</v>
      </c>
      <c r="F3173" t="inlineStr">
        <is>
          <t>B</t>
        </is>
      </c>
      <c r="G3173" s="34" t="n">
        <v>4231</v>
      </c>
      <c r="H3173" s="34" t="n">
        <v>22269</v>
      </c>
      <c r="I3173" t="inlineStr">
        <is>
          <t>3.2</t>
        </is>
      </c>
      <c r="J3173" t="inlineStr">
        <is>
          <t>Ventas Personas (B2C)</t>
        </is>
      </c>
      <c r="K3173" t="inlineStr">
        <is>
          <t>CH2</t>
        </is>
      </c>
    </row>
    <row r="3174">
      <c r="A3174" s="33" t="n">
        <v>45932</v>
      </c>
      <c r="B3174" t="inlineStr">
        <is>
          <t>2025-10</t>
        </is>
      </c>
      <c r="C3174" t="inlineStr">
        <is>
          <t>Sin cliente</t>
        </is>
      </c>
      <c r="D3174" t="inlineStr">
        <is>
          <t>PLATAFORMAS RAP-PEYA-UBER-GOOD</t>
        </is>
      </c>
      <c r="E3174" s="34" t="n">
        <v>150912</v>
      </c>
      <c r="F3174" t="inlineStr">
        <is>
          <t>B</t>
        </is>
      </c>
      <c r="G3174" s="34" t="n">
        <v>24095</v>
      </c>
      <c r="H3174" s="34" t="n">
        <v>126817</v>
      </c>
      <c r="I3174" t="inlineStr">
        <is>
          <t>3.6</t>
        </is>
      </c>
      <c r="J3174" t="inlineStr">
        <is>
          <t>Ventas Delivery Apps</t>
        </is>
      </c>
      <c r="K3174" t="inlineStr">
        <is>
          <t>CH3</t>
        </is>
      </c>
    </row>
    <row r="3175">
      <c r="A3175" s="33" t="n">
        <v>45932</v>
      </c>
      <c r="B3175" t="inlineStr">
        <is>
          <t>2025-10</t>
        </is>
      </c>
      <c r="C3175" t="inlineStr">
        <is>
          <t>Sin cliente</t>
        </is>
      </c>
      <c r="D3175" t="inlineStr">
        <is>
          <t>PLATAFORMAS RAP-PEYA-UBER-GOOD</t>
        </is>
      </c>
      <c r="E3175" s="34" t="n">
        <v>28680</v>
      </c>
      <c r="F3175" t="inlineStr">
        <is>
          <t>B</t>
        </is>
      </c>
      <c r="G3175" s="34" t="n">
        <v>4579</v>
      </c>
      <c r="H3175" s="34" t="n">
        <v>24101</v>
      </c>
      <c r="I3175" t="inlineStr">
        <is>
          <t>3.6</t>
        </is>
      </c>
      <c r="J3175" t="inlineStr">
        <is>
          <t>Ventas Delivery Apps</t>
        </is>
      </c>
      <c r="K3175" t="inlineStr">
        <is>
          <t>CH3</t>
        </is>
      </c>
    </row>
    <row r="3176">
      <c r="A3176" s="33" t="n">
        <v>45932</v>
      </c>
      <c r="B3176" t="inlineStr">
        <is>
          <t>2025-10</t>
        </is>
      </c>
      <c r="C3176" t="inlineStr">
        <is>
          <t>Maria Ignacia Schaerer</t>
        </is>
      </c>
      <c r="D3176" t="inlineStr">
        <is>
          <t>CANELÉ TRADICIONAL</t>
        </is>
      </c>
      <c r="E3176" s="34" t="n">
        <v>17900</v>
      </c>
      <c r="F3176" t="inlineStr">
        <is>
          <t>B</t>
        </is>
      </c>
      <c r="G3176" s="34" t="n">
        <v>2858</v>
      </c>
      <c r="H3176" s="34" t="n">
        <v>15042</v>
      </c>
      <c r="I3176" t="inlineStr">
        <is>
          <t>3.2</t>
        </is>
      </c>
      <c r="J3176" t="inlineStr">
        <is>
          <t>Ventas Personas (B2C)</t>
        </is>
      </c>
      <c r="K3176" t="inlineStr">
        <is>
          <t>CH2</t>
        </is>
      </c>
    </row>
    <row r="3177">
      <c r="A3177" s="33" t="n">
        <v>45932</v>
      </c>
      <c r="B3177" t="inlineStr">
        <is>
          <t>2025-10</t>
        </is>
      </c>
      <c r="C3177" t="inlineStr">
        <is>
          <t>Sin cliente</t>
        </is>
      </c>
      <c r="D3177" t="inlineStr">
        <is>
          <t>Rellenos</t>
        </is>
      </c>
      <c r="E3177" s="34" t="n">
        <v>9000</v>
      </c>
      <c r="F3177" t="inlineStr">
        <is>
          <t>B</t>
        </is>
      </c>
      <c r="G3177" s="34" t="n">
        <v>1437</v>
      </c>
      <c r="H3177" s="34" t="n">
        <v>7563</v>
      </c>
      <c r="I3177" t="inlineStr">
        <is>
          <t>3.2</t>
        </is>
      </c>
      <c r="J3177" t="inlineStr">
        <is>
          <t>Ventas Personas (B2C)</t>
        </is>
      </c>
      <c r="K3177" t="inlineStr">
        <is>
          <t>CH2</t>
        </is>
      </c>
    </row>
    <row r="3178">
      <c r="A3178" s="33" t="n">
        <v>45932</v>
      </c>
      <c r="B3178" t="inlineStr">
        <is>
          <t>2025-10</t>
        </is>
      </c>
      <c r="C3178" t="inlineStr">
        <is>
          <t>Loreto Torres</t>
        </is>
      </c>
      <c r="D3178" t="inlineStr">
        <is>
          <t>SALSAS</t>
        </is>
      </c>
      <c r="E3178" s="34" t="n">
        <v>37890</v>
      </c>
      <c r="F3178" t="inlineStr">
        <is>
          <t>B</t>
        </is>
      </c>
      <c r="G3178" s="34" t="n">
        <v>6050</v>
      </c>
      <c r="H3178" s="34" t="n">
        <v>31840</v>
      </c>
      <c r="I3178" t="inlineStr">
        <is>
          <t>3.2</t>
        </is>
      </c>
      <c r="J3178" t="inlineStr">
        <is>
          <t>Ventas Personas (B2C)</t>
        </is>
      </c>
      <c r="K3178" t="inlineStr">
        <is>
          <t>CH2</t>
        </is>
      </c>
    </row>
    <row r="3179">
      <c r="A3179" s="33" t="n">
        <v>45932</v>
      </c>
      <c r="B3179" t="inlineStr">
        <is>
          <t>2025-10</t>
        </is>
      </c>
      <c r="C3179" t="inlineStr">
        <is>
          <t>Maria Isabel Alarcon Ahumada</t>
        </is>
      </c>
      <c r="D3179" t="inlineStr">
        <is>
          <t>Rellenos</t>
        </is>
      </c>
      <c r="E3179" s="34" t="n">
        <v>26889</v>
      </c>
      <c r="F3179" t="inlineStr">
        <is>
          <t>B</t>
        </is>
      </c>
      <c r="G3179" s="34" t="n">
        <v>4293</v>
      </c>
      <c r="H3179" s="34" t="n">
        <v>22596</v>
      </c>
      <c r="I3179" t="inlineStr">
        <is>
          <t>3.2</t>
        </is>
      </c>
      <c r="J3179" t="inlineStr">
        <is>
          <t>Ventas Personas (B2C)</t>
        </is>
      </c>
      <c r="K3179" t="inlineStr">
        <is>
          <t>CH2</t>
        </is>
      </c>
    </row>
    <row r="3180">
      <c r="A3180" s="33" t="n">
        <v>45932</v>
      </c>
      <c r="B3180" t="inlineStr">
        <is>
          <t>2025-10</t>
        </is>
      </c>
      <c r="C3180" t="inlineStr">
        <is>
          <t>María Cecilia López galilea</t>
        </is>
      </c>
      <c r="D3180" t="inlineStr">
        <is>
          <t>Rellenos</t>
        </is>
      </c>
      <c r="E3180" s="34" t="n">
        <v>19889</v>
      </c>
      <c r="F3180" t="inlineStr">
        <is>
          <t>B</t>
        </is>
      </c>
      <c r="G3180" s="34" t="n">
        <v>3176</v>
      </c>
      <c r="H3180" s="34" t="n">
        <v>16713</v>
      </c>
      <c r="I3180" t="inlineStr">
        <is>
          <t>3.2</t>
        </is>
      </c>
      <c r="J3180" t="inlineStr">
        <is>
          <t>Ventas Personas (B2C)</t>
        </is>
      </c>
      <c r="K3180" t="inlineStr">
        <is>
          <t>CH2</t>
        </is>
      </c>
    </row>
    <row r="3181">
      <c r="A3181" s="33" t="n">
        <v>45933</v>
      </c>
      <c r="B3181" t="inlineStr">
        <is>
          <t>2025-10</t>
        </is>
      </c>
      <c r="C3181" t="inlineStr">
        <is>
          <t>PRODUCTORA DE EVENTOS AGDV SPA</t>
        </is>
      </c>
      <c r="D3181" t="inlineStr">
        <is>
          <t>Petit Crunchy</t>
        </is>
      </c>
      <c r="E3181" s="34" t="n">
        <v>96586</v>
      </c>
      <c r="F3181" t="inlineStr">
        <is>
          <t>F</t>
        </is>
      </c>
      <c r="G3181" s="34" t="n">
        <v>15421</v>
      </c>
      <c r="H3181" s="34" t="n">
        <v>81165</v>
      </c>
      <c r="I3181" t="inlineStr">
        <is>
          <t>3.1</t>
        </is>
      </c>
      <c r="J3181" t="inlineStr">
        <is>
          <t>Ventas HoReCa</t>
        </is>
      </c>
      <c r="K3181" t="inlineStr">
        <is>
          <t>CH1</t>
        </is>
      </c>
    </row>
    <row r="3182">
      <c r="A3182" s="33" t="n">
        <v>45933</v>
      </c>
      <c r="B3182" t="inlineStr">
        <is>
          <t>2025-10</t>
        </is>
      </c>
      <c r="C3182" t="inlineStr">
        <is>
          <t>PRODUCTORA DE EVENTOS AGDV SPA</t>
        </is>
      </c>
      <c r="D3182" t="inlineStr">
        <is>
          <t>Petit Crunchy</t>
        </is>
      </c>
      <c r="E3182" s="34" t="n">
        <v>-96586</v>
      </c>
      <c r="F3182" t="inlineStr">
        <is>
          <t>NC</t>
        </is>
      </c>
      <c r="G3182" s="34" t="n">
        <v>-15421</v>
      </c>
      <c r="H3182" s="34" t="n">
        <v>-81165</v>
      </c>
      <c r="I3182" t="inlineStr">
        <is>
          <t>3.1</t>
        </is>
      </c>
      <c r="J3182" t="inlineStr">
        <is>
          <t>Ventas HoReCa</t>
        </is>
      </c>
      <c r="K3182" t="inlineStr">
        <is>
          <t>CH1</t>
        </is>
      </c>
    </row>
    <row r="3183">
      <c r="A3183" s="33" t="n">
        <v>45933</v>
      </c>
      <c r="B3183" t="inlineStr">
        <is>
          <t>2025-10</t>
        </is>
      </c>
      <c r="C3183" t="inlineStr">
        <is>
          <t>VILAS BANQUETERIAS SPA</t>
        </is>
      </c>
      <c r="D3183" t="inlineStr">
        <is>
          <t>HORECA CATERING</t>
        </is>
      </c>
      <c r="E3183" s="34" t="n">
        <v>145362</v>
      </c>
      <c r="F3183" t="inlineStr">
        <is>
          <t>F</t>
        </is>
      </c>
      <c r="G3183" s="34" t="n">
        <v>23209</v>
      </c>
      <c r="H3183" s="34" t="n">
        <v>122153</v>
      </c>
      <c r="I3183" t="inlineStr">
        <is>
          <t>3.1</t>
        </is>
      </c>
      <c r="J3183" t="inlineStr">
        <is>
          <t>Ventas HoReCa</t>
        </is>
      </c>
      <c r="K3183" t="inlineStr">
        <is>
          <t>CH1</t>
        </is>
      </c>
    </row>
    <row r="3184">
      <c r="A3184" s="33" t="n">
        <v>45933</v>
      </c>
      <c r="B3184" t="inlineStr">
        <is>
          <t>2025-10</t>
        </is>
      </c>
      <c r="C3184" t="inlineStr">
        <is>
          <t>BLUE OAK COFFE SPA</t>
        </is>
      </c>
      <c r="D3184" t="inlineStr">
        <is>
          <t>HORECA CAFETERIA</t>
        </is>
      </c>
      <c r="E3184" s="34" t="n">
        <v>129389</v>
      </c>
      <c r="F3184" t="inlineStr">
        <is>
          <t>F</t>
        </is>
      </c>
      <c r="G3184" s="34" t="n">
        <v>20659</v>
      </c>
      <c r="H3184" s="34" t="n">
        <v>108730</v>
      </c>
      <c r="I3184" t="inlineStr">
        <is>
          <t>3.1</t>
        </is>
      </c>
      <c r="J3184" t="inlineStr">
        <is>
          <t>Ventas HoReCa</t>
        </is>
      </c>
      <c r="K3184" t="inlineStr">
        <is>
          <t>CH1</t>
        </is>
      </c>
    </row>
    <row r="3185">
      <c r="A3185" s="33" t="n">
        <v>45933</v>
      </c>
      <c r="B3185" t="inlineStr">
        <is>
          <t>2025-10</t>
        </is>
      </c>
      <c r="C3185" t="inlineStr">
        <is>
          <t>Better Food Spa</t>
        </is>
      </c>
      <c r="D3185" t="inlineStr">
        <is>
          <t>HORECA CAFETERIA</t>
        </is>
      </c>
      <c r="E3185" s="34" t="n">
        <v>192566</v>
      </c>
      <c r="F3185" t="inlineStr">
        <is>
          <t>F</t>
        </is>
      </c>
      <c r="G3185" s="34" t="n">
        <v>30746</v>
      </c>
      <c r="H3185" s="34" t="n">
        <v>161820</v>
      </c>
      <c r="I3185" t="inlineStr">
        <is>
          <t>3.1</t>
        </is>
      </c>
      <c r="J3185" t="inlineStr">
        <is>
          <t>Ventas HoReCa</t>
        </is>
      </c>
      <c r="K3185" t="inlineStr">
        <is>
          <t>CH1</t>
        </is>
      </c>
    </row>
    <row r="3186">
      <c r="A3186" s="33" t="n">
        <v>45933</v>
      </c>
      <c r="B3186" t="inlineStr">
        <is>
          <t>2025-10</t>
        </is>
      </c>
      <c r="C3186" t="inlineStr">
        <is>
          <t>CAFETERÍAS MISTER SPA</t>
        </is>
      </c>
      <c r="D3186" t="inlineStr">
        <is>
          <t>HORECA CAFETERIA</t>
        </is>
      </c>
      <c r="E3186" s="34" t="n">
        <v>36084</v>
      </c>
      <c r="F3186" t="inlineStr">
        <is>
          <t>F</t>
        </is>
      </c>
      <c r="G3186" s="34" t="n">
        <v>5761</v>
      </c>
      <c r="H3186" s="34" t="n">
        <v>30323</v>
      </c>
      <c r="I3186" t="inlineStr">
        <is>
          <t>3.1</t>
        </is>
      </c>
      <c r="J3186" t="inlineStr">
        <is>
          <t>Ventas HoReCa</t>
        </is>
      </c>
      <c r="K3186" t="inlineStr">
        <is>
          <t>CH1</t>
        </is>
      </c>
    </row>
    <row r="3187">
      <c r="A3187" s="33" t="n">
        <v>45933</v>
      </c>
      <c r="B3187" t="inlineStr">
        <is>
          <t>2025-10</t>
        </is>
      </c>
      <c r="C3187" t="inlineStr">
        <is>
          <t>GALO SPA</t>
        </is>
      </c>
      <c r="D3187" t="inlineStr">
        <is>
          <t>HORECA CAFETERIA</t>
        </is>
      </c>
      <c r="E3187" s="34" t="n">
        <v>235144</v>
      </c>
      <c r="F3187" t="inlineStr">
        <is>
          <t>F</t>
        </is>
      </c>
      <c r="G3187" s="34" t="n">
        <v>37544</v>
      </c>
      <c r="H3187" s="34" t="n">
        <v>197600</v>
      </c>
      <c r="I3187" t="inlineStr">
        <is>
          <t>3.1</t>
        </is>
      </c>
      <c r="J3187" t="inlineStr">
        <is>
          <t>Ventas HoReCa</t>
        </is>
      </c>
      <c r="K3187" t="inlineStr">
        <is>
          <t>CH1</t>
        </is>
      </c>
    </row>
    <row r="3188">
      <c r="A3188" s="33" t="n">
        <v>45933</v>
      </c>
      <c r="B3188" t="inlineStr">
        <is>
          <t>2025-10</t>
        </is>
      </c>
      <c r="C3188" t="inlineStr">
        <is>
          <t>MARIA IGNACIA GREZ</t>
        </is>
      </c>
      <c r="D3188" t="inlineStr">
        <is>
          <t>Petit Tradicional</t>
        </is>
      </c>
      <c r="E3188" s="34" t="n">
        <v>16720</v>
      </c>
      <c r="F3188" t="inlineStr">
        <is>
          <t>B</t>
        </is>
      </c>
      <c r="G3188" s="34" t="n">
        <v>2670</v>
      </c>
      <c r="H3188" s="34" t="n">
        <v>14050</v>
      </c>
      <c r="I3188" t="inlineStr">
        <is>
          <t>3.2</t>
        </is>
      </c>
      <c r="J3188" t="inlineStr">
        <is>
          <t>Ventas Personas (B2C)</t>
        </is>
      </c>
      <c r="K3188" t="inlineStr">
        <is>
          <t>CH2</t>
        </is>
      </c>
    </row>
    <row r="3189">
      <c r="A3189" s="33" t="n">
        <v>45933</v>
      </c>
      <c r="B3189" t="inlineStr">
        <is>
          <t>2025-10</t>
        </is>
      </c>
      <c r="C3189" t="inlineStr">
        <is>
          <t>Francesca Notari</t>
        </is>
      </c>
      <c r="D3189" t="inlineStr">
        <is>
          <t>Petit Tradicional</t>
        </is>
      </c>
      <c r="E3189" s="34" t="n">
        <v>24789</v>
      </c>
      <c r="F3189" t="inlineStr">
        <is>
          <t>B</t>
        </is>
      </c>
      <c r="G3189" s="34" t="n">
        <v>3958</v>
      </c>
      <c r="H3189" s="34" t="n">
        <v>20831</v>
      </c>
      <c r="I3189" t="inlineStr">
        <is>
          <t>3.2</t>
        </is>
      </c>
      <c r="J3189" t="inlineStr">
        <is>
          <t>Ventas Personas (B2C)</t>
        </is>
      </c>
      <c r="K3189" t="inlineStr">
        <is>
          <t>CH2</t>
        </is>
      </c>
    </row>
    <row r="3190">
      <c r="A3190" s="33" t="n">
        <v>45933</v>
      </c>
      <c r="B3190" t="inlineStr">
        <is>
          <t>2025-10</t>
        </is>
      </c>
      <c r="C3190" t="inlineStr">
        <is>
          <t>Min Kwon</t>
        </is>
      </c>
      <c r="D3190" t="inlineStr">
        <is>
          <t>Rellenos</t>
        </is>
      </c>
      <c r="E3190" s="34" t="n">
        <v>32889</v>
      </c>
      <c r="F3190" t="inlineStr">
        <is>
          <t>B</t>
        </is>
      </c>
      <c r="G3190" s="34" t="n">
        <v>5251</v>
      </c>
      <c r="H3190" s="34" t="n">
        <v>27638</v>
      </c>
      <c r="I3190" t="inlineStr">
        <is>
          <t>3.2</t>
        </is>
      </c>
      <c r="J3190" t="inlineStr">
        <is>
          <t>Ventas Personas (B2C)</t>
        </is>
      </c>
      <c r="K3190" t="inlineStr">
        <is>
          <t>CH2</t>
        </is>
      </c>
    </row>
    <row r="3191">
      <c r="A3191" s="33" t="n">
        <v>45933</v>
      </c>
      <c r="B3191" t="inlineStr">
        <is>
          <t>2025-10</t>
        </is>
      </c>
      <c r="C3191" t="inlineStr">
        <is>
          <t>ESTUDIO DE PILATES MARIA ANGELICA LAMARCA ROSS EIR</t>
        </is>
      </c>
      <c r="D3191" t="inlineStr">
        <is>
          <t>Petit Tradicional</t>
        </is>
      </c>
      <c r="E3191" s="34" t="n">
        <v>115000</v>
      </c>
      <c r="F3191" t="inlineStr">
        <is>
          <t>F</t>
        </is>
      </c>
      <c r="G3191" s="34" t="n">
        <v>18361</v>
      </c>
      <c r="H3191" s="34" t="n">
        <v>96639</v>
      </c>
      <c r="I3191" t="inlineStr">
        <is>
          <t>3.1</t>
        </is>
      </c>
      <c r="J3191" t="inlineStr">
        <is>
          <t>Ventas HoReCa</t>
        </is>
      </c>
      <c r="K3191" t="inlineStr">
        <is>
          <t>CH1</t>
        </is>
      </c>
    </row>
    <row r="3192">
      <c r="A3192" s="33" t="n">
        <v>45933</v>
      </c>
      <c r="B3192" t="inlineStr">
        <is>
          <t>2025-10</t>
        </is>
      </c>
      <c r="C3192" t="inlineStr">
        <is>
          <t>Maria Soledad Diaz</t>
        </is>
      </c>
      <c r="D3192" t="inlineStr">
        <is>
          <t>REGION METROPOLITANA</t>
        </is>
      </c>
      <c r="E3192" s="34" t="n">
        <v>11000</v>
      </c>
      <c r="F3192" t="inlineStr">
        <is>
          <t>B</t>
        </is>
      </c>
      <c r="G3192" s="34" t="n">
        <v>1756</v>
      </c>
      <c r="H3192" s="34" t="n">
        <v>9244</v>
      </c>
      <c r="I3192" t="inlineStr">
        <is>
          <t>3.2</t>
        </is>
      </c>
      <c r="J3192" t="inlineStr">
        <is>
          <t>Ventas Personas (B2C)</t>
        </is>
      </c>
      <c r="K3192" t="inlineStr">
        <is>
          <t>CH2</t>
        </is>
      </c>
    </row>
    <row r="3193">
      <c r="A3193" s="33" t="n">
        <v>45933</v>
      </c>
      <c r="B3193" t="inlineStr">
        <is>
          <t>2025-10</t>
        </is>
      </c>
      <c r="C3193" t="inlineStr">
        <is>
          <t>Inversiones Café Dominicos SpA</t>
        </is>
      </c>
      <c r="D3193" t="inlineStr">
        <is>
          <t xml:space="preserve">THE COFFEE STORE </t>
        </is>
      </c>
      <c r="E3193" s="34" t="n">
        <v>39294</v>
      </c>
      <c r="F3193" t="inlineStr">
        <is>
          <t>F</t>
        </is>
      </c>
      <c r="G3193" s="34" t="n">
        <v>6274</v>
      </c>
      <c r="H3193" s="34" t="n">
        <v>33020</v>
      </c>
      <c r="I3193" t="inlineStr">
        <is>
          <t>3.1</t>
        </is>
      </c>
      <c r="J3193" t="inlineStr">
        <is>
          <t>Ventas HoReCa</t>
        </is>
      </c>
      <c r="K3193" t="inlineStr">
        <is>
          <t>CH1</t>
        </is>
      </c>
    </row>
    <row r="3194">
      <c r="A3194" s="33" t="n">
        <v>45933</v>
      </c>
      <c r="B3194" t="inlineStr">
        <is>
          <t>2025-10</t>
        </is>
      </c>
      <c r="C3194" t="inlineStr">
        <is>
          <t>Elizabeth  Apablaza</t>
        </is>
      </c>
      <c r="D3194" t="inlineStr">
        <is>
          <t>Mix Sabores</t>
        </is>
      </c>
      <c r="E3194" s="34" t="n">
        <v>29800</v>
      </c>
      <c r="F3194" t="inlineStr">
        <is>
          <t>B</t>
        </is>
      </c>
      <c r="G3194" s="34" t="n">
        <v>4758</v>
      </c>
      <c r="H3194" s="34" t="n">
        <v>25042</v>
      </c>
      <c r="I3194" t="inlineStr">
        <is>
          <t>3.2</t>
        </is>
      </c>
      <c r="J3194" t="inlineStr">
        <is>
          <t>Ventas Personas (B2C)</t>
        </is>
      </c>
      <c r="K3194" t="inlineStr">
        <is>
          <t>CH2</t>
        </is>
      </c>
    </row>
    <row r="3195">
      <c r="A3195" s="33" t="n">
        <v>45933</v>
      </c>
      <c r="B3195" t="inlineStr">
        <is>
          <t>2025-10</t>
        </is>
      </c>
      <c r="C3195" t="inlineStr">
        <is>
          <t>susan de raadt</t>
        </is>
      </c>
      <c r="D3195" t="inlineStr">
        <is>
          <t>Mix Sabores</t>
        </is>
      </c>
      <c r="E3195" s="34" t="n">
        <v>30790</v>
      </c>
      <c r="F3195" t="inlineStr">
        <is>
          <t>B</t>
        </is>
      </c>
      <c r="G3195" s="34" t="n">
        <v>4916</v>
      </c>
      <c r="H3195" s="34" t="n">
        <v>25874</v>
      </c>
      <c r="I3195" t="inlineStr">
        <is>
          <t>3.2</t>
        </is>
      </c>
      <c r="J3195" t="inlineStr">
        <is>
          <t>Ventas Personas (B2C)</t>
        </is>
      </c>
      <c r="K3195" t="inlineStr">
        <is>
          <t>CH2</t>
        </is>
      </c>
    </row>
    <row r="3196">
      <c r="A3196" s="33" t="n">
        <v>45933</v>
      </c>
      <c r="B3196" t="inlineStr">
        <is>
          <t>2025-10</t>
        </is>
      </c>
      <c r="C3196" t="inlineStr">
        <is>
          <t>CAFE DIARIO ENCOMENDEROS SPA</t>
        </is>
      </c>
      <c r="D3196" t="inlineStr">
        <is>
          <t>HORECA CAFETERIA</t>
        </is>
      </c>
      <c r="E3196" s="34" t="n">
        <v>101451</v>
      </c>
      <c r="F3196" t="inlineStr">
        <is>
          <t>F</t>
        </is>
      </c>
      <c r="G3196" s="34" t="n">
        <v>16198</v>
      </c>
      <c r="H3196" s="34" t="n">
        <v>85253</v>
      </c>
      <c r="I3196" t="inlineStr">
        <is>
          <t>3.1</t>
        </is>
      </c>
      <c r="J3196" t="inlineStr">
        <is>
          <t>Ventas HoReCa</t>
        </is>
      </c>
      <c r="K3196" t="inlineStr">
        <is>
          <t>CH1</t>
        </is>
      </c>
    </row>
    <row r="3197">
      <c r="A3197" s="33" t="n">
        <v>45933</v>
      </c>
      <c r="B3197" t="inlineStr">
        <is>
          <t>2025-10</t>
        </is>
      </c>
      <c r="C3197" t="inlineStr">
        <is>
          <t>COMERCIALIZADORA NATUTEA SPA</t>
        </is>
      </c>
      <c r="D3197" t="inlineStr">
        <is>
          <t>HORECA CAFETERIA</t>
        </is>
      </c>
      <c r="E3197" s="34" t="n">
        <v>37084</v>
      </c>
      <c r="F3197" t="inlineStr">
        <is>
          <t>F</t>
        </is>
      </c>
      <c r="G3197" s="34" t="n">
        <v>5921</v>
      </c>
      <c r="H3197" s="34" t="n">
        <v>31163</v>
      </c>
      <c r="I3197" t="inlineStr">
        <is>
          <t>3.1</t>
        </is>
      </c>
      <c r="J3197" t="inlineStr">
        <is>
          <t>Ventas HoReCa</t>
        </is>
      </c>
      <c r="K3197" t="inlineStr">
        <is>
          <t>CH1</t>
        </is>
      </c>
    </row>
    <row r="3198">
      <c r="A3198" s="33" t="n">
        <v>45933</v>
      </c>
      <c r="B3198" t="inlineStr">
        <is>
          <t>2025-10</t>
        </is>
      </c>
      <c r="C3198" t="inlineStr">
        <is>
          <t>Inversiones Fofoca SpA</t>
        </is>
      </c>
      <c r="D3198" t="inlineStr">
        <is>
          <t>HORECA CAFETERIA</t>
        </is>
      </c>
      <c r="E3198" s="34" t="n">
        <v>37084</v>
      </c>
      <c r="F3198" t="inlineStr">
        <is>
          <t>F</t>
        </is>
      </c>
      <c r="G3198" s="34" t="n">
        <v>5921</v>
      </c>
      <c r="H3198" s="34" t="n">
        <v>31163</v>
      </c>
      <c r="I3198" t="inlineStr">
        <is>
          <t>3.1</t>
        </is>
      </c>
      <c r="J3198" t="inlineStr">
        <is>
          <t>Ventas HoReCa</t>
        </is>
      </c>
      <c r="K3198" t="inlineStr">
        <is>
          <t>CH1</t>
        </is>
      </c>
    </row>
    <row r="3199">
      <c r="A3199" s="33" t="n">
        <v>45933</v>
      </c>
      <c r="B3199" t="inlineStr">
        <is>
          <t>2025-10</t>
        </is>
      </c>
      <c r="C3199" t="inlineStr">
        <is>
          <t>Maria Ignacia Schaerer</t>
        </is>
      </c>
      <c r="D3199" t="inlineStr">
        <is>
          <t>CANELÉ TRADICIONAL</t>
        </is>
      </c>
      <c r="E3199" s="34" t="n">
        <v>21900</v>
      </c>
      <c r="F3199" t="inlineStr">
        <is>
          <t>B</t>
        </is>
      </c>
      <c r="G3199" s="34" t="n">
        <v>3497</v>
      </c>
      <c r="H3199" s="34" t="n">
        <v>18403</v>
      </c>
      <c r="I3199" t="inlineStr">
        <is>
          <t>3.2</t>
        </is>
      </c>
      <c r="J3199" t="inlineStr">
        <is>
          <t>Ventas Personas (B2C)</t>
        </is>
      </c>
      <c r="K3199" t="inlineStr">
        <is>
          <t>CH2</t>
        </is>
      </c>
    </row>
    <row r="3200">
      <c r="A3200" s="33" t="n">
        <v>45933</v>
      </c>
      <c r="B3200" t="inlineStr">
        <is>
          <t>2025-10</t>
        </is>
      </c>
      <c r="C3200" t="inlineStr">
        <is>
          <t>Daniel Santamaria</t>
        </is>
      </c>
      <c r="D3200" t="inlineStr">
        <is>
          <t>CANELÉ TRADICIONAL</t>
        </is>
      </c>
      <c r="E3200" s="34" t="n">
        <v>19890</v>
      </c>
      <c r="F3200" t="inlineStr">
        <is>
          <t>B</t>
        </is>
      </c>
      <c r="G3200" s="34" t="n">
        <v>3176</v>
      </c>
      <c r="H3200" s="34" t="n">
        <v>16714</v>
      </c>
      <c r="I3200" t="inlineStr">
        <is>
          <t>3.2</t>
        </is>
      </c>
      <c r="J3200" t="inlineStr">
        <is>
          <t>Ventas Personas (B2C)</t>
        </is>
      </c>
      <c r="K3200" t="inlineStr">
        <is>
          <t>CH2</t>
        </is>
      </c>
    </row>
    <row r="3201">
      <c r="A3201" s="33" t="n">
        <v>45933</v>
      </c>
      <c r="B3201" t="inlineStr">
        <is>
          <t>2025-10</t>
        </is>
      </c>
      <c r="C3201" t="inlineStr">
        <is>
          <t>Martin Borda</t>
        </is>
      </c>
      <c r="D3201" t="inlineStr">
        <is>
          <t>PLATAFORMAS RAP-PEYA-UBER-GOOD</t>
        </is>
      </c>
      <c r="E3201" s="34" t="n">
        <v>27580</v>
      </c>
      <c r="F3201" t="inlineStr">
        <is>
          <t>B</t>
        </is>
      </c>
      <c r="G3201" s="34" t="n">
        <v>4404</v>
      </c>
      <c r="H3201" s="34" t="n">
        <v>23176</v>
      </c>
      <c r="I3201" t="inlineStr">
        <is>
          <t>3.6</t>
        </is>
      </c>
      <c r="J3201" t="inlineStr">
        <is>
          <t>Ventas Delivery Apps</t>
        </is>
      </c>
      <c r="K3201" t="inlineStr">
        <is>
          <t>CH3</t>
        </is>
      </c>
    </row>
    <row r="3202">
      <c r="A3202" s="33" t="n">
        <v>45933</v>
      </c>
      <c r="B3202" t="inlineStr">
        <is>
          <t>2025-10</t>
        </is>
      </c>
      <c r="C3202" t="inlineStr">
        <is>
          <t>Sin cliente</t>
        </is>
      </c>
      <c r="D3202" t="inlineStr">
        <is>
          <t>Mix Sabores</t>
        </is>
      </c>
      <c r="E3202" s="34" t="n">
        <v>19080</v>
      </c>
      <c r="F3202" t="inlineStr">
        <is>
          <t>B</t>
        </is>
      </c>
      <c r="G3202" s="34" t="n">
        <v>3046</v>
      </c>
      <c r="H3202" s="34" t="n">
        <v>16034</v>
      </c>
      <c r="I3202" t="inlineStr">
        <is>
          <t>3.2</t>
        </is>
      </c>
      <c r="J3202" t="inlineStr">
        <is>
          <t>Ventas Personas (B2C)</t>
        </is>
      </c>
      <c r="K3202" t="inlineStr">
        <is>
          <t>CH2</t>
        </is>
      </c>
    </row>
    <row r="3203">
      <c r="A3203" s="33" t="n">
        <v>45933</v>
      </c>
      <c r="B3203" t="inlineStr">
        <is>
          <t>2025-10</t>
        </is>
      </c>
      <c r="C3203" t="inlineStr">
        <is>
          <t>Marcelo SANHUEZA</t>
        </is>
      </c>
      <c r="D3203" t="inlineStr">
        <is>
          <t>Rellenos</t>
        </is>
      </c>
      <c r="E3203" s="34" t="n">
        <v>37789</v>
      </c>
      <c r="F3203" t="inlineStr">
        <is>
          <t>B</t>
        </is>
      </c>
      <c r="G3203" s="34" t="n">
        <v>6034</v>
      </c>
      <c r="H3203" s="34" t="n">
        <v>31755</v>
      </c>
      <c r="I3203" t="inlineStr">
        <is>
          <t>3.2</t>
        </is>
      </c>
      <c r="J3203" t="inlineStr">
        <is>
          <t>Ventas Personas (B2C)</t>
        </is>
      </c>
      <c r="K3203" t="inlineStr">
        <is>
          <t>CH2</t>
        </is>
      </c>
    </row>
    <row r="3204">
      <c r="A3204" s="33" t="n">
        <v>45934</v>
      </c>
      <c r="B3204" t="inlineStr">
        <is>
          <t>2025-10</t>
        </is>
      </c>
      <c r="C3204" t="inlineStr">
        <is>
          <t>Fernanda Correa ehlers</t>
        </is>
      </c>
      <c r="D3204" t="inlineStr">
        <is>
          <t>Petit Tradicional</t>
        </is>
      </c>
      <c r="E3204" s="34" t="n">
        <v>36800</v>
      </c>
      <c r="F3204" t="inlineStr">
        <is>
          <t>B</t>
        </is>
      </c>
      <c r="G3204" s="34" t="n">
        <v>5876</v>
      </c>
      <c r="H3204" s="34" t="n">
        <v>30924</v>
      </c>
      <c r="I3204" t="inlineStr">
        <is>
          <t>3.2</t>
        </is>
      </c>
      <c r="J3204" t="inlineStr">
        <is>
          <t>Ventas Personas (B2C)</t>
        </is>
      </c>
      <c r="K3204" t="inlineStr">
        <is>
          <t>CH2</t>
        </is>
      </c>
    </row>
    <row r="3205">
      <c r="A3205" s="33" t="n">
        <v>45934</v>
      </c>
      <c r="B3205" t="inlineStr">
        <is>
          <t>2025-10</t>
        </is>
      </c>
      <c r="C3205" t="inlineStr">
        <is>
          <t>Antonia Hornig</t>
        </is>
      </c>
      <c r="D3205" t="inlineStr">
        <is>
          <t>Petit Crunchy</t>
        </is>
      </c>
      <c r="E3205" s="34" t="n">
        <v>18890</v>
      </c>
      <c r="F3205" t="inlineStr">
        <is>
          <t>B</t>
        </is>
      </c>
      <c r="G3205" s="34" t="n">
        <v>3016</v>
      </c>
      <c r="H3205" s="34" t="n">
        <v>15874</v>
      </c>
      <c r="I3205" t="inlineStr">
        <is>
          <t>3.2</t>
        </is>
      </c>
      <c r="J3205" t="inlineStr">
        <is>
          <t>Ventas Personas (B2C)</t>
        </is>
      </c>
      <c r="K3205" t="inlineStr">
        <is>
          <t>CH2</t>
        </is>
      </c>
    </row>
    <row r="3206">
      <c r="A3206" s="33" t="n">
        <v>45934</v>
      </c>
      <c r="B3206" t="inlineStr">
        <is>
          <t>2025-10</t>
        </is>
      </c>
      <c r="C3206" t="inlineStr">
        <is>
          <t>Francisco Oyarzo</t>
        </is>
      </c>
      <c r="D3206" t="inlineStr">
        <is>
          <t>CANELÉ TRADICIONAL</t>
        </is>
      </c>
      <c r="E3206" s="34" t="n">
        <v>44309</v>
      </c>
      <c r="F3206" t="inlineStr">
        <is>
          <t>B</t>
        </is>
      </c>
      <c r="G3206" s="34" t="n">
        <v>7075</v>
      </c>
      <c r="H3206" s="34" t="n">
        <v>37234</v>
      </c>
      <c r="I3206" t="inlineStr">
        <is>
          <t>3.2</t>
        </is>
      </c>
      <c r="J3206" t="inlineStr">
        <is>
          <t>Ventas Personas (B2C)</t>
        </is>
      </c>
      <c r="K3206" t="inlineStr">
        <is>
          <t>CH2</t>
        </is>
      </c>
    </row>
    <row r="3207">
      <c r="A3207" s="33" t="n">
        <v>45934</v>
      </c>
      <c r="B3207" t="inlineStr">
        <is>
          <t>2025-10</t>
        </is>
      </c>
      <c r="C3207" t="inlineStr">
        <is>
          <t>Luis Bassignana</t>
        </is>
      </c>
      <c r="D3207" t="inlineStr">
        <is>
          <t>SALSAS</t>
        </is>
      </c>
      <c r="E3207" s="34" t="n">
        <v>44869</v>
      </c>
      <c r="F3207" t="inlineStr">
        <is>
          <t>B</t>
        </is>
      </c>
      <c r="G3207" s="34" t="n">
        <v>7164</v>
      </c>
      <c r="H3207" s="34" t="n">
        <v>37705</v>
      </c>
      <c r="I3207" t="inlineStr">
        <is>
          <t>3.2</t>
        </is>
      </c>
      <c r="J3207" t="inlineStr">
        <is>
          <t>Ventas Personas (B2C)</t>
        </is>
      </c>
      <c r="K3207" t="inlineStr">
        <is>
          <t>CH2</t>
        </is>
      </c>
    </row>
    <row r="3208">
      <c r="A3208" s="33" t="n">
        <v>45934</v>
      </c>
      <c r="B3208" t="inlineStr">
        <is>
          <t>2025-10</t>
        </is>
      </c>
      <c r="C3208" t="inlineStr">
        <is>
          <t>Sin cliente</t>
        </is>
      </c>
      <c r="D3208" t="inlineStr">
        <is>
          <t>Rellenos</t>
        </is>
      </c>
      <c r="E3208" s="34" t="n">
        <v>21400</v>
      </c>
      <c r="F3208" t="inlineStr">
        <is>
          <t>B</t>
        </is>
      </c>
      <c r="G3208" s="34" t="n">
        <v>3417</v>
      </c>
      <c r="H3208" s="34" t="n">
        <v>17983</v>
      </c>
      <c r="I3208" t="inlineStr">
        <is>
          <t>3.2</t>
        </is>
      </c>
      <c r="J3208" t="inlineStr">
        <is>
          <t>Ventas Personas (B2C)</t>
        </is>
      </c>
      <c r="K3208" t="inlineStr">
        <is>
          <t>CH2</t>
        </is>
      </c>
    </row>
    <row r="3209">
      <c r="A3209" s="33" t="n">
        <v>45934</v>
      </c>
      <c r="B3209" t="inlineStr">
        <is>
          <t>2025-10</t>
        </is>
      </c>
      <c r="C3209" t="inlineStr">
        <is>
          <t>Sin cliente</t>
        </is>
      </c>
      <c r="D3209" t="inlineStr">
        <is>
          <t>PLATAFORMAS RAP-PEYA-UBER-GOOD</t>
        </is>
      </c>
      <c r="E3209" s="34" t="n">
        <v>28680</v>
      </c>
      <c r="F3209" t="inlineStr">
        <is>
          <t>B</t>
        </is>
      </c>
      <c r="G3209" s="34" t="n">
        <v>4579</v>
      </c>
      <c r="H3209" s="34" t="n">
        <v>24101</v>
      </c>
      <c r="I3209" t="inlineStr">
        <is>
          <t>3.6</t>
        </is>
      </c>
      <c r="J3209" t="inlineStr">
        <is>
          <t>Ventas Delivery Apps</t>
        </is>
      </c>
      <c r="K3209" t="inlineStr">
        <is>
          <t>CH3</t>
        </is>
      </c>
    </row>
    <row r="3210">
      <c r="A3210" s="33" t="n">
        <v>45934</v>
      </c>
      <c r="B3210" t="inlineStr">
        <is>
          <t>2025-10</t>
        </is>
      </c>
      <c r="C3210" t="inlineStr">
        <is>
          <t>Sin cliente</t>
        </is>
      </c>
      <c r="D3210" t="inlineStr">
        <is>
          <t>Rellenos</t>
        </is>
      </c>
      <c r="E3210" s="34" t="n">
        <v>49700</v>
      </c>
      <c r="F3210" t="inlineStr">
        <is>
          <t>B</t>
        </is>
      </c>
      <c r="G3210" s="34" t="n">
        <v>7935</v>
      </c>
      <c r="H3210" s="34" t="n">
        <v>41765</v>
      </c>
      <c r="I3210" t="inlineStr">
        <is>
          <t>3.2</t>
        </is>
      </c>
      <c r="J3210" t="inlineStr">
        <is>
          <t>Ventas Personas (B2C)</t>
        </is>
      </c>
      <c r="K3210" t="inlineStr">
        <is>
          <t>CH2</t>
        </is>
      </c>
    </row>
    <row r="3211">
      <c r="A3211" s="33" t="n">
        <v>45934</v>
      </c>
      <c r="B3211" t="inlineStr">
        <is>
          <t>2025-10</t>
        </is>
      </c>
      <c r="C3211" t="inlineStr">
        <is>
          <t>Sin cliente</t>
        </is>
      </c>
      <c r="D3211" t="inlineStr">
        <is>
          <t>PLATAFORMAS RAP-PEYA-UBER-GOOD</t>
        </is>
      </c>
      <c r="E3211" s="34" t="n">
        <v>10200</v>
      </c>
      <c r="F3211" t="inlineStr">
        <is>
          <t>B</t>
        </is>
      </c>
      <c r="G3211" s="34" t="n">
        <v>1629</v>
      </c>
      <c r="H3211" s="34" t="n">
        <v>8571</v>
      </c>
      <c r="I3211" t="inlineStr">
        <is>
          <t>3.6</t>
        </is>
      </c>
      <c r="J3211" t="inlineStr">
        <is>
          <t>Ventas Delivery Apps</t>
        </is>
      </c>
      <c r="K3211" t="inlineStr">
        <is>
          <t>CH3</t>
        </is>
      </c>
    </row>
    <row r="3212">
      <c r="A3212" s="33" t="n">
        <v>45934</v>
      </c>
      <c r="B3212" t="inlineStr">
        <is>
          <t>2025-10</t>
        </is>
      </c>
      <c r="C3212" t="inlineStr">
        <is>
          <t>Sin cliente</t>
        </is>
      </c>
      <c r="D3212" t="inlineStr">
        <is>
          <t>CANELÉ TRADICIONAL</t>
        </is>
      </c>
      <c r="E3212" s="34" t="n">
        <v>21900</v>
      </c>
      <c r="F3212" t="inlineStr">
        <is>
          <t>B</t>
        </is>
      </c>
      <c r="G3212" s="34" t="n">
        <v>3497</v>
      </c>
      <c r="H3212" s="34" t="n">
        <v>18403</v>
      </c>
      <c r="I3212" t="inlineStr">
        <is>
          <t>3.2</t>
        </is>
      </c>
      <c r="J3212" t="inlineStr">
        <is>
          <t>Ventas Personas (B2C)</t>
        </is>
      </c>
      <c r="K3212" t="inlineStr">
        <is>
          <t>CH2</t>
        </is>
      </c>
    </row>
    <row r="3213">
      <c r="A3213" s="33" t="n">
        <v>45934</v>
      </c>
      <c r="B3213" t="inlineStr">
        <is>
          <t>2025-10</t>
        </is>
      </c>
      <c r="C3213" t="inlineStr">
        <is>
          <t>Sin cliente</t>
        </is>
      </c>
      <c r="D3213" t="inlineStr">
        <is>
          <t>Petit Tradicional</t>
        </is>
      </c>
      <c r="E3213" s="34" t="n">
        <v>20900</v>
      </c>
      <c r="F3213" t="inlineStr">
        <is>
          <t>B</t>
        </is>
      </c>
      <c r="G3213" s="34" t="n">
        <v>3337</v>
      </c>
      <c r="H3213" s="34" t="n">
        <v>17563</v>
      </c>
      <c r="I3213" t="inlineStr">
        <is>
          <t>3.2</t>
        </is>
      </c>
      <c r="J3213" t="inlineStr">
        <is>
          <t>Ventas Personas (B2C)</t>
        </is>
      </c>
      <c r="K3213" t="inlineStr">
        <is>
          <t>CH2</t>
        </is>
      </c>
    </row>
    <row r="3214">
      <c r="A3214" s="33" t="n">
        <v>45934</v>
      </c>
      <c r="B3214" t="inlineStr">
        <is>
          <t>2025-10</t>
        </is>
      </c>
      <c r="C3214" t="inlineStr">
        <is>
          <t>Marisol Valencia Moya</t>
        </is>
      </c>
      <c r="D3214" t="inlineStr">
        <is>
          <t>Mix Sabores</t>
        </is>
      </c>
      <c r="E3214" s="34" t="n">
        <v>57090</v>
      </c>
      <c r="F3214" t="inlineStr">
        <is>
          <t>B</t>
        </is>
      </c>
      <c r="G3214" s="34" t="n">
        <v>9115</v>
      </c>
      <c r="H3214" s="34" t="n">
        <v>47975</v>
      </c>
      <c r="I3214" t="inlineStr">
        <is>
          <t>3.2</t>
        </is>
      </c>
      <c r="J3214" t="inlineStr">
        <is>
          <t>Ventas Personas (B2C)</t>
        </is>
      </c>
      <c r="K3214" t="inlineStr">
        <is>
          <t>CH2</t>
        </is>
      </c>
    </row>
    <row r="3215">
      <c r="A3215" s="33" t="n">
        <v>45934</v>
      </c>
      <c r="B3215" t="inlineStr">
        <is>
          <t>2025-10</t>
        </is>
      </c>
      <c r="C3215" t="inlineStr">
        <is>
          <t>Catalina Bradford</t>
        </is>
      </c>
      <c r="D3215" t="inlineStr">
        <is>
          <t>Petit Crunchy</t>
        </is>
      </c>
      <c r="E3215" s="34" t="n">
        <v>16889</v>
      </c>
      <c r="F3215" t="inlineStr">
        <is>
          <t>B</t>
        </is>
      </c>
      <c r="G3215" s="34" t="n">
        <v>2697</v>
      </c>
      <c r="H3215" s="34" t="n">
        <v>14192</v>
      </c>
      <c r="I3215" t="inlineStr">
        <is>
          <t>3.2</t>
        </is>
      </c>
      <c r="J3215" t="inlineStr">
        <is>
          <t>Ventas Personas (B2C)</t>
        </is>
      </c>
      <c r="K3215" t="inlineStr">
        <is>
          <t>CH2</t>
        </is>
      </c>
    </row>
    <row r="3216">
      <c r="A3216" s="33" t="n">
        <v>45935</v>
      </c>
      <c r="B3216" t="inlineStr">
        <is>
          <t>2025-10</t>
        </is>
      </c>
      <c r="C3216" t="inlineStr">
        <is>
          <t>David Jurin</t>
        </is>
      </c>
      <c r="D3216" t="inlineStr">
        <is>
          <t>CANELÉ TRADICIONAL</t>
        </is>
      </c>
      <c r="E3216" s="34" t="n">
        <v>19890</v>
      </c>
      <c r="F3216" t="inlineStr">
        <is>
          <t>B</t>
        </is>
      </c>
      <c r="G3216" s="34" t="n">
        <v>3176</v>
      </c>
      <c r="H3216" s="34" t="n">
        <v>16714</v>
      </c>
      <c r="I3216" t="inlineStr">
        <is>
          <t>3.2</t>
        </is>
      </c>
      <c r="J3216" t="inlineStr">
        <is>
          <t>Ventas Personas (B2C)</t>
        </is>
      </c>
      <c r="K3216" t="inlineStr">
        <is>
          <t>CH2</t>
        </is>
      </c>
    </row>
    <row r="3217">
      <c r="A3217" s="33" t="n">
        <v>45935</v>
      </c>
      <c r="B3217" t="inlineStr">
        <is>
          <t>2025-10</t>
        </is>
      </c>
      <c r="C3217" t="inlineStr">
        <is>
          <t>Jessica Aros Barrientos</t>
        </is>
      </c>
      <c r="D3217" t="inlineStr">
        <is>
          <t>Rellenos</t>
        </is>
      </c>
      <c r="E3217" s="34" t="n">
        <v>14310</v>
      </c>
      <c r="F3217" t="inlineStr">
        <is>
          <t>B</t>
        </is>
      </c>
      <c r="G3217" s="34" t="n">
        <v>2285</v>
      </c>
      <c r="H3217" s="34" t="n">
        <v>12025</v>
      </c>
      <c r="I3217" t="inlineStr">
        <is>
          <t>3.2</t>
        </is>
      </c>
      <c r="J3217" t="inlineStr">
        <is>
          <t>Ventas Personas (B2C)</t>
        </is>
      </c>
      <c r="K3217" t="inlineStr">
        <is>
          <t>CH2</t>
        </is>
      </c>
    </row>
    <row r="3218">
      <c r="A3218" s="33" t="n">
        <v>45936</v>
      </c>
      <c r="B3218" t="inlineStr">
        <is>
          <t>2025-10</t>
        </is>
      </c>
      <c r="C3218" t="inlineStr">
        <is>
          <t>José Miguel Moren Ried</t>
        </is>
      </c>
      <c r="D3218" t="inlineStr">
        <is>
          <t>CANELÉ TRADICIONAL</t>
        </is>
      </c>
      <c r="E3218" s="34" t="n">
        <v>17520</v>
      </c>
      <c r="F3218" t="inlineStr">
        <is>
          <t>B</t>
        </is>
      </c>
      <c r="G3218" s="34" t="n">
        <v>2797</v>
      </c>
      <c r="H3218" s="34" t="n">
        <v>14723</v>
      </c>
      <c r="I3218" t="inlineStr">
        <is>
          <t>3.2</t>
        </is>
      </c>
      <c r="J3218" t="inlineStr">
        <is>
          <t>Ventas Personas (B2C)</t>
        </is>
      </c>
      <c r="K3218" t="inlineStr">
        <is>
          <t>CH2</t>
        </is>
      </c>
    </row>
    <row r="3219">
      <c r="A3219" s="33" t="n">
        <v>45936</v>
      </c>
      <c r="B3219" t="inlineStr">
        <is>
          <t>2025-10</t>
        </is>
      </c>
      <c r="C3219" t="inlineStr">
        <is>
          <t>GALO SPA</t>
        </is>
      </c>
      <c r="D3219" t="inlineStr">
        <is>
          <t>HORECA CAFETERIA</t>
        </is>
      </c>
      <c r="E3219" s="34" t="n">
        <v>141506</v>
      </c>
      <c r="F3219" t="inlineStr">
        <is>
          <t>F</t>
        </is>
      </c>
      <c r="G3219" s="34" t="n">
        <v>22593</v>
      </c>
      <c r="H3219" s="34" t="n">
        <v>118913</v>
      </c>
      <c r="I3219" t="inlineStr">
        <is>
          <t>3.1</t>
        </is>
      </c>
      <c r="J3219" t="inlineStr">
        <is>
          <t>Ventas HoReCa</t>
        </is>
      </c>
      <c r="K3219" t="inlineStr">
        <is>
          <t>CH1</t>
        </is>
      </c>
    </row>
    <row r="3220">
      <c r="A3220" s="33" t="n">
        <v>45936</v>
      </c>
      <c r="B3220" t="inlineStr">
        <is>
          <t>2025-10</t>
        </is>
      </c>
      <c r="C3220" t="inlineStr">
        <is>
          <t>INVERSIONES Y COMERCIALIZADORA FED LIMITADA</t>
        </is>
      </c>
      <c r="D3220" t="inlineStr">
        <is>
          <t>HORECA CAFETERIA</t>
        </is>
      </c>
      <c r="E3220" s="34" t="n">
        <v>225738</v>
      </c>
      <c r="F3220" t="inlineStr">
        <is>
          <t>F</t>
        </is>
      </c>
      <c r="G3220" s="34" t="n">
        <v>36042</v>
      </c>
      <c r="H3220" s="34" t="n">
        <v>189696</v>
      </c>
      <c r="I3220" t="inlineStr">
        <is>
          <t>3.1</t>
        </is>
      </c>
      <c r="J3220" t="inlineStr">
        <is>
          <t>Ventas HoReCa</t>
        </is>
      </c>
      <c r="K3220" t="inlineStr">
        <is>
          <t>CH1</t>
        </is>
      </c>
    </row>
    <row r="3221">
      <c r="A3221" s="33" t="n">
        <v>45936</v>
      </c>
      <c r="B3221" t="inlineStr">
        <is>
          <t>2025-10</t>
        </is>
      </c>
      <c r="C3221" t="inlineStr">
        <is>
          <t>INVERSIONES Y COMERCIALIZADORA FED LIMITADA</t>
        </is>
      </c>
      <c r="D3221" t="inlineStr">
        <is>
          <t>HORECA CAFETERIA</t>
        </is>
      </c>
      <c r="E3221" s="34" t="n">
        <v>89338</v>
      </c>
      <c r="F3221" t="inlineStr">
        <is>
          <t>F</t>
        </is>
      </c>
      <c r="G3221" s="34" t="n">
        <v>14264</v>
      </c>
      <c r="H3221" s="34" t="n">
        <v>75074</v>
      </c>
      <c r="I3221" t="inlineStr">
        <is>
          <t>3.1</t>
        </is>
      </c>
      <c r="J3221" t="inlineStr">
        <is>
          <t>Ventas HoReCa</t>
        </is>
      </c>
      <c r="K3221" t="inlineStr">
        <is>
          <t>CH1</t>
        </is>
      </c>
    </row>
    <row r="3222">
      <c r="A3222" s="33" t="n">
        <v>45936</v>
      </c>
      <c r="B3222" t="inlineStr">
        <is>
          <t>2025-10</t>
        </is>
      </c>
      <c r="C3222" t="inlineStr">
        <is>
          <t>INVERSIONES Y ASESORIAS RAVAL LIMITADA</t>
        </is>
      </c>
      <c r="D3222" t="inlineStr">
        <is>
          <t>HORECA CAFETERIA</t>
        </is>
      </c>
      <c r="E3222" s="34" t="n">
        <v>72169</v>
      </c>
      <c r="F3222" t="inlineStr">
        <is>
          <t>F</t>
        </is>
      </c>
      <c r="G3222" s="34" t="n">
        <v>11523</v>
      </c>
      <c r="H3222" s="34" t="n">
        <v>60646</v>
      </c>
      <c r="I3222" t="inlineStr">
        <is>
          <t>3.1</t>
        </is>
      </c>
      <c r="J3222" t="inlineStr">
        <is>
          <t>Ventas HoReCa</t>
        </is>
      </c>
      <c r="K3222" t="inlineStr">
        <is>
          <t>CH1</t>
        </is>
      </c>
    </row>
    <row r="3223">
      <c r="A3223" s="33" t="n">
        <v>45936</v>
      </c>
      <c r="B3223" t="inlineStr">
        <is>
          <t>2025-10</t>
        </is>
      </c>
      <c r="C3223" t="inlineStr">
        <is>
          <t>Andar Café SpA</t>
        </is>
      </c>
      <c r="D3223" t="inlineStr">
        <is>
          <t>HORECA CAFETERIA</t>
        </is>
      </c>
      <c r="E3223" s="34" t="n">
        <v>70463</v>
      </c>
      <c r="F3223" t="inlineStr">
        <is>
          <t>F</t>
        </is>
      </c>
      <c r="G3223" s="34" t="n">
        <v>11250</v>
      </c>
      <c r="H3223" s="34" t="n">
        <v>59213</v>
      </c>
      <c r="I3223" t="inlineStr">
        <is>
          <t>3.1</t>
        </is>
      </c>
      <c r="J3223" t="inlineStr">
        <is>
          <t>Ventas HoReCa</t>
        </is>
      </c>
      <c r="K3223" t="inlineStr">
        <is>
          <t>CH1</t>
        </is>
      </c>
    </row>
    <row r="3224">
      <c r="A3224" s="33" t="n">
        <v>45936</v>
      </c>
      <c r="B3224" t="inlineStr">
        <is>
          <t>2025-10</t>
        </is>
      </c>
      <c r="C3224" t="inlineStr">
        <is>
          <t>Cafeteria de especialidad al paso Michael C. Plaza</t>
        </is>
      </c>
      <c r="D3224" t="inlineStr">
        <is>
          <t>HORECA CAFETERIA</t>
        </is>
      </c>
      <c r="E3224" s="34" t="n">
        <v>105283</v>
      </c>
      <c r="F3224" t="inlineStr">
        <is>
          <t>F</t>
        </is>
      </c>
      <c r="G3224" s="34" t="n">
        <v>16810</v>
      </c>
      <c r="H3224" s="34" t="n">
        <v>88473</v>
      </c>
      <c r="I3224" t="inlineStr">
        <is>
          <t>3.1</t>
        </is>
      </c>
      <c r="J3224" t="inlineStr">
        <is>
          <t>Ventas HoReCa</t>
        </is>
      </c>
      <c r="K3224" t="inlineStr">
        <is>
          <t>CH1</t>
        </is>
      </c>
    </row>
    <row r="3225">
      <c r="A3225" s="33" t="n">
        <v>45936</v>
      </c>
      <c r="B3225" t="inlineStr">
        <is>
          <t>2025-10</t>
        </is>
      </c>
      <c r="C3225" t="inlineStr">
        <is>
          <t>Oscar Larrain</t>
        </is>
      </c>
      <c r="D3225" t="inlineStr">
        <is>
          <t>CANELE SIN AZUCAR</t>
        </is>
      </c>
      <c r="E3225" s="34" t="n">
        <v>23440</v>
      </c>
      <c r="F3225" t="inlineStr">
        <is>
          <t>B</t>
        </is>
      </c>
      <c r="G3225" s="34" t="n">
        <v>3743</v>
      </c>
      <c r="H3225" s="34" t="n">
        <v>19697</v>
      </c>
      <c r="I3225" t="inlineStr">
        <is>
          <t>3.2</t>
        </is>
      </c>
      <c r="J3225" t="inlineStr">
        <is>
          <t>Ventas Personas (B2C)</t>
        </is>
      </c>
      <c r="K3225" t="inlineStr">
        <is>
          <t>CH2</t>
        </is>
      </c>
    </row>
    <row r="3226">
      <c r="A3226" s="33" t="n">
        <v>45936</v>
      </c>
      <c r="B3226" t="inlineStr">
        <is>
          <t>2025-10</t>
        </is>
      </c>
      <c r="C3226" t="inlineStr">
        <is>
          <t>Lily Günther</t>
        </is>
      </c>
      <c r="D3226" t="inlineStr">
        <is>
          <t>Rellenos</t>
        </is>
      </c>
      <c r="E3226" s="34" t="n">
        <v>23109</v>
      </c>
      <c r="F3226" t="inlineStr">
        <is>
          <t>B</t>
        </is>
      </c>
      <c r="G3226" s="34" t="n">
        <v>3690</v>
      </c>
      <c r="H3226" s="34" t="n">
        <v>19419</v>
      </c>
      <c r="I3226" t="inlineStr">
        <is>
          <t>3.2</t>
        </is>
      </c>
      <c r="J3226" t="inlineStr">
        <is>
          <t>Ventas Personas (B2C)</t>
        </is>
      </c>
      <c r="K3226" t="inlineStr">
        <is>
          <t>CH2</t>
        </is>
      </c>
    </row>
    <row r="3227">
      <c r="A3227" s="33" t="n">
        <v>45936</v>
      </c>
      <c r="B3227" t="inlineStr">
        <is>
          <t>2025-10</t>
        </is>
      </c>
      <c r="C3227" t="inlineStr">
        <is>
          <t>Agustin Ramos</t>
        </is>
      </c>
      <c r="D3227" t="inlineStr">
        <is>
          <t>Petit Crunchy</t>
        </is>
      </c>
      <c r="E3227" s="34" t="n">
        <v>13900</v>
      </c>
      <c r="F3227" t="inlineStr">
        <is>
          <t>B</t>
        </is>
      </c>
      <c r="G3227" s="34" t="n">
        <v>2219</v>
      </c>
      <c r="H3227" s="34" t="n">
        <v>11681</v>
      </c>
      <c r="I3227" t="inlineStr">
        <is>
          <t>3.2</t>
        </is>
      </c>
      <c r="J3227" t="inlineStr">
        <is>
          <t>Ventas Personas (B2C)</t>
        </is>
      </c>
      <c r="K3227" t="inlineStr">
        <is>
          <t>CH2</t>
        </is>
      </c>
    </row>
    <row r="3228">
      <c r="A3228" s="33" t="n">
        <v>45936</v>
      </c>
      <c r="B3228" t="inlineStr">
        <is>
          <t>2025-10</t>
        </is>
      </c>
      <c r="C3228" t="inlineStr">
        <is>
          <t>Maria Soledad Diaz</t>
        </is>
      </c>
      <c r="D3228" t="inlineStr">
        <is>
          <t>Petit Tradicional</t>
        </is>
      </c>
      <c r="E3228" s="34" t="n">
        <v>21710</v>
      </c>
      <c r="F3228" t="inlineStr">
        <is>
          <t>B</t>
        </is>
      </c>
      <c r="G3228" s="34" t="n">
        <v>3466</v>
      </c>
      <c r="H3228" s="34" t="n">
        <v>18244</v>
      </c>
      <c r="I3228" t="inlineStr">
        <is>
          <t>3.2</t>
        </is>
      </c>
      <c r="J3228" t="inlineStr">
        <is>
          <t>Ventas Personas (B2C)</t>
        </is>
      </c>
      <c r="K3228" t="inlineStr">
        <is>
          <t>CH2</t>
        </is>
      </c>
    </row>
    <row r="3229">
      <c r="A3229" s="33" t="n">
        <v>45936</v>
      </c>
      <c r="B3229" t="inlineStr">
        <is>
          <t>2025-10</t>
        </is>
      </c>
      <c r="C3229" t="inlineStr">
        <is>
          <t>RC BANQUETERIA SPA</t>
        </is>
      </c>
      <c r="D3229" t="inlineStr">
        <is>
          <t>Petit Crunchy</t>
        </is>
      </c>
      <c r="E3229" s="34" t="n">
        <v>38890</v>
      </c>
      <c r="F3229" t="inlineStr">
        <is>
          <t>F</t>
        </is>
      </c>
      <c r="G3229" s="34" t="n">
        <v>6209</v>
      </c>
      <c r="H3229" s="34" t="n">
        <v>32681</v>
      </c>
      <c r="I3229" t="inlineStr">
        <is>
          <t>3.1</t>
        </is>
      </c>
      <c r="J3229" t="inlineStr">
        <is>
          <t>Ventas HoReCa</t>
        </is>
      </c>
      <c r="K3229" t="inlineStr">
        <is>
          <t>CH1</t>
        </is>
      </c>
    </row>
    <row r="3230">
      <c r="A3230" s="33" t="n">
        <v>45936</v>
      </c>
      <c r="B3230" t="inlineStr">
        <is>
          <t>2025-10</t>
        </is>
      </c>
      <c r="C3230" t="inlineStr">
        <is>
          <t>Sin cliente</t>
        </is>
      </c>
      <c r="D3230" t="inlineStr">
        <is>
          <t>CANELÉ TRADICIONAL</t>
        </is>
      </c>
      <c r="E3230" s="34" t="n">
        <v>21900</v>
      </c>
      <c r="F3230" t="inlineStr">
        <is>
          <t>B</t>
        </is>
      </c>
      <c r="G3230" s="34" t="n">
        <v>3497</v>
      </c>
      <c r="H3230" s="34" t="n">
        <v>18403</v>
      </c>
      <c r="I3230" t="inlineStr">
        <is>
          <t>3.2</t>
        </is>
      </c>
      <c r="J3230" t="inlineStr">
        <is>
          <t>Ventas Personas (B2C)</t>
        </is>
      </c>
      <c r="K3230" t="inlineStr">
        <is>
          <t>CH2</t>
        </is>
      </c>
    </row>
    <row r="3231">
      <c r="A3231" s="33" t="n">
        <v>45936</v>
      </c>
      <c r="B3231" t="inlineStr">
        <is>
          <t>2025-10</t>
        </is>
      </c>
      <c r="C3231" t="inlineStr">
        <is>
          <t>Sin cliente</t>
        </is>
      </c>
      <c r="D3231" t="inlineStr">
        <is>
          <t>CANELÉ TRADICIONAL</t>
        </is>
      </c>
      <c r="E3231" s="34" t="n">
        <v>14900</v>
      </c>
      <c r="F3231" t="inlineStr">
        <is>
          <t>B</t>
        </is>
      </c>
      <c r="G3231" s="34" t="n">
        <v>2379</v>
      </c>
      <c r="H3231" s="34" t="n">
        <v>12521</v>
      </c>
      <c r="I3231" t="inlineStr">
        <is>
          <t>3.2</t>
        </is>
      </c>
      <c r="J3231" t="inlineStr">
        <is>
          <t>Ventas Personas (B2C)</t>
        </is>
      </c>
      <c r="K3231" t="inlineStr">
        <is>
          <t>CH2</t>
        </is>
      </c>
    </row>
    <row r="3232">
      <c r="A3232" s="33" t="n">
        <v>45936</v>
      </c>
      <c r="B3232" t="inlineStr">
        <is>
          <t>2025-10</t>
        </is>
      </c>
      <c r="C3232" t="inlineStr">
        <is>
          <t>Sin cliente</t>
        </is>
      </c>
      <c r="D3232" t="inlineStr">
        <is>
          <t>Rellenos</t>
        </is>
      </c>
      <c r="E3232" s="34" t="n">
        <v>27700</v>
      </c>
      <c r="F3232" t="inlineStr">
        <is>
          <t>B</t>
        </is>
      </c>
      <c r="G3232" s="34" t="n">
        <v>4423</v>
      </c>
      <c r="H3232" s="34" t="n">
        <v>23277</v>
      </c>
      <c r="I3232" t="inlineStr">
        <is>
          <t>3.2</t>
        </is>
      </c>
      <c r="J3232" t="inlineStr">
        <is>
          <t>Ventas Personas (B2C)</t>
        </is>
      </c>
      <c r="K3232" t="inlineStr">
        <is>
          <t>CH2</t>
        </is>
      </c>
    </row>
    <row r="3233">
      <c r="A3233" s="33" t="n">
        <v>45936</v>
      </c>
      <c r="B3233" t="inlineStr">
        <is>
          <t>2025-10</t>
        </is>
      </c>
      <c r="C3233" t="inlineStr">
        <is>
          <t>Sin cliente</t>
        </is>
      </c>
      <c r="D3233" t="inlineStr">
        <is>
          <t>PLATAFORMAS RAP-PEYA-UBER-GOOD</t>
        </is>
      </c>
      <c r="E3233" s="34" t="n">
        <v>19200</v>
      </c>
      <c r="F3233" t="inlineStr">
        <is>
          <t>B</t>
        </is>
      </c>
      <c r="G3233" s="34" t="n">
        <v>3066</v>
      </c>
      <c r="H3233" s="34" t="n">
        <v>16134</v>
      </c>
      <c r="I3233" t="inlineStr">
        <is>
          <t>3.6</t>
        </is>
      </c>
      <c r="J3233" t="inlineStr">
        <is>
          <t>Ventas Delivery Apps</t>
        </is>
      </c>
      <c r="K3233" t="inlineStr">
        <is>
          <t>CH3</t>
        </is>
      </c>
    </row>
    <row r="3234">
      <c r="A3234" s="33" t="n">
        <v>45936</v>
      </c>
      <c r="B3234" t="inlineStr">
        <is>
          <t>2025-10</t>
        </is>
      </c>
      <c r="C3234" t="inlineStr">
        <is>
          <t>CATALINA CUEVAS</t>
        </is>
      </c>
      <c r="D3234" t="inlineStr">
        <is>
          <t>Rellenos</t>
        </is>
      </c>
      <c r="E3234" s="34" t="n">
        <v>15120</v>
      </c>
      <c r="F3234" t="inlineStr">
        <is>
          <t>B</t>
        </is>
      </c>
      <c r="G3234" s="34" t="n">
        <v>2414</v>
      </c>
      <c r="H3234" s="34" t="n">
        <v>12706</v>
      </c>
      <c r="I3234" t="inlineStr">
        <is>
          <t>3.2</t>
        </is>
      </c>
      <c r="J3234" t="inlineStr">
        <is>
          <t>Ventas Personas (B2C)</t>
        </is>
      </c>
      <c r="K3234" t="inlineStr">
        <is>
          <t>CH2</t>
        </is>
      </c>
    </row>
    <row r="3235">
      <c r="A3235" s="33" t="n">
        <v>45936</v>
      </c>
      <c r="B3235" t="inlineStr">
        <is>
          <t>2025-10</t>
        </is>
      </c>
      <c r="C3235" t="inlineStr">
        <is>
          <t>Barbara Holz</t>
        </is>
      </c>
      <c r="D3235" t="inlineStr">
        <is>
          <t>CANELÉ TRADICIONAL</t>
        </is>
      </c>
      <c r="E3235" s="34" t="n">
        <v>17520</v>
      </c>
      <c r="F3235" t="inlineStr">
        <is>
          <t>B</t>
        </is>
      </c>
      <c r="G3235" s="34" t="n">
        <v>2797</v>
      </c>
      <c r="H3235" s="34" t="n">
        <v>14723</v>
      </c>
      <c r="I3235" t="inlineStr">
        <is>
          <t>3.2</t>
        </is>
      </c>
      <c r="J3235" t="inlineStr">
        <is>
          <t>Ventas Personas (B2C)</t>
        </is>
      </c>
      <c r="K3235" t="inlineStr">
        <is>
          <t>CH2</t>
        </is>
      </c>
    </row>
    <row r="3236">
      <c r="A3236" s="33" t="n">
        <v>45936</v>
      </c>
      <c r="B3236" t="inlineStr">
        <is>
          <t>2025-10</t>
        </is>
      </c>
      <c r="C3236" t="inlineStr">
        <is>
          <t>Daniel Basso Soto</t>
        </is>
      </c>
      <c r="D3236" t="inlineStr">
        <is>
          <t>Petit Tradicional</t>
        </is>
      </c>
      <c r="E3236" s="34" t="n">
        <v>24710</v>
      </c>
      <c r="F3236" t="inlineStr">
        <is>
          <t>B</t>
        </is>
      </c>
      <c r="G3236" s="34" t="n">
        <v>3945</v>
      </c>
      <c r="H3236" s="34" t="n">
        <v>20765</v>
      </c>
      <c r="I3236" t="inlineStr">
        <is>
          <t>3.2</t>
        </is>
      </c>
      <c r="J3236" t="inlineStr">
        <is>
          <t>Ventas Personas (B2C)</t>
        </is>
      </c>
      <c r="K3236" t="inlineStr">
        <is>
          <t>CH2</t>
        </is>
      </c>
    </row>
    <row r="3237">
      <c r="A3237" s="33" t="n">
        <v>45936</v>
      </c>
      <c r="B3237" t="inlineStr">
        <is>
          <t>2025-10</t>
        </is>
      </c>
      <c r="C3237" t="inlineStr">
        <is>
          <t>Jaime Ben-Dov</t>
        </is>
      </c>
      <c r="D3237" t="inlineStr">
        <is>
          <t>CANELÉ TRADICIONAL</t>
        </is>
      </c>
      <c r="E3237" s="34" t="n">
        <v>21889</v>
      </c>
      <c r="F3237" t="inlineStr">
        <is>
          <t>B</t>
        </is>
      </c>
      <c r="G3237" s="34" t="n">
        <v>3495</v>
      </c>
      <c r="H3237" s="34" t="n">
        <v>18394</v>
      </c>
      <c r="I3237" t="inlineStr">
        <is>
          <t>3.2</t>
        </is>
      </c>
      <c r="J3237" t="inlineStr">
        <is>
          <t>Ventas Personas (B2C)</t>
        </is>
      </c>
      <c r="K3237" t="inlineStr">
        <is>
          <t>CH2</t>
        </is>
      </c>
    </row>
    <row r="3238">
      <c r="A3238" s="33" t="n">
        <v>45937</v>
      </c>
      <c r="B3238" t="inlineStr">
        <is>
          <t>2025-10</t>
        </is>
      </c>
      <c r="C3238" t="inlineStr">
        <is>
          <t>Quintana&amp;Rivera SpA</t>
        </is>
      </c>
      <c r="D3238" t="inlineStr">
        <is>
          <t>HORECA CAFETERIA</t>
        </is>
      </c>
      <c r="E3238" s="34" t="n">
        <v>103950</v>
      </c>
      <c r="F3238" t="inlineStr">
        <is>
          <t>F</t>
        </is>
      </c>
      <c r="G3238" s="34" t="n">
        <v>16597</v>
      </c>
      <c r="H3238" s="34" t="n">
        <v>87353</v>
      </c>
      <c r="I3238" t="inlineStr">
        <is>
          <t>3.1</t>
        </is>
      </c>
      <c r="J3238" t="inlineStr">
        <is>
          <t>Ventas HoReCa</t>
        </is>
      </c>
      <c r="K3238" t="inlineStr">
        <is>
          <t>CH1</t>
        </is>
      </c>
    </row>
    <row r="3239">
      <c r="A3239" s="33" t="n">
        <v>45937</v>
      </c>
      <c r="B3239" t="inlineStr">
        <is>
          <t>2025-10</t>
        </is>
      </c>
      <c r="C3239" t="inlineStr">
        <is>
          <t>CAFETERÍAS MISTER SPA</t>
        </is>
      </c>
      <c r="D3239" t="inlineStr">
        <is>
          <t>HORECA CAFETERIA</t>
        </is>
      </c>
      <c r="E3239" s="34" t="n">
        <v>68179</v>
      </c>
      <c r="F3239" t="inlineStr">
        <is>
          <t>F</t>
        </is>
      </c>
      <c r="G3239" s="34" t="n">
        <v>10886</v>
      </c>
      <c r="H3239" s="34" t="n">
        <v>57293</v>
      </c>
      <c r="I3239" t="inlineStr">
        <is>
          <t>3.1</t>
        </is>
      </c>
      <c r="J3239" t="inlineStr">
        <is>
          <t>Ventas HoReCa</t>
        </is>
      </c>
      <c r="K3239" t="inlineStr">
        <is>
          <t>CH1</t>
        </is>
      </c>
    </row>
    <row r="3240">
      <c r="A3240" s="33" t="n">
        <v>45937</v>
      </c>
      <c r="B3240" t="inlineStr">
        <is>
          <t>2025-10</t>
        </is>
      </c>
      <c r="C3240" t="inlineStr">
        <is>
          <t>BUSTORF LARSEN Y COMPANIA LIMITADA</t>
        </is>
      </c>
      <c r="D3240" t="inlineStr">
        <is>
          <t>HORECA CAFETERIA</t>
        </is>
      </c>
      <c r="E3240" s="34" t="n">
        <v>69178</v>
      </c>
      <c r="F3240" t="inlineStr">
        <is>
          <t>F</t>
        </is>
      </c>
      <c r="G3240" s="34" t="n">
        <v>11045</v>
      </c>
      <c r="H3240" s="34" t="n">
        <v>58133</v>
      </c>
      <c r="I3240" t="inlineStr">
        <is>
          <t>3.1</t>
        </is>
      </c>
      <c r="J3240" t="inlineStr">
        <is>
          <t>Ventas HoReCa</t>
        </is>
      </c>
      <c r="K3240" t="inlineStr">
        <is>
          <t>CH1</t>
        </is>
      </c>
    </row>
    <row r="3241">
      <c r="A3241" s="33" t="n">
        <v>45937</v>
      </c>
      <c r="B3241" t="inlineStr">
        <is>
          <t>2025-10</t>
        </is>
      </c>
      <c r="C3241" t="inlineStr">
        <is>
          <t>BUSTORF LARSEN Y COMPANIA LIMITADA</t>
        </is>
      </c>
      <c r="D3241" t="inlineStr">
        <is>
          <t>HORECA CAFETERIA</t>
        </is>
      </c>
      <c r="E3241" s="34" t="n">
        <v>69178</v>
      </c>
      <c r="F3241" t="inlineStr">
        <is>
          <t>F</t>
        </is>
      </c>
      <c r="G3241" s="34" t="n">
        <v>11045</v>
      </c>
      <c r="H3241" s="34" t="n">
        <v>58133</v>
      </c>
      <c r="I3241" t="inlineStr">
        <is>
          <t>3.1</t>
        </is>
      </c>
      <c r="J3241" t="inlineStr">
        <is>
          <t>Ventas HoReCa</t>
        </is>
      </c>
      <c r="K3241" t="inlineStr">
        <is>
          <t>CH1</t>
        </is>
      </c>
    </row>
    <row r="3242">
      <c r="A3242" s="33" t="n">
        <v>45937</v>
      </c>
      <c r="B3242" t="inlineStr">
        <is>
          <t>2025-10</t>
        </is>
      </c>
      <c r="C3242" t="inlineStr">
        <is>
          <t>Douglas Guetat</t>
        </is>
      </c>
      <c r="D3242" t="inlineStr">
        <is>
          <t>CANELÉ TRADICIONAL</t>
        </is>
      </c>
      <c r="E3242" s="34" t="n">
        <v>35320</v>
      </c>
      <c r="F3242" t="inlineStr">
        <is>
          <t>B</t>
        </is>
      </c>
      <c r="G3242" s="34" t="n">
        <v>5639</v>
      </c>
      <c r="H3242" s="34" t="n">
        <v>29681</v>
      </c>
      <c r="I3242" t="inlineStr">
        <is>
          <t>3.2</t>
        </is>
      </c>
      <c r="J3242" t="inlineStr">
        <is>
          <t>Ventas Personas (B2C)</t>
        </is>
      </c>
      <c r="K3242" t="inlineStr">
        <is>
          <t>CH2</t>
        </is>
      </c>
    </row>
    <row r="3243">
      <c r="A3243" s="33" t="n">
        <v>45937</v>
      </c>
      <c r="B3243" t="inlineStr">
        <is>
          <t>2025-10</t>
        </is>
      </c>
      <c r="C3243" t="inlineStr">
        <is>
          <t>Okinawa Spa</t>
        </is>
      </c>
      <c r="D3243" t="inlineStr">
        <is>
          <t>HORECA CAFETERIA</t>
        </is>
      </c>
      <c r="E3243" s="34" t="n">
        <v>100273</v>
      </c>
      <c r="F3243" t="inlineStr">
        <is>
          <t>F</t>
        </is>
      </c>
      <c r="G3243" s="34" t="n">
        <v>16010</v>
      </c>
      <c r="H3243" s="34" t="n">
        <v>84263</v>
      </c>
      <c r="I3243" t="inlineStr">
        <is>
          <t>3.1</t>
        </is>
      </c>
      <c r="J3243" t="inlineStr">
        <is>
          <t>Ventas HoReCa</t>
        </is>
      </c>
      <c r="K3243" t="inlineStr">
        <is>
          <t>CH1</t>
        </is>
      </c>
    </row>
    <row r="3244">
      <c r="A3244" s="33" t="n">
        <v>45937</v>
      </c>
      <c r="B3244" t="inlineStr">
        <is>
          <t>2025-10</t>
        </is>
      </c>
      <c r="C3244" t="inlineStr">
        <is>
          <t>Abdala Manzur</t>
        </is>
      </c>
      <c r="D3244" t="inlineStr">
        <is>
          <t>Petit Tradicional</t>
        </is>
      </c>
      <c r="E3244" s="34" t="n">
        <v>20709</v>
      </c>
      <c r="F3244" t="inlineStr">
        <is>
          <t>B</t>
        </is>
      </c>
      <c r="G3244" s="34" t="n">
        <v>3306</v>
      </c>
      <c r="H3244" s="34" t="n">
        <v>17403</v>
      </c>
      <c r="I3244" t="inlineStr">
        <is>
          <t>3.2</t>
        </is>
      </c>
      <c r="J3244" t="inlineStr">
        <is>
          <t>Ventas Personas (B2C)</t>
        </is>
      </c>
      <c r="K3244" t="inlineStr">
        <is>
          <t>CH2</t>
        </is>
      </c>
    </row>
    <row r="3245">
      <c r="A3245" s="33" t="n">
        <v>45937</v>
      </c>
      <c r="B3245" t="inlineStr">
        <is>
          <t>2025-10</t>
        </is>
      </c>
      <c r="C3245" t="inlineStr">
        <is>
          <t>Sofía Liu</t>
        </is>
      </c>
      <c r="D3245" t="inlineStr">
        <is>
          <t>Petit Crunchy</t>
        </is>
      </c>
      <c r="E3245" s="34" t="n">
        <v>20720</v>
      </c>
      <c r="F3245" t="inlineStr">
        <is>
          <t>B</t>
        </is>
      </c>
      <c r="G3245" s="34" t="n">
        <v>3308</v>
      </c>
      <c r="H3245" s="34" t="n">
        <v>17412</v>
      </c>
      <c r="I3245" t="inlineStr">
        <is>
          <t>3.2</t>
        </is>
      </c>
      <c r="J3245" t="inlineStr">
        <is>
          <t>Ventas Personas (B2C)</t>
        </is>
      </c>
      <c r="K3245" t="inlineStr">
        <is>
          <t>CH2</t>
        </is>
      </c>
    </row>
    <row r="3246">
      <c r="A3246" s="33" t="n">
        <v>45937</v>
      </c>
      <c r="B3246" t="inlineStr">
        <is>
          <t>2025-10</t>
        </is>
      </c>
      <c r="C3246" t="inlineStr">
        <is>
          <t>BOCCADOS SPA</t>
        </is>
      </c>
      <c r="D3246" t="inlineStr">
        <is>
          <t>Petit Crunchy</t>
        </is>
      </c>
      <c r="E3246" s="34" t="n">
        <v>34900</v>
      </c>
      <c r="F3246" t="inlineStr">
        <is>
          <t>F</t>
        </is>
      </c>
      <c r="G3246" s="34" t="n">
        <v>5572</v>
      </c>
      <c r="H3246" s="34" t="n">
        <v>29328</v>
      </c>
      <c r="I3246" t="inlineStr">
        <is>
          <t>3.1</t>
        </is>
      </c>
      <c r="J3246" t="inlineStr">
        <is>
          <t>Ventas HoReCa</t>
        </is>
      </c>
      <c r="K3246" t="inlineStr">
        <is>
          <t>CH1</t>
        </is>
      </c>
    </row>
    <row r="3247">
      <c r="A3247" s="33" t="n">
        <v>45937</v>
      </c>
      <c r="B3247" t="inlineStr">
        <is>
          <t>2025-10</t>
        </is>
      </c>
      <c r="C3247" t="inlineStr">
        <is>
          <t>Nicole Boettcher</t>
        </is>
      </c>
      <c r="D3247" t="inlineStr">
        <is>
          <t>Rellenos</t>
        </is>
      </c>
      <c r="E3247" s="34" t="n">
        <v>55540</v>
      </c>
      <c r="F3247" t="inlineStr">
        <is>
          <t>B</t>
        </is>
      </c>
      <c r="G3247" s="34" t="n">
        <v>8868</v>
      </c>
      <c r="H3247" s="34" t="n">
        <v>46672</v>
      </c>
      <c r="I3247" t="inlineStr">
        <is>
          <t>3.2</t>
        </is>
      </c>
      <c r="J3247" t="inlineStr">
        <is>
          <t>Ventas Personas (B2C)</t>
        </is>
      </c>
      <c r="K3247" t="inlineStr">
        <is>
          <t>CH2</t>
        </is>
      </c>
    </row>
    <row r="3248">
      <c r="A3248" s="33" t="n">
        <v>45937</v>
      </c>
      <c r="B3248" t="inlineStr">
        <is>
          <t>2025-10</t>
        </is>
      </c>
      <c r="C3248" t="inlineStr">
        <is>
          <t>BOCCADOS SPA</t>
        </is>
      </c>
      <c r="D3248" t="inlineStr">
        <is>
          <t>REGION METROPOLITANA</t>
        </is>
      </c>
      <c r="E3248" s="34" t="n">
        <v>3990</v>
      </c>
      <c r="F3248" t="inlineStr">
        <is>
          <t>F</t>
        </is>
      </c>
      <c r="G3248" s="34" t="n">
        <v>637</v>
      </c>
      <c r="H3248" s="34" t="n">
        <v>3353</v>
      </c>
      <c r="I3248" t="inlineStr">
        <is>
          <t>3.1</t>
        </is>
      </c>
      <c r="J3248" t="inlineStr">
        <is>
          <t>Ventas HoReCa</t>
        </is>
      </c>
      <c r="K3248" t="inlineStr">
        <is>
          <t>CH1</t>
        </is>
      </c>
    </row>
    <row r="3249">
      <c r="A3249" s="33" t="n">
        <v>45937</v>
      </c>
      <c r="B3249" t="inlineStr">
        <is>
          <t>2025-10</t>
        </is>
      </c>
      <c r="C3249" t="inlineStr">
        <is>
          <t>Andrea Godoy</t>
        </is>
      </c>
      <c r="D3249" t="inlineStr">
        <is>
          <t>CANELÉ TRADICIONAL</t>
        </is>
      </c>
      <c r="E3249" s="34" t="n">
        <v>51000</v>
      </c>
      <c r="F3249" t="inlineStr">
        <is>
          <t>B</t>
        </is>
      </c>
      <c r="G3249" s="34" t="n">
        <v>8143</v>
      </c>
      <c r="H3249" s="34" t="n">
        <v>42857</v>
      </c>
      <c r="I3249" t="inlineStr">
        <is>
          <t>3.2</t>
        </is>
      </c>
      <c r="J3249" t="inlineStr">
        <is>
          <t>Ventas Personas (B2C)</t>
        </is>
      </c>
      <c r="K3249" t="inlineStr">
        <is>
          <t>CH2</t>
        </is>
      </c>
    </row>
    <row r="3250">
      <c r="A3250" s="33" t="n">
        <v>45937</v>
      </c>
      <c r="B3250" t="inlineStr">
        <is>
          <t>2025-10</t>
        </is>
      </c>
      <c r="C3250" t="inlineStr">
        <is>
          <t>Sin cliente</t>
        </is>
      </c>
      <c r="D3250" t="inlineStr">
        <is>
          <t>PLATAFORMAS RAP-PEYA-UBER-GOOD</t>
        </is>
      </c>
      <c r="E3250" s="34" t="n">
        <v>15480</v>
      </c>
      <c r="F3250" t="inlineStr">
        <is>
          <t>B</t>
        </is>
      </c>
      <c r="G3250" s="34" t="n">
        <v>2472</v>
      </c>
      <c r="H3250" s="34" t="n">
        <v>13008</v>
      </c>
      <c r="I3250" t="inlineStr">
        <is>
          <t>3.6</t>
        </is>
      </c>
      <c r="J3250" t="inlineStr">
        <is>
          <t>Ventas Delivery Apps</t>
        </is>
      </c>
      <c r="K3250" t="inlineStr">
        <is>
          <t>CH3</t>
        </is>
      </c>
    </row>
    <row r="3251">
      <c r="A3251" s="33" t="n">
        <v>45938</v>
      </c>
      <c r="B3251" t="inlineStr">
        <is>
          <t>2025-10</t>
        </is>
      </c>
      <c r="C3251" t="inlineStr">
        <is>
          <t>the capital coffee spa</t>
        </is>
      </c>
      <c r="D3251" t="inlineStr">
        <is>
          <t>HORECA CAFETERIA</t>
        </is>
      </c>
      <c r="E3251" s="34" t="n">
        <v>235069</v>
      </c>
      <c r="F3251" t="inlineStr">
        <is>
          <t>F</t>
        </is>
      </c>
      <c r="G3251" s="34" t="n">
        <v>37532</v>
      </c>
      <c r="H3251" s="34" t="n">
        <v>197537</v>
      </c>
      <c r="I3251" t="inlineStr">
        <is>
          <t>3.1</t>
        </is>
      </c>
      <c r="J3251" t="inlineStr">
        <is>
          <t>Ventas HoReCa</t>
        </is>
      </c>
      <c r="K3251" t="inlineStr">
        <is>
          <t>CH1</t>
        </is>
      </c>
    </row>
    <row r="3252">
      <c r="A3252" s="33" t="n">
        <v>45938</v>
      </c>
      <c r="B3252" t="inlineStr">
        <is>
          <t>2025-10</t>
        </is>
      </c>
      <c r="C3252" t="inlineStr">
        <is>
          <t>BLUE OAK COFFE SPA</t>
        </is>
      </c>
      <c r="D3252" t="inlineStr">
        <is>
          <t>HORECA CAFETERIA</t>
        </is>
      </c>
      <c r="E3252" s="34" t="n">
        <v>100273</v>
      </c>
      <c r="F3252" t="inlineStr">
        <is>
          <t>F</t>
        </is>
      </c>
      <c r="G3252" s="34" t="n">
        <v>16010</v>
      </c>
      <c r="H3252" s="34" t="n">
        <v>84263</v>
      </c>
      <c r="I3252" t="inlineStr">
        <is>
          <t>3.1</t>
        </is>
      </c>
      <c r="J3252" t="inlineStr">
        <is>
          <t>Ventas HoReCa</t>
        </is>
      </c>
      <c r="K3252" t="inlineStr">
        <is>
          <t>CH1</t>
        </is>
      </c>
    </row>
    <row r="3253">
      <c r="A3253" s="33" t="n">
        <v>45938</v>
      </c>
      <c r="B3253" t="inlineStr">
        <is>
          <t>2025-10</t>
        </is>
      </c>
      <c r="C3253" t="inlineStr">
        <is>
          <t>Inversiones Nagua SPA</t>
        </is>
      </c>
      <c r="D3253" t="inlineStr">
        <is>
          <t>HORECA CAFETERIA</t>
        </is>
      </c>
      <c r="E3253" s="34" t="n">
        <v>68179</v>
      </c>
      <c r="F3253" t="inlineStr">
        <is>
          <t>F</t>
        </is>
      </c>
      <c r="G3253" s="34" t="n">
        <v>10886</v>
      </c>
      <c r="H3253" s="34" t="n">
        <v>57293</v>
      </c>
      <c r="I3253" t="inlineStr">
        <is>
          <t>3.1</t>
        </is>
      </c>
      <c r="J3253" t="inlineStr">
        <is>
          <t>Ventas HoReCa</t>
        </is>
      </c>
      <c r="K3253" t="inlineStr">
        <is>
          <t>CH1</t>
        </is>
      </c>
    </row>
    <row r="3254">
      <c r="A3254" s="33" t="n">
        <v>45938</v>
      </c>
      <c r="B3254" t="inlineStr">
        <is>
          <t>2025-10</t>
        </is>
      </c>
      <c r="C3254" t="inlineStr">
        <is>
          <t>Cristobal Schirmer</t>
        </is>
      </c>
      <c r="D3254" t="inlineStr">
        <is>
          <t>Rellenos</t>
        </is>
      </c>
      <c r="E3254" s="34" t="n">
        <v>33889</v>
      </c>
      <c r="F3254" t="inlineStr">
        <is>
          <t>B</t>
        </is>
      </c>
      <c r="G3254" s="34" t="n">
        <v>5411</v>
      </c>
      <c r="H3254" s="34" t="n">
        <v>28478</v>
      </c>
      <c r="I3254" t="inlineStr">
        <is>
          <t>3.2</t>
        </is>
      </c>
      <c r="J3254" t="inlineStr">
        <is>
          <t>Ventas Personas (B2C)</t>
        </is>
      </c>
      <c r="K3254" t="inlineStr">
        <is>
          <t>CH2</t>
        </is>
      </c>
    </row>
    <row r="3255">
      <c r="A3255" s="33" t="n">
        <v>45938</v>
      </c>
      <c r="B3255" t="inlineStr">
        <is>
          <t>2025-10</t>
        </is>
      </c>
      <c r="C3255" t="inlineStr">
        <is>
          <t>Genny Asfura</t>
        </is>
      </c>
      <c r="D3255" t="inlineStr">
        <is>
          <t>Rellenos</t>
        </is>
      </c>
      <c r="E3255" s="34" t="n">
        <v>23629</v>
      </c>
      <c r="F3255" t="inlineStr">
        <is>
          <t>B</t>
        </is>
      </c>
      <c r="G3255" s="34" t="n">
        <v>3773</v>
      </c>
      <c r="H3255" s="34" t="n">
        <v>19856</v>
      </c>
      <c r="I3255" t="inlineStr">
        <is>
          <t>3.2</t>
        </is>
      </c>
      <c r="J3255" t="inlineStr">
        <is>
          <t>Ventas Personas (B2C)</t>
        </is>
      </c>
      <c r="K3255" t="inlineStr">
        <is>
          <t>CH2</t>
        </is>
      </c>
    </row>
    <row r="3256">
      <c r="A3256" s="33" t="n">
        <v>45938</v>
      </c>
      <c r="B3256" t="inlineStr">
        <is>
          <t>2025-10</t>
        </is>
      </c>
      <c r="C3256" t="inlineStr">
        <is>
          <t>Sociedad de inversiones solari y acuña spa</t>
        </is>
      </c>
      <c r="D3256" t="inlineStr">
        <is>
          <t>HORECA CAFETERIA</t>
        </is>
      </c>
      <c r="E3256" s="34" t="n">
        <v>68179</v>
      </c>
      <c r="F3256" t="inlineStr">
        <is>
          <t>F</t>
        </is>
      </c>
      <c r="G3256" s="34" t="n">
        <v>10886</v>
      </c>
      <c r="H3256" s="34" t="n">
        <v>57293</v>
      </c>
      <c r="I3256" t="inlineStr">
        <is>
          <t>3.1</t>
        </is>
      </c>
      <c r="J3256" t="inlineStr">
        <is>
          <t>Ventas HoReCa</t>
        </is>
      </c>
      <c r="K3256" t="inlineStr">
        <is>
          <t>CH1</t>
        </is>
      </c>
    </row>
    <row r="3257">
      <c r="A3257" s="33" t="n">
        <v>45938</v>
      </c>
      <c r="B3257" t="inlineStr">
        <is>
          <t>2025-10</t>
        </is>
      </c>
      <c r="C3257" t="inlineStr">
        <is>
          <t>Sociedad de inversiones solari y acuña spa</t>
        </is>
      </c>
      <c r="D3257" t="inlineStr">
        <is>
          <t>HORECA CAFETERIA</t>
        </is>
      </c>
      <c r="E3257" s="34" t="n">
        <v>68179</v>
      </c>
      <c r="F3257" t="inlineStr">
        <is>
          <t>F</t>
        </is>
      </c>
      <c r="G3257" s="34" t="n">
        <v>10886</v>
      </c>
      <c r="H3257" s="34" t="n">
        <v>57293</v>
      </c>
      <c r="I3257" t="inlineStr">
        <is>
          <t>3.1</t>
        </is>
      </c>
      <c r="J3257" t="inlineStr">
        <is>
          <t>Ventas HoReCa</t>
        </is>
      </c>
      <c r="K3257" t="inlineStr">
        <is>
          <t>CH1</t>
        </is>
      </c>
    </row>
    <row r="3258">
      <c r="A3258" s="33" t="n">
        <v>45938</v>
      </c>
      <c r="B3258" t="inlineStr">
        <is>
          <t>2025-10</t>
        </is>
      </c>
      <c r="C3258" t="inlineStr">
        <is>
          <t>Raul Gonzalez Alameda</t>
        </is>
      </c>
      <c r="D3258" t="inlineStr">
        <is>
          <t>CANELÉ TRADICIONAL</t>
        </is>
      </c>
      <c r="E3258" s="34" t="n">
        <v>14892</v>
      </c>
      <c r="F3258" t="inlineStr">
        <is>
          <t>B</t>
        </is>
      </c>
      <c r="G3258" s="34" t="n">
        <v>2378</v>
      </c>
      <c r="H3258" s="34" t="n">
        <v>12514</v>
      </c>
      <c r="I3258" t="inlineStr">
        <is>
          <t>3.2</t>
        </is>
      </c>
      <c r="J3258" t="inlineStr">
        <is>
          <t>Ventas Personas (B2C)</t>
        </is>
      </c>
      <c r="K3258" t="inlineStr">
        <is>
          <t>CH2</t>
        </is>
      </c>
    </row>
    <row r="3259">
      <c r="A3259" s="33" t="n">
        <v>45938</v>
      </c>
      <c r="B3259" t="inlineStr">
        <is>
          <t>2025-10</t>
        </is>
      </c>
      <c r="C3259" t="inlineStr">
        <is>
          <t>Alberto Angulo Figueroa</t>
        </is>
      </c>
      <c r="D3259" t="inlineStr">
        <is>
          <t>CANELÉ TRADICIONAL</t>
        </is>
      </c>
      <c r="E3259" s="34" t="n">
        <v>22890</v>
      </c>
      <c r="F3259" t="inlineStr">
        <is>
          <t>B</t>
        </is>
      </c>
      <c r="G3259" s="34" t="n">
        <v>3655</v>
      </c>
      <c r="H3259" s="34" t="n">
        <v>19235</v>
      </c>
      <c r="I3259" t="inlineStr">
        <is>
          <t>3.2</t>
        </is>
      </c>
      <c r="J3259" t="inlineStr">
        <is>
          <t>Ventas Personas (B2C)</t>
        </is>
      </c>
      <c r="K3259" t="inlineStr">
        <is>
          <t>CH2</t>
        </is>
      </c>
    </row>
    <row r="3260">
      <c r="A3260" s="33" t="n">
        <v>45938</v>
      </c>
      <c r="B3260" t="inlineStr">
        <is>
          <t>2025-10</t>
        </is>
      </c>
      <c r="C3260" t="inlineStr">
        <is>
          <t>Comercializadora H y M Ltda</t>
        </is>
      </c>
      <c r="D3260" t="inlineStr">
        <is>
          <t>HORECA CAFETERIA</t>
        </is>
      </c>
      <c r="E3260" s="34" t="n">
        <v>268395</v>
      </c>
      <c r="F3260" t="inlineStr">
        <is>
          <t>F</t>
        </is>
      </c>
      <c r="G3260" s="34" t="n">
        <v>42853</v>
      </c>
      <c r="H3260" s="34" t="n">
        <v>225542</v>
      </c>
      <c r="I3260" t="inlineStr">
        <is>
          <t>3.1</t>
        </is>
      </c>
      <c r="J3260" t="inlineStr">
        <is>
          <t>Ventas HoReCa</t>
        </is>
      </c>
      <c r="K3260" t="inlineStr">
        <is>
          <t>CH1</t>
        </is>
      </c>
    </row>
    <row r="3261">
      <c r="A3261" s="33" t="n">
        <v>45938</v>
      </c>
      <c r="B3261" t="inlineStr">
        <is>
          <t>2025-10</t>
        </is>
      </c>
      <c r="C3261" t="inlineStr">
        <is>
          <t>ESTUDIO DE PILATES MARIA ANGELICA LAMARCA ROSS EIR</t>
        </is>
      </c>
      <c r="D3261" t="inlineStr">
        <is>
          <t>Petit Tradicional</t>
        </is>
      </c>
      <c r="E3261" s="34" t="n">
        <v>-115000</v>
      </c>
      <c r="F3261" t="inlineStr">
        <is>
          <t>NC</t>
        </is>
      </c>
      <c r="G3261" s="34" t="n">
        <v>-18361</v>
      </c>
      <c r="H3261" s="34" t="n">
        <v>-96639</v>
      </c>
      <c r="I3261" t="inlineStr">
        <is>
          <t>3.1</t>
        </is>
      </c>
      <c r="J3261" t="inlineStr">
        <is>
          <t>Ventas HoReCa</t>
        </is>
      </c>
      <c r="K3261" t="inlineStr">
        <is>
          <t>CH1</t>
        </is>
      </c>
    </row>
    <row r="3262">
      <c r="A3262" s="33" t="n">
        <v>45938</v>
      </c>
      <c r="B3262" t="inlineStr">
        <is>
          <t>2025-10</t>
        </is>
      </c>
      <c r="C3262" t="inlineStr">
        <is>
          <t>ESTUDIO DE PILATES MARIA ANGELICA LAMARCA ROSS EIR</t>
        </is>
      </c>
      <c r="D3262" t="inlineStr">
        <is>
          <t>Rellenos</t>
        </is>
      </c>
      <c r="E3262" s="34" t="n">
        <v>85710</v>
      </c>
      <c r="F3262" t="inlineStr">
        <is>
          <t>F</t>
        </is>
      </c>
      <c r="G3262" s="34" t="n">
        <v>13685</v>
      </c>
      <c r="H3262" s="34" t="n">
        <v>72025</v>
      </c>
      <c r="I3262" t="inlineStr">
        <is>
          <t>3.1</t>
        </is>
      </c>
      <c r="J3262" t="inlineStr">
        <is>
          <t>Ventas HoReCa</t>
        </is>
      </c>
      <c r="K3262" t="inlineStr">
        <is>
          <t>CH1</t>
        </is>
      </c>
    </row>
    <row r="3263">
      <c r="A3263" s="33" t="n">
        <v>45938</v>
      </c>
      <c r="B3263" t="inlineStr">
        <is>
          <t>2025-10</t>
        </is>
      </c>
      <c r="C3263" t="inlineStr">
        <is>
          <t>Clark Veloso Valenzuela</t>
        </is>
      </c>
      <c r="D3263" t="inlineStr">
        <is>
          <t>HORECA CAFETERIA</t>
        </is>
      </c>
      <c r="E3263" s="34" t="n">
        <v>101273</v>
      </c>
      <c r="F3263" t="inlineStr">
        <is>
          <t>F</t>
        </is>
      </c>
      <c r="G3263" s="34" t="n">
        <v>16170</v>
      </c>
      <c r="H3263" s="34" t="n">
        <v>85103</v>
      </c>
      <c r="I3263" t="inlineStr">
        <is>
          <t>3.1</t>
        </is>
      </c>
      <c r="J3263" t="inlineStr">
        <is>
          <t>Ventas HoReCa</t>
        </is>
      </c>
      <c r="K3263" t="inlineStr">
        <is>
          <t>CH1</t>
        </is>
      </c>
    </row>
    <row r="3264">
      <c r="A3264" s="33" t="n">
        <v>45938</v>
      </c>
      <c r="B3264" t="inlineStr">
        <is>
          <t>2025-10</t>
        </is>
      </c>
      <c r="C3264" t="inlineStr">
        <is>
          <t>Isabel Schild</t>
        </is>
      </c>
      <c r="D3264" t="inlineStr">
        <is>
          <t>Petit Tradicional</t>
        </is>
      </c>
      <c r="E3264" s="34" t="n">
        <v>37229</v>
      </c>
      <c r="F3264" t="inlineStr">
        <is>
          <t>B</t>
        </is>
      </c>
      <c r="G3264" s="34" t="n">
        <v>5944</v>
      </c>
      <c r="H3264" s="34" t="n">
        <v>31285</v>
      </c>
      <c r="I3264" t="inlineStr">
        <is>
          <t>3.2</t>
        </is>
      </c>
      <c r="J3264" t="inlineStr">
        <is>
          <t>Ventas Personas (B2C)</t>
        </is>
      </c>
      <c r="K3264" t="inlineStr">
        <is>
          <t>CH2</t>
        </is>
      </c>
    </row>
    <row r="3265">
      <c r="A3265" s="33" t="n">
        <v>45938</v>
      </c>
      <c r="B3265" t="inlineStr">
        <is>
          <t>2025-10</t>
        </is>
      </c>
      <c r="C3265" t="inlineStr">
        <is>
          <t>Sin cliente</t>
        </is>
      </c>
      <c r="D3265" t="inlineStr">
        <is>
          <t>CANELÉ TRADICIONAL</t>
        </is>
      </c>
      <c r="E3265" s="34" t="n">
        <v>14900</v>
      </c>
      <c r="F3265" t="inlineStr">
        <is>
          <t>B</t>
        </is>
      </c>
      <c r="G3265" s="34" t="n">
        <v>2379</v>
      </c>
      <c r="H3265" s="34" t="n">
        <v>12521</v>
      </c>
      <c r="I3265" t="inlineStr">
        <is>
          <t>3.2</t>
        </is>
      </c>
      <c r="J3265" t="inlineStr">
        <is>
          <t>Ventas Personas (B2C)</t>
        </is>
      </c>
      <c r="K3265" t="inlineStr">
        <is>
          <t>CH2</t>
        </is>
      </c>
    </row>
    <row r="3266">
      <c r="A3266" s="33" t="n">
        <v>45938</v>
      </c>
      <c r="B3266" t="inlineStr">
        <is>
          <t>2025-10</t>
        </is>
      </c>
      <c r="C3266" t="inlineStr">
        <is>
          <t>Sin cliente</t>
        </is>
      </c>
      <c r="D3266" t="inlineStr">
        <is>
          <t>PLATAFORMAS RAP-PEYA-UBER-GOOD</t>
        </is>
      </c>
      <c r="E3266" s="34" t="n">
        <v>16140</v>
      </c>
      <c r="F3266" t="inlineStr">
        <is>
          <t>B</t>
        </is>
      </c>
      <c r="G3266" s="34" t="n">
        <v>2577</v>
      </c>
      <c r="H3266" s="34" t="n">
        <v>13563</v>
      </c>
      <c r="I3266" t="inlineStr">
        <is>
          <t>3.6</t>
        </is>
      </c>
      <c r="J3266" t="inlineStr">
        <is>
          <t>Ventas Delivery Apps</t>
        </is>
      </c>
      <c r="K3266" t="inlineStr">
        <is>
          <t>CH3</t>
        </is>
      </c>
    </row>
    <row r="3267">
      <c r="A3267" s="33" t="n">
        <v>45938</v>
      </c>
      <c r="B3267" t="inlineStr">
        <is>
          <t>2025-10</t>
        </is>
      </c>
      <c r="C3267" t="inlineStr">
        <is>
          <t>Sin cliente</t>
        </is>
      </c>
      <c r="D3267" t="inlineStr">
        <is>
          <t>Petit Crunchy</t>
        </is>
      </c>
      <c r="E3267" s="34" t="n">
        <v>12950</v>
      </c>
      <c r="F3267" t="inlineStr">
        <is>
          <t>B</t>
        </is>
      </c>
      <c r="G3267" s="34" t="n">
        <v>2068</v>
      </c>
      <c r="H3267" s="34" t="n">
        <v>10882</v>
      </c>
      <c r="I3267" t="inlineStr">
        <is>
          <t>3.2</t>
        </is>
      </c>
      <c r="J3267" t="inlineStr">
        <is>
          <t>Ventas Personas (B2C)</t>
        </is>
      </c>
      <c r="K3267" t="inlineStr">
        <is>
          <t>CH2</t>
        </is>
      </c>
    </row>
    <row r="3268">
      <c r="A3268" s="33" t="n">
        <v>45938</v>
      </c>
      <c r="B3268" t="inlineStr">
        <is>
          <t>2025-10</t>
        </is>
      </c>
      <c r="C3268" t="inlineStr">
        <is>
          <t>Sin cliente</t>
        </is>
      </c>
      <c r="D3268" t="inlineStr">
        <is>
          <t>Rellenos</t>
        </is>
      </c>
      <c r="E3268" s="34" t="n">
        <v>18800</v>
      </c>
      <c r="F3268" t="inlineStr">
        <is>
          <t>B</t>
        </is>
      </c>
      <c r="G3268" s="34" t="n">
        <v>3002</v>
      </c>
      <c r="H3268" s="34" t="n">
        <v>15798</v>
      </c>
      <c r="I3268" t="inlineStr">
        <is>
          <t>3.2</t>
        </is>
      </c>
      <c r="J3268" t="inlineStr">
        <is>
          <t>Ventas Personas (B2C)</t>
        </is>
      </c>
      <c r="K3268" t="inlineStr">
        <is>
          <t>CH2</t>
        </is>
      </c>
    </row>
    <row r="3269">
      <c r="A3269" s="33" t="n">
        <v>45938</v>
      </c>
      <c r="B3269" t="inlineStr">
        <is>
          <t>2025-10</t>
        </is>
      </c>
      <c r="C3269" t="inlineStr">
        <is>
          <t>Sin cliente</t>
        </is>
      </c>
      <c r="D3269" t="inlineStr">
        <is>
          <t>SALSAS</t>
        </is>
      </c>
      <c r="E3269" s="34" t="n">
        <v>6990</v>
      </c>
      <c r="F3269" t="inlineStr">
        <is>
          <t>B</t>
        </is>
      </c>
      <c r="G3269" s="34" t="n">
        <v>1116</v>
      </c>
      <c r="H3269" s="34" t="n">
        <v>5874</v>
      </c>
      <c r="I3269" t="inlineStr">
        <is>
          <t>3.2</t>
        </is>
      </c>
      <c r="J3269" t="inlineStr">
        <is>
          <t>Ventas Personas (B2C)</t>
        </is>
      </c>
      <c r="K3269" t="inlineStr">
        <is>
          <t>CH2</t>
        </is>
      </c>
    </row>
    <row r="3270">
      <c r="A3270" s="33" t="n">
        <v>45938</v>
      </c>
      <c r="B3270" t="inlineStr">
        <is>
          <t>2025-10</t>
        </is>
      </c>
      <c r="C3270" t="inlineStr">
        <is>
          <t>Florencia Silva Rivera</t>
        </is>
      </c>
      <c r="D3270" t="inlineStr">
        <is>
          <t>CANELÉ TRADICIONAL</t>
        </is>
      </c>
      <c r="E3270" s="34" t="n">
        <v>21509</v>
      </c>
      <c r="F3270" t="inlineStr">
        <is>
          <t>B</t>
        </is>
      </c>
      <c r="G3270" s="34" t="n">
        <v>3434</v>
      </c>
      <c r="H3270" s="34" t="n">
        <v>18075</v>
      </c>
      <c r="I3270" t="inlineStr">
        <is>
          <t>3.2</t>
        </is>
      </c>
      <c r="J3270" t="inlineStr">
        <is>
          <t>Ventas Personas (B2C)</t>
        </is>
      </c>
      <c r="K3270" t="inlineStr">
        <is>
          <t>CH2</t>
        </is>
      </c>
    </row>
    <row r="3271">
      <c r="A3271" s="33" t="n">
        <v>45938</v>
      </c>
      <c r="B3271" t="inlineStr">
        <is>
          <t>2025-10</t>
        </is>
      </c>
      <c r="C3271" t="inlineStr">
        <is>
          <t>Daniel Flores</t>
        </is>
      </c>
      <c r="D3271" t="inlineStr">
        <is>
          <t>Rellenos</t>
        </is>
      </c>
      <c r="E3271" s="34" t="n">
        <v>24629</v>
      </c>
      <c r="F3271" t="inlineStr">
        <is>
          <t>B</t>
        </is>
      </c>
      <c r="G3271" s="34" t="n">
        <v>3932</v>
      </c>
      <c r="H3271" s="34" t="n">
        <v>20697</v>
      </c>
      <c r="I3271" t="inlineStr">
        <is>
          <t>3.2</t>
        </is>
      </c>
      <c r="J3271" t="inlineStr">
        <is>
          <t>Ventas Personas (B2C)</t>
        </is>
      </c>
      <c r="K3271" t="inlineStr">
        <is>
          <t>CH2</t>
        </is>
      </c>
    </row>
    <row r="3272">
      <c r="A3272" s="33" t="n">
        <v>45939</v>
      </c>
      <c r="B3272" t="inlineStr">
        <is>
          <t>2025-10</t>
        </is>
      </c>
      <c r="C3272" t="inlineStr">
        <is>
          <t>CAFÉ UNDER SPA</t>
        </is>
      </c>
      <c r="D3272" t="inlineStr">
        <is>
          <t>HORECA CAFETERIA</t>
        </is>
      </c>
      <c r="E3272" s="34" t="n">
        <v>68179</v>
      </c>
      <c r="F3272" t="inlineStr">
        <is>
          <t>F</t>
        </is>
      </c>
      <c r="G3272" s="34" t="n">
        <v>10886</v>
      </c>
      <c r="H3272" s="34" t="n">
        <v>57293</v>
      </c>
      <c r="I3272" t="inlineStr">
        <is>
          <t>3.1</t>
        </is>
      </c>
      <c r="J3272" t="inlineStr">
        <is>
          <t>Ventas HoReCa</t>
        </is>
      </c>
      <c r="K3272" t="inlineStr">
        <is>
          <t>CH1</t>
        </is>
      </c>
    </row>
    <row r="3273">
      <c r="A3273" s="33" t="n">
        <v>45939</v>
      </c>
      <c r="B3273" t="inlineStr">
        <is>
          <t>2025-10</t>
        </is>
      </c>
      <c r="C3273" t="inlineStr">
        <is>
          <t>CAFE DIARIO ENCOMENDEROS SPA</t>
        </is>
      </c>
      <c r="D3273" t="inlineStr">
        <is>
          <t>HORECA CAFETERIA</t>
        </is>
      </c>
      <c r="E3273" s="34" t="n">
        <v>101451</v>
      </c>
      <c r="F3273" t="inlineStr">
        <is>
          <t>F</t>
        </is>
      </c>
      <c r="G3273" s="34" t="n">
        <v>16198</v>
      </c>
      <c r="H3273" s="34" t="n">
        <v>85253</v>
      </c>
      <c r="I3273" t="inlineStr">
        <is>
          <t>3.1</t>
        </is>
      </c>
      <c r="J3273" t="inlineStr">
        <is>
          <t>Ventas HoReCa</t>
        </is>
      </c>
      <c r="K3273" t="inlineStr">
        <is>
          <t>CH1</t>
        </is>
      </c>
    </row>
    <row r="3274">
      <c r="A3274" s="33" t="n">
        <v>45939</v>
      </c>
      <c r="B3274" t="inlineStr">
        <is>
          <t>2025-10</t>
        </is>
      </c>
      <c r="C3274" t="inlineStr">
        <is>
          <t>Soledad Poblete</t>
        </is>
      </c>
      <c r="D3274" t="inlineStr">
        <is>
          <t>Tandas Delicatessen</t>
        </is>
      </c>
      <c r="E3274" s="34" t="n">
        <v>26382</v>
      </c>
      <c r="F3274" t="inlineStr">
        <is>
          <t>B</t>
        </is>
      </c>
      <c r="G3274" s="34" t="n">
        <v>4212</v>
      </c>
      <c r="H3274" s="34" t="n">
        <v>22170</v>
      </c>
      <c r="I3274" t="inlineStr">
        <is>
          <t>3.2</t>
        </is>
      </c>
      <c r="J3274" t="inlineStr">
        <is>
          <t>Ventas Personas (B2C)</t>
        </is>
      </c>
      <c r="K3274" t="inlineStr">
        <is>
          <t>CH2</t>
        </is>
      </c>
    </row>
    <row r="3275">
      <c r="A3275" s="33" t="n">
        <v>45939</v>
      </c>
      <c r="B3275" t="inlineStr">
        <is>
          <t>2025-10</t>
        </is>
      </c>
      <c r="C3275" t="inlineStr">
        <is>
          <t>Better Food Spa</t>
        </is>
      </c>
      <c r="D3275" t="inlineStr">
        <is>
          <t>HORECA CAFETERIA</t>
        </is>
      </c>
      <c r="E3275" s="34" t="n">
        <v>288849</v>
      </c>
      <c r="F3275" t="inlineStr">
        <is>
          <t>F</t>
        </is>
      </c>
      <c r="G3275" s="34" t="n">
        <v>46119</v>
      </c>
      <c r="H3275" s="34" t="n">
        <v>242730</v>
      </c>
      <c r="I3275" t="inlineStr">
        <is>
          <t>3.1</t>
        </is>
      </c>
      <c r="J3275" t="inlineStr">
        <is>
          <t>Ventas HoReCa</t>
        </is>
      </c>
      <c r="K3275" t="inlineStr">
        <is>
          <t>CH1</t>
        </is>
      </c>
    </row>
    <row r="3276">
      <c r="A3276" s="33" t="n">
        <v>45939</v>
      </c>
      <c r="B3276" t="inlineStr">
        <is>
          <t>2025-10</t>
        </is>
      </c>
      <c r="C3276" t="inlineStr">
        <is>
          <t>Sin cliente</t>
        </is>
      </c>
      <c r="D3276" t="inlineStr">
        <is>
          <t>CANELÉ TRADICIONAL</t>
        </is>
      </c>
      <c r="E3276" s="34" t="n">
        <v>26900</v>
      </c>
      <c r="F3276" t="inlineStr">
        <is>
          <t>B</t>
        </is>
      </c>
      <c r="G3276" s="34" t="n">
        <v>4295</v>
      </c>
      <c r="H3276" s="34" t="n">
        <v>22605</v>
      </c>
      <c r="I3276" t="inlineStr">
        <is>
          <t>3.2</t>
        </is>
      </c>
      <c r="J3276" t="inlineStr">
        <is>
          <t>Ventas Personas (B2C)</t>
        </is>
      </c>
      <c r="K3276" t="inlineStr">
        <is>
          <t>CH2</t>
        </is>
      </c>
    </row>
    <row r="3277">
      <c r="A3277" s="33" t="n">
        <v>45939</v>
      </c>
      <c r="B3277" t="inlineStr">
        <is>
          <t>2025-10</t>
        </is>
      </c>
      <c r="C3277" t="inlineStr">
        <is>
          <t>Sin cliente</t>
        </is>
      </c>
      <c r="D3277" t="inlineStr">
        <is>
          <t>CANELÉ TRADICIONAL</t>
        </is>
      </c>
      <c r="E3277" s="34" t="n">
        <v>13450</v>
      </c>
      <c r="F3277" t="inlineStr">
        <is>
          <t>B</t>
        </is>
      </c>
      <c r="G3277" s="34" t="n">
        <v>2147</v>
      </c>
      <c r="H3277" s="34" t="n">
        <v>11303</v>
      </c>
      <c r="I3277" t="inlineStr">
        <is>
          <t>3.2</t>
        </is>
      </c>
      <c r="J3277" t="inlineStr">
        <is>
          <t>Ventas Personas (B2C)</t>
        </is>
      </c>
      <c r="K3277" t="inlineStr">
        <is>
          <t>CH2</t>
        </is>
      </c>
    </row>
    <row r="3278">
      <c r="A3278" s="33" t="n">
        <v>45939</v>
      </c>
      <c r="B3278" t="inlineStr">
        <is>
          <t>2025-10</t>
        </is>
      </c>
      <c r="C3278" t="inlineStr">
        <is>
          <t>Sin cliente</t>
        </is>
      </c>
      <c r="D3278" t="inlineStr">
        <is>
          <t>PLATAFORMAS RAP-PEYA-UBER-GOOD</t>
        </is>
      </c>
      <c r="E3278" s="34" t="n">
        <v>15480</v>
      </c>
      <c r="F3278" t="inlineStr">
        <is>
          <t>B</t>
        </is>
      </c>
      <c r="G3278" s="34" t="n">
        <v>2472</v>
      </c>
      <c r="H3278" s="34" t="n">
        <v>13008</v>
      </c>
      <c r="I3278" t="inlineStr">
        <is>
          <t>3.6</t>
        </is>
      </c>
      <c r="J3278" t="inlineStr">
        <is>
          <t>Ventas Delivery Apps</t>
        </is>
      </c>
      <c r="K3278" t="inlineStr">
        <is>
          <t>CH3</t>
        </is>
      </c>
    </row>
    <row r="3279">
      <c r="A3279" s="33" t="n">
        <v>45939</v>
      </c>
      <c r="B3279" t="inlineStr">
        <is>
          <t>2025-10</t>
        </is>
      </c>
      <c r="C3279" t="inlineStr">
        <is>
          <t>Sin cliente</t>
        </is>
      </c>
      <c r="D3279" t="inlineStr">
        <is>
          <t>Petit Tradicional</t>
        </is>
      </c>
      <c r="E3279" s="34" t="n">
        <v>21360</v>
      </c>
      <c r="F3279" t="inlineStr">
        <is>
          <t>B</t>
        </is>
      </c>
      <c r="G3279" s="34" t="n">
        <v>3410</v>
      </c>
      <c r="H3279" s="34" t="n">
        <v>17950</v>
      </c>
      <c r="I3279" t="inlineStr">
        <is>
          <t>3.2</t>
        </is>
      </c>
      <c r="J3279" t="inlineStr">
        <is>
          <t>Ventas Personas (B2C)</t>
        </is>
      </c>
      <c r="K3279" t="inlineStr">
        <is>
          <t>CH2</t>
        </is>
      </c>
    </row>
    <row r="3280">
      <c r="A3280" s="33" t="n">
        <v>45939</v>
      </c>
      <c r="B3280" t="inlineStr">
        <is>
          <t>2025-10</t>
        </is>
      </c>
      <c r="C3280" t="inlineStr">
        <is>
          <t>Minna Yu</t>
        </is>
      </c>
      <c r="D3280" t="inlineStr">
        <is>
          <t>CANELÉ TRADICIONAL</t>
        </is>
      </c>
      <c r="E3280" s="34" t="n">
        <v>43150</v>
      </c>
      <c r="F3280" t="inlineStr">
        <is>
          <t>B</t>
        </is>
      </c>
      <c r="G3280" s="34" t="n">
        <v>6889</v>
      </c>
      <c r="H3280" s="34" t="n">
        <v>36261</v>
      </c>
      <c r="I3280" t="inlineStr">
        <is>
          <t>3.2</t>
        </is>
      </c>
      <c r="J3280" t="inlineStr">
        <is>
          <t>Ventas Personas (B2C)</t>
        </is>
      </c>
      <c r="K3280" t="inlineStr">
        <is>
          <t>CH2</t>
        </is>
      </c>
    </row>
    <row r="3281">
      <c r="A3281" s="33" t="n">
        <v>45939</v>
      </c>
      <c r="B3281" t="inlineStr">
        <is>
          <t>2025-10</t>
        </is>
      </c>
      <c r="C3281" t="inlineStr">
        <is>
          <t>Sin cliente</t>
        </is>
      </c>
      <c r="D3281" t="inlineStr">
        <is>
          <t>Mix Sabores</t>
        </is>
      </c>
      <c r="E3281" s="34" t="n">
        <v>19080</v>
      </c>
      <c r="F3281" t="inlineStr">
        <is>
          <t>B</t>
        </is>
      </c>
      <c r="G3281" s="34" t="n">
        <v>3046</v>
      </c>
      <c r="H3281" s="34" t="n">
        <v>16034</v>
      </c>
      <c r="I3281" t="inlineStr">
        <is>
          <t>3.2</t>
        </is>
      </c>
      <c r="J3281" t="inlineStr">
        <is>
          <t>Ventas Personas (B2C)</t>
        </is>
      </c>
      <c r="K3281" t="inlineStr">
        <is>
          <t>CH2</t>
        </is>
      </c>
    </row>
    <row r="3282">
      <c r="A3282" s="33" t="n">
        <v>45939</v>
      </c>
      <c r="B3282" t="inlineStr">
        <is>
          <t>2025-10</t>
        </is>
      </c>
      <c r="C3282" t="inlineStr">
        <is>
          <t>Sin cliente</t>
        </is>
      </c>
      <c r="D3282" t="inlineStr">
        <is>
          <t>PLATAFORMAS RAP-PEYA-UBER-GOOD</t>
        </is>
      </c>
      <c r="E3282" s="34" t="n">
        <v>28680</v>
      </c>
      <c r="F3282" t="inlineStr">
        <is>
          <t>B</t>
        </is>
      </c>
      <c r="G3282" s="34" t="n">
        <v>4579</v>
      </c>
      <c r="H3282" s="34" t="n">
        <v>24101</v>
      </c>
      <c r="I3282" t="inlineStr">
        <is>
          <t>3.6</t>
        </is>
      </c>
      <c r="J3282" t="inlineStr">
        <is>
          <t>Ventas Delivery Apps</t>
        </is>
      </c>
      <c r="K3282" t="inlineStr">
        <is>
          <t>CH3</t>
        </is>
      </c>
    </row>
    <row r="3283">
      <c r="A3283" s="33" t="n">
        <v>45939</v>
      </c>
      <c r="B3283" t="inlineStr">
        <is>
          <t>2025-10</t>
        </is>
      </c>
      <c r="C3283" t="inlineStr">
        <is>
          <t>Ljubica Milos Pedemonte</t>
        </is>
      </c>
      <c r="D3283" t="inlineStr">
        <is>
          <t>CANELÉ TRADICIONAL</t>
        </is>
      </c>
      <c r="E3283" s="34" t="n">
        <v>22890</v>
      </c>
      <c r="F3283" t="inlineStr">
        <is>
          <t>B</t>
        </is>
      </c>
      <c r="G3283" s="34" t="n">
        <v>3655</v>
      </c>
      <c r="H3283" s="34" t="n">
        <v>19235</v>
      </c>
      <c r="I3283" t="inlineStr">
        <is>
          <t>3.2</t>
        </is>
      </c>
      <c r="J3283" t="inlineStr">
        <is>
          <t>Ventas Personas (B2C)</t>
        </is>
      </c>
      <c r="K3283" t="inlineStr">
        <is>
          <t>CH2</t>
        </is>
      </c>
    </row>
    <row r="3284">
      <c r="A3284" s="33" t="n">
        <v>45939</v>
      </c>
      <c r="B3284" t="inlineStr">
        <is>
          <t>2025-10</t>
        </is>
      </c>
      <c r="C3284" t="inlineStr">
        <is>
          <t>Sin cliente</t>
        </is>
      </c>
      <c r="D3284" t="inlineStr">
        <is>
          <t>PLATAFORMAS RAP-PEYA-UBER-GOOD</t>
        </is>
      </c>
      <c r="E3284" s="34" t="n">
        <v>25080</v>
      </c>
      <c r="F3284" t="inlineStr">
        <is>
          <t>B</t>
        </is>
      </c>
      <c r="G3284" s="34" t="n">
        <v>4004</v>
      </c>
      <c r="H3284" s="34" t="n">
        <v>21076</v>
      </c>
      <c r="I3284" t="inlineStr">
        <is>
          <t>3.6</t>
        </is>
      </c>
      <c r="J3284" t="inlineStr">
        <is>
          <t>Ventas Delivery Apps</t>
        </is>
      </c>
      <c r="K3284" t="inlineStr">
        <is>
          <t>CH3</t>
        </is>
      </c>
    </row>
    <row r="3285">
      <c r="A3285" s="33" t="n">
        <v>45939</v>
      </c>
      <c r="B3285" t="inlineStr">
        <is>
          <t>2025-10</t>
        </is>
      </c>
      <c r="C3285" t="inlineStr">
        <is>
          <t>Evelyn Kagi</t>
        </is>
      </c>
      <c r="D3285" t="inlineStr">
        <is>
          <t>Rellenos</t>
        </is>
      </c>
      <c r="E3285" s="34" t="n">
        <v>25630</v>
      </c>
      <c r="F3285" t="inlineStr">
        <is>
          <t>B</t>
        </is>
      </c>
      <c r="G3285" s="34" t="n">
        <v>4092</v>
      </c>
      <c r="H3285" s="34" t="n">
        <v>21538</v>
      </c>
      <c r="I3285" t="inlineStr">
        <is>
          <t>3.2</t>
        </is>
      </c>
      <c r="J3285" t="inlineStr">
        <is>
          <t>Ventas Personas (B2C)</t>
        </is>
      </c>
      <c r="K3285" t="inlineStr">
        <is>
          <t>CH2</t>
        </is>
      </c>
    </row>
    <row r="3286">
      <c r="A3286" s="33" t="n">
        <v>45940</v>
      </c>
      <c r="B3286" t="inlineStr">
        <is>
          <t>2025-10</t>
        </is>
      </c>
      <c r="C3286" t="inlineStr">
        <is>
          <t>GALO SPA</t>
        </is>
      </c>
      <c r="D3286" t="inlineStr">
        <is>
          <t>HORECA CAFETERIA</t>
        </is>
      </c>
      <c r="E3286" s="34" t="n">
        <v>235144</v>
      </c>
      <c r="F3286" t="inlineStr">
        <is>
          <t>F</t>
        </is>
      </c>
      <c r="G3286" s="34" t="n">
        <v>37544</v>
      </c>
      <c r="H3286" s="34" t="n">
        <v>197600</v>
      </c>
      <c r="I3286" t="inlineStr">
        <is>
          <t>3.1</t>
        </is>
      </c>
      <c r="J3286" t="inlineStr">
        <is>
          <t>Ventas HoReCa</t>
        </is>
      </c>
      <c r="K3286" t="inlineStr">
        <is>
          <t>CH1</t>
        </is>
      </c>
    </row>
    <row r="3287">
      <c r="A3287" s="33" t="n">
        <v>45940</v>
      </c>
      <c r="B3287" t="inlineStr">
        <is>
          <t>2025-10</t>
        </is>
      </c>
      <c r="C3287" t="inlineStr">
        <is>
          <t>VILAS BANQUETERIAS SPA</t>
        </is>
      </c>
      <c r="D3287" t="inlineStr">
        <is>
          <t>HORECA CATERING</t>
        </is>
      </c>
      <c r="E3287" s="34" t="n">
        <v>145362</v>
      </c>
      <c r="F3287" t="inlineStr">
        <is>
          <t>F</t>
        </is>
      </c>
      <c r="G3287" s="34" t="n">
        <v>23209</v>
      </c>
      <c r="H3287" s="34" t="n">
        <v>122153</v>
      </c>
      <c r="I3287" t="inlineStr">
        <is>
          <t>3.1</t>
        </is>
      </c>
      <c r="J3287" t="inlineStr">
        <is>
          <t>Ventas HoReCa</t>
        </is>
      </c>
      <c r="K3287" t="inlineStr">
        <is>
          <t>CH1</t>
        </is>
      </c>
    </row>
    <row r="3288">
      <c r="A3288" s="33" t="n">
        <v>45940</v>
      </c>
      <c r="B3288" t="inlineStr">
        <is>
          <t>2025-10</t>
        </is>
      </c>
      <c r="C3288" t="inlineStr">
        <is>
          <t>HUERTO SUR LIMITADA</t>
        </is>
      </c>
      <c r="D3288" t="inlineStr">
        <is>
          <t>HORECA CAFETERIA</t>
        </is>
      </c>
      <c r="E3288" s="34" t="n">
        <v>133367</v>
      </c>
      <c r="F3288" t="inlineStr">
        <is>
          <t>F</t>
        </is>
      </c>
      <c r="G3288" s="34" t="n">
        <v>21294</v>
      </c>
      <c r="H3288" s="34" t="n">
        <v>112073</v>
      </c>
      <c r="I3288" t="inlineStr">
        <is>
          <t>3.1</t>
        </is>
      </c>
      <c r="J3288" t="inlineStr">
        <is>
          <t>Ventas HoReCa</t>
        </is>
      </c>
      <c r="K3288" t="inlineStr">
        <is>
          <t>CH1</t>
        </is>
      </c>
    </row>
    <row r="3289">
      <c r="A3289" s="33" t="n">
        <v>45940</v>
      </c>
      <c r="B3289" t="inlineStr">
        <is>
          <t>2025-10</t>
        </is>
      </c>
      <c r="C3289" t="inlineStr">
        <is>
          <t>HUERTO SUR LIMITADA</t>
        </is>
      </c>
      <c r="D3289" t="inlineStr">
        <is>
          <t>HORECA CAFETERIA</t>
        </is>
      </c>
      <c r="E3289" s="34" t="n">
        <v>101273</v>
      </c>
      <c r="F3289" t="inlineStr">
        <is>
          <t>F</t>
        </is>
      </c>
      <c r="G3289" s="34" t="n">
        <v>16170</v>
      </c>
      <c r="H3289" s="34" t="n">
        <v>85103</v>
      </c>
      <c r="I3289" t="inlineStr">
        <is>
          <t>3.1</t>
        </is>
      </c>
      <c r="J3289" t="inlineStr">
        <is>
          <t>Ventas HoReCa</t>
        </is>
      </c>
      <c r="K3289" t="inlineStr">
        <is>
          <t>CH1</t>
        </is>
      </c>
    </row>
    <row r="3290">
      <c r="A3290" s="33" t="n">
        <v>45940</v>
      </c>
      <c r="B3290" t="inlineStr">
        <is>
          <t>2025-10</t>
        </is>
      </c>
      <c r="C3290" t="inlineStr">
        <is>
          <t>HUERTO SUR LIMITADA</t>
        </is>
      </c>
      <c r="D3290" t="inlineStr">
        <is>
          <t>HORECA CAFETERIA</t>
        </is>
      </c>
      <c r="E3290" s="34" t="n">
        <v>69178</v>
      </c>
      <c r="F3290" t="inlineStr">
        <is>
          <t>F</t>
        </is>
      </c>
      <c r="G3290" s="34" t="n">
        <v>11045</v>
      </c>
      <c r="H3290" s="34" t="n">
        <v>58133</v>
      </c>
      <c r="I3290" t="inlineStr">
        <is>
          <t>3.1</t>
        </is>
      </c>
      <c r="J3290" t="inlineStr">
        <is>
          <t>Ventas HoReCa</t>
        </is>
      </c>
      <c r="K3290" t="inlineStr">
        <is>
          <t>CH1</t>
        </is>
      </c>
    </row>
    <row r="3291">
      <c r="A3291" s="33" t="n">
        <v>45940</v>
      </c>
      <c r="B3291" t="inlineStr">
        <is>
          <t>2025-10</t>
        </is>
      </c>
      <c r="C3291" t="inlineStr">
        <is>
          <t>HUERTO SUR LIMITADA</t>
        </is>
      </c>
      <c r="D3291" t="inlineStr">
        <is>
          <t>HORECA CAFETERIA</t>
        </is>
      </c>
      <c r="E3291" s="34" t="n">
        <v>69178</v>
      </c>
      <c r="F3291" t="inlineStr">
        <is>
          <t>F</t>
        </is>
      </c>
      <c r="G3291" s="34" t="n">
        <v>11045</v>
      </c>
      <c r="H3291" s="34" t="n">
        <v>58133</v>
      </c>
      <c r="I3291" t="inlineStr">
        <is>
          <t>3.1</t>
        </is>
      </c>
      <c r="J3291" t="inlineStr">
        <is>
          <t>Ventas HoReCa</t>
        </is>
      </c>
      <c r="K3291" t="inlineStr">
        <is>
          <t>CH1</t>
        </is>
      </c>
    </row>
    <row r="3292">
      <c r="A3292" s="33" t="n">
        <v>45940</v>
      </c>
      <c r="B3292" t="inlineStr">
        <is>
          <t>2025-10</t>
        </is>
      </c>
      <c r="C3292" t="inlineStr">
        <is>
          <t>Paula Sobral</t>
        </is>
      </c>
      <c r="D3292" t="inlineStr">
        <is>
          <t>Rellenos</t>
        </is>
      </c>
      <c r="E3292" s="34" t="n">
        <v>20640</v>
      </c>
      <c r="F3292" t="inlineStr">
        <is>
          <t>B</t>
        </is>
      </c>
      <c r="G3292" s="34" t="n">
        <v>3295</v>
      </c>
      <c r="H3292" s="34" t="n">
        <v>17345</v>
      </c>
      <c r="I3292" t="inlineStr">
        <is>
          <t>3.2</t>
        </is>
      </c>
      <c r="J3292" t="inlineStr">
        <is>
          <t>Ventas Personas (B2C)</t>
        </is>
      </c>
      <c r="K3292" t="inlineStr">
        <is>
          <t>CH2</t>
        </is>
      </c>
    </row>
    <row r="3293">
      <c r="A3293" s="33" t="n">
        <v>45940</v>
      </c>
      <c r="B3293" t="inlineStr">
        <is>
          <t>2025-10</t>
        </is>
      </c>
      <c r="C3293" t="inlineStr">
        <is>
          <t>Sin cliente</t>
        </is>
      </c>
      <c r="D3293" t="inlineStr">
        <is>
          <t>CANELÉ TRADICIONAL</t>
        </is>
      </c>
      <c r="E3293" s="34" t="n">
        <v>10950</v>
      </c>
      <c r="F3293" t="inlineStr">
        <is>
          <t>B</t>
        </is>
      </c>
      <c r="G3293" s="34" t="n">
        <v>1748</v>
      </c>
      <c r="H3293" s="34" t="n">
        <v>9202</v>
      </c>
      <c r="I3293" t="inlineStr">
        <is>
          <t>3.2</t>
        </is>
      </c>
      <c r="J3293" t="inlineStr">
        <is>
          <t>Ventas Personas (B2C)</t>
        </is>
      </c>
      <c r="K3293" t="inlineStr">
        <is>
          <t>CH2</t>
        </is>
      </c>
    </row>
    <row r="3294">
      <c r="A3294" s="33" t="n">
        <v>45940</v>
      </c>
      <c r="B3294" t="inlineStr">
        <is>
          <t>2025-10</t>
        </is>
      </c>
      <c r="C3294" t="inlineStr">
        <is>
          <t>Sin cliente</t>
        </is>
      </c>
      <c r="D3294" t="inlineStr">
        <is>
          <t>PLATAFORMAS RAP-PEYA-UBER-GOOD</t>
        </is>
      </c>
      <c r="E3294" s="34" t="n">
        <v>57240</v>
      </c>
      <c r="F3294" t="inlineStr">
        <is>
          <t>B</t>
        </is>
      </c>
      <c r="G3294" s="34" t="n">
        <v>9139</v>
      </c>
      <c r="H3294" s="34" t="n">
        <v>48101</v>
      </c>
      <c r="I3294" t="inlineStr">
        <is>
          <t>3.6</t>
        </is>
      </c>
      <c r="J3294" t="inlineStr">
        <is>
          <t>Ventas Delivery Apps</t>
        </is>
      </c>
      <c r="K3294" t="inlineStr">
        <is>
          <t>CH3</t>
        </is>
      </c>
    </row>
    <row r="3295">
      <c r="A3295" s="33" t="n">
        <v>45940</v>
      </c>
      <c r="B3295" t="inlineStr">
        <is>
          <t>2025-10</t>
        </is>
      </c>
      <c r="C3295" t="inlineStr">
        <is>
          <t>Luna Cao</t>
        </is>
      </c>
      <c r="D3295" t="inlineStr">
        <is>
          <t>Rellenos</t>
        </is>
      </c>
      <c r="E3295" s="34" t="n">
        <v>24889</v>
      </c>
      <c r="F3295" t="inlineStr">
        <is>
          <t>B</t>
        </is>
      </c>
      <c r="G3295" s="34" t="n">
        <v>3974</v>
      </c>
      <c r="H3295" s="34" t="n">
        <v>20915</v>
      </c>
      <c r="I3295" t="inlineStr">
        <is>
          <t>3.2</t>
        </is>
      </c>
      <c r="J3295" t="inlineStr">
        <is>
          <t>Ventas Personas (B2C)</t>
        </is>
      </c>
      <c r="K3295" t="inlineStr">
        <is>
          <t>CH2</t>
        </is>
      </c>
    </row>
    <row r="3296">
      <c r="A3296" s="33" t="n">
        <v>45940</v>
      </c>
      <c r="B3296" t="inlineStr">
        <is>
          <t>2025-10</t>
        </is>
      </c>
      <c r="C3296" t="inlineStr">
        <is>
          <t>MARIA IGNACIA GREZ</t>
        </is>
      </c>
      <c r="D3296" t="inlineStr">
        <is>
          <t>Delicatessen</t>
        </is>
      </c>
      <c r="E3296" s="34" t="n">
        <v>45200</v>
      </c>
      <c r="F3296" t="inlineStr">
        <is>
          <t>B</t>
        </is>
      </c>
      <c r="G3296" s="34" t="n">
        <v>7217</v>
      </c>
      <c r="H3296" s="34" t="n">
        <v>37983</v>
      </c>
      <c r="I3296" t="inlineStr">
        <is>
          <t>3.2</t>
        </is>
      </c>
      <c r="J3296" t="inlineStr">
        <is>
          <t>Ventas Personas (B2C)</t>
        </is>
      </c>
      <c r="K3296" t="inlineStr">
        <is>
          <t>CH2</t>
        </is>
      </c>
    </row>
    <row r="3297">
      <c r="A3297" s="33" t="n">
        <v>45940</v>
      </c>
      <c r="B3297" t="inlineStr">
        <is>
          <t>2025-10</t>
        </is>
      </c>
      <c r="C3297" t="inlineStr">
        <is>
          <t>Helvia Granifo</t>
        </is>
      </c>
      <c r="D3297" t="inlineStr">
        <is>
          <t>Rellenos</t>
        </is>
      </c>
      <c r="E3297" s="34" t="n">
        <v>25630</v>
      </c>
      <c r="F3297" t="inlineStr">
        <is>
          <t>B</t>
        </is>
      </c>
      <c r="G3297" s="34" t="n">
        <v>4092</v>
      </c>
      <c r="H3297" s="34" t="n">
        <v>21538</v>
      </c>
      <c r="I3297" t="inlineStr">
        <is>
          <t>3.2</t>
        </is>
      </c>
      <c r="J3297" t="inlineStr">
        <is>
          <t>Ventas Personas (B2C)</t>
        </is>
      </c>
      <c r="K3297" t="inlineStr">
        <is>
          <t>CH2</t>
        </is>
      </c>
    </row>
    <row r="3298">
      <c r="A3298" s="33" t="n">
        <v>45940</v>
      </c>
      <c r="B3298" t="inlineStr">
        <is>
          <t>2025-10</t>
        </is>
      </c>
      <c r="C3298" t="inlineStr">
        <is>
          <t>Lily Günther</t>
        </is>
      </c>
      <c r="D3298" t="inlineStr">
        <is>
          <t>CANELE SIN AZUCAR</t>
        </is>
      </c>
      <c r="E3298" s="34" t="n">
        <v>27289</v>
      </c>
      <c r="F3298" t="inlineStr">
        <is>
          <t>B</t>
        </is>
      </c>
      <c r="G3298" s="34" t="n">
        <v>4357</v>
      </c>
      <c r="H3298" s="34" t="n">
        <v>22932</v>
      </c>
      <c r="I3298" t="inlineStr">
        <is>
          <t>3.2</t>
        </is>
      </c>
      <c r="J3298" t="inlineStr">
        <is>
          <t>Ventas Personas (B2C)</t>
        </is>
      </c>
      <c r="K3298" t="inlineStr">
        <is>
          <t>CH2</t>
        </is>
      </c>
    </row>
    <row r="3299">
      <c r="A3299" s="33" t="n">
        <v>45940</v>
      </c>
      <c r="B3299" t="inlineStr">
        <is>
          <t>2025-10</t>
        </is>
      </c>
      <c r="C3299" t="inlineStr">
        <is>
          <t>John Watson López</t>
        </is>
      </c>
      <c r="D3299" t="inlineStr">
        <is>
          <t>Rellenos</t>
        </is>
      </c>
      <c r="E3299" s="34" t="n">
        <v>43749</v>
      </c>
      <c r="F3299" t="inlineStr">
        <is>
          <t>B</t>
        </is>
      </c>
      <c r="G3299" s="34" t="n">
        <v>6985</v>
      </c>
      <c r="H3299" s="34" t="n">
        <v>36764</v>
      </c>
      <c r="I3299" t="inlineStr">
        <is>
          <t>3.2</t>
        </is>
      </c>
      <c r="J3299" t="inlineStr">
        <is>
          <t>Ventas Personas (B2C)</t>
        </is>
      </c>
      <c r="K3299" t="inlineStr">
        <is>
          <t>CH2</t>
        </is>
      </c>
    </row>
    <row r="3300">
      <c r="A3300" s="33" t="n">
        <v>45940</v>
      </c>
      <c r="B3300" t="inlineStr">
        <is>
          <t>2025-10</t>
        </is>
      </c>
      <c r="C3300" t="inlineStr">
        <is>
          <t>Carlos Peña</t>
        </is>
      </c>
      <c r="D3300" t="inlineStr">
        <is>
          <t>SALSAS</t>
        </is>
      </c>
      <c r="E3300" s="34" t="n">
        <v>26312</v>
      </c>
      <c r="F3300" t="inlineStr">
        <is>
          <t>B</t>
        </is>
      </c>
      <c r="G3300" s="34" t="n">
        <v>4201</v>
      </c>
      <c r="H3300" s="34" t="n">
        <v>22111</v>
      </c>
      <c r="I3300" t="inlineStr">
        <is>
          <t>3.2</t>
        </is>
      </c>
      <c r="J3300" t="inlineStr">
        <is>
          <t>Ventas Personas (B2C)</t>
        </is>
      </c>
      <c r="K3300" t="inlineStr">
        <is>
          <t>CH2</t>
        </is>
      </c>
    </row>
    <row r="3301">
      <c r="A3301" s="33" t="n">
        <v>45940</v>
      </c>
      <c r="B3301" t="inlineStr">
        <is>
          <t>2025-10</t>
        </is>
      </c>
      <c r="C3301" t="inlineStr">
        <is>
          <t>Sin cliente</t>
        </is>
      </c>
      <c r="D3301" t="inlineStr">
        <is>
          <t>Rellenos</t>
        </is>
      </c>
      <c r="E3301" s="34" t="n">
        <v>23800</v>
      </c>
      <c r="F3301" t="inlineStr">
        <is>
          <t>B</t>
        </is>
      </c>
      <c r="G3301" s="34" t="n">
        <v>3800</v>
      </c>
      <c r="H3301" s="34" t="n">
        <v>20000</v>
      </c>
      <c r="I3301" t="inlineStr">
        <is>
          <t>3.2</t>
        </is>
      </c>
      <c r="J3301" t="inlineStr">
        <is>
          <t>Ventas Personas (B2C)</t>
        </is>
      </c>
      <c r="K3301" t="inlineStr">
        <is>
          <t>CH2</t>
        </is>
      </c>
    </row>
    <row r="3302">
      <c r="A3302" s="33" t="n">
        <v>45940</v>
      </c>
      <c r="B3302" t="inlineStr">
        <is>
          <t>2025-10</t>
        </is>
      </c>
      <c r="C3302" t="inlineStr">
        <is>
          <t>Sin cliente</t>
        </is>
      </c>
      <c r="D3302" t="inlineStr">
        <is>
          <t>PLATAFORMAS RAP-PEYA-UBER-GOOD</t>
        </is>
      </c>
      <c r="E3302" s="34" t="n">
        <v>28680</v>
      </c>
      <c r="F3302" t="inlineStr">
        <is>
          <t>B</t>
        </is>
      </c>
      <c r="G3302" s="34" t="n">
        <v>4579</v>
      </c>
      <c r="H3302" s="34" t="n">
        <v>24101</v>
      </c>
      <c r="I3302" t="inlineStr">
        <is>
          <t>3.6</t>
        </is>
      </c>
      <c r="J3302" t="inlineStr">
        <is>
          <t>Ventas Delivery Apps</t>
        </is>
      </c>
      <c r="K3302" t="inlineStr">
        <is>
          <t>CH3</t>
        </is>
      </c>
    </row>
    <row r="3303">
      <c r="A3303" s="33" t="n">
        <v>45940</v>
      </c>
      <c r="B3303" t="inlineStr">
        <is>
          <t>2025-10</t>
        </is>
      </c>
      <c r="C3303" t="inlineStr">
        <is>
          <t>Maria jesus Videla</t>
        </is>
      </c>
      <c r="D3303" t="inlineStr">
        <is>
          <t>CANELÉ TRADICIONAL</t>
        </is>
      </c>
      <c r="E3303" s="34" t="n">
        <v>17900</v>
      </c>
      <c r="F3303" t="inlineStr">
        <is>
          <t>B</t>
        </is>
      </c>
      <c r="G3303" s="34" t="n">
        <v>2858</v>
      </c>
      <c r="H3303" s="34" t="n">
        <v>15042</v>
      </c>
      <c r="I3303" t="inlineStr">
        <is>
          <t>3.2</t>
        </is>
      </c>
      <c r="J3303" t="inlineStr">
        <is>
          <t>Ventas Personas (B2C)</t>
        </is>
      </c>
      <c r="K3303" t="inlineStr">
        <is>
          <t>CH2</t>
        </is>
      </c>
    </row>
    <row r="3304">
      <c r="A3304" s="33" t="n">
        <v>45940</v>
      </c>
      <c r="B3304" t="inlineStr">
        <is>
          <t>2025-10</t>
        </is>
      </c>
      <c r="C3304" t="inlineStr">
        <is>
          <t>Sin cliente</t>
        </is>
      </c>
      <c r="D3304" t="inlineStr">
        <is>
          <t>Rellenos</t>
        </is>
      </c>
      <c r="E3304" s="34" t="n">
        <v>13000</v>
      </c>
      <c r="F3304" t="inlineStr">
        <is>
          <t>B</t>
        </is>
      </c>
      <c r="G3304" s="34" t="n">
        <v>2076</v>
      </c>
      <c r="H3304" s="34" t="n">
        <v>10924</v>
      </c>
      <c r="I3304" t="inlineStr">
        <is>
          <t>3.2</t>
        </is>
      </c>
      <c r="J3304" t="inlineStr">
        <is>
          <t>Ventas Personas (B2C)</t>
        </is>
      </c>
      <c r="K3304" t="inlineStr">
        <is>
          <t>CH2</t>
        </is>
      </c>
    </row>
    <row r="3305">
      <c r="A3305" s="33" t="n">
        <v>45940</v>
      </c>
      <c r="B3305" t="inlineStr">
        <is>
          <t>2025-10</t>
        </is>
      </c>
      <c r="C3305" t="inlineStr">
        <is>
          <t>claudio molina</t>
        </is>
      </c>
      <c r="D3305" t="inlineStr">
        <is>
          <t>Mix Sabores</t>
        </is>
      </c>
      <c r="E3305" s="34" t="n">
        <v>26789</v>
      </c>
      <c r="F3305" t="inlineStr">
        <is>
          <t>B</t>
        </is>
      </c>
      <c r="G3305" s="34" t="n">
        <v>4277</v>
      </c>
      <c r="H3305" s="34" t="n">
        <v>22512</v>
      </c>
      <c r="I3305" t="inlineStr">
        <is>
          <t>3.2</t>
        </is>
      </c>
      <c r="J3305" t="inlineStr">
        <is>
          <t>Ventas Personas (B2C)</t>
        </is>
      </c>
      <c r="K3305" t="inlineStr">
        <is>
          <t>CH2</t>
        </is>
      </c>
    </row>
    <row r="3306">
      <c r="A3306" s="33" t="n">
        <v>45940</v>
      </c>
      <c r="B3306" t="inlineStr">
        <is>
          <t>2025-10</t>
        </is>
      </c>
      <c r="C3306" t="inlineStr">
        <is>
          <t>Santa María spa</t>
        </is>
      </c>
      <c r="D3306" t="inlineStr">
        <is>
          <t>HORECA CAFETERIA</t>
        </is>
      </c>
      <c r="E3306" s="34" t="n">
        <v>331352</v>
      </c>
      <c r="F3306" t="inlineStr">
        <is>
          <t>F</t>
        </is>
      </c>
      <c r="G3306" s="34" t="n">
        <v>52905</v>
      </c>
      <c r="H3306" s="34" t="n">
        <v>278447</v>
      </c>
      <c r="I3306" t="inlineStr">
        <is>
          <t>3.1</t>
        </is>
      </c>
      <c r="J3306" t="inlineStr">
        <is>
          <t>Ventas HoReCa</t>
        </is>
      </c>
      <c r="K3306" t="inlineStr">
        <is>
          <t>CH1</t>
        </is>
      </c>
    </row>
    <row r="3307">
      <c r="A3307" s="33" t="n">
        <v>45941</v>
      </c>
      <c r="B3307" t="inlineStr">
        <is>
          <t>2025-10</t>
        </is>
      </c>
      <c r="C3307" t="inlineStr">
        <is>
          <t>Diego von Bernath</t>
        </is>
      </c>
      <c r="D3307" t="inlineStr">
        <is>
          <t>Rellenos</t>
        </is>
      </c>
      <c r="E3307" s="34" t="n">
        <v>24889</v>
      </c>
      <c r="F3307" t="inlineStr">
        <is>
          <t>B</t>
        </is>
      </c>
      <c r="G3307" s="34" t="n">
        <v>3974</v>
      </c>
      <c r="H3307" s="34" t="n">
        <v>20915</v>
      </c>
      <c r="I3307" t="inlineStr">
        <is>
          <t>3.2</t>
        </is>
      </c>
      <c r="J3307" t="inlineStr">
        <is>
          <t>Ventas Personas (B2C)</t>
        </is>
      </c>
      <c r="K3307" t="inlineStr">
        <is>
          <t>CH2</t>
        </is>
      </c>
    </row>
    <row r="3308">
      <c r="A3308" s="33" t="n">
        <v>45941</v>
      </c>
      <c r="B3308" t="inlineStr">
        <is>
          <t>2025-10</t>
        </is>
      </c>
      <c r="C3308" t="inlineStr">
        <is>
          <t>camila aguilera</t>
        </is>
      </c>
      <c r="D3308" t="inlineStr">
        <is>
          <t>Delicatessen</t>
        </is>
      </c>
      <c r="E3308" s="34" t="n">
        <v>1600</v>
      </c>
      <c r="F3308" t="inlineStr">
        <is>
          <t>B</t>
        </is>
      </c>
      <c r="G3308" s="34" t="n">
        <v>255</v>
      </c>
      <c r="H3308" s="34" t="n">
        <v>1345</v>
      </c>
      <c r="I3308" t="inlineStr">
        <is>
          <t>3.2</t>
        </is>
      </c>
      <c r="J3308" t="inlineStr">
        <is>
          <t>Ventas Personas (B2C)</t>
        </is>
      </c>
      <c r="K3308" t="inlineStr">
        <is>
          <t>CH2</t>
        </is>
      </c>
    </row>
    <row r="3309">
      <c r="A3309" s="33" t="n">
        <v>45941</v>
      </c>
      <c r="B3309" t="inlineStr">
        <is>
          <t>2025-10</t>
        </is>
      </c>
      <c r="C3309" t="inlineStr">
        <is>
          <t>Marcela Lyng</t>
        </is>
      </c>
      <c r="D3309" t="inlineStr">
        <is>
          <t>Petit Crunchy</t>
        </is>
      </c>
      <c r="E3309" s="34" t="n">
        <v>37889</v>
      </c>
      <c r="F3309" t="inlineStr">
        <is>
          <t>B</t>
        </is>
      </c>
      <c r="G3309" s="34" t="n">
        <v>6050</v>
      </c>
      <c r="H3309" s="34" t="n">
        <v>31839</v>
      </c>
      <c r="I3309" t="inlineStr">
        <is>
          <t>3.2</t>
        </is>
      </c>
      <c r="J3309" t="inlineStr">
        <is>
          <t>Ventas Personas (B2C)</t>
        </is>
      </c>
      <c r="K3309" t="inlineStr">
        <is>
          <t>CH2</t>
        </is>
      </c>
    </row>
    <row r="3310">
      <c r="A3310" s="33" t="n">
        <v>45941</v>
      </c>
      <c r="B3310" t="inlineStr">
        <is>
          <t>2025-10</t>
        </is>
      </c>
      <c r="C3310" t="inlineStr">
        <is>
          <t>Sin cliente</t>
        </is>
      </c>
      <c r="D3310" t="inlineStr">
        <is>
          <t>Petit Tradicional</t>
        </is>
      </c>
      <c r="E3310" s="34" t="n">
        <v>41800</v>
      </c>
      <c r="F3310" t="inlineStr">
        <is>
          <t>B</t>
        </is>
      </c>
      <c r="G3310" s="34" t="n">
        <v>6674</v>
      </c>
      <c r="H3310" s="34" t="n">
        <v>35126</v>
      </c>
      <c r="I3310" t="inlineStr">
        <is>
          <t>3.2</t>
        </is>
      </c>
      <c r="J3310" t="inlineStr">
        <is>
          <t>Ventas Personas (B2C)</t>
        </is>
      </c>
      <c r="K3310" t="inlineStr">
        <is>
          <t>CH2</t>
        </is>
      </c>
    </row>
    <row r="3311">
      <c r="A3311" s="33" t="n">
        <v>45941</v>
      </c>
      <c r="B3311" t="inlineStr">
        <is>
          <t>2025-10</t>
        </is>
      </c>
      <c r="C3311" t="inlineStr">
        <is>
          <t>Sin cliente</t>
        </is>
      </c>
      <c r="D3311" t="inlineStr">
        <is>
          <t>CANELÉ TRADICIONAL</t>
        </is>
      </c>
      <c r="E3311" s="34" t="n">
        <v>26900</v>
      </c>
      <c r="F3311" t="inlineStr">
        <is>
          <t>B</t>
        </is>
      </c>
      <c r="G3311" s="34" t="n">
        <v>4295</v>
      </c>
      <c r="H3311" s="34" t="n">
        <v>22605</v>
      </c>
      <c r="I3311" t="inlineStr">
        <is>
          <t>3.2</t>
        </is>
      </c>
      <c r="J3311" t="inlineStr">
        <is>
          <t>Ventas Personas (B2C)</t>
        </is>
      </c>
      <c r="K3311" t="inlineStr">
        <is>
          <t>CH2</t>
        </is>
      </c>
    </row>
    <row r="3312">
      <c r="A3312" s="33" t="n">
        <v>45941</v>
      </c>
      <c r="B3312" t="inlineStr">
        <is>
          <t>2025-10</t>
        </is>
      </c>
      <c r="C3312" t="inlineStr">
        <is>
          <t>Sin cliente</t>
        </is>
      </c>
      <c r="D3312" t="inlineStr">
        <is>
          <t>PLATAFORMAS RAP-PEYA-UBER-GOOD</t>
        </is>
      </c>
      <c r="E3312" s="34" t="n">
        <v>27360</v>
      </c>
      <c r="F3312" t="inlineStr">
        <is>
          <t>B</t>
        </is>
      </c>
      <c r="G3312" s="34" t="n">
        <v>4368</v>
      </c>
      <c r="H3312" s="34" t="n">
        <v>22992</v>
      </c>
      <c r="I3312" t="inlineStr">
        <is>
          <t>3.6</t>
        </is>
      </c>
      <c r="J3312" t="inlineStr">
        <is>
          <t>Ventas Delivery Apps</t>
        </is>
      </c>
      <c r="K3312" t="inlineStr">
        <is>
          <t>CH3</t>
        </is>
      </c>
    </row>
    <row r="3313">
      <c r="A3313" s="33" t="n">
        <v>45941</v>
      </c>
      <c r="B3313" t="inlineStr">
        <is>
          <t>2025-10</t>
        </is>
      </c>
      <c r="C3313" t="inlineStr">
        <is>
          <t>Sin cliente</t>
        </is>
      </c>
      <c r="D3313" t="inlineStr">
        <is>
          <t>PLATAFORMAS RAP-PEYA-UBER-GOOD</t>
        </is>
      </c>
      <c r="E3313" s="34" t="n">
        <v>15480</v>
      </c>
      <c r="F3313" t="inlineStr">
        <is>
          <t>B</t>
        </is>
      </c>
      <c r="G3313" s="34" t="n">
        <v>2472</v>
      </c>
      <c r="H3313" s="34" t="n">
        <v>13008</v>
      </c>
      <c r="I3313" t="inlineStr">
        <is>
          <t>3.6</t>
        </is>
      </c>
      <c r="J3313" t="inlineStr">
        <is>
          <t>Ventas Delivery Apps</t>
        </is>
      </c>
      <c r="K3313" t="inlineStr">
        <is>
          <t>CH3</t>
        </is>
      </c>
    </row>
    <row r="3314">
      <c r="A3314" s="33" t="n">
        <v>45941</v>
      </c>
      <c r="B3314" t="inlineStr">
        <is>
          <t>2025-10</t>
        </is>
      </c>
      <c r="C3314" t="inlineStr">
        <is>
          <t>Sin cliente</t>
        </is>
      </c>
      <c r="D3314" t="inlineStr">
        <is>
          <t>SALSAS</t>
        </is>
      </c>
      <c r="E3314" s="34" t="n">
        <v>28890</v>
      </c>
      <c r="F3314" t="inlineStr">
        <is>
          <t>B</t>
        </is>
      </c>
      <c r="G3314" s="34" t="n">
        <v>4613</v>
      </c>
      <c r="H3314" s="34" t="n">
        <v>24277</v>
      </c>
      <c r="I3314" t="inlineStr">
        <is>
          <t>3.2</t>
        </is>
      </c>
      <c r="J3314" t="inlineStr">
        <is>
          <t>Ventas Personas (B2C)</t>
        </is>
      </c>
      <c r="K3314" t="inlineStr">
        <is>
          <t>CH2</t>
        </is>
      </c>
    </row>
    <row r="3315">
      <c r="A3315" s="33" t="n">
        <v>45942</v>
      </c>
      <c r="B3315" t="inlineStr">
        <is>
          <t>2025-10</t>
        </is>
      </c>
      <c r="C3315" t="inlineStr">
        <is>
          <t>Karina Causa Ureta</t>
        </is>
      </c>
      <c r="D3315" t="inlineStr">
        <is>
          <t>CANELÉ TRADICIONAL</t>
        </is>
      </c>
      <c r="E3315" s="34" t="n">
        <v>18889</v>
      </c>
      <c r="F3315" t="inlineStr">
        <is>
          <t>B</t>
        </is>
      </c>
      <c r="G3315" s="34" t="n">
        <v>3016</v>
      </c>
      <c r="H3315" s="34" t="n">
        <v>15873</v>
      </c>
      <c r="I3315" t="inlineStr">
        <is>
          <t>3.2</t>
        </is>
      </c>
      <c r="J3315" t="inlineStr">
        <is>
          <t>Ventas Personas (B2C)</t>
        </is>
      </c>
      <c r="K3315" t="inlineStr">
        <is>
          <t>CH2</t>
        </is>
      </c>
    </row>
    <row r="3316">
      <c r="A3316" s="33" t="n">
        <v>45942</v>
      </c>
      <c r="B3316" t="inlineStr">
        <is>
          <t>2025-10</t>
        </is>
      </c>
      <c r="C3316" t="inlineStr">
        <is>
          <t>Ruth Torales</t>
        </is>
      </c>
      <c r="D3316" t="inlineStr">
        <is>
          <t>PACKS GOURMET</t>
        </is>
      </c>
      <c r="E3316" s="34" t="n">
        <v>38975</v>
      </c>
      <c r="F3316" t="inlineStr">
        <is>
          <t>B</t>
        </is>
      </c>
      <c r="G3316" s="34" t="n">
        <v>6223</v>
      </c>
      <c r="H3316" s="34" t="n">
        <v>32752</v>
      </c>
      <c r="I3316" t="inlineStr">
        <is>
          <t>3.2</t>
        </is>
      </c>
      <c r="J3316" t="inlineStr">
        <is>
          <t>Ventas Personas (B2C)</t>
        </is>
      </c>
      <c r="K3316" t="inlineStr">
        <is>
          <t>CH2</t>
        </is>
      </c>
    </row>
    <row r="3317">
      <c r="A3317" s="33" t="n">
        <v>45943</v>
      </c>
      <c r="B3317" t="inlineStr">
        <is>
          <t>2025-10</t>
        </is>
      </c>
      <c r="C3317" t="inlineStr">
        <is>
          <t>INVERSIONES Y ASESORIAS RAVAL LIMITADA</t>
        </is>
      </c>
      <c r="D3317" t="inlineStr">
        <is>
          <t>HORECA CAFETERIA</t>
        </is>
      </c>
      <c r="E3317" s="34" t="n">
        <v>72169</v>
      </c>
      <c r="F3317" t="inlineStr">
        <is>
          <t>F</t>
        </is>
      </c>
      <c r="G3317" s="34" t="n">
        <v>11523</v>
      </c>
      <c r="H3317" s="34" t="n">
        <v>60646</v>
      </c>
      <c r="I3317" t="inlineStr">
        <is>
          <t>3.1</t>
        </is>
      </c>
      <c r="J3317" t="inlineStr">
        <is>
          <t>Ventas HoReCa</t>
        </is>
      </c>
      <c r="K3317" t="inlineStr">
        <is>
          <t>CH1</t>
        </is>
      </c>
    </row>
    <row r="3318">
      <c r="A3318" s="33" t="n">
        <v>45943</v>
      </c>
      <c r="B3318" t="inlineStr">
        <is>
          <t>2025-10</t>
        </is>
      </c>
      <c r="C3318" t="inlineStr">
        <is>
          <t>Producciones la Martina Limitada</t>
        </is>
      </c>
      <c r="D3318" t="inlineStr">
        <is>
          <t>HORECA CATERING</t>
        </is>
      </c>
      <c r="E3318" s="34" t="n">
        <v>132320</v>
      </c>
      <c r="F3318" t="inlineStr">
        <is>
          <t>F</t>
        </is>
      </c>
      <c r="G3318" s="34" t="n">
        <v>21127</v>
      </c>
      <c r="H3318" s="34" t="n">
        <v>111193</v>
      </c>
      <c r="I3318" t="inlineStr">
        <is>
          <t>3.1</t>
        </is>
      </c>
      <c r="J3318" t="inlineStr">
        <is>
          <t>Ventas HoReCa</t>
        </is>
      </c>
      <c r="K3318" t="inlineStr">
        <is>
          <t>CH1</t>
        </is>
      </c>
    </row>
    <row r="3319">
      <c r="A3319" s="33" t="n">
        <v>45943</v>
      </c>
      <c r="B3319" t="inlineStr">
        <is>
          <t>2025-10</t>
        </is>
      </c>
      <c r="C3319" t="inlineStr">
        <is>
          <t>CAFÉ ROCAMAR LIMITADA</t>
        </is>
      </c>
      <c r="D3319" t="inlineStr">
        <is>
          <t>HORECA CAFETERIA</t>
        </is>
      </c>
      <c r="E3319" s="34" t="n">
        <v>192566</v>
      </c>
      <c r="F3319" t="inlineStr">
        <is>
          <t>F</t>
        </is>
      </c>
      <c r="G3319" s="34" t="n">
        <v>30746</v>
      </c>
      <c r="H3319" s="34" t="n">
        <v>161820</v>
      </c>
      <c r="I3319" t="inlineStr">
        <is>
          <t>3.1</t>
        </is>
      </c>
      <c r="J3319" t="inlineStr">
        <is>
          <t>Ventas HoReCa</t>
        </is>
      </c>
      <c r="K3319" t="inlineStr">
        <is>
          <t>CH1</t>
        </is>
      </c>
    </row>
    <row r="3320">
      <c r="A3320" s="33" t="n">
        <v>45943</v>
      </c>
      <c r="B3320" t="inlineStr">
        <is>
          <t>2025-10</t>
        </is>
      </c>
      <c r="C3320" t="inlineStr">
        <is>
          <t>Andres Kipreos</t>
        </is>
      </c>
      <c r="D3320" t="inlineStr">
        <is>
          <t>SALSAS</t>
        </is>
      </c>
      <c r="E3320" s="34" t="n">
        <v>27879</v>
      </c>
      <c r="F3320" t="inlineStr">
        <is>
          <t>B</t>
        </is>
      </c>
      <c r="G3320" s="34" t="n">
        <v>4451</v>
      </c>
      <c r="H3320" s="34" t="n">
        <v>23428</v>
      </c>
      <c r="I3320" t="inlineStr">
        <is>
          <t>3.2</t>
        </is>
      </c>
      <c r="J3320" t="inlineStr">
        <is>
          <t>Ventas Personas (B2C)</t>
        </is>
      </c>
      <c r="K3320" t="inlineStr">
        <is>
          <t>CH2</t>
        </is>
      </c>
    </row>
    <row r="3321">
      <c r="A3321" s="33" t="n">
        <v>45943</v>
      </c>
      <c r="B3321" t="inlineStr">
        <is>
          <t>2025-10</t>
        </is>
      </c>
      <c r="C3321" t="inlineStr">
        <is>
          <t>Sin cliente</t>
        </is>
      </c>
      <c r="D3321" t="inlineStr">
        <is>
          <t>Rellenos</t>
        </is>
      </c>
      <c r="E3321" s="34" t="n">
        <v>12000</v>
      </c>
      <c r="F3321" t="inlineStr">
        <is>
          <t>B</t>
        </is>
      </c>
      <c r="G3321" s="34" t="n">
        <v>1916</v>
      </c>
      <c r="H3321" s="34" t="n">
        <v>10084</v>
      </c>
      <c r="I3321" t="inlineStr">
        <is>
          <t>3.2</t>
        </is>
      </c>
      <c r="J3321" t="inlineStr">
        <is>
          <t>Ventas Personas (B2C)</t>
        </is>
      </c>
      <c r="K3321" t="inlineStr">
        <is>
          <t>CH2</t>
        </is>
      </c>
    </row>
    <row r="3322">
      <c r="A3322" s="33" t="n">
        <v>45943</v>
      </c>
      <c r="B3322" t="inlineStr">
        <is>
          <t>2025-10</t>
        </is>
      </c>
      <c r="C3322" t="inlineStr">
        <is>
          <t>DIEGO VARGAS BANQUETERIA Y EVENTOS SPA</t>
        </is>
      </c>
      <c r="D3322" t="inlineStr">
        <is>
          <t>REGION METROPOLITANA</t>
        </is>
      </c>
      <c r="E3322" s="34" t="n">
        <v>3990</v>
      </c>
      <c r="F3322" t="inlineStr">
        <is>
          <t>F</t>
        </is>
      </c>
      <c r="G3322" s="34" t="n">
        <v>637</v>
      </c>
      <c r="H3322" s="34" t="n">
        <v>3353</v>
      </c>
      <c r="I3322" t="inlineStr">
        <is>
          <t>3.1</t>
        </is>
      </c>
      <c r="J3322" t="inlineStr">
        <is>
          <t>Ventas HoReCa</t>
        </is>
      </c>
      <c r="K3322" t="inlineStr">
        <is>
          <t>CH1</t>
        </is>
      </c>
    </row>
    <row r="3323">
      <c r="A3323" s="33" t="n">
        <v>45943</v>
      </c>
      <c r="B3323" t="inlineStr">
        <is>
          <t>2025-10</t>
        </is>
      </c>
      <c r="C3323" t="inlineStr">
        <is>
          <t>Paula ACEVEDO</t>
        </is>
      </c>
      <c r="D3323" t="inlineStr">
        <is>
          <t>Rellenos</t>
        </is>
      </c>
      <c r="E3323" s="34" t="n">
        <v>20889</v>
      </c>
      <c r="F3323" t="inlineStr">
        <is>
          <t>B</t>
        </is>
      </c>
      <c r="G3323" s="34" t="n">
        <v>3335</v>
      </c>
      <c r="H3323" s="34" t="n">
        <v>17554</v>
      </c>
      <c r="I3323" t="inlineStr">
        <is>
          <t>3.2</t>
        </is>
      </c>
      <c r="J3323" t="inlineStr">
        <is>
          <t>Ventas Personas (B2C)</t>
        </is>
      </c>
      <c r="K3323" t="inlineStr">
        <is>
          <t>CH2</t>
        </is>
      </c>
    </row>
    <row r="3324">
      <c r="A3324" s="33" t="n">
        <v>45943</v>
      </c>
      <c r="B3324" t="inlineStr">
        <is>
          <t>2025-10</t>
        </is>
      </c>
      <c r="C3324" t="inlineStr">
        <is>
          <t>Sin cliente</t>
        </is>
      </c>
      <c r="D3324" t="inlineStr">
        <is>
          <t>CANELÉ TRADICIONAL</t>
        </is>
      </c>
      <c r="E3324" s="34" t="n">
        <v>10950</v>
      </c>
      <c r="F3324" t="inlineStr">
        <is>
          <t>B</t>
        </is>
      </c>
      <c r="G3324" s="34" t="n">
        <v>1748</v>
      </c>
      <c r="H3324" s="34" t="n">
        <v>9202</v>
      </c>
      <c r="I3324" t="inlineStr">
        <is>
          <t>3.2</t>
        </is>
      </c>
      <c r="J3324" t="inlineStr">
        <is>
          <t>Ventas Personas (B2C)</t>
        </is>
      </c>
      <c r="K3324" t="inlineStr">
        <is>
          <t>CH2</t>
        </is>
      </c>
    </row>
    <row r="3325">
      <c r="A3325" s="33" t="n">
        <v>45943</v>
      </c>
      <c r="B3325" t="inlineStr">
        <is>
          <t>2025-10</t>
        </is>
      </c>
      <c r="C3325" t="inlineStr">
        <is>
          <t>Sin cliente</t>
        </is>
      </c>
      <c r="D3325" t="inlineStr">
        <is>
          <t>PLATAFORMAS RAP-PEYA-UBER-GOOD</t>
        </is>
      </c>
      <c r="E3325" s="34" t="n">
        <v>30960</v>
      </c>
      <c r="F3325" t="inlineStr">
        <is>
          <t>B</t>
        </is>
      </c>
      <c r="G3325" s="34" t="n">
        <v>4943</v>
      </c>
      <c r="H3325" s="34" t="n">
        <v>26017</v>
      </c>
      <c r="I3325" t="inlineStr">
        <is>
          <t>3.6</t>
        </is>
      </c>
      <c r="J3325" t="inlineStr">
        <is>
          <t>Ventas Delivery Apps</t>
        </is>
      </c>
      <c r="K3325" t="inlineStr">
        <is>
          <t>CH3</t>
        </is>
      </c>
    </row>
    <row r="3326">
      <c r="A3326" s="33" t="n">
        <v>45943</v>
      </c>
      <c r="B3326" t="inlineStr">
        <is>
          <t>2025-10</t>
        </is>
      </c>
      <c r="C3326" t="inlineStr">
        <is>
          <t>Sin cliente</t>
        </is>
      </c>
      <c r="D3326" t="inlineStr">
        <is>
          <t>Petit Crunchy</t>
        </is>
      </c>
      <c r="E3326" s="34" t="n">
        <v>13900</v>
      </c>
      <c r="F3326" t="inlineStr">
        <is>
          <t>B</t>
        </is>
      </c>
      <c r="G3326" s="34" t="n">
        <v>2219</v>
      </c>
      <c r="H3326" s="34" t="n">
        <v>11681</v>
      </c>
      <c r="I3326" t="inlineStr">
        <is>
          <t>3.2</t>
        </is>
      </c>
      <c r="J3326" t="inlineStr">
        <is>
          <t>Ventas Personas (B2C)</t>
        </is>
      </c>
      <c r="K3326" t="inlineStr">
        <is>
          <t>CH2</t>
        </is>
      </c>
    </row>
    <row r="3327">
      <c r="A3327" s="33" t="n">
        <v>45944</v>
      </c>
      <c r="B3327" t="inlineStr">
        <is>
          <t>2025-10</t>
        </is>
      </c>
      <c r="C3327" t="inlineStr">
        <is>
          <t>RICO SPA</t>
        </is>
      </c>
      <c r="D3327" t="inlineStr">
        <is>
          <t>CANELÉ TRADICIONAL</t>
        </is>
      </c>
      <c r="E3327" s="34" t="n">
        <v>55000</v>
      </c>
      <c r="F3327" t="inlineStr">
        <is>
          <t>F</t>
        </is>
      </c>
      <c r="G3327" s="34" t="n">
        <v>8782</v>
      </c>
      <c r="H3327" s="34" t="n">
        <v>46218</v>
      </c>
      <c r="I3327" t="inlineStr">
        <is>
          <t>3.1</t>
        </is>
      </c>
      <c r="J3327" t="inlineStr">
        <is>
          <t>Ventas HoReCa</t>
        </is>
      </c>
      <c r="K3327" t="inlineStr">
        <is>
          <t>CH1</t>
        </is>
      </c>
    </row>
    <row r="3328">
      <c r="A3328" s="33" t="n">
        <v>45944</v>
      </c>
      <c r="B3328" t="inlineStr">
        <is>
          <t>2025-10</t>
        </is>
      </c>
      <c r="C3328" t="inlineStr">
        <is>
          <t>INVERSIONES Y COMERCIALIZADORA FED LIMITADA</t>
        </is>
      </c>
      <c r="D3328" t="inlineStr">
        <is>
          <t>HORECA CAFETERIA</t>
        </is>
      </c>
      <c r="E3328" s="34" t="n">
        <v>225738</v>
      </c>
      <c r="F3328" t="inlineStr">
        <is>
          <t>F</t>
        </is>
      </c>
      <c r="G3328" s="34" t="n">
        <v>36042</v>
      </c>
      <c r="H3328" s="34" t="n">
        <v>189696</v>
      </c>
      <c r="I3328" t="inlineStr">
        <is>
          <t>3.1</t>
        </is>
      </c>
      <c r="J3328" t="inlineStr">
        <is>
          <t>Ventas HoReCa</t>
        </is>
      </c>
      <c r="K3328" t="inlineStr">
        <is>
          <t>CH1</t>
        </is>
      </c>
    </row>
    <row r="3329">
      <c r="A3329" s="33" t="n">
        <v>45944</v>
      </c>
      <c r="B3329" t="inlineStr">
        <is>
          <t>2025-10</t>
        </is>
      </c>
      <c r="C3329" t="inlineStr">
        <is>
          <t>INVERSIONES Y COMERCIALIZADORA FED LIMITADA</t>
        </is>
      </c>
      <c r="D3329" t="inlineStr">
        <is>
          <t>HORECA CAFETERIA</t>
        </is>
      </c>
      <c r="E3329" s="34" t="n">
        <v>114110</v>
      </c>
      <c r="F3329" t="inlineStr">
        <is>
          <t>F</t>
        </is>
      </c>
      <c r="G3329" s="34" t="n">
        <v>18219</v>
      </c>
      <c r="H3329" s="34" t="n">
        <v>95891</v>
      </c>
      <c r="I3329" t="inlineStr">
        <is>
          <t>3.1</t>
        </is>
      </c>
      <c r="J3329" t="inlineStr">
        <is>
          <t>Ventas HoReCa</t>
        </is>
      </c>
      <c r="K3329" t="inlineStr">
        <is>
          <t>CH1</t>
        </is>
      </c>
    </row>
    <row r="3330">
      <c r="A3330" s="33" t="n">
        <v>45944</v>
      </c>
      <c r="B3330" t="inlineStr">
        <is>
          <t>2025-10</t>
        </is>
      </c>
      <c r="C3330" t="inlineStr">
        <is>
          <t>GALO SPA</t>
        </is>
      </c>
      <c r="D3330" t="inlineStr">
        <is>
          <t>HORECA CAFETERIA</t>
        </is>
      </c>
      <c r="E3330" s="34" t="n">
        <v>141506</v>
      </c>
      <c r="F3330" t="inlineStr">
        <is>
          <t>F</t>
        </is>
      </c>
      <c r="G3330" s="34" t="n">
        <v>22593</v>
      </c>
      <c r="H3330" s="34" t="n">
        <v>118913</v>
      </c>
      <c r="I3330" t="inlineStr">
        <is>
          <t>3.1</t>
        </is>
      </c>
      <c r="J3330" t="inlineStr">
        <is>
          <t>Ventas HoReCa</t>
        </is>
      </c>
      <c r="K3330" t="inlineStr">
        <is>
          <t>CH1</t>
        </is>
      </c>
    </row>
    <row r="3331">
      <c r="A3331" s="33" t="n">
        <v>45944</v>
      </c>
      <c r="B3331" t="inlineStr">
        <is>
          <t>2025-10</t>
        </is>
      </c>
      <c r="C3331" t="inlineStr">
        <is>
          <t>Inversiones Nagua SPA</t>
        </is>
      </c>
      <c r="D3331" t="inlineStr">
        <is>
          <t>HORECA CAFETERIA</t>
        </is>
      </c>
      <c r="E3331" s="34" t="n">
        <v>68179</v>
      </c>
      <c r="F3331" t="inlineStr">
        <is>
          <t>F</t>
        </is>
      </c>
      <c r="G3331" s="34" t="n">
        <v>10886</v>
      </c>
      <c r="H3331" s="34" t="n">
        <v>57293</v>
      </c>
      <c r="I3331" t="inlineStr">
        <is>
          <t>3.1</t>
        </is>
      </c>
      <c r="J3331" t="inlineStr">
        <is>
          <t>Ventas HoReCa</t>
        </is>
      </c>
      <c r="K3331" t="inlineStr">
        <is>
          <t>CH1</t>
        </is>
      </c>
    </row>
    <row r="3332">
      <c r="A3332" s="33" t="n">
        <v>45944</v>
      </c>
      <c r="B3332" t="inlineStr">
        <is>
          <t>2025-10</t>
        </is>
      </c>
      <c r="C3332" t="inlineStr">
        <is>
          <t>HUERTO SUR LIMITADA</t>
        </is>
      </c>
      <c r="D3332" t="inlineStr">
        <is>
          <t>HORECA CAFETERIA</t>
        </is>
      </c>
      <c r="E3332" s="34" t="n">
        <v>37084</v>
      </c>
      <c r="F3332" t="inlineStr">
        <is>
          <t>F</t>
        </is>
      </c>
      <c r="G3332" s="34" t="n">
        <v>5921</v>
      </c>
      <c r="H3332" s="34" t="n">
        <v>31163</v>
      </c>
      <c r="I3332" t="inlineStr">
        <is>
          <t>3.1</t>
        </is>
      </c>
      <c r="J3332" t="inlineStr">
        <is>
          <t>Ventas HoReCa</t>
        </is>
      </c>
      <c r="K3332" t="inlineStr">
        <is>
          <t>CH1</t>
        </is>
      </c>
    </row>
    <row r="3333">
      <c r="A3333" s="33" t="n">
        <v>45944</v>
      </c>
      <c r="B3333" t="inlineStr">
        <is>
          <t>2025-10</t>
        </is>
      </c>
      <c r="C3333" t="inlineStr">
        <is>
          <t>Jose Barrueta</t>
        </is>
      </c>
      <c r="D3333" t="inlineStr">
        <is>
          <t>Mix Sabores</t>
        </is>
      </c>
      <c r="E3333" s="34" t="n">
        <v>20890</v>
      </c>
      <c r="F3333" t="inlineStr">
        <is>
          <t>B</t>
        </is>
      </c>
      <c r="G3333" s="34" t="n">
        <v>3335</v>
      </c>
      <c r="H3333" s="34" t="n">
        <v>17555</v>
      </c>
      <c r="I3333" t="inlineStr">
        <is>
          <t>3.2</t>
        </is>
      </c>
      <c r="J3333" t="inlineStr">
        <is>
          <t>Ventas Personas (B2C)</t>
        </is>
      </c>
      <c r="K3333" t="inlineStr">
        <is>
          <t>CH2</t>
        </is>
      </c>
    </row>
    <row r="3334">
      <c r="A3334" s="33" t="n">
        <v>45944</v>
      </c>
      <c r="B3334" t="inlineStr">
        <is>
          <t>2025-10</t>
        </is>
      </c>
      <c r="C3334" t="inlineStr">
        <is>
          <t>ADRIAN HUGO GERARDO FIZ</t>
        </is>
      </c>
      <c r="D3334" t="inlineStr">
        <is>
          <t>Petit Tradicional</t>
        </is>
      </c>
      <c r="E3334" s="34" t="n">
        <v>24889</v>
      </c>
      <c r="F3334" t="inlineStr">
        <is>
          <t>B</t>
        </is>
      </c>
      <c r="G3334" s="34" t="n">
        <v>3974</v>
      </c>
      <c r="H3334" s="34" t="n">
        <v>20915</v>
      </c>
      <c r="I3334" t="inlineStr">
        <is>
          <t>3.2</t>
        </is>
      </c>
      <c r="J3334" t="inlineStr">
        <is>
          <t>Ventas Personas (B2C)</t>
        </is>
      </c>
      <c r="K3334" t="inlineStr">
        <is>
          <t>CH2</t>
        </is>
      </c>
    </row>
    <row r="3335">
      <c r="A3335" s="33" t="n">
        <v>45944</v>
      </c>
      <c r="B3335" t="inlineStr">
        <is>
          <t>2025-10</t>
        </is>
      </c>
      <c r="C3335" t="inlineStr">
        <is>
          <t>Manuela Gutierrez</t>
        </is>
      </c>
      <c r="D3335" t="inlineStr">
        <is>
          <t>CANELÉ TRADICIONAL</t>
        </is>
      </c>
      <c r="E3335" s="34" t="n">
        <v>20889</v>
      </c>
      <c r="F3335" t="inlineStr">
        <is>
          <t>B</t>
        </is>
      </c>
      <c r="G3335" s="34" t="n">
        <v>3335</v>
      </c>
      <c r="H3335" s="34" t="n">
        <v>17554</v>
      </c>
      <c r="I3335" t="inlineStr">
        <is>
          <t>3.2</t>
        </is>
      </c>
      <c r="J3335" t="inlineStr">
        <is>
          <t>Ventas Personas (B2C)</t>
        </is>
      </c>
      <c r="K3335" t="inlineStr">
        <is>
          <t>CH2</t>
        </is>
      </c>
    </row>
    <row r="3336">
      <c r="A3336" s="33" t="n">
        <v>45944</v>
      </c>
      <c r="B3336" t="inlineStr">
        <is>
          <t>2025-10</t>
        </is>
      </c>
      <c r="C3336" t="inlineStr">
        <is>
          <t>Inversiones Nagua SPA</t>
        </is>
      </c>
      <c r="D3336" t="inlineStr">
        <is>
          <t>HORECA CAFETERIA</t>
        </is>
      </c>
      <c r="E3336" s="34" t="n">
        <v>-68179</v>
      </c>
      <c r="F3336" t="inlineStr">
        <is>
          <t>NC</t>
        </is>
      </c>
      <c r="G3336" s="34" t="n">
        <v>-10886</v>
      </c>
      <c r="H3336" s="34" t="n">
        <v>-57293</v>
      </c>
      <c r="I3336" t="inlineStr">
        <is>
          <t>3.1</t>
        </is>
      </c>
      <c r="J3336" t="inlineStr">
        <is>
          <t>Ventas HoReCa</t>
        </is>
      </c>
      <c r="K3336" t="inlineStr">
        <is>
          <t>CH1</t>
        </is>
      </c>
    </row>
    <row r="3337">
      <c r="A3337" s="33" t="n">
        <v>45944</v>
      </c>
      <c r="B3337" t="inlineStr">
        <is>
          <t>2025-10</t>
        </is>
      </c>
      <c r="C3337" t="inlineStr">
        <is>
          <t>CONSTRUCTORA CUEVAS Y PURCELL S.A.</t>
        </is>
      </c>
      <c r="D3337" t="inlineStr">
        <is>
          <t>Petit Crunchy</t>
        </is>
      </c>
      <c r="E3337" s="34" t="n">
        <v>38890</v>
      </c>
      <c r="F3337" t="inlineStr">
        <is>
          <t>F</t>
        </is>
      </c>
      <c r="G3337" s="34" t="n">
        <v>6209</v>
      </c>
      <c r="H3337" s="34" t="n">
        <v>32681</v>
      </c>
      <c r="I3337" t="inlineStr">
        <is>
          <t>3.1</t>
        </is>
      </c>
      <c r="J3337" t="inlineStr">
        <is>
          <t>Ventas HoReCa</t>
        </is>
      </c>
      <c r="K3337" t="inlineStr">
        <is>
          <t>CH1</t>
        </is>
      </c>
    </row>
    <row r="3338">
      <c r="A3338" s="33" t="n">
        <v>45944</v>
      </c>
      <c r="B3338" t="inlineStr">
        <is>
          <t>2025-10</t>
        </is>
      </c>
      <c r="C3338" t="inlineStr">
        <is>
          <t>Sebastian Espinoza Ravanales</t>
        </is>
      </c>
      <c r="D3338" t="inlineStr">
        <is>
          <t>CANELÉ TRADICIONAL</t>
        </is>
      </c>
      <c r="E3338" s="34" t="n">
        <v>26890</v>
      </c>
      <c r="F3338" t="inlineStr">
        <is>
          <t>B</t>
        </is>
      </c>
      <c r="G3338" s="34" t="n">
        <v>4293</v>
      </c>
      <c r="H3338" s="34" t="n">
        <v>22597</v>
      </c>
      <c r="I3338" t="inlineStr">
        <is>
          <t>3.2</t>
        </is>
      </c>
      <c r="J3338" t="inlineStr">
        <is>
          <t>Ventas Personas (B2C)</t>
        </is>
      </c>
      <c r="K3338" t="inlineStr">
        <is>
          <t>CH2</t>
        </is>
      </c>
    </row>
    <row r="3339">
      <c r="A3339" s="33" t="n">
        <v>45944</v>
      </c>
      <c r="B3339" t="inlineStr">
        <is>
          <t>2025-10</t>
        </is>
      </c>
      <c r="C3339" t="inlineStr">
        <is>
          <t>Sin cliente</t>
        </is>
      </c>
      <c r="D3339" t="inlineStr">
        <is>
          <t>Petit Tradicional</t>
        </is>
      </c>
      <c r="E3339" s="34" t="n">
        <v>10680</v>
      </c>
      <c r="F3339" t="inlineStr">
        <is>
          <t>B</t>
        </is>
      </c>
      <c r="G3339" s="34" t="n">
        <v>1705</v>
      </c>
      <c r="H3339" s="34" t="n">
        <v>8975</v>
      </c>
      <c r="I3339" t="inlineStr">
        <is>
          <t>3.2</t>
        </is>
      </c>
      <c r="J3339" t="inlineStr">
        <is>
          <t>Ventas Personas (B2C)</t>
        </is>
      </c>
      <c r="K3339" t="inlineStr">
        <is>
          <t>CH2</t>
        </is>
      </c>
    </row>
    <row r="3340">
      <c r="A3340" s="33" t="n">
        <v>45944</v>
      </c>
      <c r="B3340" t="inlineStr">
        <is>
          <t>2025-10</t>
        </is>
      </c>
      <c r="C3340" t="inlineStr">
        <is>
          <t>Pamela Gomez calabrano</t>
        </is>
      </c>
      <c r="D3340" t="inlineStr">
        <is>
          <t>PACKS GOURMET</t>
        </is>
      </c>
      <c r="E3340" s="34" t="n">
        <v>77401</v>
      </c>
      <c r="F3340" t="inlineStr">
        <is>
          <t>B</t>
        </is>
      </c>
      <c r="G3340" s="34" t="n">
        <v>12358</v>
      </c>
      <c r="H3340" s="34" t="n">
        <v>65043</v>
      </c>
      <c r="I3340" t="inlineStr">
        <is>
          <t>3.2</t>
        </is>
      </c>
      <c r="J3340" t="inlineStr">
        <is>
          <t>Ventas Personas (B2C)</t>
        </is>
      </c>
      <c r="K3340" t="inlineStr">
        <is>
          <t>CH2</t>
        </is>
      </c>
    </row>
    <row r="3341">
      <c r="A3341" s="33" t="n">
        <v>45944</v>
      </c>
      <c r="B3341" t="inlineStr">
        <is>
          <t>2025-10</t>
        </is>
      </c>
      <c r="C3341" t="inlineStr">
        <is>
          <t>Ivonne Peña</t>
        </is>
      </c>
      <c r="D3341" t="inlineStr">
        <is>
          <t>REGION METROPOLITANA</t>
        </is>
      </c>
      <c r="E3341" s="34" t="n">
        <v>7980</v>
      </c>
      <c r="F3341" t="inlineStr">
        <is>
          <t>B</t>
        </is>
      </c>
      <c r="G3341" s="34" t="n">
        <v>1274</v>
      </c>
      <c r="H3341" s="34" t="n">
        <v>6706</v>
      </c>
      <c r="I3341" t="inlineStr">
        <is>
          <t>3.1</t>
        </is>
      </c>
      <c r="J3341" t="inlineStr">
        <is>
          <t>Ventas HoReCa</t>
        </is>
      </c>
      <c r="K3341" t="inlineStr">
        <is>
          <t>CH1</t>
        </is>
      </c>
    </row>
    <row r="3342">
      <c r="A3342" s="33" t="n">
        <v>45944</v>
      </c>
      <c r="B3342" t="inlineStr">
        <is>
          <t>2025-10</t>
        </is>
      </c>
      <c r="C3342" t="inlineStr">
        <is>
          <t>Juan Friedl</t>
        </is>
      </c>
      <c r="D3342" t="inlineStr">
        <is>
          <t>Petit Crunchy</t>
        </is>
      </c>
      <c r="E3342" s="34" t="n">
        <v>13889</v>
      </c>
      <c r="F3342" t="inlineStr">
        <is>
          <t>B</t>
        </is>
      </c>
      <c r="G3342" s="34" t="n">
        <v>2218</v>
      </c>
      <c r="H3342" s="34" t="n">
        <v>11671</v>
      </c>
      <c r="I3342" t="inlineStr">
        <is>
          <t>3.2</t>
        </is>
      </c>
      <c r="J3342" t="inlineStr">
        <is>
          <t>Ventas Personas (B2C)</t>
        </is>
      </c>
      <c r="K3342" t="inlineStr">
        <is>
          <t>CH2</t>
        </is>
      </c>
    </row>
    <row r="3343">
      <c r="A3343" s="33" t="n">
        <v>45945</v>
      </c>
      <c r="B3343" t="inlineStr">
        <is>
          <t>2025-10</t>
        </is>
      </c>
      <c r="C3343" t="inlineStr">
        <is>
          <t>HUERTO SUR LIMITADA</t>
        </is>
      </c>
      <c r="D3343" t="inlineStr">
        <is>
          <t>HORECA CAFETERIA</t>
        </is>
      </c>
      <c r="E3343" s="34" t="n">
        <v>100273</v>
      </c>
      <c r="F3343" t="inlineStr">
        <is>
          <t>F</t>
        </is>
      </c>
      <c r="G3343" s="34" t="n">
        <v>16010</v>
      </c>
      <c r="H3343" s="34" t="n">
        <v>84263</v>
      </c>
      <c r="I3343" t="inlineStr">
        <is>
          <t>3.1</t>
        </is>
      </c>
      <c r="J3343" t="inlineStr">
        <is>
          <t>Ventas HoReCa</t>
        </is>
      </c>
      <c r="K3343" t="inlineStr">
        <is>
          <t>CH1</t>
        </is>
      </c>
    </row>
    <row r="3344">
      <c r="A3344" s="33" t="n">
        <v>45945</v>
      </c>
      <c r="B3344" t="inlineStr">
        <is>
          <t>2025-10</t>
        </is>
      </c>
      <c r="C3344" t="inlineStr">
        <is>
          <t>HUERTO SUR LIMITADA</t>
        </is>
      </c>
      <c r="D3344" t="inlineStr">
        <is>
          <t>HORECA CAFETERIA</t>
        </is>
      </c>
      <c r="E3344" s="34" t="n">
        <v>36084</v>
      </c>
      <c r="F3344" t="inlineStr">
        <is>
          <t>F</t>
        </is>
      </c>
      <c r="G3344" s="34" t="n">
        <v>5761</v>
      </c>
      <c r="H3344" s="34" t="n">
        <v>30323</v>
      </c>
      <c r="I3344" t="inlineStr">
        <is>
          <t>3.1</t>
        </is>
      </c>
      <c r="J3344" t="inlineStr">
        <is>
          <t>Ventas HoReCa</t>
        </is>
      </c>
      <c r="K3344" t="inlineStr">
        <is>
          <t>CH1</t>
        </is>
      </c>
    </row>
    <row r="3345">
      <c r="A3345" s="33" t="n">
        <v>45945</v>
      </c>
      <c r="B3345" t="inlineStr">
        <is>
          <t>2025-10</t>
        </is>
      </c>
      <c r="C3345" t="inlineStr">
        <is>
          <t>HUERTO SUR LIMITADA</t>
        </is>
      </c>
      <c r="D3345" t="inlineStr">
        <is>
          <t>HORECA CAFETERIA</t>
        </is>
      </c>
      <c r="E3345" s="34" t="n">
        <v>36084</v>
      </c>
      <c r="F3345" t="inlineStr">
        <is>
          <t>F</t>
        </is>
      </c>
      <c r="G3345" s="34" t="n">
        <v>5761</v>
      </c>
      <c r="H3345" s="34" t="n">
        <v>30323</v>
      </c>
      <c r="I3345" t="inlineStr">
        <is>
          <t>3.1</t>
        </is>
      </c>
      <c r="J3345" t="inlineStr">
        <is>
          <t>Ventas HoReCa</t>
        </is>
      </c>
      <c r="K3345" t="inlineStr">
        <is>
          <t>CH1</t>
        </is>
      </c>
    </row>
    <row r="3346">
      <c r="A3346" s="33" t="n">
        <v>45945</v>
      </c>
      <c r="B3346" t="inlineStr">
        <is>
          <t>2025-10</t>
        </is>
      </c>
      <c r="C3346" t="inlineStr">
        <is>
          <t>HUERTO SUR LIMITADA</t>
        </is>
      </c>
      <c r="D3346" t="inlineStr">
        <is>
          <t>HORECA CAFETERIA</t>
        </is>
      </c>
      <c r="E3346" s="34" t="n">
        <v>100273</v>
      </c>
      <c r="F3346" t="inlineStr">
        <is>
          <t>F</t>
        </is>
      </c>
      <c r="G3346" s="34" t="n">
        <v>16010</v>
      </c>
      <c r="H3346" s="34" t="n">
        <v>84263</v>
      </c>
      <c r="I3346" t="inlineStr">
        <is>
          <t>3.1</t>
        </is>
      </c>
      <c r="J3346" t="inlineStr">
        <is>
          <t>Ventas HoReCa</t>
        </is>
      </c>
      <c r="K3346" t="inlineStr">
        <is>
          <t>CH1</t>
        </is>
      </c>
    </row>
    <row r="3347">
      <c r="A3347" s="33" t="n">
        <v>45945</v>
      </c>
      <c r="B3347" t="inlineStr">
        <is>
          <t>2025-10</t>
        </is>
      </c>
      <c r="C3347" t="inlineStr">
        <is>
          <t>HUERTO SUR LIMITADA</t>
        </is>
      </c>
      <c r="D3347" t="inlineStr">
        <is>
          <t>HORECA CAFETERIA</t>
        </is>
      </c>
      <c r="E3347" s="34" t="n">
        <v>100273</v>
      </c>
      <c r="F3347" t="inlineStr">
        <is>
          <t>F</t>
        </is>
      </c>
      <c r="G3347" s="34" t="n">
        <v>16010</v>
      </c>
      <c r="H3347" s="34" t="n">
        <v>84263</v>
      </c>
      <c r="I3347" t="inlineStr">
        <is>
          <t>3.1</t>
        </is>
      </c>
      <c r="J3347" t="inlineStr">
        <is>
          <t>Ventas HoReCa</t>
        </is>
      </c>
      <c r="K3347" t="inlineStr">
        <is>
          <t>CH1</t>
        </is>
      </c>
    </row>
    <row r="3348">
      <c r="A3348" s="33" t="n">
        <v>45945</v>
      </c>
      <c r="B3348" t="inlineStr">
        <is>
          <t>2025-10</t>
        </is>
      </c>
      <c r="C3348" t="inlineStr">
        <is>
          <t>HUERTO SUR LIMITADA</t>
        </is>
      </c>
      <c r="D3348" t="inlineStr">
        <is>
          <t>HORECA CAFETERIA</t>
        </is>
      </c>
      <c r="E3348" s="34" t="n">
        <v>36084</v>
      </c>
      <c r="F3348" t="inlineStr">
        <is>
          <t>F</t>
        </is>
      </c>
      <c r="G3348" s="34" t="n">
        <v>5761</v>
      </c>
      <c r="H3348" s="34" t="n">
        <v>30323</v>
      </c>
      <c r="I3348" t="inlineStr">
        <is>
          <t>3.1</t>
        </is>
      </c>
      <c r="J3348" t="inlineStr">
        <is>
          <t>Ventas HoReCa</t>
        </is>
      </c>
      <c r="K3348" t="inlineStr">
        <is>
          <t>CH1</t>
        </is>
      </c>
    </row>
    <row r="3349">
      <c r="A3349" s="33" t="n">
        <v>45945</v>
      </c>
      <c r="B3349" t="inlineStr">
        <is>
          <t>2025-10</t>
        </is>
      </c>
      <c r="C3349" t="inlineStr">
        <is>
          <t>HUERTO SUR LIMITADA</t>
        </is>
      </c>
      <c r="D3349" t="inlineStr">
        <is>
          <t>HORECA CAFETERIA</t>
        </is>
      </c>
      <c r="E3349" s="34" t="n">
        <v>36084</v>
      </c>
      <c r="F3349" t="inlineStr">
        <is>
          <t>F</t>
        </is>
      </c>
      <c r="G3349" s="34" t="n">
        <v>5761</v>
      </c>
      <c r="H3349" s="34" t="n">
        <v>30323</v>
      </c>
      <c r="I3349" t="inlineStr">
        <is>
          <t>3.1</t>
        </is>
      </c>
      <c r="J3349" t="inlineStr">
        <is>
          <t>Ventas HoReCa</t>
        </is>
      </c>
      <c r="K3349" t="inlineStr">
        <is>
          <t>CH1</t>
        </is>
      </c>
    </row>
    <row r="3350">
      <c r="A3350" s="33" t="n">
        <v>45945</v>
      </c>
      <c r="B3350" t="inlineStr">
        <is>
          <t>2025-10</t>
        </is>
      </c>
      <c r="C3350" t="inlineStr">
        <is>
          <t>DIEGO VARGAS BANQUETERIA Y EVENTOS SPA</t>
        </is>
      </c>
      <c r="D3350" t="inlineStr">
        <is>
          <t>HORECA CATERING</t>
        </is>
      </c>
      <c r="E3350" s="34" t="n">
        <v>217048</v>
      </c>
      <c r="F3350" t="inlineStr">
        <is>
          <t>F</t>
        </is>
      </c>
      <c r="G3350" s="34" t="n">
        <v>34655</v>
      </c>
      <c r="H3350" s="34" t="n">
        <v>182393</v>
      </c>
      <c r="I3350" t="inlineStr">
        <is>
          <t>3.1</t>
        </is>
      </c>
      <c r="J3350" t="inlineStr">
        <is>
          <t>Ventas HoReCa</t>
        </is>
      </c>
      <c r="K3350" t="inlineStr">
        <is>
          <t>CH1</t>
        </is>
      </c>
    </row>
    <row r="3351">
      <c r="A3351" s="33" t="n">
        <v>45945</v>
      </c>
      <c r="B3351" t="inlineStr">
        <is>
          <t>2025-10</t>
        </is>
      </c>
      <c r="C3351" t="inlineStr">
        <is>
          <t>Rodrigo Sammut</t>
        </is>
      </c>
      <c r="D3351" t="inlineStr">
        <is>
          <t>Mix Sabores</t>
        </is>
      </c>
      <c r="E3351" s="34" t="n">
        <v>25789</v>
      </c>
      <c r="F3351" t="inlineStr">
        <is>
          <t>B</t>
        </is>
      </c>
      <c r="G3351" s="34" t="n">
        <v>4118</v>
      </c>
      <c r="H3351" s="34" t="n">
        <v>21671</v>
      </c>
      <c r="I3351" t="inlineStr">
        <is>
          <t>3.2</t>
        </is>
      </c>
      <c r="J3351" t="inlineStr">
        <is>
          <t>Ventas Personas (B2C)</t>
        </is>
      </c>
      <c r="K3351" t="inlineStr">
        <is>
          <t>CH2</t>
        </is>
      </c>
    </row>
    <row r="3352">
      <c r="A3352" s="33" t="n">
        <v>45945</v>
      </c>
      <c r="B3352" t="inlineStr">
        <is>
          <t>2025-10</t>
        </is>
      </c>
      <c r="C3352" t="inlineStr">
        <is>
          <t>Sin cliente</t>
        </is>
      </c>
      <c r="D3352" t="inlineStr">
        <is>
          <t>CANELÉ TRADICIONAL</t>
        </is>
      </c>
      <c r="E3352" s="34" t="n">
        <v>14900</v>
      </c>
      <c r="F3352" t="inlineStr">
        <is>
          <t>B</t>
        </is>
      </c>
      <c r="G3352" s="34" t="n">
        <v>2379</v>
      </c>
      <c r="H3352" s="34" t="n">
        <v>12521</v>
      </c>
      <c r="I3352" t="inlineStr">
        <is>
          <t>3.2</t>
        </is>
      </c>
      <c r="J3352" t="inlineStr">
        <is>
          <t>Ventas Personas (B2C)</t>
        </is>
      </c>
      <c r="K3352" t="inlineStr">
        <is>
          <t>CH2</t>
        </is>
      </c>
    </row>
    <row r="3353">
      <c r="A3353" s="33" t="n">
        <v>45945</v>
      </c>
      <c r="B3353" t="inlineStr">
        <is>
          <t>2025-10</t>
        </is>
      </c>
      <c r="C3353" t="inlineStr">
        <is>
          <t>Sin cliente</t>
        </is>
      </c>
      <c r="D3353" t="inlineStr">
        <is>
          <t>PLATAFORMAS RAP-PEYA-UBER-GOOD</t>
        </is>
      </c>
      <c r="E3353" s="34" t="n">
        <v>26280</v>
      </c>
      <c r="F3353" t="inlineStr">
        <is>
          <t>B</t>
        </is>
      </c>
      <c r="G3353" s="34" t="n">
        <v>4196</v>
      </c>
      <c r="H3353" s="34" t="n">
        <v>22084</v>
      </c>
      <c r="I3353" t="inlineStr">
        <is>
          <t>3.6</t>
        </is>
      </c>
      <c r="J3353" t="inlineStr">
        <is>
          <t>Ventas Delivery Apps</t>
        </is>
      </c>
      <c r="K3353" t="inlineStr">
        <is>
          <t>CH3</t>
        </is>
      </c>
    </row>
    <row r="3354">
      <c r="A3354" s="33" t="n">
        <v>45945</v>
      </c>
      <c r="B3354" t="inlineStr">
        <is>
          <t>2025-10</t>
        </is>
      </c>
      <c r="C3354" t="inlineStr">
        <is>
          <t>Enrique Acosta Garrido</t>
        </is>
      </c>
      <c r="D3354" t="inlineStr">
        <is>
          <t>Mix Sabores</t>
        </is>
      </c>
      <c r="E3354" s="34" t="n">
        <v>18889</v>
      </c>
      <c r="F3354" t="inlineStr">
        <is>
          <t>B</t>
        </is>
      </c>
      <c r="G3354" s="34" t="n">
        <v>3016</v>
      </c>
      <c r="H3354" s="34" t="n">
        <v>15873</v>
      </c>
      <c r="I3354" t="inlineStr">
        <is>
          <t>3.2</t>
        </is>
      </c>
      <c r="J3354" t="inlineStr">
        <is>
          <t>Ventas Personas (B2C)</t>
        </is>
      </c>
      <c r="K3354" t="inlineStr">
        <is>
          <t>CH2</t>
        </is>
      </c>
    </row>
    <row r="3355">
      <c r="A3355" s="33" t="n">
        <v>45945</v>
      </c>
      <c r="B3355" t="inlineStr">
        <is>
          <t>2025-10</t>
        </is>
      </c>
      <c r="C3355" t="inlineStr">
        <is>
          <t>Valeska Palma</t>
        </is>
      </c>
      <c r="D3355" t="inlineStr">
        <is>
          <t>Petit Crunchy</t>
        </is>
      </c>
      <c r="E3355" s="34" t="n">
        <v>18890</v>
      </c>
      <c r="F3355" t="inlineStr">
        <is>
          <t>B</t>
        </is>
      </c>
      <c r="G3355" s="34" t="n">
        <v>3016</v>
      </c>
      <c r="H3355" s="34" t="n">
        <v>15874</v>
      </c>
      <c r="I3355" t="inlineStr">
        <is>
          <t>3.2</t>
        </is>
      </c>
      <c r="J3355" t="inlineStr">
        <is>
          <t>Ventas Personas (B2C)</t>
        </is>
      </c>
      <c r="K3355" t="inlineStr">
        <is>
          <t>CH2</t>
        </is>
      </c>
    </row>
    <row r="3356">
      <c r="A3356" s="33" t="n">
        <v>45945</v>
      </c>
      <c r="B3356" t="inlineStr">
        <is>
          <t>2025-10</t>
        </is>
      </c>
      <c r="C3356" t="inlineStr">
        <is>
          <t>Franz Feine Sanhueza</t>
        </is>
      </c>
      <c r="D3356" t="inlineStr">
        <is>
          <t>Rellenos</t>
        </is>
      </c>
      <c r="E3356" s="34" t="n">
        <v>3000</v>
      </c>
      <c r="F3356" t="inlineStr">
        <is>
          <t>B</t>
        </is>
      </c>
      <c r="G3356" s="34" t="n">
        <v>479</v>
      </c>
      <c r="H3356" s="34" t="n">
        <v>2521</v>
      </c>
      <c r="I3356" t="inlineStr">
        <is>
          <t>3.2</t>
        </is>
      </c>
      <c r="J3356" t="inlineStr">
        <is>
          <t>Ventas Personas (B2C)</t>
        </is>
      </c>
      <c r="K3356" t="inlineStr">
        <is>
          <t>CH2</t>
        </is>
      </c>
    </row>
    <row r="3357">
      <c r="A3357" s="33" t="n">
        <v>45945</v>
      </c>
      <c r="B3357" t="inlineStr">
        <is>
          <t>2025-10</t>
        </is>
      </c>
      <c r="C3357" t="inlineStr">
        <is>
          <t>ARI MANRIQUEZ</t>
        </is>
      </c>
      <c r="D3357" t="inlineStr">
        <is>
          <t>Rellenos</t>
        </is>
      </c>
      <c r="E3357" s="34" t="n">
        <v>26889</v>
      </c>
      <c r="F3357" t="inlineStr">
        <is>
          <t>B</t>
        </is>
      </c>
      <c r="G3357" s="34" t="n">
        <v>4293</v>
      </c>
      <c r="H3357" s="34" t="n">
        <v>22596</v>
      </c>
      <c r="I3357" t="inlineStr">
        <is>
          <t>3.2</t>
        </is>
      </c>
      <c r="J3357" t="inlineStr">
        <is>
          <t>Ventas Personas (B2C)</t>
        </is>
      </c>
      <c r="K3357" t="inlineStr">
        <is>
          <t>CH2</t>
        </is>
      </c>
    </row>
    <row r="3358">
      <c r="A3358" s="33" t="n">
        <v>45945</v>
      </c>
      <c r="B3358" t="inlineStr">
        <is>
          <t>2025-10</t>
        </is>
      </c>
      <c r="C3358" t="inlineStr">
        <is>
          <t>CORPORACION EDUCACIONAL ALIANZA FRANCESA</t>
        </is>
      </c>
      <c r="D3358" t="inlineStr">
        <is>
          <t>Glosa Caja Un. Canelé Tradicional + Caja con 3 calugas + Bol</t>
        </is>
      </c>
      <c r="E3358" s="34" t="n">
        <v>2083680</v>
      </c>
      <c r="F3358" t="inlineStr">
        <is>
          <t>F</t>
        </is>
      </c>
      <c r="G3358" s="34" t="n">
        <v>332688</v>
      </c>
      <c r="H3358" s="34" t="n">
        <v>1750992</v>
      </c>
      <c r="I3358" t="inlineStr">
        <is>
          <t>3.1</t>
        </is>
      </c>
      <c r="J3358" t="inlineStr">
        <is>
          <t>Ventas HoReCa</t>
        </is>
      </c>
      <c r="K3358" t="inlineStr">
        <is>
          <t>CH1</t>
        </is>
      </c>
    </row>
    <row r="3359">
      <c r="A3359" s="33" t="n">
        <v>45945</v>
      </c>
      <c r="B3359" t="inlineStr">
        <is>
          <t>2025-10</t>
        </is>
      </c>
      <c r="C3359" t="inlineStr">
        <is>
          <t>Maria Jose Castro</t>
        </is>
      </c>
      <c r="D3359" t="inlineStr">
        <is>
          <t>Petit Tradicional</t>
        </is>
      </c>
      <c r="E3359" s="34" t="n">
        <v>30690</v>
      </c>
      <c r="F3359" t="inlineStr">
        <is>
          <t>B</t>
        </is>
      </c>
      <c r="G3359" s="34" t="n">
        <v>4900</v>
      </c>
      <c r="H3359" s="34" t="n">
        <v>25790</v>
      </c>
      <c r="I3359" t="inlineStr">
        <is>
          <t>3.2</t>
        </is>
      </c>
      <c r="J3359" t="inlineStr">
        <is>
          <t>Ventas Personas (B2C)</t>
        </is>
      </c>
      <c r="K3359" t="inlineStr">
        <is>
          <t>CH2</t>
        </is>
      </c>
    </row>
    <row r="3360">
      <c r="A3360" s="33" t="n">
        <v>45945</v>
      </c>
      <c r="B3360" t="inlineStr">
        <is>
          <t>2025-10</t>
        </is>
      </c>
      <c r="C3360" t="inlineStr">
        <is>
          <t>Monica Serrano Varela</t>
        </is>
      </c>
      <c r="D3360" t="inlineStr">
        <is>
          <t>Rellenos</t>
        </is>
      </c>
      <c r="E3360" s="34" t="n">
        <v>26889</v>
      </c>
      <c r="F3360" t="inlineStr">
        <is>
          <t>B</t>
        </is>
      </c>
      <c r="G3360" s="34" t="n">
        <v>4293</v>
      </c>
      <c r="H3360" s="34" t="n">
        <v>22596</v>
      </c>
      <c r="I3360" t="inlineStr">
        <is>
          <t>3.2</t>
        </is>
      </c>
      <c r="J3360" t="inlineStr">
        <is>
          <t>Ventas Personas (B2C)</t>
        </is>
      </c>
      <c r="K3360" t="inlineStr">
        <is>
          <t>CH2</t>
        </is>
      </c>
    </row>
    <row r="3361">
      <c r="A3361" s="33" t="n">
        <v>45945</v>
      </c>
      <c r="B3361" t="inlineStr">
        <is>
          <t>2025-10</t>
        </is>
      </c>
      <c r="C3361" t="inlineStr">
        <is>
          <t>Barbara Paredes</t>
        </is>
      </c>
      <c r="D3361" t="inlineStr">
        <is>
          <t>CANELÉ TRADICIONAL</t>
        </is>
      </c>
      <c r="E3361" s="34" t="n">
        <v>152990</v>
      </c>
      <c r="F3361" t="inlineStr">
        <is>
          <t>B</t>
        </is>
      </c>
      <c r="G3361" s="34" t="n">
        <v>24427</v>
      </c>
      <c r="H3361" s="34" t="n">
        <v>128563</v>
      </c>
      <c r="I3361" t="inlineStr">
        <is>
          <t>3.2</t>
        </is>
      </c>
      <c r="J3361" t="inlineStr">
        <is>
          <t>Ventas Personas (B2C)</t>
        </is>
      </c>
      <c r="K3361" t="inlineStr">
        <is>
          <t>CH2</t>
        </is>
      </c>
    </row>
    <row r="3362">
      <c r="A3362" s="33" t="n">
        <v>45945</v>
      </c>
      <c r="B3362" t="inlineStr">
        <is>
          <t>2025-10</t>
        </is>
      </c>
      <c r="C3362" t="inlineStr">
        <is>
          <t>Sin cliente</t>
        </is>
      </c>
      <c r="D3362" t="inlineStr">
        <is>
          <t>Rellenos</t>
        </is>
      </c>
      <c r="E3362" s="34" t="n">
        <v>28400</v>
      </c>
      <c r="F3362" t="inlineStr">
        <is>
          <t>B</t>
        </is>
      </c>
      <c r="G3362" s="34" t="n">
        <v>4534</v>
      </c>
      <c r="H3362" s="34" t="n">
        <v>23866</v>
      </c>
      <c r="I3362" t="inlineStr">
        <is>
          <t>3.2</t>
        </is>
      </c>
      <c r="J3362" t="inlineStr">
        <is>
          <t>Ventas Personas (B2C)</t>
        </is>
      </c>
      <c r="K3362" t="inlineStr">
        <is>
          <t>CH2</t>
        </is>
      </c>
    </row>
    <row r="3363">
      <c r="A3363" s="33" t="n">
        <v>45945</v>
      </c>
      <c r="B3363" t="inlineStr">
        <is>
          <t>2025-10</t>
        </is>
      </c>
      <c r="C3363" t="inlineStr">
        <is>
          <t>Sin cliente</t>
        </is>
      </c>
      <c r="D3363" t="inlineStr">
        <is>
          <t>CANELÉ TRADICIONAL</t>
        </is>
      </c>
      <c r="E3363" s="34" t="n">
        <v>21900</v>
      </c>
      <c r="F3363" t="inlineStr">
        <is>
          <t>B</t>
        </is>
      </c>
      <c r="G3363" s="34" t="n">
        <v>3497</v>
      </c>
      <c r="H3363" s="34" t="n">
        <v>18403</v>
      </c>
      <c r="I3363" t="inlineStr">
        <is>
          <t>3.2</t>
        </is>
      </c>
      <c r="J3363" t="inlineStr">
        <is>
          <t>Ventas Personas (B2C)</t>
        </is>
      </c>
      <c r="K3363" t="inlineStr">
        <is>
          <t>CH2</t>
        </is>
      </c>
    </row>
    <row r="3364">
      <c r="A3364" s="33" t="n">
        <v>45945</v>
      </c>
      <c r="B3364" t="inlineStr">
        <is>
          <t>2025-10</t>
        </is>
      </c>
      <c r="C3364" t="inlineStr">
        <is>
          <t>Sin cliente</t>
        </is>
      </c>
      <c r="D3364" t="inlineStr">
        <is>
          <t>CANELÉ TRADICIONAL</t>
        </is>
      </c>
      <c r="E3364" s="34" t="n">
        <v>14900</v>
      </c>
      <c r="F3364" t="inlineStr">
        <is>
          <t>B</t>
        </is>
      </c>
      <c r="G3364" s="34" t="n">
        <v>2379</v>
      </c>
      <c r="H3364" s="34" t="n">
        <v>12521</v>
      </c>
      <c r="I3364" t="inlineStr">
        <is>
          <t>3.2</t>
        </is>
      </c>
      <c r="J3364" t="inlineStr">
        <is>
          <t>Ventas Personas (B2C)</t>
        </is>
      </c>
      <c r="K3364" t="inlineStr">
        <is>
          <t>CH2</t>
        </is>
      </c>
    </row>
    <row r="3365">
      <c r="A3365" s="33" t="n">
        <v>45945</v>
      </c>
      <c r="B3365" t="inlineStr">
        <is>
          <t>2025-10</t>
        </is>
      </c>
      <c r="C3365" t="inlineStr">
        <is>
          <t>Sin cliente</t>
        </is>
      </c>
      <c r="D3365" t="inlineStr">
        <is>
          <t>Rellenos</t>
        </is>
      </c>
      <c r="E3365" s="34" t="n">
        <v>35880</v>
      </c>
      <c r="F3365" t="inlineStr">
        <is>
          <t>B</t>
        </is>
      </c>
      <c r="G3365" s="34" t="n">
        <v>5729</v>
      </c>
      <c r="H3365" s="34" t="n">
        <v>30151</v>
      </c>
      <c r="I3365" t="inlineStr">
        <is>
          <t>3.2</t>
        </is>
      </c>
      <c r="J3365" t="inlineStr">
        <is>
          <t>Ventas Personas (B2C)</t>
        </is>
      </c>
      <c r="K3365" t="inlineStr">
        <is>
          <t>CH2</t>
        </is>
      </c>
    </row>
    <row r="3366">
      <c r="A3366" s="33" t="n">
        <v>45945</v>
      </c>
      <c r="B3366" t="inlineStr">
        <is>
          <t>2025-10</t>
        </is>
      </c>
      <c r="C3366" t="inlineStr">
        <is>
          <t>Sin cliente</t>
        </is>
      </c>
      <c r="D3366" t="inlineStr">
        <is>
          <t>Rellenos</t>
        </is>
      </c>
      <c r="E3366" s="34" t="n">
        <v>35880</v>
      </c>
      <c r="F3366" t="inlineStr">
        <is>
          <t>B</t>
        </is>
      </c>
      <c r="G3366" s="34" t="n">
        <v>5729</v>
      </c>
      <c r="H3366" s="34" t="n">
        <v>30151</v>
      </c>
      <c r="I3366" t="inlineStr">
        <is>
          <t>3.2</t>
        </is>
      </c>
      <c r="J3366" t="inlineStr">
        <is>
          <t>Ventas Personas (B2C)</t>
        </is>
      </c>
      <c r="K3366" t="inlineStr">
        <is>
          <t>CH2</t>
        </is>
      </c>
    </row>
    <row r="3367">
      <c r="A3367" s="33" t="n">
        <v>45945</v>
      </c>
      <c r="B3367" t="inlineStr">
        <is>
          <t>2025-10</t>
        </is>
      </c>
      <c r="C3367" t="inlineStr">
        <is>
          <t>Sin cliente</t>
        </is>
      </c>
      <c r="D3367" t="inlineStr">
        <is>
          <t>CANELÉ TRADICIONAL</t>
        </is>
      </c>
      <c r="E3367" s="34" t="n">
        <v>17900</v>
      </c>
      <c r="F3367" t="inlineStr">
        <is>
          <t>B</t>
        </is>
      </c>
      <c r="G3367" s="34" t="n">
        <v>2858</v>
      </c>
      <c r="H3367" s="34" t="n">
        <v>15042</v>
      </c>
      <c r="I3367" t="inlineStr">
        <is>
          <t>3.2</t>
        </is>
      </c>
      <c r="J3367" t="inlineStr">
        <is>
          <t>Ventas Personas (B2C)</t>
        </is>
      </c>
      <c r="K3367" t="inlineStr">
        <is>
          <t>CH2</t>
        </is>
      </c>
    </row>
    <row r="3368">
      <c r="A3368" s="33" t="n">
        <v>45946</v>
      </c>
      <c r="B3368" t="inlineStr">
        <is>
          <t>2025-10</t>
        </is>
      </c>
      <c r="C3368" t="inlineStr">
        <is>
          <t xml:space="preserve">Café lucerna spa </t>
        </is>
      </c>
      <c r="D3368" t="inlineStr">
        <is>
          <t>HORECA CAFETERIA</t>
        </is>
      </c>
      <c r="E3368" s="34" t="n">
        <v>104093</v>
      </c>
      <c r="F3368" t="inlineStr">
        <is>
          <t>F</t>
        </is>
      </c>
      <c r="G3368" s="34" t="n">
        <v>16620</v>
      </c>
      <c r="H3368" s="34" t="n">
        <v>87473</v>
      </c>
      <c r="I3368" t="inlineStr">
        <is>
          <t>3.1</t>
        </is>
      </c>
      <c r="J3368" t="inlineStr">
        <is>
          <t>Ventas HoReCa</t>
        </is>
      </c>
      <c r="K3368" t="inlineStr">
        <is>
          <t>CH1</t>
        </is>
      </c>
    </row>
    <row r="3369">
      <c r="A3369" s="33" t="n">
        <v>45946</v>
      </c>
      <c r="B3369" t="inlineStr">
        <is>
          <t>2025-10</t>
        </is>
      </c>
      <c r="C3369" t="inlineStr">
        <is>
          <t>CAFÉ UNDER SPA</t>
        </is>
      </c>
      <c r="D3369" t="inlineStr">
        <is>
          <t>HORECA CAFETERIA</t>
        </is>
      </c>
      <c r="E3369" s="34" t="n">
        <v>68179</v>
      </c>
      <c r="F3369" t="inlineStr">
        <is>
          <t>F</t>
        </is>
      </c>
      <c r="G3369" s="34" t="n">
        <v>10886</v>
      </c>
      <c r="H3369" s="34" t="n">
        <v>57293</v>
      </c>
      <c r="I3369" t="inlineStr">
        <is>
          <t>3.1</t>
        </is>
      </c>
      <c r="J3369" t="inlineStr">
        <is>
          <t>Ventas HoReCa</t>
        </is>
      </c>
      <c r="K3369" t="inlineStr">
        <is>
          <t>CH1</t>
        </is>
      </c>
    </row>
    <row r="3370">
      <c r="A3370" s="33" t="n">
        <v>45946</v>
      </c>
      <c r="B3370" t="inlineStr">
        <is>
          <t>2025-10</t>
        </is>
      </c>
      <c r="C3370" t="inlineStr">
        <is>
          <t>CAFE DIARIO ENCOMENDEROS SPA</t>
        </is>
      </c>
      <c r="D3370" t="inlineStr">
        <is>
          <t>HORECA CAFETERIA</t>
        </is>
      </c>
      <c r="E3370" s="34" t="n">
        <v>101451</v>
      </c>
      <c r="F3370" t="inlineStr">
        <is>
          <t>F</t>
        </is>
      </c>
      <c r="G3370" s="34" t="n">
        <v>16198</v>
      </c>
      <c r="H3370" s="34" t="n">
        <v>85253</v>
      </c>
      <c r="I3370" t="inlineStr">
        <is>
          <t>3.1</t>
        </is>
      </c>
      <c r="J3370" t="inlineStr">
        <is>
          <t>Ventas HoReCa</t>
        </is>
      </c>
      <c r="K3370" t="inlineStr">
        <is>
          <t>CH1</t>
        </is>
      </c>
    </row>
    <row r="3371">
      <c r="A3371" s="33" t="n">
        <v>45946</v>
      </c>
      <c r="B3371" t="inlineStr">
        <is>
          <t>2025-10</t>
        </is>
      </c>
      <c r="C3371" t="inlineStr">
        <is>
          <t>Ronney Belisario</t>
        </is>
      </c>
      <c r="D3371" t="inlineStr">
        <is>
          <t>Mix Sabores</t>
        </is>
      </c>
      <c r="E3371" s="34" t="n">
        <v>54690</v>
      </c>
      <c r="F3371" t="inlineStr">
        <is>
          <t>B</t>
        </is>
      </c>
      <c r="G3371" s="34" t="n">
        <v>8732</v>
      </c>
      <c r="H3371" s="34" t="n">
        <v>45958</v>
      </c>
      <c r="I3371" t="inlineStr">
        <is>
          <t>3.2</t>
        </is>
      </c>
      <c r="J3371" t="inlineStr">
        <is>
          <t>Ventas Personas (B2C)</t>
        </is>
      </c>
      <c r="K3371" t="inlineStr">
        <is>
          <t>CH2</t>
        </is>
      </c>
    </row>
    <row r="3372">
      <c r="A3372" s="33" t="n">
        <v>45946</v>
      </c>
      <c r="B3372" t="inlineStr">
        <is>
          <t>2025-10</t>
        </is>
      </c>
      <c r="C3372" t="inlineStr">
        <is>
          <t>COMERCIALIZADORA NATUTEA SPA</t>
        </is>
      </c>
      <c r="D3372" t="inlineStr">
        <is>
          <t>HORECA CAFETERIA</t>
        </is>
      </c>
      <c r="E3372" s="34" t="n">
        <v>32094</v>
      </c>
      <c r="F3372" t="inlineStr">
        <is>
          <t>F</t>
        </is>
      </c>
      <c r="G3372" s="34" t="n">
        <v>5124</v>
      </c>
      <c r="H3372" s="34" t="n">
        <v>26970</v>
      </c>
      <c r="I3372" t="inlineStr">
        <is>
          <t>3.1</t>
        </is>
      </c>
      <c r="J3372" t="inlineStr">
        <is>
          <t>Ventas HoReCa</t>
        </is>
      </c>
      <c r="K3372" t="inlineStr">
        <is>
          <t>CH1</t>
        </is>
      </c>
    </row>
    <row r="3373">
      <c r="A3373" s="33" t="n">
        <v>45946</v>
      </c>
      <c r="B3373" t="inlineStr">
        <is>
          <t>2025-10</t>
        </is>
      </c>
      <c r="C3373" t="inlineStr">
        <is>
          <t>Gunther Heine</t>
        </is>
      </c>
      <c r="D3373" t="inlineStr">
        <is>
          <t>Rellenos</t>
        </is>
      </c>
      <c r="E3373" s="34" t="n">
        <v>22889</v>
      </c>
      <c r="F3373" t="inlineStr">
        <is>
          <t>B</t>
        </is>
      </c>
      <c r="G3373" s="34" t="n">
        <v>3655</v>
      </c>
      <c r="H3373" s="34" t="n">
        <v>19234</v>
      </c>
      <c r="I3373" t="inlineStr">
        <is>
          <t>3.2</t>
        </is>
      </c>
      <c r="J3373" t="inlineStr">
        <is>
          <t>Ventas Personas (B2C)</t>
        </is>
      </c>
      <c r="K3373" t="inlineStr">
        <is>
          <t>CH2</t>
        </is>
      </c>
    </row>
    <row r="3374">
      <c r="A3374" s="33" t="n">
        <v>45946</v>
      </c>
      <c r="B3374" t="inlineStr">
        <is>
          <t>2025-10</t>
        </is>
      </c>
      <c r="C3374" t="inlineStr">
        <is>
          <t>Barbara Paredes</t>
        </is>
      </c>
      <c r="D3374" t="inlineStr">
        <is>
          <t>CANELÉ TRADICIONAL</t>
        </is>
      </c>
      <c r="E3374" s="34" t="n">
        <v>152990</v>
      </c>
      <c r="F3374" t="inlineStr">
        <is>
          <t>B</t>
        </is>
      </c>
      <c r="G3374" s="34" t="n">
        <v>24427</v>
      </c>
      <c r="H3374" s="34" t="n">
        <v>128563</v>
      </c>
      <c r="I3374" t="inlineStr">
        <is>
          <t>3.2</t>
        </is>
      </c>
      <c r="J3374" t="inlineStr">
        <is>
          <t>Ventas Personas (B2C)</t>
        </is>
      </c>
      <c r="K3374" t="inlineStr">
        <is>
          <t>CH2</t>
        </is>
      </c>
    </row>
    <row r="3375">
      <c r="A3375" s="33" t="n">
        <v>45946</v>
      </c>
      <c r="B3375" t="inlineStr">
        <is>
          <t>2025-10</t>
        </is>
      </c>
      <c r="C3375" t="inlineStr">
        <is>
          <t>Daniel McCleary</t>
        </is>
      </c>
      <c r="D3375" t="inlineStr">
        <is>
          <t>CANELÉ TRADICIONAL</t>
        </is>
      </c>
      <c r="E3375" s="34" t="n">
        <v>22890</v>
      </c>
      <c r="F3375" t="inlineStr">
        <is>
          <t>B</t>
        </is>
      </c>
      <c r="G3375" s="34" t="n">
        <v>3655</v>
      </c>
      <c r="H3375" s="34" t="n">
        <v>19235</v>
      </c>
      <c r="I3375" t="inlineStr">
        <is>
          <t>3.2</t>
        </is>
      </c>
      <c r="J3375" t="inlineStr">
        <is>
          <t>Ventas Personas (B2C)</t>
        </is>
      </c>
      <c r="K3375" t="inlineStr">
        <is>
          <t>CH2</t>
        </is>
      </c>
    </row>
    <row r="3376">
      <c r="A3376" s="33" t="n">
        <v>45946</v>
      </c>
      <c r="B3376" t="inlineStr">
        <is>
          <t>2025-10</t>
        </is>
      </c>
      <c r="C3376" t="inlineStr">
        <is>
          <t>Sin cliente</t>
        </is>
      </c>
      <c r="D3376" t="inlineStr">
        <is>
          <t>CANELÉ TRADICIONAL</t>
        </is>
      </c>
      <c r="E3376" s="34" t="n">
        <v>50500</v>
      </c>
      <c r="F3376" t="inlineStr">
        <is>
          <t>B</t>
        </is>
      </c>
      <c r="G3376" s="34" t="n">
        <v>8063</v>
      </c>
      <c r="H3376" s="34" t="n">
        <v>42437</v>
      </c>
      <c r="I3376" t="inlineStr">
        <is>
          <t>3.2</t>
        </is>
      </c>
      <c r="J3376" t="inlineStr">
        <is>
          <t>Ventas Personas (B2C)</t>
        </is>
      </c>
      <c r="K3376" t="inlineStr">
        <is>
          <t>CH2</t>
        </is>
      </c>
    </row>
    <row r="3377">
      <c r="A3377" s="33" t="n">
        <v>45946</v>
      </c>
      <c r="B3377" t="inlineStr">
        <is>
          <t>2025-10</t>
        </is>
      </c>
      <c r="C3377" t="inlineStr">
        <is>
          <t>Sin cliente</t>
        </is>
      </c>
      <c r="D3377" t="inlineStr">
        <is>
          <t>PLATAFORMAS RAP-PEYA-UBER-GOOD</t>
        </is>
      </c>
      <c r="E3377" s="34" t="n">
        <v>25080</v>
      </c>
      <c r="F3377" t="inlineStr">
        <is>
          <t>B</t>
        </is>
      </c>
      <c r="G3377" s="34" t="n">
        <v>4004</v>
      </c>
      <c r="H3377" s="34" t="n">
        <v>21076</v>
      </c>
      <c r="I3377" t="inlineStr">
        <is>
          <t>3.6</t>
        </is>
      </c>
      <c r="J3377" t="inlineStr">
        <is>
          <t>Ventas Delivery Apps</t>
        </is>
      </c>
      <c r="K3377" t="inlineStr">
        <is>
          <t>CH3</t>
        </is>
      </c>
    </row>
    <row r="3378">
      <c r="A3378" s="33" t="n">
        <v>45946</v>
      </c>
      <c r="B3378" t="inlineStr">
        <is>
          <t>2025-10</t>
        </is>
      </c>
      <c r="C3378" t="inlineStr">
        <is>
          <t>Sin cliente</t>
        </is>
      </c>
      <c r="D3378" t="inlineStr">
        <is>
          <t>Rellenos</t>
        </is>
      </c>
      <c r="E3378" s="34" t="n">
        <v>16500</v>
      </c>
      <c r="F3378" t="inlineStr">
        <is>
          <t>B</t>
        </is>
      </c>
      <c r="G3378" s="34" t="n">
        <v>2634</v>
      </c>
      <c r="H3378" s="34" t="n">
        <v>13866</v>
      </c>
      <c r="I3378" t="inlineStr">
        <is>
          <t>3.2</t>
        </is>
      </c>
      <c r="J3378" t="inlineStr">
        <is>
          <t>Ventas Personas (B2C)</t>
        </is>
      </c>
      <c r="K3378" t="inlineStr">
        <is>
          <t>CH2</t>
        </is>
      </c>
    </row>
    <row r="3379">
      <c r="A3379" s="33" t="n">
        <v>45946</v>
      </c>
      <c r="B3379" t="inlineStr">
        <is>
          <t>2025-10</t>
        </is>
      </c>
      <c r="C3379" t="inlineStr">
        <is>
          <t>Sin cliente</t>
        </is>
      </c>
      <c r="D3379" t="inlineStr">
        <is>
          <t>Petit Tradicional</t>
        </is>
      </c>
      <c r="E3379" s="34" t="n">
        <v>78795</v>
      </c>
      <c r="F3379" t="inlineStr">
        <is>
          <t>B</t>
        </is>
      </c>
      <c r="G3379" s="34" t="n">
        <v>12581</v>
      </c>
      <c r="H3379" s="34" t="n">
        <v>66214</v>
      </c>
      <c r="I3379" t="inlineStr">
        <is>
          <t>3.2</t>
        </is>
      </c>
      <c r="J3379" t="inlineStr">
        <is>
          <t>Ventas Personas (B2C)</t>
        </is>
      </c>
      <c r="K3379" t="inlineStr">
        <is>
          <t>CH2</t>
        </is>
      </c>
    </row>
    <row r="3380">
      <c r="A3380" s="33" t="n">
        <v>45946</v>
      </c>
      <c r="B3380" t="inlineStr">
        <is>
          <t>2025-10</t>
        </is>
      </c>
      <c r="C3380" t="inlineStr">
        <is>
          <t>Marcelo Sanhueza</t>
        </is>
      </c>
      <c r="D3380" t="inlineStr">
        <is>
          <t>Rellenos</t>
        </is>
      </c>
      <c r="E3380" s="34" t="n">
        <v>27889</v>
      </c>
      <c r="F3380" t="inlineStr">
        <is>
          <t>B</t>
        </is>
      </c>
      <c r="G3380" s="34" t="n">
        <v>4453</v>
      </c>
      <c r="H3380" s="34" t="n">
        <v>23436</v>
      </c>
      <c r="I3380" t="inlineStr">
        <is>
          <t>3.2</t>
        </is>
      </c>
      <c r="J3380" t="inlineStr">
        <is>
          <t>Ventas Personas (B2C)</t>
        </is>
      </c>
      <c r="K3380" t="inlineStr">
        <is>
          <t>CH2</t>
        </is>
      </c>
    </row>
    <row r="3381">
      <c r="A3381" s="33" t="n">
        <v>45947</v>
      </c>
      <c r="B3381" t="inlineStr">
        <is>
          <t>2025-10</t>
        </is>
      </c>
      <c r="C3381" t="inlineStr">
        <is>
          <t>D&amp;S SERVICIOS DE ALIMENTACIÓN SpA</t>
        </is>
      </c>
      <c r="D3381" t="inlineStr">
        <is>
          <t xml:space="preserve">THE COFFEE STORE </t>
        </is>
      </c>
      <c r="E3381" s="34" t="n">
        <v>40293</v>
      </c>
      <c r="F3381" t="inlineStr">
        <is>
          <t>F</t>
        </is>
      </c>
      <c r="G3381" s="34" t="n">
        <v>6433</v>
      </c>
      <c r="H3381" s="34" t="n">
        <v>33860</v>
      </c>
      <c r="I3381" t="inlineStr">
        <is>
          <t>3.1</t>
        </is>
      </c>
      <c r="J3381" t="inlineStr">
        <is>
          <t>Ventas HoReCa</t>
        </is>
      </c>
      <c r="K3381" t="inlineStr">
        <is>
          <t>CH1</t>
        </is>
      </c>
    </row>
    <row r="3382">
      <c r="A3382" s="33" t="n">
        <v>45947</v>
      </c>
      <c r="B3382" t="inlineStr">
        <is>
          <t>2025-10</t>
        </is>
      </c>
      <c r="C3382" t="inlineStr">
        <is>
          <t>Better Food Spa</t>
        </is>
      </c>
      <c r="D3382" t="inlineStr">
        <is>
          <t>HORECA CAFETERIA</t>
        </is>
      </c>
      <c r="E3382" s="34" t="n">
        <v>353037</v>
      </c>
      <c r="F3382" t="inlineStr">
        <is>
          <t>F</t>
        </is>
      </c>
      <c r="G3382" s="34" t="n">
        <v>56367</v>
      </c>
      <c r="H3382" s="34" t="n">
        <v>296670</v>
      </c>
      <c r="I3382" t="inlineStr">
        <is>
          <t>3.1</t>
        </is>
      </c>
      <c r="J3382" t="inlineStr">
        <is>
          <t>Ventas HoReCa</t>
        </is>
      </c>
      <c r="K3382" t="inlineStr">
        <is>
          <t>CH1</t>
        </is>
      </c>
    </row>
    <row r="3383">
      <c r="A3383" s="33" t="n">
        <v>45947</v>
      </c>
      <c r="B3383" t="inlineStr">
        <is>
          <t>2025-10</t>
        </is>
      </c>
      <c r="C3383" t="inlineStr">
        <is>
          <t>GALO SPA</t>
        </is>
      </c>
      <c r="D3383" t="inlineStr">
        <is>
          <t>HORECA CAFETERIA</t>
        </is>
      </c>
      <c r="E3383" s="34" t="n">
        <v>235144</v>
      </c>
      <c r="F3383" t="inlineStr">
        <is>
          <t>F</t>
        </is>
      </c>
      <c r="G3383" s="34" t="n">
        <v>37544</v>
      </c>
      <c r="H3383" s="34" t="n">
        <v>197600</v>
      </c>
      <c r="I3383" t="inlineStr">
        <is>
          <t>3.1</t>
        </is>
      </c>
      <c r="J3383" t="inlineStr">
        <is>
          <t>Ventas HoReCa</t>
        </is>
      </c>
      <c r="K3383" t="inlineStr">
        <is>
          <t>CH1</t>
        </is>
      </c>
    </row>
    <row r="3384">
      <c r="A3384" s="33" t="n">
        <v>45947</v>
      </c>
      <c r="B3384" t="inlineStr">
        <is>
          <t>2025-10</t>
        </is>
      </c>
      <c r="C3384" t="inlineStr">
        <is>
          <t>DIEGO VARGAS BANQUETERIA Y EVENTOS SPA</t>
        </is>
      </c>
      <c r="D3384" t="inlineStr">
        <is>
          <t>HORECA CATERING</t>
        </is>
      </c>
      <c r="E3384" s="34" t="n">
        <v>217048</v>
      </c>
      <c r="F3384" t="inlineStr">
        <is>
          <t>F</t>
        </is>
      </c>
      <c r="G3384" s="34" t="n">
        <v>34655</v>
      </c>
      <c r="H3384" s="34" t="n">
        <v>182393</v>
      </c>
      <c r="I3384" t="inlineStr">
        <is>
          <t>3.1</t>
        </is>
      </c>
      <c r="J3384" t="inlineStr">
        <is>
          <t>Ventas HoReCa</t>
        </is>
      </c>
      <c r="K3384" t="inlineStr">
        <is>
          <t>CH1</t>
        </is>
      </c>
    </row>
    <row r="3385">
      <c r="A3385" s="33" t="n">
        <v>45947</v>
      </c>
      <c r="B3385" t="inlineStr">
        <is>
          <t>2025-10</t>
        </is>
      </c>
      <c r="C3385" t="inlineStr">
        <is>
          <t>VILAS BANQUETERIAS SPA</t>
        </is>
      </c>
      <c r="D3385" t="inlineStr">
        <is>
          <t>HORECA CATERING</t>
        </is>
      </c>
      <c r="E3385" s="34" t="n">
        <v>145362</v>
      </c>
      <c r="F3385" t="inlineStr">
        <is>
          <t>F</t>
        </is>
      </c>
      <c r="G3385" s="34" t="n">
        <v>23209</v>
      </c>
      <c r="H3385" s="34" t="n">
        <v>122153</v>
      </c>
      <c r="I3385" t="inlineStr">
        <is>
          <t>3.1</t>
        </is>
      </c>
      <c r="J3385" t="inlineStr">
        <is>
          <t>Ventas HoReCa</t>
        </is>
      </c>
      <c r="K3385" t="inlineStr">
        <is>
          <t>CH1</t>
        </is>
      </c>
    </row>
    <row r="3386">
      <c r="A3386" s="33" t="n">
        <v>45947</v>
      </c>
      <c r="B3386" t="inlineStr">
        <is>
          <t>2025-10</t>
        </is>
      </c>
      <c r="C3386" t="inlineStr">
        <is>
          <t>CAFÉ ROCAMAR LIMITADA</t>
        </is>
      </c>
      <c r="D3386" t="inlineStr">
        <is>
          <t>HORECA CAFETERIA</t>
        </is>
      </c>
      <c r="E3386" s="34" t="n">
        <v>-192566</v>
      </c>
      <c r="F3386" t="inlineStr">
        <is>
          <t>NC</t>
        </is>
      </c>
      <c r="G3386" s="34" t="n">
        <v>-30746</v>
      </c>
      <c r="H3386" s="34" t="n">
        <v>-161820</v>
      </c>
      <c r="I3386" t="inlineStr">
        <is>
          <t>3.1</t>
        </is>
      </c>
      <c r="J3386" t="inlineStr">
        <is>
          <t>Ventas HoReCa</t>
        </is>
      </c>
      <c r="K3386" t="inlineStr">
        <is>
          <t>CH1</t>
        </is>
      </c>
    </row>
    <row r="3387">
      <c r="A3387" s="33" t="n">
        <v>45947</v>
      </c>
      <c r="B3387" t="inlineStr">
        <is>
          <t>2025-10</t>
        </is>
      </c>
      <c r="C3387" t="inlineStr">
        <is>
          <t>Carolina Riveros</t>
        </is>
      </c>
      <c r="D3387" t="inlineStr">
        <is>
          <t>CANELÉ TRADICIONAL</t>
        </is>
      </c>
      <c r="E3387" s="34" t="n">
        <v>26900</v>
      </c>
      <c r="F3387" t="inlineStr">
        <is>
          <t>B</t>
        </is>
      </c>
      <c r="G3387" s="34" t="n">
        <v>4295</v>
      </c>
      <c r="H3387" s="34" t="n">
        <v>22605</v>
      </c>
      <c r="I3387" t="inlineStr">
        <is>
          <t>3.2</t>
        </is>
      </c>
      <c r="J3387" t="inlineStr">
        <is>
          <t>Ventas Personas (B2C)</t>
        </is>
      </c>
      <c r="K3387" t="inlineStr">
        <is>
          <t>CH2</t>
        </is>
      </c>
    </row>
    <row r="3388">
      <c r="A3388" s="33" t="n">
        <v>45947</v>
      </c>
      <c r="B3388" t="inlineStr">
        <is>
          <t>2025-10</t>
        </is>
      </c>
      <c r="C3388" t="inlineStr">
        <is>
          <t>CAFÉ ROCAMAR LIMITADA</t>
        </is>
      </c>
      <c r="D3388" t="inlineStr">
        <is>
          <t>HORECA CAFETERIA</t>
        </is>
      </c>
      <c r="E3388" s="34" t="n">
        <v>64189</v>
      </c>
      <c r="F3388" t="inlineStr">
        <is>
          <t>F</t>
        </is>
      </c>
      <c r="G3388" s="34" t="n">
        <v>10249</v>
      </c>
      <c r="H3388" s="34" t="n">
        <v>53940</v>
      </c>
      <c r="I3388" t="inlineStr">
        <is>
          <t>3.1</t>
        </is>
      </c>
      <c r="J3388" t="inlineStr">
        <is>
          <t>Ventas HoReCa</t>
        </is>
      </c>
      <c r="K3388" t="inlineStr">
        <is>
          <t>CH1</t>
        </is>
      </c>
    </row>
    <row r="3389">
      <c r="A3389" s="33" t="n">
        <v>45947</v>
      </c>
      <c r="B3389" t="inlineStr">
        <is>
          <t>2025-10</t>
        </is>
      </c>
      <c r="C3389" t="inlineStr">
        <is>
          <t>Manuela Gutierrez</t>
        </is>
      </c>
      <c r="D3389" t="inlineStr">
        <is>
          <t>Petit Crunchy</t>
        </is>
      </c>
      <c r="E3389" s="34" t="n">
        <v>22789</v>
      </c>
      <c r="F3389" t="inlineStr">
        <is>
          <t>B</t>
        </is>
      </c>
      <c r="G3389" s="34" t="n">
        <v>3639</v>
      </c>
      <c r="H3389" s="34" t="n">
        <v>19150</v>
      </c>
      <c r="I3389" t="inlineStr">
        <is>
          <t>3.2</t>
        </is>
      </c>
      <c r="J3389" t="inlineStr">
        <is>
          <t>Ventas Personas (B2C)</t>
        </is>
      </c>
      <c r="K3389" t="inlineStr">
        <is>
          <t>CH2</t>
        </is>
      </c>
    </row>
    <row r="3390">
      <c r="A3390" s="33" t="n">
        <v>45947</v>
      </c>
      <c r="B3390" t="inlineStr">
        <is>
          <t>2025-10</t>
        </is>
      </c>
      <c r="C3390" t="inlineStr">
        <is>
          <t>Vicmar Rivero</t>
        </is>
      </c>
      <c r="D3390" t="inlineStr">
        <is>
          <t>Rellenos</t>
        </is>
      </c>
      <c r="E3390" s="34" t="n">
        <v>28890</v>
      </c>
      <c r="F3390" t="inlineStr">
        <is>
          <t>B</t>
        </is>
      </c>
      <c r="G3390" s="34" t="n">
        <v>4613</v>
      </c>
      <c r="H3390" s="34" t="n">
        <v>24277</v>
      </c>
      <c r="I3390" t="inlineStr">
        <is>
          <t>3.2</t>
        </is>
      </c>
      <c r="J3390" t="inlineStr">
        <is>
          <t>Ventas Personas (B2C)</t>
        </is>
      </c>
      <c r="K3390" t="inlineStr">
        <is>
          <t>CH2</t>
        </is>
      </c>
    </row>
    <row r="3391">
      <c r="A3391" s="33" t="n">
        <v>45947</v>
      </c>
      <c r="B3391" t="inlineStr">
        <is>
          <t>2025-10</t>
        </is>
      </c>
      <c r="C3391" t="inlineStr">
        <is>
          <t>INVERSIONES Y COMERCIALIZADORA FED LIMITADA</t>
        </is>
      </c>
      <c r="D3391" t="inlineStr">
        <is>
          <t>HORECA CAFETERIA</t>
        </is>
      </c>
      <c r="E3391" s="34" t="n">
        <v>116618</v>
      </c>
      <c r="F3391" t="inlineStr">
        <is>
          <t>F</t>
        </is>
      </c>
      <c r="G3391" s="34" t="n">
        <v>18620</v>
      </c>
      <c r="H3391" s="34" t="n">
        <v>97998</v>
      </c>
      <c r="I3391" t="inlineStr">
        <is>
          <t>3.1</t>
        </is>
      </c>
      <c r="J3391" t="inlineStr">
        <is>
          <t>Ventas HoReCa</t>
        </is>
      </c>
      <c r="K3391" t="inlineStr">
        <is>
          <t>CH1</t>
        </is>
      </c>
    </row>
    <row r="3392">
      <c r="A3392" s="33" t="n">
        <v>45947</v>
      </c>
      <c r="B3392" t="inlineStr">
        <is>
          <t>2025-10</t>
        </is>
      </c>
      <c r="C3392" t="inlineStr">
        <is>
          <t>Dennise Mardones</t>
        </is>
      </c>
      <c r="D3392" t="inlineStr">
        <is>
          <t>Delicatessen</t>
        </is>
      </c>
      <c r="E3392" s="34" t="n">
        <v>42790</v>
      </c>
      <c r="F3392" t="inlineStr">
        <is>
          <t>B</t>
        </is>
      </c>
      <c r="G3392" s="34" t="n">
        <v>6832</v>
      </c>
      <c r="H3392" s="34" t="n">
        <v>35958</v>
      </c>
      <c r="I3392" t="inlineStr">
        <is>
          <t>3.2</t>
        </is>
      </c>
      <c r="J3392" t="inlineStr">
        <is>
          <t>Ventas Personas (B2C)</t>
        </is>
      </c>
      <c r="K3392" t="inlineStr">
        <is>
          <t>CH2</t>
        </is>
      </c>
    </row>
    <row r="3393">
      <c r="A3393" s="33" t="n">
        <v>45947</v>
      </c>
      <c r="B3393" t="inlineStr">
        <is>
          <t>2025-10</t>
        </is>
      </c>
      <c r="C3393" t="inlineStr">
        <is>
          <t>Sin cliente</t>
        </is>
      </c>
      <c r="D3393" t="inlineStr">
        <is>
          <t>CANELÉ TRADICIONAL</t>
        </is>
      </c>
      <c r="E3393" s="34" t="n">
        <v>21900</v>
      </c>
      <c r="F3393" t="inlineStr">
        <is>
          <t>B</t>
        </is>
      </c>
      <c r="G3393" s="34" t="n">
        <v>3497</v>
      </c>
      <c r="H3393" s="34" t="n">
        <v>18403</v>
      </c>
      <c r="I3393" t="inlineStr">
        <is>
          <t>3.2</t>
        </is>
      </c>
      <c r="J3393" t="inlineStr">
        <is>
          <t>Ventas Personas (B2C)</t>
        </is>
      </c>
      <c r="K3393" t="inlineStr">
        <is>
          <t>CH2</t>
        </is>
      </c>
    </row>
    <row r="3394">
      <c r="A3394" s="33" t="n">
        <v>45947</v>
      </c>
      <c r="B3394" t="inlineStr">
        <is>
          <t>2025-10</t>
        </is>
      </c>
      <c r="C3394" t="inlineStr">
        <is>
          <t>Sin cliente</t>
        </is>
      </c>
      <c r="D3394" t="inlineStr">
        <is>
          <t>Delicatessen</t>
        </is>
      </c>
      <c r="E3394" s="34" t="n">
        <v>13900</v>
      </c>
      <c r="F3394" t="inlineStr">
        <is>
          <t>B</t>
        </is>
      </c>
      <c r="G3394" s="34" t="n">
        <v>2219</v>
      </c>
      <c r="H3394" s="34" t="n">
        <v>11681</v>
      </c>
      <c r="I3394" t="inlineStr">
        <is>
          <t>3.2</t>
        </is>
      </c>
      <c r="J3394" t="inlineStr">
        <is>
          <t>Ventas Personas (B2C)</t>
        </is>
      </c>
      <c r="K3394" t="inlineStr">
        <is>
          <t>CH2</t>
        </is>
      </c>
    </row>
    <row r="3395">
      <c r="A3395" s="33" t="n">
        <v>45947</v>
      </c>
      <c r="B3395" t="inlineStr">
        <is>
          <t>2025-10</t>
        </is>
      </c>
      <c r="C3395" t="inlineStr">
        <is>
          <t>Clemente Tocornal Labbe</t>
        </is>
      </c>
      <c r="D3395" t="inlineStr">
        <is>
          <t>Petit Tradicional</t>
        </is>
      </c>
      <c r="E3395" s="34" t="n">
        <v>15889</v>
      </c>
      <c r="F3395" t="inlineStr">
        <is>
          <t>B</t>
        </is>
      </c>
      <c r="G3395" s="34" t="n">
        <v>2537</v>
      </c>
      <c r="H3395" s="34" t="n">
        <v>13352</v>
      </c>
      <c r="I3395" t="inlineStr">
        <is>
          <t>3.2</t>
        </is>
      </c>
      <c r="J3395" t="inlineStr">
        <is>
          <t>Ventas Personas (B2C)</t>
        </is>
      </c>
      <c r="K3395" t="inlineStr">
        <is>
          <t>CH2</t>
        </is>
      </c>
    </row>
    <row r="3396">
      <c r="A3396" s="33" t="n">
        <v>45947</v>
      </c>
      <c r="B3396" t="inlineStr">
        <is>
          <t>2025-10</t>
        </is>
      </c>
      <c r="C3396" t="inlineStr">
        <is>
          <t>Lily Günther</t>
        </is>
      </c>
      <c r="D3396" t="inlineStr">
        <is>
          <t>Delicatessen</t>
        </is>
      </c>
      <c r="E3396" s="34" t="n">
        <v>41189</v>
      </c>
      <c r="F3396" t="inlineStr">
        <is>
          <t>B</t>
        </is>
      </c>
      <c r="G3396" s="34" t="n">
        <v>6576</v>
      </c>
      <c r="H3396" s="34" t="n">
        <v>34613</v>
      </c>
      <c r="I3396" t="inlineStr">
        <is>
          <t>3.2</t>
        </is>
      </c>
      <c r="J3396" t="inlineStr">
        <is>
          <t>Ventas Personas (B2C)</t>
        </is>
      </c>
      <c r="K3396" t="inlineStr">
        <is>
          <t>CH2</t>
        </is>
      </c>
    </row>
    <row r="3397">
      <c r="A3397" s="33" t="n">
        <v>45947</v>
      </c>
      <c r="B3397" t="inlineStr">
        <is>
          <t>2025-10</t>
        </is>
      </c>
      <c r="C3397" t="inlineStr">
        <is>
          <t>Sin cliente</t>
        </is>
      </c>
      <c r="D3397" t="inlineStr">
        <is>
          <t>Mix Sabores</t>
        </is>
      </c>
      <c r="E3397" s="34" t="n">
        <v>22800</v>
      </c>
      <c r="F3397" t="inlineStr">
        <is>
          <t>B</t>
        </is>
      </c>
      <c r="G3397" s="34" t="n">
        <v>3640</v>
      </c>
      <c r="H3397" s="34" t="n">
        <v>19160</v>
      </c>
      <c r="I3397" t="inlineStr">
        <is>
          <t>3.2</t>
        </is>
      </c>
      <c r="J3397" t="inlineStr">
        <is>
          <t>Ventas Personas (B2C)</t>
        </is>
      </c>
      <c r="K3397" t="inlineStr">
        <is>
          <t>CH2</t>
        </is>
      </c>
    </row>
    <row r="3398">
      <c r="A3398" s="33" t="n">
        <v>45947</v>
      </c>
      <c r="B3398" t="inlineStr">
        <is>
          <t>2025-10</t>
        </is>
      </c>
      <c r="C3398" t="inlineStr">
        <is>
          <t>Joyce Andrea Huiriqueo Astorga</t>
        </is>
      </c>
      <c r="D3398" t="inlineStr">
        <is>
          <t>HORECA CAFETERIA</t>
        </is>
      </c>
      <c r="E3398" s="34" t="n">
        <v>327362</v>
      </c>
      <c r="F3398" t="inlineStr">
        <is>
          <t>B</t>
        </is>
      </c>
      <c r="G3398" s="34" t="n">
        <v>52268</v>
      </c>
      <c r="H3398" s="34" t="n">
        <v>275094</v>
      </c>
      <c r="I3398" t="inlineStr">
        <is>
          <t>3.1</t>
        </is>
      </c>
      <c r="J3398" t="inlineStr">
        <is>
          <t>Ventas HoReCa</t>
        </is>
      </c>
      <c r="K3398" t="inlineStr">
        <is>
          <t>CH1</t>
        </is>
      </c>
    </row>
    <row r="3399">
      <c r="A3399" s="33" t="n">
        <v>45947</v>
      </c>
      <c r="B3399" t="inlineStr">
        <is>
          <t>2025-10</t>
        </is>
      </c>
      <c r="C3399" t="inlineStr">
        <is>
          <t>Joyce Andrea Huiriqueo Astorga</t>
        </is>
      </c>
      <c r="D3399" t="inlineStr">
        <is>
          <t>HORECA CAFETERIA</t>
        </is>
      </c>
      <c r="E3399" s="34" t="n">
        <v>-327362</v>
      </c>
      <c r="F3399" t="inlineStr">
        <is>
          <t>NC</t>
        </is>
      </c>
      <c r="G3399" s="34" t="n">
        <v>-52268</v>
      </c>
      <c r="H3399" s="34" t="n">
        <v>-275094</v>
      </c>
      <c r="I3399" t="inlineStr">
        <is>
          <t>3.1</t>
        </is>
      </c>
      <c r="J3399" t="inlineStr">
        <is>
          <t>Ventas HoReCa</t>
        </is>
      </c>
      <c r="K3399" t="inlineStr">
        <is>
          <t>CH1</t>
        </is>
      </c>
    </row>
    <row r="3400">
      <c r="A3400" s="33" t="n">
        <v>45947</v>
      </c>
      <c r="B3400" t="inlineStr">
        <is>
          <t>2025-10</t>
        </is>
      </c>
      <c r="C3400" t="inlineStr">
        <is>
          <t>Joyce Andrea Huiriqueo Astorga</t>
        </is>
      </c>
      <c r="D3400" t="inlineStr">
        <is>
          <t>HORECA CAFETERIA</t>
        </is>
      </c>
      <c r="E3400" s="34" t="n">
        <v>327362</v>
      </c>
      <c r="F3400" t="inlineStr">
        <is>
          <t>F</t>
        </is>
      </c>
      <c r="G3400" s="34" t="n">
        <v>52268</v>
      </c>
      <c r="H3400" s="34" t="n">
        <v>275094</v>
      </c>
      <c r="I3400" t="inlineStr">
        <is>
          <t>3.1</t>
        </is>
      </c>
      <c r="J3400" t="inlineStr">
        <is>
          <t>Ventas HoReCa</t>
        </is>
      </c>
      <c r="K3400" t="inlineStr">
        <is>
          <t>CH1</t>
        </is>
      </c>
    </row>
    <row r="3401">
      <c r="A3401" s="33" t="n">
        <v>45947</v>
      </c>
      <c r="B3401" t="inlineStr">
        <is>
          <t>2025-10</t>
        </is>
      </c>
      <c r="C3401" t="inlineStr">
        <is>
          <t>Sin cliente</t>
        </is>
      </c>
      <c r="D3401" t="inlineStr">
        <is>
          <t>CANELÉ TRADICIONAL</t>
        </is>
      </c>
      <c r="E3401" s="34" t="n">
        <v>21900</v>
      </c>
      <c r="F3401" t="inlineStr">
        <is>
          <t>B</t>
        </is>
      </c>
      <c r="G3401" s="34" t="n">
        <v>3497</v>
      </c>
      <c r="H3401" s="34" t="n">
        <v>18403</v>
      </c>
      <c r="I3401" t="inlineStr">
        <is>
          <t>3.2</t>
        </is>
      </c>
      <c r="J3401" t="inlineStr">
        <is>
          <t>Ventas Personas (B2C)</t>
        </is>
      </c>
      <c r="K3401" t="inlineStr">
        <is>
          <t>CH2</t>
        </is>
      </c>
    </row>
    <row r="3402">
      <c r="A3402" s="33" t="n">
        <v>45947</v>
      </c>
      <c r="B3402" t="inlineStr">
        <is>
          <t>2025-10</t>
        </is>
      </c>
      <c r="C3402" t="inlineStr">
        <is>
          <t>Sin cliente</t>
        </is>
      </c>
      <c r="D3402" t="inlineStr">
        <is>
          <t>PLATAFORMAS RAP-PEYA-UBER-GOOD</t>
        </is>
      </c>
      <c r="E3402" s="34" t="n">
        <v>31476</v>
      </c>
      <c r="F3402" t="inlineStr">
        <is>
          <t>B</t>
        </is>
      </c>
      <c r="G3402" s="34" t="n">
        <v>5026</v>
      </c>
      <c r="H3402" s="34" t="n">
        <v>26450</v>
      </c>
      <c r="I3402" t="inlineStr">
        <is>
          <t>3.6</t>
        </is>
      </c>
      <c r="J3402" t="inlineStr">
        <is>
          <t>Ventas Delivery Apps</t>
        </is>
      </c>
      <c r="K3402" t="inlineStr">
        <is>
          <t>CH3</t>
        </is>
      </c>
    </row>
    <row r="3403">
      <c r="A3403" s="33" t="n">
        <v>45947</v>
      </c>
      <c r="B3403" t="inlineStr">
        <is>
          <t>2025-10</t>
        </is>
      </c>
      <c r="C3403" t="inlineStr">
        <is>
          <t>Sin cliente</t>
        </is>
      </c>
      <c r="D3403" t="inlineStr">
        <is>
          <t>CANELÉ TRADICIONAL</t>
        </is>
      </c>
      <c r="E3403" s="34" t="n">
        <v>7500</v>
      </c>
      <c r="F3403" t="inlineStr">
        <is>
          <t>B</t>
        </is>
      </c>
      <c r="G3403" s="34" t="n">
        <v>1197</v>
      </c>
      <c r="H3403" s="34" t="n">
        <v>6303</v>
      </c>
      <c r="I3403" t="inlineStr">
        <is>
          <t>3.2</t>
        </is>
      </c>
      <c r="J3403" t="inlineStr">
        <is>
          <t>Ventas Personas (B2C)</t>
        </is>
      </c>
      <c r="K3403" t="inlineStr">
        <is>
          <t>CH2</t>
        </is>
      </c>
    </row>
    <row r="3404">
      <c r="A3404" s="33" t="n">
        <v>45947</v>
      </c>
      <c r="B3404" t="inlineStr">
        <is>
          <t>2025-10</t>
        </is>
      </c>
      <c r="C3404" t="inlineStr">
        <is>
          <t>Sin cliente</t>
        </is>
      </c>
      <c r="D3404" t="inlineStr">
        <is>
          <t>PLATAFORMAS RAP-PEYA-UBER-GOOD</t>
        </is>
      </c>
      <c r="E3404" s="34" t="n">
        <v>15732</v>
      </c>
      <c r="F3404" t="inlineStr">
        <is>
          <t>B</t>
        </is>
      </c>
      <c r="G3404" s="34" t="n">
        <v>2512</v>
      </c>
      <c r="H3404" s="34" t="n">
        <v>13220</v>
      </c>
      <c r="I3404" t="inlineStr">
        <is>
          <t>3.6</t>
        </is>
      </c>
      <c r="J3404" t="inlineStr">
        <is>
          <t>Ventas Delivery Apps</t>
        </is>
      </c>
      <c r="K3404" t="inlineStr">
        <is>
          <t>CH3</t>
        </is>
      </c>
    </row>
    <row r="3405">
      <c r="A3405" s="33" t="n">
        <v>45947</v>
      </c>
      <c r="B3405" t="inlineStr">
        <is>
          <t>2025-10</t>
        </is>
      </c>
      <c r="C3405" t="inlineStr">
        <is>
          <t>Trini Burrows Rakos</t>
        </is>
      </c>
      <c r="D3405" t="inlineStr">
        <is>
          <t>Rellenos</t>
        </is>
      </c>
      <c r="E3405" s="34" t="n">
        <v>26889</v>
      </c>
      <c r="F3405" t="inlineStr">
        <is>
          <t>B</t>
        </is>
      </c>
      <c r="G3405" s="34" t="n">
        <v>4293</v>
      </c>
      <c r="H3405" s="34" t="n">
        <v>22596</v>
      </c>
      <c r="I3405" t="inlineStr">
        <is>
          <t>3.2</t>
        </is>
      </c>
      <c r="J3405" t="inlineStr">
        <is>
          <t>Ventas Personas (B2C)</t>
        </is>
      </c>
      <c r="K3405" t="inlineStr">
        <is>
          <t>CH2</t>
        </is>
      </c>
    </row>
    <row r="3406">
      <c r="A3406" s="33" t="n">
        <v>45947</v>
      </c>
      <c r="B3406" t="inlineStr">
        <is>
          <t>2025-10</t>
        </is>
      </c>
      <c r="C3406" t="inlineStr">
        <is>
          <t>Luis Carlos Valdés Correa</t>
        </is>
      </c>
      <c r="D3406" t="inlineStr">
        <is>
          <t>Rellenos</t>
        </is>
      </c>
      <c r="E3406" s="34" t="n">
        <v>67600</v>
      </c>
      <c r="F3406" t="inlineStr">
        <is>
          <t>B</t>
        </is>
      </c>
      <c r="G3406" s="34" t="n">
        <v>10793</v>
      </c>
      <c r="H3406" s="34" t="n">
        <v>56807</v>
      </c>
      <c r="I3406" t="inlineStr">
        <is>
          <t>3.2</t>
        </is>
      </c>
      <c r="J3406" t="inlineStr">
        <is>
          <t>Ventas Personas (B2C)</t>
        </is>
      </c>
      <c r="K3406" t="inlineStr">
        <is>
          <t>CH2</t>
        </is>
      </c>
    </row>
    <row r="3407">
      <c r="A3407" s="33" t="n">
        <v>45947</v>
      </c>
      <c r="B3407" t="inlineStr">
        <is>
          <t>2025-10</t>
        </is>
      </c>
      <c r="C3407" t="inlineStr">
        <is>
          <t>Sofia Mereles</t>
        </is>
      </c>
      <c r="D3407" t="inlineStr">
        <is>
          <t>Rellenos</t>
        </is>
      </c>
      <c r="E3407" s="34" t="n">
        <v>38790</v>
      </c>
      <c r="F3407" t="inlineStr">
        <is>
          <t>B</t>
        </is>
      </c>
      <c r="G3407" s="34" t="n">
        <v>6193</v>
      </c>
      <c r="H3407" s="34" t="n">
        <v>32597</v>
      </c>
      <c r="I3407" t="inlineStr">
        <is>
          <t>3.2</t>
        </is>
      </c>
      <c r="J3407" t="inlineStr">
        <is>
          <t>Ventas Personas (B2C)</t>
        </is>
      </c>
      <c r="K3407" t="inlineStr">
        <is>
          <t>CH2</t>
        </is>
      </c>
    </row>
    <row r="3408">
      <c r="A3408" s="33" t="n">
        <v>45947</v>
      </c>
      <c r="B3408" t="inlineStr">
        <is>
          <t>2025-10</t>
        </is>
      </c>
      <c r="C3408" t="inlineStr">
        <is>
          <t>Claudia Veto</t>
        </is>
      </c>
      <c r="D3408" t="inlineStr">
        <is>
          <t>Petit Tradicional</t>
        </is>
      </c>
      <c r="E3408" s="34" t="n">
        <v>66690</v>
      </c>
      <c r="F3408" t="inlineStr">
        <is>
          <t>B</t>
        </is>
      </c>
      <c r="G3408" s="34" t="n">
        <v>10648</v>
      </c>
      <c r="H3408" s="34" t="n">
        <v>56042</v>
      </c>
      <c r="I3408" t="inlineStr">
        <is>
          <t>3.2</t>
        </is>
      </c>
      <c r="J3408" t="inlineStr">
        <is>
          <t>Ventas Personas (B2C)</t>
        </is>
      </c>
      <c r="K3408" t="inlineStr">
        <is>
          <t>CH2</t>
        </is>
      </c>
    </row>
    <row r="3409">
      <c r="A3409" s="33" t="n">
        <v>45947</v>
      </c>
      <c r="B3409" t="inlineStr">
        <is>
          <t>2025-10</t>
        </is>
      </c>
      <c r="C3409" t="inlineStr">
        <is>
          <t>Natalia Troncoso</t>
        </is>
      </c>
      <c r="D3409" t="inlineStr">
        <is>
          <t>Rellenos</t>
        </is>
      </c>
      <c r="E3409" s="34" t="n">
        <v>23900</v>
      </c>
      <c r="F3409" t="inlineStr">
        <is>
          <t>B</t>
        </is>
      </c>
      <c r="G3409" s="34" t="n">
        <v>3816</v>
      </c>
      <c r="H3409" s="34" t="n">
        <v>20084</v>
      </c>
      <c r="I3409" t="inlineStr">
        <is>
          <t>3.2</t>
        </is>
      </c>
      <c r="J3409" t="inlineStr">
        <is>
          <t>Ventas Personas (B2C)</t>
        </is>
      </c>
      <c r="K3409" t="inlineStr">
        <is>
          <t>CH2</t>
        </is>
      </c>
    </row>
    <row r="3410">
      <c r="A3410" s="33" t="n">
        <v>45947</v>
      </c>
      <c r="B3410" t="inlineStr">
        <is>
          <t>2025-10</t>
        </is>
      </c>
      <c r="C3410" t="inlineStr">
        <is>
          <t>Beatriz Mellado</t>
        </is>
      </c>
      <c r="D3410" t="inlineStr">
        <is>
          <t>Rellenos</t>
        </is>
      </c>
      <c r="E3410" s="34" t="n">
        <v>29900</v>
      </c>
      <c r="F3410" t="inlineStr">
        <is>
          <t>B</t>
        </is>
      </c>
      <c r="G3410" s="34" t="n">
        <v>4774</v>
      </c>
      <c r="H3410" s="34" t="n">
        <v>25126</v>
      </c>
      <c r="I3410" t="inlineStr">
        <is>
          <t>3.2</t>
        </is>
      </c>
      <c r="J3410" t="inlineStr">
        <is>
          <t>Ventas Personas (B2C)</t>
        </is>
      </c>
      <c r="K3410" t="inlineStr">
        <is>
          <t>CH2</t>
        </is>
      </c>
    </row>
    <row r="3411">
      <c r="A3411" s="33" t="n">
        <v>45948</v>
      </c>
      <c r="B3411" t="inlineStr">
        <is>
          <t>2025-10</t>
        </is>
      </c>
      <c r="C3411" t="inlineStr">
        <is>
          <t>Oscar Larrain</t>
        </is>
      </c>
      <c r="D3411" t="inlineStr">
        <is>
          <t>CANELÉ TRADICIONAL</t>
        </is>
      </c>
      <c r="E3411" s="34" t="n">
        <v>43830</v>
      </c>
      <c r="F3411" t="inlineStr">
        <is>
          <t>B</t>
        </is>
      </c>
      <c r="G3411" s="34" t="n">
        <v>6998</v>
      </c>
      <c r="H3411" s="34" t="n">
        <v>36832</v>
      </c>
      <c r="I3411" t="inlineStr">
        <is>
          <t>3.2</t>
        </is>
      </c>
      <c r="J3411" t="inlineStr">
        <is>
          <t>Ventas Personas (B2C)</t>
        </is>
      </c>
      <c r="K3411" t="inlineStr">
        <is>
          <t>CH2</t>
        </is>
      </c>
    </row>
    <row r="3412">
      <c r="A3412" s="33" t="n">
        <v>45948</v>
      </c>
      <c r="B3412" t="inlineStr">
        <is>
          <t>2025-10</t>
        </is>
      </c>
      <c r="C3412" t="inlineStr">
        <is>
          <t>Sin cliente</t>
        </is>
      </c>
      <c r="D3412" t="inlineStr">
        <is>
          <t>Delicatessen</t>
        </is>
      </c>
      <c r="E3412" s="34" t="n">
        <v>1600</v>
      </c>
      <c r="F3412" t="inlineStr">
        <is>
          <t>B</t>
        </is>
      </c>
      <c r="G3412" s="34" t="n">
        <v>255</v>
      </c>
      <c r="H3412" s="34" t="n">
        <v>1345</v>
      </c>
      <c r="I3412" t="inlineStr">
        <is>
          <t>3.2</t>
        </is>
      </c>
      <c r="J3412" t="inlineStr">
        <is>
          <t>Ventas Personas (B2C)</t>
        </is>
      </c>
      <c r="K3412" t="inlineStr">
        <is>
          <t>CH2</t>
        </is>
      </c>
    </row>
    <row r="3413">
      <c r="A3413" s="33" t="n">
        <v>45948</v>
      </c>
      <c r="B3413" t="inlineStr">
        <is>
          <t>2025-10</t>
        </is>
      </c>
      <c r="C3413" t="inlineStr">
        <is>
          <t>Maria Jose Grez</t>
        </is>
      </c>
      <c r="D3413" t="inlineStr">
        <is>
          <t>Delicatessen</t>
        </is>
      </c>
      <c r="E3413" s="34" t="n">
        <v>-1600</v>
      </c>
      <c r="F3413" t="inlineStr">
        <is>
          <t>NC</t>
        </is>
      </c>
      <c r="G3413" s="34" t="n">
        <v>-255</v>
      </c>
      <c r="H3413" s="34" t="n">
        <v>-1345</v>
      </c>
      <c r="I3413" t="inlineStr">
        <is>
          <t>3.2</t>
        </is>
      </c>
      <c r="J3413" t="inlineStr">
        <is>
          <t>Ventas Personas (B2C)</t>
        </is>
      </c>
      <c r="K3413" t="inlineStr">
        <is>
          <t>CH2</t>
        </is>
      </c>
    </row>
    <row r="3414">
      <c r="A3414" s="33" t="n">
        <v>45948</v>
      </c>
      <c r="B3414" t="inlineStr">
        <is>
          <t>2025-10</t>
        </is>
      </c>
      <c r="C3414" t="inlineStr">
        <is>
          <t>Sin cliente</t>
        </is>
      </c>
      <c r="D3414" t="inlineStr">
        <is>
          <t>CANELÉ TRADICIONAL</t>
        </is>
      </c>
      <c r="E3414" s="34" t="n">
        <v>14900</v>
      </c>
      <c r="F3414" t="inlineStr">
        <is>
          <t>B</t>
        </is>
      </c>
      <c r="G3414" s="34" t="n">
        <v>2379</v>
      </c>
      <c r="H3414" s="34" t="n">
        <v>12521</v>
      </c>
      <c r="I3414" t="inlineStr">
        <is>
          <t>3.2</t>
        </is>
      </c>
      <c r="J3414" t="inlineStr">
        <is>
          <t>Ventas Personas (B2C)</t>
        </is>
      </c>
      <c r="K3414" t="inlineStr">
        <is>
          <t>CH2</t>
        </is>
      </c>
    </row>
    <row r="3415">
      <c r="A3415" s="33" t="n">
        <v>45948</v>
      </c>
      <c r="B3415" t="inlineStr">
        <is>
          <t>2025-10</t>
        </is>
      </c>
      <c r="C3415" t="inlineStr">
        <is>
          <t>Sin cliente</t>
        </is>
      </c>
      <c r="D3415" t="inlineStr">
        <is>
          <t>Petit Crunchy</t>
        </is>
      </c>
      <c r="E3415" s="34" t="n">
        <v>25900</v>
      </c>
      <c r="F3415" t="inlineStr">
        <is>
          <t>B</t>
        </is>
      </c>
      <c r="G3415" s="34" t="n">
        <v>4135</v>
      </c>
      <c r="H3415" s="34" t="n">
        <v>21765</v>
      </c>
      <c r="I3415" t="inlineStr">
        <is>
          <t>3.2</t>
        </is>
      </c>
      <c r="J3415" t="inlineStr">
        <is>
          <t>Ventas Personas (B2C)</t>
        </is>
      </c>
      <c r="K3415" t="inlineStr">
        <is>
          <t>CH2</t>
        </is>
      </c>
    </row>
    <row r="3416">
      <c r="A3416" s="33" t="n">
        <v>45948</v>
      </c>
      <c r="B3416" t="inlineStr">
        <is>
          <t>2025-10</t>
        </is>
      </c>
      <c r="C3416" t="inlineStr">
        <is>
          <t>Sin cliente</t>
        </is>
      </c>
      <c r="D3416" t="inlineStr">
        <is>
          <t>Rellenos</t>
        </is>
      </c>
      <c r="E3416" s="34" t="n">
        <v>36400</v>
      </c>
      <c r="F3416" t="inlineStr">
        <is>
          <t>B</t>
        </is>
      </c>
      <c r="G3416" s="34" t="n">
        <v>5812</v>
      </c>
      <c r="H3416" s="34" t="n">
        <v>30588</v>
      </c>
      <c r="I3416" t="inlineStr">
        <is>
          <t>3.2</t>
        </is>
      </c>
      <c r="J3416" t="inlineStr">
        <is>
          <t>Ventas Personas (B2C)</t>
        </is>
      </c>
      <c r="K3416" t="inlineStr">
        <is>
          <t>CH2</t>
        </is>
      </c>
    </row>
    <row r="3417">
      <c r="A3417" s="33" t="n">
        <v>45948</v>
      </c>
      <c r="B3417" t="inlineStr">
        <is>
          <t>2025-10</t>
        </is>
      </c>
      <c r="C3417" t="inlineStr">
        <is>
          <t>Sin cliente</t>
        </is>
      </c>
      <c r="D3417" t="inlineStr">
        <is>
          <t>Petit Crunchy</t>
        </is>
      </c>
      <c r="E3417" s="34" t="n">
        <v>25900</v>
      </c>
      <c r="F3417" t="inlineStr">
        <is>
          <t>B</t>
        </is>
      </c>
      <c r="G3417" s="34" t="n">
        <v>4135</v>
      </c>
      <c r="H3417" s="34" t="n">
        <v>21765</v>
      </c>
      <c r="I3417" t="inlineStr">
        <is>
          <t>3.2</t>
        </is>
      </c>
      <c r="J3417" t="inlineStr">
        <is>
          <t>Ventas Personas (B2C)</t>
        </is>
      </c>
      <c r="K3417" t="inlineStr">
        <is>
          <t>CH2</t>
        </is>
      </c>
    </row>
    <row r="3418">
      <c r="A3418" s="33" t="n">
        <v>45948</v>
      </c>
      <c r="B3418" t="inlineStr">
        <is>
          <t>2025-10</t>
        </is>
      </c>
      <c r="C3418" t="inlineStr">
        <is>
          <t>Sin cliente</t>
        </is>
      </c>
      <c r="D3418" t="inlineStr">
        <is>
          <t>Rellenos</t>
        </is>
      </c>
      <c r="E3418" s="34" t="n">
        <v>32800</v>
      </c>
      <c r="F3418" t="inlineStr">
        <is>
          <t>B</t>
        </is>
      </c>
      <c r="G3418" s="34" t="n">
        <v>5237</v>
      </c>
      <c r="H3418" s="34" t="n">
        <v>27563</v>
      </c>
      <c r="I3418" t="inlineStr">
        <is>
          <t>3.2</t>
        </is>
      </c>
      <c r="J3418" t="inlineStr">
        <is>
          <t>Ventas Personas (B2C)</t>
        </is>
      </c>
      <c r="K3418" t="inlineStr">
        <is>
          <t>CH2</t>
        </is>
      </c>
    </row>
    <row r="3419">
      <c r="A3419" s="33" t="n">
        <v>45948</v>
      </c>
      <c r="B3419" t="inlineStr">
        <is>
          <t>2025-10</t>
        </is>
      </c>
      <c r="C3419" t="inlineStr">
        <is>
          <t>Sin cliente</t>
        </is>
      </c>
      <c r="D3419" t="inlineStr">
        <is>
          <t>Petit Tradicional</t>
        </is>
      </c>
      <c r="E3419" s="34" t="n">
        <v>8900</v>
      </c>
      <c r="F3419" t="inlineStr">
        <is>
          <t>B</t>
        </is>
      </c>
      <c r="G3419" s="34" t="n">
        <v>1421</v>
      </c>
      <c r="H3419" s="34" t="n">
        <v>7479</v>
      </c>
      <c r="I3419" t="inlineStr">
        <is>
          <t>3.2</t>
        </is>
      </c>
      <c r="J3419" t="inlineStr">
        <is>
          <t>Ventas Personas (B2C)</t>
        </is>
      </c>
      <c r="K3419" t="inlineStr">
        <is>
          <t>CH2</t>
        </is>
      </c>
    </row>
    <row r="3420">
      <c r="A3420" s="33" t="n">
        <v>45948</v>
      </c>
      <c r="B3420" t="inlineStr">
        <is>
          <t>2025-10</t>
        </is>
      </c>
      <c r="C3420" t="inlineStr">
        <is>
          <t>Sin cliente</t>
        </is>
      </c>
      <c r="D3420" t="inlineStr">
        <is>
          <t>Delicatessen</t>
        </is>
      </c>
      <c r="E3420" s="34" t="n">
        <v>52384</v>
      </c>
      <c r="F3420" t="inlineStr">
        <is>
          <t>B</t>
        </is>
      </c>
      <c r="G3420" s="34" t="n">
        <v>8364</v>
      </c>
      <c r="H3420" s="34" t="n">
        <v>44020</v>
      </c>
      <c r="I3420" t="inlineStr">
        <is>
          <t>3.2</t>
        </is>
      </c>
      <c r="J3420" t="inlineStr">
        <is>
          <t>Ventas Personas (B2C)</t>
        </is>
      </c>
      <c r="K3420" t="inlineStr">
        <is>
          <t>CH2</t>
        </is>
      </c>
    </row>
    <row r="3421">
      <c r="A3421" s="33" t="n">
        <v>45948</v>
      </c>
      <c r="B3421" t="inlineStr">
        <is>
          <t>2025-10</t>
        </is>
      </c>
      <c r="C3421" t="inlineStr">
        <is>
          <t>Sin cliente</t>
        </is>
      </c>
      <c r="D3421" t="inlineStr">
        <is>
          <t>Petit Tradicional</t>
        </is>
      </c>
      <c r="E3421" s="34" t="n">
        <v>12900</v>
      </c>
      <c r="F3421" t="inlineStr">
        <is>
          <t>B</t>
        </is>
      </c>
      <c r="G3421" s="34" t="n">
        <v>2060</v>
      </c>
      <c r="H3421" s="34" t="n">
        <v>10840</v>
      </c>
      <c r="I3421" t="inlineStr">
        <is>
          <t>3.2</t>
        </is>
      </c>
      <c r="J3421" t="inlineStr">
        <is>
          <t>Ventas Personas (B2C)</t>
        </is>
      </c>
      <c r="K3421" t="inlineStr">
        <is>
          <t>CH2</t>
        </is>
      </c>
    </row>
    <row r="3422">
      <c r="A3422" s="33" t="n">
        <v>45948</v>
      </c>
      <c r="B3422" t="inlineStr">
        <is>
          <t>2025-10</t>
        </is>
      </c>
      <c r="C3422" t="inlineStr">
        <is>
          <t>Sin cliente</t>
        </is>
      </c>
      <c r="D3422" t="inlineStr">
        <is>
          <t>Delicatessen</t>
        </is>
      </c>
      <c r="E3422" s="34" t="n">
        <v>1600</v>
      </c>
      <c r="F3422" t="inlineStr">
        <is>
          <t>B</t>
        </is>
      </c>
      <c r="G3422" s="34" t="n">
        <v>255</v>
      </c>
      <c r="H3422" s="34" t="n">
        <v>1345</v>
      </c>
      <c r="I3422" t="inlineStr">
        <is>
          <t>3.2</t>
        </is>
      </c>
      <c r="J3422" t="inlineStr">
        <is>
          <t>Ventas Personas (B2C)</t>
        </is>
      </c>
      <c r="K3422" t="inlineStr">
        <is>
          <t>CH2</t>
        </is>
      </c>
    </row>
    <row r="3423">
      <c r="A3423" s="33" t="n">
        <v>45948</v>
      </c>
      <c r="B3423" t="inlineStr">
        <is>
          <t>2025-10</t>
        </is>
      </c>
      <c r="C3423" t="inlineStr">
        <is>
          <t>Melissa Miranda</t>
        </is>
      </c>
      <c r="D3423" t="inlineStr">
        <is>
          <t>Rellenos</t>
        </is>
      </c>
      <c r="E3423" s="34" t="n">
        <v>26889</v>
      </c>
      <c r="F3423" t="inlineStr">
        <is>
          <t>B</t>
        </is>
      </c>
      <c r="G3423" s="34" t="n">
        <v>4293</v>
      </c>
      <c r="H3423" s="34" t="n">
        <v>22596</v>
      </c>
      <c r="I3423" t="inlineStr">
        <is>
          <t>3.2</t>
        </is>
      </c>
      <c r="J3423" t="inlineStr">
        <is>
          <t>Ventas Personas (B2C)</t>
        </is>
      </c>
      <c r="K3423" t="inlineStr">
        <is>
          <t>CH2</t>
        </is>
      </c>
    </row>
    <row r="3424">
      <c r="A3424" s="33" t="n">
        <v>45949</v>
      </c>
      <c r="B3424" t="inlineStr">
        <is>
          <t>2025-10</t>
        </is>
      </c>
      <c r="C3424" t="inlineStr">
        <is>
          <t>Patricio Nova</t>
        </is>
      </c>
      <c r="D3424" t="inlineStr">
        <is>
          <t>Rellenos</t>
        </is>
      </c>
      <c r="E3424" s="34" t="n">
        <v>28890</v>
      </c>
      <c r="F3424" t="inlineStr">
        <is>
          <t>B</t>
        </is>
      </c>
      <c r="G3424" s="34" t="n">
        <v>4613</v>
      </c>
      <c r="H3424" s="34" t="n">
        <v>24277</v>
      </c>
      <c r="I3424" t="inlineStr">
        <is>
          <t>3.2</t>
        </is>
      </c>
      <c r="J3424" t="inlineStr">
        <is>
          <t>Ventas Personas (B2C)</t>
        </is>
      </c>
      <c r="K3424" t="inlineStr">
        <is>
          <t>CH2</t>
        </is>
      </c>
    </row>
    <row r="3425">
      <c r="A3425" s="33" t="n">
        <v>45950</v>
      </c>
      <c r="B3425" t="inlineStr">
        <is>
          <t>2025-10</t>
        </is>
      </c>
      <c r="C3425" t="inlineStr">
        <is>
          <t>INVERSIONES Y ASESORIAS RAVAL LIMITADA</t>
        </is>
      </c>
      <c r="D3425" t="inlineStr">
        <is>
          <t>HORECA CAFETERIA</t>
        </is>
      </c>
      <c r="E3425" s="34" t="n">
        <v>72169</v>
      </c>
      <c r="F3425" t="inlineStr">
        <is>
          <t>F</t>
        </is>
      </c>
      <c r="G3425" s="34" t="n">
        <v>11523</v>
      </c>
      <c r="H3425" s="34" t="n">
        <v>60646</v>
      </c>
      <c r="I3425" t="inlineStr">
        <is>
          <t>3.1</t>
        </is>
      </c>
      <c r="J3425" t="inlineStr">
        <is>
          <t>Ventas HoReCa</t>
        </is>
      </c>
      <c r="K3425" t="inlineStr">
        <is>
          <t>CH1</t>
        </is>
      </c>
    </row>
    <row r="3426">
      <c r="A3426" s="33" t="n">
        <v>45950</v>
      </c>
      <c r="B3426" t="inlineStr">
        <is>
          <t>2025-10</t>
        </is>
      </c>
      <c r="C3426" t="inlineStr">
        <is>
          <t>GALO SPA</t>
        </is>
      </c>
      <c r="D3426" t="inlineStr">
        <is>
          <t>HORECA CAFETERIA</t>
        </is>
      </c>
      <c r="E3426" s="34" t="n">
        <v>141506</v>
      </c>
      <c r="F3426" t="inlineStr">
        <is>
          <t>F</t>
        </is>
      </c>
      <c r="G3426" s="34" t="n">
        <v>22593</v>
      </c>
      <c r="H3426" s="34" t="n">
        <v>118913</v>
      </c>
      <c r="I3426" t="inlineStr">
        <is>
          <t>3.1</t>
        </is>
      </c>
      <c r="J3426" t="inlineStr">
        <is>
          <t>Ventas HoReCa</t>
        </is>
      </c>
      <c r="K3426" t="inlineStr">
        <is>
          <t>CH1</t>
        </is>
      </c>
    </row>
    <row r="3427">
      <c r="A3427" s="33" t="n">
        <v>45950</v>
      </c>
      <c r="B3427" t="inlineStr">
        <is>
          <t>2025-10</t>
        </is>
      </c>
      <c r="C3427" t="inlineStr">
        <is>
          <t>CUATROTRESTRES CAFÉ SPA</t>
        </is>
      </c>
      <c r="D3427" t="inlineStr">
        <is>
          <t>HORECA CAFETERIA</t>
        </is>
      </c>
      <c r="E3427" s="34" t="n">
        <v>196787</v>
      </c>
      <c r="F3427" t="inlineStr">
        <is>
          <t>F</t>
        </is>
      </c>
      <c r="G3427" s="34" t="n">
        <v>31420</v>
      </c>
      <c r="H3427" s="34" t="n">
        <v>165367</v>
      </c>
      <c r="I3427" t="inlineStr">
        <is>
          <t>3.1</t>
        </is>
      </c>
      <c r="J3427" t="inlineStr">
        <is>
          <t>Ventas HoReCa</t>
        </is>
      </c>
      <c r="K3427" t="inlineStr">
        <is>
          <t>CH1</t>
        </is>
      </c>
    </row>
    <row r="3428">
      <c r="A3428" s="33" t="n">
        <v>45950</v>
      </c>
      <c r="B3428" t="inlineStr">
        <is>
          <t>2025-10</t>
        </is>
      </c>
      <c r="C3428" t="inlineStr">
        <is>
          <t>BLUE OAK COFFE SPA</t>
        </is>
      </c>
      <c r="D3428" t="inlineStr">
        <is>
          <t>HORECA CAFETERIA</t>
        </is>
      </c>
      <c r="E3428" s="34" t="n">
        <v>69190</v>
      </c>
      <c r="F3428" t="inlineStr">
        <is>
          <t>F</t>
        </is>
      </c>
      <c r="G3428" s="34" t="n">
        <v>11047</v>
      </c>
      <c r="H3428" s="34" t="n">
        <v>58143</v>
      </c>
      <c r="I3428" t="inlineStr">
        <is>
          <t>3.1</t>
        </is>
      </c>
      <c r="J3428" t="inlineStr">
        <is>
          <t>Ventas HoReCa</t>
        </is>
      </c>
      <c r="K3428" t="inlineStr">
        <is>
          <t>CH1</t>
        </is>
      </c>
    </row>
    <row r="3429">
      <c r="A3429" s="33" t="n">
        <v>45950</v>
      </c>
      <c r="B3429" t="inlineStr">
        <is>
          <t>2025-10</t>
        </is>
      </c>
      <c r="C3429" t="inlineStr">
        <is>
          <t>INVERSIONES Y COMERCIALIZADORA FED LIMITADA</t>
        </is>
      </c>
      <c r="D3429" t="inlineStr">
        <is>
          <t>HORECA CAFETERIA</t>
        </is>
      </c>
      <c r="E3429" s="34" t="n">
        <v>114110</v>
      </c>
      <c r="F3429" t="inlineStr">
        <is>
          <t>F</t>
        </is>
      </c>
      <c r="G3429" s="34" t="n">
        <v>18219</v>
      </c>
      <c r="H3429" s="34" t="n">
        <v>95891</v>
      </c>
      <c r="I3429" t="inlineStr">
        <is>
          <t>3.1</t>
        </is>
      </c>
      <c r="J3429" t="inlineStr">
        <is>
          <t>Ventas HoReCa</t>
        </is>
      </c>
      <c r="K3429" t="inlineStr">
        <is>
          <t>CH1</t>
        </is>
      </c>
    </row>
    <row r="3430">
      <c r="A3430" s="33" t="n">
        <v>45950</v>
      </c>
      <c r="B3430" t="inlineStr">
        <is>
          <t>2025-10</t>
        </is>
      </c>
      <c r="C3430" t="inlineStr">
        <is>
          <t>INVERSIONES Y COMERCIALIZADORA FED LIMITADA</t>
        </is>
      </c>
      <c r="D3430" t="inlineStr">
        <is>
          <t>HORECA CAFETERIA</t>
        </is>
      </c>
      <c r="E3430" s="34" t="n">
        <v>280299</v>
      </c>
      <c r="F3430" t="inlineStr">
        <is>
          <t>F</t>
        </is>
      </c>
      <c r="G3430" s="34" t="n">
        <v>44754</v>
      </c>
      <c r="H3430" s="34" t="n">
        <v>235545</v>
      </c>
      <c r="I3430" t="inlineStr">
        <is>
          <t>3.1</t>
        </is>
      </c>
      <c r="J3430" t="inlineStr">
        <is>
          <t>Ventas HoReCa</t>
        </is>
      </c>
      <c r="K3430" t="inlineStr">
        <is>
          <t>CH1</t>
        </is>
      </c>
    </row>
    <row r="3431">
      <c r="A3431" s="33" t="n">
        <v>45950</v>
      </c>
      <c r="B3431" t="inlineStr">
        <is>
          <t>2025-10</t>
        </is>
      </c>
      <c r="C3431" t="inlineStr">
        <is>
          <t>Marisol Valencia Moya</t>
        </is>
      </c>
      <c r="D3431" t="inlineStr">
        <is>
          <t>Rellenos</t>
        </is>
      </c>
      <c r="E3431" s="34" t="n">
        <v>42790</v>
      </c>
      <c r="F3431" t="inlineStr">
        <is>
          <t>B</t>
        </is>
      </c>
      <c r="G3431" s="34" t="n">
        <v>6832</v>
      </c>
      <c r="H3431" s="34" t="n">
        <v>35958</v>
      </c>
      <c r="I3431" t="inlineStr">
        <is>
          <t>3.2</t>
        </is>
      </c>
      <c r="J3431" t="inlineStr">
        <is>
          <t>Ventas Personas (B2C)</t>
        </is>
      </c>
      <c r="K3431" t="inlineStr">
        <is>
          <t>CH2</t>
        </is>
      </c>
    </row>
    <row r="3432">
      <c r="A3432" s="33" t="n">
        <v>45950</v>
      </c>
      <c r="B3432" t="inlineStr">
        <is>
          <t>2025-10</t>
        </is>
      </c>
      <c r="C3432" t="inlineStr">
        <is>
          <t>CAROLINA GREZ</t>
        </is>
      </c>
      <c r="D3432" t="inlineStr">
        <is>
          <t>Petit Tradicional</t>
        </is>
      </c>
      <c r="E3432" s="34" t="n">
        <v>14240</v>
      </c>
      <c r="F3432" t="inlineStr">
        <is>
          <t>B</t>
        </is>
      </c>
      <c r="G3432" s="34" t="n">
        <v>2274</v>
      </c>
      <c r="H3432" s="34" t="n">
        <v>11966</v>
      </c>
      <c r="I3432" t="inlineStr">
        <is>
          <t>3.2</t>
        </is>
      </c>
      <c r="J3432" t="inlineStr">
        <is>
          <t>Ventas Personas (B2C)</t>
        </is>
      </c>
      <c r="K3432" t="inlineStr">
        <is>
          <t>CH2</t>
        </is>
      </c>
    </row>
    <row r="3433">
      <c r="A3433" s="33" t="n">
        <v>45950</v>
      </c>
      <c r="B3433" t="inlineStr">
        <is>
          <t>2025-10</t>
        </is>
      </c>
      <c r="C3433" t="inlineStr">
        <is>
          <t>Paula Castellano Larrondo</t>
        </is>
      </c>
      <c r="D3433" t="inlineStr">
        <is>
          <t>CANELÉ TRADICIONAL</t>
        </is>
      </c>
      <c r="E3433" s="34" t="n">
        <v>26900</v>
      </c>
      <c r="F3433" t="inlineStr">
        <is>
          <t>B</t>
        </is>
      </c>
      <c r="G3433" s="34" t="n">
        <v>4295</v>
      </c>
      <c r="H3433" s="34" t="n">
        <v>22605</v>
      </c>
      <c r="I3433" t="inlineStr">
        <is>
          <t>3.2</t>
        </is>
      </c>
      <c r="J3433" t="inlineStr">
        <is>
          <t>Ventas Personas (B2C)</t>
        </is>
      </c>
      <c r="K3433" t="inlineStr">
        <is>
          <t>CH2</t>
        </is>
      </c>
    </row>
    <row r="3434">
      <c r="A3434" s="33" t="n">
        <v>45950</v>
      </c>
      <c r="B3434" t="inlineStr">
        <is>
          <t>2025-10</t>
        </is>
      </c>
      <c r="C3434" t="inlineStr">
        <is>
          <t>Sin cliente</t>
        </is>
      </c>
      <c r="D3434" t="inlineStr">
        <is>
          <t>CANELÉ TRADICIONAL</t>
        </is>
      </c>
      <c r="E3434" s="34" t="n">
        <v>14900</v>
      </c>
      <c r="F3434" t="inlineStr">
        <is>
          <t>B</t>
        </is>
      </c>
      <c r="G3434" s="34" t="n">
        <v>2379</v>
      </c>
      <c r="H3434" s="34" t="n">
        <v>12521</v>
      </c>
      <c r="I3434" t="inlineStr">
        <is>
          <t>3.2</t>
        </is>
      </c>
      <c r="J3434" t="inlineStr">
        <is>
          <t>Ventas Personas (B2C)</t>
        </is>
      </c>
      <c r="K3434" t="inlineStr">
        <is>
          <t>CH2</t>
        </is>
      </c>
    </row>
    <row r="3435">
      <c r="A3435" s="33" t="n">
        <v>45950</v>
      </c>
      <c r="B3435" t="inlineStr">
        <is>
          <t>2025-10</t>
        </is>
      </c>
      <c r="C3435" t="inlineStr">
        <is>
          <t>Sin cliente</t>
        </is>
      </c>
      <c r="D3435" t="inlineStr">
        <is>
          <t>CANELÉ TRADICIONAL</t>
        </is>
      </c>
      <c r="E3435" s="34" t="n">
        <v>21900</v>
      </c>
      <c r="F3435" t="inlineStr">
        <is>
          <t>B</t>
        </is>
      </c>
      <c r="G3435" s="34" t="n">
        <v>3497</v>
      </c>
      <c r="H3435" s="34" t="n">
        <v>18403</v>
      </c>
      <c r="I3435" t="inlineStr">
        <is>
          <t>3.2</t>
        </is>
      </c>
      <c r="J3435" t="inlineStr">
        <is>
          <t>Ventas Personas (B2C)</t>
        </is>
      </c>
      <c r="K3435" t="inlineStr">
        <is>
          <t>CH2</t>
        </is>
      </c>
    </row>
    <row r="3436">
      <c r="A3436" s="33" t="n">
        <v>45951</v>
      </c>
      <c r="B3436" t="inlineStr">
        <is>
          <t>2025-10</t>
        </is>
      </c>
      <c r="C3436" t="inlineStr">
        <is>
          <t>Luis Felipe La Corte Castro</t>
        </is>
      </c>
      <c r="D3436" t="inlineStr">
        <is>
          <t>HORECA CAFETERIA</t>
        </is>
      </c>
      <c r="E3436" s="34" t="n">
        <v>100273</v>
      </c>
      <c r="F3436" t="inlineStr">
        <is>
          <t>F</t>
        </is>
      </c>
      <c r="G3436" s="34" t="n">
        <v>16010</v>
      </c>
      <c r="H3436" s="34" t="n">
        <v>84263</v>
      </c>
      <c r="I3436" t="inlineStr">
        <is>
          <t>3.1</t>
        </is>
      </c>
      <c r="J3436" t="inlineStr">
        <is>
          <t>Ventas HoReCa</t>
        </is>
      </c>
      <c r="K3436" t="inlineStr">
        <is>
          <t>CH1</t>
        </is>
      </c>
    </row>
    <row r="3437">
      <c r="A3437" s="33" t="n">
        <v>45951</v>
      </c>
      <c r="B3437" t="inlineStr">
        <is>
          <t>2025-10</t>
        </is>
      </c>
      <c r="C3437" t="inlineStr">
        <is>
          <t>CAFETERIA THE ELEPHANT COFFEE LIMITADA</t>
        </is>
      </c>
      <c r="D3437" t="inlineStr">
        <is>
          <t>HORECA CAFETERIA</t>
        </is>
      </c>
      <c r="E3437" s="34" t="n">
        <v>186928</v>
      </c>
      <c r="F3437" t="inlineStr">
        <is>
          <t>F</t>
        </is>
      </c>
      <c r="G3437" s="34" t="n">
        <v>29846</v>
      </c>
      <c r="H3437" s="34" t="n">
        <v>157082</v>
      </c>
      <c r="I3437" t="inlineStr">
        <is>
          <t>3.1</t>
        </is>
      </c>
      <c r="J3437" t="inlineStr">
        <is>
          <t>Ventas HoReCa</t>
        </is>
      </c>
      <c r="K3437" t="inlineStr">
        <is>
          <t>CH1</t>
        </is>
      </c>
    </row>
    <row r="3438">
      <c r="A3438" s="33" t="n">
        <v>45951</v>
      </c>
      <c r="B3438" t="inlineStr">
        <is>
          <t>2025-10</t>
        </is>
      </c>
      <c r="C3438" t="inlineStr">
        <is>
          <t>Sociedad de inversiones solari y acuña spa</t>
        </is>
      </c>
      <c r="D3438" t="inlineStr">
        <is>
          <t>HORECA CAFETERIA</t>
        </is>
      </c>
      <c r="E3438" s="34" t="n">
        <v>37096</v>
      </c>
      <c r="F3438" t="inlineStr">
        <is>
          <t>F</t>
        </is>
      </c>
      <c r="G3438" s="34" t="n">
        <v>5923</v>
      </c>
      <c r="H3438" s="34" t="n">
        <v>31173</v>
      </c>
      <c r="I3438" t="inlineStr">
        <is>
          <t>3.1</t>
        </is>
      </c>
      <c r="J3438" t="inlineStr">
        <is>
          <t>Ventas HoReCa</t>
        </is>
      </c>
      <c r="K3438" t="inlineStr">
        <is>
          <t>CH1</t>
        </is>
      </c>
    </row>
    <row r="3439">
      <c r="A3439" s="33" t="n">
        <v>45951</v>
      </c>
      <c r="B3439" t="inlineStr">
        <is>
          <t>2025-10</t>
        </is>
      </c>
      <c r="C3439" t="inlineStr">
        <is>
          <t>Importadora y comercializadora Origenes SPA</t>
        </is>
      </c>
      <c r="D3439" t="inlineStr">
        <is>
          <t>HORECA CAFETERIA</t>
        </is>
      </c>
      <c r="E3439" s="34" t="n">
        <v>68179</v>
      </c>
      <c r="F3439" t="inlineStr">
        <is>
          <t>F</t>
        </is>
      </c>
      <c r="G3439" s="34" t="n">
        <v>10886</v>
      </c>
      <c r="H3439" s="34" t="n">
        <v>57293</v>
      </c>
      <c r="I3439" t="inlineStr">
        <is>
          <t>3.1</t>
        </is>
      </c>
      <c r="J3439" t="inlineStr">
        <is>
          <t>Ventas HoReCa</t>
        </is>
      </c>
      <c r="K3439" t="inlineStr">
        <is>
          <t>CH1</t>
        </is>
      </c>
    </row>
    <row r="3440">
      <c r="A3440" s="33" t="n">
        <v>45951</v>
      </c>
      <c r="B3440" t="inlineStr">
        <is>
          <t>2025-10</t>
        </is>
      </c>
      <c r="C3440" t="inlineStr">
        <is>
          <t>BUSTORF LARSEN Y COMPANIA LIMITADA</t>
        </is>
      </c>
      <c r="D3440" t="inlineStr">
        <is>
          <t>HORECA CAFETERIA</t>
        </is>
      </c>
      <c r="E3440" s="34" t="n">
        <v>68179</v>
      </c>
      <c r="F3440" t="inlineStr">
        <is>
          <t>F</t>
        </is>
      </c>
      <c r="G3440" s="34" t="n">
        <v>10886</v>
      </c>
      <c r="H3440" s="34" t="n">
        <v>57293</v>
      </c>
      <c r="I3440" t="inlineStr">
        <is>
          <t>3.1</t>
        </is>
      </c>
      <c r="J3440" t="inlineStr">
        <is>
          <t>Ventas HoReCa</t>
        </is>
      </c>
      <c r="K3440" t="inlineStr">
        <is>
          <t>CH1</t>
        </is>
      </c>
    </row>
    <row r="3441">
      <c r="A3441" s="33" t="n">
        <v>45951</v>
      </c>
      <c r="B3441" t="inlineStr">
        <is>
          <t>2025-10</t>
        </is>
      </c>
      <c r="C3441" t="inlineStr">
        <is>
          <t>Maria José Navarrete</t>
        </is>
      </c>
      <c r="D3441" t="inlineStr">
        <is>
          <t>Petit Crunchy</t>
        </is>
      </c>
      <c r="E3441" s="34" t="n">
        <v>19800</v>
      </c>
      <c r="F3441" t="inlineStr">
        <is>
          <t>B</t>
        </is>
      </c>
      <c r="G3441" s="34" t="n">
        <v>3161</v>
      </c>
      <c r="H3441" s="34" t="n">
        <v>16639</v>
      </c>
      <c r="I3441" t="inlineStr">
        <is>
          <t>3.2</t>
        </is>
      </c>
      <c r="J3441" t="inlineStr">
        <is>
          <t>Ventas Personas (B2C)</t>
        </is>
      </c>
      <c r="K3441" t="inlineStr">
        <is>
          <t>CH2</t>
        </is>
      </c>
    </row>
    <row r="3442">
      <c r="A3442" s="33" t="n">
        <v>45951</v>
      </c>
      <c r="B3442" t="inlineStr">
        <is>
          <t>2025-10</t>
        </is>
      </c>
      <c r="C3442" t="inlineStr">
        <is>
          <t>Nieves Ruiz</t>
        </is>
      </c>
      <c r="D3442" t="inlineStr">
        <is>
          <t>Petit Crunchy</t>
        </is>
      </c>
      <c r="E3442" s="34" t="n">
        <v>29889</v>
      </c>
      <c r="F3442" t="inlineStr">
        <is>
          <t>B</t>
        </is>
      </c>
      <c r="G3442" s="34" t="n">
        <v>4772</v>
      </c>
      <c r="H3442" s="34" t="n">
        <v>25117</v>
      </c>
      <c r="I3442" t="inlineStr">
        <is>
          <t>3.2</t>
        </is>
      </c>
      <c r="J3442" t="inlineStr">
        <is>
          <t>Ventas Personas (B2C)</t>
        </is>
      </c>
      <c r="K3442" t="inlineStr">
        <is>
          <t>CH2</t>
        </is>
      </c>
    </row>
    <row r="3443">
      <c r="A3443" s="33" t="n">
        <v>45951</v>
      </c>
      <c r="B3443" t="inlineStr">
        <is>
          <t>2025-10</t>
        </is>
      </c>
      <c r="C3443" t="inlineStr">
        <is>
          <t>mabel parra</t>
        </is>
      </c>
      <c r="D3443" t="inlineStr">
        <is>
          <t>Rellenos</t>
        </is>
      </c>
      <c r="E3443" s="34" t="n">
        <v>25800</v>
      </c>
      <c r="F3443" t="inlineStr">
        <is>
          <t>B</t>
        </is>
      </c>
      <c r="G3443" s="34" t="n">
        <v>4119</v>
      </c>
      <c r="H3443" s="34" t="n">
        <v>21681</v>
      </c>
      <c r="I3443" t="inlineStr">
        <is>
          <t>3.2</t>
        </is>
      </c>
      <c r="J3443" t="inlineStr">
        <is>
          <t>Ventas Personas (B2C)</t>
        </is>
      </c>
      <c r="K3443" t="inlineStr">
        <is>
          <t>CH2</t>
        </is>
      </c>
    </row>
    <row r="3444">
      <c r="A3444" s="33" t="n">
        <v>45951</v>
      </c>
      <c r="B3444" t="inlineStr">
        <is>
          <t>2025-10</t>
        </is>
      </c>
      <c r="C3444" t="inlineStr">
        <is>
          <t>Sin cliente</t>
        </is>
      </c>
      <c r="D3444" t="inlineStr">
        <is>
          <t>PLATAFORMAS RAP-PEYA-UBER-GOOD</t>
        </is>
      </c>
      <c r="E3444" s="34" t="n">
        <v>50160</v>
      </c>
      <c r="F3444" t="inlineStr">
        <is>
          <t>B</t>
        </is>
      </c>
      <c r="G3444" s="34" t="n">
        <v>8009</v>
      </c>
      <c r="H3444" s="34" t="n">
        <v>42151</v>
      </c>
      <c r="I3444" t="inlineStr">
        <is>
          <t>3.6</t>
        </is>
      </c>
      <c r="J3444" t="inlineStr">
        <is>
          <t>Ventas Delivery Apps</t>
        </is>
      </c>
      <c r="K3444" t="inlineStr">
        <is>
          <t>CH3</t>
        </is>
      </c>
    </row>
    <row r="3445">
      <c r="A3445" s="33" t="n">
        <v>45951</v>
      </c>
      <c r="B3445" t="inlineStr">
        <is>
          <t>2025-10</t>
        </is>
      </c>
      <c r="C3445" t="inlineStr">
        <is>
          <t>RICO SPA</t>
        </is>
      </c>
      <c r="D3445" t="inlineStr">
        <is>
          <t>CANELÉ TRADICIONAL</t>
        </is>
      </c>
      <c r="E3445" s="34" t="n">
        <v>-55000</v>
      </c>
      <c r="F3445" t="inlineStr">
        <is>
          <t>NC</t>
        </is>
      </c>
      <c r="G3445" s="34" t="n">
        <v>-8782</v>
      </c>
      <c r="H3445" s="34" t="n">
        <v>-46218</v>
      </c>
      <c r="I3445" t="inlineStr">
        <is>
          <t>3.1</t>
        </is>
      </c>
      <c r="J3445" t="inlineStr">
        <is>
          <t>Ventas HoReCa</t>
        </is>
      </c>
      <c r="K3445" t="inlineStr">
        <is>
          <t>CH1</t>
        </is>
      </c>
    </row>
    <row r="3446">
      <c r="A3446" s="33" t="n">
        <v>45951</v>
      </c>
      <c r="B3446" t="inlineStr">
        <is>
          <t>2025-10</t>
        </is>
      </c>
      <c r="C3446" t="inlineStr">
        <is>
          <t>Inversiones Rico SpA</t>
        </is>
      </c>
      <c r="D3446" t="inlineStr">
        <is>
          <t>CANELÉ TRADICIONAL</t>
        </is>
      </c>
      <c r="E3446" s="34" t="n">
        <v>55000</v>
      </c>
      <c r="F3446" t="inlineStr">
        <is>
          <t>F</t>
        </is>
      </c>
      <c r="G3446" s="34" t="n">
        <v>8782</v>
      </c>
      <c r="H3446" s="34" t="n">
        <v>46218</v>
      </c>
      <c r="I3446" t="inlineStr">
        <is>
          <t>3.1</t>
        </is>
      </c>
      <c r="J3446" t="inlineStr">
        <is>
          <t>Ventas HoReCa</t>
        </is>
      </c>
      <c r="K3446" t="inlineStr">
        <is>
          <t>CH1</t>
        </is>
      </c>
    </row>
    <row r="3447">
      <c r="A3447" s="33" t="n">
        <v>45951</v>
      </c>
      <c r="B3447" t="inlineStr">
        <is>
          <t>2025-10</t>
        </is>
      </c>
      <c r="C3447" t="inlineStr">
        <is>
          <t>Sin cliente</t>
        </is>
      </c>
      <c r="D3447" t="inlineStr">
        <is>
          <t>PLATAFORMAS RAP-PEYA-UBER-GOOD</t>
        </is>
      </c>
      <c r="E3447" s="34" t="n">
        <v>35760</v>
      </c>
      <c r="F3447" t="inlineStr">
        <is>
          <t>B</t>
        </is>
      </c>
      <c r="G3447" s="34" t="n">
        <v>5710</v>
      </c>
      <c r="H3447" s="34" t="n">
        <v>30050</v>
      </c>
      <c r="I3447" t="inlineStr">
        <is>
          <t>3.6</t>
        </is>
      </c>
      <c r="J3447" t="inlineStr">
        <is>
          <t>Ventas Delivery Apps</t>
        </is>
      </c>
      <c r="K3447" t="inlineStr">
        <is>
          <t>CH3</t>
        </is>
      </c>
    </row>
    <row r="3448">
      <c r="A3448" s="33" t="n">
        <v>45951</v>
      </c>
      <c r="B3448" t="inlineStr">
        <is>
          <t>2025-10</t>
        </is>
      </c>
      <c r="C3448" t="inlineStr">
        <is>
          <t>Sin cliente</t>
        </is>
      </c>
      <c r="D3448" t="inlineStr">
        <is>
          <t>PLATAFORMAS RAP-PEYA-UBER-GOOD</t>
        </is>
      </c>
      <c r="E3448" s="34" t="n">
        <v>15480</v>
      </c>
      <c r="F3448" t="inlineStr">
        <is>
          <t>B</t>
        </is>
      </c>
      <c r="G3448" s="34" t="n">
        <v>2472</v>
      </c>
      <c r="H3448" s="34" t="n">
        <v>13008</v>
      </c>
      <c r="I3448" t="inlineStr">
        <is>
          <t>3.6</t>
        </is>
      </c>
      <c r="J3448" t="inlineStr">
        <is>
          <t>Ventas Delivery Apps</t>
        </is>
      </c>
      <c r="K3448" t="inlineStr">
        <is>
          <t>CH3</t>
        </is>
      </c>
    </row>
    <row r="3449">
      <c r="A3449" s="33" t="n">
        <v>45951</v>
      </c>
      <c r="B3449" t="inlineStr">
        <is>
          <t>2025-10</t>
        </is>
      </c>
      <c r="C3449" t="inlineStr">
        <is>
          <t>Sin cliente</t>
        </is>
      </c>
      <c r="D3449" t="inlineStr">
        <is>
          <t>PLATAFORMAS RAP-PEYA-UBER-GOOD</t>
        </is>
      </c>
      <c r="E3449" s="34" t="n">
        <v>26280</v>
      </c>
      <c r="F3449" t="inlineStr">
        <is>
          <t>B</t>
        </is>
      </c>
      <c r="G3449" s="34" t="n">
        <v>4196</v>
      </c>
      <c r="H3449" s="34" t="n">
        <v>22084</v>
      </c>
      <c r="I3449" t="inlineStr">
        <is>
          <t>3.6</t>
        </is>
      </c>
      <c r="J3449" t="inlineStr">
        <is>
          <t>Ventas Delivery Apps</t>
        </is>
      </c>
      <c r="K3449" t="inlineStr">
        <is>
          <t>CH3</t>
        </is>
      </c>
    </row>
    <row r="3450">
      <c r="A3450" s="33" t="n">
        <v>45951</v>
      </c>
      <c r="B3450" t="inlineStr">
        <is>
          <t>2025-10</t>
        </is>
      </c>
      <c r="C3450" t="inlineStr">
        <is>
          <t>Josefina Cabargas Fernández</t>
        </is>
      </c>
      <c r="D3450" t="inlineStr">
        <is>
          <t>Petit Crunchy</t>
        </is>
      </c>
      <c r="E3450" s="34" t="n">
        <v>22189</v>
      </c>
      <c r="F3450" t="inlineStr">
        <is>
          <t>B</t>
        </is>
      </c>
      <c r="G3450" s="34" t="n">
        <v>3543</v>
      </c>
      <c r="H3450" s="34" t="n">
        <v>18646</v>
      </c>
      <c r="I3450" t="inlineStr">
        <is>
          <t>3.2</t>
        </is>
      </c>
      <c r="J3450" t="inlineStr">
        <is>
          <t>Ventas Personas (B2C)</t>
        </is>
      </c>
      <c r="K3450" t="inlineStr">
        <is>
          <t>CH2</t>
        </is>
      </c>
    </row>
    <row r="3451">
      <c r="A3451" s="33" t="n">
        <v>45951</v>
      </c>
      <c r="B3451" t="inlineStr">
        <is>
          <t>2025-10</t>
        </is>
      </c>
      <c r="C3451" t="inlineStr">
        <is>
          <t>Sin cliente</t>
        </is>
      </c>
      <c r="D3451" t="inlineStr">
        <is>
          <t>PLATAFORMAS RAP-PEYA-UBER-GOOD</t>
        </is>
      </c>
      <c r="E3451" s="34" t="n">
        <v>7200</v>
      </c>
      <c r="F3451" t="inlineStr">
        <is>
          <t>B</t>
        </is>
      </c>
      <c r="G3451" s="34" t="n">
        <v>1150</v>
      </c>
      <c r="H3451" s="34" t="n">
        <v>6050</v>
      </c>
      <c r="I3451" t="inlineStr">
        <is>
          <t>3.6</t>
        </is>
      </c>
      <c r="J3451" t="inlineStr">
        <is>
          <t>Ventas Delivery Apps</t>
        </is>
      </c>
      <c r="K3451" t="inlineStr">
        <is>
          <t>CH3</t>
        </is>
      </c>
    </row>
    <row r="3452">
      <c r="A3452" s="33" t="n">
        <v>45951</v>
      </c>
      <c r="B3452" t="inlineStr">
        <is>
          <t>2025-10</t>
        </is>
      </c>
      <c r="C3452" t="inlineStr">
        <is>
          <t>Sin cliente</t>
        </is>
      </c>
      <c r="D3452" t="inlineStr">
        <is>
          <t>Rellenos</t>
        </is>
      </c>
      <c r="E3452" s="34" t="n">
        <v>18800</v>
      </c>
      <c r="F3452" t="inlineStr">
        <is>
          <t>B</t>
        </is>
      </c>
      <c r="G3452" s="34" t="n">
        <v>3002</v>
      </c>
      <c r="H3452" s="34" t="n">
        <v>15798</v>
      </c>
      <c r="I3452" t="inlineStr">
        <is>
          <t>3.2</t>
        </is>
      </c>
      <c r="J3452" t="inlineStr">
        <is>
          <t>Ventas Personas (B2C)</t>
        </is>
      </c>
      <c r="K3452" t="inlineStr">
        <is>
          <t>CH2</t>
        </is>
      </c>
    </row>
    <row r="3453">
      <c r="A3453" s="33" t="n">
        <v>45951</v>
      </c>
      <c r="B3453" t="inlineStr">
        <is>
          <t>2025-10</t>
        </is>
      </c>
      <c r="C3453" t="inlineStr">
        <is>
          <t>Sin cliente</t>
        </is>
      </c>
      <c r="D3453" t="inlineStr">
        <is>
          <t>PLATAFORMAS RAP-PEYA-UBER-GOOD</t>
        </is>
      </c>
      <c r="E3453" s="34" t="n">
        <v>28680</v>
      </c>
      <c r="F3453" t="inlineStr">
        <is>
          <t>B</t>
        </is>
      </c>
      <c r="G3453" s="34" t="n">
        <v>4579</v>
      </c>
      <c r="H3453" s="34" t="n">
        <v>24101</v>
      </c>
      <c r="I3453" t="inlineStr">
        <is>
          <t>3.6</t>
        </is>
      </c>
      <c r="J3453" t="inlineStr">
        <is>
          <t>Ventas Delivery Apps</t>
        </is>
      </c>
      <c r="K3453" t="inlineStr">
        <is>
          <t>CH3</t>
        </is>
      </c>
    </row>
    <row r="3454">
      <c r="A3454" s="33" t="n">
        <v>45951</v>
      </c>
      <c r="B3454" t="inlineStr">
        <is>
          <t>2025-10</t>
        </is>
      </c>
      <c r="C3454" t="inlineStr">
        <is>
          <t>Marcos Gundelach Lizarraga</t>
        </is>
      </c>
      <c r="D3454" t="inlineStr">
        <is>
          <t>Petit Tradicional</t>
        </is>
      </c>
      <c r="E3454" s="34" t="n">
        <v>16889</v>
      </c>
      <c r="F3454" t="inlineStr">
        <is>
          <t>B</t>
        </is>
      </c>
      <c r="G3454" s="34" t="n">
        <v>2697</v>
      </c>
      <c r="H3454" s="34" t="n">
        <v>14192</v>
      </c>
      <c r="I3454" t="inlineStr">
        <is>
          <t>3.2</t>
        </is>
      </c>
      <c r="J3454" t="inlineStr">
        <is>
          <t>Ventas Personas (B2C)</t>
        </is>
      </c>
      <c r="K3454" t="inlineStr">
        <is>
          <t>CH2</t>
        </is>
      </c>
    </row>
    <row r="3455">
      <c r="A3455" s="33" t="n">
        <v>45952</v>
      </c>
      <c r="B3455" t="inlineStr">
        <is>
          <t>2025-10</t>
        </is>
      </c>
      <c r="C3455" t="inlineStr">
        <is>
          <t>DIEGO VARGAS BANQUETERIA Y EVENTOS SPA</t>
        </is>
      </c>
      <c r="D3455" t="inlineStr">
        <is>
          <t>HORECA CATERING</t>
        </is>
      </c>
      <c r="E3455" s="34" t="n">
        <v>340748</v>
      </c>
      <c r="F3455" t="inlineStr">
        <is>
          <t>F</t>
        </is>
      </c>
      <c r="G3455" s="34" t="n">
        <v>54405</v>
      </c>
      <c r="H3455" s="34" t="n">
        <v>286343</v>
      </c>
      <c r="I3455" t="inlineStr">
        <is>
          <t>3.1</t>
        </is>
      </c>
      <c r="J3455" t="inlineStr">
        <is>
          <t>Ventas HoReCa</t>
        </is>
      </c>
      <c r="K3455" t="inlineStr">
        <is>
          <t>CH1</t>
        </is>
      </c>
    </row>
    <row r="3456">
      <c r="A3456" s="33" t="n">
        <v>45952</v>
      </c>
      <c r="B3456" t="inlineStr">
        <is>
          <t>2025-10</t>
        </is>
      </c>
      <c r="C3456" t="inlineStr">
        <is>
          <t>Cafeteria de especialidad al paso Michael C. Plaza</t>
        </is>
      </c>
      <c r="D3456" t="inlineStr">
        <is>
          <t>HORECA CAFETERIA</t>
        </is>
      </c>
      <c r="E3456" s="34" t="n">
        <v>105283</v>
      </c>
      <c r="F3456" t="inlineStr">
        <is>
          <t>F</t>
        </is>
      </c>
      <c r="G3456" s="34" t="n">
        <v>16810</v>
      </c>
      <c r="H3456" s="34" t="n">
        <v>88473</v>
      </c>
      <c r="I3456" t="inlineStr">
        <is>
          <t>3.1</t>
        </is>
      </c>
      <c r="J3456" t="inlineStr">
        <is>
          <t>Ventas HoReCa</t>
        </is>
      </c>
      <c r="K3456" t="inlineStr">
        <is>
          <t>CH1</t>
        </is>
      </c>
    </row>
    <row r="3457">
      <c r="A3457" s="33" t="n">
        <v>45952</v>
      </c>
      <c r="B3457" t="inlineStr">
        <is>
          <t>2025-10</t>
        </is>
      </c>
      <c r="C3457" t="inlineStr">
        <is>
          <t>BANQUETERA PURA LIMITADA</t>
        </is>
      </c>
      <c r="D3457" t="inlineStr">
        <is>
          <t>Petit Crunchy</t>
        </is>
      </c>
      <c r="E3457" s="34" t="n">
        <v>108690</v>
      </c>
      <c r="F3457" t="inlineStr">
        <is>
          <t>F</t>
        </is>
      </c>
      <c r="G3457" s="34" t="n">
        <v>17354</v>
      </c>
      <c r="H3457" s="34" t="n">
        <v>91336</v>
      </c>
      <c r="I3457" t="inlineStr">
        <is>
          <t>3.1</t>
        </is>
      </c>
      <c r="J3457" t="inlineStr">
        <is>
          <t>Ventas HoReCa</t>
        </is>
      </c>
      <c r="K3457" t="inlineStr">
        <is>
          <t>CH1</t>
        </is>
      </c>
    </row>
    <row r="3458">
      <c r="A3458" s="33" t="n">
        <v>45952</v>
      </c>
      <c r="B3458" t="inlineStr">
        <is>
          <t>2025-10</t>
        </is>
      </c>
      <c r="C3458" t="inlineStr">
        <is>
          <t>Okinawa Spa</t>
        </is>
      </c>
      <c r="D3458" t="inlineStr">
        <is>
          <t>HORECA CAFETERIA</t>
        </is>
      </c>
      <c r="E3458" s="34" t="n">
        <v>100273</v>
      </c>
      <c r="F3458" t="inlineStr">
        <is>
          <t>F</t>
        </is>
      </c>
      <c r="G3458" s="34" t="n">
        <v>16010</v>
      </c>
      <c r="H3458" s="34" t="n">
        <v>84263</v>
      </c>
      <c r="I3458" t="inlineStr">
        <is>
          <t>3.1</t>
        </is>
      </c>
      <c r="J3458" t="inlineStr">
        <is>
          <t>Ventas HoReCa</t>
        </is>
      </c>
      <c r="K3458" t="inlineStr">
        <is>
          <t>CH1</t>
        </is>
      </c>
    </row>
    <row r="3459">
      <c r="A3459" s="33" t="n">
        <v>45952</v>
      </c>
      <c r="B3459" t="inlineStr">
        <is>
          <t>2025-10</t>
        </is>
      </c>
      <c r="C3459" t="inlineStr">
        <is>
          <t>RATIO COFFEE COMPANY SPA</t>
        </is>
      </c>
      <c r="D3459" t="inlineStr">
        <is>
          <t>HORECA CAFETERIA</t>
        </is>
      </c>
      <c r="E3459" s="34" t="n">
        <v>236069</v>
      </c>
      <c r="F3459" t="inlineStr">
        <is>
          <t>F</t>
        </is>
      </c>
      <c r="G3459" s="34" t="n">
        <v>37692</v>
      </c>
      <c r="H3459" s="34" t="n">
        <v>198377</v>
      </c>
      <c r="I3459" t="inlineStr">
        <is>
          <t>3.1</t>
        </is>
      </c>
      <c r="J3459" t="inlineStr">
        <is>
          <t>Ventas HoReCa</t>
        </is>
      </c>
      <c r="K3459" t="inlineStr">
        <is>
          <t>CH1</t>
        </is>
      </c>
    </row>
    <row r="3460">
      <c r="A3460" s="33" t="n">
        <v>45952</v>
      </c>
      <c r="B3460" t="inlineStr">
        <is>
          <t>2025-10</t>
        </is>
      </c>
      <c r="C3460" t="inlineStr">
        <is>
          <t>BLUE OAK COFFE SPA</t>
        </is>
      </c>
      <c r="D3460" t="inlineStr">
        <is>
          <t>HORECA CAFETERIA</t>
        </is>
      </c>
      <c r="E3460" s="34" t="n">
        <v>200777</v>
      </c>
      <c r="F3460" t="inlineStr">
        <is>
          <t>F</t>
        </is>
      </c>
      <c r="G3460" s="34" t="n">
        <v>32057</v>
      </c>
      <c r="H3460" s="34" t="n">
        <v>168720</v>
      </c>
      <c r="I3460" t="inlineStr">
        <is>
          <t>3.1</t>
        </is>
      </c>
      <c r="J3460" t="inlineStr">
        <is>
          <t>Ventas HoReCa</t>
        </is>
      </c>
      <c r="K3460" t="inlineStr">
        <is>
          <t>CH1</t>
        </is>
      </c>
    </row>
    <row r="3461">
      <c r="A3461" s="33" t="n">
        <v>45952</v>
      </c>
      <c r="B3461" t="inlineStr">
        <is>
          <t>2025-10</t>
        </is>
      </c>
      <c r="C3461" t="inlineStr">
        <is>
          <t>NACIÓN CAFÉ SPA</t>
        </is>
      </c>
      <c r="D3461" t="inlineStr">
        <is>
          <t>HORECA CAFETERIA</t>
        </is>
      </c>
      <c r="E3461" s="34" t="n">
        <v>71463</v>
      </c>
      <c r="F3461" t="inlineStr">
        <is>
          <t>F</t>
        </is>
      </c>
      <c r="G3461" s="34" t="n">
        <v>11410</v>
      </c>
      <c r="H3461" s="34" t="n">
        <v>60053</v>
      </c>
      <c r="I3461" t="inlineStr">
        <is>
          <t>3.1</t>
        </is>
      </c>
      <c r="J3461" t="inlineStr">
        <is>
          <t>Ventas HoReCa</t>
        </is>
      </c>
      <c r="K3461" t="inlineStr">
        <is>
          <t>CH1</t>
        </is>
      </c>
    </row>
    <row r="3462">
      <c r="A3462" s="33" t="n">
        <v>45952</v>
      </c>
      <c r="B3462" t="inlineStr">
        <is>
          <t>2025-10</t>
        </is>
      </c>
      <c r="C3462" t="inlineStr">
        <is>
          <t>Isidora Arellano</t>
        </is>
      </c>
      <c r="D3462" t="inlineStr">
        <is>
          <t>Petit Tradicional</t>
        </is>
      </c>
      <c r="E3462" s="34" t="n">
        <v>25890</v>
      </c>
      <c r="F3462" t="inlineStr">
        <is>
          <t>B</t>
        </is>
      </c>
      <c r="G3462" s="34" t="n">
        <v>4134</v>
      </c>
      <c r="H3462" s="34" t="n">
        <v>21756</v>
      </c>
      <c r="I3462" t="inlineStr">
        <is>
          <t>3.2</t>
        </is>
      </c>
      <c r="J3462" t="inlineStr">
        <is>
          <t>Ventas Personas (B2C)</t>
        </is>
      </c>
      <c r="K3462" t="inlineStr">
        <is>
          <t>CH2</t>
        </is>
      </c>
    </row>
    <row r="3463">
      <c r="A3463" s="33" t="n">
        <v>45952</v>
      </c>
      <c r="B3463" t="inlineStr">
        <is>
          <t>2025-10</t>
        </is>
      </c>
      <c r="C3463" t="inlineStr">
        <is>
          <t>Mariola Arteche</t>
        </is>
      </c>
      <c r="D3463" t="inlineStr">
        <is>
          <t>Mix Sabores</t>
        </is>
      </c>
      <c r="E3463" s="34" t="n">
        <v>29800</v>
      </c>
      <c r="F3463" t="inlineStr">
        <is>
          <t>B</t>
        </is>
      </c>
      <c r="G3463" s="34" t="n">
        <v>4758</v>
      </c>
      <c r="H3463" s="34" t="n">
        <v>25042</v>
      </c>
      <c r="I3463" t="inlineStr">
        <is>
          <t>3.2</t>
        </is>
      </c>
      <c r="J3463" t="inlineStr">
        <is>
          <t>Ventas Personas (B2C)</t>
        </is>
      </c>
      <c r="K3463" t="inlineStr">
        <is>
          <t>CH2</t>
        </is>
      </c>
    </row>
    <row r="3464">
      <c r="A3464" s="33" t="n">
        <v>45952</v>
      </c>
      <c r="B3464" t="inlineStr">
        <is>
          <t>2025-10</t>
        </is>
      </c>
      <c r="C3464" t="inlineStr">
        <is>
          <t>Sin cliente</t>
        </is>
      </c>
      <c r="D3464" t="inlineStr">
        <is>
          <t>PLATAFORMAS RAP-PEYA-UBER-GOOD</t>
        </is>
      </c>
      <c r="E3464" s="34" t="n">
        <v>55080</v>
      </c>
      <c r="F3464" t="inlineStr">
        <is>
          <t>B</t>
        </is>
      </c>
      <c r="G3464" s="34" t="n">
        <v>8794</v>
      </c>
      <c r="H3464" s="34" t="n">
        <v>46286</v>
      </c>
      <c r="I3464" t="inlineStr">
        <is>
          <t>3.6</t>
        </is>
      </c>
      <c r="J3464" t="inlineStr">
        <is>
          <t>Ventas Delivery Apps</t>
        </is>
      </c>
      <c r="K3464" t="inlineStr">
        <is>
          <t>CH3</t>
        </is>
      </c>
    </row>
    <row r="3465">
      <c r="A3465" s="33" t="n">
        <v>45952</v>
      </c>
      <c r="B3465" t="inlineStr">
        <is>
          <t>2025-10</t>
        </is>
      </c>
      <c r="C3465" t="inlineStr">
        <is>
          <t>Natalia Alejandra Vega Rios</t>
        </is>
      </c>
      <c r="D3465" t="inlineStr">
        <is>
          <t>Petit Tradicional</t>
        </is>
      </c>
      <c r="E3465" s="34" t="n">
        <v>24889</v>
      </c>
      <c r="F3465" t="inlineStr">
        <is>
          <t>B</t>
        </is>
      </c>
      <c r="G3465" s="34" t="n">
        <v>3974</v>
      </c>
      <c r="H3465" s="34" t="n">
        <v>20915</v>
      </c>
      <c r="I3465" t="inlineStr">
        <is>
          <t>3.2</t>
        </is>
      </c>
      <c r="J3465" t="inlineStr">
        <is>
          <t>Ventas Personas (B2C)</t>
        </is>
      </c>
      <c r="K3465" t="inlineStr">
        <is>
          <t>CH2</t>
        </is>
      </c>
    </row>
    <row r="3466">
      <c r="A3466" s="33" t="n">
        <v>45952</v>
      </c>
      <c r="B3466" t="inlineStr">
        <is>
          <t>2025-10</t>
        </is>
      </c>
      <c r="C3466" t="inlineStr">
        <is>
          <t>INVERSIONES Y ASESORIAS RAVAL LIMITADA</t>
        </is>
      </c>
      <c r="D3466" t="inlineStr">
        <is>
          <t>HORECA CAFETERIA</t>
        </is>
      </c>
      <c r="E3466" s="34" t="n">
        <v>-72169</v>
      </c>
      <c r="F3466" t="inlineStr">
        <is>
          <t>NC</t>
        </is>
      </c>
      <c r="G3466" s="34" t="n">
        <v>-11523</v>
      </c>
      <c r="H3466" s="34" t="n">
        <v>-60646</v>
      </c>
      <c r="I3466" t="inlineStr">
        <is>
          <t>3.1</t>
        </is>
      </c>
      <c r="J3466" t="inlineStr">
        <is>
          <t>Ventas HoReCa</t>
        </is>
      </c>
      <c r="K3466" t="inlineStr">
        <is>
          <t>CH1</t>
        </is>
      </c>
    </row>
    <row r="3467">
      <c r="A3467" s="33" t="n">
        <v>45952</v>
      </c>
      <c r="B3467" t="inlineStr">
        <is>
          <t>2025-10</t>
        </is>
      </c>
      <c r="C3467" t="inlineStr">
        <is>
          <t>INVERSIONES Y ASESORIAS RAVAL LIMITADA</t>
        </is>
      </c>
      <c r="D3467" t="inlineStr">
        <is>
          <t>HORECA CAFETERIA</t>
        </is>
      </c>
      <c r="E3467" s="34" t="n">
        <v>75989</v>
      </c>
      <c r="F3467" t="inlineStr">
        <is>
          <t>F</t>
        </is>
      </c>
      <c r="G3467" s="34" t="n">
        <v>12133</v>
      </c>
      <c r="H3467" s="34" t="n">
        <v>63856</v>
      </c>
      <c r="I3467" t="inlineStr">
        <is>
          <t>3.1</t>
        </is>
      </c>
      <c r="J3467" t="inlineStr">
        <is>
          <t>Ventas HoReCa</t>
        </is>
      </c>
      <c r="K3467" t="inlineStr">
        <is>
          <t>CH1</t>
        </is>
      </c>
    </row>
    <row r="3468">
      <c r="A3468" s="33" t="n">
        <v>45952</v>
      </c>
      <c r="B3468" t="inlineStr">
        <is>
          <t>2025-10</t>
        </is>
      </c>
      <c r="C3468" t="inlineStr">
        <is>
          <t>Magdelis Davila</t>
        </is>
      </c>
      <c r="D3468" t="inlineStr">
        <is>
          <t>Mix Sabores</t>
        </is>
      </c>
      <c r="E3468" s="34" t="n">
        <v>22800</v>
      </c>
      <c r="F3468" t="inlineStr">
        <is>
          <t>B</t>
        </is>
      </c>
      <c r="G3468" s="34" t="n">
        <v>3640</v>
      </c>
      <c r="H3468" s="34" t="n">
        <v>19160</v>
      </c>
      <c r="I3468" t="inlineStr">
        <is>
          <t>3.2</t>
        </is>
      </c>
      <c r="J3468" t="inlineStr">
        <is>
          <t>Ventas Personas (B2C)</t>
        </is>
      </c>
      <c r="K3468" t="inlineStr">
        <is>
          <t>CH2</t>
        </is>
      </c>
    </row>
    <row r="3469">
      <c r="A3469" s="33" t="n">
        <v>45952</v>
      </c>
      <c r="B3469" t="inlineStr">
        <is>
          <t>2025-10</t>
        </is>
      </c>
      <c r="C3469" t="inlineStr">
        <is>
          <t>Barbara De la carrera</t>
        </is>
      </c>
      <c r="D3469" t="inlineStr">
        <is>
          <t>CANELÉ TRADICIONAL</t>
        </is>
      </c>
      <c r="E3469" s="34" t="n">
        <v>21889</v>
      </c>
      <c r="F3469" t="inlineStr">
        <is>
          <t>B</t>
        </is>
      </c>
      <c r="G3469" s="34" t="n">
        <v>3495</v>
      </c>
      <c r="H3469" s="34" t="n">
        <v>18394</v>
      </c>
      <c r="I3469" t="inlineStr">
        <is>
          <t>3.2</t>
        </is>
      </c>
      <c r="J3469" t="inlineStr">
        <is>
          <t>Ventas Personas (B2C)</t>
        </is>
      </c>
      <c r="K3469" t="inlineStr">
        <is>
          <t>CH2</t>
        </is>
      </c>
    </row>
    <row r="3470">
      <c r="A3470" s="33" t="n">
        <v>45953</v>
      </c>
      <c r="B3470" t="inlineStr">
        <is>
          <t>2025-10</t>
        </is>
      </c>
      <c r="C3470" t="inlineStr">
        <is>
          <t>CAFÉ UNDER SPA</t>
        </is>
      </c>
      <c r="D3470" t="inlineStr">
        <is>
          <t>HORECA CAFETERIA</t>
        </is>
      </c>
      <c r="E3470" s="34" t="n">
        <v>68179</v>
      </c>
      <c r="F3470" t="inlineStr">
        <is>
          <t>F</t>
        </is>
      </c>
      <c r="G3470" s="34" t="n">
        <v>10886</v>
      </c>
      <c r="H3470" s="34" t="n">
        <v>57293</v>
      </c>
      <c r="I3470" t="inlineStr">
        <is>
          <t>3.1</t>
        </is>
      </c>
      <c r="J3470" t="inlineStr">
        <is>
          <t>Ventas HoReCa</t>
        </is>
      </c>
      <c r="K3470" t="inlineStr">
        <is>
          <t>CH1</t>
        </is>
      </c>
    </row>
    <row r="3471">
      <c r="A3471" s="33" t="n">
        <v>45953</v>
      </c>
      <c r="B3471" t="inlineStr">
        <is>
          <t>2025-10</t>
        </is>
      </c>
      <c r="C3471" t="inlineStr">
        <is>
          <t>BLUE OAK COFFE SPA</t>
        </is>
      </c>
      <c r="D3471" t="inlineStr">
        <is>
          <t>HORECA CAFETERIA</t>
        </is>
      </c>
      <c r="E3471" s="34" t="n">
        <v>52637</v>
      </c>
      <c r="F3471" t="inlineStr">
        <is>
          <t>F</t>
        </is>
      </c>
      <c r="G3471" s="34" t="n">
        <v>8404</v>
      </c>
      <c r="H3471" s="34" t="n">
        <v>44233</v>
      </c>
      <c r="I3471" t="inlineStr">
        <is>
          <t>3.1</t>
        </is>
      </c>
      <c r="J3471" t="inlineStr">
        <is>
          <t>Ventas HoReCa</t>
        </is>
      </c>
      <c r="K3471" t="inlineStr">
        <is>
          <t>CH1</t>
        </is>
      </c>
    </row>
    <row r="3472">
      <c r="A3472" s="33" t="n">
        <v>45953</v>
      </c>
      <c r="B3472" t="inlineStr">
        <is>
          <t>2025-10</t>
        </is>
      </c>
      <c r="C3472" t="inlineStr">
        <is>
          <t>BUSTORF LARSEN Y COMPANIA LIMITADA</t>
        </is>
      </c>
      <c r="D3472" t="inlineStr">
        <is>
          <t>HORECA CAFETERIA</t>
        </is>
      </c>
      <c r="E3472" s="34" t="n">
        <v>69178</v>
      </c>
      <c r="F3472" t="inlineStr">
        <is>
          <t>F</t>
        </is>
      </c>
      <c r="G3472" s="34" t="n">
        <v>11045</v>
      </c>
      <c r="H3472" s="34" t="n">
        <v>58133</v>
      </c>
      <c r="I3472" t="inlineStr">
        <is>
          <t>3.1</t>
        </is>
      </c>
      <c r="J3472" t="inlineStr">
        <is>
          <t>Ventas HoReCa</t>
        </is>
      </c>
      <c r="K3472" t="inlineStr">
        <is>
          <t>CH1</t>
        </is>
      </c>
    </row>
    <row r="3473">
      <c r="A3473" s="33" t="n">
        <v>45953</v>
      </c>
      <c r="B3473" t="inlineStr">
        <is>
          <t>2025-10</t>
        </is>
      </c>
      <c r="C3473" t="inlineStr">
        <is>
          <t>BUSTORF LARSEN Y COMPANIA LIMITADA</t>
        </is>
      </c>
      <c r="D3473" t="inlineStr">
        <is>
          <t>HORECA CAFETERIA</t>
        </is>
      </c>
      <c r="E3473" s="34" t="n">
        <v>69178</v>
      </c>
      <c r="F3473" t="inlineStr">
        <is>
          <t>F</t>
        </is>
      </c>
      <c r="G3473" s="34" t="n">
        <v>11045</v>
      </c>
      <c r="H3473" s="34" t="n">
        <v>58133</v>
      </c>
      <c r="I3473" t="inlineStr">
        <is>
          <t>3.1</t>
        </is>
      </c>
      <c r="J3473" t="inlineStr">
        <is>
          <t>Ventas HoReCa</t>
        </is>
      </c>
      <c r="K3473" t="inlineStr">
        <is>
          <t>CH1</t>
        </is>
      </c>
    </row>
    <row r="3474">
      <c r="A3474" s="33" t="n">
        <v>45953</v>
      </c>
      <c r="B3474" t="inlineStr">
        <is>
          <t>2025-10</t>
        </is>
      </c>
      <c r="C3474" t="inlineStr">
        <is>
          <t>BUSTORF LARSEN Y COMPANIA LIMITADA</t>
        </is>
      </c>
      <c r="D3474" t="inlineStr">
        <is>
          <t>HORECA CAFETERIA</t>
        </is>
      </c>
      <c r="E3474" s="34" t="n">
        <v>69178</v>
      </c>
      <c r="F3474" t="inlineStr">
        <is>
          <t>F</t>
        </is>
      </c>
      <c r="G3474" s="34" t="n">
        <v>11045</v>
      </c>
      <c r="H3474" s="34" t="n">
        <v>58133</v>
      </c>
      <c r="I3474" t="inlineStr">
        <is>
          <t>3.1</t>
        </is>
      </c>
      <c r="J3474" t="inlineStr">
        <is>
          <t>Ventas HoReCa</t>
        </is>
      </c>
      <c r="K3474" t="inlineStr">
        <is>
          <t>CH1</t>
        </is>
      </c>
    </row>
    <row r="3475">
      <c r="A3475" s="33" t="n">
        <v>45953</v>
      </c>
      <c r="B3475" t="inlineStr">
        <is>
          <t>2025-10</t>
        </is>
      </c>
      <c r="C3475" t="inlineStr">
        <is>
          <t>BLUE OAK COFFE SPA</t>
        </is>
      </c>
      <c r="D3475" t="inlineStr">
        <is>
          <t>HORECA CAFETERIA</t>
        </is>
      </c>
      <c r="E3475" s="34" t="n">
        <v>68179</v>
      </c>
      <c r="F3475" t="inlineStr">
        <is>
          <t>F</t>
        </is>
      </c>
      <c r="G3475" s="34" t="n">
        <v>10886</v>
      </c>
      <c r="H3475" s="34" t="n">
        <v>57293</v>
      </c>
      <c r="I3475" t="inlineStr">
        <is>
          <t>3.1</t>
        </is>
      </c>
      <c r="J3475" t="inlineStr">
        <is>
          <t>Ventas HoReCa</t>
        </is>
      </c>
      <c r="K3475" t="inlineStr">
        <is>
          <t>CH1</t>
        </is>
      </c>
    </row>
    <row r="3476">
      <c r="A3476" s="33" t="n">
        <v>45953</v>
      </c>
      <c r="B3476" t="inlineStr">
        <is>
          <t>2025-10</t>
        </is>
      </c>
      <c r="C3476" t="inlineStr">
        <is>
          <t>Clark Veloso Valenzuela</t>
        </is>
      </c>
      <c r="D3476" t="inlineStr">
        <is>
          <t>HORECA CAFETERIA</t>
        </is>
      </c>
      <c r="E3476" s="34" t="n">
        <v>101273</v>
      </c>
      <c r="F3476" t="inlineStr">
        <is>
          <t>F</t>
        </is>
      </c>
      <c r="G3476" s="34" t="n">
        <v>16170</v>
      </c>
      <c r="H3476" s="34" t="n">
        <v>85103</v>
      </c>
      <c r="I3476" t="inlineStr">
        <is>
          <t>3.1</t>
        </is>
      </c>
      <c r="J3476" t="inlineStr">
        <is>
          <t>Ventas HoReCa</t>
        </is>
      </c>
      <c r="K3476" t="inlineStr">
        <is>
          <t>CH1</t>
        </is>
      </c>
    </row>
    <row r="3477">
      <c r="A3477" s="33" t="n">
        <v>45953</v>
      </c>
      <c r="B3477" t="inlineStr">
        <is>
          <t>2025-10</t>
        </is>
      </c>
      <c r="C3477" t="inlineStr">
        <is>
          <t>CAFÉ ROCAMAR LIMITADA</t>
        </is>
      </c>
      <c r="D3477" t="inlineStr">
        <is>
          <t>HORECA CAFETERIA</t>
        </is>
      </c>
      <c r="E3477" s="34" t="n">
        <v>96283</v>
      </c>
      <c r="F3477" t="inlineStr">
        <is>
          <t>F</t>
        </is>
      </c>
      <c r="G3477" s="34" t="n">
        <v>15373</v>
      </c>
      <c r="H3477" s="34" t="n">
        <v>80910</v>
      </c>
      <c r="I3477" t="inlineStr">
        <is>
          <t>3.1</t>
        </is>
      </c>
      <c r="J3477" t="inlineStr">
        <is>
          <t>Ventas HoReCa</t>
        </is>
      </c>
      <c r="K3477" t="inlineStr">
        <is>
          <t>CH1</t>
        </is>
      </c>
    </row>
    <row r="3478">
      <c r="A3478" s="33" t="n">
        <v>45953</v>
      </c>
      <c r="B3478" t="inlineStr">
        <is>
          <t>2025-10</t>
        </is>
      </c>
      <c r="C3478" t="inlineStr">
        <is>
          <t>CAFE DIARIO ENCOMENDEROS SPA</t>
        </is>
      </c>
      <c r="D3478" t="inlineStr">
        <is>
          <t>HORECA CAFETERIA</t>
        </is>
      </c>
      <c r="E3478" s="34" t="n">
        <v>101451</v>
      </c>
      <c r="F3478" t="inlineStr">
        <is>
          <t>F</t>
        </is>
      </c>
      <c r="G3478" s="34" t="n">
        <v>16198</v>
      </c>
      <c r="H3478" s="34" t="n">
        <v>85253</v>
      </c>
      <c r="I3478" t="inlineStr">
        <is>
          <t>3.1</t>
        </is>
      </c>
      <c r="J3478" t="inlineStr">
        <is>
          <t>Ventas HoReCa</t>
        </is>
      </c>
      <c r="K3478" t="inlineStr">
        <is>
          <t>CH1</t>
        </is>
      </c>
    </row>
    <row r="3479">
      <c r="A3479" s="33" t="n">
        <v>45953</v>
      </c>
      <c r="B3479" t="inlineStr">
        <is>
          <t>2025-10</t>
        </is>
      </c>
      <c r="C3479" t="inlineStr">
        <is>
          <t>Francisca Richard</t>
        </is>
      </c>
      <c r="D3479" t="inlineStr">
        <is>
          <t>Petit Tradicional</t>
        </is>
      </c>
      <c r="E3479" s="34" t="n">
        <v>8900</v>
      </c>
      <c r="F3479" t="inlineStr">
        <is>
          <t>B</t>
        </is>
      </c>
      <c r="G3479" s="34" t="n">
        <v>1421</v>
      </c>
      <c r="H3479" s="34" t="n">
        <v>7479</v>
      </c>
      <c r="I3479" t="inlineStr">
        <is>
          <t>3.2</t>
        </is>
      </c>
      <c r="J3479" t="inlineStr">
        <is>
          <t>Ventas Personas (B2C)</t>
        </is>
      </c>
      <c r="K3479" t="inlineStr">
        <is>
          <t>CH2</t>
        </is>
      </c>
    </row>
    <row r="3480">
      <c r="A3480" s="33" t="n">
        <v>45953</v>
      </c>
      <c r="B3480" t="inlineStr">
        <is>
          <t>2025-10</t>
        </is>
      </c>
      <c r="C3480" t="inlineStr">
        <is>
          <t>CAFÉ UNDER SPA</t>
        </is>
      </c>
      <c r="D3480" t="inlineStr">
        <is>
          <t>HORECA CAFETERIA</t>
        </is>
      </c>
      <c r="E3480" s="34" t="n">
        <v>-68179</v>
      </c>
      <c r="F3480" t="inlineStr">
        <is>
          <t>NC</t>
        </is>
      </c>
      <c r="G3480" s="34" t="n">
        <v>-10886</v>
      </c>
      <c r="H3480" s="34" t="n">
        <v>-57293</v>
      </c>
      <c r="I3480" t="inlineStr">
        <is>
          <t>3.1</t>
        </is>
      </c>
      <c r="J3480" t="inlineStr">
        <is>
          <t>Ventas HoReCa</t>
        </is>
      </c>
      <c r="K3480" t="inlineStr">
        <is>
          <t>CH1</t>
        </is>
      </c>
    </row>
    <row r="3481">
      <c r="A3481" s="33" t="n">
        <v>45953</v>
      </c>
      <c r="B3481" t="inlineStr">
        <is>
          <t>2025-10</t>
        </is>
      </c>
      <c r="C3481" t="inlineStr">
        <is>
          <t>Marcela  Funes</t>
        </is>
      </c>
      <c r="D3481" t="inlineStr">
        <is>
          <t>CANELÉ TRADICIONAL</t>
        </is>
      </c>
      <c r="E3481" s="34" t="n">
        <v>35217</v>
      </c>
      <c r="F3481" t="inlineStr">
        <is>
          <t>B</t>
        </is>
      </c>
      <c r="G3481" s="34" t="n">
        <v>5623</v>
      </c>
      <c r="H3481" s="34" t="n">
        <v>29594</v>
      </c>
      <c r="I3481" t="inlineStr">
        <is>
          <t>3.2</t>
        </is>
      </c>
      <c r="J3481" t="inlineStr">
        <is>
          <t>Ventas Personas (B2C)</t>
        </is>
      </c>
      <c r="K3481" t="inlineStr">
        <is>
          <t>CH2</t>
        </is>
      </c>
    </row>
    <row r="3482">
      <c r="A3482" s="33" t="n">
        <v>45953</v>
      </c>
      <c r="B3482" t="inlineStr">
        <is>
          <t>2025-10</t>
        </is>
      </c>
      <c r="C3482" t="inlineStr">
        <is>
          <t>Sin cliente</t>
        </is>
      </c>
      <c r="D3482" t="inlineStr">
        <is>
          <t>Petit Tradicional</t>
        </is>
      </c>
      <c r="E3482" s="34" t="n">
        <v>10680</v>
      </c>
      <c r="F3482" t="inlineStr">
        <is>
          <t>B</t>
        </is>
      </c>
      <c r="G3482" s="34" t="n">
        <v>1705</v>
      </c>
      <c r="H3482" s="34" t="n">
        <v>8975</v>
      </c>
      <c r="I3482" t="inlineStr">
        <is>
          <t>3.2</t>
        </is>
      </c>
      <c r="J3482" t="inlineStr">
        <is>
          <t>Ventas Personas (B2C)</t>
        </is>
      </c>
      <c r="K3482" t="inlineStr">
        <is>
          <t>CH2</t>
        </is>
      </c>
    </row>
    <row r="3483">
      <c r="A3483" s="33" t="n">
        <v>45953</v>
      </c>
      <c r="B3483" t="inlineStr">
        <is>
          <t>2025-10</t>
        </is>
      </c>
      <c r="C3483" t="inlineStr">
        <is>
          <t>Producciones la Martina Limitada</t>
        </is>
      </c>
      <c r="D3483" t="inlineStr">
        <is>
          <t>HORECA CATERING</t>
        </is>
      </c>
      <c r="E3483" s="34" t="n">
        <v>63665</v>
      </c>
      <c r="F3483" t="inlineStr">
        <is>
          <t>F</t>
        </is>
      </c>
      <c r="G3483" s="34" t="n">
        <v>10165</v>
      </c>
      <c r="H3483" s="34" t="n">
        <v>53500</v>
      </c>
      <c r="I3483" t="inlineStr">
        <is>
          <t>3.1</t>
        </is>
      </c>
      <c r="J3483" t="inlineStr">
        <is>
          <t>Ventas HoReCa</t>
        </is>
      </c>
      <c r="K3483" t="inlineStr">
        <is>
          <t>CH1</t>
        </is>
      </c>
    </row>
    <row r="3484">
      <c r="A3484" s="33" t="n">
        <v>45953</v>
      </c>
      <c r="B3484" t="inlineStr">
        <is>
          <t>2025-10</t>
        </is>
      </c>
      <c r="C3484" t="inlineStr">
        <is>
          <t>Carolina Fernández</t>
        </is>
      </c>
      <c r="D3484" t="inlineStr">
        <is>
          <t>Rellenos</t>
        </is>
      </c>
      <c r="E3484" s="34" t="n">
        <v>26300</v>
      </c>
      <c r="F3484" t="inlineStr">
        <is>
          <t>B</t>
        </is>
      </c>
      <c r="G3484" s="34" t="n">
        <v>4199</v>
      </c>
      <c r="H3484" s="34" t="n">
        <v>22101</v>
      </c>
      <c r="I3484" t="inlineStr">
        <is>
          <t>3.2</t>
        </is>
      </c>
      <c r="J3484" t="inlineStr">
        <is>
          <t>Ventas Personas (B2C)</t>
        </is>
      </c>
      <c r="K3484" t="inlineStr">
        <is>
          <t>CH2</t>
        </is>
      </c>
    </row>
    <row r="3485">
      <c r="A3485" s="33" t="n">
        <v>45953</v>
      </c>
      <c r="B3485" t="inlineStr">
        <is>
          <t>2025-10</t>
        </is>
      </c>
      <c r="C3485" t="inlineStr">
        <is>
          <t>Javiera Gonzalez</t>
        </is>
      </c>
      <c r="D3485" t="inlineStr">
        <is>
          <t>Petit Crunchy</t>
        </is>
      </c>
      <c r="E3485" s="34" t="n">
        <v>30890</v>
      </c>
      <c r="F3485" t="inlineStr">
        <is>
          <t>B</t>
        </is>
      </c>
      <c r="G3485" s="34" t="n">
        <v>4932</v>
      </c>
      <c r="H3485" s="34" t="n">
        <v>25958</v>
      </c>
      <c r="I3485" t="inlineStr">
        <is>
          <t>3.2</t>
        </is>
      </c>
      <c r="J3485" t="inlineStr">
        <is>
          <t>Ventas Personas (B2C)</t>
        </is>
      </c>
      <c r="K3485" t="inlineStr">
        <is>
          <t>CH2</t>
        </is>
      </c>
    </row>
    <row r="3486">
      <c r="A3486" s="33" t="n">
        <v>45953</v>
      </c>
      <c r="B3486" t="inlineStr">
        <is>
          <t>2025-10</t>
        </is>
      </c>
      <c r="C3486" t="inlineStr">
        <is>
          <t>Sin cliente</t>
        </is>
      </c>
      <c r="D3486" t="inlineStr">
        <is>
          <t>CANELÉ TRADICIONAL</t>
        </is>
      </c>
      <c r="E3486" s="34" t="n">
        <v>7450</v>
      </c>
      <c r="F3486" t="inlineStr">
        <is>
          <t>B</t>
        </is>
      </c>
      <c r="G3486" s="34" t="n">
        <v>1189</v>
      </c>
      <c r="H3486" s="34" t="n">
        <v>6261</v>
      </c>
      <c r="I3486" t="inlineStr">
        <is>
          <t>3.2</t>
        </is>
      </c>
      <c r="J3486" t="inlineStr">
        <is>
          <t>Ventas Personas (B2C)</t>
        </is>
      </c>
      <c r="K3486" t="inlineStr">
        <is>
          <t>CH2</t>
        </is>
      </c>
    </row>
    <row r="3487">
      <c r="A3487" s="33" t="n">
        <v>45953</v>
      </c>
      <c r="B3487" t="inlineStr">
        <is>
          <t>2025-10</t>
        </is>
      </c>
      <c r="C3487" t="inlineStr">
        <is>
          <t>Sin cliente</t>
        </is>
      </c>
      <c r="D3487" t="inlineStr">
        <is>
          <t>PLATAFORMAS RAP-PEYA-UBER-GOOD</t>
        </is>
      </c>
      <c r="E3487" s="34" t="n">
        <v>25080</v>
      </c>
      <c r="F3487" t="inlineStr">
        <is>
          <t>B</t>
        </is>
      </c>
      <c r="G3487" s="34" t="n">
        <v>4004</v>
      </c>
      <c r="H3487" s="34" t="n">
        <v>21076</v>
      </c>
      <c r="I3487" t="inlineStr">
        <is>
          <t>3.6</t>
        </is>
      </c>
      <c r="J3487" t="inlineStr">
        <is>
          <t>Ventas Delivery Apps</t>
        </is>
      </c>
      <c r="K3487" t="inlineStr">
        <is>
          <t>CH3</t>
        </is>
      </c>
    </row>
    <row r="3488">
      <c r="A3488" s="33" t="n">
        <v>45953</v>
      </c>
      <c r="B3488" t="inlineStr">
        <is>
          <t>2025-10</t>
        </is>
      </c>
      <c r="C3488" t="inlineStr">
        <is>
          <t>Sociedad de inversiones solari y acuña spa</t>
        </is>
      </c>
      <c r="D3488" t="inlineStr">
        <is>
          <t>HORECA CAFETERIA</t>
        </is>
      </c>
      <c r="E3488" s="34" t="n">
        <v>100273</v>
      </c>
      <c r="F3488" t="inlineStr">
        <is>
          <t>F</t>
        </is>
      </c>
      <c r="G3488" s="34" t="n">
        <v>16010</v>
      </c>
      <c r="H3488" s="34" t="n">
        <v>84263</v>
      </c>
      <c r="I3488" t="inlineStr">
        <is>
          <t>3.1</t>
        </is>
      </c>
      <c r="J3488" t="inlineStr">
        <is>
          <t>Ventas HoReCa</t>
        </is>
      </c>
      <c r="K3488" t="inlineStr">
        <is>
          <t>CH1</t>
        </is>
      </c>
    </row>
    <row r="3489">
      <c r="A3489" s="33" t="n">
        <v>45953</v>
      </c>
      <c r="B3489" t="inlineStr">
        <is>
          <t>2025-10</t>
        </is>
      </c>
      <c r="C3489" t="inlineStr">
        <is>
          <t>Sociedad de inversiones solari y acuña spa</t>
        </is>
      </c>
      <c r="D3489" t="inlineStr">
        <is>
          <t>HORECA CAFETERIA</t>
        </is>
      </c>
      <c r="E3489" s="34" t="n">
        <v>70202</v>
      </c>
      <c r="F3489" t="inlineStr">
        <is>
          <t>F</t>
        </is>
      </c>
      <c r="G3489" s="34" t="n">
        <v>11209</v>
      </c>
      <c r="H3489" s="34" t="n">
        <v>58993</v>
      </c>
      <c r="I3489" t="inlineStr">
        <is>
          <t>3.1</t>
        </is>
      </c>
      <c r="J3489" t="inlineStr">
        <is>
          <t>Ventas HoReCa</t>
        </is>
      </c>
      <c r="K3489" t="inlineStr">
        <is>
          <t>CH1</t>
        </is>
      </c>
    </row>
    <row r="3490">
      <c r="A3490" s="33" t="n">
        <v>45953</v>
      </c>
      <c r="B3490" t="inlineStr">
        <is>
          <t>2025-10</t>
        </is>
      </c>
      <c r="C3490" t="inlineStr">
        <is>
          <t>Yuri Uehiro</t>
        </is>
      </c>
      <c r="D3490" t="inlineStr">
        <is>
          <t>CANELÉ TRADICIONAL</t>
        </is>
      </c>
      <c r="E3490" s="34" t="n">
        <v>20889</v>
      </c>
      <c r="F3490" t="inlineStr">
        <is>
          <t>B</t>
        </is>
      </c>
      <c r="G3490" s="34" t="n">
        <v>3335</v>
      </c>
      <c r="H3490" s="34" t="n">
        <v>17554</v>
      </c>
      <c r="I3490" t="inlineStr">
        <is>
          <t>3.2</t>
        </is>
      </c>
      <c r="J3490" t="inlineStr">
        <is>
          <t>Ventas Personas (B2C)</t>
        </is>
      </c>
      <c r="K3490" t="inlineStr">
        <is>
          <t>CH2</t>
        </is>
      </c>
    </row>
    <row r="3491">
      <c r="A3491" s="33" t="n">
        <v>45953</v>
      </c>
      <c r="B3491" t="inlineStr">
        <is>
          <t>2025-10</t>
        </is>
      </c>
      <c r="C3491" t="inlineStr">
        <is>
          <t>Saray Hurtado</t>
        </is>
      </c>
      <c r="D3491" t="inlineStr">
        <is>
          <t>Petit Tradicional</t>
        </is>
      </c>
      <c r="E3491" s="34" t="n">
        <v>23889</v>
      </c>
      <c r="F3491" t="inlineStr">
        <is>
          <t>B</t>
        </is>
      </c>
      <c r="G3491" s="34" t="n">
        <v>3814</v>
      </c>
      <c r="H3491" s="34" t="n">
        <v>20075</v>
      </c>
      <c r="I3491" t="inlineStr">
        <is>
          <t>3.2</t>
        </is>
      </c>
      <c r="J3491" t="inlineStr">
        <is>
          <t>Ventas Personas (B2C)</t>
        </is>
      </c>
      <c r="K3491" t="inlineStr">
        <is>
          <t>CH2</t>
        </is>
      </c>
    </row>
    <row r="3492">
      <c r="A3492" s="33" t="n">
        <v>45954</v>
      </c>
      <c r="B3492" t="inlineStr">
        <is>
          <t>2025-10</t>
        </is>
      </c>
      <c r="C3492" t="inlineStr">
        <is>
          <t>Better Food Spa</t>
        </is>
      </c>
      <c r="D3492" t="inlineStr">
        <is>
          <t>HORECA CAFETERIA</t>
        </is>
      </c>
      <c r="E3492" s="34" t="n">
        <v>256754</v>
      </c>
      <c r="F3492" t="inlineStr">
        <is>
          <t>F</t>
        </is>
      </c>
      <c r="G3492" s="34" t="n">
        <v>40994</v>
      </c>
      <c r="H3492" s="34" t="n">
        <v>215760</v>
      </c>
      <c r="I3492" t="inlineStr">
        <is>
          <t>3.1</t>
        </is>
      </c>
      <c r="J3492" t="inlineStr">
        <is>
          <t>Ventas HoReCa</t>
        </is>
      </c>
      <c r="K3492" t="inlineStr">
        <is>
          <t>CH1</t>
        </is>
      </c>
    </row>
    <row r="3493">
      <c r="A3493" s="33" t="n">
        <v>45954</v>
      </c>
      <c r="B3493" t="inlineStr">
        <is>
          <t>2025-10</t>
        </is>
      </c>
      <c r="C3493" t="inlineStr">
        <is>
          <t>Inversiones Café Dominicos SpA</t>
        </is>
      </c>
      <c r="D3493" t="inlineStr">
        <is>
          <t xml:space="preserve">THE COFFEE STORE </t>
        </is>
      </c>
      <c r="E3493" s="34" t="n">
        <v>39294</v>
      </c>
      <c r="F3493" t="inlineStr">
        <is>
          <t>F</t>
        </is>
      </c>
      <c r="G3493" s="34" t="n">
        <v>6274</v>
      </c>
      <c r="H3493" s="34" t="n">
        <v>33020</v>
      </c>
      <c r="I3493" t="inlineStr">
        <is>
          <t>3.1</t>
        </is>
      </c>
      <c r="J3493" t="inlineStr">
        <is>
          <t>Ventas HoReCa</t>
        </is>
      </c>
      <c r="K3493" t="inlineStr">
        <is>
          <t>CH1</t>
        </is>
      </c>
    </row>
    <row r="3494">
      <c r="A3494" s="33" t="n">
        <v>45954</v>
      </c>
      <c r="B3494" t="inlineStr">
        <is>
          <t>2025-10</t>
        </is>
      </c>
      <c r="C3494" t="inlineStr">
        <is>
          <t>BACOLIO SPA</t>
        </is>
      </c>
      <c r="D3494" t="inlineStr">
        <is>
          <t>HORECA CAFETERIA</t>
        </is>
      </c>
      <c r="E3494" s="34" t="n">
        <v>103307</v>
      </c>
      <c r="F3494" t="inlineStr">
        <is>
          <t>F</t>
        </is>
      </c>
      <c r="G3494" s="34" t="n">
        <v>16494</v>
      </c>
      <c r="H3494" s="34" t="n">
        <v>86813</v>
      </c>
      <c r="I3494" t="inlineStr">
        <is>
          <t>3.1</t>
        </is>
      </c>
      <c r="J3494" t="inlineStr">
        <is>
          <t>Ventas HoReCa</t>
        </is>
      </c>
      <c r="K3494" t="inlineStr">
        <is>
          <t>CH1</t>
        </is>
      </c>
    </row>
    <row r="3495">
      <c r="A3495" s="33" t="n">
        <v>45954</v>
      </c>
      <c r="B3495" t="inlineStr">
        <is>
          <t>2025-10</t>
        </is>
      </c>
      <c r="C3495" t="inlineStr">
        <is>
          <t>GALO SPA</t>
        </is>
      </c>
      <c r="D3495" t="inlineStr">
        <is>
          <t>HORECA CAFETERIA</t>
        </is>
      </c>
      <c r="E3495" s="34" t="n">
        <v>235144</v>
      </c>
      <c r="F3495" t="inlineStr">
        <is>
          <t>F</t>
        </is>
      </c>
      <c r="G3495" s="34" t="n">
        <v>37544</v>
      </c>
      <c r="H3495" s="34" t="n">
        <v>197600</v>
      </c>
      <c r="I3495" t="inlineStr">
        <is>
          <t>3.1</t>
        </is>
      </c>
      <c r="J3495" t="inlineStr">
        <is>
          <t>Ventas HoReCa</t>
        </is>
      </c>
      <c r="K3495" t="inlineStr">
        <is>
          <t>CH1</t>
        </is>
      </c>
    </row>
    <row r="3496">
      <c r="A3496" s="33" t="n">
        <v>45954</v>
      </c>
      <c r="B3496" t="inlineStr">
        <is>
          <t>2025-10</t>
        </is>
      </c>
      <c r="C3496" t="inlineStr">
        <is>
          <t>DIEGO VARGAS BANQUETERIA Y EVENTOS SPA</t>
        </is>
      </c>
      <c r="D3496" t="inlineStr">
        <is>
          <t>HORECA CATERING</t>
        </is>
      </c>
      <c r="E3496" s="34" t="n">
        <v>217048</v>
      </c>
      <c r="F3496" t="inlineStr">
        <is>
          <t>F</t>
        </is>
      </c>
      <c r="G3496" s="34" t="n">
        <v>34655</v>
      </c>
      <c r="H3496" s="34" t="n">
        <v>182393</v>
      </c>
      <c r="I3496" t="inlineStr">
        <is>
          <t>3.1</t>
        </is>
      </c>
      <c r="J3496" t="inlineStr">
        <is>
          <t>Ventas HoReCa</t>
        </is>
      </c>
      <c r="K3496" t="inlineStr">
        <is>
          <t>CH1</t>
        </is>
      </c>
    </row>
    <row r="3497">
      <c r="A3497" s="33" t="n">
        <v>45954</v>
      </c>
      <c r="B3497" t="inlineStr">
        <is>
          <t>2025-10</t>
        </is>
      </c>
      <c r="C3497" t="inlineStr">
        <is>
          <t>VILAS BANQUETERIAS SPA</t>
        </is>
      </c>
      <c r="D3497" t="inlineStr">
        <is>
          <t>HORECA CATERING</t>
        </is>
      </c>
      <c r="E3497" s="34" t="n">
        <v>145362</v>
      </c>
      <c r="F3497" t="inlineStr">
        <is>
          <t>F</t>
        </is>
      </c>
      <c r="G3497" s="34" t="n">
        <v>23209</v>
      </c>
      <c r="H3497" s="34" t="n">
        <v>122153</v>
      </c>
      <c r="I3497" t="inlineStr">
        <is>
          <t>3.1</t>
        </is>
      </c>
      <c r="J3497" t="inlineStr">
        <is>
          <t>Ventas HoReCa</t>
        </is>
      </c>
      <c r="K3497" t="inlineStr">
        <is>
          <t>CH1</t>
        </is>
      </c>
    </row>
    <row r="3498">
      <c r="A3498" s="33" t="n">
        <v>45954</v>
      </c>
      <c r="B3498" t="inlineStr">
        <is>
          <t>2025-10</t>
        </is>
      </c>
      <c r="C3498" t="inlineStr">
        <is>
          <t>CAFETERÍAS MISTER SPA</t>
        </is>
      </c>
      <c r="D3498" t="inlineStr">
        <is>
          <t>HORECA CAFETERIA</t>
        </is>
      </c>
      <c r="E3498" s="34" t="n">
        <v>36084</v>
      </c>
      <c r="F3498" t="inlineStr">
        <is>
          <t>F</t>
        </is>
      </c>
      <c r="G3498" s="34" t="n">
        <v>5761</v>
      </c>
      <c r="H3498" s="34" t="n">
        <v>30323</v>
      </c>
      <c r="I3498" t="inlineStr">
        <is>
          <t>3.1</t>
        </is>
      </c>
      <c r="J3498" t="inlineStr">
        <is>
          <t>Ventas HoReCa</t>
        </is>
      </c>
      <c r="K3498" t="inlineStr">
        <is>
          <t>CH1</t>
        </is>
      </c>
    </row>
    <row r="3499">
      <c r="A3499" s="33" t="n">
        <v>45954</v>
      </c>
      <c r="B3499" t="inlineStr">
        <is>
          <t>2025-10</t>
        </is>
      </c>
      <c r="C3499" t="inlineStr">
        <is>
          <t>GALVEZ Y HEUSSER SPA</t>
        </is>
      </c>
      <c r="D3499" t="inlineStr">
        <is>
          <t>HORECA CATERING</t>
        </is>
      </c>
      <c r="E3499" s="34" t="n">
        <v>111979</v>
      </c>
      <c r="F3499" t="inlineStr">
        <is>
          <t>F</t>
        </is>
      </c>
      <c r="G3499" s="34" t="n">
        <v>17879</v>
      </c>
      <c r="H3499" s="34" t="n">
        <v>94100</v>
      </c>
      <c r="I3499" t="inlineStr">
        <is>
          <t>3.1</t>
        </is>
      </c>
      <c r="J3499" t="inlineStr">
        <is>
          <t>Ventas HoReCa</t>
        </is>
      </c>
      <c r="K3499" t="inlineStr">
        <is>
          <t>CH1</t>
        </is>
      </c>
    </row>
    <row r="3500">
      <c r="A3500" s="33" t="n">
        <v>45954</v>
      </c>
      <c r="B3500" t="inlineStr">
        <is>
          <t>2025-10</t>
        </is>
      </c>
      <c r="C3500" t="inlineStr">
        <is>
          <t>Café del Parque SpA</t>
        </is>
      </c>
      <c r="D3500" t="inlineStr">
        <is>
          <t>HORECA CAFETERIA</t>
        </is>
      </c>
      <c r="E3500" s="34" t="n">
        <v>75818</v>
      </c>
      <c r="F3500" t="inlineStr">
        <is>
          <t>F</t>
        </is>
      </c>
      <c r="G3500" s="34" t="n">
        <v>12105</v>
      </c>
      <c r="H3500" s="34" t="n">
        <v>63713</v>
      </c>
      <c r="I3500" t="inlineStr">
        <is>
          <t>3.1</t>
        </is>
      </c>
      <c r="J3500" t="inlineStr">
        <is>
          <t>Ventas HoReCa</t>
        </is>
      </c>
      <c r="K3500" t="inlineStr">
        <is>
          <t>CH1</t>
        </is>
      </c>
    </row>
    <row r="3501">
      <c r="A3501" s="33" t="n">
        <v>45954</v>
      </c>
      <c r="B3501" t="inlineStr">
        <is>
          <t>2025-10</t>
        </is>
      </c>
      <c r="C3501" t="inlineStr">
        <is>
          <t>Sin cliente</t>
        </is>
      </c>
      <c r="D3501" t="inlineStr">
        <is>
          <t>PLATAFORMAS RAP-PEYA-UBER-GOOD</t>
        </is>
      </c>
      <c r="E3501" s="34" t="n">
        <v>25080</v>
      </c>
      <c r="F3501" t="inlineStr">
        <is>
          <t>B</t>
        </is>
      </c>
      <c r="G3501" s="34" t="n">
        <v>4004</v>
      </c>
      <c r="H3501" s="34" t="n">
        <v>21076</v>
      </c>
      <c r="I3501" t="inlineStr">
        <is>
          <t>3.6</t>
        </is>
      </c>
      <c r="J3501" t="inlineStr">
        <is>
          <t>Ventas Delivery Apps</t>
        </is>
      </c>
      <c r="K3501" t="inlineStr">
        <is>
          <t>CH3</t>
        </is>
      </c>
    </row>
    <row r="3502">
      <c r="A3502" s="33" t="n">
        <v>45954</v>
      </c>
      <c r="B3502" t="inlineStr">
        <is>
          <t>2025-10</t>
        </is>
      </c>
      <c r="C3502" t="inlineStr">
        <is>
          <t>Lily Günther</t>
        </is>
      </c>
      <c r="D3502" t="inlineStr">
        <is>
          <t>Rellenos</t>
        </is>
      </c>
      <c r="E3502" s="34" t="n">
        <v>28789</v>
      </c>
      <c r="F3502" t="inlineStr">
        <is>
          <t>B</t>
        </is>
      </c>
      <c r="G3502" s="34" t="n">
        <v>4597</v>
      </c>
      <c r="H3502" s="34" t="n">
        <v>24192</v>
      </c>
      <c r="I3502" t="inlineStr">
        <is>
          <t>3.2</t>
        </is>
      </c>
      <c r="J3502" t="inlineStr">
        <is>
          <t>Ventas Personas (B2C)</t>
        </is>
      </c>
      <c r="K3502" t="inlineStr">
        <is>
          <t>CH2</t>
        </is>
      </c>
    </row>
    <row r="3503">
      <c r="A3503" s="33" t="n">
        <v>45954</v>
      </c>
      <c r="B3503" t="inlineStr">
        <is>
          <t>2025-10</t>
        </is>
      </c>
      <c r="C3503" t="inlineStr">
        <is>
          <t>Alejandro Martic</t>
        </is>
      </c>
      <c r="D3503" t="inlineStr">
        <is>
          <t>CANELÉ TRADICIONAL</t>
        </is>
      </c>
      <c r="E3503" s="34" t="n">
        <v>29889</v>
      </c>
      <c r="F3503" t="inlineStr">
        <is>
          <t>B</t>
        </is>
      </c>
      <c r="G3503" s="34" t="n">
        <v>4772</v>
      </c>
      <c r="H3503" s="34" t="n">
        <v>25117</v>
      </c>
      <c r="I3503" t="inlineStr">
        <is>
          <t>3.2</t>
        </is>
      </c>
      <c r="J3503" t="inlineStr">
        <is>
          <t>Ventas Personas (B2C)</t>
        </is>
      </c>
      <c r="K3503" t="inlineStr">
        <is>
          <t>CH2</t>
        </is>
      </c>
    </row>
    <row r="3504">
      <c r="A3504" s="33" t="n">
        <v>45954</v>
      </c>
      <c r="B3504" t="inlineStr">
        <is>
          <t>2025-10</t>
        </is>
      </c>
      <c r="C3504" t="inlineStr">
        <is>
          <t>Sin cliente</t>
        </is>
      </c>
      <c r="D3504" t="inlineStr">
        <is>
          <t>Rellenos</t>
        </is>
      </c>
      <c r="E3504" s="34" t="n">
        <v>6000</v>
      </c>
      <c r="F3504" t="inlineStr">
        <is>
          <t>B</t>
        </is>
      </c>
      <c r="G3504" s="34" t="n">
        <v>958</v>
      </c>
      <c r="H3504" s="34" t="n">
        <v>5042</v>
      </c>
      <c r="I3504" t="inlineStr">
        <is>
          <t>3.2</t>
        </is>
      </c>
      <c r="J3504" t="inlineStr">
        <is>
          <t>Ventas Personas (B2C)</t>
        </is>
      </c>
      <c r="K3504" t="inlineStr">
        <is>
          <t>CH2</t>
        </is>
      </c>
    </row>
    <row r="3505">
      <c r="A3505" s="33" t="n">
        <v>45954</v>
      </c>
      <c r="B3505" t="inlineStr">
        <is>
          <t>2025-10</t>
        </is>
      </c>
      <c r="C3505" t="inlineStr">
        <is>
          <t>Sin cliente</t>
        </is>
      </c>
      <c r="D3505" t="inlineStr">
        <is>
          <t>Rellenos</t>
        </is>
      </c>
      <c r="E3505" s="34" t="n">
        <v>25800</v>
      </c>
      <c r="F3505" t="inlineStr">
        <is>
          <t>B</t>
        </is>
      </c>
      <c r="G3505" s="34" t="n">
        <v>4119</v>
      </c>
      <c r="H3505" s="34" t="n">
        <v>21681</v>
      </c>
      <c r="I3505" t="inlineStr">
        <is>
          <t>3.2</t>
        </is>
      </c>
      <c r="J3505" t="inlineStr">
        <is>
          <t>Ventas Personas (B2C)</t>
        </is>
      </c>
      <c r="K3505" t="inlineStr">
        <is>
          <t>CH2</t>
        </is>
      </c>
    </row>
    <row r="3506">
      <c r="A3506" s="33" t="n">
        <v>45954</v>
      </c>
      <c r="B3506" t="inlineStr">
        <is>
          <t>2025-10</t>
        </is>
      </c>
      <c r="C3506" t="inlineStr">
        <is>
          <t>Sin cliente</t>
        </is>
      </c>
      <c r="D3506" t="inlineStr">
        <is>
          <t>CANELE SIN AZUCAR</t>
        </is>
      </c>
      <c r="E3506" s="34" t="n">
        <v>21290</v>
      </c>
      <c r="F3506" t="inlineStr">
        <is>
          <t>B</t>
        </is>
      </c>
      <c r="G3506" s="34" t="n">
        <v>3399</v>
      </c>
      <c r="H3506" s="34" t="n">
        <v>17891</v>
      </c>
      <c r="I3506" t="inlineStr">
        <is>
          <t>3.2</t>
        </is>
      </c>
      <c r="J3506" t="inlineStr">
        <is>
          <t>Ventas Personas (B2C)</t>
        </is>
      </c>
      <c r="K3506" t="inlineStr">
        <is>
          <t>CH2</t>
        </is>
      </c>
    </row>
    <row r="3507">
      <c r="A3507" s="33" t="n">
        <v>45954</v>
      </c>
      <c r="B3507" t="inlineStr">
        <is>
          <t>2025-10</t>
        </is>
      </c>
      <c r="C3507" t="inlineStr">
        <is>
          <t>Adele Weislo</t>
        </is>
      </c>
      <c r="D3507" t="inlineStr">
        <is>
          <t>Petit Tradicional</t>
        </is>
      </c>
      <c r="E3507" s="34" t="n">
        <v>46689</v>
      </c>
      <c r="F3507" t="inlineStr">
        <is>
          <t>B</t>
        </is>
      </c>
      <c r="G3507" s="34" t="n">
        <v>7455</v>
      </c>
      <c r="H3507" s="34" t="n">
        <v>39234</v>
      </c>
      <c r="I3507" t="inlineStr">
        <is>
          <t>3.2</t>
        </is>
      </c>
      <c r="J3507" t="inlineStr">
        <is>
          <t>Ventas Personas (B2C)</t>
        </is>
      </c>
      <c r="K3507" t="inlineStr">
        <is>
          <t>CH2</t>
        </is>
      </c>
    </row>
    <row r="3508">
      <c r="A3508" s="33" t="n">
        <v>45955</v>
      </c>
      <c r="B3508" t="inlineStr">
        <is>
          <t>2025-10</t>
        </is>
      </c>
      <c r="C3508" t="inlineStr">
        <is>
          <t>Orlando Urra Rodríguez</t>
        </is>
      </c>
      <c r="D3508" t="inlineStr">
        <is>
          <t>Petit Tradicional</t>
        </is>
      </c>
      <c r="E3508" s="34" t="n">
        <v>32880</v>
      </c>
      <c r="F3508" t="inlineStr">
        <is>
          <t>B</t>
        </is>
      </c>
      <c r="G3508" s="34" t="n">
        <v>5250</v>
      </c>
      <c r="H3508" s="34" t="n">
        <v>27630</v>
      </c>
      <c r="I3508" t="inlineStr">
        <is>
          <t>3.2</t>
        </is>
      </c>
      <c r="J3508" t="inlineStr">
        <is>
          <t>Ventas Personas (B2C)</t>
        </is>
      </c>
      <c r="K3508" t="inlineStr">
        <is>
          <t>CH2</t>
        </is>
      </c>
    </row>
    <row r="3509">
      <c r="A3509" s="33" t="n">
        <v>45955</v>
      </c>
      <c r="B3509" t="inlineStr">
        <is>
          <t>2025-10</t>
        </is>
      </c>
      <c r="C3509" t="inlineStr">
        <is>
          <t>Sin cliente</t>
        </is>
      </c>
      <c r="D3509" t="inlineStr">
        <is>
          <t>PLATAFORMAS RAP-PEYA-UBER-GOOD</t>
        </is>
      </c>
      <c r="E3509" s="34" t="n">
        <v>41856</v>
      </c>
      <c r="F3509" t="inlineStr">
        <is>
          <t>B</t>
        </is>
      </c>
      <c r="G3509" s="34" t="n">
        <v>6683</v>
      </c>
      <c r="H3509" s="34" t="n">
        <v>35173</v>
      </c>
      <c r="I3509" t="inlineStr">
        <is>
          <t>3.6</t>
        </is>
      </c>
      <c r="J3509" t="inlineStr">
        <is>
          <t>Ventas Delivery Apps</t>
        </is>
      </c>
      <c r="K3509" t="inlineStr">
        <is>
          <t>CH3</t>
        </is>
      </c>
    </row>
    <row r="3510">
      <c r="A3510" s="33" t="n">
        <v>45955</v>
      </c>
      <c r="B3510" t="inlineStr">
        <is>
          <t>2025-10</t>
        </is>
      </c>
      <c r="C3510" t="inlineStr">
        <is>
          <t>Jun Lin</t>
        </is>
      </c>
      <c r="D3510" t="inlineStr">
        <is>
          <t>Petit Tradicional</t>
        </is>
      </c>
      <c r="E3510" s="34" t="n">
        <v>56700</v>
      </c>
      <c r="F3510" t="inlineStr">
        <is>
          <t>B</t>
        </is>
      </c>
      <c r="G3510" s="34" t="n">
        <v>9053</v>
      </c>
      <c r="H3510" s="34" t="n">
        <v>47647</v>
      </c>
      <c r="I3510" t="inlineStr">
        <is>
          <t>3.2</t>
        </is>
      </c>
      <c r="J3510" t="inlineStr">
        <is>
          <t>Ventas Personas (B2C)</t>
        </is>
      </c>
      <c r="K3510" t="inlineStr">
        <is>
          <t>CH2</t>
        </is>
      </c>
    </row>
    <row r="3511">
      <c r="A3511" s="33" t="n">
        <v>45955</v>
      </c>
      <c r="B3511" t="inlineStr">
        <is>
          <t>2025-10</t>
        </is>
      </c>
      <c r="C3511" t="inlineStr">
        <is>
          <t>Sin cliente</t>
        </is>
      </c>
      <c r="D3511" t="inlineStr">
        <is>
          <t>PLATAFORMAS RAP-PEYA-UBER-GOOD</t>
        </is>
      </c>
      <c r="E3511" s="34" t="n">
        <v>17880</v>
      </c>
      <c r="F3511" t="inlineStr">
        <is>
          <t>B</t>
        </is>
      </c>
      <c r="G3511" s="34" t="n">
        <v>2855</v>
      </c>
      <c r="H3511" s="34" t="n">
        <v>15025</v>
      </c>
      <c r="I3511" t="inlineStr">
        <is>
          <t>3.6</t>
        </is>
      </c>
      <c r="J3511" t="inlineStr">
        <is>
          <t>Ventas Delivery Apps</t>
        </is>
      </c>
      <c r="K3511" t="inlineStr">
        <is>
          <t>CH3</t>
        </is>
      </c>
    </row>
    <row r="3512">
      <c r="A3512" s="33" t="n">
        <v>45955</v>
      </c>
      <c r="B3512" t="inlineStr">
        <is>
          <t>2025-10</t>
        </is>
      </c>
      <c r="C3512" t="inlineStr">
        <is>
          <t>Sin cliente</t>
        </is>
      </c>
      <c r="D3512" t="inlineStr">
        <is>
          <t>CANELÉ TRADICIONAL</t>
        </is>
      </c>
      <c r="E3512" s="34" t="n">
        <v>21900</v>
      </c>
      <c r="F3512" t="inlineStr">
        <is>
          <t>B</t>
        </is>
      </c>
      <c r="G3512" s="34" t="n">
        <v>3497</v>
      </c>
      <c r="H3512" s="34" t="n">
        <v>18403</v>
      </c>
      <c r="I3512" t="inlineStr">
        <is>
          <t>3.2</t>
        </is>
      </c>
      <c r="J3512" t="inlineStr">
        <is>
          <t>Ventas Personas (B2C)</t>
        </is>
      </c>
      <c r="K3512" t="inlineStr">
        <is>
          <t>CH2</t>
        </is>
      </c>
    </row>
    <row r="3513">
      <c r="A3513" s="33" t="n">
        <v>45955</v>
      </c>
      <c r="B3513" t="inlineStr">
        <is>
          <t>2025-10</t>
        </is>
      </c>
      <c r="C3513" t="inlineStr">
        <is>
          <t>FELIPE  ARIZTIA</t>
        </is>
      </c>
      <c r="D3513" t="inlineStr">
        <is>
          <t>CANELÉ TRADICIONAL</t>
        </is>
      </c>
      <c r="E3513" s="34" t="n">
        <v>30890</v>
      </c>
      <c r="F3513" t="inlineStr">
        <is>
          <t>B</t>
        </is>
      </c>
      <c r="G3513" s="34" t="n">
        <v>4932</v>
      </c>
      <c r="H3513" s="34" t="n">
        <v>25958</v>
      </c>
      <c r="I3513" t="inlineStr">
        <is>
          <t>3.2</t>
        </is>
      </c>
      <c r="J3513" t="inlineStr">
        <is>
          <t>Ventas Personas (B2C)</t>
        </is>
      </c>
      <c r="K3513" t="inlineStr">
        <is>
          <t>CH2</t>
        </is>
      </c>
    </row>
    <row r="3514">
      <c r="A3514" s="33" t="n">
        <v>45956</v>
      </c>
      <c r="B3514" t="inlineStr">
        <is>
          <t>2025-10</t>
        </is>
      </c>
      <c r="C3514" t="inlineStr">
        <is>
          <t>Daniela Traub</t>
        </is>
      </c>
      <c r="D3514" t="inlineStr">
        <is>
          <t>CANELÉ TRADICIONAL</t>
        </is>
      </c>
      <c r="E3514" s="34" t="n">
        <v>27789</v>
      </c>
      <c r="F3514" t="inlineStr">
        <is>
          <t>B</t>
        </is>
      </c>
      <c r="G3514" s="34" t="n">
        <v>4437</v>
      </c>
      <c r="H3514" s="34" t="n">
        <v>23352</v>
      </c>
      <c r="I3514" t="inlineStr">
        <is>
          <t>3.2</t>
        </is>
      </c>
      <c r="J3514" t="inlineStr">
        <is>
          <t>Ventas Personas (B2C)</t>
        </is>
      </c>
      <c r="K3514" t="inlineStr">
        <is>
          <t>CH2</t>
        </is>
      </c>
    </row>
    <row r="3515">
      <c r="A3515" s="33" t="n">
        <v>45956</v>
      </c>
      <c r="B3515" t="inlineStr">
        <is>
          <t>2025-10</t>
        </is>
      </c>
      <c r="C3515" t="inlineStr">
        <is>
          <t>Anton Zakutin</t>
        </is>
      </c>
      <c r="D3515" t="inlineStr">
        <is>
          <t>Petit Tradicional</t>
        </is>
      </c>
      <c r="E3515" s="34" t="n">
        <v>20900</v>
      </c>
      <c r="F3515" t="inlineStr">
        <is>
          <t>B</t>
        </is>
      </c>
      <c r="G3515" s="34" t="n">
        <v>3337</v>
      </c>
      <c r="H3515" s="34" t="n">
        <v>17563</v>
      </c>
      <c r="I3515" t="inlineStr">
        <is>
          <t>3.2</t>
        </is>
      </c>
      <c r="J3515" t="inlineStr">
        <is>
          <t>Ventas Personas (B2C)</t>
        </is>
      </c>
      <c r="K3515" t="inlineStr">
        <is>
          <t>CH2</t>
        </is>
      </c>
    </row>
    <row r="3516">
      <c r="A3516" s="33" t="n">
        <v>45957</v>
      </c>
      <c r="B3516" t="inlineStr">
        <is>
          <t>2025-10</t>
        </is>
      </c>
      <c r="C3516" t="inlineStr">
        <is>
          <t>INVERSIONES Y ASESORIAS RAVAL LIMITADA</t>
        </is>
      </c>
      <c r="D3516" t="inlineStr">
        <is>
          <t>HORECA CAFETERIA</t>
        </is>
      </c>
      <c r="E3516" s="34" t="n">
        <v>140177</v>
      </c>
      <c r="F3516" t="inlineStr">
        <is>
          <t>F</t>
        </is>
      </c>
      <c r="G3516" s="34" t="n">
        <v>22381</v>
      </c>
      <c r="H3516" s="34" t="n">
        <v>117796</v>
      </c>
      <c r="I3516" t="inlineStr">
        <is>
          <t>3.1</t>
        </is>
      </c>
      <c r="J3516" t="inlineStr">
        <is>
          <t>Ventas HoReCa</t>
        </is>
      </c>
      <c r="K3516" t="inlineStr">
        <is>
          <t>CH1</t>
        </is>
      </c>
    </row>
    <row r="3517">
      <c r="A3517" s="33" t="n">
        <v>45957</v>
      </c>
      <c r="B3517" t="inlineStr">
        <is>
          <t>2025-10</t>
        </is>
      </c>
      <c r="C3517" t="inlineStr">
        <is>
          <t>INVERSIONES Y COMERCIALIZADORA FED LIMITADA</t>
        </is>
      </c>
      <c r="D3517" t="inlineStr">
        <is>
          <t>HORECA CAFETERIA</t>
        </is>
      </c>
      <c r="E3517" s="34" t="n">
        <v>328440</v>
      </c>
      <c r="F3517" t="inlineStr">
        <is>
          <t>F</t>
        </is>
      </c>
      <c r="G3517" s="34" t="n">
        <v>52440</v>
      </c>
      <c r="H3517" s="34" t="n">
        <v>276000</v>
      </c>
      <c r="I3517" t="inlineStr">
        <is>
          <t>3.1</t>
        </is>
      </c>
      <c r="J3517" t="inlineStr">
        <is>
          <t>Ventas HoReCa</t>
        </is>
      </c>
      <c r="K3517" t="inlineStr">
        <is>
          <t>CH1</t>
        </is>
      </c>
    </row>
    <row r="3518">
      <c r="A3518" s="33" t="n">
        <v>45957</v>
      </c>
      <c r="B3518" t="inlineStr">
        <is>
          <t>2025-10</t>
        </is>
      </c>
      <c r="C3518" t="inlineStr">
        <is>
          <t>INVERSIONES Y COMERCIALIZADORA FED LIMITADA</t>
        </is>
      </c>
      <c r="D3518" t="inlineStr">
        <is>
          <t>HORECA CAFETERIA</t>
        </is>
      </c>
      <c r="E3518" s="34" t="n">
        <v>-328440</v>
      </c>
      <c r="F3518" t="inlineStr">
        <is>
          <t>NC</t>
        </is>
      </c>
      <c r="G3518" s="34" t="n">
        <v>-52440</v>
      </c>
      <c r="H3518" s="34" t="n">
        <v>-276000</v>
      </c>
      <c r="I3518" t="inlineStr">
        <is>
          <t>3.1</t>
        </is>
      </c>
      <c r="J3518" t="inlineStr">
        <is>
          <t>Ventas HoReCa</t>
        </is>
      </c>
      <c r="K3518" t="inlineStr">
        <is>
          <t>CH1</t>
        </is>
      </c>
    </row>
    <row r="3519">
      <c r="A3519" s="33" t="n">
        <v>45957</v>
      </c>
      <c r="B3519" t="inlineStr">
        <is>
          <t>2025-10</t>
        </is>
      </c>
      <c r="C3519" t="inlineStr">
        <is>
          <t>INVERSIONES Y COMERCIALIZADORA FED LIMITADA</t>
        </is>
      </c>
      <c r="D3519" t="inlineStr">
        <is>
          <t>HORECA CAFETERIA</t>
        </is>
      </c>
      <c r="E3519" s="34" t="n">
        <v>280299</v>
      </c>
      <c r="F3519" t="inlineStr">
        <is>
          <t>F</t>
        </is>
      </c>
      <c r="G3519" s="34" t="n">
        <v>44754</v>
      </c>
      <c r="H3519" s="34" t="n">
        <v>235545</v>
      </c>
      <c r="I3519" t="inlineStr">
        <is>
          <t>3.1</t>
        </is>
      </c>
      <c r="J3519" t="inlineStr">
        <is>
          <t>Ventas HoReCa</t>
        </is>
      </c>
      <c r="K3519" t="inlineStr">
        <is>
          <t>CH1</t>
        </is>
      </c>
    </row>
    <row r="3520">
      <c r="A3520" s="33" t="n">
        <v>45957</v>
      </c>
      <c r="B3520" t="inlineStr">
        <is>
          <t>2025-10</t>
        </is>
      </c>
      <c r="C3520" t="inlineStr">
        <is>
          <t>INVERSIONES Y COMERCIALIZADORA FED LIMITADA</t>
        </is>
      </c>
      <c r="D3520" t="inlineStr">
        <is>
          <t>HORECA CAFETERIA</t>
        </is>
      </c>
      <c r="E3520" s="34" t="n">
        <v>114110</v>
      </c>
      <c r="F3520" t="inlineStr">
        <is>
          <t>F</t>
        </is>
      </c>
      <c r="G3520" s="34" t="n">
        <v>18219</v>
      </c>
      <c r="H3520" s="34" t="n">
        <v>95891</v>
      </c>
      <c r="I3520" t="inlineStr">
        <is>
          <t>3.1</t>
        </is>
      </c>
      <c r="J3520" t="inlineStr">
        <is>
          <t>Ventas HoReCa</t>
        </is>
      </c>
      <c r="K3520" t="inlineStr">
        <is>
          <t>CH1</t>
        </is>
      </c>
    </row>
    <row r="3521">
      <c r="A3521" s="33" t="n">
        <v>45957</v>
      </c>
      <c r="B3521" t="inlineStr">
        <is>
          <t>2025-10</t>
        </is>
      </c>
      <c r="C3521" t="inlineStr">
        <is>
          <t>GALO SPA</t>
        </is>
      </c>
      <c r="D3521" t="inlineStr">
        <is>
          <t>HORECA CAFETERIA</t>
        </is>
      </c>
      <c r="E3521" s="34" t="n">
        <v>141506</v>
      </c>
      <c r="F3521" t="inlineStr">
        <is>
          <t>F</t>
        </is>
      </c>
      <c r="G3521" s="34" t="n">
        <v>22593</v>
      </c>
      <c r="H3521" s="34" t="n">
        <v>118913</v>
      </c>
      <c r="I3521" t="inlineStr">
        <is>
          <t>3.1</t>
        </is>
      </c>
      <c r="J3521" t="inlineStr">
        <is>
          <t>Ventas HoReCa</t>
        </is>
      </c>
      <c r="K3521" t="inlineStr">
        <is>
          <t>CH1</t>
        </is>
      </c>
    </row>
    <row r="3522">
      <c r="A3522" s="33" t="n">
        <v>45957</v>
      </c>
      <c r="B3522" t="inlineStr">
        <is>
          <t>2025-10</t>
        </is>
      </c>
      <c r="C3522" t="inlineStr">
        <is>
          <t>Inversiones Nagua SPA</t>
        </is>
      </c>
      <c r="D3522" t="inlineStr">
        <is>
          <t>HORECA CAFETERIA</t>
        </is>
      </c>
      <c r="E3522" s="34" t="n">
        <v>68179</v>
      </c>
      <c r="F3522" t="inlineStr">
        <is>
          <t>F</t>
        </is>
      </c>
      <c r="G3522" s="34" t="n">
        <v>10886</v>
      </c>
      <c r="H3522" s="34" t="n">
        <v>57293</v>
      </c>
      <c r="I3522" t="inlineStr">
        <is>
          <t>3.1</t>
        </is>
      </c>
      <c r="J3522" t="inlineStr">
        <is>
          <t>Ventas HoReCa</t>
        </is>
      </c>
      <c r="K3522" t="inlineStr">
        <is>
          <t>CH1</t>
        </is>
      </c>
    </row>
    <row r="3523">
      <c r="A3523" s="33" t="n">
        <v>45957</v>
      </c>
      <c r="B3523" t="inlineStr">
        <is>
          <t>2025-10</t>
        </is>
      </c>
      <c r="C3523" t="inlineStr">
        <is>
          <t>Andar Café SpA</t>
        </is>
      </c>
      <c r="D3523" t="inlineStr">
        <is>
          <t>HORECA CAFETERIA</t>
        </is>
      </c>
      <c r="E3523" s="34" t="n">
        <v>70463</v>
      </c>
      <c r="F3523" t="inlineStr">
        <is>
          <t>F</t>
        </is>
      </c>
      <c r="G3523" s="34" t="n">
        <v>11250</v>
      </c>
      <c r="H3523" s="34" t="n">
        <v>59213</v>
      </c>
      <c r="I3523" t="inlineStr">
        <is>
          <t>3.1</t>
        </is>
      </c>
      <c r="J3523" t="inlineStr">
        <is>
          <t>Ventas HoReCa</t>
        </is>
      </c>
      <c r="K3523" t="inlineStr">
        <is>
          <t>CH1</t>
        </is>
      </c>
    </row>
    <row r="3524">
      <c r="A3524" s="33" t="n">
        <v>45957</v>
      </c>
      <c r="B3524" t="inlineStr">
        <is>
          <t>2025-10</t>
        </is>
      </c>
      <c r="C3524" t="inlineStr">
        <is>
          <t>Juan Sosa Belis</t>
        </is>
      </c>
      <c r="D3524" t="inlineStr">
        <is>
          <t>Petit Tradicional</t>
        </is>
      </c>
      <c r="E3524" s="34" t="n">
        <v>20900</v>
      </c>
      <c r="F3524" t="inlineStr">
        <is>
          <t>B</t>
        </is>
      </c>
      <c r="G3524" s="34" t="n">
        <v>3337</v>
      </c>
      <c r="H3524" s="34" t="n">
        <v>17563</v>
      </c>
      <c r="I3524" t="inlineStr">
        <is>
          <t>3.2</t>
        </is>
      </c>
      <c r="J3524" t="inlineStr">
        <is>
          <t>Ventas Personas (B2C)</t>
        </is>
      </c>
      <c r="K3524" t="inlineStr">
        <is>
          <t>CH2</t>
        </is>
      </c>
    </row>
    <row r="3525">
      <c r="A3525" s="33" t="n">
        <v>45957</v>
      </c>
      <c r="B3525" t="inlineStr">
        <is>
          <t>2025-10</t>
        </is>
      </c>
      <c r="C3525" t="inlineStr">
        <is>
          <t>Alienor Tordeur</t>
        </is>
      </c>
      <c r="D3525" t="inlineStr">
        <is>
          <t>Petit Tradicional</t>
        </is>
      </c>
      <c r="E3525" s="34" t="n">
        <v>33889</v>
      </c>
      <c r="F3525" t="inlineStr">
        <is>
          <t>B</t>
        </is>
      </c>
      <c r="G3525" s="34" t="n">
        <v>5411</v>
      </c>
      <c r="H3525" s="34" t="n">
        <v>28478</v>
      </c>
      <c r="I3525" t="inlineStr">
        <is>
          <t>3.2</t>
        </is>
      </c>
      <c r="J3525" t="inlineStr">
        <is>
          <t>Ventas Personas (B2C)</t>
        </is>
      </c>
      <c r="K3525" t="inlineStr">
        <is>
          <t>CH2</t>
        </is>
      </c>
    </row>
    <row r="3526">
      <c r="A3526" s="33" t="n">
        <v>45957</v>
      </c>
      <c r="B3526" t="inlineStr">
        <is>
          <t>2025-10</t>
        </is>
      </c>
      <c r="C3526" t="inlineStr">
        <is>
          <t>Sin cliente</t>
        </is>
      </c>
      <c r="D3526" t="inlineStr">
        <is>
          <t>Rellenos</t>
        </is>
      </c>
      <c r="E3526" s="34" t="n">
        <v>18800</v>
      </c>
      <c r="F3526" t="inlineStr">
        <is>
          <t>B</t>
        </is>
      </c>
      <c r="G3526" s="34" t="n">
        <v>3002</v>
      </c>
      <c r="H3526" s="34" t="n">
        <v>15798</v>
      </c>
      <c r="I3526" t="inlineStr">
        <is>
          <t>3.2</t>
        </is>
      </c>
      <c r="J3526" t="inlineStr">
        <is>
          <t>Ventas Personas (B2C)</t>
        </is>
      </c>
      <c r="K3526" t="inlineStr">
        <is>
          <t>CH2</t>
        </is>
      </c>
    </row>
    <row r="3527">
      <c r="A3527" s="33" t="n">
        <v>45957</v>
      </c>
      <c r="B3527" t="inlineStr">
        <is>
          <t>2025-10</t>
        </is>
      </c>
      <c r="C3527" t="inlineStr">
        <is>
          <t>Sin cliente</t>
        </is>
      </c>
      <c r="D3527" t="inlineStr">
        <is>
          <t>CANELÉ TRADICIONAL</t>
        </is>
      </c>
      <c r="E3527" s="34" t="n">
        <v>14900</v>
      </c>
      <c r="F3527" t="inlineStr">
        <is>
          <t>B</t>
        </is>
      </c>
      <c r="G3527" s="34" t="n">
        <v>2379</v>
      </c>
      <c r="H3527" s="34" t="n">
        <v>12521</v>
      </c>
      <c r="I3527" t="inlineStr">
        <is>
          <t>3.2</t>
        </is>
      </c>
      <c r="J3527" t="inlineStr">
        <is>
          <t>Ventas Personas (B2C)</t>
        </is>
      </c>
      <c r="K3527" t="inlineStr">
        <is>
          <t>CH2</t>
        </is>
      </c>
    </row>
    <row r="3528">
      <c r="A3528" s="33" t="n">
        <v>45957</v>
      </c>
      <c r="B3528" t="inlineStr">
        <is>
          <t>2025-10</t>
        </is>
      </c>
      <c r="C3528" t="inlineStr">
        <is>
          <t>Sin cliente</t>
        </is>
      </c>
      <c r="D3528" t="inlineStr">
        <is>
          <t>PLATAFORMAS RAP-PEYA-UBER-GOOD</t>
        </is>
      </c>
      <c r="E3528" s="34" t="n">
        <v>16140</v>
      </c>
      <c r="F3528" t="inlineStr">
        <is>
          <t>B</t>
        </is>
      </c>
      <c r="G3528" s="34" t="n">
        <v>2577</v>
      </c>
      <c r="H3528" s="34" t="n">
        <v>13563</v>
      </c>
      <c r="I3528" t="inlineStr">
        <is>
          <t>3.6</t>
        </is>
      </c>
      <c r="J3528" t="inlineStr">
        <is>
          <t>Ventas Delivery Apps</t>
        </is>
      </c>
      <c r="K3528" t="inlineStr">
        <is>
          <t>CH3</t>
        </is>
      </c>
    </row>
    <row r="3529">
      <c r="A3529" s="33" t="n">
        <v>45957</v>
      </c>
      <c r="B3529" t="inlineStr">
        <is>
          <t>2025-10</t>
        </is>
      </c>
      <c r="C3529" t="inlineStr">
        <is>
          <t>Sin cliente</t>
        </is>
      </c>
      <c r="D3529" t="inlineStr">
        <is>
          <t>PLATAFORMAS RAP-PEYA-UBER-GOOD</t>
        </is>
      </c>
      <c r="E3529" s="34" t="n">
        <v>12540</v>
      </c>
      <c r="F3529" t="inlineStr">
        <is>
          <t>B</t>
        </is>
      </c>
      <c r="G3529" s="34" t="n">
        <v>2002</v>
      </c>
      <c r="H3529" s="34" t="n">
        <v>10538</v>
      </c>
      <c r="I3529" t="inlineStr">
        <is>
          <t>3.6</t>
        </is>
      </c>
      <c r="J3529" t="inlineStr">
        <is>
          <t>Ventas Delivery Apps</t>
        </is>
      </c>
      <c r="K3529" t="inlineStr">
        <is>
          <t>CH3</t>
        </is>
      </c>
    </row>
    <row r="3530">
      <c r="A3530" s="33" t="n">
        <v>45957</v>
      </c>
      <c r="B3530" t="inlineStr">
        <is>
          <t>2025-10</t>
        </is>
      </c>
      <c r="C3530" t="inlineStr">
        <is>
          <t>Sin cliente</t>
        </is>
      </c>
      <c r="D3530" t="inlineStr">
        <is>
          <t>PLATAFORMAS RAP-PEYA-UBER-GOOD</t>
        </is>
      </c>
      <c r="E3530" s="34" t="n">
        <v>16140</v>
      </c>
      <c r="F3530" t="inlineStr">
        <is>
          <t>B</t>
        </is>
      </c>
      <c r="G3530" s="34" t="n">
        <v>2577</v>
      </c>
      <c r="H3530" s="34" t="n">
        <v>13563</v>
      </c>
      <c r="I3530" t="inlineStr">
        <is>
          <t>3.6</t>
        </is>
      </c>
      <c r="J3530" t="inlineStr">
        <is>
          <t>Ventas Delivery Apps</t>
        </is>
      </c>
      <c r="K3530" t="inlineStr">
        <is>
          <t>CH3</t>
        </is>
      </c>
    </row>
    <row r="3531">
      <c r="A3531" s="33" t="n">
        <v>45957</v>
      </c>
      <c r="B3531" t="inlineStr">
        <is>
          <t>2025-10</t>
        </is>
      </c>
      <c r="C3531" t="inlineStr">
        <is>
          <t>María Teresa Gomez Torrado Servicios Gastrónomicos</t>
        </is>
      </c>
      <c r="D3531" t="inlineStr">
        <is>
          <t>BROCHURE CATERING</t>
        </is>
      </c>
      <c r="E3531" s="34" t="n">
        <v>89131</v>
      </c>
      <c r="F3531" t="inlineStr">
        <is>
          <t>F</t>
        </is>
      </c>
      <c r="G3531" s="34" t="n">
        <v>14231</v>
      </c>
      <c r="H3531" s="34" t="n">
        <v>74900</v>
      </c>
      <c r="I3531" t="inlineStr">
        <is>
          <t>3.1</t>
        </is>
      </c>
      <c r="J3531" t="inlineStr">
        <is>
          <t>Ventas HoReCa</t>
        </is>
      </c>
      <c r="K3531" t="inlineStr">
        <is>
          <t>CH1</t>
        </is>
      </c>
    </row>
    <row r="3532">
      <c r="A3532" s="33" t="n">
        <v>45957</v>
      </c>
      <c r="B3532" t="inlineStr">
        <is>
          <t>2025-10</t>
        </is>
      </c>
      <c r="C3532" t="inlineStr">
        <is>
          <t>JNCONCEPT SPA</t>
        </is>
      </c>
      <c r="D3532" t="inlineStr">
        <is>
          <t>CANELÉ TRADICIONAL</t>
        </is>
      </c>
      <c r="E3532" s="34" t="n">
        <v>40600</v>
      </c>
      <c r="F3532" t="inlineStr">
        <is>
          <t>F</t>
        </is>
      </c>
      <c r="G3532" s="34" t="n">
        <v>6482</v>
      </c>
      <c r="H3532" s="34" t="n">
        <v>34118</v>
      </c>
      <c r="I3532" t="inlineStr">
        <is>
          <t>3.1</t>
        </is>
      </c>
      <c r="J3532" t="inlineStr">
        <is>
          <t>Ventas HoReCa</t>
        </is>
      </c>
      <c r="K3532" t="inlineStr">
        <is>
          <t>CH1</t>
        </is>
      </c>
    </row>
    <row r="3533">
      <c r="A3533" s="33" t="n">
        <v>45957</v>
      </c>
      <c r="B3533" t="inlineStr">
        <is>
          <t>2025-10</t>
        </is>
      </c>
      <c r="C3533" t="inlineStr">
        <is>
          <t>Maria Bizama Rodríguez</t>
        </is>
      </c>
      <c r="D3533" t="inlineStr">
        <is>
          <t>Petit Tradicional</t>
        </is>
      </c>
      <c r="E3533" s="34" t="n">
        <v>17890</v>
      </c>
      <c r="F3533" t="inlineStr">
        <is>
          <t>B</t>
        </is>
      </c>
      <c r="G3533" s="34" t="n">
        <v>2856</v>
      </c>
      <c r="H3533" s="34" t="n">
        <v>15034</v>
      </c>
      <c r="I3533" t="inlineStr">
        <is>
          <t>3.2</t>
        </is>
      </c>
      <c r="J3533" t="inlineStr">
        <is>
          <t>Ventas Personas (B2C)</t>
        </is>
      </c>
      <c r="K3533" t="inlineStr">
        <is>
          <t>CH2</t>
        </is>
      </c>
    </row>
    <row r="3534">
      <c r="A3534" s="33" t="n">
        <v>45957</v>
      </c>
      <c r="B3534" t="inlineStr">
        <is>
          <t>2025-10</t>
        </is>
      </c>
      <c r="C3534" t="inlineStr">
        <is>
          <t>NOEMI CANDY CASAS-CORDERO ESPINA</t>
        </is>
      </c>
      <c r="D3534" t="inlineStr">
        <is>
          <t>CANELE SIN AZUCAR</t>
        </is>
      </c>
      <c r="E3534" s="34" t="n">
        <v>45720</v>
      </c>
      <c r="F3534" t="inlineStr">
        <is>
          <t>B</t>
        </is>
      </c>
      <c r="G3534" s="34" t="n">
        <v>7300</v>
      </c>
      <c r="H3534" s="34" t="n">
        <v>38420</v>
      </c>
      <c r="I3534" t="inlineStr">
        <is>
          <t>3.2</t>
        </is>
      </c>
      <c r="J3534" t="inlineStr">
        <is>
          <t>Ventas Personas (B2C)</t>
        </is>
      </c>
      <c r="K3534" t="inlineStr">
        <is>
          <t>CH2</t>
        </is>
      </c>
    </row>
    <row r="3535">
      <c r="A3535" s="33" t="n">
        <v>45958</v>
      </c>
      <c r="B3535" t="inlineStr">
        <is>
          <t>2025-10</t>
        </is>
      </c>
      <c r="C3535" t="inlineStr">
        <is>
          <t>Better Food Spa</t>
        </is>
      </c>
      <c r="D3535" t="inlineStr">
        <is>
          <t>HORECA CAFETERIA</t>
        </is>
      </c>
      <c r="E3535" s="34" t="n">
        <v>320943</v>
      </c>
      <c r="F3535" t="inlineStr">
        <is>
          <t>F</t>
        </is>
      </c>
      <c r="G3535" s="34" t="n">
        <v>51243</v>
      </c>
      <c r="H3535" s="34" t="n">
        <v>269700</v>
      </c>
      <c r="I3535" t="inlineStr">
        <is>
          <t>3.1</t>
        </is>
      </c>
      <c r="J3535" t="inlineStr">
        <is>
          <t>Ventas HoReCa</t>
        </is>
      </c>
      <c r="K3535" t="inlineStr">
        <is>
          <t>CH1</t>
        </is>
      </c>
    </row>
    <row r="3536">
      <c r="A3536" s="33" t="n">
        <v>45958</v>
      </c>
      <c r="B3536" t="inlineStr">
        <is>
          <t>2025-10</t>
        </is>
      </c>
      <c r="C3536" t="inlineStr">
        <is>
          <t>OH SOME SPA</t>
        </is>
      </c>
      <c r="D3536" t="inlineStr">
        <is>
          <t>HORECA CAFETERIA</t>
        </is>
      </c>
      <c r="E3536" s="34" t="n">
        <v>156438</v>
      </c>
      <c r="F3536" t="inlineStr">
        <is>
          <t>F</t>
        </is>
      </c>
      <c r="G3536" s="34" t="n">
        <v>24977</v>
      </c>
      <c r="H3536" s="34" t="n">
        <v>131461</v>
      </c>
      <c r="I3536" t="inlineStr">
        <is>
          <t>3.1</t>
        </is>
      </c>
      <c r="J3536" t="inlineStr">
        <is>
          <t>Ventas HoReCa</t>
        </is>
      </c>
      <c r="K3536" t="inlineStr">
        <is>
          <t>CH1</t>
        </is>
      </c>
    </row>
    <row r="3537">
      <c r="A3537" s="33" t="n">
        <v>45958</v>
      </c>
      <c r="B3537" t="inlineStr">
        <is>
          <t>2025-10</t>
        </is>
      </c>
      <c r="C3537" t="inlineStr">
        <is>
          <t>D&amp;S SERVICIOS DE ALIMENTACIÓN SpA</t>
        </is>
      </c>
      <c r="D3537" t="inlineStr">
        <is>
          <t xml:space="preserve">THE COFFEE STORE </t>
        </is>
      </c>
      <c r="E3537" s="34" t="n">
        <v>40293</v>
      </c>
      <c r="F3537" t="inlineStr">
        <is>
          <t>F</t>
        </is>
      </c>
      <c r="G3537" s="34" t="n">
        <v>6433</v>
      </c>
      <c r="H3537" s="34" t="n">
        <v>33860</v>
      </c>
      <c r="I3537" t="inlineStr">
        <is>
          <t>3.1</t>
        </is>
      </c>
      <c r="J3537" t="inlineStr">
        <is>
          <t>Ventas HoReCa</t>
        </is>
      </c>
      <c r="K3537" t="inlineStr">
        <is>
          <t>CH1</t>
        </is>
      </c>
    </row>
    <row r="3538">
      <c r="A3538" s="33" t="n">
        <v>45958</v>
      </c>
      <c r="B3538" t="inlineStr">
        <is>
          <t>2025-10</t>
        </is>
      </c>
      <c r="C3538" t="inlineStr">
        <is>
          <t>CAFETERIA THE ELEPHANT COFFEE LIMITADA</t>
        </is>
      </c>
      <c r="D3538" t="inlineStr">
        <is>
          <t>HORECA CAFETERIA</t>
        </is>
      </c>
      <c r="E3538" s="34" t="n">
        <v>186928</v>
      </c>
      <c r="F3538" t="inlineStr">
        <is>
          <t>F</t>
        </is>
      </c>
      <c r="G3538" s="34" t="n">
        <v>29846</v>
      </c>
      <c r="H3538" s="34" t="n">
        <v>157082</v>
      </c>
      <c r="I3538" t="inlineStr">
        <is>
          <t>3.1</t>
        </is>
      </c>
      <c r="J3538" t="inlineStr">
        <is>
          <t>Ventas HoReCa</t>
        </is>
      </c>
      <c r="K3538" t="inlineStr">
        <is>
          <t>CH1</t>
        </is>
      </c>
    </row>
    <row r="3539">
      <c r="A3539" s="33" t="n">
        <v>45958</v>
      </c>
      <c r="B3539" t="inlineStr">
        <is>
          <t>2025-10</t>
        </is>
      </c>
      <c r="C3539" t="inlineStr">
        <is>
          <t>Paula Castillo Llona</t>
        </is>
      </c>
      <c r="D3539" t="inlineStr">
        <is>
          <t>Petit Tradicional</t>
        </is>
      </c>
      <c r="E3539" s="34" t="n">
        <v>27810</v>
      </c>
      <c r="F3539" t="inlineStr">
        <is>
          <t>B</t>
        </is>
      </c>
      <c r="G3539" s="34" t="n">
        <v>4440</v>
      </c>
      <c r="H3539" s="34" t="n">
        <v>23370</v>
      </c>
      <c r="I3539" t="inlineStr">
        <is>
          <t>3.2</t>
        </is>
      </c>
      <c r="J3539" t="inlineStr">
        <is>
          <t>Ventas Personas (B2C)</t>
        </is>
      </c>
      <c r="K3539" t="inlineStr">
        <is>
          <t>CH2</t>
        </is>
      </c>
    </row>
    <row r="3540">
      <c r="A3540" s="33" t="n">
        <v>45958</v>
      </c>
      <c r="B3540" t="inlineStr">
        <is>
          <t>2025-10</t>
        </is>
      </c>
      <c r="C3540" t="inlineStr">
        <is>
          <t>janet awad</t>
        </is>
      </c>
      <c r="D3540" t="inlineStr">
        <is>
          <t>Petit Crunchy</t>
        </is>
      </c>
      <c r="E3540" s="34" t="n">
        <v>29889</v>
      </c>
      <c r="F3540" t="inlineStr">
        <is>
          <t>B</t>
        </is>
      </c>
      <c r="G3540" s="34" t="n">
        <v>4772</v>
      </c>
      <c r="H3540" s="34" t="n">
        <v>25117</v>
      </c>
      <c r="I3540" t="inlineStr">
        <is>
          <t>3.2</t>
        </is>
      </c>
      <c r="J3540" t="inlineStr">
        <is>
          <t>Ventas Personas (B2C)</t>
        </is>
      </c>
      <c r="K3540" t="inlineStr">
        <is>
          <t>CH2</t>
        </is>
      </c>
    </row>
    <row r="3541">
      <c r="A3541" s="33" t="n">
        <v>45958</v>
      </c>
      <c r="B3541" t="inlineStr">
        <is>
          <t>2025-10</t>
        </is>
      </c>
      <c r="C3541" t="inlineStr">
        <is>
          <t>Rodolfo Araneda</t>
        </is>
      </c>
      <c r="D3541" t="inlineStr">
        <is>
          <t>Rellenos</t>
        </is>
      </c>
      <c r="E3541" s="34" t="n">
        <v>32800</v>
      </c>
      <c r="F3541" t="inlineStr">
        <is>
          <t>B</t>
        </is>
      </c>
      <c r="G3541" s="34" t="n">
        <v>5237</v>
      </c>
      <c r="H3541" s="34" t="n">
        <v>27563</v>
      </c>
      <c r="I3541" t="inlineStr">
        <is>
          <t>3.2</t>
        </is>
      </c>
      <c r="J3541" t="inlineStr">
        <is>
          <t>Ventas Personas (B2C)</t>
        </is>
      </c>
      <c r="K3541" t="inlineStr">
        <is>
          <t>CH2</t>
        </is>
      </c>
    </row>
    <row r="3542">
      <c r="A3542" s="33" t="n">
        <v>45958</v>
      </c>
      <c r="B3542" t="inlineStr">
        <is>
          <t>2025-10</t>
        </is>
      </c>
      <c r="C3542" t="inlineStr">
        <is>
          <t>Sin cliente</t>
        </is>
      </c>
      <c r="D3542" t="inlineStr">
        <is>
          <t>PLATAFORMAS RAP-PEYA-UBER-GOOD</t>
        </is>
      </c>
      <c r="E3542" s="34" t="n">
        <v>7740</v>
      </c>
      <c r="F3542" t="inlineStr">
        <is>
          <t>B</t>
        </is>
      </c>
      <c r="G3542" s="34" t="n">
        <v>1236</v>
      </c>
      <c r="H3542" s="34" t="n">
        <v>6504</v>
      </c>
      <c r="I3542" t="inlineStr">
        <is>
          <t>3.6</t>
        </is>
      </c>
      <c r="J3542" t="inlineStr">
        <is>
          <t>Ventas Delivery Apps</t>
        </is>
      </c>
      <c r="K3542" t="inlineStr">
        <is>
          <t>CH3</t>
        </is>
      </c>
    </row>
    <row r="3543">
      <c r="A3543" s="33" t="n">
        <v>45958</v>
      </c>
      <c r="B3543" t="inlineStr">
        <is>
          <t>2025-10</t>
        </is>
      </c>
      <c r="C3543" t="inlineStr">
        <is>
          <t>Sin cliente</t>
        </is>
      </c>
      <c r="D3543" t="inlineStr">
        <is>
          <t>PLATAFORMAS RAP-PEYA-UBER-GOOD</t>
        </is>
      </c>
      <c r="E3543" s="34" t="n">
        <v>26160</v>
      </c>
      <c r="F3543" t="inlineStr">
        <is>
          <t>B</t>
        </is>
      </c>
      <c r="G3543" s="34" t="n">
        <v>4177</v>
      </c>
      <c r="H3543" s="34" t="n">
        <v>21983</v>
      </c>
      <c r="I3543" t="inlineStr">
        <is>
          <t>3.6</t>
        </is>
      </c>
      <c r="J3543" t="inlineStr">
        <is>
          <t>Ventas Delivery Apps</t>
        </is>
      </c>
      <c r="K3543" t="inlineStr">
        <is>
          <t>CH3</t>
        </is>
      </c>
    </row>
    <row r="3544">
      <c r="A3544" s="33" t="n">
        <v>45958</v>
      </c>
      <c r="B3544" t="inlineStr">
        <is>
          <t>2025-10</t>
        </is>
      </c>
      <c r="C3544" t="inlineStr">
        <is>
          <t>María Pía Cancino</t>
        </is>
      </c>
      <c r="D3544" t="inlineStr">
        <is>
          <t>Petit Tradicional</t>
        </is>
      </c>
      <c r="E3544" s="34" t="n">
        <v>17890</v>
      </c>
      <c r="F3544" t="inlineStr">
        <is>
          <t>B</t>
        </is>
      </c>
      <c r="G3544" s="34" t="n">
        <v>2856</v>
      </c>
      <c r="H3544" s="34" t="n">
        <v>15034</v>
      </c>
      <c r="I3544" t="inlineStr">
        <is>
          <t>3.2</t>
        </is>
      </c>
      <c r="J3544" t="inlineStr">
        <is>
          <t>Ventas Personas (B2C)</t>
        </is>
      </c>
      <c r="K3544" t="inlineStr">
        <is>
          <t>CH2</t>
        </is>
      </c>
    </row>
    <row r="3545">
      <c r="A3545" s="33" t="n">
        <v>45958</v>
      </c>
      <c r="B3545" t="inlineStr">
        <is>
          <t>2025-10</t>
        </is>
      </c>
      <c r="C3545" t="inlineStr">
        <is>
          <t>Sin cliente</t>
        </is>
      </c>
      <c r="D3545" t="inlineStr">
        <is>
          <t>PLATAFORMAS RAP-PEYA-UBER-GOOD</t>
        </is>
      </c>
      <c r="E3545" s="34" t="n">
        <v>7200</v>
      </c>
      <c r="F3545" t="inlineStr">
        <is>
          <t>B</t>
        </is>
      </c>
      <c r="G3545" s="34" t="n">
        <v>1150</v>
      </c>
      <c r="H3545" s="34" t="n">
        <v>6050</v>
      </c>
      <c r="I3545" t="inlineStr">
        <is>
          <t>3.6</t>
        </is>
      </c>
      <c r="J3545" t="inlineStr">
        <is>
          <t>Ventas Delivery Apps</t>
        </is>
      </c>
      <c r="K3545" t="inlineStr">
        <is>
          <t>CH3</t>
        </is>
      </c>
    </row>
    <row r="3546">
      <c r="A3546" s="33" t="n">
        <v>45958</v>
      </c>
      <c r="B3546" t="inlineStr">
        <is>
          <t>2025-10</t>
        </is>
      </c>
      <c r="C3546" t="inlineStr">
        <is>
          <t>Catalina Bandera</t>
        </is>
      </c>
      <c r="D3546" t="inlineStr">
        <is>
          <t>CANELÉ TRADICIONAL</t>
        </is>
      </c>
      <c r="E3546" s="34" t="n">
        <v>26890</v>
      </c>
      <c r="F3546" t="inlineStr">
        <is>
          <t>B</t>
        </is>
      </c>
      <c r="G3546" s="34" t="n">
        <v>4293</v>
      </c>
      <c r="H3546" s="34" t="n">
        <v>22597</v>
      </c>
      <c r="I3546" t="inlineStr">
        <is>
          <t>3.2</t>
        </is>
      </c>
      <c r="J3546" t="inlineStr">
        <is>
          <t>Ventas Personas (B2C)</t>
        </is>
      </c>
      <c r="K3546" t="inlineStr">
        <is>
          <t>CH2</t>
        </is>
      </c>
    </row>
    <row r="3547">
      <c r="A3547" s="33" t="n">
        <v>45959</v>
      </c>
      <c r="B3547" t="inlineStr">
        <is>
          <t>2025-10</t>
        </is>
      </c>
      <c r="C3547" t="inlineStr">
        <is>
          <t>CAFE DIARIO ENCOMENDEROS SPA</t>
        </is>
      </c>
      <c r="D3547" t="inlineStr">
        <is>
          <t>HORECA CAFETERIA</t>
        </is>
      </c>
      <c r="E3547" s="34" t="n">
        <v>40375</v>
      </c>
      <c r="F3547" t="inlineStr">
        <is>
          <t>F</t>
        </is>
      </c>
      <c r="G3547" s="34" t="n">
        <v>6446</v>
      </c>
      <c r="H3547" s="34" t="n">
        <v>33929</v>
      </c>
      <c r="I3547" t="inlineStr">
        <is>
          <t>3.1</t>
        </is>
      </c>
      <c r="J3547" t="inlineStr">
        <is>
          <t>Ventas HoReCa</t>
        </is>
      </c>
      <c r="K3547" t="inlineStr">
        <is>
          <t>CH1</t>
        </is>
      </c>
    </row>
    <row r="3548">
      <c r="A3548" s="33" t="n">
        <v>45959</v>
      </c>
      <c r="B3548" t="inlineStr">
        <is>
          <t>2025-10</t>
        </is>
      </c>
      <c r="C3548" t="inlineStr">
        <is>
          <t>GALO SPA</t>
        </is>
      </c>
      <c r="D3548" t="inlineStr">
        <is>
          <t>HORECA CAFETERIA</t>
        </is>
      </c>
      <c r="E3548" s="34" t="n">
        <v>235144</v>
      </c>
      <c r="F3548" t="inlineStr">
        <is>
          <t>F</t>
        </is>
      </c>
      <c r="G3548" s="34" t="n">
        <v>37544</v>
      </c>
      <c r="H3548" s="34" t="n">
        <v>197600</v>
      </c>
      <c r="I3548" t="inlineStr">
        <is>
          <t>3.1</t>
        </is>
      </c>
      <c r="J3548" t="inlineStr">
        <is>
          <t>Ventas HoReCa</t>
        </is>
      </c>
      <c r="K3548" t="inlineStr">
        <is>
          <t>CH1</t>
        </is>
      </c>
    </row>
    <row r="3549">
      <c r="A3549" s="33" t="n">
        <v>45959</v>
      </c>
      <c r="B3549" t="inlineStr">
        <is>
          <t>2025-10</t>
        </is>
      </c>
      <c r="C3549" t="inlineStr">
        <is>
          <t>Alfredo Unglaube</t>
        </is>
      </c>
      <c r="D3549" t="inlineStr">
        <is>
          <t>Rellenos</t>
        </is>
      </c>
      <c r="E3549" s="34" t="n">
        <v>28210</v>
      </c>
      <c r="F3549" t="inlineStr">
        <is>
          <t>B</t>
        </is>
      </c>
      <c r="G3549" s="34" t="n">
        <v>4504</v>
      </c>
      <c r="H3549" s="34" t="n">
        <v>23706</v>
      </c>
      <c r="I3549" t="inlineStr">
        <is>
          <t>3.2</t>
        </is>
      </c>
      <c r="J3549" t="inlineStr">
        <is>
          <t>Ventas Personas (B2C)</t>
        </is>
      </c>
      <c r="K3549" t="inlineStr">
        <is>
          <t>CH2</t>
        </is>
      </c>
    </row>
    <row r="3550">
      <c r="A3550" s="33" t="n">
        <v>45959</v>
      </c>
      <c r="B3550" t="inlineStr">
        <is>
          <t>2025-10</t>
        </is>
      </c>
      <c r="C3550" t="inlineStr">
        <is>
          <t>Teresita Melero</t>
        </is>
      </c>
      <c r="D3550" t="inlineStr">
        <is>
          <t>Petit Tradicional</t>
        </is>
      </c>
      <c r="E3550" s="34" t="n">
        <v>23889</v>
      </c>
      <c r="F3550" t="inlineStr">
        <is>
          <t>B</t>
        </is>
      </c>
      <c r="G3550" s="34" t="n">
        <v>3814</v>
      </c>
      <c r="H3550" s="34" t="n">
        <v>20075</v>
      </c>
      <c r="I3550" t="inlineStr">
        <is>
          <t>3.2</t>
        </is>
      </c>
      <c r="J3550" t="inlineStr">
        <is>
          <t>Ventas Personas (B2C)</t>
        </is>
      </c>
      <c r="K3550" t="inlineStr">
        <is>
          <t>CH2</t>
        </is>
      </c>
    </row>
    <row r="3551">
      <c r="A3551" s="33" t="n">
        <v>45959</v>
      </c>
      <c r="B3551" t="inlineStr">
        <is>
          <t>2025-10</t>
        </is>
      </c>
      <c r="C3551" t="inlineStr">
        <is>
          <t>Guillermo Talloni</t>
        </is>
      </c>
      <c r="D3551" t="inlineStr">
        <is>
          <t>CANELÉ TRADICIONAL</t>
        </is>
      </c>
      <c r="E3551" s="34" t="n">
        <v>33604</v>
      </c>
      <c r="F3551" t="inlineStr">
        <is>
          <t>B</t>
        </is>
      </c>
      <c r="G3551" s="34" t="n">
        <v>5365</v>
      </c>
      <c r="H3551" s="34" t="n">
        <v>28239</v>
      </c>
      <c r="I3551" t="inlineStr">
        <is>
          <t>3.2</t>
        </is>
      </c>
      <c r="J3551" t="inlineStr">
        <is>
          <t>Ventas Personas (B2C)</t>
        </is>
      </c>
      <c r="K3551" t="inlineStr">
        <is>
          <t>CH2</t>
        </is>
      </c>
    </row>
    <row r="3552">
      <c r="A3552" s="33" t="n">
        <v>45959</v>
      </c>
      <c r="B3552" t="inlineStr">
        <is>
          <t>2025-10</t>
        </is>
      </c>
      <c r="C3552" t="inlineStr">
        <is>
          <t>Andariego Coffee Spa</t>
        </is>
      </c>
      <c r="D3552" t="inlineStr">
        <is>
          <t>HORECA CAFETERIA</t>
        </is>
      </c>
      <c r="E3552" s="34" t="n">
        <v>342332</v>
      </c>
      <c r="F3552" t="inlineStr">
        <is>
          <t>F</t>
        </is>
      </c>
      <c r="G3552" s="34" t="n">
        <v>54658</v>
      </c>
      <c r="H3552" s="34" t="n">
        <v>287674</v>
      </c>
      <c r="I3552" t="inlineStr">
        <is>
          <t>3.1</t>
        </is>
      </c>
      <c r="J3552" t="inlineStr">
        <is>
          <t>Ventas HoReCa</t>
        </is>
      </c>
      <c r="K3552" t="inlineStr">
        <is>
          <t>CH1</t>
        </is>
      </c>
    </row>
    <row r="3553">
      <c r="A3553" s="33" t="n">
        <v>45959</v>
      </c>
      <c r="B3553" t="inlineStr">
        <is>
          <t>2025-10</t>
        </is>
      </c>
      <c r="C3553" t="inlineStr">
        <is>
          <t>Sin cliente</t>
        </is>
      </c>
      <c r="D3553" t="inlineStr">
        <is>
          <t>Petit Tradicional</t>
        </is>
      </c>
      <c r="E3553" s="34" t="n">
        <v>8900</v>
      </c>
      <c r="F3553" t="inlineStr">
        <is>
          <t>B</t>
        </is>
      </c>
      <c r="G3553" s="34" t="n">
        <v>1421</v>
      </c>
      <c r="H3553" s="34" t="n">
        <v>7479</v>
      </c>
      <c r="I3553" t="inlineStr">
        <is>
          <t>3.2</t>
        </is>
      </c>
      <c r="J3553" t="inlineStr">
        <is>
          <t>Ventas Personas (B2C)</t>
        </is>
      </c>
      <c r="K3553" t="inlineStr">
        <is>
          <t>CH2</t>
        </is>
      </c>
    </row>
    <row r="3554">
      <c r="A3554" s="33" t="n">
        <v>45959</v>
      </c>
      <c r="B3554" t="inlineStr">
        <is>
          <t>2025-10</t>
        </is>
      </c>
      <c r="C3554" t="inlineStr">
        <is>
          <t>Inversiones Las Urbinas SpA</t>
        </is>
      </c>
      <c r="D3554" t="inlineStr">
        <is>
          <t>HORECA CAFETERIA</t>
        </is>
      </c>
      <c r="E3554" s="34" t="n">
        <v>136937</v>
      </c>
      <c r="F3554" t="inlineStr">
        <is>
          <t>F</t>
        </is>
      </c>
      <c r="G3554" s="34" t="n">
        <v>21864</v>
      </c>
      <c r="H3554" s="34" t="n">
        <v>115073</v>
      </c>
      <c r="I3554" t="inlineStr">
        <is>
          <t>3.1</t>
        </is>
      </c>
      <c r="J3554" t="inlineStr">
        <is>
          <t>Ventas HoReCa</t>
        </is>
      </c>
      <c r="K3554" t="inlineStr">
        <is>
          <t>CH1</t>
        </is>
      </c>
    </row>
    <row r="3555">
      <c r="A3555" s="33" t="n">
        <v>45959</v>
      </c>
      <c r="B3555" t="inlineStr">
        <is>
          <t>2025-10</t>
        </is>
      </c>
      <c r="C3555" t="inlineStr">
        <is>
          <t>Gabriela Rodriguez</t>
        </is>
      </c>
      <c r="D3555" t="inlineStr">
        <is>
          <t>CANELÉ TRADICIONAL</t>
        </is>
      </c>
      <c r="E3555" s="34" t="n">
        <v>19890</v>
      </c>
      <c r="F3555" t="inlineStr">
        <is>
          <t>B</t>
        </is>
      </c>
      <c r="G3555" s="34" t="n">
        <v>3176</v>
      </c>
      <c r="H3555" s="34" t="n">
        <v>16714</v>
      </c>
      <c r="I3555" t="inlineStr">
        <is>
          <t>3.2</t>
        </is>
      </c>
      <c r="J3555" t="inlineStr">
        <is>
          <t>Ventas Personas (B2C)</t>
        </is>
      </c>
      <c r="K3555" t="inlineStr">
        <is>
          <t>CH2</t>
        </is>
      </c>
    </row>
    <row r="3556">
      <c r="A3556" s="33" t="n">
        <v>45959</v>
      </c>
      <c r="B3556" t="inlineStr">
        <is>
          <t>2025-10</t>
        </is>
      </c>
      <c r="C3556" t="inlineStr">
        <is>
          <t>Sin cliente</t>
        </is>
      </c>
      <c r="D3556" t="inlineStr">
        <is>
          <t>CANELÉ TRADICIONAL</t>
        </is>
      </c>
      <c r="E3556" s="34" t="n">
        <v>21890</v>
      </c>
      <c r="F3556" t="inlineStr">
        <is>
          <t>B</t>
        </is>
      </c>
      <c r="G3556" s="34" t="n">
        <v>3495</v>
      </c>
      <c r="H3556" s="34" t="n">
        <v>18395</v>
      </c>
      <c r="I3556" t="inlineStr">
        <is>
          <t>3.2</t>
        </is>
      </c>
      <c r="J3556" t="inlineStr">
        <is>
          <t>Ventas Personas (B2C)</t>
        </is>
      </c>
      <c r="K3556" t="inlineStr">
        <is>
          <t>CH2</t>
        </is>
      </c>
    </row>
    <row r="3557">
      <c r="A3557" s="33" t="n">
        <v>45959</v>
      </c>
      <c r="B3557" t="inlineStr">
        <is>
          <t>2025-10</t>
        </is>
      </c>
      <c r="C3557" t="inlineStr">
        <is>
          <t>Federico Ponce</t>
        </is>
      </c>
      <c r="D3557" t="inlineStr">
        <is>
          <t>Petit Tradicional</t>
        </is>
      </c>
      <c r="E3557" s="34" t="n">
        <v>17890</v>
      </c>
      <c r="F3557" t="inlineStr">
        <is>
          <t>B</t>
        </is>
      </c>
      <c r="G3557" s="34" t="n">
        <v>2856</v>
      </c>
      <c r="H3557" s="34" t="n">
        <v>15034</v>
      </c>
      <c r="I3557" t="inlineStr">
        <is>
          <t>3.2</t>
        </is>
      </c>
      <c r="J3557" t="inlineStr">
        <is>
          <t>Ventas Personas (B2C)</t>
        </is>
      </c>
      <c r="K3557" t="inlineStr">
        <is>
          <t>CH2</t>
        </is>
      </c>
    </row>
    <row r="3558">
      <c r="A3558" s="33" t="n">
        <v>45959</v>
      </c>
      <c r="B3558" t="inlineStr">
        <is>
          <t>2025-10</t>
        </is>
      </c>
      <c r="C3558" t="inlineStr">
        <is>
          <t>Sin cliente</t>
        </is>
      </c>
      <c r="D3558" t="inlineStr">
        <is>
          <t>PLATAFORMAS RAP-PEYA-UBER-GOOD</t>
        </is>
      </c>
      <c r="E3558" s="34" t="n">
        <v>30960</v>
      </c>
      <c r="F3558" t="inlineStr">
        <is>
          <t>B</t>
        </is>
      </c>
      <c r="G3558" s="34" t="n">
        <v>4943</v>
      </c>
      <c r="H3558" s="34" t="n">
        <v>26017</v>
      </c>
      <c r="I3558" t="inlineStr">
        <is>
          <t>3.6</t>
        </is>
      </c>
      <c r="J3558" t="inlineStr">
        <is>
          <t>Ventas Delivery Apps</t>
        </is>
      </c>
      <c r="K3558" t="inlineStr">
        <is>
          <t>CH3</t>
        </is>
      </c>
    </row>
    <row r="3559">
      <c r="A3559" s="33" t="n">
        <v>45959</v>
      </c>
      <c r="B3559" t="inlineStr">
        <is>
          <t>2025-10</t>
        </is>
      </c>
      <c r="C3559" t="inlineStr">
        <is>
          <t>BEMVINDO CAFE</t>
        </is>
      </c>
      <c r="D3559" t="inlineStr">
        <is>
          <t>HORECA CAFETERIA</t>
        </is>
      </c>
      <c r="E3559" s="34" t="n">
        <v>38520</v>
      </c>
      <c r="F3559" t="inlineStr">
        <is>
          <t>F</t>
        </is>
      </c>
      <c r="G3559" s="34" t="n">
        <v>6150</v>
      </c>
      <c r="H3559" s="34" t="n">
        <v>32370</v>
      </c>
      <c r="I3559" t="inlineStr">
        <is>
          <t>3.1</t>
        </is>
      </c>
      <c r="J3559" t="inlineStr">
        <is>
          <t>Ventas HoReCa</t>
        </is>
      </c>
      <c r="K3559" t="inlineStr">
        <is>
          <t>CH1</t>
        </is>
      </c>
    </row>
    <row r="3560">
      <c r="A3560" s="33" t="n">
        <v>45959</v>
      </c>
      <c r="B3560" t="inlineStr">
        <is>
          <t>2025-10</t>
        </is>
      </c>
      <c r="C3560" t="inlineStr">
        <is>
          <t>Maria Cosmelli munita</t>
        </is>
      </c>
      <c r="D3560" t="inlineStr">
        <is>
          <t>Petit Tradicional</t>
        </is>
      </c>
      <c r="E3560" s="34" t="n">
        <v>27810</v>
      </c>
      <c r="F3560" t="inlineStr">
        <is>
          <t>B</t>
        </is>
      </c>
      <c r="G3560" s="34" t="n">
        <v>4440</v>
      </c>
      <c r="H3560" s="34" t="n">
        <v>23370</v>
      </c>
      <c r="I3560" t="inlineStr">
        <is>
          <t>3.2</t>
        </is>
      </c>
      <c r="J3560" t="inlineStr">
        <is>
          <t>Ventas Personas (B2C)</t>
        </is>
      </c>
      <c r="K3560" t="inlineStr">
        <is>
          <t>CH2</t>
        </is>
      </c>
    </row>
    <row r="3561">
      <c r="A3561" s="33" t="n">
        <v>45959</v>
      </c>
      <c r="B3561" t="inlineStr">
        <is>
          <t>2025-10</t>
        </is>
      </c>
      <c r="C3561" t="inlineStr">
        <is>
          <t>Nicole Cisterna</t>
        </is>
      </c>
      <c r="D3561" t="inlineStr">
        <is>
          <t>Petit Tradicional</t>
        </is>
      </c>
      <c r="E3561" s="34" t="n">
        <v>22783</v>
      </c>
      <c r="F3561" t="inlineStr">
        <is>
          <t>B</t>
        </is>
      </c>
      <c r="G3561" s="34" t="n">
        <v>3638</v>
      </c>
      <c r="H3561" s="34" t="n">
        <v>19145</v>
      </c>
      <c r="I3561" t="inlineStr">
        <is>
          <t>3.2</t>
        </is>
      </c>
      <c r="J3561" t="inlineStr">
        <is>
          <t>Ventas Personas (B2C)</t>
        </is>
      </c>
      <c r="K3561" t="inlineStr">
        <is>
          <t>CH2</t>
        </is>
      </c>
    </row>
    <row r="3562">
      <c r="A3562" s="33" t="n">
        <v>45960</v>
      </c>
      <c r="B3562" t="inlineStr">
        <is>
          <t>2025-10</t>
        </is>
      </c>
      <c r="C3562" t="inlineStr">
        <is>
          <t>CAFÉ UNDER SPA</t>
        </is>
      </c>
      <c r="D3562" t="inlineStr">
        <is>
          <t>HORECA CAFETERIA</t>
        </is>
      </c>
      <c r="E3562" s="34" t="n">
        <v>68179</v>
      </c>
      <c r="F3562" t="inlineStr">
        <is>
          <t>F</t>
        </is>
      </c>
      <c r="G3562" s="34" t="n">
        <v>10886</v>
      </c>
      <c r="H3562" s="34" t="n">
        <v>57293</v>
      </c>
      <c r="I3562" t="inlineStr">
        <is>
          <t>3.1</t>
        </is>
      </c>
      <c r="J3562" t="inlineStr">
        <is>
          <t>Ventas HoReCa</t>
        </is>
      </c>
      <c r="K3562" t="inlineStr">
        <is>
          <t>CH1</t>
        </is>
      </c>
    </row>
    <row r="3563">
      <c r="A3563" s="33" t="n">
        <v>45960</v>
      </c>
      <c r="B3563" t="inlineStr">
        <is>
          <t>2025-10</t>
        </is>
      </c>
      <c r="C3563" t="inlineStr">
        <is>
          <t>Sociedad de inversiones solari y acuña spa</t>
        </is>
      </c>
      <c r="D3563" t="inlineStr">
        <is>
          <t>HORECA CAFETERIA</t>
        </is>
      </c>
      <c r="E3563" s="34" t="n">
        <v>37096</v>
      </c>
      <c r="F3563" t="inlineStr">
        <is>
          <t>F</t>
        </is>
      </c>
      <c r="G3563" s="34" t="n">
        <v>5923</v>
      </c>
      <c r="H3563" s="34" t="n">
        <v>31173</v>
      </c>
      <c r="I3563" t="inlineStr">
        <is>
          <t>3.1</t>
        </is>
      </c>
      <c r="J3563" t="inlineStr">
        <is>
          <t>Ventas HoReCa</t>
        </is>
      </c>
      <c r="K3563" t="inlineStr">
        <is>
          <t>CH1</t>
        </is>
      </c>
    </row>
    <row r="3564">
      <c r="A3564" s="33" t="n">
        <v>45960</v>
      </c>
      <c r="B3564" t="inlineStr">
        <is>
          <t>2025-10</t>
        </is>
      </c>
      <c r="C3564" t="inlineStr">
        <is>
          <t>the capital coffee spa</t>
        </is>
      </c>
      <c r="D3564" t="inlineStr">
        <is>
          <t>HORECA CAFETERIA</t>
        </is>
      </c>
      <c r="E3564" s="34" t="n">
        <v>235069</v>
      </c>
      <c r="F3564" t="inlineStr">
        <is>
          <t>F</t>
        </is>
      </c>
      <c r="G3564" s="34" t="n">
        <v>37532</v>
      </c>
      <c r="H3564" s="34" t="n">
        <v>197537</v>
      </c>
      <c r="I3564" t="inlineStr">
        <is>
          <t>3.1</t>
        </is>
      </c>
      <c r="J3564" t="inlineStr">
        <is>
          <t>Ventas HoReCa</t>
        </is>
      </c>
      <c r="K3564" t="inlineStr">
        <is>
          <t>CH1</t>
        </is>
      </c>
    </row>
    <row r="3565">
      <c r="A3565" s="33" t="n">
        <v>45960</v>
      </c>
      <c r="B3565" t="inlineStr">
        <is>
          <t>2025-10</t>
        </is>
      </c>
      <c r="C3565" t="inlineStr">
        <is>
          <t>Ana María Urrutia</t>
        </is>
      </c>
      <c r="D3565" t="inlineStr">
        <is>
          <t>CANELÉ TRADICIONAL</t>
        </is>
      </c>
      <c r="E3565" s="34" t="n">
        <v>23699</v>
      </c>
      <c r="F3565" t="inlineStr">
        <is>
          <t>B</t>
        </is>
      </c>
      <c r="G3565" s="34" t="n">
        <v>3784</v>
      </c>
      <c r="H3565" s="34" t="n">
        <v>19915</v>
      </c>
      <c r="I3565" t="inlineStr">
        <is>
          <t>3.2</t>
        </is>
      </c>
      <c r="J3565" t="inlineStr">
        <is>
          <t>Ventas Personas (B2C)</t>
        </is>
      </c>
      <c r="K3565" t="inlineStr">
        <is>
          <t>CH2</t>
        </is>
      </c>
    </row>
    <row r="3566">
      <c r="A3566" s="33" t="n">
        <v>45960</v>
      </c>
      <c r="B3566" t="inlineStr">
        <is>
          <t>2025-10</t>
        </is>
      </c>
      <c r="C3566" t="inlineStr">
        <is>
          <t>Maria Larrain</t>
        </is>
      </c>
      <c r="D3566" t="inlineStr">
        <is>
          <t>CANELÉ TRADICIONAL</t>
        </is>
      </c>
      <c r="E3566" s="34" t="n">
        <v>24889</v>
      </c>
      <c r="F3566" t="inlineStr">
        <is>
          <t>B</t>
        </is>
      </c>
      <c r="G3566" s="34" t="n">
        <v>3974</v>
      </c>
      <c r="H3566" s="34" t="n">
        <v>20915</v>
      </c>
      <c r="I3566" t="inlineStr">
        <is>
          <t>3.2</t>
        </is>
      </c>
      <c r="J3566" t="inlineStr">
        <is>
          <t>Ventas Personas (B2C)</t>
        </is>
      </c>
      <c r="K3566" t="inlineStr">
        <is>
          <t>CH2</t>
        </is>
      </c>
    </row>
    <row r="3567">
      <c r="A3567" s="33" t="n">
        <v>45960</v>
      </c>
      <c r="B3567" t="inlineStr">
        <is>
          <t>2025-10</t>
        </is>
      </c>
      <c r="C3567" t="inlineStr">
        <is>
          <t>LAURA Bradshaw</t>
        </is>
      </c>
      <c r="D3567" t="inlineStr">
        <is>
          <t>Rellenos</t>
        </is>
      </c>
      <c r="E3567" s="34" t="n">
        <v>21890</v>
      </c>
      <c r="F3567" t="inlineStr">
        <is>
          <t>B</t>
        </is>
      </c>
      <c r="G3567" s="34" t="n">
        <v>3495</v>
      </c>
      <c r="H3567" s="34" t="n">
        <v>18395</v>
      </c>
      <c r="I3567" t="inlineStr">
        <is>
          <t>3.2</t>
        </is>
      </c>
      <c r="J3567" t="inlineStr">
        <is>
          <t>Ventas Personas (B2C)</t>
        </is>
      </c>
      <c r="K3567" t="inlineStr">
        <is>
          <t>CH2</t>
        </is>
      </c>
    </row>
    <row r="3568">
      <c r="A3568" s="33" t="n">
        <v>45960</v>
      </c>
      <c r="B3568" t="inlineStr">
        <is>
          <t>2025-10</t>
        </is>
      </c>
      <c r="C3568" t="inlineStr">
        <is>
          <t>Manuela Gutierrez</t>
        </is>
      </c>
      <c r="D3568" t="inlineStr">
        <is>
          <t>Petit Crunchy</t>
        </is>
      </c>
      <c r="E3568" s="34" t="n">
        <v>28889</v>
      </c>
      <c r="F3568" t="inlineStr">
        <is>
          <t>B</t>
        </is>
      </c>
      <c r="G3568" s="34" t="n">
        <v>4613</v>
      </c>
      <c r="H3568" s="34" t="n">
        <v>24276</v>
      </c>
      <c r="I3568" t="inlineStr">
        <is>
          <t>3.2</t>
        </is>
      </c>
      <c r="J3568" t="inlineStr">
        <is>
          <t>Ventas Personas (B2C)</t>
        </is>
      </c>
      <c r="K3568" t="inlineStr">
        <is>
          <t>CH2</t>
        </is>
      </c>
    </row>
    <row r="3569">
      <c r="A3569" s="33" t="n">
        <v>45960</v>
      </c>
      <c r="B3569" t="inlineStr">
        <is>
          <t>2025-10</t>
        </is>
      </c>
      <c r="C3569" t="inlineStr">
        <is>
          <t>marisol Urrutia</t>
        </is>
      </c>
      <c r="D3569" t="inlineStr">
        <is>
          <t>Rellenos</t>
        </is>
      </c>
      <c r="E3569" s="34" t="n">
        <v>27889</v>
      </c>
      <c r="F3569" t="inlineStr">
        <is>
          <t>B</t>
        </is>
      </c>
      <c r="G3569" s="34" t="n">
        <v>4453</v>
      </c>
      <c r="H3569" s="34" t="n">
        <v>23436</v>
      </c>
      <c r="I3569" t="inlineStr">
        <is>
          <t>3.2</t>
        </is>
      </c>
      <c r="J3569" t="inlineStr">
        <is>
          <t>Ventas Personas (B2C)</t>
        </is>
      </c>
      <c r="K3569" t="inlineStr">
        <is>
          <t>CH2</t>
        </is>
      </c>
    </row>
    <row r="3570">
      <c r="A3570" s="33" t="n">
        <v>45960</v>
      </c>
      <c r="B3570" t="inlineStr">
        <is>
          <t>2025-10</t>
        </is>
      </c>
      <c r="C3570" t="inlineStr">
        <is>
          <t>Pablo Ledesma</t>
        </is>
      </c>
      <c r="D3570" t="inlineStr">
        <is>
          <t>CANELÉ TRADICIONAL</t>
        </is>
      </c>
      <c r="E3570" s="34" t="n">
        <v>22699</v>
      </c>
      <c r="F3570" t="inlineStr">
        <is>
          <t>B</t>
        </is>
      </c>
      <c r="G3570" s="34" t="n">
        <v>3624</v>
      </c>
      <c r="H3570" s="34" t="n">
        <v>19075</v>
      </c>
      <c r="I3570" t="inlineStr">
        <is>
          <t>3.2</t>
        </is>
      </c>
      <c r="J3570" t="inlineStr">
        <is>
          <t>Ventas Personas (B2C)</t>
        </is>
      </c>
      <c r="K3570" t="inlineStr">
        <is>
          <t>CH2</t>
        </is>
      </c>
    </row>
    <row r="3571">
      <c r="A3571" s="33" t="n">
        <v>45960</v>
      </c>
      <c r="B3571" t="inlineStr">
        <is>
          <t>2025-10</t>
        </is>
      </c>
      <c r="C3571" t="inlineStr">
        <is>
          <t>Sin cliente</t>
        </is>
      </c>
      <c r="D3571" t="inlineStr">
        <is>
          <t>Rellenos</t>
        </is>
      </c>
      <c r="E3571" s="34" t="n">
        <v>23800</v>
      </c>
      <c r="F3571" t="inlineStr">
        <is>
          <t>B</t>
        </is>
      </c>
      <c r="G3571" s="34" t="n">
        <v>3800</v>
      </c>
      <c r="H3571" s="34" t="n">
        <v>20000</v>
      </c>
      <c r="I3571" t="inlineStr">
        <is>
          <t>3.2</t>
        </is>
      </c>
      <c r="J3571" t="inlineStr">
        <is>
          <t>Ventas Personas (B2C)</t>
        </is>
      </c>
      <c r="K3571" t="inlineStr">
        <is>
          <t>CH2</t>
        </is>
      </c>
    </row>
    <row r="3572">
      <c r="A3572" s="33" t="n">
        <v>45960</v>
      </c>
      <c r="B3572" t="inlineStr">
        <is>
          <t>2025-10</t>
        </is>
      </c>
      <c r="C3572" t="inlineStr">
        <is>
          <t>Sin cliente</t>
        </is>
      </c>
      <c r="D3572" t="inlineStr">
        <is>
          <t>CANELÉ TRADICIONAL</t>
        </is>
      </c>
      <c r="E3572" s="34" t="n">
        <v>26943</v>
      </c>
      <c r="F3572" t="inlineStr">
        <is>
          <t>B</t>
        </is>
      </c>
      <c r="G3572" s="34" t="n">
        <v>4302</v>
      </c>
      <c r="H3572" s="34" t="n">
        <v>22641</v>
      </c>
      <c r="I3572" t="inlineStr">
        <is>
          <t>3.2</t>
        </is>
      </c>
      <c r="J3572" t="inlineStr">
        <is>
          <t>Ventas Personas (B2C)</t>
        </is>
      </c>
      <c r="K3572" t="inlineStr">
        <is>
          <t>CH2</t>
        </is>
      </c>
    </row>
    <row r="3573">
      <c r="A3573" s="33" t="n">
        <v>45960</v>
      </c>
      <c r="B3573" t="inlineStr">
        <is>
          <t>2025-10</t>
        </is>
      </c>
      <c r="C3573" t="inlineStr">
        <is>
          <t>Sin cliente</t>
        </is>
      </c>
      <c r="D3573" t="inlineStr">
        <is>
          <t>Mix Sabores</t>
        </is>
      </c>
      <c r="E3573" s="34" t="n">
        <v>34700</v>
      </c>
      <c r="F3573" t="inlineStr">
        <is>
          <t>B</t>
        </is>
      </c>
      <c r="G3573" s="34" t="n">
        <v>5540</v>
      </c>
      <c r="H3573" s="34" t="n">
        <v>29160</v>
      </c>
      <c r="I3573" t="inlineStr">
        <is>
          <t>3.2</t>
        </is>
      </c>
      <c r="J3573" t="inlineStr">
        <is>
          <t>Ventas Personas (B2C)</t>
        </is>
      </c>
      <c r="K3573" t="inlineStr">
        <is>
          <t>CH2</t>
        </is>
      </c>
    </row>
    <row r="3574">
      <c r="A3574" s="33" t="n">
        <v>45960</v>
      </c>
      <c r="B3574" t="inlineStr">
        <is>
          <t>2025-10</t>
        </is>
      </c>
      <c r="C3574" t="inlineStr">
        <is>
          <t>Sin cliente</t>
        </is>
      </c>
      <c r="D3574" t="inlineStr">
        <is>
          <t>CANELÉ TRADICIONAL</t>
        </is>
      </c>
      <c r="E3574" s="34" t="n">
        <v>14900</v>
      </c>
      <c r="F3574" t="inlineStr">
        <is>
          <t>B</t>
        </is>
      </c>
      <c r="G3574" s="34" t="n">
        <v>2379</v>
      </c>
      <c r="H3574" s="34" t="n">
        <v>12521</v>
      </c>
      <c r="I3574" t="inlineStr">
        <is>
          <t>3.2</t>
        </is>
      </c>
      <c r="J3574" t="inlineStr">
        <is>
          <t>Ventas Personas (B2C)</t>
        </is>
      </c>
      <c r="K3574" t="inlineStr">
        <is>
          <t>CH2</t>
        </is>
      </c>
    </row>
    <row r="3575">
      <c r="A3575" s="33" t="n">
        <v>45960</v>
      </c>
      <c r="B3575" t="inlineStr">
        <is>
          <t>2025-10</t>
        </is>
      </c>
      <c r="C3575" t="inlineStr">
        <is>
          <t>Sin cliente</t>
        </is>
      </c>
      <c r="D3575" t="inlineStr">
        <is>
          <t>PLATAFORMAS RAP-PEYA-UBER-GOOD</t>
        </is>
      </c>
      <c r="E3575" s="34" t="n">
        <v>30960</v>
      </c>
      <c r="F3575" t="inlineStr">
        <is>
          <t>B</t>
        </is>
      </c>
      <c r="G3575" s="34" t="n">
        <v>4943</v>
      </c>
      <c r="H3575" s="34" t="n">
        <v>26017</v>
      </c>
      <c r="I3575" t="inlineStr">
        <is>
          <t>3.6</t>
        </is>
      </c>
      <c r="J3575" t="inlineStr">
        <is>
          <t>Ventas Delivery Apps</t>
        </is>
      </c>
      <c r="K3575" t="inlineStr">
        <is>
          <t>CH3</t>
        </is>
      </c>
    </row>
    <row r="3576">
      <c r="A3576" s="33" t="n">
        <v>45960</v>
      </c>
      <c r="B3576" t="inlineStr">
        <is>
          <t>2025-10</t>
        </is>
      </c>
      <c r="C3576" t="inlineStr">
        <is>
          <t>Sin cliente</t>
        </is>
      </c>
      <c r="D3576" t="inlineStr">
        <is>
          <t>PLATAFORMAS RAP-PEYA-UBER-GOOD</t>
        </is>
      </c>
      <c r="E3576" s="34" t="n">
        <v>15480</v>
      </c>
      <c r="F3576" t="inlineStr">
        <is>
          <t>B</t>
        </is>
      </c>
      <c r="G3576" s="34" t="n">
        <v>2472</v>
      </c>
      <c r="H3576" s="34" t="n">
        <v>13008</v>
      </c>
      <c r="I3576" t="inlineStr">
        <is>
          <t>3.6</t>
        </is>
      </c>
      <c r="J3576" t="inlineStr">
        <is>
          <t>Ventas Delivery Apps</t>
        </is>
      </c>
      <c r="K3576" t="inlineStr">
        <is>
          <t>CH3</t>
        </is>
      </c>
    </row>
    <row r="3577">
      <c r="A3577" s="33" t="n">
        <v>45960</v>
      </c>
      <c r="B3577" t="inlineStr">
        <is>
          <t>2025-10</t>
        </is>
      </c>
      <c r="C3577" t="inlineStr">
        <is>
          <t>Sin cliente</t>
        </is>
      </c>
      <c r="D3577" t="inlineStr">
        <is>
          <t>PLATAFORMAS RAP-PEYA-UBER-GOOD</t>
        </is>
      </c>
      <c r="E3577" s="34" t="n">
        <v>9000</v>
      </c>
      <c r="F3577" t="inlineStr">
        <is>
          <t>B</t>
        </is>
      </c>
      <c r="G3577" s="34" t="n">
        <v>1437</v>
      </c>
      <c r="H3577" s="34" t="n">
        <v>7563</v>
      </c>
      <c r="I3577" t="inlineStr">
        <is>
          <t>3.6</t>
        </is>
      </c>
      <c r="J3577" t="inlineStr">
        <is>
          <t>Ventas Delivery Apps</t>
        </is>
      </c>
      <c r="K3577" t="inlineStr">
        <is>
          <t>CH3</t>
        </is>
      </c>
    </row>
    <row r="3578">
      <c r="A3578" s="33" t="n">
        <v>45960</v>
      </c>
      <c r="B3578" t="inlineStr">
        <is>
          <t>2025-10</t>
        </is>
      </c>
      <c r="C3578" t="inlineStr">
        <is>
          <t>Lily Günther</t>
        </is>
      </c>
      <c r="D3578" t="inlineStr">
        <is>
          <t>CANELE SIN AZUCAR</t>
        </is>
      </c>
      <c r="E3578" s="34" t="n">
        <v>34289</v>
      </c>
      <c r="F3578" t="inlineStr">
        <is>
          <t>B</t>
        </is>
      </c>
      <c r="G3578" s="34" t="n">
        <v>5475</v>
      </c>
      <c r="H3578" s="34" t="n">
        <v>28814</v>
      </c>
      <c r="I3578" t="inlineStr">
        <is>
          <t>3.2</t>
        </is>
      </c>
      <c r="J3578" t="inlineStr">
        <is>
          <t>Ventas Personas (B2C)</t>
        </is>
      </c>
      <c r="K3578" t="inlineStr">
        <is>
          <t>CH2</t>
        </is>
      </c>
    </row>
    <row r="3579">
      <c r="A3579" s="33" t="n">
        <v>45960</v>
      </c>
      <c r="B3579" t="inlineStr">
        <is>
          <t>2025-10</t>
        </is>
      </c>
      <c r="C3579" t="inlineStr">
        <is>
          <t>Sin cliente</t>
        </is>
      </c>
      <c r="D3579" t="inlineStr">
        <is>
          <t>CANELÉ TRADICIONAL</t>
        </is>
      </c>
      <c r="E3579" s="34" t="n">
        <v>14900</v>
      </c>
      <c r="F3579" t="inlineStr">
        <is>
          <t>B</t>
        </is>
      </c>
      <c r="G3579" s="34" t="n">
        <v>2379</v>
      </c>
      <c r="H3579" s="34" t="n">
        <v>12521</v>
      </c>
      <c r="I3579" t="inlineStr">
        <is>
          <t>3.2</t>
        </is>
      </c>
      <c r="J3579" t="inlineStr">
        <is>
          <t>Ventas Personas (B2C)</t>
        </is>
      </c>
      <c r="K3579" t="inlineStr">
        <is>
          <t>CH2</t>
        </is>
      </c>
    </row>
    <row r="3580">
      <c r="A3580" s="33" t="n">
        <v>45961</v>
      </c>
      <c r="B3580" t="inlineStr">
        <is>
          <t>2025-10</t>
        </is>
      </c>
      <c r="C3580" t="inlineStr">
        <is>
          <t>VILAS BANQUETERIAS SPA</t>
        </is>
      </c>
      <c r="D3580" t="inlineStr">
        <is>
          <t>HORECA CATERING</t>
        </is>
      </c>
      <c r="E3580" s="34" t="n">
        <v>286734</v>
      </c>
      <c r="F3580" t="inlineStr">
        <is>
          <t>F</t>
        </is>
      </c>
      <c r="G3580" s="34" t="n">
        <v>45781</v>
      </c>
      <c r="H3580" s="34" t="n">
        <v>240953</v>
      </c>
      <c r="I3580" t="inlineStr">
        <is>
          <t>3.1</t>
        </is>
      </c>
      <c r="J3580" t="inlineStr">
        <is>
          <t>Ventas HoReCa</t>
        </is>
      </c>
      <c r="K3580" t="inlineStr">
        <is>
          <t>CH1</t>
        </is>
      </c>
    </row>
    <row r="3581">
      <c r="A3581" s="33" t="n">
        <v>45961</v>
      </c>
      <c r="B3581" t="inlineStr">
        <is>
          <t>2025-10</t>
        </is>
      </c>
      <c r="C3581" t="inlineStr">
        <is>
          <t>BLUE OAK COFFE SPA</t>
        </is>
      </c>
      <c r="D3581" t="inlineStr">
        <is>
          <t>HORECA CAFETERIA</t>
        </is>
      </c>
      <c r="E3581" s="34" t="n">
        <v>68179</v>
      </c>
      <c r="F3581" t="inlineStr">
        <is>
          <t>F</t>
        </is>
      </c>
      <c r="G3581" s="34" t="n">
        <v>10886</v>
      </c>
      <c r="H3581" s="34" t="n">
        <v>57293</v>
      </c>
      <c r="I3581" t="inlineStr">
        <is>
          <t>3.1</t>
        </is>
      </c>
      <c r="J3581" t="inlineStr">
        <is>
          <t>Ventas HoReCa</t>
        </is>
      </c>
      <c r="K3581" t="inlineStr">
        <is>
          <t>CH1</t>
        </is>
      </c>
    </row>
    <row r="3582">
      <c r="A3582" s="33" t="n">
        <v>45961</v>
      </c>
      <c r="B3582" t="inlineStr">
        <is>
          <t>2025-10</t>
        </is>
      </c>
      <c r="C3582" t="inlineStr">
        <is>
          <t>Ting Ting Lee</t>
        </is>
      </c>
      <c r="D3582" t="inlineStr">
        <is>
          <t>Petit Crunchy</t>
        </is>
      </c>
      <c r="E3582" s="34" t="n">
        <v>25900</v>
      </c>
      <c r="F3582" t="inlineStr">
        <is>
          <t>B</t>
        </is>
      </c>
      <c r="G3582" s="34" t="n">
        <v>4135</v>
      </c>
      <c r="H3582" s="34" t="n">
        <v>21765</v>
      </c>
      <c r="I3582" t="inlineStr">
        <is>
          <t>3.2</t>
        </is>
      </c>
      <c r="J3582" t="inlineStr">
        <is>
          <t>Ventas Personas (B2C)</t>
        </is>
      </c>
      <c r="K3582" t="inlineStr">
        <is>
          <t>CH2</t>
        </is>
      </c>
    </row>
    <row r="3583">
      <c r="A3583" s="33" t="n">
        <v>45961</v>
      </c>
      <c r="B3583" t="inlineStr">
        <is>
          <t>2025-10</t>
        </is>
      </c>
      <c r="C3583" t="inlineStr">
        <is>
          <t>Sin cliente</t>
        </is>
      </c>
      <c r="D3583" t="inlineStr">
        <is>
          <t>PLATAFORMAS RAP-PEYA-UBER-GOOD</t>
        </is>
      </c>
      <c r="E3583" s="34" t="n">
        <v>32280</v>
      </c>
      <c r="F3583" t="inlineStr">
        <is>
          <t>B</t>
        </is>
      </c>
      <c r="G3583" s="34" t="n">
        <v>5154</v>
      </c>
      <c r="H3583" s="34" t="n">
        <v>27126</v>
      </c>
      <c r="I3583" t="inlineStr">
        <is>
          <t>3.6</t>
        </is>
      </c>
      <c r="J3583" t="inlineStr">
        <is>
          <t>Ventas Delivery Apps</t>
        </is>
      </c>
      <c r="K3583" t="inlineStr">
        <is>
          <t>CH3</t>
        </is>
      </c>
    </row>
    <row r="3584">
      <c r="A3584" s="33" t="n">
        <v>45961</v>
      </c>
      <c r="B3584" t="inlineStr">
        <is>
          <t>2025-10</t>
        </is>
      </c>
      <c r="C3584" t="inlineStr">
        <is>
          <t>Sin cliente</t>
        </is>
      </c>
      <c r="D3584" t="inlineStr">
        <is>
          <t>CANELÉ TRADICIONAL</t>
        </is>
      </c>
      <c r="E3584" s="34" t="n">
        <v>33890</v>
      </c>
      <c r="F3584" t="inlineStr">
        <is>
          <t>B</t>
        </is>
      </c>
      <c r="G3584" s="34" t="n">
        <v>5411</v>
      </c>
      <c r="H3584" s="34" t="n">
        <v>28479</v>
      </c>
      <c r="I3584" t="inlineStr">
        <is>
          <t>3.2</t>
        </is>
      </c>
      <c r="J3584" t="inlineStr">
        <is>
          <t>Ventas Personas (B2C)</t>
        </is>
      </c>
      <c r="K3584" t="inlineStr">
        <is>
          <t>CH2</t>
        </is>
      </c>
    </row>
    <row r="3585">
      <c r="A3585" s="33" t="n">
        <v>45961</v>
      </c>
      <c r="B3585" t="inlineStr">
        <is>
          <t>2025-10</t>
        </is>
      </c>
      <c r="C3585" t="inlineStr">
        <is>
          <t>Katherine Shepherd</t>
        </is>
      </c>
      <c r="D3585" t="inlineStr">
        <is>
          <t>Petit Crunchy</t>
        </is>
      </c>
      <c r="E3585" s="34" t="n">
        <v>16499</v>
      </c>
      <c r="F3585" t="inlineStr">
        <is>
          <t>B</t>
        </is>
      </c>
      <c r="G3585" s="34" t="n">
        <v>2634</v>
      </c>
      <c r="H3585" s="34" t="n">
        <v>13865</v>
      </c>
      <c r="I3585" t="inlineStr">
        <is>
          <t>3.2</t>
        </is>
      </c>
      <c r="J3585" t="inlineStr">
        <is>
          <t>Ventas Personas (B2C)</t>
        </is>
      </c>
      <c r="K3585" t="inlineStr">
        <is>
          <t>CH2</t>
        </is>
      </c>
    </row>
    <row r="3586">
      <c r="A3586" s="33" t="n">
        <v>45961</v>
      </c>
      <c r="B3586" t="inlineStr">
        <is>
          <t>2025-10</t>
        </is>
      </c>
      <c r="C3586" t="inlineStr">
        <is>
          <t>Sin cliente</t>
        </is>
      </c>
      <c r="D3586" t="inlineStr">
        <is>
          <t>CANELÉ TRADICIONAL</t>
        </is>
      </c>
      <c r="E3586" s="34" t="n">
        <v>43800</v>
      </c>
      <c r="F3586" t="inlineStr">
        <is>
          <t>B</t>
        </is>
      </c>
      <c r="G3586" s="34" t="n">
        <v>6993</v>
      </c>
      <c r="H3586" s="34" t="n">
        <v>36807</v>
      </c>
      <c r="I3586" t="inlineStr">
        <is>
          <t>3.2</t>
        </is>
      </c>
      <c r="J3586" t="inlineStr">
        <is>
          <t>Ventas Personas (B2C)</t>
        </is>
      </c>
      <c r="K3586" t="inlineStr">
        <is>
          <t>CH2</t>
        </is>
      </c>
    </row>
    <row r="3587">
      <c r="A3587" s="33" t="n">
        <v>45962</v>
      </c>
      <c r="B3587" t="inlineStr">
        <is>
          <t>2025-11</t>
        </is>
      </c>
      <c r="C3587" t="inlineStr">
        <is>
          <t>BLUE OAK COFFE SPA</t>
        </is>
      </c>
      <c r="D3587" t="inlineStr">
        <is>
          <t>HORECA CAFETERIA</t>
        </is>
      </c>
      <c r="E3587" s="34" t="n">
        <v>180234</v>
      </c>
      <c r="F3587" t="inlineStr">
        <is>
          <t>F</t>
        </is>
      </c>
      <c r="G3587" s="34" t="n">
        <v>28777</v>
      </c>
      <c r="H3587" s="34" t="n">
        <v>151457</v>
      </c>
      <c r="I3587" t="inlineStr">
        <is>
          <t>3.1</t>
        </is>
      </c>
      <c r="J3587" t="inlineStr">
        <is>
          <t>Ventas HoReCa</t>
        </is>
      </c>
      <c r="K3587" t="inlineStr">
        <is>
          <t>CH1</t>
        </is>
      </c>
    </row>
    <row r="3588">
      <c r="A3588" s="33" t="n">
        <v>45962</v>
      </c>
      <c r="B3588" t="inlineStr">
        <is>
          <t>2025-11</t>
        </is>
      </c>
      <c r="C3588" t="inlineStr">
        <is>
          <t>Adriana Porcell Escobar</t>
        </is>
      </c>
      <c r="D3588" t="inlineStr">
        <is>
          <t>CANELÉ TRADICIONAL</t>
        </is>
      </c>
      <c r="E3588" s="34" t="n">
        <v>57689</v>
      </c>
      <c r="F3588" t="inlineStr">
        <is>
          <t>B</t>
        </is>
      </c>
      <c r="G3588" s="34" t="n">
        <v>9211</v>
      </c>
      <c r="H3588" s="34" t="n">
        <v>48478</v>
      </c>
      <c r="I3588" t="inlineStr">
        <is>
          <t>3.2</t>
        </is>
      </c>
      <c r="J3588" t="inlineStr">
        <is>
          <t>Ventas Personas (B2C)</t>
        </is>
      </c>
      <c r="K3588" t="inlineStr">
        <is>
          <t>CH2</t>
        </is>
      </c>
    </row>
    <row r="3589">
      <c r="A3589" s="33" t="n">
        <v>45962</v>
      </c>
      <c r="B3589" t="inlineStr">
        <is>
          <t>2025-11</t>
        </is>
      </c>
      <c r="C3589" t="inlineStr">
        <is>
          <t>Sin cliente</t>
        </is>
      </c>
      <c r="D3589" t="inlineStr">
        <is>
          <t>PLATAFORMAS RAP-PEYA-UBER-GOOD</t>
        </is>
      </c>
      <c r="E3589" s="34" t="n">
        <v>10200</v>
      </c>
      <c r="F3589" t="inlineStr">
        <is>
          <t>B</t>
        </is>
      </c>
      <c r="G3589" s="34" t="n">
        <v>1629</v>
      </c>
      <c r="H3589" s="34" t="n">
        <v>8571</v>
      </c>
      <c r="I3589" t="inlineStr">
        <is>
          <t>3.6</t>
        </is>
      </c>
      <c r="J3589" t="inlineStr">
        <is>
          <t>Ventas Delivery Apps</t>
        </is>
      </c>
      <c r="K3589" t="inlineStr">
        <is>
          <t>CH3</t>
        </is>
      </c>
    </row>
    <row r="3590">
      <c r="A3590" s="33" t="n">
        <v>45962</v>
      </c>
      <c r="B3590" t="inlineStr">
        <is>
          <t>2025-11</t>
        </is>
      </c>
      <c r="C3590" t="inlineStr">
        <is>
          <t>Sin cliente</t>
        </is>
      </c>
      <c r="D3590" t="inlineStr">
        <is>
          <t>PLATAFORMAS RAP-PEYA-UBER-GOOD</t>
        </is>
      </c>
      <c r="E3590" s="34" t="n">
        <v>20280</v>
      </c>
      <c r="F3590" t="inlineStr">
        <is>
          <t>B</t>
        </is>
      </c>
      <c r="G3590" s="34" t="n">
        <v>3238</v>
      </c>
      <c r="H3590" s="34" t="n">
        <v>17042</v>
      </c>
      <c r="I3590" t="inlineStr">
        <is>
          <t>3.6</t>
        </is>
      </c>
      <c r="J3590" t="inlineStr">
        <is>
          <t>Ventas Delivery Apps</t>
        </is>
      </c>
      <c r="K3590" t="inlineStr">
        <is>
          <t>CH3</t>
        </is>
      </c>
    </row>
    <row r="3591">
      <c r="A3591" s="33" t="n">
        <v>45962</v>
      </c>
      <c r="B3591" t="inlineStr">
        <is>
          <t>2025-11</t>
        </is>
      </c>
      <c r="C3591" t="inlineStr">
        <is>
          <t>Paola Espinoza</t>
        </is>
      </c>
      <c r="D3591" t="inlineStr">
        <is>
          <t>Rellenos</t>
        </is>
      </c>
      <c r="E3591" s="34" t="n">
        <v>12000</v>
      </c>
      <c r="F3591" t="inlineStr">
        <is>
          <t>B</t>
        </is>
      </c>
      <c r="G3591" s="34" t="n">
        <v>1916</v>
      </c>
      <c r="H3591" s="34" t="n">
        <v>10084</v>
      </c>
      <c r="I3591" t="inlineStr">
        <is>
          <t>3.2</t>
        </is>
      </c>
      <c r="J3591" t="inlineStr">
        <is>
          <t>Ventas Personas (B2C)</t>
        </is>
      </c>
      <c r="K3591" t="inlineStr">
        <is>
          <t>CH2</t>
        </is>
      </c>
    </row>
    <row r="3592">
      <c r="A3592" s="33" t="n">
        <v>45962</v>
      </c>
      <c r="B3592" t="inlineStr">
        <is>
          <t>2025-11</t>
        </is>
      </c>
      <c r="C3592" t="inlineStr">
        <is>
          <t>Rocío Sandoval</t>
        </is>
      </c>
      <c r="D3592" t="inlineStr">
        <is>
          <t>CANELÉ TRADICIONAL</t>
        </is>
      </c>
      <c r="E3592" s="34" t="n">
        <v>24114</v>
      </c>
      <c r="F3592" t="inlineStr">
        <is>
          <t>B</t>
        </is>
      </c>
      <c r="G3592" s="34" t="n">
        <v>3850</v>
      </c>
      <c r="H3592" s="34" t="n">
        <v>20264</v>
      </c>
      <c r="I3592" t="inlineStr">
        <is>
          <t>3.2</t>
        </is>
      </c>
      <c r="J3592" t="inlineStr">
        <is>
          <t>Ventas Personas (B2C)</t>
        </is>
      </c>
      <c r="K3592" t="inlineStr">
        <is>
          <t>CH2</t>
        </is>
      </c>
    </row>
    <row r="3593">
      <c r="A3593" s="33" t="n">
        <v>45962</v>
      </c>
      <c r="B3593" t="inlineStr">
        <is>
          <t>2025-11</t>
        </is>
      </c>
      <c r="C3593" t="inlineStr">
        <is>
          <t>Francisca Gatica</t>
        </is>
      </c>
      <c r="D3593" t="inlineStr">
        <is>
          <t>SALSAS</t>
        </is>
      </c>
      <c r="E3593" s="34" t="n">
        <v>35302</v>
      </c>
      <c r="F3593" t="inlineStr">
        <is>
          <t>B</t>
        </is>
      </c>
      <c r="G3593" s="34" t="n">
        <v>5636</v>
      </c>
      <c r="H3593" s="34" t="n">
        <v>29666</v>
      </c>
      <c r="I3593" t="inlineStr">
        <is>
          <t>3.2</t>
        </is>
      </c>
      <c r="J3593" t="inlineStr">
        <is>
          <t>Ventas Personas (B2C)</t>
        </is>
      </c>
      <c r="K3593" t="inlineStr">
        <is>
          <t>CH2</t>
        </is>
      </c>
    </row>
    <row r="3594">
      <c r="A3594" s="33" t="n">
        <v>45962</v>
      </c>
      <c r="B3594" t="inlineStr">
        <is>
          <t>2025-11</t>
        </is>
      </c>
      <c r="C3594" t="inlineStr">
        <is>
          <t>Alejandra Bisquertt</t>
        </is>
      </c>
      <c r="D3594" t="inlineStr">
        <is>
          <t>CANELÉ TRADICIONAL</t>
        </is>
      </c>
      <c r="E3594" s="34" t="n">
        <v>20889</v>
      </c>
      <c r="F3594" t="inlineStr">
        <is>
          <t>B</t>
        </is>
      </c>
      <c r="G3594" s="34" t="n">
        <v>3335</v>
      </c>
      <c r="H3594" s="34" t="n">
        <v>17554</v>
      </c>
      <c r="I3594" t="inlineStr">
        <is>
          <t>3.2</t>
        </is>
      </c>
      <c r="J3594" t="inlineStr">
        <is>
          <t>Ventas Personas (B2C)</t>
        </is>
      </c>
      <c r="K3594" t="inlineStr">
        <is>
          <t>CH2</t>
        </is>
      </c>
    </row>
    <row r="3595">
      <c r="A3595" s="33" t="n">
        <v>45964</v>
      </c>
      <c r="B3595" t="inlineStr">
        <is>
          <t>2025-11</t>
        </is>
      </c>
      <c r="C3595" t="inlineStr">
        <is>
          <t>INVERSIONES Y ASESORIAS RAVAL LIMITADA</t>
        </is>
      </c>
      <c r="D3595" t="inlineStr">
        <is>
          <t>HORECA CAFETERIA</t>
        </is>
      </c>
      <c r="E3595" s="34" t="n">
        <v>140177</v>
      </c>
      <c r="F3595" t="inlineStr">
        <is>
          <t>F</t>
        </is>
      </c>
      <c r="G3595" s="34" t="n">
        <v>22381</v>
      </c>
      <c r="H3595" s="34" t="n">
        <v>117796</v>
      </c>
      <c r="I3595" t="inlineStr">
        <is>
          <t>3.1</t>
        </is>
      </c>
      <c r="J3595" t="inlineStr">
        <is>
          <t>Ventas HoReCa</t>
        </is>
      </c>
      <c r="K3595" t="inlineStr">
        <is>
          <t>CH1</t>
        </is>
      </c>
    </row>
    <row r="3596">
      <c r="A3596" s="33" t="n">
        <v>45964</v>
      </c>
      <c r="B3596" t="inlineStr">
        <is>
          <t>2025-11</t>
        </is>
      </c>
      <c r="C3596" t="inlineStr">
        <is>
          <t>INVERSIONES Y COMERCIALIZADORA FED LIMITADA</t>
        </is>
      </c>
      <c r="D3596" t="inlineStr">
        <is>
          <t>HORECA CAFETERIA</t>
        </is>
      </c>
      <c r="E3596" s="34" t="n">
        <v>220925</v>
      </c>
      <c r="F3596" t="inlineStr">
        <is>
          <t>F</t>
        </is>
      </c>
      <c r="G3596" s="34" t="n">
        <v>35274</v>
      </c>
      <c r="H3596" s="34" t="n">
        <v>185651</v>
      </c>
      <c r="I3596" t="inlineStr">
        <is>
          <t>3.1</t>
        </is>
      </c>
      <c r="J3596" t="inlineStr">
        <is>
          <t>Ventas HoReCa</t>
        </is>
      </c>
      <c r="K3596" t="inlineStr">
        <is>
          <t>CH1</t>
        </is>
      </c>
    </row>
    <row r="3597">
      <c r="A3597" s="33" t="n">
        <v>45964</v>
      </c>
      <c r="B3597" t="inlineStr">
        <is>
          <t>2025-11</t>
        </is>
      </c>
      <c r="C3597" t="inlineStr">
        <is>
          <t xml:space="preserve">Café lucerna spa </t>
        </is>
      </c>
      <c r="D3597" t="inlineStr">
        <is>
          <t>HORECA CAFETERIA</t>
        </is>
      </c>
      <c r="E3597" s="34" t="n">
        <v>68179</v>
      </c>
      <c r="F3597" t="inlineStr">
        <is>
          <t>F</t>
        </is>
      </c>
      <c r="G3597" s="34" t="n">
        <v>10886</v>
      </c>
      <c r="H3597" s="34" t="n">
        <v>57293</v>
      </c>
      <c r="I3597" t="inlineStr">
        <is>
          <t>3.1</t>
        </is>
      </c>
      <c r="J3597" t="inlineStr">
        <is>
          <t>Ventas HoReCa</t>
        </is>
      </c>
      <c r="K3597" t="inlineStr">
        <is>
          <t>CH1</t>
        </is>
      </c>
    </row>
    <row r="3598">
      <c r="A3598" s="33" t="n">
        <v>45964</v>
      </c>
      <c r="B3598" t="inlineStr">
        <is>
          <t>2025-11</t>
        </is>
      </c>
      <c r="C3598" t="inlineStr">
        <is>
          <t>BLUE OAK COFFE SPA</t>
        </is>
      </c>
      <c r="D3598" t="inlineStr">
        <is>
          <t>HORECA CAFETERIA</t>
        </is>
      </c>
      <c r="E3598" s="34" t="n">
        <v>112836</v>
      </c>
      <c r="F3598" t="inlineStr">
        <is>
          <t>F</t>
        </is>
      </c>
      <c r="G3598" s="34" t="n">
        <v>18016</v>
      </c>
      <c r="H3598" s="34" t="n">
        <v>94820</v>
      </c>
      <c r="I3598" t="inlineStr">
        <is>
          <t>3.1</t>
        </is>
      </c>
      <c r="J3598" t="inlineStr">
        <is>
          <t>Ventas HoReCa</t>
        </is>
      </c>
      <c r="K3598" t="inlineStr">
        <is>
          <t>CH1</t>
        </is>
      </c>
    </row>
    <row r="3599">
      <c r="A3599" s="33" t="n">
        <v>45964</v>
      </c>
      <c r="B3599" t="inlineStr">
        <is>
          <t>2025-11</t>
        </is>
      </c>
      <c r="C3599" t="inlineStr">
        <is>
          <t>Francisca Swett</t>
        </is>
      </c>
      <c r="D3599" t="inlineStr">
        <is>
          <t>Rellenos</t>
        </is>
      </c>
      <c r="E3599" s="34" t="n">
        <v>19379</v>
      </c>
      <c r="F3599" t="inlineStr">
        <is>
          <t>B</t>
        </is>
      </c>
      <c r="G3599" s="34" t="n">
        <v>3094</v>
      </c>
      <c r="H3599" s="34" t="n">
        <v>16285</v>
      </c>
      <c r="I3599" t="inlineStr">
        <is>
          <t>3.2</t>
        </is>
      </c>
      <c r="J3599" t="inlineStr">
        <is>
          <t>Ventas Personas (B2C)</t>
        </is>
      </c>
      <c r="K3599" t="inlineStr">
        <is>
          <t>CH2</t>
        </is>
      </c>
    </row>
    <row r="3600">
      <c r="A3600" s="33" t="n">
        <v>45964</v>
      </c>
      <c r="B3600" t="inlineStr">
        <is>
          <t>2025-11</t>
        </is>
      </c>
      <c r="C3600" t="inlineStr">
        <is>
          <t>LAURA Bradshaw</t>
        </is>
      </c>
      <c r="D3600" t="inlineStr">
        <is>
          <t>Rellenos</t>
        </is>
      </c>
      <c r="E3600" s="34" t="n">
        <v>19889</v>
      </c>
      <c r="F3600" t="inlineStr">
        <is>
          <t>B</t>
        </is>
      </c>
      <c r="G3600" s="34" t="n">
        <v>3176</v>
      </c>
      <c r="H3600" s="34" t="n">
        <v>16713</v>
      </c>
      <c r="I3600" t="inlineStr">
        <is>
          <t>3.2</t>
        </is>
      </c>
      <c r="J3600" t="inlineStr">
        <is>
          <t>Ventas Personas (B2C)</t>
        </is>
      </c>
      <c r="K3600" t="inlineStr">
        <is>
          <t>CH2</t>
        </is>
      </c>
    </row>
    <row r="3601">
      <c r="A3601" s="33" t="n">
        <v>45964</v>
      </c>
      <c r="B3601" t="inlineStr">
        <is>
          <t>2025-11</t>
        </is>
      </c>
      <c r="C3601" t="inlineStr">
        <is>
          <t>LAURA Bradshaw</t>
        </is>
      </c>
      <c r="D3601" t="inlineStr">
        <is>
          <t>Rellenos</t>
        </is>
      </c>
      <c r="E3601" s="34" t="n">
        <v>20889</v>
      </c>
      <c r="F3601" t="inlineStr">
        <is>
          <t>B</t>
        </is>
      </c>
      <c r="G3601" s="34" t="n">
        <v>3335</v>
      </c>
      <c r="H3601" s="34" t="n">
        <v>17554</v>
      </c>
      <c r="I3601" t="inlineStr">
        <is>
          <t>3.2</t>
        </is>
      </c>
      <c r="J3601" t="inlineStr">
        <is>
          <t>Ventas Personas (B2C)</t>
        </is>
      </c>
      <c r="K3601" t="inlineStr">
        <is>
          <t>CH2</t>
        </is>
      </c>
    </row>
    <row r="3602">
      <c r="A3602" s="33" t="n">
        <v>45964</v>
      </c>
      <c r="B3602" t="inlineStr">
        <is>
          <t>2025-11</t>
        </is>
      </c>
      <c r="C3602" t="inlineStr">
        <is>
          <t>Fernanda Lasalle</t>
        </is>
      </c>
      <c r="D3602" t="inlineStr">
        <is>
          <t>CANELÉ TRADICIONAL</t>
        </is>
      </c>
      <c r="E3602" s="34" t="n">
        <v>25578</v>
      </c>
      <c r="F3602" t="inlineStr">
        <is>
          <t>B</t>
        </is>
      </c>
      <c r="G3602" s="34" t="n">
        <v>4084</v>
      </c>
      <c r="H3602" s="34" t="n">
        <v>21494</v>
      </c>
      <c r="I3602" t="inlineStr">
        <is>
          <t>3.2</t>
        </is>
      </c>
      <c r="J3602" t="inlineStr">
        <is>
          <t>Ventas Personas (B2C)</t>
        </is>
      </c>
      <c r="K3602" t="inlineStr">
        <is>
          <t>CH2</t>
        </is>
      </c>
    </row>
    <row r="3603">
      <c r="A3603" s="33" t="n">
        <v>45964</v>
      </c>
      <c r="B3603" t="inlineStr">
        <is>
          <t>2025-11</t>
        </is>
      </c>
      <c r="C3603" t="inlineStr">
        <is>
          <t>CAFE DIARIO ENCOMENDEROS SPA</t>
        </is>
      </c>
      <c r="D3603" t="inlineStr">
        <is>
          <t>HORECA CAFETERIA</t>
        </is>
      </c>
      <c r="E3603" s="34" t="n">
        <v>40375</v>
      </c>
      <c r="F3603" t="inlineStr">
        <is>
          <t>B</t>
        </is>
      </c>
      <c r="G3603" s="34" t="n">
        <v>6446</v>
      </c>
      <c r="H3603" s="34" t="n">
        <v>33929</v>
      </c>
      <c r="I3603" t="inlineStr">
        <is>
          <t>3.2</t>
        </is>
      </c>
      <c r="J3603" t="inlineStr">
        <is>
          <t>Ventas Personas (B2C)</t>
        </is>
      </c>
      <c r="K3603" t="inlineStr">
        <is>
          <t>CH2</t>
        </is>
      </c>
    </row>
    <row r="3604">
      <c r="A3604" s="33" t="n">
        <v>45964</v>
      </c>
      <c r="B3604" t="inlineStr">
        <is>
          <t>2025-11</t>
        </is>
      </c>
      <c r="C3604" t="inlineStr">
        <is>
          <t>CAFE DIARIO ENCOMENDEROS SPA</t>
        </is>
      </c>
      <c r="D3604" t="inlineStr">
        <is>
          <t>HORECA CAFETERIA</t>
        </is>
      </c>
      <c r="E3604" s="34" t="n">
        <v>-40375</v>
      </c>
      <c r="F3604" t="inlineStr">
        <is>
          <t>NC</t>
        </is>
      </c>
      <c r="G3604" s="34" t="n">
        <v>-6446</v>
      </c>
      <c r="H3604" s="34" t="n">
        <v>-33929</v>
      </c>
      <c r="I3604" t="inlineStr">
        <is>
          <t>3.2</t>
        </is>
      </c>
      <c r="J3604" t="inlineStr">
        <is>
          <t>Ventas Personas (B2C)</t>
        </is>
      </c>
      <c r="K3604" t="inlineStr">
        <is>
          <t>CH2</t>
        </is>
      </c>
    </row>
    <row r="3605">
      <c r="A3605" s="33" t="n">
        <v>45964</v>
      </c>
      <c r="B3605" t="inlineStr">
        <is>
          <t>2025-11</t>
        </is>
      </c>
      <c r="C3605" t="inlineStr">
        <is>
          <t>CAFE DIARIO ENCOMENDEROS SPA</t>
        </is>
      </c>
      <c r="D3605" t="inlineStr">
        <is>
          <t>HORECA CAFETERIA</t>
        </is>
      </c>
      <c r="E3605" s="34" t="n">
        <v>40375</v>
      </c>
      <c r="F3605" t="inlineStr">
        <is>
          <t>F</t>
        </is>
      </c>
      <c r="G3605" s="34" t="n">
        <v>6446</v>
      </c>
      <c r="H3605" s="34" t="n">
        <v>33929</v>
      </c>
      <c r="I3605" t="inlineStr">
        <is>
          <t>3.1</t>
        </is>
      </c>
      <c r="J3605" t="inlineStr">
        <is>
          <t>Ventas HoReCa</t>
        </is>
      </c>
      <c r="K3605" t="inlineStr">
        <is>
          <t>CH1</t>
        </is>
      </c>
    </row>
    <row r="3606">
      <c r="A3606" s="33" t="n">
        <v>45964</v>
      </c>
      <c r="B3606" t="inlineStr">
        <is>
          <t>2025-11</t>
        </is>
      </c>
      <c r="C3606" t="inlineStr">
        <is>
          <t>Sin cliente</t>
        </is>
      </c>
      <c r="D3606" t="inlineStr">
        <is>
          <t>CANELÉ TRADICIONAL</t>
        </is>
      </c>
      <c r="E3606" s="34" t="n">
        <v>29800</v>
      </c>
      <c r="F3606" t="inlineStr">
        <is>
          <t>B</t>
        </is>
      </c>
      <c r="G3606" s="34" t="n">
        <v>4758</v>
      </c>
      <c r="H3606" s="34" t="n">
        <v>25042</v>
      </c>
      <c r="I3606" t="inlineStr">
        <is>
          <t>3.2</t>
        </is>
      </c>
      <c r="J3606" t="inlineStr">
        <is>
          <t>Ventas Personas (B2C)</t>
        </is>
      </c>
      <c r="K3606" t="inlineStr">
        <is>
          <t>CH2</t>
        </is>
      </c>
    </row>
    <row r="3607">
      <c r="A3607" s="33" t="n">
        <v>45964</v>
      </c>
      <c r="B3607" t="inlineStr">
        <is>
          <t>2025-11</t>
        </is>
      </c>
      <c r="C3607" t="inlineStr">
        <is>
          <t>Ivonne Peña</t>
        </is>
      </c>
      <c r="D3607" t="inlineStr">
        <is>
          <t>CANELÉ TRADICIONAL</t>
        </is>
      </c>
      <c r="E3607" s="34" t="n">
        <v>33790</v>
      </c>
      <c r="F3607" t="inlineStr">
        <is>
          <t>B</t>
        </is>
      </c>
      <c r="G3607" s="34" t="n">
        <v>5395</v>
      </c>
      <c r="H3607" s="34" t="n">
        <v>28395</v>
      </c>
      <c r="I3607" t="inlineStr">
        <is>
          <t>3.2</t>
        </is>
      </c>
      <c r="J3607" t="inlineStr">
        <is>
          <t>Ventas Personas (B2C)</t>
        </is>
      </c>
      <c r="K3607" t="inlineStr">
        <is>
          <t>CH2</t>
        </is>
      </c>
    </row>
    <row r="3608">
      <c r="A3608" s="33" t="n">
        <v>45964</v>
      </c>
      <c r="B3608" t="inlineStr">
        <is>
          <t>2025-11</t>
        </is>
      </c>
      <c r="C3608" t="inlineStr">
        <is>
          <t>CAFE DIARIO ENCOMENDEROS SPA</t>
        </is>
      </c>
      <c r="D3608" t="inlineStr">
        <is>
          <t>HORECA CAFETERIA</t>
        </is>
      </c>
      <c r="E3608" s="34" t="n">
        <v>-40375</v>
      </c>
      <c r="F3608" t="inlineStr">
        <is>
          <t>NC</t>
        </is>
      </c>
      <c r="G3608" s="34" t="n">
        <v>-6446</v>
      </c>
      <c r="H3608" s="34" t="n">
        <v>-33929</v>
      </c>
      <c r="I3608" t="inlineStr">
        <is>
          <t>3.2</t>
        </is>
      </c>
      <c r="J3608" t="inlineStr">
        <is>
          <t>Ventas Personas (B2C)</t>
        </is>
      </c>
      <c r="K3608" t="inlineStr">
        <is>
          <t>CH2</t>
        </is>
      </c>
    </row>
    <row r="3609">
      <c r="A3609" s="33" t="n">
        <v>45964</v>
      </c>
      <c r="B3609" t="inlineStr">
        <is>
          <t>2025-11</t>
        </is>
      </c>
      <c r="C3609" t="inlineStr">
        <is>
          <t>CAFE DIARIO ENCOMENDEROS SPA</t>
        </is>
      </c>
      <c r="D3609" t="inlineStr">
        <is>
          <t>HORECA CAFETERIA</t>
        </is>
      </c>
      <c r="E3609" s="34" t="n">
        <v>137836</v>
      </c>
      <c r="F3609" t="inlineStr">
        <is>
          <t>F</t>
        </is>
      </c>
      <c r="G3609" s="34" t="n">
        <v>22007</v>
      </c>
      <c r="H3609" s="34" t="n">
        <v>115829</v>
      </c>
      <c r="I3609" t="inlineStr">
        <is>
          <t>3.1</t>
        </is>
      </c>
      <c r="J3609" t="inlineStr">
        <is>
          <t>Ventas HoReCa</t>
        </is>
      </c>
      <c r="K3609" t="inlineStr">
        <is>
          <t>CH1</t>
        </is>
      </c>
    </row>
    <row r="3610">
      <c r="A3610" s="33" t="n">
        <v>45964</v>
      </c>
      <c r="B3610" t="inlineStr">
        <is>
          <t>2025-11</t>
        </is>
      </c>
      <c r="C3610" t="inlineStr">
        <is>
          <t>Sin cliente</t>
        </is>
      </c>
      <c r="D3610" t="inlineStr">
        <is>
          <t>Delicatessen</t>
        </is>
      </c>
      <c r="E3610" s="34" t="n">
        <v>1600</v>
      </c>
      <c r="F3610" t="inlineStr">
        <is>
          <t>B</t>
        </is>
      </c>
      <c r="G3610" s="34" t="n">
        <v>255</v>
      </c>
      <c r="H3610" s="34" t="n">
        <v>1345</v>
      </c>
      <c r="I3610" t="inlineStr">
        <is>
          <t>3.2</t>
        </is>
      </c>
      <c r="J3610" t="inlineStr">
        <is>
          <t>Ventas Personas (B2C)</t>
        </is>
      </c>
      <c r="K3610" t="inlineStr">
        <is>
          <t>CH2</t>
        </is>
      </c>
    </row>
    <row r="3611">
      <c r="A3611" s="33" t="n">
        <v>45964</v>
      </c>
      <c r="B3611" t="inlineStr">
        <is>
          <t>2025-11</t>
        </is>
      </c>
      <c r="C3611" t="inlineStr">
        <is>
          <t>Sheila Lefever</t>
        </is>
      </c>
      <c r="D3611" t="inlineStr">
        <is>
          <t>Rellenos</t>
        </is>
      </c>
      <c r="E3611" s="34" t="n">
        <v>18800</v>
      </c>
      <c r="F3611" t="inlineStr">
        <is>
          <t>B</t>
        </is>
      </c>
      <c r="G3611" s="34" t="n">
        <v>3002</v>
      </c>
      <c r="H3611" s="34" t="n">
        <v>15798</v>
      </c>
      <c r="I3611" t="inlineStr">
        <is>
          <t>3.2</t>
        </is>
      </c>
      <c r="J3611" t="inlineStr">
        <is>
          <t>Ventas Personas (B2C)</t>
        </is>
      </c>
      <c r="K3611" t="inlineStr">
        <is>
          <t>CH2</t>
        </is>
      </c>
    </row>
    <row r="3612">
      <c r="A3612" s="33" t="n">
        <v>45964</v>
      </c>
      <c r="B3612" t="inlineStr">
        <is>
          <t>2025-11</t>
        </is>
      </c>
      <c r="C3612" t="inlineStr">
        <is>
          <t>Montserrat  Espinoza Flores</t>
        </is>
      </c>
      <c r="D3612" t="inlineStr">
        <is>
          <t>CANELÉ TRADICIONAL</t>
        </is>
      </c>
      <c r="E3612" s="34" t="n">
        <v>44900</v>
      </c>
      <c r="F3612" t="inlineStr">
        <is>
          <t>B</t>
        </is>
      </c>
      <c r="G3612" s="34" t="n">
        <v>7169</v>
      </c>
      <c r="H3612" s="34" t="n">
        <v>37731</v>
      </c>
      <c r="I3612" t="inlineStr">
        <is>
          <t>3.2</t>
        </is>
      </c>
      <c r="J3612" t="inlineStr">
        <is>
          <t>Ventas Personas (B2C)</t>
        </is>
      </c>
      <c r="K3612" t="inlineStr">
        <is>
          <t>CH2</t>
        </is>
      </c>
    </row>
    <row r="3613">
      <c r="A3613" s="33" t="n">
        <v>45964</v>
      </c>
      <c r="B3613" t="inlineStr">
        <is>
          <t>2025-11</t>
        </is>
      </c>
      <c r="C3613" t="inlineStr">
        <is>
          <t>Sin cliente</t>
        </is>
      </c>
      <c r="D3613" t="inlineStr">
        <is>
          <t>Petit Crunchy</t>
        </is>
      </c>
      <c r="E3613" s="34" t="n">
        <v>11120</v>
      </c>
      <c r="F3613" t="inlineStr">
        <is>
          <t>B</t>
        </is>
      </c>
      <c r="G3613" s="34" t="n">
        <v>1775</v>
      </c>
      <c r="H3613" s="34" t="n">
        <v>9345</v>
      </c>
      <c r="I3613" t="inlineStr">
        <is>
          <t>3.2</t>
        </is>
      </c>
      <c r="J3613" t="inlineStr">
        <is>
          <t>Ventas Personas (B2C)</t>
        </is>
      </c>
      <c r="K3613" t="inlineStr">
        <is>
          <t>CH2</t>
        </is>
      </c>
    </row>
    <row r="3614">
      <c r="A3614" s="33" t="n">
        <v>45964</v>
      </c>
      <c r="B3614" t="inlineStr">
        <is>
          <t>2025-11</t>
        </is>
      </c>
      <c r="C3614" t="inlineStr">
        <is>
          <t>Daniela Zuñiga Arroyo</t>
        </is>
      </c>
      <c r="D3614" t="inlineStr">
        <is>
          <t>SALSAS</t>
        </is>
      </c>
      <c r="E3614" s="34" t="n">
        <v>42099</v>
      </c>
      <c r="F3614" t="inlineStr">
        <is>
          <t>B</t>
        </is>
      </c>
      <c r="G3614" s="34" t="n">
        <v>6722</v>
      </c>
      <c r="H3614" s="34" t="n">
        <v>35377</v>
      </c>
      <c r="I3614" t="inlineStr">
        <is>
          <t>3.2</t>
        </is>
      </c>
      <c r="J3614" t="inlineStr">
        <is>
          <t>Ventas Personas (B2C)</t>
        </is>
      </c>
      <c r="K3614" t="inlineStr">
        <is>
          <t>CH2</t>
        </is>
      </c>
    </row>
    <row r="3615">
      <c r="A3615" s="33" t="n">
        <v>45964</v>
      </c>
      <c r="B3615" t="inlineStr">
        <is>
          <t>2025-11</t>
        </is>
      </c>
      <c r="C3615" t="inlineStr">
        <is>
          <t>Isidora Quiroz Lancellotti</t>
        </is>
      </c>
      <c r="D3615" t="inlineStr">
        <is>
          <t>CANELE SIN AZUCAR</t>
        </is>
      </c>
      <c r="E3615" s="34" t="n">
        <v>19919</v>
      </c>
      <c r="F3615" t="inlineStr">
        <is>
          <t>B</t>
        </is>
      </c>
      <c r="G3615" s="34" t="n">
        <v>3180</v>
      </c>
      <c r="H3615" s="34" t="n">
        <v>16739</v>
      </c>
      <c r="I3615" t="inlineStr">
        <is>
          <t>3.2</t>
        </is>
      </c>
      <c r="J3615" t="inlineStr">
        <is>
          <t>Ventas Personas (B2C)</t>
        </is>
      </c>
      <c r="K3615" t="inlineStr">
        <is>
          <t>CH2</t>
        </is>
      </c>
    </row>
    <row r="3616">
      <c r="A3616" s="33" t="n">
        <v>45964</v>
      </c>
      <c r="B3616" t="inlineStr">
        <is>
          <t>2025-11</t>
        </is>
      </c>
      <c r="C3616" t="inlineStr">
        <is>
          <t>Inversiones Fofoca SpA</t>
        </is>
      </c>
      <c r="D3616" t="inlineStr">
        <is>
          <t>HORECA CAFETERIA</t>
        </is>
      </c>
      <c r="E3616" s="34" t="n">
        <v>37084</v>
      </c>
      <c r="F3616" t="inlineStr">
        <is>
          <t>F</t>
        </is>
      </c>
      <c r="G3616" s="34" t="n">
        <v>5921</v>
      </c>
      <c r="H3616" s="34" t="n">
        <v>31163</v>
      </c>
      <c r="I3616" t="inlineStr">
        <is>
          <t>3.1</t>
        </is>
      </c>
      <c r="J3616" t="inlineStr">
        <is>
          <t>Ventas HoReCa</t>
        </is>
      </c>
      <c r="K3616" t="inlineStr">
        <is>
          <t>CH1</t>
        </is>
      </c>
    </row>
    <row r="3617">
      <c r="A3617" s="33" t="n">
        <v>45964</v>
      </c>
      <c r="B3617" t="inlineStr">
        <is>
          <t>2025-11</t>
        </is>
      </c>
      <c r="C3617" t="inlineStr">
        <is>
          <t>NATALIA JOHANNA SALGADO COFRE</t>
        </is>
      </c>
      <c r="D3617" t="inlineStr">
        <is>
          <t>HORECA CAFETERIA</t>
        </is>
      </c>
      <c r="E3617" s="34" t="n">
        <v>370315</v>
      </c>
      <c r="F3617" t="inlineStr">
        <is>
          <t>F</t>
        </is>
      </c>
      <c r="G3617" s="34" t="n">
        <v>59126</v>
      </c>
      <c r="H3617" s="34" t="n">
        <v>311189</v>
      </c>
      <c r="I3617" t="inlineStr">
        <is>
          <t>3.1</t>
        </is>
      </c>
      <c r="J3617" t="inlineStr">
        <is>
          <t>Ventas HoReCa</t>
        </is>
      </c>
      <c r="K3617" t="inlineStr">
        <is>
          <t>CH1</t>
        </is>
      </c>
    </row>
    <row r="3618">
      <c r="A3618" s="33" t="n">
        <v>45965</v>
      </c>
      <c r="B3618" t="inlineStr">
        <is>
          <t>2025-11</t>
        </is>
      </c>
      <c r="C3618" t="inlineStr">
        <is>
          <t>GALO SPA</t>
        </is>
      </c>
      <c r="D3618" t="inlineStr">
        <is>
          <t>HORECA CAFETERIA</t>
        </is>
      </c>
      <c r="E3618" s="34" t="n">
        <v>141506</v>
      </c>
      <c r="F3618" t="inlineStr">
        <is>
          <t>F</t>
        </is>
      </c>
      <c r="G3618" s="34" t="n">
        <v>22593</v>
      </c>
      <c r="H3618" s="34" t="n">
        <v>118913</v>
      </c>
      <c r="I3618" t="inlineStr">
        <is>
          <t>3.1</t>
        </is>
      </c>
      <c r="J3618" t="inlineStr">
        <is>
          <t>Ventas HoReCa</t>
        </is>
      </c>
      <c r="K3618" t="inlineStr">
        <is>
          <t>CH1</t>
        </is>
      </c>
    </row>
    <row r="3619">
      <c r="A3619" s="33" t="n">
        <v>45965</v>
      </c>
      <c r="B3619" t="inlineStr">
        <is>
          <t>2025-11</t>
        </is>
      </c>
      <c r="C3619" t="inlineStr">
        <is>
          <t>INVERSIONES Y COMERCIALIZADORA FED LIMITADA</t>
        </is>
      </c>
      <c r="D3619" t="inlineStr">
        <is>
          <t>HORECA CAFETERIA</t>
        </is>
      </c>
      <c r="E3619" s="34" t="n">
        <v>198459</v>
      </c>
      <c r="F3619" t="inlineStr">
        <is>
          <t>F</t>
        </is>
      </c>
      <c r="G3619" s="34" t="n">
        <v>31687</v>
      </c>
      <c r="H3619" s="34" t="n">
        <v>166772</v>
      </c>
      <c r="I3619" t="inlineStr">
        <is>
          <t>3.1</t>
        </is>
      </c>
      <c r="J3619" t="inlineStr">
        <is>
          <t>Ventas HoReCa</t>
        </is>
      </c>
      <c r="K3619" t="inlineStr">
        <is>
          <t>CH1</t>
        </is>
      </c>
    </row>
    <row r="3620">
      <c r="A3620" s="33" t="n">
        <v>45965</v>
      </c>
      <c r="B3620" t="inlineStr">
        <is>
          <t>2025-11</t>
        </is>
      </c>
      <c r="C3620" t="inlineStr">
        <is>
          <t>INVERSIONES Y COMERCIALIZADORA FED LIMITADA</t>
        </is>
      </c>
      <c r="D3620" t="inlineStr">
        <is>
          <t>HORECA CAFETERIA</t>
        </is>
      </c>
      <c r="E3620" s="34" t="n">
        <v>-198459</v>
      </c>
      <c r="F3620" t="inlineStr">
        <is>
          <t>NC</t>
        </is>
      </c>
      <c r="G3620" s="34" t="n">
        <v>-31687</v>
      </c>
      <c r="H3620" s="34" t="n">
        <v>-166772</v>
      </c>
      <c r="I3620" t="inlineStr">
        <is>
          <t>3.1</t>
        </is>
      </c>
      <c r="J3620" t="inlineStr">
        <is>
          <t>Ventas HoReCa</t>
        </is>
      </c>
      <c r="K3620" t="inlineStr">
        <is>
          <t>CH1</t>
        </is>
      </c>
    </row>
    <row r="3621">
      <c r="A3621" s="33" t="n">
        <v>45965</v>
      </c>
      <c r="B3621" t="inlineStr">
        <is>
          <t>2025-11</t>
        </is>
      </c>
      <c r="C3621" t="inlineStr">
        <is>
          <t>INVERSIONES Y COMERCIALIZADORA FED LIMITADA</t>
        </is>
      </c>
      <c r="D3621" t="inlineStr">
        <is>
          <t>HORECA CAFETERIA</t>
        </is>
      </c>
      <c r="E3621" s="34" t="n">
        <v>59550</v>
      </c>
      <c r="F3621" t="inlineStr">
        <is>
          <t>F</t>
        </is>
      </c>
      <c r="G3621" s="34" t="n">
        <v>9508</v>
      </c>
      <c r="H3621" s="34" t="n">
        <v>50042</v>
      </c>
      <c r="I3621" t="inlineStr">
        <is>
          <t>3.1</t>
        </is>
      </c>
      <c r="J3621" t="inlineStr">
        <is>
          <t>Ventas HoReCa</t>
        </is>
      </c>
      <c r="K3621" t="inlineStr">
        <is>
          <t>CH1</t>
        </is>
      </c>
    </row>
    <row r="3622">
      <c r="A3622" s="33" t="n">
        <v>45965</v>
      </c>
      <c r="B3622" t="inlineStr">
        <is>
          <t>2025-11</t>
        </is>
      </c>
      <c r="C3622" t="inlineStr">
        <is>
          <t>CAFE HAITI AHUMADA LTDA</t>
        </is>
      </c>
      <c r="D3622" t="inlineStr">
        <is>
          <t>BROCHURE CAFETERIAS</t>
        </is>
      </c>
      <c r="E3622" s="34" t="n">
        <v>451320</v>
      </c>
      <c r="F3622" t="inlineStr">
        <is>
          <t>F</t>
        </is>
      </c>
      <c r="G3622" s="34" t="n">
        <v>72059</v>
      </c>
      <c r="H3622" s="34" t="n">
        <v>379261</v>
      </c>
      <c r="I3622" t="inlineStr">
        <is>
          <t>3.1</t>
        </is>
      </c>
      <c r="J3622" t="inlineStr">
        <is>
          <t>Ventas HoReCa</t>
        </is>
      </c>
      <c r="K3622" t="inlineStr">
        <is>
          <t>CH1</t>
        </is>
      </c>
    </row>
    <row r="3623">
      <c r="A3623" s="33" t="n">
        <v>45965</v>
      </c>
      <c r="B3623" t="inlineStr">
        <is>
          <t>2025-11</t>
        </is>
      </c>
      <c r="C3623" t="inlineStr">
        <is>
          <t>Rocío Serrano</t>
        </is>
      </c>
      <c r="D3623" t="inlineStr">
        <is>
          <t>Petit Crunchy</t>
        </is>
      </c>
      <c r="E3623" s="34" t="n">
        <v>44309</v>
      </c>
      <c r="F3623" t="inlineStr">
        <is>
          <t>B</t>
        </is>
      </c>
      <c r="G3623" s="34" t="n">
        <v>7075</v>
      </c>
      <c r="H3623" s="34" t="n">
        <v>37234</v>
      </c>
      <c r="I3623" t="inlineStr">
        <is>
          <t>3.2</t>
        </is>
      </c>
      <c r="J3623" t="inlineStr">
        <is>
          <t>Ventas Personas (B2C)</t>
        </is>
      </c>
      <c r="K3623" t="inlineStr">
        <is>
          <t>CH2</t>
        </is>
      </c>
    </row>
    <row r="3624">
      <c r="A3624" s="33" t="n">
        <v>45965</v>
      </c>
      <c r="B3624" t="inlineStr">
        <is>
          <t>2025-11</t>
        </is>
      </c>
      <c r="C3624" t="inlineStr">
        <is>
          <t>Sin cliente</t>
        </is>
      </c>
      <c r="D3624" t="inlineStr">
        <is>
          <t>PLATAFORMAS RAP-PEYA-UBER-GOOD</t>
        </is>
      </c>
      <c r="E3624" s="34" t="n">
        <v>13200</v>
      </c>
      <c r="F3624" t="inlineStr">
        <is>
          <t>B</t>
        </is>
      </c>
      <c r="G3624" s="34" t="n">
        <v>2108</v>
      </c>
      <c r="H3624" s="34" t="n">
        <v>11092</v>
      </c>
      <c r="I3624" t="inlineStr">
        <is>
          <t>3.6</t>
        </is>
      </c>
      <c r="J3624" t="inlineStr">
        <is>
          <t>Ventas Delivery Apps</t>
        </is>
      </c>
      <c r="K3624" t="inlineStr">
        <is>
          <t>CH3</t>
        </is>
      </c>
    </row>
    <row r="3625">
      <c r="A3625" s="33" t="n">
        <v>45965</v>
      </c>
      <c r="B3625" t="inlineStr">
        <is>
          <t>2025-11</t>
        </is>
      </c>
      <c r="C3625" t="inlineStr">
        <is>
          <t>KIRA HEPP</t>
        </is>
      </c>
      <c r="D3625" t="inlineStr">
        <is>
          <t>Petit Tradicional</t>
        </is>
      </c>
      <c r="E3625" s="34" t="n">
        <v>18810</v>
      </c>
      <c r="F3625" t="inlineStr">
        <is>
          <t>B</t>
        </is>
      </c>
      <c r="G3625" s="34" t="n">
        <v>3003</v>
      </c>
      <c r="H3625" s="34" t="n">
        <v>15807</v>
      </c>
      <c r="I3625" t="inlineStr">
        <is>
          <t>3.2</t>
        </is>
      </c>
      <c r="J3625" t="inlineStr">
        <is>
          <t>Ventas Personas (B2C)</t>
        </is>
      </c>
      <c r="K3625" t="inlineStr">
        <is>
          <t>CH2</t>
        </is>
      </c>
    </row>
    <row r="3626">
      <c r="A3626" s="33" t="n">
        <v>45966</v>
      </c>
      <c r="B3626" t="inlineStr">
        <is>
          <t>2025-11</t>
        </is>
      </c>
      <c r="C3626" t="inlineStr">
        <is>
          <t>TAVELLI S.A.</t>
        </is>
      </c>
      <c r="D3626" t="inlineStr">
        <is>
          <t>HORECA CAFETERIA</t>
        </is>
      </c>
      <c r="E3626" s="34" t="n">
        <v>818405</v>
      </c>
      <c r="F3626" t="inlineStr">
        <is>
          <t>F</t>
        </is>
      </c>
      <c r="G3626" s="34" t="n">
        <v>130670</v>
      </c>
      <c r="H3626" s="34" t="n">
        <v>687735</v>
      </c>
      <c r="I3626" t="inlineStr">
        <is>
          <t>3.1</t>
        </is>
      </c>
      <c r="J3626" t="inlineStr">
        <is>
          <t>Ventas HoReCa</t>
        </is>
      </c>
      <c r="K3626" t="inlineStr">
        <is>
          <t>CH1</t>
        </is>
      </c>
    </row>
    <row r="3627">
      <c r="A3627" s="33" t="n">
        <v>45966</v>
      </c>
      <c r="B3627" t="inlineStr">
        <is>
          <t>2025-11</t>
        </is>
      </c>
      <c r="C3627" t="inlineStr">
        <is>
          <t>TAVELLI S.A.</t>
        </is>
      </c>
      <c r="D3627" t="inlineStr">
        <is>
          <t>REGION METROPOLITANA</t>
        </is>
      </c>
      <c r="E3627" s="34" t="n">
        <v>35700</v>
      </c>
      <c r="F3627" t="inlineStr">
        <is>
          <t>F</t>
        </is>
      </c>
      <c r="G3627" s="34" t="n">
        <v>5700</v>
      </c>
      <c r="H3627" s="34" t="n">
        <v>30000</v>
      </c>
      <c r="I3627" t="inlineStr">
        <is>
          <t>3.1</t>
        </is>
      </c>
      <c r="J3627" t="inlineStr">
        <is>
          <t>Ventas HoReCa</t>
        </is>
      </c>
      <c r="K3627" t="inlineStr">
        <is>
          <t>CH1</t>
        </is>
      </c>
    </row>
    <row r="3628">
      <c r="A3628" s="33" t="n">
        <v>45966</v>
      </c>
      <c r="B3628" t="inlineStr">
        <is>
          <t>2025-11</t>
        </is>
      </c>
      <c r="C3628" t="inlineStr">
        <is>
          <t>Better Food Spa</t>
        </is>
      </c>
      <c r="D3628" t="inlineStr">
        <is>
          <t>HORECA CAFETERIA</t>
        </is>
      </c>
      <c r="E3628" s="34" t="n">
        <v>256754</v>
      </c>
      <c r="F3628" t="inlineStr">
        <is>
          <t>F</t>
        </is>
      </c>
      <c r="G3628" s="34" t="n">
        <v>40994</v>
      </c>
      <c r="H3628" s="34" t="n">
        <v>215760</v>
      </c>
      <c r="I3628" t="inlineStr">
        <is>
          <t>3.1</t>
        </is>
      </c>
      <c r="J3628" t="inlineStr">
        <is>
          <t>Ventas HoReCa</t>
        </is>
      </c>
      <c r="K3628" t="inlineStr">
        <is>
          <t>CH1</t>
        </is>
      </c>
    </row>
    <row r="3629">
      <c r="A3629" s="33" t="n">
        <v>45966</v>
      </c>
      <c r="B3629" t="inlineStr">
        <is>
          <t>2025-11</t>
        </is>
      </c>
      <c r="C3629" t="inlineStr">
        <is>
          <t>D&amp;S SERVICIOS DE ALIMENTACIÓN SpA</t>
        </is>
      </c>
      <c r="D3629" t="inlineStr">
        <is>
          <t xml:space="preserve">THE COFFEE STORE </t>
        </is>
      </c>
      <c r="E3629" s="34" t="n">
        <v>39294</v>
      </c>
      <c r="F3629" t="inlineStr">
        <is>
          <t>F</t>
        </is>
      </c>
      <c r="G3629" s="34" t="n">
        <v>6274</v>
      </c>
      <c r="H3629" s="34" t="n">
        <v>33020</v>
      </c>
      <c r="I3629" t="inlineStr">
        <is>
          <t>3.1</t>
        </is>
      </c>
      <c r="J3629" t="inlineStr">
        <is>
          <t>Ventas HoReCa</t>
        </is>
      </c>
      <c r="K3629" t="inlineStr">
        <is>
          <t>CH1</t>
        </is>
      </c>
    </row>
    <row r="3630">
      <c r="A3630" s="33" t="n">
        <v>45966</v>
      </c>
      <c r="B3630" t="inlineStr">
        <is>
          <t>2025-11</t>
        </is>
      </c>
      <c r="C3630" t="inlineStr">
        <is>
          <t>D&amp;S SERVICIOS DE ALIMENTACIÓN SpA</t>
        </is>
      </c>
      <c r="D3630" t="inlineStr">
        <is>
          <t xml:space="preserve">THE COFFEE STORE </t>
        </is>
      </c>
      <c r="E3630" s="34" t="n">
        <v>-39294</v>
      </c>
      <c r="F3630" t="inlineStr">
        <is>
          <t>NC</t>
        </is>
      </c>
      <c r="G3630" s="34" t="n">
        <v>-6274</v>
      </c>
      <c r="H3630" s="34" t="n">
        <v>-33020</v>
      </c>
      <c r="I3630" t="inlineStr">
        <is>
          <t>3.1</t>
        </is>
      </c>
      <c r="J3630" t="inlineStr">
        <is>
          <t>Ventas HoReCa</t>
        </is>
      </c>
      <c r="K3630" t="inlineStr">
        <is>
          <t>CH1</t>
        </is>
      </c>
    </row>
    <row r="3631">
      <c r="A3631" s="33" t="n">
        <v>45966</v>
      </c>
      <c r="B3631" t="inlineStr">
        <is>
          <t>2025-11</t>
        </is>
      </c>
      <c r="C3631" t="inlineStr">
        <is>
          <t>Inversiones Café Dominicos SpA</t>
        </is>
      </c>
      <c r="D3631" t="inlineStr">
        <is>
          <t xml:space="preserve">THE COFFEE STORE </t>
        </is>
      </c>
      <c r="E3631" s="34" t="n">
        <v>39294</v>
      </c>
      <c r="F3631" t="inlineStr">
        <is>
          <t>F</t>
        </is>
      </c>
      <c r="G3631" s="34" t="n">
        <v>6274</v>
      </c>
      <c r="H3631" s="34" t="n">
        <v>33020</v>
      </c>
      <c r="I3631" t="inlineStr">
        <is>
          <t>3.1</t>
        </is>
      </c>
      <c r="J3631" t="inlineStr">
        <is>
          <t>Ventas HoReCa</t>
        </is>
      </c>
      <c r="K3631" t="inlineStr">
        <is>
          <t>CH1</t>
        </is>
      </c>
    </row>
    <row r="3632">
      <c r="A3632" s="33" t="n">
        <v>45966</v>
      </c>
      <c r="B3632" t="inlineStr">
        <is>
          <t>2025-11</t>
        </is>
      </c>
      <c r="C3632" t="inlineStr">
        <is>
          <t>Eduardo Jose Spencer Eckart Spa</t>
        </is>
      </c>
      <c r="D3632" t="inlineStr">
        <is>
          <t>HORECA CAFETERIA</t>
        </is>
      </c>
      <c r="E3632" s="34" t="n">
        <v>68179</v>
      </c>
      <c r="F3632" t="inlineStr">
        <is>
          <t>F</t>
        </is>
      </c>
      <c r="G3632" s="34" t="n">
        <v>10886</v>
      </c>
      <c r="H3632" s="34" t="n">
        <v>57293</v>
      </c>
      <c r="I3632" t="inlineStr">
        <is>
          <t>3.1</t>
        </is>
      </c>
      <c r="J3632" t="inlineStr">
        <is>
          <t>Ventas HoReCa</t>
        </is>
      </c>
      <c r="K3632" t="inlineStr">
        <is>
          <t>CH1</t>
        </is>
      </c>
    </row>
    <row r="3633">
      <c r="A3633" s="33" t="n">
        <v>45966</v>
      </c>
      <c r="B3633" t="inlineStr">
        <is>
          <t>2025-11</t>
        </is>
      </c>
      <c r="C3633" t="inlineStr">
        <is>
          <t>JOSE ANTONIO OSORIO DEL OLMO</t>
        </is>
      </c>
      <c r="D3633" t="inlineStr">
        <is>
          <t>CANELÉ TRADICIONAL</t>
        </is>
      </c>
      <c r="E3633" s="34" t="n">
        <v>24889</v>
      </c>
      <c r="F3633" t="inlineStr">
        <is>
          <t>B</t>
        </is>
      </c>
      <c r="G3633" s="34" t="n">
        <v>3974</v>
      </c>
      <c r="H3633" s="34" t="n">
        <v>20915</v>
      </c>
      <c r="I3633" t="inlineStr">
        <is>
          <t>3.2</t>
        </is>
      </c>
      <c r="J3633" t="inlineStr">
        <is>
          <t>Ventas Personas (B2C)</t>
        </is>
      </c>
      <c r="K3633" t="inlineStr">
        <is>
          <t>CH2</t>
        </is>
      </c>
    </row>
    <row r="3634">
      <c r="A3634" s="33" t="n">
        <v>45966</v>
      </c>
      <c r="B3634" t="inlineStr">
        <is>
          <t>2025-11</t>
        </is>
      </c>
      <c r="C3634" t="inlineStr">
        <is>
          <t>angelina romeo cáceres</t>
        </is>
      </c>
      <c r="D3634" t="inlineStr">
        <is>
          <t>Petit Tradicional</t>
        </is>
      </c>
      <c r="E3634" s="34" t="n">
        <v>60396</v>
      </c>
      <c r="F3634" t="inlineStr">
        <is>
          <t>B</t>
        </is>
      </c>
      <c r="G3634" s="34" t="n">
        <v>9643</v>
      </c>
      <c r="H3634" s="34" t="n">
        <v>50753</v>
      </c>
      <c r="I3634" t="inlineStr">
        <is>
          <t>3.2</t>
        </is>
      </c>
      <c r="J3634" t="inlineStr">
        <is>
          <t>Ventas Personas (B2C)</t>
        </is>
      </c>
      <c r="K3634" t="inlineStr">
        <is>
          <t>CH2</t>
        </is>
      </c>
    </row>
    <row r="3635">
      <c r="A3635" s="33" t="n">
        <v>45966</v>
      </c>
      <c r="B3635" t="inlineStr">
        <is>
          <t>2025-11</t>
        </is>
      </c>
      <c r="C3635" t="inlineStr">
        <is>
          <t>Paula Gómez Hertz</t>
        </is>
      </c>
      <c r="D3635" t="inlineStr">
        <is>
          <t>PACKS GOURMET</t>
        </is>
      </c>
      <c r="E3635" s="34" t="n">
        <v>39975</v>
      </c>
      <c r="F3635" t="inlineStr">
        <is>
          <t>B</t>
        </is>
      </c>
      <c r="G3635" s="34" t="n">
        <v>6383</v>
      </c>
      <c r="H3635" s="34" t="n">
        <v>33592</v>
      </c>
      <c r="I3635" t="inlineStr">
        <is>
          <t>3.2</t>
        </is>
      </c>
      <c r="J3635" t="inlineStr">
        <is>
          <t>Ventas Personas (B2C)</t>
        </is>
      </c>
      <c r="K3635" t="inlineStr">
        <is>
          <t>CH2</t>
        </is>
      </c>
    </row>
    <row r="3636">
      <c r="A3636" s="33" t="n">
        <v>45966</v>
      </c>
      <c r="B3636" t="inlineStr">
        <is>
          <t>2025-11</t>
        </is>
      </c>
      <c r="C3636" t="inlineStr">
        <is>
          <t>Producciones la Martina Limitada</t>
        </is>
      </c>
      <c r="D3636" t="inlineStr">
        <is>
          <t>HORECA CAFETERIA</t>
        </is>
      </c>
      <c r="E3636" s="34" t="n">
        <v>32487</v>
      </c>
      <c r="F3636" t="inlineStr">
        <is>
          <t>F</t>
        </is>
      </c>
      <c r="G3636" s="34" t="n">
        <v>5187</v>
      </c>
      <c r="H3636" s="34" t="n">
        <v>27300</v>
      </c>
      <c r="I3636" t="inlineStr">
        <is>
          <t>3.1</t>
        </is>
      </c>
      <c r="J3636" t="inlineStr">
        <is>
          <t>Ventas HoReCa</t>
        </is>
      </c>
      <c r="K3636" t="inlineStr">
        <is>
          <t>CH1</t>
        </is>
      </c>
    </row>
    <row r="3637">
      <c r="A3637" s="33" t="n">
        <v>45966</v>
      </c>
      <c r="B3637" t="inlineStr">
        <is>
          <t>2025-11</t>
        </is>
      </c>
      <c r="C3637" t="inlineStr">
        <is>
          <t>Rossana Reina Oliveros</t>
        </is>
      </c>
      <c r="D3637" t="inlineStr">
        <is>
          <t>SALSAS</t>
        </is>
      </c>
      <c r="E3637" s="34" t="n">
        <v>25686</v>
      </c>
      <c r="F3637" t="inlineStr">
        <is>
          <t>B</t>
        </is>
      </c>
      <c r="G3637" s="34" t="n">
        <v>4101</v>
      </c>
      <c r="H3637" s="34" t="n">
        <v>21585</v>
      </c>
      <c r="I3637" t="inlineStr">
        <is>
          <t>3.2</t>
        </is>
      </c>
      <c r="J3637" t="inlineStr">
        <is>
          <t>Ventas Personas (B2C)</t>
        </is>
      </c>
      <c r="K3637" t="inlineStr">
        <is>
          <t>CH2</t>
        </is>
      </c>
    </row>
    <row r="3638">
      <c r="A3638" s="33" t="n">
        <v>45966</v>
      </c>
      <c r="B3638" t="inlineStr">
        <is>
          <t>2025-11</t>
        </is>
      </c>
      <c r="C3638" t="inlineStr">
        <is>
          <t>Maria Jose Grez</t>
        </is>
      </c>
      <c r="D3638" t="inlineStr">
        <is>
          <t>Delicatessen</t>
        </is>
      </c>
      <c r="E3638" s="34" t="n">
        <v>28310</v>
      </c>
      <c r="F3638" t="inlineStr">
        <is>
          <t>B</t>
        </is>
      </c>
      <c r="G3638" s="34" t="n">
        <v>4520</v>
      </c>
      <c r="H3638" s="34" t="n">
        <v>23790</v>
      </c>
      <c r="I3638" t="inlineStr">
        <is>
          <t>3.2</t>
        </is>
      </c>
      <c r="J3638" t="inlineStr">
        <is>
          <t>Ventas Personas (B2C)</t>
        </is>
      </c>
      <c r="K3638" t="inlineStr">
        <is>
          <t>CH2</t>
        </is>
      </c>
    </row>
    <row r="3639">
      <c r="A3639" s="33" t="n">
        <v>45966</v>
      </c>
      <c r="B3639" t="inlineStr">
        <is>
          <t>2025-11</t>
        </is>
      </c>
      <c r="C3639" t="inlineStr">
        <is>
          <t>Lily Günther</t>
        </is>
      </c>
      <c r="D3639" t="inlineStr">
        <is>
          <t>Rellenos</t>
        </is>
      </c>
      <c r="E3639" s="34" t="n">
        <v>26889</v>
      </c>
      <c r="F3639" t="inlineStr">
        <is>
          <t>B</t>
        </is>
      </c>
      <c r="G3639" s="34" t="n">
        <v>4293</v>
      </c>
      <c r="H3639" s="34" t="n">
        <v>22596</v>
      </c>
      <c r="I3639" t="inlineStr">
        <is>
          <t>3.2</t>
        </is>
      </c>
      <c r="J3639" t="inlineStr">
        <is>
          <t>Ventas Personas (B2C)</t>
        </is>
      </c>
      <c r="K3639" t="inlineStr">
        <is>
          <t>CH2</t>
        </is>
      </c>
    </row>
    <row r="3640">
      <c r="A3640" s="33" t="n">
        <v>45966</v>
      </c>
      <c r="B3640" t="inlineStr">
        <is>
          <t>2025-11</t>
        </is>
      </c>
      <c r="C3640" t="inlineStr">
        <is>
          <t>Sin cliente</t>
        </is>
      </c>
      <c r="D3640" t="inlineStr">
        <is>
          <t>Rellenos</t>
        </is>
      </c>
      <c r="E3640" s="34" t="n">
        <v>23800</v>
      </c>
      <c r="F3640" t="inlineStr">
        <is>
          <t>B</t>
        </is>
      </c>
      <c r="G3640" s="34" t="n">
        <v>3800</v>
      </c>
      <c r="H3640" s="34" t="n">
        <v>20000</v>
      </c>
      <c r="I3640" t="inlineStr">
        <is>
          <t>3.2</t>
        </is>
      </c>
      <c r="J3640" t="inlineStr">
        <is>
          <t>Ventas Personas (B2C)</t>
        </is>
      </c>
      <c r="K3640" t="inlineStr">
        <is>
          <t>CH2</t>
        </is>
      </c>
    </row>
    <row r="3641">
      <c r="A3641" s="33" t="n">
        <v>45966</v>
      </c>
      <c r="B3641" t="inlineStr">
        <is>
          <t>2025-11</t>
        </is>
      </c>
      <c r="C3641" t="inlineStr">
        <is>
          <t>Sin cliente</t>
        </is>
      </c>
      <c r="D3641" t="inlineStr">
        <is>
          <t>CANELÉ TRADICIONAL</t>
        </is>
      </c>
      <c r="E3641" s="34" t="n">
        <v>14900</v>
      </c>
      <c r="F3641" t="inlineStr">
        <is>
          <t>B</t>
        </is>
      </c>
      <c r="G3641" s="34" t="n">
        <v>2379</v>
      </c>
      <c r="H3641" s="34" t="n">
        <v>12521</v>
      </c>
      <c r="I3641" t="inlineStr">
        <is>
          <t>3.2</t>
        </is>
      </c>
      <c r="J3641" t="inlineStr">
        <is>
          <t>Ventas Personas (B2C)</t>
        </is>
      </c>
      <c r="K3641" t="inlineStr">
        <is>
          <t>CH2</t>
        </is>
      </c>
    </row>
    <row r="3642">
      <c r="A3642" s="33" t="n">
        <v>45966</v>
      </c>
      <c r="B3642" t="inlineStr">
        <is>
          <t>2025-11</t>
        </is>
      </c>
      <c r="C3642" t="inlineStr">
        <is>
          <t>Dominique Lama</t>
        </is>
      </c>
      <c r="D3642" t="inlineStr">
        <is>
          <t>Mix Sabores</t>
        </is>
      </c>
      <c r="E3642" s="34" t="n">
        <v>14310</v>
      </c>
      <c r="F3642" t="inlineStr">
        <is>
          <t>B</t>
        </is>
      </c>
      <c r="G3642" s="34" t="n">
        <v>2285</v>
      </c>
      <c r="H3642" s="34" t="n">
        <v>12025</v>
      </c>
      <c r="I3642" t="inlineStr">
        <is>
          <t>3.2</t>
        </is>
      </c>
      <c r="J3642" t="inlineStr">
        <is>
          <t>Ventas Personas (B2C)</t>
        </is>
      </c>
      <c r="K3642" t="inlineStr">
        <is>
          <t>CH2</t>
        </is>
      </c>
    </row>
    <row r="3643">
      <c r="A3643" s="33" t="n">
        <v>45966</v>
      </c>
      <c r="B3643" t="inlineStr">
        <is>
          <t>2025-11</t>
        </is>
      </c>
      <c r="C3643" t="inlineStr">
        <is>
          <t>COMERCIALIZADORA NATUTEA SPA</t>
        </is>
      </c>
      <c r="D3643" t="inlineStr">
        <is>
          <t>HORECA CAFETERIA</t>
        </is>
      </c>
      <c r="E3643" s="34" t="n">
        <v>37084</v>
      </c>
      <c r="F3643" t="inlineStr">
        <is>
          <t>F</t>
        </is>
      </c>
      <c r="G3643" s="34" t="n">
        <v>5921</v>
      </c>
      <c r="H3643" s="34" t="n">
        <v>31163</v>
      </c>
      <c r="I3643" t="inlineStr">
        <is>
          <t>3.1</t>
        </is>
      </c>
      <c r="J3643" t="inlineStr">
        <is>
          <t>Ventas HoReCa</t>
        </is>
      </c>
      <c r="K3643" t="inlineStr">
        <is>
          <t>CH1</t>
        </is>
      </c>
    </row>
    <row r="3644">
      <c r="A3644" s="33" t="n">
        <v>45967</v>
      </c>
      <c r="B3644" t="inlineStr">
        <is>
          <t>2025-11</t>
        </is>
      </c>
      <c r="C3644" t="inlineStr">
        <is>
          <t>VILAS BANQUETERIAS SPA</t>
        </is>
      </c>
      <c r="D3644" t="inlineStr">
        <is>
          <t>HORECA CATERING</t>
        </is>
      </c>
      <c r="E3644" s="34" t="n">
        <v>286734</v>
      </c>
      <c r="F3644" t="inlineStr">
        <is>
          <t>F</t>
        </is>
      </c>
      <c r="G3644" s="34" t="n">
        <v>45781</v>
      </c>
      <c r="H3644" s="34" t="n">
        <v>240953</v>
      </c>
      <c r="I3644" t="inlineStr">
        <is>
          <t>3.1</t>
        </is>
      </c>
      <c r="J3644" t="inlineStr">
        <is>
          <t>Ventas HoReCa</t>
        </is>
      </c>
      <c r="K3644" t="inlineStr">
        <is>
          <t>CH1</t>
        </is>
      </c>
    </row>
    <row r="3645">
      <c r="A3645" s="33" t="n">
        <v>45967</v>
      </c>
      <c r="B3645" t="inlineStr">
        <is>
          <t>2025-11</t>
        </is>
      </c>
      <c r="C3645" t="inlineStr">
        <is>
          <t>BUSTORF LARSEN Y COMPANIA LIMITADA</t>
        </is>
      </c>
      <c r="D3645" t="inlineStr">
        <is>
          <t>HORECA CAFETERIA</t>
        </is>
      </c>
      <c r="E3645" s="34" t="n">
        <v>69178</v>
      </c>
      <c r="F3645" t="inlineStr">
        <is>
          <t>F</t>
        </is>
      </c>
      <c r="G3645" s="34" t="n">
        <v>11045</v>
      </c>
      <c r="H3645" s="34" t="n">
        <v>58133</v>
      </c>
      <c r="I3645" t="inlineStr">
        <is>
          <t>3.1</t>
        </is>
      </c>
      <c r="J3645" t="inlineStr">
        <is>
          <t>Ventas HoReCa</t>
        </is>
      </c>
      <c r="K3645" t="inlineStr">
        <is>
          <t>CH1</t>
        </is>
      </c>
    </row>
    <row r="3646">
      <c r="A3646" s="33" t="n">
        <v>45967</v>
      </c>
      <c r="B3646" t="inlineStr">
        <is>
          <t>2025-11</t>
        </is>
      </c>
      <c r="C3646" t="inlineStr">
        <is>
          <t>BUSTORF LARSEN Y COMPANIA LIMITADA</t>
        </is>
      </c>
      <c r="D3646" t="inlineStr">
        <is>
          <t>HORECA CAFETERIA</t>
        </is>
      </c>
      <c r="E3646" s="34" t="n">
        <v>69178</v>
      </c>
      <c r="F3646" t="inlineStr">
        <is>
          <t>F</t>
        </is>
      </c>
      <c r="G3646" s="34" t="n">
        <v>11045</v>
      </c>
      <c r="H3646" s="34" t="n">
        <v>58133</v>
      </c>
      <c r="I3646" t="inlineStr">
        <is>
          <t>3.1</t>
        </is>
      </c>
      <c r="J3646" t="inlineStr">
        <is>
          <t>Ventas HoReCa</t>
        </is>
      </c>
      <c r="K3646" t="inlineStr">
        <is>
          <t>CH1</t>
        </is>
      </c>
    </row>
    <row r="3647">
      <c r="A3647" s="33" t="n">
        <v>45967</v>
      </c>
      <c r="B3647" t="inlineStr">
        <is>
          <t>2025-11</t>
        </is>
      </c>
      <c r="C3647" t="inlineStr">
        <is>
          <t>BUSTORF LARSEN Y COMPANIA LIMITADA</t>
        </is>
      </c>
      <c r="D3647" t="inlineStr">
        <is>
          <t>HORECA CAFETERIA</t>
        </is>
      </c>
      <c r="E3647" s="34" t="n">
        <v>69178</v>
      </c>
      <c r="F3647" t="inlineStr">
        <is>
          <t>F</t>
        </is>
      </c>
      <c r="G3647" s="34" t="n">
        <v>11045</v>
      </c>
      <c r="H3647" s="34" t="n">
        <v>58133</v>
      </c>
      <c r="I3647" t="inlineStr">
        <is>
          <t>3.1</t>
        </is>
      </c>
      <c r="J3647" t="inlineStr">
        <is>
          <t>Ventas HoReCa</t>
        </is>
      </c>
      <c r="K3647" t="inlineStr">
        <is>
          <t>CH1</t>
        </is>
      </c>
    </row>
    <row r="3648">
      <c r="A3648" s="33" t="n">
        <v>45967</v>
      </c>
      <c r="B3648" t="inlineStr">
        <is>
          <t>2025-11</t>
        </is>
      </c>
      <c r="C3648" t="inlineStr">
        <is>
          <t>Natalia Venegas</t>
        </is>
      </c>
      <c r="D3648" t="inlineStr">
        <is>
          <t>Petit Tradicional</t>
        </is>
      </c>
      <c r="E3648" s="34" t="n">
        <v>32800</v>
      </c>
      <c r="F3648" t="inlineStr">
        <is>
          <t>B</t>
        </is>
      </c>
      <c r="G3648" s="34" t="n">
        <v>5237</v>
      </c>
      <c r="H3648" s="34" t="n">
        <v>27563</v>
      </c>
      <c r="I3648" t="inlineStr">
        <is>
          <t>3.2</t>
        </is>
      </c>
      <c r="J3648" t="inlineStr">
        <is>
          <t>Ventas Personas (B2C)</t>
        </is>
      </c>
      <c r="K3648" t="inlineStr">
        <is>
          <t>CH2</t>
        </is>
      </c>
    </row>
    <row r="3649">
      <c r="A3649" s="33" t="n">
        <v>45967</v>
      </c>
      <c r="B3649" t="inlineStr">
        <is>
          <t>2025-11</t>
        </is>
      </c>
      <c r="C3649" t="inlineStr">
        <is>
          <t>Cristobal Correa Ehlers</t>
        </is>
      </c>
      <c r="D3649" t="inlineStr">
        <is>
          <t>Delicatessen</t>
        </is>
      </c>
      <c r="E3649" s="34" t="n">
        <v>48952</v>
      </c>
      <c r="F3649" t="inlineStr">
        <is>
          <t>B</t>
        </is>
      </c>
      <c r="G3649" s="34" t="n">
        <v>7816</v>
      </c>
      <c r="H3649" s="34" t="n">
        <v>41136</v>
      </c>
      <c r="I3649" t="inlineStr">
        <is>
          <t>3.2</t>
        </is>
      </c>
      <c r="J3649" t="inlineStr">
        <is>
          <t>Ventas Personas (B2C)</t>
        </is>
      </c>
      <c r="K3649" t="inlineStr">
        <is>
          <t>CH2</t>
        </is>
      </c>
    </row>
    <row r="3650">
      <c r="A3650" s="33" t="n">
        <v>45967</v>
      </c>
      <c r="B3650" t="inlineStr">
        <is>
          <t>2025-11</t>
        </is>
      </c>
      <c r="C3650" t="inlineStr">
        <is>
          <t>Paola Urrestarazu</t>
        </is>
      </c>
      <c r="D3650" t="inlineStr">
        <is>
          <t>CANELE SIN AZUCAR</t>
        </is>
      </c>
      <c r="E3650" s="34" t="n">
        <v>29179</v>
      </c>
      <c r="F3650" t="inlineStr">
        <is>
          <t>B</t>
        </is>
      </c>
      <c r="G3650" s="34" t="n">
        <v>4659</v>
      </c>
      <c r="H3650" s="34" t="n">
        <v>24520</v>
      </c>
      <c r="I3650" t="inlineStr">
        <is>
          <t>3.2</t>
        </is>
      </c>
      <c r="J3650" t="inlineStr">
        <is>
          <t>Ventas Personas (B2C)</t>
        </is>
      </c>
      <c r="K3650" t="inlineStr">
        <is>
          <t>CH2</t>
        </is>
      </c>
    </row>
    <row r="3651">
      <c r="A3651" s="33" t="n">
        <v>45967</v>
      </c>
      <c r="B3651" t="inlineStr">
        <is>
          <t>2025-11</t>
        </is>
      </c>
      <c r="C3651" t="inlineStr">
        <is>
          <t>Camila Paniagua</t>
        </is>
      </c>
      <c r="D3651" t="inlineStr">
        <is>
          <t>CANELÉ TRADICIONAL</t>
        </is>
      </c>
      <c r="E3651" s="34" t="n">
        <v>18889</v>
      </c>
      <c r="F3651" t="inlineStr">
        <is>
          <t>B</t>
        </is>
      </c>
      <c r="G3651" s="34" t="n">
        <v>3016</v>
      </c>
      <c r="H3651" s="34" t="n">
        <v>15873</v>
      </c>
      <c r="I3651" t="inlineStr">
        <is>
          <t>3.2</t>
        </is>
      </c>
      <c r="J3651" t="inlineStr">
        <is>
          <t>Ventas Personas (B2C)</t>
        </is>
      </c>
      <c r="K3651" t="inlineStr">
        <is>
          <t>CH2</t>
        </is>
      </c>
    </row>
    <row r="3652">
      <c r="A3652" s="33" t="n">
        <v>45967</v>
      </c>
      <c r="B3652" t="inlineStr">
        <is>
          <t>2025-11</t>
        </is>
      </c>
      <c r="C3652" t="inlineStr">
        <is>
          <t>Sin cliente</t>
        </is>
      </c>
      <c r="D3652" t="inlineStr">
        <is>
          <t>PLATAFORMAS RAP-PEYA-UBER-GOOD</t>
        </is>
      </c>
      <c r="E3652" s="34" t="n">
        <v>15480</v>
      </c>
      <c r="F3652" t="inlineStr">
        <is>
          <t>B</t>
        </is>
      </c>
      <c r="G3652" s="34" t="n">
        <v>2472</v>
      </c>
      <c r="H3652" s="34" t="n">
        <v>13008</v>
      </c>
      <c r="I3652" t="inlineStr">
        <is>
          <t>3.6</t>
        </is>
      </c>
      <c r="J3652" t="inlineStr">
        <is>
          <t>Ventas Delivery Apps</t>
        </is>
      </c>
      <c r="K3652" t="inlineStr">
        <is>
          <t>CH3</t>
        </is>
      </c>
    </row>
    <row r="3653">
      <c r="A3653" s="33" t="n">
        <v>45967</v>
      </c>
      <c r="B3653" t="inlineStr">
        <is>
          <t>2025-11</t>
        </is>
      </c>
      <c r="C3653" t="inlineStr">
        <is>
          <t>Cata Pavat</t>
        </is>
      </c>
      <c r="D3653" t="inlineStr">
        <is>
          <t>CANELÉ TRADICIONAL</t>
        </is>
      </c>
      <c r="E3653" s="34" t="n">
        <v>29200</v>
      </c>
      <c r="F3653" t="inlineStr">
        <is>
          <t>B</t>
        </is>
      </c>
      <c r="G3653" s="34" t="n">
        <v>4662</v>
      </c>
      <c r="H3653" s="34" t="n">
        <v>24538</v>
      </c>
      <c r="I3653" t="inlineStr">
        <is>
          <t>3.2</t>
        </is>
      </c>
      <c r="J3653" t="inlineStr">
        <is>
          <t>Ventas Personas (B2C)</t>
        </is>
      </c>
      <c r="K3653" t="inlineStr">
        <is>
          <t>CH2</t>
        </is>
      </c>
    </row>
    <row r="3654">
      <c r="A3654" s="33" t="n">
        <v>45967</v>
      </c>
      <c r="B3654" t="inlineStr">
        <is>
          <t>2025-11</t>
        </is>
      </c>
      <c r="C3654" t="inlineStr">
        <is>
          <t>Sin cliente</t>
        </is>
      </c>
      <c r="D3654" t="inlineStr">
        <is>
          <t>PLATAFORMAS RAP-PEYA-UBER-GOOD</t>
        </is>
      </c>
      <c r="E3654" s="34" t="n">
        <v>30480</v>
      </c>
      <c r="F3654" t="inlineStr">
        <is>
          <t>B</t>
        </is>
      </c>
      <c r="G3654" s="34" t="n">
        <v>4867</v>
      </c>
      <c r="H3654" s="34" t="n">
        <v>25613</v>
      </c>
      <c r="I3654" t="inlineStr">
        <is>
          <t>3.6</t>
        </is>
      </c>
      <c r="J3654" t="inlineStr">
        <is>
          <t>Ventas Delivery Apps</t>
        </is>
      </c>
      <c r="K3654" t="inlineStr">
        <is>
          <t>CH3</t>
        </is>
      </c>
    </row>
    <row r="3655">
      <c r="A3655" s="33" t="n">
        <v>45967</v>
      </c>
      <c r="B3655" t="inlineStr">
        <is>
          <t>2025-11</t>
        </is>
      </c>
      <c r="C3655" t="inlineStr">
        <is>
          <t>Maria Jose Grez</t>
        </is>
      </c>
      <c r="D3655" t="inlineStr">
        <is>
          <t>Rellenos</t>
        </is>
      </c>
      <c r="E3655" s="34" t="n">
        <v>5525</v>
      </c>
      <c r="F3655" t="inlineStr">
        <is>
          <t>B</t>
        </is>
      </c>
      <c r="G3655" s="34" t="n">
        <v>882</v>
      </c>
      <c r="H3655" s="34" t="n">
        <v>4643</v>
      </c>
      <c r="I3655" t="inlineStr">
        <is>
          <t>3.2</t>
        </is>
      </c>
      <c r="J3655" t="inlineStr">
        <is>
          <t>Ventas Personas (B2C)</t>
        </is>
      </c>
      <c r="K3655" t="inlineStr">
        <is>
          <t>CH2</t>
        </is>
      </c>
    </row>
    <row r="3656">
      <c r="A3656" s="33" t="n">
        <v>45968</v>
      </c>
      <c r="B3656" t="inlineStr">
        <is>
          <t>2025-11</t>
        </is>
      </c>
      <c r="C3656" t="inlineStr">
        <is>
          <t>BUSTORF LARSEN Y COMPANIA LIMITADA</t>
        </is>
      </c>
      <c r="D3656" t="inlineStr">
        <is>
          <t>HORECA CAFETERIA</t>
        </is>
      </c>
      <c r="E3656" s="34" t="n">
        <v>68179</v>
      </c>
      <c r="F3656" t="inlineStr">
        <is>
          <t>F</t>
        </is>
      </c>
      <c r="G3656" s="34" t="n">
        <v>10886</v>
      </c>
      <c r="H3656" s="34" t="n">
        <v>57293</v>
      </c>
      <c r="I3656" t="inlineStr">
        <is>
          <t>3.1</t>
        </is>
      </c>
      <c r="J3656" t="inlineStr">
        <is>
          <t>Ventas HoReCa</t>
        </is>
      </c>
      <c r="K3656" t="inlineStr">
        <is>
          <t>CH1</t>
        </is>
      </c>
    </row>
    <row r="3657">
      <c r="A3657" s="33" t="n">
        <v>45968</v>
      </c>
      <c r="B3657" t="inlineStr">
        <is>
          <t>2025-11</t>
        </is>
      </c>
      <c r="C3657" t="inlineStr">
        <is>
          <t>Sociedad de inversiones solari y acuña spa</t>
        </is>
      </c>
      <c r="D3657" t="inlineStr">
        <is>
          <t>HORECA CAFETERIA</t>
        </is>
      </c>
      <c r="E3657" s="34" t="n">
        <v>68179</v>
      </c>
      <c r="F3657" t="inlineStr">
        <is>
          <t>F</t>
        </is>
      </c>
      <c r="G3657" s="34" t="n">
        <v>10886</v>
      </c>
      <c r="H3657" s="34" t="n">
        <v>57293</v>
      </c>
      <c r="I3657" t="inlineStr">
        <is>
          <t>3.1</t>
        </is>
      </c>
      <c r="J3657" t="inlineStr">
        <is>
          <t>Ventas HoReCa</t>
        </is>
      </c>
      <c r="K3657" t="inlineStr">
        <is>
          <t>CH1</t>
        </is>
      </c>
    </row>
    <row r="3658">
      <c r="A3658" s="33" t="n">
        <v>45968</v>
      </c>
      <c r="B3658" t="inlineStr">
        <is>
          <t>2025-11</t>
        </is>
      </c>
      <c r="C3658" t="inlineStr">
        <is>
          <t>GALO SPA</t>
        </is>
      </c>
      <c r="D3658" t="inlineStr">
        <is>
          <t>HORECA CAFETERIA</t>
        </is>
      </c>
      <c r="E3658" s="34" t="n">
        <v>235144</v>
      </c>
      <c r="F3658" t="inlineStr">
        <is>
          <t>F</t>
        </is>
      </c>
      <c r="G3658" s="34" t="n">
        <v>37544</v>
      </c>
      <c r="H3658" s="34" t="n">
        <v>197600</v>
      </c>
      <c r="I3658" t="inlineStr">
        <is>
          <t>3.1</t>
        </is>
      </c>
      <c r="J3658" t="inlineStr">
        <is>
          <t>Ventas HoReCa</t>
        </is>
      </c>
      <c r="K3658" t="inlineStr">
        <is>
          <t>CH1</t>
        </is>
      </c>
    </row>
    <row r="3659">
      <c r="A3659" s="33" t="n">
        <v>45968</v>
      </c>
      <c r="B3659" t="inlineStr">
        <is>
          <t>2025-11</t>
        </is>
      </c>
      <c r="C3659" t="inlineStr">
        <is>
          <t>Importadora y comercializadora Origenes SPA</t>
        </is>
      </c>
      <c r="D3659" t="inlineStr">
        <is>
          <t>HORECA CAFETERIA</t>
        </is>
      </c>
      <c r="E3659" s="34" t="n">
        <v>68179</v>
      </c>
      <c r="F3659" t="inlineStr">
        <is>
          <t>F</t>
        </is>
      </c>
      <c r="G3659" s="34" t="n">
        <v>10886</v>
      </c>
      <c r="H3659" s="34" t="n">
        <v>57293</v>
      </c>
      <c r="I3659" t="inlineStr">
        <is>
          <t>3.1</t>
        </is>
      </c>
      <c r="J3659" t="inlineStr">
        <is>
          <t>Ventas HoReCa</t>
        </is>
      </c>
      <c r="K3659" t="inlineStr">
        <is>
          <t>CH1</t>
        </is>
      </c>
    </row>
    <row r="3660">
      <c r="A3660" s="33" t="n">
        <v>45968</v>
      </c>
      <c r="B3660" t="inlineStr">
        <is>
          <t>2025-11</t>
        </is>
      </c>
      <c r="C3660" t="inlineStr">
        <is>
          <t>CAFETERÍAS MISTER SPA</t>
        </is>
      </c>
      <c r="D3660" t="inlineStr">
        <is>
          <t>HORECA CAFETERIA</t>
        </is>
      </c>
      <c r="E3660" s="34" t="n">
        <v>36084</v>
      </c>
      <c r="F3660" t="inlineStr">
        <is>
          <t>F</t>
        </is>
      </c>
      <c r="G3660" s="34" t="n">
        <v>5761</v>
      </c>
      <c r="H3660" s="34" t="n">
        <v>30323</v>
      </c>
      <c r="I3660" t="inlineStr">
        <is>
          <t>3.1</t>
        </is>
      </c>
      <c r="J3660" t="inlineStr">
        <is>
          <t>Ventas HoReCa</t>
        </is>
      </c>
      <c r="K3660" t="inlineStr">
        <is>
          <t>CH1</t>
        </is>
      </c>
    </row>
    <row r="3661">
      <c r="A3661" s="33" t="n">
        <v>45968</v>
      </c>
      <c r="B3661" t="inlineStr">
        <is>
          <t>2025-11</t>
        </is>
      </c>
      <c r="C3661" t="inlineStr">
        <is>
          <t>PRODUCTORA DE EVENTOS AGDV SPA</t>
        </is>
      </c>
      <c r="D3661" t="inlineStr">
        <is>
          <t>HORECA CATERING</t>
        </is>
      </c>
      <c r="E3661" s="34" t="n">
        <v>106029</v>
      </c>
      <c r="F3661" t="inlineStr">
        <is>
          <t>F</t>
        </is>
      </c>
      <c r="G3661" s="34" t="n">
        <v>16929</v>
      </c>
      <c r="H3661" s="34" t="n">
        <v>89100</v>
      </c>
      <c r="I3661" t="inlineStr">
        <is>
          <t>3.1</t>
        </is>
      </c>
      <c r="J3661" t="inlineStr">
        <is>
          <t>Ventas HoReCa</t>
        </is>
      </c>
      <c r="K3661" t="inlineStr">
        <is>
          <t>CH1</t>
        </is>
      </c>
    </row>
    <row r="3662">
      <c r="A3662" s="33" t="n">
        <v>45968</v>
      </c>
      <c r="B3662" t="inlineStr">
        <is>
          <t>2025-11</t>
        </is>
      </c>
      <c r="C3662" t="inlineStr">
        <is>
          <t>rafael bizzarri</t>
        </is>
      </c>
      <c r="D3662" t="inlineStr">
        <is>
          <t>CANELE SIN AZUCAR</t>
        </is>
      </c>
      <c r="E3662" s="34" t="n">
        <v>17289</v>
      </c>
      <c r="F3662" t="inlineStr">
        <is>
          <t>B</t>
        </is>
      </c>
      <c r="G3662" s="34" t="n">
        <v>2760</v>
      </c>
      <c r="H3662" s="34" t="n">
        <v>14529</v>
      </c>
      <c r="I3662" t="inlineStr">
        <is>
          <t>3.2</t>
        </is>
      </c>
      <c r="J3662" t="inlineStr">
        <is>
          <t>Ventas Personas (B2C)</t>
        </is>
      </c>
      <c r="K3662" t="inlineStr">
        <is>
          <t>CH2</t>
        </is>
      </c>
    </row>
    <row r="3663">
      <c r="A3663" s="33" t="n">
        <v>45968</v>
      </c>
      <c r="B3663" t="inlineStr">
        <is>
          <t>2025-11</t>
        </is>
      </c>
      <c r="C3663" t="inlineStr">
        <is>
          <t>Sin cliente</t>
        </is>
      </c>
      <c r="D3663" t="inlineStr">
        <is>
          <t>CANELÉ TRADICIONAL</t>
        </is>
      </c>
      <c r="E3663" s="34" t="n">
        <v>14900</v>
      </c>
      <c r="F3663" t="inlineStr">
        <is>
          <t>B</t>
        </is>
      </c>
      <c r="G3663" s="34" t="n">
        <v>2379</v>
      </c>
      <c r="H3663" s="34" t="n">
        <v>12521</v>
      </c>
      <c r="I3663" t="inlineStr">
        <is>
          <t>3.2</t>
        </is>
      </c>
      <c r="J3663" t="inlineStr">
        <is>
          <t>Ventas Personas (B2C)</t>
        </is>
      </c>
      <c r="K3663" t="inlineStr">
        <is>
          <t>CH2</t>
        </is>
      </c>
    </row>
    <row r="3664">
      <c r="A3664" s="33" t="n">
        <v>45968</v>
      </c>
      <c r="B3664" t="inlineStr">
        <is>
          <t>2025-11</t>
        </is>
      </c>
      <c r="C3664" t="inlineStr">
        <is>
          <t>Sin cliente</t>
        </is>
      </c>
      <c r="D3664" t="inlineStr">
        <is>
          <t>CANELÉ TRADICIONAL</t>
        </is>
      </c>
      <c r="E3664" s="34" t="n">
        <v>24400</v>
      </c>
      <c r="F3664" t="inlineStr">
        <is>
          <t>B</t>
        </is>
      </c>
      <c r="G3664" s="34" t="n">
        <v>3896</v>
      </c>
      <c r="H3664" s="34" t="n">
        <v>20504</v>
      </c>
      <c r="I3664" t="inlineStr">
        <is>
          <t>3.2</t>
        </is>
      </c>
      <c r="J3664" t="inlineStr">
        <is>
          <t>Ventas Personas (B2C)</t>
        </is>
      </c>
      <c r="K3664" t="inlineStr">
        <is>
          <t>CH2</t>
        </is>
      </c>
    </row>
    <row r="3665">
      <c r="A3665" s="33" t="n">
        <v>45968</v>
      </c>
      <c r="B3665" t="inlineStr">
        <is>
          <t>2025-11</t>
        </is>
      </c>
      <c r="C3665" t="inlineStr">
        <is>
          <t>Sin cliente</t>
        </is>
      </c>
      <c r="D3665" t="inlineStr">
        <is>
          <t>PLATAFORMAS RAP-PEYA-UBER-GOOD</t>
        </is>
      </c>
      <c r="E3665" s="34" t="n">
        <v>19680</v>
      </c>
      <c r="F3665" t="inlineStr">
        <is>
          <t>B</t>
        </is>
      </c>
      <c r="G3665" s="34" t="n">
        <v>3142</v>
      </c>
      <c r="H3665" s="34" t="n">
        <v>16538</v>
      </c>
      <c r="I3665" t="inlineStr">
        <is>
          <t>3.6</t>
        </is>
      </c>
      <c r="J3665" t="inlineStr">
        <is>
          <t>Ventas Delivery Apps</t>
        </is>
      </c>
      <c r="K3665" t="inlineStr">
        <is>
          <t>CH3</t>
        </is>
      </c>
    </row>
    <row r="3666">
      <c r="A3666" s="33" t="n">
        <v>45968</v>
      </c>
      <c r="B3666" t="inlineStr">
        <is>
          <t>2025-11</t>
        </is>
      </c>
      <c r="C3666" t="inlineStr">
        <is>
          <t>angeles grez</t>
        </is>
      </c>
      <c r="D3666" t="inlineStr">
        <is>
          <t>CANELÉ TRADICIONAL</t>
        </is>
      </c>
      <c r="E3666" s="34" t="n">
        <v>11920</v>
      </c>
      <c r="F3666" t="inlineStr">
        <is>
          <t>B</t>
        </is>
      </c>
      <c r="G3666" s="34" t="n">
        <v>1903</v>
      </c>
      <c r="H3666" s="34" t="n">
        <v>10017</v>
      </c>
      <c r="I3666" t="inlineStr">
        <is>
          <t>3.2</t>
        </is>
      </c>
      <c r="J3666" t="inlineStr">
        <is>
          <t>Ventas Personas (B2C)</t>
        </is>
      </c>
      <c r="K3666" t="inlineStr">
        <is>
          <t>CH2</t>
        </is>
      </c>
    </row>
    <row r="3667">
      <c r="A3667" s="33" t="n">
        <v>45968</v>
      </c>
      <c r="B3667" t="inlineStr">
        <is>
          <t>2025-11</t>
        </is>
      </c>
      <c r="C3667" t="inlineStr">
        <is>
          <t>Sin cliente</t>
        </is>
      </c>
      <c r="D3667" t="inlineStr">
        <is>
          <t>CANELÉ TRADICIONAL</t>
        </is>
      </c>
      <c r="E3667" s="34" t="n">
        <v>14900</v>
      </c>
      <c r="F3667" t="inlineStr">
        <is>
          <t>B</t>
        </is>
      </c>
      <c r="G3667" s="34" t="n">
        <v>2379</v>
      </c>
      <c r="H3667" s="34" t="n">
        <v>12521</v>
      </c>
      <c r="I3667" t="inlineStr">
        <is>
          <t>3.2</t>
        </is>
      </c>
      <c r="J3667" t="inlineStr">
        <is>
          <t>Ventas Personas (B2C)</t>
        </is>
      </c>
      <c r="K3667" t="inlineStr">
        <is>
          <t>CH2</t>
        </is>
      </c>
    </row>
    <row r="3668">
      <c r="A3668" s="33" t="n">
        <v>45968</v>
      </c>
      <c r="B3668" t="inlineStr">
        <is>
          <t>2025-11</t>
        </is>
      </c>
      <c r="C3668" t="inlineStr">
        <is>
          <t>Victor Choi</t>
        </is>
      </c>
      <c r="D3668" t="inlineStr">
        <is>
          <t>Mix Sabores</t>
        </is>
      </c>
      <c r="E3668" s="34" t="n">
        <v>29800</v>
      </c>
      <c r="F3668" t="inlineStr">
        <is>
          <t>B</t>
        </is>
      </c>
      <c r="G3668" s="34" t="n">
        <v>4758</v>
      </c>
      <c r="H3668" s="34" t="n">
        <v>25042</v>
      </c>
      <c r="I3668" t="inlineStr">
        <is>
          <t>3.2</t>
        </is>
      </c>
      <c r="J3668" t="inlineStr">
        <is>
          <t>Ventas Personas (B2C)</t>
        </is>
      </c>
      <c r="K3668" t="inlineStr">
        <is>
          <t>CH2</t>
        </is>
      </c>
    </row>
    <row r="3669">
      <c r="A3669" s="33" t="n">
        <v>45969</v>
      </c>
      <c r="B3669" t="inlineStr">
        <is>
          <t>2025-11</t>
        </is>
      </c>
      <c r="C3669" t="inlineStr">
        <is>
          <t>Sin cliente</t>
        </is>
      </c>
      <c r="D3669" t="inlineStr">
        <is>
          <t>Rellenos</t>
        </is>
      </c>
      <c r="E3669" s="34" t="n">
        <v>32800</v>
      </c>
      <c r="F3669" t="inlineStr">
        <is>
          <t>B</t>
        </is>
      </c>
      <c r="G3669" s="34" t="n">
        <v>5237</v>
      </c>
      <c r="H3669" s="34" t="n">
        <v>27563</v>
      </c>
      <c r="I3669" t="inlineStr">
        <is>
          <t>3.2</t>
        </is>
      </c>
      <c r="J3669" t="inlineStr">
        <is>
          <t>Ventas Personas (B2C)</t>
        </is>
      </c>
      <c r="K3669" t="inlineStr">
        <is>
          <t>CH2</t>
        </is>
      </c>
    </row>
    <row r="3670">
      <c r="A3670" s="33" t="n">
        <v>45969</v>
      </c>
      <c r="B3670" t="inlineStr">
        <is>
          <t>2025-11</t>
        </is>
      </c>
      <c r="C3670" t="inlineStr">
        <is>
          <t>Sin cliente</t>
        </is>
      </c>
      <c r="D3670" t="inlineStr">
        <is>
          <t>PLATAFORMAS RAP-PEYA-UBER-GOOD</t>
        </is>
      </c>
      <c r="E3670" s="34" t="n">
        <v>17880</v>
      </c>
      <c r="F3670" t="inlineStr">
        <is>
          <t>B</t>
        </is>
      </c>
      <c r="G3670" s="34" t="n">
        <v>2855</v>
      </c>
      <c r="H3670" s="34" t="n">
        <v>15025</v>
      </c>
      <c r="I3670" t="inlineStr">
        <is>
          <t>3.6</t>
        </is>
      </c>
      <c r="J3670" t="inlineStr">
        <is>
          <t>Ventas Delivery Apps</t>
        </is>
      </c>
      <c r="K3670" t="inlineStr">
        <is>
          <t>CH3</t>
        </is>
      </c>
    </row>
    <row r="3671">
      <c r="A3671" s="33" t="n">
        <v>45969</v>
      </c>
      <c r="B3671" t="inlineStr">
        <is>
          <t>2025-11</t>
        </is>
      </c>
      <c r="C3671" t="inlineStr">
        <is>
          <t>Ivette Figueroa</t>
        </is>
      </c>
      <c r="D3671" t="inlineStr">
        <is>
          <t>Mix Sabores</t>
        </is>
      </c>
      <c r="E3671" s="34" t="n">
        <v>22000</v>
      </c>
      <c r="F3671" t="inlineStr">
        <is>
          <t>B</t>
        </is>
      </c>
      <c r="G3671" s="34" t="n">
        <v>3513</v>
      </c>
      <c r="H3671" s="34" t="n">
        <v>18487</v>
      </c>
      <c r="I3671" t="inlineStr">
        <is>
          <t>3.2</t>
        </is>
      </c>
      <c r="J3671" t="inlineStr">
        <is>
          <t>Ventas Personas (B2C)</t>
        </is>
      </c>
      <c r="K3671" t="inlineStr">
        <is>
          <t>CH2</t>
        </is>
      </c>
    </row>
    <row r="3672">
      <c r="A3672" s="33" t="n">
        <v>45969</v>
      </c>
      <c r="B3672" t="inlineStr">
        <is>
          <t>2025-11</t>
        </is>
      </c>
      <c r="C3672" t="inlineStr">
        <is>
          <t>Sin cliente</t>
        </is>
      </c>
      <c r="D3672" t="inlineStr">
        <is>
          <t>Rellenos</t>
        </is>
      </c>
      <c r="E3672" s="34" t="n">
        <v>18800</v>
      </c>
      <c r="F3672" t="inlineStr">
        <is>
          <t>B</t>
        </is>
      </c>
      <c r="G3672" s="34" t="n">
        <v>3002</v>
      </c>
      <c r="H3672" s="34" t="n">
        <v>15798</v>
      </c>
      <c r="I3672" t="inlineStr">
        <is>
          <t>3.2</t>
        </is>
      </c>
      <c r="J3672" t="inlineStr">
        <is>
          <t>Ventas Personas (B2C)</t>
        </is>
      </c>
      <c r="K3672" t="inlineStr">
        <is>
          <t>CH2</t>
        </is>
      </c>
    </row>
    <row r="3673">
      <c r="A3673" s="33" t="n">
        <v>45969</v>
      </c>
      <c r="B3673" t="inlineStr">
        <is>
          <t>2025-11</t>
        </is>
      </c>
      <c r="C3673" t="inlineStr">
        <is>
          <t>Marta Contreras</t>
        </is>
      </c>
      <c r="D3673" t="inlineStr">
        <is>
          <t>PACKS GOURMET</t>
        </is>
      </c>
      <c r="E3673" s="34" t="n">
        <v>39976</v>
      </c>
      <c r="F3673" t="inlineStr">
        <is>
          <t>B</t>
        </is>
      </c>
      <c r="G3673" s="34" t="n">
        <v>6383</v>
      </c>
      <c r="H3673" s="34" t="n">
        <v>33593</v>
      </c>
      <c r="I3673" t="inlineStr">
        <is>
          <t>3.2</t>
        </is>
      </c>
      <c r="J3673" t="inlineStr">
        <is>
          <t>Ventas Personas (B2C)</t>
        </is>
      </c>
      <c r="K3673" t="inlineStr">
        <is>
          <t>CH2</t>
        </is>
      </c>
    </row>
    <row r="3674">
      <c r="A3674" s="33" t="n">
        <v>45970</v>
      </c>
      <c r="B3674" t="inlineStr">
        <is>
          <t>2025-11</t>
        </is>
      </c>
      <c r="C3674" t="inlineStr">
        <is>
          <t>Marcela Hormazabal</t>
        </is>
      </c>
      <c r="D3674" t="inlineStr">
        <is>
          <t>Petit Crunchy</t>
        </is>
      </c>
      <c r="E3674" s="34" t="n">
        <v>37889</v>
      </c>
      <c r="F3674" t="inlineStr">
        <is>
          <t>B</t>
        </is>
      </c>
      <c r="G3674" s="34" t="n">
        <v>6050</v>
      </c>
      <c r="H3674" s="34" t="n">
        <v>31839</v>
      </c>
      <c r="I3674" t="inlineStr">
        <is>
          <t>3.2</t>
        </is>
      </c>
      <c r="J3674" t="inlineStr">
        <is>
          <t>Ventas Personas (B2C)</t>
        </is>
      </c>
      <c r="K3674" t="inlineStr">
        <is>
          <t>CH2</t>
        </is>
      </c>
    </row>
    <row r="3675">
      <c r="A3675" s="33" t="n">
        <v>45970</v>
      </c>
      <c r="B3675" t="inlineStr">
        <is>
          <t>2025-11</t>
        </is>
      </c>
      <c r="C3675" t="inlineStr">
        <is>
          <t>Mariana Pavat</t>
        </is>
      </c>
      <c r="D3675" t="inlineStr">
        <is>
          <t>Petit Crunchy</t>
        </is>
      </c>
      <c r="E3675" s="34" t="n">
        <v>17500</v>
      </c>
      <c r="F3675" t="inlineStr">
        <is>
          <t>B</t>
        </is>
      </c>
      <c r="G3675" s="34" t="n">
        <v>2794</v>
      </c>
      <c r="H3675" s="34" t="n">
        <v>14706</v>
      </c>
      <c r="I3675" t="inlineStr">
        <is>
          <t>3.2</t>
        </is>
      </c>
      <c r="J3675" t="inlineStr">
        <is>
          <t>Ventas Personas (B2C)</t>
        </is>
      </c>
      <c r="K3675" t="inlineStr">
        <is>
          <t>CH2</t>
        </is>
      </c>
    </row>
    <row r="3676">
      <c r="A3676" s="33" t="n">
        <v>45971</v>
      </c>
      <c r="B3676" t="inlineStr">
        <is>
          <t>2025-11</t>
        </is>
      </c>
      <c r="C3676" t="inlineStr">
        <is>
          <t>INVERSIONES Y ASESORIAS RAVAL LIMITADA</t>
        </is>
      </c>
      <c r="D3676" t="inlineStr">
        <is>
          <t>HORECA CAFETERIA</t>
        </is>
      </c>
      <c r="E3676" s="34" t="n">
        <v>140177</v>
      </c>
      <c r="F3676" t="inlineStr">
        <is>
          <t>F</t>
        </is>
      </c>
      <c r="G3676" s="34" t="n">
        <v>22381</v>
      </c>
      <c r="H3676" s="34" t="n">
        <v>117796</v>
      </c>
      <c r="I3676" t="inlineStr">
        <is>
          <t>3.1</t>
        </is>
      </c>
      <c r="J3676" t="inlineStr">
        <is>
          <t>Ventas HoReCa</t>
        </is>
      </c>
      <c r="K3676" t="inlineStr">
        <is>
          <t>CH1</t>
        </is>
      </c>
    </row>
    <row r="3677">
      <c r="A3677" s="33" t="n">
        <v>45971</v>
      </c>
      <c r="B3677" t="inlineStr">
        <is>
          <t>2025-11</t>
        </is>
      </c>
      <c r="C3677" t="inlineStr">
        <is>
          <t>Inversiones Nagua SPA</t>
        </is>
      </c>
      <c r="D3677" t="inlineStr">
        <is>
          <t>HORECA CAFETERIA</t>
        </is>
      </c>
      <c r="E3677" s="34" t="n">
        <v>68179</v>
      </c>
      <c r="F3677" t="inlineStr">
        <is>
          <t>F</t>
        </is>
      </c>
      <c r="G3677" s="34" t="n">
        <v>10886</v>
      </c>
      <c r="H3677" s="34" t="n">
        <v>57293</v>
      </c>
      <c r="I3677" t="inlineStr">
        <is>
          <t>3.1</t>
        </is>
      </c>
      <c r="J3677" t="inlineStr">
        <is>
          <t>Ventas HoReCa</t>
        </is>
      </c>
      <c r="K3677" t="inlineStr">
        <is>
          <t>CH1</t>
        </is>
      </c>
    </row>
    <row r="3678">
      <c r="A3678" s="33" t="n">
        <v>45971</v>
      </c>
      <c r="B3678" t="inlineStr">
        <is>
          <t>2025-11</t>
        </is>
      </c>
      <c r="C3678" t="inlineStr">
        <is>
          <t>CAFETERÍAS MISTER SPA</t>
        </is>
      </c>
      <c r="D3678" t="inlineStr">
        <is>
          <t>HORECA CAFETERIA</t>
        </is>
      </c>
      <c r="E3678" s="34" t="n">
        <v>36084</v>
      </c>
      <c r="F3678" t="inlineStr">
        <is>
          <t>F</t>
        </is>
      </c>
      <c r="G3678" s="34" t="n">
        <v>5761</v>
      </c>
      <c r="H3678" s="34" t="n">
        <v>30323</v>
      </c>
      <c r="I3678" t="inlineStr">
        <is>
          <t>3.1</t>
        </is>
      </c>
      <c r="J3678" t="inlineStr">
        <is>
          <t>Ventas HoReCa</t>
        </is>
      </c>
      <c r="K3678" t="inlineStr">
        <is>
          <t>CH1</t>
        </is>
      </c>
    </row>
    <row r="3679">
      <c r="A3679" s="33" t="n">
        <v>45971</v>
      </c>
      <c r="B3679" t="inlineStr">
        <is>
          <t>2025-11</t>
        </is>
      </c>
      <c r="C3679" t="inlineStr">
        <is>
          <t>GALO SPA</t>
        </is>
      </c>
      <c r="D3679" t="inlineStr">
        <is>
          <t>HORECA CAFETERIA</t>
        </is>
      </c>
      <c r="E3679" s="34" t="n">
        <v>141506</v>
      </c>
      <c r="F3679" t="inlineStr">
        <is>
          <t>F</t>
        </is>
      </c>
      <c r="G3679" s="34" t="n">
        <v>22593</v>
      </c>
      <c r="H3679" s="34" t="n">
        <v>118913</v>
      </c>
      <c r="I3679" t="inlineStr">
        <is>
          <t>3.1</t>
        </is>
      </c>
      <c r="J3679" t="inlineStr">
        <is>
          <t>Ventas HoReCa</t>
        </is>
      </c>
      <c r="K3679" t="inlineStr">
        <is>
          <t>CH1</t>
        </is>
      </c>
    </row>
    <row r="3680">
      <c r="A3680" s="33" t="n">
        <v>45971</v>
      </c>
      <c r="B3680" t="inlineStr">
        <is>
          <t>2025-11</t>
        </is>
      </c>
      <c r="C3680" t="inlineStr">
        <is>
          <t>Cecilia Rojas</t>
        </is>
      </c>
      <c r="D3680" t="inlineStr">
        <is>
          <t>CANELE SIN AZUCAR</t>
        </is>
      </c>
      <c r="E3680" s="34" t="n">
        <v>23900</v>
      </c>
      <c r="F3680" t="inlineStr">
        <is>
          <t>B</t>
        </is>
      </c>
      <c r="G3680" s="34" t="n">
        <v>3816</v>
      </c>
      <c r="H3680" s="34" t="n">
        <v>20084</v>
      </c>
      <c r="I3680" t="inlineStr">
        <is>
          <t>3.2</t>
        </is>
      </c>
      <c r="J3680" t="inlineStr">
        <is>
          <t>Ventas Personas (B2C)</t>
        </is>
      </c>
      <c r="K3680" t="inlineStr">
        <is>
          <t>CH2</t>
        </is>
      </c>
    </row>
    <row r="3681">
      <c r="A3681" s="33" t="n">
        <v>45971</v>
      </c>
      <c r="B3681" t="inlineStr">
        <is>
          <t>2025-11</t>
        </is>
      </c>
      <c r="C3681" t="inlineStr">
        <is>
          <t>Sin cliente</t>
        </is>
      </c>
      <c r="D3681" t="inlineStr">
        <is>
          <t>Mix Sabores</t>
        </is>
      </c>
      <c r="E3681" s="34" t="n">
        <v>22800</v>
      </c>
      <c r="F3681" t="inlineStr">
        <is>
          <t>B</t>
        </is>
      </c>
      <c r="G3681" s="34" t="n">
        <v>3640</v>
      </c>
      <c r="H3681" s="34" t="n">
        <v>19160</v>
      </c>
      <c r="I3681" t="inlineStr">
        <is>
          <t>3.2</t>
        </is>
      </c>
      <c r="J3681" t="inlineStr">
        <is>
          <t>Ventas Personas (B2C)</t>
        </is>
      </c>
      <c r="K3681" t="inlineStr">
        <is>
          <t>CH2</t>
        </is>
      </c>
    </row>
    <row r="3682">
      <c r="A3682" s="33" t="n">
        <v>45971</v>
      </c>
      <c r="B3682" t="inlineStr">
        <is>
          <t>2025-11</t>
        </is>
      </c>
      <c r="C3682" t="inlineStr">
        <is>
          <t>Sin cliente</t>
        </is>
      </c>
      <c r="D3682" t="inlineStr">
        <is>
          <t>Petit Tradicional</t>
        </is>
      </c>
      <c r="E3682" s="34" t="n">
        <v>12900</v>
      </c>
      <c r="F3682" t="inlineStr">
        <is>
          <t>B</t>
        </is>
      </c>
      <c r="G3682" s="34" t="n">
        <v>2060</v>
      </c>
      <c r="H3682" s="34" t="n">
        <v>10840</v>
      </c>
      <c r="I3682" t="inlineStr">
        <is>
          <t>3.2</t>
        </is>
      </c>
      <c r="J3682" t="inlineStr">
        <is>
          <t>Ventas Personas (B2C)</t>
        </is>
      </c>
      <c r="K3682" t="inlineStr">
        <is>
          <t>CH2</t>
        </is>
      </c>
    </row>
    <row r="3683">
      <c r="A3683" s="33" t="n">
        <v>45971</v>
      </c>
      <c r="B3683" t="inlineStr">
        <is>
          <t>2025-11</t>
        </is>
      </c>
      <c r="C3683" t="inlineStr">
        <is>
          <t>Sin cliente</t>
        </is>
      </c>
      <c r="D3683" t="inlineStr">
        <is>
          <t>Mix Sabores</t>
        </is>
      </c>
      <c r="E3683" s="34" t="n">
        <v>15900</v>
      </c>
      <c r="F3683" t="inlineStr">
        <is>
          <t>B</t>
        </is>
      </c>
      <c r="G3683" s="34" t="n">
        <v>2539</v>
      </c>
      <c r="H3683" s="34" t="n">
        <v>13361</v>
      </c>
      <c r="I3683" t="inlineStr">
        <is>
          <t>3.2</t>
        </is>
      </c>
      <c r="J3683" t="inlineStr">
        <is>
          <t>Ventas Personas (B2C)</t>
        </is>
      </c>
      <c r="K3683" t="inlineStr">
        <is>
          <t>CH2</t>
        </is>
      </c>
    </row>
    <row r="3684">
      <c r="A3684" s="33" t="n">
        <v>45971</v>
      </c>
      <c r="B3684" t="inlineStr">
        <is>
          <t>2025-11</t>
        </is>
      </c>
      <c r="C3684" t="inlineStr">
        <is>
          <t>Sin cliente</t>
        </is>
      </c>
      <c r="D3684" t="inlineStr">
        <is>
          <t>CANELÉ TRADICIONAL</t>
        </is>
      </c>
      <c r="E3684" s="34" t="n">
        <v>36800</v>
      </c>
      <c r="F3684" t="inlineStr">
        <is>
          <t>B</t>
        </is>
      </c>
      <c r="G3684" s="34" t="n">
        <v>5876</v>
      </c>
      <c r="H3684" s="34" t="n">
        <v>30924</v>
      </c>
      <c r="I3684" t="inlineStr">
        <is>
          <t>3.2</t>
        </is>
      </c>
      <c r="J3684" t="inlineStr">
        <is>
          <t>Ventas Personas (B2C)</t>
        </is>
      </c>
      <c r="K3684" t="inlineStr">
        <is>
          <t>CH2</t>
        </is>
      </c>
    </row>
    <row r="3685">
      <c r="A3685" s="33" t="n">
        <v>45971</v>
      </c>
      <c r="B3685" t="inlineStr">
        <is>
          <t>2025-11</t>
        </is>
      </c>
      <c r="C3685" t="inlineStr">
        <is>
          <t>Renata Alessio</t>
        </is>
      </c>
      <c r="D3685" t="inlineStr">
        <is>
          <t>Mix Sabores</t>
        </is>
      </c>
      <c r="E3685" s="34" t="n">
        <v>25889</v>
      </c>
      <c r="F3685" t="inlineStr">
        <is>
          <t>B</t>
        </is>
      </c>
      <c r="G3685" s="34" t="n">
        <v>4134</v>
      </c>
      <c r="H3685" s="34" t="n">
        <v>21755</v>
      </c>
      <c r="I3685" t="inlineStr">
        <is>
          <t>3.2</t>
        </is>
      </c>
      <c r="J3685" t="inlineStr">
        <is>
          <t>Ventas Personas (B2C)</t>
        </is>
      </c>
      <c r="K3685" t="inlineStr">
        <is>
          <t>CH2</t>
        </is>
      </c>
    </row>
    <row r="3686">
      <c r="A3686" s="33" t="n">
        <v>45972</v>
      </c>
      <c r="B3686" t="inlineStr">
        <is>
          <t>2025-11</t>
        </is>
      </c>
      <c r="C3686" t="inlineStr">
        <is>
          <t>CAFE DIARIO ENCOMENDEROS SPA</t>
        </is>
      </c>
      <c r="D3686" t="inlineStr">
        <is>
          <t>HORECA CAFETERIA</t>
        </is>
      </c>
      <c r="E3686" s="34" t="n">
        <v>101451</v>
      </c>
      <c r="F3686" t="inlineStr">
        <is>
          <t>F</t>
        </is>
      </c>
      <c r="G3686" s="34" t="n">
        <v>16198</v>
      </c>
      <c r="H3686" s="34" t="n">
        <v>85253</v>
      </c>
      <c r="I3686" t="inlineStr">
        <is>
          <t>3.1</t>
        </is>
      </c>
      <c r="J3686" t="inlineStr">
        <is>
          <t>Ventas HoReCa</t>
        </is>
      </c>
      <c r="K3686" t="inlineStr">
        <is>
          <t>CH1</t>
        </is>
      </c>
    </row>
    <row r="3687">
      <c r="A3687" s="33" t="n">
        <v>45972</v>
      </c>
      <c r="B3687" t="inlineStr">
        <is>
          <t>2025-11</t>
        </is>
      </c>
      <c r="C3687" t="inlineStr">
        <is>
          <t>Okinawa Spa</t>
        </is>
      </c>
      <c r="D3687" t="inlineStr">
        <is>
          <t>HORECA CAFETERIA</t>
        </is>
      </c>
      <c r="E3687" s="34" t="n">
        <v>100273</v>
      </c>
      <c r="F3687" t="inlineStr">
        <is>
          <t>F</t>
        </is>
      </c>
      <c r="G3687" s="34" t="n">
        <v>16010</v>
      </c>
      <c r="H3687" s="34" t="n">
        <v>84263</v>
      </c>
      <c r="I3687" t="inlineStr">
        <is>
          <t>3.1</t>
        </is>
      </c>
      <c r="J3687" t="inlineStr">
        <is>
          <t>Ventas HoReCa</t>
        </is>
      </c>
      <c r="K3687" t="inlineStr">
        <is>
          <t>CH1</t>
        </is>
      </c>
    </row>
    <row r="3688">
      <c r="A3688" s="33" t="n">
        <v>45972</v>
      </c>
      <c r="B3688" t="inlineStr">
        <is>
          <t>2025-11</t>
        </is>
      </c>
      <c r="C3688" t="inlineStr">
        <is>
          <t>INVERSIONES Y COMERCIALIZADORA FED LIMITADA</t>
        </is>
      </c>
      <c r="D3688" t="inlineStr">
        <is>
          <t>HORECA CAFETERIA</t>
        </is>
      </c>
      <c r="E3688" s="34" t="n">
        <v>225738</v>
      </c>
      <c r="F3688" t="inlineStr">
        <is>
          <t>F</t>
        </is>
      </c>
      <c r="G3688" s="34" t="n">
        <v>36042</v>
      </c>
      <c r="H3688" s="34" t="n">
        <v>189696</v>
      </c>
      <c r="I3688" t="inlineStr">
        <is>
          <t>3.1</t>
        </is>
      </c>
      <c r="J3688" t="inlineStr">
        <is>
          <t>Ventas HoReCa</t>
        </is>
      </c>
      <c r="K3688" t="inlineStr">
        <is>
          <t>CH1</t>
        </is>
      </c>
    </row>
    <row r="3689">
      <c r="A3689" s="33" t="n">
        <v>45972</v>
      </c>
      <c r="B3689" t="inlineStr">
        <is>
          <t>2025-11</t>
        </is>
      </c>
      <c r="C3689" t="inlineStr">
        <is>
          <t>INVERSIONES Y COMERCIALIZADORA FED LIMITADA</t>
        </is>
      </c>
      <c r="D3689" t="inlineStr">
        <is>
          <t>HORECA CAFETERIA</t>
        </is>
      </c>
      <c r="E3689" s="34" t="n">
        <v>114110</v>
      </c>
      <c r="F3689" t="inlineStr">
        <is>
          <t>F</t>
        </is>
      </c>
      <c r="G3689" s="34" t="n">
        <v>18219</v>
      </c>
      <c r="H3689" s="34" t="n">
        <v>95891</v>
      </c>
      <c r="I3689" t="inlineStr">
        <is>
          <t>3.1</t>
        </is>
      </c>
      <c r="J3689" t="inlineStr">
        <is>
          <t>Ventas HoReCa</t>
        </is>
      </c>
      <c r="K3689" t="inlineStr">
        <is>
          <t>CH1</t>
        </is>
      </c>
    </row>
    <row r="3690">
      <c r="A3690" s="33" t="n">
        <v>45972</v>
      </c>
      <c r="B3690" t="inlineStr">
        <is>
          <t>2025-11</t>
        </is>
      </c>
      <c r="C3690" t="inlineStr">
        <is>
          <t>BLUE OAK COFFE SPA</t>
        </is>
      </c>
      <c r="D3690" t="inlineStr">
        <is>
          <t>HORECA CAFETERIA</t>
        </is>
      </c>
      <c r="E3690" s="34" t="n">
        <v>112836</v>
      </c>
      <c r="F3690" t="inlineStr">
        <is>
          <t>F</t>
        </is>
      </c>
      <c r="G3690" s="34" t="n">
        <v>18016</v>
      </c>
      <c r="H3690" s="34" t="n">
        <v>94820</v>
      </c>
      <c r="I3690" t="inlineStr">
        <is>
          <t>3.1</t>
        </is>
      </c>
      <c r="J3690" t="inlineStr">
        <is>
          <t>Ventas HoReCa</t>
        </is>
      </c>
      <c r="K3690" t="inlineStr">
        <is>
          <t>CH1</t>
        </is>
      </c>
    </row>
    <row r="3691">
      <c r="A3691" s="33" t="n">
        <v>45972</v>
      </c>
      <c r="B3691" t="inlineStr">
        <is>
          <t>2025-11</t>
        </is>
      </c>
      <c r="C3691" t="inlineStr">
        <is>
          <t>Renata Alessio</t>
        </is>
      </c>
      <c r="D3691" t="inlineStr">
        <is>
          <t>REGION METROPOLITANA</t>
        </is>
      </c>
      <c r="E3691" s="34" t="n">
        <v>3990</v>
      </c>
      <c r="F3691" t="inlineStr">
        <is>
          <t>B</t>
        </is>
      </c>
      <c r="G3691" s="34" t="n">
        <v>637</v>
      </c>
      <c r="H3691" s="34" t="n">
        <v>3353</v>
      </c>
      <c r="I3691" t="inlineStr">
        <is>
          <t>3.2</t>
        </is>
      </c>
      <c r="J3691" t="inlineStr">
        <is>
          <t>Ventas Personas (B2C)</t>
        </is>
      </c>
      <c r="K3691" t="inlineStr">
        <is>
          <t>CH2</t>
        </is>
      </c>
    </row>
    <row r="3692">
      <c r="A3692" s="33" t="n">
        <v>45972</v>
      </c>
      <c r="B3692" t="inlineStr">
        <is>
          <t>2025-11</t>
        </is>
      </c>
      <c r="C3692" t="inlineStr">
        <is>
          <t>Nataly Flores</t>
        </is>
      </c>
      <c r="D3692" t="inlineStr">
        <is>
          <t>CANELÉ TRADICIONAL</t>
        </is>
      </c>
      <c r="E3692" s="34" t="n">
        <v>48214</v>
      </c>
      <c r="F3692" t="inlineStr">
        <is>
          <t>B</t>
        </is>
      </c>
      <c r="G3692" s="34" t="n">
        <v>7698</v>
      </c>
      <c r="H3692" s="34" t="n">
        <v>40516</v>
      </c>
      <c r="I3692" t="inlineStr">
        <is>
          <t>3.2</t>
        </is>
      </c>
      <c r="J3692" t="inlineStr">
        <is>
          <t>Ventas Personas (B2C)</t>
        </is>
      </c>
      <c r="K3692" t="inlineStr">
        <is>
          <t>CH2</t>
        </is>
      </c>
    </row>
    <row r="3693">
      <c r="A3693" s="33" t="n">
        <v>45972</v>
      </c>
      <c r="B3693" t="inlineStr">
        <is>
          <t>2025-11</t>
        </is>
      </c>
      <c r="C3693" t="inlineStr">
        <is>
          <t>Comercial Aromo LTDA</t>
        </is>
      </c>
      <c r="D3693" t="inlineStr">
        <is>
          <t>HORECA CAFETERIA</t>
        </is>
      </c>
      <c r="E3693" s="34" t="n">
        <v>95026</v>
      </c>
      <c r="F3693" t="inlineStr">
        <is>
          <t>F</t>
        </is>
      </c>
      <c r="G3693" s="34" t="n">
        <v>15172</v>
      </c>
      <c r="H3693" s="34" t="n">
        <v>79854</v>
      </c>
      <c r="I3693" t="inlineStr">
        <is>
          <t>3.1</t>
        </is>
      </c>
      <c r="J3693" t="inlineStr">
        <is>
          <t>Ventas HoReCa</t>
        </is>
      </c>
      <c r="K3693" t="inlineStr">
        <is>
          <t>CH1</t>
        </is>
      </c>
    </row>
    <row r="3694">
      <c r="A3694" s="33" t="n">
        <v>45972</v>
      </c>
      <c r="B3694" t="inlineStr">
        <is>
          <t>2025-11</t>
        </is>
      </c>
      <c r="C3694" t="inlineStr">
        <is>
          <t>Comercializadora H y M Ltda</t>
        </is>
      </c>
      <c r="D3694" t="inlineStr">
        <is>
          <t>HORECA CAFETERIA</t>
        </is>
      </c>
      <c r="E3694" s="34" t="n">
        <v>205695</v>
      </c>
      <c r="F3694" t="inlineStr">
        <is>
          <t>F</t>
        </is>
      </c>
      <c r="G3694" s="34" t="n">
        <v>32842</v>
      </c>
      <c r="H3694" s="34" t="n">
        <v>172853</v>
      </c>
      <c r="I3694" t="inlineStr">
        <is>
          <t>3.1</t>
        </is>
      </c>
      <c r="J3694" t="inlineStr">
        <is>
          <t>Ventas HoReCa</t>
        </is>
      </c>
      <c r="K3694" t="inlineStr">
        <is>
          <t>CH1</t>
        </is>
      </c>
    </row>
    <row r="3695">
      <c r="A3695" s="33" t="n">
        <v>45972</v>
      </c>
      <c r="B3695" t="inlineStr">
        <is>
          <t>2025-11</t>
        </is>
      </c>
      <c r="C3695" t="inlineStr">
        <is>
          <t>Sin cliente</t>
        </is>
      </c>
      <c r="D3695" t="inlineStr">
        <is>
          <t>PLATAFORMAS RAP-PEYA-UBER-GOOD</t>
        </is>
      </c>
      <c r="E3695" s="34" t="n">
        <v>26280</v>
      </c>
      <c r="F3695" t="inlineStr">
        <is>
          <t>B</t>
        </is>
      </c>
      <c r="G3695" s="34" t="n">
        <v>4196</v>
      </c>
      <c r="H3695" s="34" t="n">
        <v>22084</v>
      </c>
      <c r="I3695" t="inlineStr">
        <is>
          <t>3.6</t>
        </is>
      </c>
      <c r="J3695" t="inlineStr">
        <is>
          <t>Ventas Delivery Apps</t>
        </is>
      </c>
      <c r="K3695" t="inlineStr">
        <is>
          <t>CH3</t>
        </is>
      </c>
    </row>
    <row r="3696">
      <c r="A3696" s="33" t="n">
        <v>45972</v>
      </c>
      <c r="B3696" t="inlineStr">
        <is>
          <t>2025-11</t>
        </is>
      </c>
      <c r="C3696" t="inlineStr">
        <is>
          <t>Sin cliente</t>
        </is>
      </c>
      <c r="D3696" t="inlineStr">
        <is>
          <t>Rellenos</t>
        </is>
      </c>
      <c r="E3696" s="34" t="n">
        <v>27700</v>
      </c>
      <c r="F3696" t="inlineStr">
        <is>
          <t>B</t>
        </is>
      </c>
      <c r="G3696" s="34" t="n">
        <v>4423</v>
      </c>
      <c r="H3696" s="34" t="n">
        <v>23277</v>
      </c>
      <c r="I3696" t="inlineStr">
        <is>
          <t>3.2</t>
        </is>
      </c>
      <c r="J3696" t="inlineStr">
        <is>
          <t>Ventas Personas (B2C)</t>
        </is>
      </c>
      <c r="K3696" t="inlineStr">
        <is>
          <t>CH2</t>
        </is>
      </c>
    </row>
    <row r="3697">
      <c r="A3697" s="33" t="n">
        <v>45972</v>
      </c>
      <c r="B3697" t="inlineStr">
        <is>
          <t>2025-11</t>
        </is>
      </c>
      <c r="C3697" t="inlineStr">
        <is>
          <t>Sin cliente</t>
        </is>
      </c>
      <c r="D3697" t="inlineStr">
        <is>
          <t>PLATAFORMAS RAP-PEYA-UBER-GOOD</t>
        </is>
      </c>
      <c r="E3697" s="34" t="n">
        <v>8280</v>
      </c>
      <c r="F3697" t="inlineStr">
        <is>
          <t>B</t>
        </is>
      </c>
      <c r="G3697" s="34" t="n">
        <v>1322</v>
      </c>
      <c r="H3697" s="34" t="n">
        <v>6958</v>
      </c>
      <c r="I3697" t="inlineStr">
        <is>
          <t>3.6</t>
        </is>
      </c>
      <c r="J3697" t="inlineStr">
        <is>
          <t>Ventas Delivery Apps</t>
        </is>
      </c>
      <c r="K3697" t="inlineStr">
        <is>
          <t>CH3</t>
        </is>
      </c>
    </row>
    <row r="3698">
      <c r="A3698" s="33" t="n">
        <v>45972</v>
      </c>
      <c r="B3698" t="inlineStr">
        <is>
          <t>2025-11</t>
        </is>
      </c>
      <c r="C3698" t="inlineStr">
        <is>
          <t>Sin cliente</t>
        </is>
      </c>
      <c r="D3698" t="inlineStr">
        <is>
          <t>PLATAFORMAS RAP-PEYA-UBER-GOOD</t>
        </is>
      </c>
      <c r="E3698" s="34" t="n">
        <v>17880</v>
      </c>
      <c r="F3698" t="inlineStr">
        <is>
          <t>B</t>
        </is>
      </c>
      <c r="G3698" s="34" t="n">
        <v>2855</v>
      </c>
      <c r="H3698" s="34" t="n">
        <v>15025</v>
      </c>
      <c r="I3698" t="inlineStr">
        <is>
          <t>3.6</t>
        </is>
      </c>
      <c r="J3698" t="inlineStr">
        <is>
          <t>Ventas Delivery Apps</t>
        </is>
      </c>
      <c r="K3698" t="inlineStr">
        <is>
          <t>CH3</t>
        </is>
      </c>
    </row>
    <row r="3699">
      <c r="A3699" s="33" t="n">
        <v>45972</v>
      </c>
      <c r="B3699" t="inlineStr">
        <is>
          <t>2025-11</t>
        </is>
      </c>
      <c r="C3699" t="inlineStr">
        <is>
          <t>claudio molina</t>
        </is>
      </c>
      <c r="D3699" t="inlineStr">
        <is>
          <t>Mix Sabores</t>
        </is>
      </c>
      <c r="E3699" s="34" t="n">
        <v>26789</v>
      </c>
      <c r="F3699" t="inlineStr">
        <is>
          <t>B</t>
        </is>
      </c>
      <c r="G3699" s="34" t="n">
        <v>4277</v>
      </c>
      <c r="H3699" s="34" t="n">
        <v>22512</v>
      </c>
      <c r="I3699" t="inlineStr">
        <is>
          <t>3.2</t>
        </is>
      </c>
      <c r="J3699" t="inlineStr">
        <is>
          <t>Ventas Personas (B2C)</t>
        </is>
      </c>
      <c r="K3699" t="inlineStr">
        <is>
          <t>CH2</t>
        </is>
      </c>
    </row>
    <row r="3700">
      <c r="A3700" s="33" t="n">
        <v>45972</v>
      </c>
      <c r="B3700" t="inlineStr">
        <is>
          <t>2025-11</t>
        </is>
      </c>
      <c r="C3700" t="inlineStr">
        <is>
          <t>Daniela Vasquez Villegas</t>
        </is>
      </c>
      <c r="D3700" t="inlineStr">
        <is>
          <t>Petit Tradicional</t>
        </is>
      </c>
      <c r="E3700" s="34" t="n">
        <v>18810</v>
      </c>
      <c r="F3700" t="inlineStr">
        <is>
          <t>B</t>
        </is>
      </c>
      <c r="G3700" s="34" t="n">
        <v>3003</v>
      </c>
      <c r="H3700" s="34" t="n">
        <v>15807</v>
      </c>
      <c r="I3700" t="inlineStr">
        <is>
          <t>3.2</t>
        </is>
      </c>
      <c r="J3700" t="inlineStr">
        <is>
          <t>Ventas Personas (B2C)</t>
        </is>
      </c>
      <c r="K3700" t="inlineStr">
        <is>
          <t>CH2</t>
        </is>
      </c>
    </row>
    <row r="3701">
      <c r="A3701" s="33" t="n">
        <v>45973</v>
      </c>
      <c r="B3701" t="inlineStr">
        <is>
          <t>2025-11</t>
        </is>
      </c>
      <c r="C3701" t="inlineStr">
        <is>
          <t>Café del Parque SpA</t>
        </is>
      </c>
      <c r="D3701" t="inlineStr">
        <is>
          <t>HORECA CAFETERIA</t>
        </is>
      </c>
      <c r="E3701" s="34" t="n">
        <v>68179</v>
      </c>
      <c r="F3701" t="inlineStr">
        <is>
          <t>F</t>
        </is>
      </c>
      <c r="G3701" s="34" t="n">
        <v>10886</v>
      </c>
      <c r="H3701" s="34" t="n">
        <v>57293</v>
      </c>
      <c r="I3701" t="inlineStr">
        <is>
          <t>3.1</t>
        </is>
      </c>
      <c r="J3701" t="inlineStr">
        <is>
          <t>Ventas HoReCa</t>
        </is>
      </c>
      <c r="K3701" t="inlineStr">
        <is>
          <t>CH1</t>
        </is>
      </c>
    </row>
    <row r="3702">
      <c r="A3702" s="33" t="n">
        <v>45973</v>
      </c>
      <c r="B3702" t="inlineStr">
        <is>
          <t>2025-11</t>
        </is>
      </c>
      <c r="C3702" t="inlineStr">
        <is>
          <t>Café del Parque SpA</t>
        </is>
      </c>
      <c r="D3702" t="inlineStr">
        <is>
          <t>HORECA CAFETERIA</t>
        </is>
      </c>
      <c r="E3702" s="34" t="n">
        <v>-68179</v>
      </c>
      <c r="F3702" t="inlineStr">
        <is>
          <t>NC</t>
        </is>
      </c>
      <c r="G3702" s="34" t="n">
        <v>-10886</v>
      </c>
      <c r="H3702" s="34" t="n">
        <v>-57293</v>
      </c>
      <c r="I3702" t="inlineStr">
        <is>
          <t>3.1</t>
        </is>
      </c>
      <c r="J3702" t="inlineStr">
        <is>
          <t>Ventas HoReCa</t>
        </is>
      </c>
      <c r="K3702" t="inlineStr">
        <is>
          <t>CH1</t>
        </is>
      </c>
    </row>
    <row r="3703">
      <c r="A3703" s="33" t="n">
        <v>45973</v>
      </c>
      <c r="B3703" t="inlineStr">
        <is>
          <t>2025-11</t>
        </is>
      </c>
      <c r="C3703" t="inlineStr">
        <is>
          <t>Café del Parque SpA</t>
        </is>
      </c>
      <c r="D3703" t="inlineStr">
        <is>
          <t>HORECA CAFETERIA</t>
        </is>
      </c>
      <c r="E3703" s="34" t="n">
        <v>75818</v>
      </c>
      <c r="F3703" t="inlineStr">
        <is>
          <t>F</t>
        </is>
      </c>
      <c r="G3703" s="34" t="n">
        <v>12105</v>
      </c>
      <c r="H3703" s="34" t="n">
        <v>63713</v>
      </c>
      <c r="I3703" t="inlineStr">
        <is>
          <t>3.1</t>
        </is>
      </c>
      <c r="J3703" t="inlineStr">
        <is>
          <t>Ventas HoReCa</t>
        </is>
      </c>
      <c r="K3703" t="inlineStr">
        <is>
          <t>CH1</t>
        </is>
      </c>
    </row>
    <row r="3704">
      <c r="A3704" s="33" t="n">
        <v>45973</v>
      </c>
      <c r="B3704" t="inlineStr">
        <is>
          <t>2025-11</t>
        </is>
      </c>
      <c r="C3704" t="inlineStr">
        <is>
          <t>CUATROTRESTRES CAFÉ SPA</t>
        </is>
      </c>
      <c r="D3704" t="inlineStr">
        <is>
          <t>HORECA CAFETERIA</t>
        </is>
      </c>
      <c r="E3704" s="34" t="n">
        <v>196787</v>
      </c>
      <c r="F3704" t="inlineStr">
        <is>
          <t>F</t>
        </is>
      </c>
      <c r="G3704" s="34" t="n">
        <v>31420</v>
      </c>
      <c r="H3704" s="34" t="n">
        <v>165367</v>
      </c>
      <c r="I3704" t="inlineStr">
        <is>
          <t>3.1</t>
        </is>
      </c>
      <c r="J3704" t="inlineStr">
        <is>
          <t>Ventas HoReCa</t>
        </is>
      </c>
      <c r="K3704" t="inlineStr">
        <is>
          <t>CH1</t>
        </is>
      </c>
    </row>
    <row r="3705">
      <c r="A3705" s="33" t="n">
        <v>45973</v>
      </c>
      <c r="B3705" t="inlineStr">
        <is>
          <t>2025-11</t>
        </is>
      </c>
      <c r="C3705" t="inlineStr">
        <is>
          <t>Sociedad de inversiones solari y acuña spa</t>
        </is>
      </c>
      <c r="D3705" t="inlineStr">
        <is>
          <t>HORECA CAFETERIA</t>
        </is>
      </c>
      <c r="E3705" s="34" t="n">
        <v>133379</v>
      </c>
      <c r="F3705" t="inlineStr">
        <is>
          <t>F</t>
        </is>
      </c>
      <c r="G3705" s="34" t="n">
        <v>21296</v>
      </c>
      <c r="H3705" s="34" t="n">
        <v>112083</v>
      </c>
      <c r="I3705" t="inlineStr">
        <is>
          <t>3.1</t>
        </is>
      </c>
      <c r="J3705" t="inlineStr">
        <is>
          <t>Ventas HoReCa</t>
        </is>
      </c>
      <c r="K3705" t="inlineStr">
        <is>
          <t>CH1</t>
        </is>
      </c>
    </row>
    <row r="3706">
      <c r="A3706" s="33" t="n">
        <v>45973</v>
      </c>
      <c r="B3706" t="inlineStr">
        <is>
          <t>2025-11</t>
        </is>
      </c>
      <c r="C3706" t="inlineStr">
        <is>
          <t>BACOLIO SPA</t>
        </is>
      </c>
      <c r="D3706" t="inlineStr">
        <is>
          <t>HORECA CAFETERIA</t>
        </is>
      </c>
      <c r="E3706" s="34" t="n">
        <v>68179</v>
      </c>
      <c r="F3706" t="inlineStr">
        <is>
          <t>F</t>
        </is>
      </c>
      <c r="G3706" s="34" t="n">
        <v>10886</v>
      </c>
      <c r="H3706" s="34" t="n">
        <v>57293</v>
      </c>
      <c r="I3706" t="inlineStr">
        <is>
          <t>3.1</t>
        </is>
      </c>
      <c r="J3706" t="inlineStr">
        <is>
          <t>Ventas HoReCa</t>
        </is>
      </c>
      <c r="K3706" t="inlineStr">
        <is>
          <t>CH1</t>
        </is>
      </c>
    </row>
    <row r="3707">
      <c r="A3707" s="33" t="n">
        <v>45973</v>
      </c>
      <c r="B3707" t="inlineStr">
        <is>
          <t>2025-11</t>
        </is>
      </c>
      <c r="C3707" t="inlineStr">
        <is>
          <t>BUSTORF LARSEN Y COMPANIA LIMITADA</t>
        </is>
      </c>
      <c r="D3707" t="inlineStr">
        <is>
          <t>HORECA CAFETERIA</t>
        </is>
      </c>
      <c r="E3707" s="34" t="n">
        <v>68179</v>
      </c>
      <c r="F3707" t="inlineStr">
        <is>
          <t>F</t>
        </is>
      </c>
      <c r="G3707" s="34" t="n">
        <v>10886</v>
      </c>
      <c r="H3707" s="34" t="n">
        <v>57293</v>
      </c>
      <c r="I3707" t="inlineStr">
        <is>
          <t>3.1</t>
        </is>
      </c>
      <c r="J3707" t="inlineStr">
        <is>
          <t>Ventas HoReCa</t>
        </is>
      </c>
      <c r="K3707" t="inlineStr">
        <is>
          <t>CH1</t>
        </is>
      </c>
    </row>
    <row r="3708">
      <c r="A3708" s="33" t="n">
        <v>45973</v>
      </c>
      <c r="B3708" t="inlineStr">
        <is>
          <t>2025-11</t>
        </is>
      </c>
      <c r="C3708" t="inlineStr">
        <is>
          <t>BUSTORF LARSEN Y COMPANIA LIMITADA</t>
        </is>
      </c>
      <c r="D3708" t="inlineStr">
        <is>
          <t>HORECA CAFETERIA</t>
        </is>
      </c>
      <c r="E3708" s="34" t="n">
        <v>68179</v>
      </c>
      <c r="F3708" t="inlineStr">
        <is>
          <t>F</t>
        </is>
      </c>
      <c r="G3708" s="34" t="n">
        <v>10886</v>
      </c>
      <c r="H3708" s="34" t="n">
        <v>57293</v>
      </c>
      <c r="I3708" t="inlineStr">
        <is>
          <t>3.1</t>
        </is>
      </c>
      <c r="J3708" t="inlineStr">
        <is>
          <t>Ventas HoReCa</t>
        </is>
      </c>
      <c r="K3708" t="inlineStr">
        <is>
          <t>CH1</t>
        </is>
      </c>
    </row>
    <row r="3709">
      <c r="A3709" s="33" t="n">
        <v>45973</v>
      </c>
      <c r="B3709" t="inlineStr">
        <is>
          <t>2025-11</t>
        </is>
      </c>
      <c r="C3709" t="inlineStr">
        <is>
          <t>D&amp;S SERVICIOS DE ALIMENTACIÓN SpA</t>
        </is>
      </c>
      <c r="D3709" t="inlineStr">
        <is>
          <t xml:space="preserve">THE COFFEE STORE </t>
        </is>
      </c>
      <c r="E3709" s="34" t="n">
        <v>40293</v>
      </c>
      <c r="F3709" t="inlineStr">
        <is>
          <t>F</t>
        </is>
      </c>
      <c r="G3709" s="34" t="n">
        <v>6433</v>
      </c>
      <c r="H3709" s="34" t="n">
        <v>33860</v>
      </c>
      <c r="I3709" t="inlineStr">
        <is>
          <t>3.1</t>
        </is>
      </c>
      <c r="J3709" t="inlineStr">
        <is>
          <t>Ventas HoReCa</t>
        </is>
      </c>
      <c r="K3709" t="inlineStr">
        <is>
          <t>CH1</t>
        </is>
      </c>
    </row>
    <row r="3710">
      <c r="A3710" s="33" t="n">
        <v>45973</v>
      </c>
      <c r="B3710" t="inlineStr">
        <is>
          <t>2025-11</t>
        </is>
      </c>
      <c r="C3710" t="inlineStr">
        <is>
          <t>Patricia Hubler</t>
        </is>
      </c>
      <c r="D3710" t="inlineStr">
        <is>
          <t>Rellenos</t>
        </is>
      </c>
      <c r="E3710" s="34" t="n">
        <v>31210</v>
      </c>
      <c r="F3710" t="inlineStr">
        <is>
          <t>B</t>
        </is>
      </c>
      <c r="G3710" s="34" t="n">
        <v>4983</v>
      </c>
      <c r="H3710" s="34" t="n">
        <v>26227</v>
      </c>
      <c r="I3710" t="inlineStr">
        <is>
          <t>3.2</t>
        </is>
      </c>
      <c r="J3710" t="inlineStr">
        <is>
          <t>Ventas Personas (B2C)</t>
        </is>
      </c>
      <c r="K3710" t="inlineStr">
        <is>
          <t>CH2</t>
        </is>
      </c>
    </row>
    <row r="3711">
      <c r="A3711" s="33" t="n">
        <v>45973</v>
      </c>
      <c r="B3711" t="inlineStr">
        <is>
          <t>2025-11</t>
        </is>
      </c>
      <c r="C3711" t="inlineStr">
        <is>
          <t>Sin cliente</t>
        </is>
      </c>
      <c r="D3711" t="inlineStr">
        <is>
          <t>CANELÉ TRADICIONAL</t>
        </is>
      </c>
      <c r="E3711" s="34" t="n">
        <v>2500</v>
      </c>
      <c r="F3711" t="inlineStr">
        <is>
          <t>B</t>
        </is>
      </c>
      <c r="G3711" s="34" t="n">
        <v>399</v>
      </c>
      <c r="H3711" s="34" t="n">
        <v>2101</v>
      </c>
      <c r="I3711" t="inlineStr">
        <is>
          <t>3.2</t>
        </is>
      </c>
      <c r="J3711" t="inlineStr">
        <is>
          <t>Ventas Personas (B2C)</t>
        </is>
      </c>
      <c r="K3711" t="inlineStr">
        <is>
          <t>CH2</t>
        </is>
      </c>
    </row>
    <row r="3712">
      <c r="A3712" s="33" t="n">
        <v>45973</v>
      </c>
      <c r="B3712" t="inlineStr">
        <is>
          <t>2025-11</t>
        </is>
      </c>
      <c r="C3712" t="inlineStr">
        <is>
          <t>Andar Café SpA</t>
        </is>
      </c>
      <c r="D3712" t="inlineStr">
        <is>
          <t>HORECA CAFETERIA</t>
        </is>
      </c>
      <c r="E3712" s="34" t="n">
        <v>70463</v>
      </c>
      <c r="F3712" t="inlineStr">
        <is>
          <t>F</t>
        </is>
      </c>
      <c r="G3712" s="34" t="n">
        <v>11250</v>
      </c>
      <c r="H3712" s="34" t="n">
        <v>59213</v>
      </c>
      <c r="I3712" t="inlineStr">
        <is>
          <t>3.1</t>
        </is>
      </c>
      <c r="J3712" t="inlineStr">
        <is>
          <t>Ventas HoReCa</t>
        </is>
      </c>
      <c r="K3712" t="inlineStr">
        <is>
          <t>CH1</t>
        </is>
      </c>
    </row>
    <row r="3713">
      <c r="A3713" s="33" t="n">
        <v>45973</v>
      </c>
      <c r="B3713" t="inlineStr">
        <is>
          <t>2025-11</t>
        </is>
      </c>
      <c r="C3713" t="inlineStr">
        <is>
          <t>Sin cliente</t>
        </is>
      </c>
      <c r="D3713" t="inlineStr">
        <is>
          <t>Petit Tradicional</t>
        </is>
      </c>
      <c r="E3713" s="34" t="n">
        <v>20900</v>
      </c>
      <c r="F3713" t="inlineStr">
        <is>
          <t>B</t>
        </is>
      </c>
      <c r="G3713" s="34" t="n">
        <v>3337</v>
      </c>
      <c r="H3713" s="34" t="n">
        <v>17563</v>
      </c>
      <c r="I3713" t="inlineStr">
        <is>
          <t>3.2</t>
        </is>
      </c>
      <c r="J3713" t="inlineStr">
        <is>
          <t>Ventas Personas (B2C)</t>
        </is>
      </c>
      <c r="K3713" t="inlineStr">
        <is>
          <t>CH2</t>
        </is>
      </c>
    </row>
    <row r="3714">
      <c r="A3714" s="33" t="n">
        <v>45973</v>
      </c>
      <c r="B3714" t="inlineStr">
        <is>
          <t>2025-11</t>
        </is>
      </c>
      <c r="C3714" t="inlineStr">
        <is>
          <t>Marcela Funes</t>
        </is>
      </c>
      <c r="D3714" t="inlineStr">
        <is>
          <t>Rellenos</t>
        </is>
      </c>
      <c r="E3714" s="34" t="n">
        <v>41694</v>
      </c>
      <c r="F3714" t="inlineStr">
        <is>
          <t>B</t>
        </is>
      </c>
      <c r="G3714" s="34" t="n">
        <v>6657</v>
      </c>
      <c r="H3714" s="34" t="n">
        <v>35037</v>
      </c>
      <c r="I3714" t="inlineStr">
        <is>
          <t>3.2</t>
        </is>
      </c>
      <c r="J3714" t="inlineStr">
        <is>
          <t>Ventas Personas (B2C)</t>
        </is>
      </c>
      <c r="K3714" t="inlineStr">
        <is>
          <t>CH2</t>
        </is>
      </c>
    </row>
    <row r="3715">
      <c r="A3715" s="33" t="n">
        <v>45973</v>
      </c>
      <c r="B3715" t="inlineStr">
        <is>
          <t>2025-11</t>
        </is>
      </c>
      <c r="C3715" t="inlineStr">
        <is>
          <t>RAUL FUENTES</t>
        </is>
      </c>
      <c r="D3715" t="inlineStr">
        <is>
          <t>SALSAS</t>
        </is>
      </c>
      <c r="E3715" s="34" t="n">
        <v>45075</v>
      </c>
      <c r="F3715" t="inlineStr">
        <is>
          <t>B</t>
        </is>
      </c>
      <c r="G3715" s="34" t="n">
        <v>7197</v>
      </c>
      <c r="H3715" s="34" t="n">
        <v>37878</v>
      </c>
      <c r="I3715" t="inlineStr">
        <is>
          <t>3.2</t>
        </is>
      </c>
      <c r="J3715" t="inlineStr">
        <is>
          <t>Ventas Personas (B2C)</t>
        </is>
      </c>
      <c r="K3715" t="inlineStr">
        <is>
          <t>CH2</t>
        </is>
      </c>
    </row>
    <row r="3716">
      <c r="A3716" s="33" t="n">
        <v>45973</v>
      </c>
      <c r="B3716" t="inlineStr">
        <is>
          <t>2025-11</t>
        </is>
      </c>
      <c r="C3716" t="inlineStr">
        <is>
          <t>Maria Alicia Reyes</t>
        </is>
      </c>
      <c r="D3716" t="inlineStr">
        <is>
          <t>Rellenos</t>
        </is>
      </c>
      <c r="E3716" s="34" t="n">
        <v>37790</v>
      </c>
      <c r="F3716" t="inlineStr">
        <is>
          <t>B</t>
        </is>
      </c>
      <c r="G3716" s="34" t="n">
        <v>6034</v>
      </c>
      <c r="H3716" s="34" t="n">
        <v>31756</v>
      </c>
      <c r="I3716" t="inlineStr">
        <is>
          <t>3.2</t>
        </is>
      </c>
      <c r="J3716" t="inlineStr">
        <is>
          <t>Ventas Personas (B2C)</t>
        </is>
      </c>
      <c r="K3716" t="inlineStr">
        <is>
          <t>CH2</t>
        </is>
      </c>
    </row>
    <row r="3717">
      <c r="A3717" s="33" t="n">
        <v>45973</v>
      </c>
      <c r="B3717" t="inlineStr">
        <is>
          <t>2025-11</t>
        </is>
      </c>
      <c r="C3717" t="inlineStr">
        <is>
          <t>Sin cliente</t>
        </is>
      </c>
      <c r="D3717" t="inlineStr">
        <is>
          <t>SALSAS</t>
        </is>
      </c>
      <c r="E3717" s="34" t="n">
        <v>26790</v>
      </c>
      <c r="F3717" t="inlineStr">
        <is>
          <t>B</t>
        </is>
      </c>
      <c r="G3717" s="34" t="n">
        <v>4277</v>
      </c>
      <c r="H3717" s="34" t="n">
        <v>22513</v>
      </c>
      <c r="I3717" t="inlineStr">
        <is>
          <t>3.2</t>
        </is>
      </c>
      <c r="J3717" t="inlineStr">
        <is>
          <t>Ventas Personas (B2C)</t>
        </is>
      </c>
      <c r="K3717" t="inlineStr">
        <is>
          <t>CH2</t>
        </is>
      </c>
    </row>
    <row r="3718">
      <c r="A3718" s="33" t="n">
        <v>45973</v>
      </c>
      <c r="B3718" t="inlineStr">
        <is>
          <t>2025-11</t>
        </is>
      </c>
      <c r="C3718" t="inlineStr">
        <is>
          <t>Sin cliente</t>
        </is>
      </c>
      <c r="D3718" t="inlineStr">
        <is>
          <t>CANELÉ TRADICIONAL</t>
        </is>
      </c>
      <c r="E3718" s="34" t="n">
        <v>2500</v>
      </c>
      <c r="F3718" t="inlineStr">
        <is>
          <t>B</t>
        </is>
      </c>
      <c r="G3718" s="34" t="n">
        <v>399</v>
      </c>
      <c r="H3718" s="34" t="n">
        <v>2101</v>
      </c>
      <c r="I3718" t="inlineStr">
        <is>
          <t>3.2</t>
        </is>
      </c>
      <c r="J3718" t="inlineStr">
        <is>
          <t>Ventas Personas (B2C)</t>
        </is>
      </c>
      <c r="K3718" t="inlineStr">
        <is>
          <t>CH2</t>
        </is>
      </c>
    </row>
    <row r="3719">
      <c r="A3719" s="33" t="n">
        <v>45973</v>
      </c>
      <c r="B3719" t="inlineStr">
        <is>
          <t>2025-11</t>
        </is>
      </c>
      <c r="C3719" t="inlineStr">
        <is>
          <t>Sin cliente</t>
        </is>
      </c>
      <c r="D3719" t="inlineStr">
        <is>
          <t>CANELÉ TRADICIONAL</t>
        </is>
      </c>
      <c r="E3719" s="34" t="n">
        <v>26900</v>
      </c>
      <c r="F3719" t="inlineStr">
        <is>
          <t>B</t>
        </is>
      </c>
      <c r="G3719" s="34" t="n">
        <v>4295</v>
      </c>
      <c r="H3719" s="34" t="n">
        <v>22605</v>
      </c>
      <c r="I3719" t="inlineStr">
        <is>
          <t>3.2</t>
        </is>
      </c>
      <c r="J3719" t="inlineStr">
        <is>
          <t>Ventas Personas (B2C)</t>
        </is>
      </c>
      <c r="K3719" t="inlineStr">
        <is>
          <t>CH2</t>
        </is>
      </c>
    </row>
    <row r="3720">
      <c r="A3720" s="33" t="n">
        <v>45974</v>
      </c>
      <c r="B3720" t="inlineStr">
        <is>
          <t>2025-11</t>
        </is>
      </c>
      <c r="C3720" t="inlineStr">
        <is>
          <t>Better Food Spa</t>
        </is>
      </c>
      <c r="D3720" t="inlineStr">
        <is>
          <t>HORECA CAFETERIA</t>
        </is>
      </c>
      <c r="E3720" s="34" t="n">
        <v>288849</v>
      </c>
      <c r="F3720" t="inlineStr">
        <is>
          <t>F</t>
        </is>
      </c>
      <c r="G3720" s="34" t="n">
        <v>46119</v>
      </c>
      <c r="H3720" s="34" t="n">
        <v>242730</v>
      </c>
      <c r="I3720" t="inlineStr">
        <is>
          <t>3.1</t>
        </is>
      </c>
      <c r="J3720" t="inlineStr">
        <is>
          <t>Ventas HoReCa</t>
        </is>
      </c>
      <c r="K3720" t="inlineStr">
        <is>
          <t>CH1</t>
        </is>
      </c>
    </row>
    <row r="3721">
      <c r="A3721" s="33" t="n">
        <v>45974</v>
      </c>
      <c r="B3721" t="inlineStr">
        <is>
          <t>2025-11</t>
        </is>
      </c>
      <c r="C3721" t="inlineStr">
        <is>
          <t>GALO SPA</t>
        </is>
      </c>
      <c r="D3721" t="inlineStr">
        <is>
          <t>HORECA CAFETERIA</t>
        </is>
      </c>
      <c r="E3721" s="34" t="n">
        <v>235144</v>
      </c>
      <c r="F3721" t="inlineStr">
        <is>
          <t>F</t>
        </is>
      </c>
      <c r="G3721" s="34" t="n">
        <v>37544</v>
      </c>
      <c r="H3721" s="34" t="n">
        <v>197600</v>
      </c>
      <c r="I3721" t="inlineStr">
        <is>
          <t>3.1</t>
        </is>
      </c>
      <c r="J3721" t="inlineStr">
        <is>
          <t>Ventas HoReCa</t>
        </is>
      </c>
      <c r="K3721" t="inlineStr">
        <is>
          <t>CH1</t>
        </is>
      </c>
    </row>
    <row r="3722">
      <c r="A3722" s="33" t="n">
        <v>45974</v>
      </c>
      <c r="B3722" t="inlineStr">
        <is>
          <t>2025-11</t>
        </is>
      </c>
      <c r="C3722" t="inlineStr">
        <is>
          <t>TAVELLI S.A.</t>
        </is>
      </c>
      <c r="D3722" t="inlineStr">
        <is>
          <t>HORECA CAFETERIA</t>
        </is>
      </c>
      <c r="E3722" s="34" t="n">
        <v>818405</v>
      </c>
      <c r="F3722" t="inlineStr">
        <is>
          <t>F</t>
        </is>
      </c>
      <c r="G3722" s="34" t="n">
        <v>130670</v>
      </c>
      <c r="H3722" s="34" t="n">
        <v>687735</v>
      </c>
      <c r="I3722" t="inlineStr">
        <is>
          <t>3.1</t>
        </is>
      </c>
      <c r="J3722" t="inlineStr">
        <is>
          <t>Ventas HoReCa</t>
        </is>
      </c>
      <c r="K3722" t="inlineStr">
        <is>
          <t>CH1</t>
        </is>
      </c>
    </row>
    <row r="3723">
      <c r="A3723" s="33" t="n">
        <v>45974</v>
      </c>
      <c r="B3723" t="inlineStr">
        <is>
          <t>2025-11</t>
        </is>
      </c>
      <c r="C3723" t="inlineStr">
        <is>
          <t>TAVELLI S.A.</t>
        </is>
      </c>
      <c r="D3723" t="inlineStr">
        <is>
          <t>REGION METROPOLITANA</t>
        </is>
      </c>
      <c r="E3723" s="34" t="n">
        <v>35700</v>
      </c>
      <c r="F3723" t="inlineStr">
        <is>
          <t>F</t>
        </is>
      </c>
      <c r="G3723" s="34" t="n">
        <v>5700</v>
      </c>
      <c r="H3723" s="34" t="n">
        <v>30000</v>
      </c>
      <c r="I3723" t="inlineStr">
        <is>
          <t>3.1</t>
        </is>
      </c>
      <c r="J3723" t="inlineStr">
        <is>
          <t>Ventas HoReCa</t>
        </is>
      </c>
      <c r="K3723" t="inlineStr">
        <is>
          <t>CH1</t>
        </is>
      </c>
    </row>
    <row r="3724">
      <c r="A3724" s="33" t="n">
        <v>45974</v>
      </c>
      <c r="B3724" t="inlineStr">
        <is>
          <t>2025-11</t>
        </is>
      </c>
      <c r="C3724" t="inlineStr">
        <is>
          <t>Andariego Coffee Spa</t>
        </is>
      </c>
      <c r="D3724" t="inlineStr">
        <is>
          <t>REGION METROPOLITANA</t>
        </is>
      </c>
      <c r="E3724" s="34" t="n">
        <v>4990</v>
      </c>
      <c r="F3724" t="inlineStr">
        <is>
          <t>F</t>
        </is>
      </c>
      <c r="G3724" s="34" t="n">
        <v>797</v>
      </c>
      <c r="H3724" s="34" t="n">
        <v>4193</v>
      </c>
      <c r="I3724" t="inlineStr">
        <is>
          <t>3.1</t>
        </is>
      </c>
      <c r="J3724" t="inlineStr">
        <is>
          <t>Ventas HoReCa</t>
        </is>
      </c>
      <c r="K3724" t="inlineStr">
        <is>
          <t>CH1</t>
        </is>
      </c>
    </row>
    <row r="3725">
      <c r="A3725" s="33" t="n">
        <v>45974</v>
      </c>
      <c r="B3725" t="inlineStr">
        <is>
          <t>2025-11</t>
        </is>
      </c>
      <c r="C3725" t="inlineStr">
        <is>
          <t>Javi Valdivieso</t>
        </is>
      </c>
      <c r="D3725" t="inlineStr">
        <is>
          <t>CANELE SIN AZUCAR</t>
        </is>
      </c>
      <c r="E3725" s="34" t="n">
        <v>17289</v>
      </c>
      <c r="F3725" t="inlineStr">
        <is>
          <t>B</t>
        </is>
      </c>
      <c r="G3725" s="34" t="n">
        <v>2760</v>
      </c>
      <c r="H3725" s="34" t="n">
        <v>14529</v>
      </c>
      <c r="I3725" t="inlineStr">
        <is>
          <t>3.2</t>
        </is>
      </c>
      <c r="J3725" t="inlineStr">
        <is>
          <t>Ventas Personas (B2C)</t>
        </is>
      </c>
      <c r="K3725" t="inlineStr">
        <is>
          <t>CH2</t>
        </is>
      </c>
    </row>
    <row r="3726">
      <c r="A3726" s="33" t="n">
        <v>45974</v>
      </c>
      <c r="B3726" t="inlineStr">
        <is>
          <t>2025-11</t>
        </is>
      </c>
      <c r="C3726" t="inlineStr">
        <is>
          <t>NACIÓN CAFÉ SPA</t>
        </is>
      </c>
      <c r="D3726" t="inlineStr">
        <is>
          <t>HORECA CAFETERIA</t>
        </is>
      </c>
      <c r="E3726" s="34" t="n">
        <v>71463</v>
      </c>
      <c r="F3726" t="inlineStr">
        <is>
          <t>F</t>
        </is>
      </c>
      <c r="G3726" s="34" t="n">
        <v>11410</v>
      </c>
      <c r="H3726" s="34" t="n">
        <v>60053</v>
      </c>
      <c r="I3726" t="inlineStr">
        <is>
          <t>3.1</t>
        </is>
      </c>
      <c r="J3726" t="inlineStr">
        <is>
          <t>Ventas HoReCa</t>
        </is>
      </c>
      <c r="K3726" t="inlineStr">
        <is>
          <t>CH1</t>
        </is>
      </c>
    </row>
    <row r="3727">
      <c r="A3727" s="33" t="n">
        <v>45974</v>
      </c>
      <c r="B3727" t="inlineStr">
        <is>
          <t>2025-11</t>
        </is>
      </c>
      <c r="C3727" t="inlineStr">
        <is>
          <t>Saxana Sequeida Tejeda</t>
        </is>
      </c>
      <c r="D3727" t="inlineStr">
        <is>
          <t>Petit Crunchy</t>
        </is>
      </c>
      <c r="E3727" s="34" t="n">
        <v>16889</v>
      </c>
      <c r="F3727" t="inlineStr">
        <is>
          <t>B</t>
        </is>
      </c>
      <c r="G3727" s="34" t="n">
        <v>2697</v>
      </c>
      <c r="H3727" s="34" t="n">
        <v>14192</v>
      </c>
      <c r="I3727" t="inlineStr">
        <is>
          <t>3.2</t>
        </is>
      </c>
      <c r="J3727" t="inlineStr">
        <is>
          <t>Ventas Personas (B2C)</t>
        </is>
      </c>
      <c r="K3727" t="inlineStr">
        <is>
          <t>CH2</t>
        </is>
      </c>
    </row>
    <row r="3728">
      <c r="A3728" s="33" t="n">
        <v>45974</v>
      </c>
      <c r="B3728" t="inlineStr">
        <is>
          <t>2025-11</t>
        </is>
      </c>
      <c r="C3728" t="inlineStr">
        <is>
          <t>RAUL FUENTES</t>
        </is>
      </c>
      <c r="D3728" t="inlineStr">
        <is>
          <t>SALSAS</t>
        </is>
      </c>
      <c r="E3728" s="34" t="n">
        <v>45075</v>
      </c>
      <c r="F3728" t="inlineStr">
        <is>
          <t>B</t>
        </is>
      </c>
      <c r="G3728" s="34" t="n">
        <v>7197</v>
      </c>
      <c r="H3728" s="34" t="n">
        <v>37878</v>
      </c>
      <c r="I3728" t="inlineStr">
        <is>
          <t>3.2</t>
        </is>
      </c>
      <c r="J3728" t="inlineStr">
        <is>
          <t>Ventas Personas (B2C)</t>
        </is>
      </c>
      <c r="K3728" t="inlineStr">
        <is>
          <t>CH2</t>
        </is>
      </c>
    </row>
    <row r="3729">
      <c r="A3729" s="33" t="n">
        <v>45974</v>
      </c>
      <c r="B3729" t="inlineStr">
        <is>
          <t>2025-11</t>
        </is>
      </c>
      <c r="C3729" t="inlineStr">
        <is>
          <t>Sin cliente</t>
        </is>
      </c>
      <c r="D3729" t="inlineStr">
        <is>
          <t>PLATAFORMAS RAP-PEYA-UBER-GOOD</t>
        </is>
      </c>
      <c r="E3729" s="34" t="n">
        <v>22080</v>
      </c>
      <c r="F3729" t="inlineStr">
        <is>
          <t>B</t>
        </is>
      </c>
      <c r="G3729" s="34" t="n">
        <v>3525</v>
      </c>
      <c r="H3729" s="34" t="n">
        <v>18555</v>
      </c>
      <c r="I3729" t="inlineStr">
        <is>
          <t>3.6</t>
        </is>
      </c>
      <c r="J3729" t="inlineStr">
        <is>
          <t>Ventas Delivery Apps</t>
        </is>
      </c>
      <c r="K3729" t="inlineStr">
        <is>
          <t>CH3</t>
        </is>
      </c>
    </row>
    <row r="3730">
      <c r="A3730" s="33" t="n">
        <v>45974</v>
      </c>
      <c r="B3730" t="inlineStr">
        <is>
          <t>2025-11</t>
        </is>
      </c>
      <c r="C3730" t="inlineStr">
        <is>
          <t>Sin cliente</t>
        </is>
      </c>
      <c r="D3730" t="inlineStr">
        <is>
          <t>PLATAFORMAS RAP-PEYA-UBER-GOOD</t>
        </is>
      </c>
      <c r="E3730" s="34" t="n">
        <v>13140</v>
      </c>
      <c r="F3730" t="inlineStr">
        <is>
          <t>B</t>
        </is>
      </c>
      <c r="G3730" s="34" t="n">
        <v>2098</v>
      </c>
      <c r="H3730" s="34" t="n">
        <v>11042</v>
      </c>
      <c r="I3730" t="inlineStr">
        <is>
          <t>3.6</t>
        </is>
      </c>
      <c r="J3730" t="inlineStr">
        <is>
          <t>Ventas Delivery Apps</t>
        </is>
      </c>
      <c r="K3730" t="inlineStr">
        <is>
          <t>CH3</t>
        </is>
      </c>
    </row>
    <row r="3731">
      <c r="A3731" s="33" t="n">
        <v>45974</v>
      </c>
      <c r="B3731" t="inlineStr">
        <is>
          <t>2025-11</t>
        </is>
      </c>
      <c r="C3731" t="inlineStr">
        <is>
          <t>Sin cliente</t>
        </is>
      </c>
      <c r="D3731" t="inlineStr">
        <is>
          <t>PLATAFORMAS RAP-PEYA-UBER-GOOD</t>
        </is>
      </c>
      <c r="E3731" s="34" t="n">
        <v>13140</v>
      </c>
      <c r="F3731" t="inlineStr">
        <is>
          <t>B</t>
        </is>
      </c>
      <c r="G3731" s="34" t="n">
        <v>2098</v>
      </c>
      <c r="H3731" s="34" t="n">
        <v>11042</v>
      </c>
      <c r="I3731" t="inlineStr">
        <is>
          <t>3.6</t>
        </is>
      </c>
      <c r="J3731" t="inlineStr">
        <is>
          <t>Ventas Delivery Apps</t>
        </is>
      </c>
      <c r="K3731" t="inlineStr">
        <is>
          <t>CH3</t>
        </is>
      </c>
    </row>
    <row r="3732">
      <c r="A3732" s="33" t="n">
        <v>45974</v>
      </c>
      <c r="B3732" t="inlineStr">
        <is>
          <t>2025-11</t>
        </is>
      </c>
      <c r="C3732" t="inlineStr">
        <is>
          <t>Sin cliente</t>
        </is>
      </c>
      <c r="D3732" t="inlineStr">
        <is>
          <t>PLATAFORMAS RAP-PEYA-UBER-GOOD</t>
        </is>
      </c>
      <c r="E3732" s="34" t="n">
        <v>16140</v>
      </c>
      <c r="F3732" t="inlineStr">
        <is>
          <t>B</t>
        </is>
      </c>
      <c r="G3732" s="34" t="n">
        <v>2577</v>
      </c>
      <c r="H3732" s="34" t="n">
        <v>13563</v>
      </c>
      <c r="I3732" t="inlineStr">
        <is>
          <t>3.6</t>
        </is>
      </c>
      <c r="J3732" t="inlineStr">
        <is>
          <t>Ventas Delivery Apps</t>
        </is>
      </c>
      <c r="K3732" t="inlineStr">
        <is>
          <t>CH3</t>
        </is>
      </c>
    </row>
    <row r="3733">
      <c r="A3733" s="33" t="n">
        <v>45974</v>
      </c>
      <c r="B3733" t="inlineStr">
        <is>
          <t>2025-11</t>
        </is>
      </c>
      <c r="C3733" t="inlineStr">
        <is>
          <t>Sin cliente</t>
        </is>
      </c>
      <c r="D3733" t="inlineStr">
        <is>
          <t>CANELÉ TRADICIONAL</t>
        </is>
      </c>
      <c r="E3733" s="34" t="n">
        <v>26900</v>
      </c>
      <c r="F3733" t="inlineStr">
        <is>
          <t>B</t>
        </is>
      </c>
      <c r="G3733" s="34" t="n">
        <v>4295</v>
      </c>
      <c r="H3733" s="34" t="n">
        <v>22605</v>
      </c>
      <c r="I3733" t="inlineStr">
        <is>
          <t>3.2</t>
        </is>
      </c>
      <c r="J3733" t="inlineStr">
        <is>
          <t>Ventas Personas (B2C)</t>
        </is>
      </c>
      <c r="K3733" t="inlineStr">
        <is>
          <t>CH2</t>
        </is>
      </c>
    </row>
    <row r="3734">
      <c r="A3734" s="33" t="n">
        <v>45974</v>
      </c>
      <c r="B3734" t="inlineStr">
        <is>
          <t>2025-11</t>
        </is>
      </c>
      <c r="C3734" t="inlineStr">
        <is>
          <t>Felipe Huaiquiche</t>
        </is>
      </c>
      <c r="D3734" t="inlineStr">
        <is>
          <t>Rellenos</t>
        </is>
      </c>
      <c r="E3734" s="34" t="n">
        <v>29789</v>
      </c>
      <c r="F3734" t="inlineStr">
        <is>
          <t>B</t>
        </is>
      </c>
      <c r="G3734" s="34" t="n">
        <v>4756</v>
      </c>
      <c r="H3734" s="34" t="n">
        <v>25033</v>
      </c>
      <c r="I3734" t="inlineStr">
        <is>
          <t>3.2</t>
        </is>
      </c>
      <c r="J3734" t="inlineStr">
        <is>
          <t>Ventas Personas (B2C)</t>
        </is>
      </c>
      <c r="K3734" t="inlineStr">
        <is>
          <t>CH2</t>
        </is>
      </c>
    </row>
    <row r="3735">
      <c r="A3735" s="33" t="n">
        <v>45975</v>
      </c>
      <c r="B3735" t="inlineStr">
        <is>
          <t>2025-11</t>
        </is>
      </c>
      <c r="C3735" t="inlineStr">
        <is>
          <t>VILAS BANQUETERIAS SPA</t>
        </is>
      </c>
      <c r="D3735" t="inlineStr">
        <is>
          <t>HORECA CATERING</t>
        </is>
      </c>
      <c r="E3735" s="34" t="n">
        <v>145362</v>
      </c>
      <c r="F3735" t="inlineStr">
        <is>
          <t>F</t>
        </is>
      </c>
      <c r="G3735" s="34" t="n">
        <v>23209</v>
      </c>
      <c r="H3735" s="34" t="n">
        <v>122153</v>
      </c>
      <c r="I3735" t="inlineStr">
        <is>
          <t>3.1</t>
        </is>
      </c>
      <c r="J3735" t="inlineStr">
        <is>
          <t>Ventas HoReCa</t>
        </is>
      </c>
      <c r="K3735" t="inlineStr">
        <is>
          <t>CH1</t>
        </is>
      </c>
    </row>
    <row r="3736">
      <c r="A3736" s="33" t="n">
        <v>45975</v>
      </c>
      <c r="B3736" t="inlineStr">
        <is>
          <t>2025-11</t>
        </is>
      </c>
      <c r="C3736" t="inlineStr">
        <is>
          <t>Clark Veloso Valenzuela</t>
        </is>
      </c>
      <c r="D3736" t="inlineStr">
        <is>
          <t>HORECA CAFETERIA</t>
        </is>
      </c>
      <c r="E3736" s="34" t="n">
        <v>101273</v>
      </c>
      <c r="F3736" t="inlineStr">
        <is>
          <t>F</t>
        </is>
      </c>
      <c r="G3736" s="34" t="n">
        <v>16170</v>
      </c>
      <c r="H3736" s="34" t="n">
        <v>85103</v>
      </c>
      <c r="I3736" t="inlineStr">
        <is>
          <t>3.1</t>
        </is>
      </c>
      <c r="J3736" t="inlineStr">
        <is>
          <t>Ventas HoReCa</t>
        </is>
      </c>
      <c r="K3736" t="inlineStr">
        <is>
          <t>CH1</t>
        </is>
      </c>
    </row>
    <row r="3737">
      <c r="A3737" s="33" t="n">
        <v>45975</v>
      </c>
      <c r="B3737" t="inlineStr">
        <is>
          <t>2025-11</t>
        </is>
      </c>
      <c r="C3737" t="inlineStr">
        <is>
          <t>BLUE OAK COFFE SPA</t>
        </is>
      </c>
      <c r="D3737" t="inlineStr">
        <is>
          <t>HORECA CAFETERIA</t>
        </is>
      </c>
      <c r="E3737" s="34" t="n">
        <v>68179</v>
      </c>
      <c r="F3737" t="inlineStr">
        <is>
          <t>F</t>
        </is>
      </c>
      <c r="G3737" s="34" t="n">
        <v>10886</v>
      </c>
      <c r="H3737" s="34" t="n">
        <v>57293</v>
      </c>
      <c r="I3737" t="inlineStr">
        <is>
          <t>3.1</t>
        </is>
      </c>
      <c r="J3737" t="inlineStr">
        <is>
          <t>Ventas HoReCa</t>
        </is>
      </c>
      <c r="K3737" t="inlineStr">
        <is>
          <t>CH1</t>
        </is>
      </c>
    </row>
    <row r="3738">
      <c r="A3738" s="33" t="n">
        <v>45975</v>
      </c>
      <c r="B3738" t="inlineStr">
        <is>
          <t>2025-11</t>
        </is>
      </c>
      <c r="C3738" t="inlineStr">
        <is>
          <t>Quintana&amp;Rivera SpA</t>
        </is>
      </c>
      <c r="D3738" t="inlineStr">
        <is>
          <t>HORECA CAFETERIA</t>
        </is>
      </c>
      <c r="E3738" s="34" t="n">
        <v>98464</v>
      </c>
      <c r="F3738" t="inlineStr">
        <is>
          <t>F</t>
        </is>
      </c>
      <c r="G3738" s="34" t="n">
        <v>15721</v>
      </c>
      <c r="H3738" s="34" t="n">
        <v>82743</v>
      </c>
      <c r="I3738" t="inlineStr">
        <is>
          <t>3.1</t>
        </is>
      </c>
      <c r="J3738" t="inlineStr">
        <is>
          <t>Ventas HoReCa</t>
        </is>
      </c>
      <c r="K3738" t="inlineStr">
        <is>
          <t>CH1</t>
        </is>
      </c>
    </row>
    <row r="3739">
      <c r="A3739" s="33" t="n">
        <v>45975</v>
      </c>
      <c r="B3739" t="inlineStr">
        <is>
          <t>2025-11</t>
        </is>
      </c>
      <c r="C3739" t="inlineStr">
        <is>
          <t>CAFE DIARIO ENCOMENDEROS SPA</t>
        </is>
      </c>
      <c r="D3739" t="inlineStr">
        <is>
          <t>HORECA CAFETERIA</t>
        </is>
      </c>
      <c r="E3739" s="34" t="n">
        <v>72862</v>
      </c>
      <c r="F3739" t="inlineStr">
        <is>
          <t>F</t>
        </is>
      </c>
      <c r="G3739" s="34" t="n">
        <v>11633</v>
      </c>
      <c r="H3739" s="34" t="n">
        <v>61229</v>
      </c>
      <c r="I3739" t="inlineStr">
        <is>
          <t>3.1</t>
        </is>
      </c>
      <c r="J3739" t="inlineStr">
        <is>
          <t>Ventas HoReCa</t>
        </is>
      </c>
      <c r="K3739" t="inlineStr">
        <is>
          <t>CH1</t>
        </is>
      </c>
    </row>
    <row r="3740">
      <c r="A3740" s="33" t="n">
        <v>45975</v>
      </c>
      <c r="B3740" t="inlineStr">
        <is>
          <t>2025-11</t>
        </is>
      </c>
      <c r="C3740" t="inlineStr">
        <is>
          <t>Melissa Miranda</t>
        </is>
      </c>
      <c r="D3740" t="inlineStr">
        <is>
          <t>Petit Crunchy</t>
        </is>
      </c>
      <c r="E3740" s="34" t="n">
        <v>16889</v>
      </c>
      <c r="F3740" t="inlineStr">
        <is>
          <t>B</t>
        </is>
      </c>
      <c r="G3740" s="34" t="n">
        <v>2697</v>
      </c>
      <c r="H3740" s="34" t="n">
        <v>14192</v>
      </c>
      <c r="I3740" t="inlineStr">
        <is>
          <t>3.2</t>
        </is>
      </c>
      <c r="J3740" t="inlineStr">
        <is>
          <t>Ventas Personas (B2C)</t>
        </is>
      </c>
      <c r="K3740" t="inlineStr">
        <is>
          <t>CH2</t>
        </is>
      </c>
    </row>
    <row r="3741">
      <c r="A3741" s="33" t="n">
        <v>45975</v>
      </c>
      <c r="B3741" t="inlineStr">
        <is>
          <t>2025-11</t>
        </is>
      </c>
      <c r="C3741" t="inlineStr">
        <is>
          <t>Miriam Bastidas</t>
        </is>
      </c>
      <c r="D3741" t="inlineStr">
        <is>
          <t>SALSAS</t>
        </is>
      </c>
      <c r="E3741" s="34" t="n">
        <v>22783</v>
      </c>
      <c r="F3741" t="inlineStr">
        <is>
          <t>B</t>
        </is>
      </c>
      <c r="G3741" s="34" t="n">
        <v>3638</v>
      </c>
      <c r="H3741" s="34" t="n">
        <v>19145</v>
      </c>
      <c r="I3741" t="inlineStr">
        <is>
          <t>3.2</t>
        </is>
      </c>
      <c r="J3741" t="inlineStr">
        <is>
          <t>Ventas Personas (B2C)</t>
        </is>
      </c>
      <c r="K3741" t="inlineStr">
        <is>
          <t>CH2</t>
        </is>
      </c>
    </row>
    <row r="3742">
      <c r="A3742" s="33" t="n">
        <v>45975</v>
      </c>
      <c r="B3742" t="inlineStr">
        <is>
          <t>2025-11</t>
        </is>
      </c>
      <c r="C3742" t="inlineStr">
        <is>
          <t>Sin cliente</t>
        </is>
      </c>
      <c r="D3742" t="inlineStr">
        <is>
          <t>PLATAFORMAS RAP-PEYA-UBER-GOOD</t>
        </is>
      </c>
      <c r="E3742" s="34" t="n">
        <v>14880</v>
      </c>
      <c r="F3742" t="inlineStr">
        <is>
          <t>B</t>
        </is>
      </c>
      <c r="G3742" s="34" t="n">
        <v>2376</v>
      </c>
      <c r="H3742" s="34" t="n">
        <v>12504</v>
      </c>
      <c r="I3742" t="inlineStr">
        <is>
          <t>3.6</t>
        </is>
      </c>
      <c r="J3742" t="inlineStr">
        <is>
          <t>Ventas Delivery Apps</t>
        </is>
      </c>
      <c r="K3742" t="inlineStr">
        <is>
          <t>CH3</t>
        </is>
      </c>
    </row>
    <row r="3743">
      <c r="A3743" s="33" t="n">
        <v>45975</v>
      </c>
      <c r="B3743" t="inlineStr">
        <is>
          <t>2025-11</t>
        </is>
      </c>
      <c r="C3743" t="inlineStr">
        <is>
          <t>Camila Pamplona</t>
        </is>
      </c>
      <c r="D3743" t="inlineStr">
        <is>
          <t>Petit Crunchy</t>
        </is>
      </c>
      <c r="E3743" s="34" t="n">
        <v>38889</v>
      </c>
      <c r="F3743" t="inlineStr">
        <is>
          <t>B</t>
        </is>
      </c>
      <c r="G3743" s="34" t="n">
        <v>6209</v>
      </c>
      <c r="H3743" s="34" t="n">
        <v>32680</v>
      </c>
      <c r="I3743" t="inlineStr">
        <is>
          <t>3.2</t>
        </is>
      </c>
      <c r="J3743" t="inlineStr">
        <is>
          <t>Ventas Personas (B2C)</t>
        </is>
      </c>
      <c r="K3743" t="inlineStr">
        <is>
          <t>CH2</t>
        </is>
      </c>
    </row>
    <row r="3744">
      <c r="A3744" s="33" t="n">
        <v>45975</v>
      </c>
      <c r="B3744" t="inlineStr">
        <is>
          <t>2025-11</t>
        </is>
      </c>
      <c r="C3744" t="inlineStr">
        <is>
          <t>Mónica Pérez</t>
        </is>
      </c>
      <c r="D3744" t="inlineStr">
        <is>
          <t>Petit Tradicional</t>
        </is>
      </c>
      <c r="E3744" s="34" t="n">
        <v>41689</v>
      </c>
      <c r="F3744" t="inlineStr">
        <is>
          <t>B</t>
        </is>
      </c>
      <c r="G3744" s="34" t="n">
        <v>6656</v>
      </c>
      <c r="H3744" s="34" t="n">
        <v>35033</v>
      </c>
      <c r="I3744" t="inlineStr">
        <is>
          <t>3.2</t>
        </is>
      </c>
      <c r="J3744" t="inlineStr">
        <is>
          <t>Ventas Personas (B2C)</t>
        </is>
      </c>
      <c r="K3744" t="inlineStr">
        <is>
          <t>CH2</t>
        </is>
      </c>
    </row>
    <row r="3745">
      <c r="A3745" s="33" t="n">
        <v>45975</v>
      </c>
      <c r="B3745" t="inlineStr">
        <is>
          <t>2025-11</t>
        </is>
      </c>
      <c r="C3745" t="inlineStr">
        <is>
          <t>Sin cliente</t>
        </is>
      </c>
      <c r="D3745" t="inlineStr">
        <is>
          <t>PLATAFORMAS RAP-PEYA-UBER-GOOD</t>
        </is>
      </c>
      <c r="E3745" s="34" t="n">
        <v>15480</v>
      </c>
      <c r="F3745" t="inlineStr">
        <is>
          <t>B</t>
        </is>
      </c>
      <c r="G3745" s="34" t="n">
        <v>2472</v>
      </c>
      <c r="H3745" s="34" t="n">
        <v>13008</v>
      </c>
      <c r="I3745" t="inlineStr">
        <is>
          <t>3.6</t>
        </is>
      </c>
      <c r="J3745" t="inlineStr">
        <is>
          <t>Ventas Delivery Apps</t>
        </is>
      </c>
      <c r="K3745" t="inlineStr">
        <is>
          <t>CH3</t>
        </is>
      </c>
    </row>
    <row r="3746">
      <c r="A3746" s="33" t="n">
        <v>45975</v>
      </c>
      <c r="B3746" t="inlineStr">
        <is>
          <t>2025-11</t>
        </is>
      </c>
      <c r="C3746" t="inlineStr">
        <is>
          <t>Sin cliente</t>
        </is>
      </c>
      <c r="D3746" t="inlineStr">
        <is>
          <t>PLATAFORMAS RAP-PEYA-UBER-GOOD</t>
        </is>
      </c>
      <c r="E3746" s="34" t="n">
        <v>25080</v>
      </c>
      <c r="F3746" t="inlineStr">
        <is>
          <t>B</t>
        </is>
      </c>
      <c r="G3746" s="34" t="n">
        <v>4004</v>
      </c>
      <c r="H3746" s="34" t="n">
        <v>21076</v>
      </c>
      <c r="I3746" t="inlineStr">
        <is>
          <t>3.6</t>
        </is>
      </c>
      <c r="J3746" t="inlineStr">
        <is>
          <t>Ventas Delivery Apps</t>
        </is>
      </c>
      <c r="K3746" t="inlineStr">
        <is>
          <t>CH3</t>
        </is>
      </c>
    </row>
    <row r="3747">
      <c r="A3747" s="33" t="n">
        <v>45975</v>
      </c>
      <c r="B3747" t="inlineStr">
        <is>
          <t>2025-11</t>
        </is>
      </c>
      <c r="C3747" t="inlineStr">
        <is>
          <t>Javiera Díaz</t>
        </is>
      </c>
      <c r="D3747" t="inlineStr">
        <is>
          <t>CANELÉ TRADICIONAL</t>
        </is>
      </c>
      <c r="E3747" s="34" t="n">
        <v>25949</v>
      </c>
      <c r="F3747" t="inlineStr">
        <is>
          <t>B</t>
        </is>
      </c>
      <c r="G3747" s="34" t="n">
        <v>4143</v>
      </c>
      <c r="H3747" s="34" t="n">
        <v>21806</v>
      </c>
      <c r="I3747" t="inlineStr">
        <is>
          <t>3.2</t>
        </is>
      </c>
      <c r="J3747" t="inlineStr">
        <is>
          <t>Ventas Personas (B2C)</t>
        </is>
      </c>
      <c r="K3747" t="inlineStr">
        <is>
          <t>CH2</t>
        </is>
      </c>
    </row>
    <row r="3748">
      <c r="A3748" s="33" t="n">
        <v>45975</v>
      </c>
      <c r="B3748" t="inlineStr">
        <is>
          <t>2025-11</t>
        </is>
      </c>
      <c r="C3748" t="inlineStr">
        <is>
          <t>GASTRONÃMICA MANGO GOURMET SPA</t>
        </is>
      </c>
      <c r="D3748" t="inlineStr">
        <is>
          <t>HORECA CATERING</t>
        </is>
      </c>
      <c r="E3748" s="34" t="n">
        <v>70686</v>
      </c>
      <c r="F3748" t="inlineStr">
        <is>
          <t>F</t>
        </is>
      </c>
      <c r="G3748" s="34" t="n">
        <v>11286</v>
      </c>
      <c r="H3748" s="34" t="n">
        <v>59400</v>
      </c>
      <c r="I3748" t="inlineStr">
        <is>
          <t>3.1</t>
        </is>
      </c>
      <c r="J3748" t="inlineStr">
        <is>
          <t>Ventas HoReCa</t>
        </is>
      </c>
      <c r="K3748" t="inlineStr">
        <is>
          <t>CH1</t>
        </is>
      </c>
    </row>
    <row r="3749">
      <c r="A3749" s="33" t="n">
        <v>45975</v>
      </c>
      <c r="B3749" t="inlineStr">
        <is>
          <t>2025-11</t>
        </is>
      </c>
      <c r="C3749" t="inlineStr">
        <is>
          <t>Cata Pavat</t>
        </is>
      </c>
      <c r="D3749" t="inlineStr">
        <is>
          <t>CANELÉ TRADICIONAL</t>
        </is>
      </c>
      <c r="E3749" s="34" t="n">
        <v>36783</v>
      </c>
      <c r="F3749" t="inlineStr">
        <is>
          <t>B</t>
        </is>
      </c>
      <c r="G3749" s="34" t="n">
        <v>5873</v>
      </c>
      <c r="H3749" s="34" t="n">
        <v>30910</v>
      </c>
      <c r="I3749" t="inlineStr">
        <is>
          <t>3.2</t>
        </is>
      </c>
      <c r="J3749" t="inlineStr">
        <is>
          <t>Ventas Personas (B2C)</t>
        </is>
      </c>
      <c r="K3749" t="inlineStr">
        <is>
          <t>CH2</t>
        </is>
      </c>
    </row>
    <row r="3750">
      <c r="A3750" s="33" t="n">
        <v>45975</v>
      </c>
      <c r="B3750" t="inlineStr">
        <is>
          <t>2025-11</t>
        </is>
      </c>
      <c r="C3750" t="inlineStr">
        <is>
          <t>ANDRES VEGA ALVARADO</t>
        </is>
      </c>
      <c r="D3750" t="inlineStr">
        <is>
          <t>Delicatessen</t>
        </is>
      </c>
      <c r="E3750" s="34" t="n">
        <v>24789</v>
      </c>
      <c r="F3750" t="inlineStr">
        <is>
          <t>B</t>
        </is>
      </c>
      <c r="G3750" s="34" t="n">
        <v>3958</v>
      </c>
      <c r="H3750" s="34" t="n">
        <v>20831</v>
      </c>
      <c r="I3750" t="inlineStr">
        <is>
          <t>3.2</t>
        </is>
      </c>
      <c r="J3750" t="inlineStr">
        <is>
          <t>Ventas Personas (B2C)</t>
        </is>
      </c>
      <c r="K3750" t="inlineStr">
        <is>
          <t>CH2</t>
        </is>
      </c>
    </row>
    <row r="3751">
      <c r="A3751" s="33" t="n">
        <v>45975</v>
      </c>
      <c r="B3751" t="inlineStr">
        <is>
          <t>2025-11</t>
        </is>
      </c>
      <c r="C3751" t="inlineStr">
        <is>
          <t>Cecilia Rojas</t>
        </is>
      </c>
      <c r="D3751" t="inlineStr">
        <is>
          <t>Petit Crunchy</t>
        </is>
      </c>
      <c r="E3751" s="34" t="n">
        <v>43790</v>
      </c>
      <c r="F3751" t="inlineStr">
        <is>
          <t>B</t>
        </is>
      </c>
      <c r="G3751" s="34" t="n">
        <v>6992</v>
      </c>
      <c r="H3751" s="34" t="n">
        <v>36798</v>
      </c>
      <c r="I3751" t="inlineStr">
        <is>
          <t>3.2</t>
        </is>
      </c>
      <c r="J3751" t="inlineStr">
        <is>
          <t>Ventas Personas (B2C)</t>
        </is>
      </c>
      <c r="K3751" t="inlineStr">
        <is>
          <t>CH2</t>
        </is>
      </c>
    </row>
    <row r="3752">
      <c r="A3752" s="33" t="n">
        <v>45975</v>
      </c>
      <c r="B3752" t="inlineStr">
        <is>
          <t>2025-11</t>
        </is>
      </c>
      <c r="C3752" t="inlineStr">
        <is>
          <t>René Martínez</t>
        </is>
      </c>
      <c r="D3752" t="inlineStr">
        <is>
          <t>Rellenos</t>
        </is>
      </c>
      <c r="E3752" s="34" t="n">
        <v>29789</v>
      </c>
      <c r="F3752" t="inlineStr">
        <is>
          <t>B</t>
        </is>
      </c>
      <c r="G3752" s="34" t="n">
        <v>4756</v>
      </c>
      <c r="H3752" s="34" t="n">
        <v>25033</v>
      </c>
      <c r="I3752" t="inlineStr">
        <is>
          <t>3.2</t>
        </is>
      </c>
      <c r="J3752" t="inlineStr">
        <is>
          <t>Ventas Personas (B2C)</t>
        </is>
      </c>
      <c r="K3752" t="inlineStr">
        <is>
          <t>CH2</t>
        </is>
      </c>
    </row>
    <row r="3753">
      <c r="A3753" s="33" t="n">
        <v>45975</v>
      </c>
      <c r="B3753" t="inlineStr">
        <is>
          <t>2025-11</t>
        </is>
      </c>
      <c r="C3753" t="inlineStr">
        <is>
          <t>SENG WING CHONG</t>
        </is>
      </c>
      <c r="D3753" t="inlineStr">
        <is>
          <t>SALSAS</t>
        </is>
      </c>
      <c r="E3753" s="34" t="n">
        <v>54727</v>
      </c>
      <c r="F3753" t="inlineStr">
        <is>
          <t>B</t>
        </is>
      </c>
      <c r="G3753" s="34" t="n">
        <v>8738</v>
      </c>
      <c r="H3753" s="34" t="n">
        <v>45989</v>
      </c>
      <c r="I3753" t="inlineStr">
        <is>
          <t>3.2</t>
        </is>
      </c>
      <c r="J3753" t="inlineStr">
        <is>
          <t>Ventas Personas (B2C)</t>
        </is>
      </c>
      <c r="K3753" t="inlineStr">
        <is>
          <t>CH2</t>
        </is>
      </c>
    </row>
    <row r="3754">
      <c r="A3754" s="33" t="n">
        <v>45975</v>
      </c>
      <c r="B3754" t="inlineStr">
        <is>
          <t>2025-11</t>
        </is>
      </c>
      <c r="C3754" t="inlineStr">
        <is>
          <t>Sin cliente</t>
        </is>
      </c>
      <c r="D3754" t="inlineStr">
        <is>
          <t>Rellenos</t>
        </is>
      </c>
      <c r="E3754" s="34" t="n">
        <v>39360</v>
      </c>
      <c r="F3754" t="inlineStr">
        <is>
          <t>B</t>
        </is>
      </c>
      <c r="G3754" s="34" t="n">
        <v>6284</v>
      </c>
      <c r="H3754" s="34" t="n">
        <v>33076</v>
      </c>
      <c r="I3754" t="inlineStr">
        <is>
          <t>3.2</t>
        </is>
      </c>
      <c r="J3754" t="inlineStr">
        <is>
          <t>Ventas Personas (B2C)</t>
        </is>
      </c>
      <c r="K3754" t="inlineStr">
        <is>
          <t>CH2</t>
        </is>
      </c>
    </row>
    <row r="3755">
      <c r="A3755" s="33" t="n">
        <v>45975</v>
      </c>
      <c r="B3755" t="inlineStr">
        <is>
          <t>2025-11</t>
        </is>
      </c>
      <c r="C3755" t="inlineStr">
        <is>
          <t>Andrea Garcia</t>
        </is>
      </c>
      <c r="D3755" t="inlineStr">
        <is>
          <t>Rellenos</t>
        </is>
      </c>
      <c r="E3755" s="34" t="n">
        <v>13990</v>
      </c>
      <c r="F3755" t="inlineStr">
        <is>
          <t>B</t>
        </is>
      </c>
      <c r="G3755" s="34" t="n">
        <v>2234</v>
      </c>
      <c r="H3755" s="34" t="n">
        <v>11756</v>
      </c>
      <c r="I3755" t="inlineStr">
        <is>
          <t>3.2</t>
        </is>
      </c>
      <c r="J3755" t="inlineStr">
        <is>
          <t>Ventas Personas (B2C)</t>
        </is>
      </c>
      <c r="K3755" t="inlineStr">
        <is>
          <t>CH2</t>
        </is>
      </c>
    </row>
    <row r="3756">
      <c r="A3756" s="33" t="n">
        <v>45975</v>
      </c>
      <c r="B3756" t="inlineStr">
        <is>
          <t>2025-11</t>
        </is>
      </c>
      <c r="C3756" t="inlineStr">
        <is>
          <t>SENG WING CHONG</t>
        </is>
      </c>
      <c r="D3756" t="inlineStr">
        <is>
          <t>SALSAS</t>
        </is>
      </c>
      <c r="E3756" s="34" t="n">
        <v>54727</v>
      </c>
      <c r="F3756" t="inlineStr">
        <is>
          <t>B</t>
        </is>
      </c>
      <c r="G3756" s="34" t="n">
        <v>8738</v>
      </c>
      <c r="H3756" s="34" t="n">
        <v>45989</v>
      </c>
      <c r="I3756" t="inlineStr">
        <is>
          <t>3.2</t>
        </is>
      </c>
      <c r="J3756" t="inlineStr">
        <is>
          <t>Ventas Personas (B2C)</t>
        </is>
      </c>
      <c r="K3756" t="inlineStr">
        <is>
          <t>CH2</t>
        </is>
      </c>
    </row>
    <row r="3757">
      <c r="A3757" s="33" t="n">
        <v>45975</v>
      </c>
      <c r="B3757" t="inlineStr">
        <is>
          <t>2025-11</t>
        </is>
      </c>
      <c r="C3757" t="inlineStr">
        <is>
          <t>René Martínez</t>
        </is>
      </c>
      <c r="D3757" t="inlineStr">
        <is>
          <t>Rellenos</t>
        </is>
      </c>
      <c r="E3757" s="34" t="n">
        <v>29789</v>
      </c>
      <c r="F3757" t="inlineStr">
        <is>
          <t>B</t>
        </is>
      </c>
      <c r="G3757" s="34" t="n">
        <v>4756</v>
      </c>
      <c r="H3757" s="34" t="n">
        <v>25033</v>
      </c>
      <c r="I3757" t="inlineStr">
        <is>
          <t>3.2</t>
        </is>
      </c>
      <c r="J3757" t="inlineStr">
        <is>
          <t>Ventas Personas (B2C)</t>
        </is>
      </c>
      <c r="K3757" t="inlineStr">
        <is>
          <t>CH2</t>
        </is>
      </c>
    </row>
    <row r="3758">
      <c r="A3758" s="33" t="n">
        <v>45975</v>
      </c>
      <c r="B3758" t="inlineStr">
        <is>
          <t>2025-11</t>
        </is>
      </c>
      <c r="C3758" t="inlineStr">
        <is>
          <t>CAROLINA MONTENEGRO</t>
        </is>
      </c>
      <c r="D3758" t="inlineStr">
        <is>
          <t>Petit Tradicional</t>
        </is>
      </c>
      <c r="E3758" s="34" t="n">
        <v>23800</v>
      </c>
      <c r="F3758" t="inlineStr">
        <is>
          <t>B</t>
        </is>
      </c>
      <c r="G3758" s="34" t="n">
        <v>3800</v>
      </c>
      <c r="H3758" s="34" t="n">
        <v>20000</v>
      </c>
      <c r="I3758" t="inlineStr">
        <is>
          <t>3.2</t>
        </is>
      </c>
      <c r="J3758" t="inlineStr">
        <is>
          <t>Ventas Personas (B2C)</t>
        </is>
      </c>
      <c r="K3758" t="inlineStr">
        <is>
          <t>CH2</t>
        </is>
      </c>
    </row>
    <row r="3759">
      <c r="A3759" s="33" t="n">
        <v>45975</v>
      </c>
      <c r="B3759" t="inlineStr">
        <is>
          <t>2025-11</t>
        </is>
      </c>
      <c r="C3759" t="inlineStr">
        <is>
          <t>Jose Morales</t>
        </is>
      </c>
      <c r="D3759" t="inlineStr">
        <is>
          <t>Rellenos</t>
        </is>
      </c>
      <c r="E3759" s="34" t="n">
        <v>34009</v>
      </c>
      <c r="F3759" t="inlineStr">
        <is>
          <t>B</t>
        </is>
      </c>
      <c r="G3759" s="34" t="n">
        <v>5430</v>
      </c>
      <c r="H3759" s="34" t="n">
        <v>28579</v>
      </c>
      <c r="I3759" t="inlineStr">
        <is>
          <t>3.2</t>
        </is>
      </c>
      <c r="J3759" t="inlineStr">
        <is>
          <t>Ventas Personas (B2C)</t>
        </is>
      </c>
      <c r="K3759" t="inlineStr">
        <is>
          <t>CH2</t>
        </is>
      </c>
    </row>
    <row r="3760">
      <c r="A3760" s="33" t="n">
        <v>45975</v>
      </c>
      <c r="B3760" t="inlineStr">
        <is>
          <t>2025-11</t>
        </is>
      </c>
      <c r="C3760" t="inlineStr">
        <is>
          <t>Stephanie Vidal Acuña</t>
        </is>
      </c>
      <c r="D3760" t="inlineStr">
        <is>
          <t>Petit Tradicional</t>
        </is>
      </c>
      <c r="E3760" s="34" t="n">
        <v>16389</v>
      </c>
      <c r="F3760" t="inlineStr">
        <is>
          <t>B</t>
        </is>
      </c>
      <c r="G3760" s="34" t="n">
        <v>2617</v>
      </c>
      <c r="H3760" s="34" t="n">
        <v>13772</v>
      </c>
      <c r="I3760" t="inlineStr">
        <is>
          <t>3.2</t>
        </is>
      </c>
      <c r="J3760" t="inlineStr">
        <is>
          <t>Ventas Personas (B2C)</t>
        </is>
      </c>
      <c r="K3760" t="inlineStr">
        <is>
          <t>CH2</t>
        </is>
      </c>
    </row>
    <row r="3761">
      <c r="A3761" s="33" t="n">
        <v>45975</v>
      </c>
      <c r="B3761" t="inlineStr">
        <is>
          <t>2025-11</t>
        </is>
      </c>
      <c r="C3761" t="inlineStr">
        <is>
          <t>Carmen Luz Lyon</t>
        </is>
      </c>
      <c r="D3761" t="inlineStr">
        <is>
          <t>CANELÉ TRADICIONAL</t>
        </is>
      </c>
      <c r="E3761" s="34" t="n">
        <v>32390</v>
      </c>
      <c r="F3761" t="inlineStr">
        <is>
          <t>B</t>
        </is>
      </c>
      <c r="G3761" s="34" t="n">
        <v>5172</v>
      </c>
      <c r="H3761" s="34" t="n">
        <v>27218</v>
      </c>
      <c r="I3761" t="inlineStr">
        <is>
          <t>3.2</t>
        </is>
      </c>
      <c r="J3761" t="inlineStr">
        <is>
          <t>Ventas Personas (B2C)</t>
        </is>
      </c>
      <c r="K3761" t="inlineStr">
        <is>
          <t>CH2</t>
        </is>
      </c>
    </row>
    <row r="3762">
      <c r="A3762" s="33" t="n">
        <v>45976</v>
      </c>
      <c r="B3762" t="inlineStr">
        <is>
          <t>2025-11</t>
        </is>
      </c>
      <c r="C3762" t="inlineStr">
        <is>
          <t>Pablo Pizarro</t>
        </is>
      </c>
      <c r="D3762" t="inlineStr">
        <is>
          <t>Petit Crunchy</t>
        </is>
      </c>
      <c r="E3762" s="34" t="n">
        <v>16999</v>
      </c>
      <c r="F3762" t="inlineStr">
        <is>
          <t>B</t>
        </is>
      </c>
      <c r="G3762" s="34" t="n">
        <v>2714</v>
      </c>
      <c r="H3762" s="34" t="n">
        <v>14285</v>
      </c>
      <c r="I3762" t="inlineStr">
        <is>
          <t>3.2</t>
        </is>
      </c>
      <c r="J3762" t="inlineStr">
        <is>
          <t>Ventas Personas (B2C)</t>
        </is>
      </c>
      <c r="K3762" t="inlineStr">
        <is>
          <t>CH2</t>
        </is>
      </c>
    </row>
    <row r="3763">
      <c r="A3763" s="33" t="n">
        <v>45976</v>
      </c>
      <c r="B3763" t="inlineStr">
        <is>
          <t>2025-11</t>
        </is>
      </c>
      <c r="C3763" t="inlineStr">
        <is>
          <t>Isabel Vial Cosmelli</t>
        </is>
      </c>
      <c r="D3763" t="inlineStr">
        <is>
          <t>Rellenos</t>
        </is>
      </c>
      <c r="E3763" s="34" t="n">
        <v>23289</v>
      </c>
      <c r="F3763" t="inlineStr">
        <is>
          <t>B</t>
        </is>
      </c>
      <c r="G3763" s="34" t="n">
        <v>3718</v>
      </c>
      <c r="H3763" s="34" t="n">
        <v>19571</v>
      </c>
      <c r="I3763" t="inlineStr">
        <is>
          <t>3.2</t>
        </is>
      </c>
      <c r="J3763" t="inlineStr">
        <is>
          <t>Ventas Personas (B2C)</t>
        </is>
      </c>
      <c r="K3763" t="inlineStr">
        <is>
          <t>CH2</t>
        </is>
      </c>
    </row>
    <row r="3764">
      <c r="A3764" s="33" t="n">
        <v>45976</v>
      </c>
      <c r="B3764" t="inlineStr">
        <is>
          <t>2025-11</t>
        </is>
      </c>
      <c r="C3764" t="inlineStr">
        <is>
          <t>Sin cliente</t>
        </is>
      </c>
      <c r="D3764" t="inlineStr">
        <is>
          <t>PLATAFORMAS RAP-PEYA-UBER-GOOD</t>
        </is>
      </c>
      <c r="E3764" s="34" t="n">
        <v>15480</v>
      </c>
      <c r="F3764" t="inlineStr">
        <is>
          <t>B</t>
        </is>
      </c>
      <c r="G3764" s="34" t="n">
        <v>2472</v>
      </c>
      <c r="H3764" s="34" t="n">
        <v>13008</v>
      </c>
      <c r="I3764" t="inlineStr">
        <is>
          <t>3.6</t>
        </is>
      </c>
      <c r="J3764" t="inlineStr">
        <is>
          <t>Ventas Delivery Apps</t>
        </is>
      </c>
      <c r="K3764" t="inlineStr">
        <is>
          <t>CH3</t>
        </is>
      </c>
    </row>
    <row r="3765">
      <c r="A3765" s="33" t="n">
        <v>45976</v>
      </c>
      <c r="B3765" t="inlineStr">
        <is>
          <t>2025-11</t>
        </is>
      </c>
      <c r="C3765" t="inlineStr">
        <is>
          <t>Oscar Larrain</t>
        </is>
      </c>
      <c r="D3765" t="inlineStr">
        <is>
          <t>Petit Crunchy</t>
        </is>
      </c>
      <c r="E3765" s="34" t="n">
        <v>13900</v>
      </c>
      <c r="F3765" t="inlineStr">
        <is>
          <t>B</t>
        </is>
      </c>
      <c r="G3765" s="34" t="n">
        <v>2219</v>
      </c>
      <c r="H3765" s="34" t="n">
        <v>11681</v>
      </c>
      <c r="I3765" t="inlineStr">
        <is>
          <t>3.2</t>
        </is>
      </c>
      <c r="J3765" t="inlineStr">
        <is>
          <t>Ventas Personas (B2C)</t>
        </is>
      </c>
      <c r="K3765" t="inlineStr">
        <is>
          <t>CH2</t>
        </is>
      </c>
    </row>
    <row r="3766">
      <c r="A3766" s="33" t="n">
        <v>45976</v>
      </c>
      <c r="B3766" t="inlineStr">
        <is>
          <t>2025-11</t>
        </is>
      </c>
      <c r="C3766" t="inlineStr">
        <is>
          <t>Sin cliente</t>
        </is>
      </c>
      <c r="D3766" t="inlineStr">
        <is>
          <t>PLATAFORMAS RAP-PEYA-UBER-GOOD</t>
        </is>
      </c>
      <c r="E3766" s="34" t="n">
        <v>38160</v>
      </c>
      <c r="F3766" t="inlineStr">
        <is>
          <t>B</t>
        </is>
      </c>
      <c r="G3766" s="34" t="n">
        <v>6093</v>
      </c>
      <c r="H3766" s="34" t="n">
        <v>32067</v>
      </c>
      <c r="I3766" t="inlineStr">
        <is>
          <t>3.6</t>
        </is>
      </c>
      <c r="J3766" t="inlineStr">
        <is>
          <t>Ventas Delivery Apps</t>
        </is>
      </c>
      <c r="K3766" t="inlineStr">
        <is>
          <t>CH3</t>
        </is>
      </c>
    </row>
    <row r="3767">
      <c r="A3767" s="33" t="n">
        <v>45976</v>
      </c>
      <c r="B3767" t="inlineStr">
        <is>
          <t>2025-11</t>
        </is>
      </c>
      <c r="C3767" t="inlineStr">
        <is>
          <t>Sin cliente</t>
        </is>
      </c>
      <c r="D3767" t="inlineStr">
        <is>
          <t>SALSAS</t>
        </is>
      </c>
      <c r="E3767" s="34" t="n">
        <v>6990</v>
      </c>
      <c r="F3767" t="inlineStr">
        <is>
          <t>B</t>
        </is>
      </c>
      <c r="G3767" s="34" t="n">
        <v>1116</v>
      </c>
      <c r="H3767" s="34" t="n">
        <v>5874</v>
      </c>
      <c r="I3767" t="inlineStr">
        <is>
          <t>3.2</t>
        </is>
      </c>
      <c r="J3767" t="inlineStr">
        <is>
          <t>Ventas Personas (B2C)</t>
        </is>
      </c>
      <c r="K3767" t="inlineStr">
        <is>
          <t>CH2</t>
        </is>
      </c>
    </row>
    <row r="3768">
      <c r="A3768" s="33" t="n">
        <v>45976</v>
      </c>
      <c r="B3768" t="inlineStr">
        <is>
          <t>2025-11</t>
        </is>
      </c>
      <c r="C3768" t="inlineStr">
        <is>
          <t>Sin cliente</t>
        </is>
      </c>
      <c r="D3768" t="inlineStr">
        <is>
          <t>Rellenos</t>
        </is>
      </c>
      <c r="E3768" s="34" t="n">
        <v>37600</v>
      </c>
      <c r="F3768" t="inlineStr">
        <is>
          <t>B</t>
        </is>
      </c>
      <c r="G3768" s="34" t="n">
        <v>6003</v>
      </c>
      <c r="H3768" s="34" t="n">
        <v>31597</v>
      </c>
      <c r="I3768" t="inlineStr">
        <is>
          <t>3.2</t>
        </is>
      </c>
      <c r="J3768" t="inlineStr">
        <is>
          <t>Ventas Personas (B2C)</t>
        </is>
      </c>
      <c r="K3768" t="inlineStr">
        <is>
          <t>CH2</t>
        </is>
      </c>
    </row>
    <row r="3769">
      <c r="A3769" s="33" t="n">
        <v>45976</v>
      </c>
      <c r="B3769" t="inlineStr">
        <is>
          <t>2025-11</t>
        </is>
      </c>
      <c r="C3769" t="inlineStr">
        <is>
          <t>Sin cliente</t>
        </is>
      </c>
      <c r="D3769" t="inlineStr">
        <is>
          <t>CANELÉ TRADICIONAL</t>
        </is>
      </c>
      <c r="E3769" s="34" t="n">
        <v>11920</v>
      </c>
      <c r="F3769" t="inlineStr">
        <is>
          <t>B</t>
        </is>
      </c>
      <c r="G3769" s="34" t="n">
        <v>1903</v>
      </c>
      <c r="H3769" s="34" t="n">
        <v>10017</v>
      </c>
      <c r="I3769" t="inlineStr">
        <is>
          <t>3.2</t>
        </is>
      </c>
      <c r="J3769" t="inlineStr">
        <is>
          <t>Ventas Personas (B2C)</t>
        </is>
      </c>
      <c r="K3769" t="inlineStr">
        <is>
          <t>CH2</t>
        </is>
      </c>
    </row>
    <row r="3770">
      <c r="A3770" s="33" t="n">
        <v>45976</v>
      </c>
      <c r="B3770" t="inlineStr">
        <is>
          <t>2025-11</t>
        </is>
      </c>
      <c r="C3770" t="inlineStr">
        <is>
          <t>Sin cliente</t>
        </is>
      </c>
      <c r="D3770" t="inlineStr">
        <is>
          <t>Delicatessen</t>
        </is>
      </c>
      <c r="E3770" s="34" t="n">
        <v>3200</v>
      </c>
      <c r="F3770" t="inlineStr">
        <is>
          <t>B</t>
        </is>
      </c>
      <c r="G3770" s="34" t="n">
        <v>511</v>
      </c>
      <c r="H3770" s="34" t="n">
        <v>2689</v>
      </c>
      <c r="I3770" t="inlineStr">
        <is>
          <t>3.2</t>
        </is>
      </c>
      <c r="J3770" t="inlineStr">
        <is>
          <t>Ventas Personas (B2C)</t>
        </is>
      </c>
      <c r="K3770" t="inlineStr">
        <is>
          <t>CH2</t>
        </is>
      </c>
    </row>
    <row r="3771">
      <c r="A3771" s="33" t="n">
        <v>45976</v>
      </c>
      <c r="B3771" t="inlineStr">
        <is>
          <t>2025-11</t>
        </is>
      </c>
      <c r="C3771" t="inlineStr">
        <is>
          <t>Silvana Oliva</t>
        </is>
      </c>
      <c r="D3771" t="inlineStr">
        <is>
          <t>Petit Tradicional</t>
        </is>
      </c>
      <c r="E3771" s="34" t="n">
        <v>36183</v>
      </c>
      <c r="F3771" t="inlineStr">
        <is>
          <t>B</t>
        </is>
      </c>
      <c r="G3771" s="34" t="n">
        <v>5777</v>
      </c>
      <c r="H3771" s="34" t="n">
        <v>30406</v>
      </c>
      <c r="I3771" t="inlineStr">
        <is>
          <t>3.2</t>
        </is>
      </c>
      <c r="J3771" t="inlineStr">
        <is>
          <t>Ventas Personas (B2C)</t>
        </is>
      </c>
      <c r="K3771" t="inlineStr">
        <is>
          <t>CH2</t>
        </is>
      </c>
    </row>
    <row r="3772">
      <c r="A3772" s="33" t="n">
        <v>45976</v>
      </c>
      <c r="B3772" t="inlineStr">
        <is>
          <t>2025-11</t>
        </is>
      </c>
      <c r="C3772" t="inlineStr">
        <is>
          <t>Juan Friedl</t>
        </is>
      </c>
      <c r="D3772" t="inlineStr">
        <is>
          <t>CANELE SIN AZUCAR</t>
        </is>
      </c>
      <c r="E3772" s="34" t="n">
        <v>21389</v>
      </c>
      <c r="F3772" t="inlineStr">
        <is>
          <t>B</t>
        </is>
      </c>
      <c r="G3772" s="34" t="n">
        <v>3415</v>
      </c>
      <c r="H3772" s="34" t="n">
        <v>17974</v>
      </c>
      <c r="I3772" t="inlineStr">
        <is>
          <t>3.2</t>
        </is>
      </c>
      <c r="J3772" t="inlineStr">
        <is>
          <t>Ventas Personas (B2C)</t>
        </is>
      </c>
      <c r="K3772" t="inlineStr">
        <is>
          <t>CH2</t>
        </is>
      </c>
    </row>
    <row r="3773">
      <c r="A3773" s="33" t="n">
        <v>45978</v>
      </c>
      <c r="B3773" t="inlineStr">
        <is>
          <t>2025-11</t>
        </is>
      </c>
      <c r="C3773" t="inlineStr">
        <is>
          <t>INVERSIONES Y ASESORIAS RAVAL LIMITADA</t>
        </is>
      </c>
      <c r="D3773" t="inlineStr">
        <is>
          <t>HORECA CAFETERIA</t>
        </is>
      </c>
      <c r="E3773" s="34" t="n">
        <v>140177</v>
      </c>
      <c r="F3773" t="inlineStr">
        <is>
          <t>F</t>
        </is>
      </c>
      <c r="G3773" s="34" t="n">
        <v>22381</v>
      </c>
      <c r="H3773" s="34" t="n">
        <v>117796</v>
      </c>
      <c r="I3773" t="inlineStr">
        <is>
          <t>3.1</t>
        </is>
      </c>
      <c r="J3773" t="inlineStr">
        <is>
          <t>Ventas HoReCa</t>
        </is>
      </c>
      <c r="K3773" t="inlineStr">
        <is>
          <t>CH1</t>
        </is>
      </c>
    </row>
    <row r="3774">
      <c r="A3774" s="33" t="n">
        <v>45978</v>
      </c>
      <c r="B3774" t="inlineStr">
        <is>
          <t>2025-11</t>
        </is>
      </c>
      <c r="C3774" t="inlineStr">
        <is>
          <t>CAFETERIA THE ELEPHANT COFFEE LIMITADA</t>
        </is>
      </c>
      <c r="D3774" t="inlineStr">
        <is>
          <t>HORECA CAFETERIA</t>
        </is>
      </c>
      <c r="E3774" s="34" t="n">
        <v>186928</v>
      </c>
      <c r="F3774" t="inlineStr">
        <is>
          <t>F</t>
        </is>
      </c>
      <c r="G3774" s="34" t="n">
        <v>29846</v>
      </c>
      <c r="H3774" s="34" t="n">
        <v>157082</v>
      </c>
      <c r="I3774" t="inlineStr">
        <is>
          <t>3.1</t>
        </is>
      </c>
      <c r="J3774" t="inlineStr">
        <is>
          <t>Ventas HoReCa</t>
        </is>
      </c>
      <c r="K3774" t="inlineStr">
        <is>
          <t>CH1</t>
        </is>
      </c>
    </row>
    <row r="3775">
      <c r="A3775" s="33" t="n">
        <v>45978</v>
      </c>
      <c r="B3775" t="inlineStr">
        <is>
          <t>2025-11</t>
        </is>
      </c>
      <c r="C3775" t="inlineStr">
        <is>
          <t>INVERSIONES Y COMERCIALIZADORA FED LIMITADA</t>
        </is>
      </c>
      <c r="D3775" t="inlineStr">
        <is>
          <t>HORECA CAFETERIA</t>
        </is>
      </c>
      <c r="E3775" s="34" t="n">
        <v>225738</v>
      </c>
      <c r="F3775" t="inlineStr">
        <is>
          <t>F</t>
        </is>
      </c>
      <c r="G3775" s="34" t="n">
        <v>36042</v>
      </c>
      <c r="H3775" s="34" t="n">
        <v>189696</v>
      </c>
      <c r="I3775" t="inlineStr">
        <is>
          <t>3.1</t>
        </is>
      </c>
      <c r="J3775" t="inlineStr">
        <is>
          <t>Ventas HoReCa</t>
        </is>
      </c>
      <c r="K3775" t="inlineStr">
        <is>
          <t>CH1</t>
        </is>
      </c>
    </row>
    <row r="3776">
      <c r="A3776" s="33" t="n">
        <v>45978</v>
      </c>
      <c r="B3776" t="inlineStr">
        <is>
          <t>2025-11</t>
        </is>
      </c>
      <c r="C3776" t="inlineStr">
        <is>
          <t>INVERSIONES Y COMERCIALIZADORA FED LIMITADA</t>
        </is>
      </c>
      <c r="D3776" t="inlineStr">
        <is>
          <t>HORECA CAFETERIA</t>
        </is>
      </c>
      <c r="E3776" s="34" t="n">
        <v>114110</v>
      </c>
      <c r="F3776" t="inlineStr">
        <is>
          <t>F</t>
        </is>
      </c>
      <c r="G3776" s="34" t="n">
        <v>18219</v>
      </c>
      <c r="H3776" s="34" t="n">
        <v>95891</v>
      </c>
      <c r="I3776" t="inlineStr">
        <is>
          <t>3.1</t>
        </is>
      </c>
      <c r="J3776" t="inlineStr">
        <is>
          <t>Ventas HoReCa</t>
        </is>
      </c>
      <c r="K3776" t="inlineStr">
        <is>
          <t>CH1</t>
        </is>
      </c>
    </row>
    <row r="3777">
      <c r="A3777" s="33" t="n">
        <v>45978</v>
      </c>
      <c r="B3777" t="inlineStr">
        <is>
          <t>2025-11</t>
        </is>
      </c>
      <c r="C3777" t="inlineStr">
        <is>
          <t>GALO SPA</t>
        </is>
      </c>
      <c r="D3777" t="inlineStr">
        <is>
          <t>HORECA CAFETERIA</t>
        </is>
      </c>
      <c r="E3777" s="34" t="n">
        <v>141506</v>
      </c>
      <c r="F3777" t="inlineStr">
        <is>
          <t>F</t>
        </is>
      </c>
      <c r="G3777" s="34" t="n">
        <v>22593</v>
      </c>
      <c r="H3777" s="34" t="n">
        <v>118913</v>
      </c>
      <c r="I3777" t="inlineStr">
        <is>
          <t>3.1</t>
        </is>
      </c>
      <c r="J3777" t="inlineStr">
        <is>
          <t>Ventas HoReCa</t>
        </is>
      </c>
      <c r="K3777" t="inlineStr">
        <is>
          <t>CH1</t>
        </is>
      </c>
    </row>
    <row r="3778">
      <c r="A3778" s="33" t="n">
        <v>45978</v>
      </c>
      <c r="B3778" t="inlineStr">
        <is>
          <t>2025-11</t>
        </is>
      </c>
      <c r="C3778" t="inlineStr">
        <is>
          <t xml:space="preserve">Café lucerna spa </t>
        </is>
      </c>
      <c r="D3778" t="inlineStr">
        <is>
          <t>HORECA CAFETERIA</t>
        </is>
      </c>
      <c r="E3778" s="34" t="n">
        <v>68179</v>
      </c>
      <c r="F3778" t="inlineStr">
        <is>
          <t>F</t>
        </is>
      </c>
      <c r="G3778" s="34" t="n">
        <v>10886</v>
      </c>
      <c r="H3778" s="34" t="n">
        <v>57293</v>
      </c>
      <c r="I3778" t="inlineStr">
        <is>
          <t>3.1</t>
        </is>
      </c>
      <c r="J3778" t="inlineStr">
        <is>
          <t>Ventas HoReCa</t>
        </is>
      </c>
      <c r="K3778" t="inlineStr">
        <is>
          <t>CH1</t>
        </is>
      </c>
    </row>
    <row r="3779">
      <c r="A3779" s="33" t="n">
        <v>45978</v>
      </c>
      <c r="B3779" t="inlineStr">
        <is>
          <t>2025-11</t>
        </is>
      </c>
      <c r="C3779" t="inlineStr">
        <is>
          <t>Alessia Motto</t>
        </is>
      </c>
      <c r="D3779" t="inlineStr">
        <is>
          <t>Rellenos</t>
        </is>
      </c>
      <c r="E3779" s="34" t="n">
        <v>27709</v>
      </c>
      <c r="F3779" t="inlineStr">
        <is>
          <t>B</t>
        </is>
      </c>
      <c r="G3779" s="34" t="n">
        <v>4424</v>
      </c>
      <c r="H3779" s="34" t="n">
        <v>23285</v>
      </c>
      <c r="I3779" t="inlineStr">
        <is>
          <t>3.2</t>
        </is>
      </c>
      <c r="J3779" t="inlineStr">
        <is>
          <t>Ventas Personas (B2C)</t>
        </is>
      </c>
      <c r="K3779" t="inlineStr">
        <is>
          <t>CH2</t>
        </is>
      </c>
    </row>
    <row r="3780">
      <c r="A3780" s="33" t="n">
        <v>45978</v>
      </c>
      <c r="B3780" t="inlineStr">
        <is>
          <t>2025-11</t>
        </is>
      </c>
      <c r="C3780" t="inlineStr">
        <is>
          <t>Soledad Veliz</t>
        </is>
      </c>
      <c r="D3780" t="inlineStr">
        <is>
          <t>Delicatessen</t>
        </is>
      </c>
      <c r="E3780" s="34" t="n">
        <v>45450</v>
      </c>
      <c r="F3780" t="inlineStr">
        <is>
          <t>B</t>
        </is>
      </c>
      <c r="G3780" s="34" t="n">
        <v>7257</v>
      </c>
      <c r="H3780" s="34" t="n">
        <v>38193</v>
      </c>
      <c r="I3780" t="inlineStr">
        <is>
          <t>3.2</t>
        </is>
      </c>
      <c r="J3780" t="inlineStr">
        <is>
          <t>Ventas Personas (B2C)</t>
        </is>
      </c>
      <c r="K3780" t="inlineStr">
        <is>
          <t>CH2</t>
        </is>
      </c>
    </row>
    <row r="3781">
      <c r="A3781" s="33" t="n">
        <v>45978</v>
      </c>
      <c r="B3781" t="inlineStr">
        <is>
          <t>2025-11</t>
        </is>
      </c>
      <c r="C3781" t="inlineStr">
        <is>
          <t>Analuisa Perez</t>
        </is>
      </c>
      <c r="D3781" t="inlineStr">
        <is>
          <t>CANELE SIN AZUCAR</t>
        </is>
      </c>
      <c r="E3781" s="34" t="n">
        <v>29790</v>
      </c>
      <c r="F3781" t="inlineStr">
        <is>
          <t>B</t>
        </is>
      </c>
      <c r="G3781" s="34" t="n">
        <v>4756</v>
      </c>
      <c r="H3781" s="34" t="n">
        <v>25034</v>
      </c>
      <c r="I3781" t="inlineStr">
        <is>
          <t>3.2</t>
        </is>
      </c>
      <c r="J3781" t="inlineStr">
        <is>
          <t>Ventas Personas (B2C)</t>
        </is>
      </c>
      <c r="K3781" t="inlineStr">
        <is>
          <t>CH2</t>
        </is>
      </c>
    </row>
    <row r="3782">
      <c r="A3782" s="33" t="n">
        <v>45978</v>
      </c>
      <c r="B3782" t="inlineStr">
        <is>
          <t>2025-11</t>
        </is>
      </c>
      <c r="C3782" t="inlineStr">
        <is>
          <t>GALO SPA</t>
        </is>
      </c>
      <c r="D3782" t="inlineStr">
        <is>
          <t>HORECA CAFETERIA</t>
        </is>
      </c>
      <c r="E3782" s="34" t="n">
        <v>32487</v>
      </c>
      <c r="F3782" t="inlineStr">
        <is>
          <t>F</t>
        </is>
      </c>
      <c r="G3782" s="34" t="n">
        <v>5187</v>
      </c>
      <c r="H3782" s="34" t="n">
        <v>27300</v>
      </c>
      <c r="I3782" t="inlineStr">
        <is>
          <t>3.1</t>
        </is>
      </c>
      <c r="J3782" t="inlineStr">
        <is>
          <t>Ventas HoReCa</t>
        </is>
      </c>
      <c r="K3782" t="inlineStr">
        <is>
          <t>CH1</t>
        </is>
      </c>
    </row>
    <row r="3783">
      <c r="A3783" s="33" t="n">
        <v>45978</v>
      </c>
      <c r="B3783" t="inlineStr">
        <is>
          <t>2025-11</t>
        </is>
      </c>
      <c r="C3783" t="inlineStr">
        <is>
          <t>Florencia Soto Nenadovich</t>
        </is>
      </c>
      <c r="D3783" t="inlineStr">
        <is>
          <t>Petit Crunchy</t>
        </is>
      </c>
      <c r="E3783" s="34" t="n">
        <v>38389</v>
      </c>
      <c r="F3783" t="inlineStr">
        <is>
          <t>B</t>
        </is>
      </c>
      <c r="G3783" s="34" t="n">
        <v>6129</v>
      </c>
      <c r="H3783" s="34" t="n">
        <v>32260</v>
      </c>
      <c r="I3783" t="inlineStr">
        <is>
          <t>3.2</t>
        </is>
      </c>
      <c r="J3783" t="inlineStr">
        <is>
          <t>Ventas Personas (B2C)</t>
        </is>
      </c>
      <c r="K3783" t="inlineStr">
        <is>
          <t>CH2</t>
        </is>
      </c>
    </row>
    <row r="3784">
      <c r="A3784" s="33" t="n">
        <v>45978</v>
      </c>
      <c r="B3784" t="inlineStr">
        <is>
          <t>2025-11</t>
        </is>
      </c>
      <c r="C3784" t="inlineStr">
        <is>
          <t>Sin cliente</t>
        </is>
      </c>
      <c r="D3784" t="inlineStr">
        <is>
          <t>CANELÉ TRADICIONAL</t>
        </is>
      </c>
      <c r="E3784" s="34" t="n">
        <v>38800</v>
      </c>
      <c r="F3784" t="inlineStr">
        <is>
          <t>B</t>
        </is>
      </c>
      <c r="G3784" s="34" t="n">
        <v>6195</v>
      </c>
      <c r="H3784" s="34" t="n">
        <v>32605</v>
      </c>
      <c r="I3784" t="inlineStr">
        <is>
          <t>3.2</t>
        </is>
      </c>
      <c r="J3784" t="inlineStr">
        <is>
          <t>Ventas Personas (B2C)</t>
        </is>
      </c>
      <c r="K3784" t="inlineStr">
        <is>
          <t>CH2</t>
        </is>
      </c>
    </row>
    <row r="3785">
      <c r="A3785" s="33" t="n">
        <v>45978</v>
      </c>
      <c r="B3785" t="inlineStr">
        <is>
          <t>2025-11</t>
        </is>
      </c>
      <c r="C3785" t="inlineStr">
        <is>
          <t>Sin cliente</t>
        </is>
      </c>
      <c r="D3785" t="inlineStr">
        <is>
          <t>Rellenos</t>
        </is>
      </c>
      <c r="E3785" s="34" t="n">
        <v>57035</v>
      </c>
      <c r="F3785" t="inlineStr">
        <is>
          <t>B</t>
        </is>
      </c>
      <c r="G3785" s="34" t="n">
        <v>9106</v>
      </c>
      <c r="H3785" s="34" t="n">
        <v>47929</v>
      </c>
      <c r="I3785" t="inlineStr">
        <is>
          <t>3.2</t>
        </is>
      </c>
      <c r="J3785" t="inlineStr">
        <is>
          <t>Ventas Personas (B2C)</t>
        </is>
      </c>
      <c r="K3785" t="inlineStr">
        <is>
          <t>CH2</t>
        </is>
      </c>
    </row>
    <row r="3786">
      <c r="A3786" s="33" t="n">
        <v>45978</v>
      </c>
      <c r="B3786" t="inlineStr">
        <is>
          <t>2025-11</t>
        </is>
      </c>
      <c r="C3786" t="inlineStr">
        <is>
          <t>Panduz panaderia y cafeteria SPA</t>
        </is>
      </c>
      <c r="D3786" t="inlineStr">
        <is>
          <t>HORECA CAFETERIA</t>
        </is>
      </c>
      <c r="E3786" s="34" t="n">
        <v>217418</v>
      </c>
      <c r="F3786" t="inlineStr">
        <is>
          <t>F</t>
        </is>
      </c>
      <c r="G3786" s="34" t="n">
        <v>34714</v>
      </c>
      <c r="H3786" s="34" t="n">
        <v>182704</v>
      </c>
      <c r="I3786" t="inlineStr">
        <is>
          <t>3.1</t>
        </is>
      </c>
      <c r="J3786" t="inlineStr">
        <is>
          <t>Ventas HoReCa</t>
        </is>
      </c>
      <c r="K3786" t="inlineStr">
        <is>
          <t>CH1</t>
        </is>
      </c>
    </row>
    <row r="3787">
      <c r="A3787" s="33" t="n">
        <v>45979</v>
      </c>
      <c r="B3787" t="inlineStr">
        <is>
          <t>2025-11</t>
        </is>
      </c>
      <c r="C3787" t="inlineStr">
        <is>
          <t>HUERTO SUR LIMITADA</t>
        </is>
      </c>
      <c r="D3787" t="inlineStr">
        <is>
          <t>REGION METROPOLITANA</t>
        </is>
      </c>
      <c r="E3787" s="34" t="n">
        <v>272715</v>
      </c>
      <c r="F3787" t="inlineStr">
        <is>
          <t>F</t>
        </is>
      </c>
      <c r="G3787" s="34" t="n">
        <v>43543</v>
      </c>
      <c r="H3787" s="34" t="n">
        <v>229172</v>
      </c>
      <c r="I3787" t="inlineStr">
        <is>
          <t>3.1</t>
        </is>
      </c>
      <c r="J3787" t="inlineStr">
        <is>
          <t>Ventas HoReCa</t>
        </is>
      </c>
      <c r="K3787" t="inlineStr">
        <is>
          <t>CH1</t>
        </is>
      </c>
    </row>
    <row r="3788">
      <c r="A3788" s="33" t="n">
        <v>45979</v>
      </c>
      <c r="B3788" t="inlineStr">
        <is>
          <t>2025-11</t>
        </is>
      </c>
      <c r="C3788" t="inlineStr">
        <is>
          <t>Luis Felipe La Corte Castro</t>
        </is>
      </c>
      <c r="D3788" t="inlineStr">
        <is>
          <t>HORECA CAFETERIA</t>
        </is>
      </c>
      <c r="E3788" s="34" t="n">
        <v>100273</v>
      </c>
      <c r="F3788" t="inlineStr">
        <is>
          <t>F</t>
        </is>
      </c>
      <c r="G3788" s="34" t="n">
        <v>16010</v>
      </c>
      <c r="H3788" s="34" t="n">
        <v>84263</v>
      </c>
      <c r="I3788" t="inlineStr">
        <is>
          <t>3.1</t>
        </is>
      </c>
      <c r="J3788" t="inlineStr">
        <is>
          <t>Ventas HoReCa</t>
        </is>
      </c>
      <c r="K3788" t="inlineStr">
        <is>
          <t>CH1</t>
        </is>
      </c>
    </row>
    <row r="3789">
      <c r="A3789" s="33" t="n">
        <v>45979</v>
      </c>
      <c r="B3789" t="inlineStr">
        <is>
          <t>2025-11</t>
        </is>
      </c>
      <c r="C3789" t="inlineStr">
        <is>
          <t>BLUE OAK COFFE SPA</t>
        </is>
      </c>
      <c r="D3789" t="inlineStr">
        <is>
          <t>HORECA CAFETERIA</t>
        </is>
      </c>
      <c r="E3789" s="34" t="n">
        <v>100273</v>
      </c>
      <c r="F3789" t="inlineStr">
        <is>
          <t>F</t>
        </is>
      </c>
      <c r="G3789" s="34" t="n">
        <v>16010</v>
      </c>
      <c r="H3789" s="34" t="n">
        <v>84263</v>
      </c>
      <c r="I3789" t="inlineStr">
        <is>
          <t>3.1</t>
        </is>
      </c>
      <c r="J3789" t="inlineStr">
        <is>
          <t>Ventas HoReCa</t>
        </is>
      </c>
      <c r="K3789" t="inlineStr">
        <is>
          <t>CH1</t>
        </is>
      </c>
    </row>
    <row r="3790">
      <c r="A3790" s="33" t="n">
        <v>45979</v>
      </c>
      <c r="B3790" t="inlineStr">
        <is>
          <t>2025-11</t>
        </is>
      </c>
      <c r="C3790" t="inlineStr">
        <is>
          <t>Okinawa Spa</t>
        </is>
      </c>
      <c r="D3790" t="inlineStr">
        <is>
          <t>HORECA CAFETERIA</t>
        </is>
      </c>
      <c r="E3790" s="34" t="n">
        <v>100273</v>
      </c>
      <c r="F3790" t="inlineStr">
        <is>
          <t>F</t>
        </is>
      </c>
      <c r="G3790" s="34" t="n">
        <v>16010</v>
      </c>
      <c r="H3790" s="34" t="n">
        <v>84263</v>
      </c>
      <c r="I3790" t="inlineStr">
        <is>
          <t>3.1</t>
        </is>
      </c>
      <c r="J3790" t="inlineStr">
        <is>
          <t>Ventas HoReCa</t>
        </is>
      </c>
      <c r="K3790" t="inlineStr">
        <is>
          <t>CH1</t>
        </is>
      </c>
    </row>
    <row r="3791">
      <c r="A3791" s="33" t="n">
        <v>45979</v>
      </c>
      <c r="B3791" t="inlineStr">
        <is>
          <t>2025-11</t>
        </is>
      </c>
      <c r="C3791" t="inlineStr">
        <is>
          <t>Okinawa Spa</t>
        </is>
      </c>
      <c r="D3791" t="inlineStr">
        <is>
          <t>HORECA CAFETERIA</t>
        </is>
      </c>
      <c r="E3791" s="34" t="n">
        <v>-100273</v>
      </c>
      <c r="F3791" t="inlineStr">
        <is>
          <t>NC</t>
        </is>
      </c>
      <c r="G3791" s="34" t="n">
        <v>-16010</v>
      </c>
      <c r="H3791" s="34" t="n">
        <v>-84263</v>
      </c>
      <c r="I3791" t="inlineStr">
        <is>
          <t>3.1</t>
        </is>
      </c>
      <c r="J3791" t="inlineStr">
        <is>
          <t>Ventas HoReCa</t>
        </is>
      </c>
      <c r="K3791" t="inlineStr">
        <is>
          <t>CH1</t>
        </is>
      </c>
    </row>
    <row r="3792">
      <c r="A3792" s="33" t="n">
        <v>45979</v>
      </c>
      <c r="B3792" t="inlineStr">
        <is>
          <t>2025-11</t>
        </is>
      </c>
      <c r="C3792" t="inlineStr">
        <is>
          <t>Okinawa Spa</t>
        </is>
      </c>
      <c r="D3792" t="inlineStr">
        <is>
          <t>HORECA CAFETERIA</t>
        </is>
      </c>
      <c r="E3792" s="34" t="n">
        <v>37096</v>
      </c>
      <c r="F3792" t="inlineStr">
        <is>
          <t>F</t>
        </is>
      </c>
      <c r="G3792" s="34" t="n">
        <v>5923</v>
      </c>
      <c r="H3792" s="34" t="n">
        <v>31173</v>
      </c>
      <c r="I3792" t="inlineStr">
        <is>
          <t>3.1</t>
        </is>
      </c>
      <c r="J3792" t="inlineStr">
        <is>
          <t>Ventas HoReCa</t>
        </is>
      </c>
      <c r="K3792" t="inlineStr">
        <is>
          <t>CH1</t>
        </is>
      </c>
    </row>
    <row r="3793">
      <c r="A3793" s="33" t="n">
        <v>45979</v>
      </c>
      <c r="B3793" t="inlineStr">
        <is>
          <t>2025-11</t>
        </is>
      </c>
      <c r="C3793" t="inlineStr">
        <is>
          <t>Inversiones Rico SpA</t>
        </is>
      </c>
      <c r="D3793" t="inlineStr">
        <is>
          <t>CANELÉ TRADICIONAL</t>
        </is>
      </c>
      <c r="E3793" s="34" t="n">
        <v>16400</v>
      </c>
      <c r="F3793" t="inlineStr">
        <is>
          <t>B</t>
        </is>
      </c>
      <c r="G3793" s="34" t="n">
        <v>2618</v>
      </c>
      <c r="H3793" s="34" t="n">
        <v>13782</v>
      </c>
      <c r="I3793" t="inlineStr">
        <is>
          <t>3.2</t>
        </is>
      </c>
      <c r="J3793" t="inlineStr">
        <is>
          <t>Ventas Personas (B2C)</t>
        </is>
      </c>
      <c r="K3793" t="inlineStr">
        <is>
          <t>CH2</t>
        </is>
      </c>
    </row>
    <row r="3794">
      <c r="A3794" s="33" t="n">
        <v>45979</v>
      </c>
      <c r="B3794" t="inlineStr">
        <is>
          <t>2025-11</t>
        </is>
      </c>
      <c r="C3794" t="inlineStr">
        <is>
          <t>Claudia Alvarez</t>
        </is>
      </c>
      <c r="D3794" t="inlineStr">
        <is>
          <t>CANELÉ TRADICIONAL</t>
        </is>
      </c>
      <c r="E3794" s="34" t="n">
        <v>14900</v>
      </c>
      <c r="F3794" t="inlineStr">
        <is>
          <t>B</t>
        </is>
      </c>
      <c r="G3794" s="34" t="n">
        <v>2379</v>
      </c>
      <c r="H3794" s="34" t="n">
        <v>12521</v>
      </c>
      <c r="I3794" t="inlineStr">
        <is>
          <t>3.2</t>
        </is>
      </c>
      <c r="J3794" t="inlineStr">
        <is>
          <t>Ventas Personas (B2C)</t>
        </is>
      </c>
      <c r="K3794" t="inlineStr">
        <is>
          <t>CH2</t>
        </is>
      </c>
    </row>
    <row r="3795">
      <c r="A3795" s="33" t="n">
        <v>45979</v>
      </c>
      <c r="B3795" t="inlineStr">
        <is>
          <t>2025-11</t>
        </is>
      </c>
      <c r="C3795" t="inlineStr">
        <is>
          <t xml:space="preserve">Sonya Becker </t>
        </is>
      </c>
      <c r="D3795" t="inlineStr">
        <is>
          <t>CANELÉ TRADICIONAL</t>
        </is>
      </c>
      <c r="E3795" s="34" t="n">
        <v>35800</v>
      </c>
      <c r="F3795" t="inlineStr">
        <is>
          <t>B</t>
        </is>
      </c>
      <c r="G3795" s="34" t="n">
        <v>5716</v>
      </c>
      <c r="H3795" s="34" t="n">
        <v>30084</v>
      </c>
      <c r="I3795" t="inlineStr">
        <is>
          <t>3.2</t>
        </is>
      </c>
      <c r="J3795" t="inlineStr">
        <is>
          <t>Ventas Personas (B2C)</t>
        </is>
      </c>
      <c r="K3795" t="inlineStr">
        <is>
          <t>CH2</t>
        </is>
      </c>
    </row>
    <row r="3796">
      <c r="A3796" s="33" t="n">
        <v>45979</v>
      </c>
      <c r="B3796" t="inlineStr">
        <is>
          <t>2025-11</t>
        </is>
      </c>
      <c r="C3796" t="inlineStr">
        <is>
          <t>Sin cliente</t>
        </is>
      </c>
      <c r="D3796" t="inlineStr">
        <is>
          <t>CANELÉ TRADICIONAL</t>
        </is>
      </c>
      <c r="E3796" s="34" t="n">
        <v>21900</v>
      </c>
      <c r="F3796" t="inlineStr">
        <is>
          <t>B</t>
        </is>
      </c>
      <c r="G3796" s="34" t="n">
        <v>3497</v>
      </c>
      <c r="H3796" s="34" t="n">
        <v>18403</v>
      </c>
      <c r="I3796" t="inlineStr">
        <is>
          <t>3.2</t>
        </is>
      </c>
      <c r="J3796" t="inlineStr">
        <is>
          <t>Ventas Personas (B2C)</t>
        </is>
      </c>
      <c r="K3796" t="inlineStr">
        <is>
          <t>CH2</t>
        </is>
      </c>
    </row>
    <row r="3797">
      <c r="A3797" s="33" t="n">
        <v>45979</v>
      </c>
      <c r="B3797" t="inlineStr">
        <is>
          <t>2025-11</t>
        </is>
      </c>
      <c r="C3797" t="inlineStr">
        <is>
          <t>Ignacia Valencia</t>
        </is>
      </c>
      <c r="D3797" t="inlineStr">
        <is>
          <t>Rellenos</t>
        </is>
      </c>
      <c r="E3797" s="34" t="n">
        <v>28710</v>
      </c>
      <c r="F3797" t="inlineStr">
        <is>
          <t>B</t>
        </is>
      </c>
      <c r="G3797" s="34" t="n">
        <v>4584</v>
      </c>
      <c r="H3797" s="34" t="n">
        <v>24126</v>
      </c>
      <c r="I3797" t="inlineStr">
        <is>
          <t>3.2</t>
        </is>
      </c>
      <c r="J3797" t="inlineStr">
        <is>
          <t>Ventas Personas (B2C)</t>
        </is>
      </c>
      <c r="K3797" t="inlineStr">
        <is>
          <t>CH2</t>
        </is>
      </c>
    </row>
    <row r="3798">
      <c r="A3798" s="33" t="n">
        <v>45980</v>
      </c>
      <c r="B3798" t="inlineStr">
        <is>
          <t>2025-11</t>
        </is>
      </c>
      <c r="C3798" t="inlineStr">
        <is>
          <t>VILAS BANQUETERIAS SPA</t>
        </is>
      </c>
      <c r="D3798" t="inlineStr">
        <is>
          <t>HORECA CATERING</t>
        </is>
      </c>
      <c r="E3798" s="34" t="n">
        <v>74676</v>
      </c>
      <c r="F3798" t="inlineStr">
        <is>
          <t>F</t>
        </is>
      </c>
      <c r="G3798" s="34" t="n">
        <v>11923</v>
      </c>
      <c r="H3798" s="34" t="n">
        <v>62753</v>
      </c>
      <c r="I3798" t="inlineStr">
        <is>
          <t>3.1</t>
        </is>
      </c>
      <c r="J3798" t="inlineStr">
        <is>
          <t>Ventas HoReCa</t>
        </is>
      </c>
      <c r="K3798" t="inlineStr">
        <is>
          <t>CH1</t>
        </is>
      </c>
    </row>
    <row r="3799">
      <c r="A3799" s="33" t="n">
        <v>45980</v>
      </c>
      <c r="B3799" t="inlineStr">
        <is>
          <t>2025-11</t>
        </is>
      </c>
      <c r="C3799" t="inlineStr">
        <is>
          <t>HUERTO SUR LIMITADA</t>
        </is>
      </c>
      <c r="D3799" t="inlineStr">
        <is>
          <t>REGION METROPOLITANA</t>
        </is>
      </c>
      <c r="E3799" s="34" t="n">
        <v>302196</v>
      </c>
      <c r="F3799" t="inlineStr">
        <is>
          <t>F</t>
        </is>
      </c>
      <c r="G3799" s="34" t="n">
        <v>48250</v>
      </c>
      <c r="H3799" s="34" t="n">
        <v>253946</v>
      </c>
      <c r="I3799" t="inlineStr">
        <is>
          <t>3.1</t>
        </is>
      </c>
      <c r="J3799" t="inlineStr">
        <is>
          <t>Ventas HoReCa</t>
        </is>
      </c>
      <c r="K3799" t="inlineStr">
        <is>
          <t>CH1</t>
        </is>
      </c>
    </row>
    <row r="3800">
      <c r="A3800" s="33" t="n">
        <v>45980</v>
      </c>
      <c r="B3800" t="inlineStr">
        <is>
          <t>2025-11</t>
        </is>
      </c>
      <c r="C3800" t="inlineStr">
        <is>
          <t>Sociedad de inversiones solari y acuña spa</t>
        </is>
      </c>
      <c r="D3800" t="inlineStr">
        <is>
          <t>HORECA CAFETERIA</t>
        </is>
      </c>
      <c r="E3800" s="34" t="n">
        <v>52637</v>
      </c>
      <c r="F3800" t="inlineStr">
        <is>
          <t>F</t>
        </is>
      </c>
      <c r="G3800" s="34" t="n">
        <v>8404</v>
      </c>
      <c r="H3800" s="34" t="n">
        <v>44233</v>
      </c>
      <c r="I3800" t="inlineStr">
        <is>
          <t>3.1</t>
        </is>
      </c>
      <c r="J3800" t="inlineStr">
        <is>
          <t>Ventas HoReCa</t>
        </is>
      </c>
      <c r="K3800" t="inlineStr">
        <is>
          <t>CH1</t>
        </is>
      </c>
    </row>
    <row r="3801">
      <c r="A3801" s="33" t="n">
        <v>45980</v>
      </c>
      <c r="B3801" t="inlineStr">
        <is>
          <t>2025-11</t>
        </is>
      </c>
      <c r="C3801" t="inlineStr">
        <is>
          <t>Sociedad de inversiones solari y acuña spa</t>
        </is>
      </c>
      <c r="D3801" t="inlineStr">
        <is>
          <t>HORECA CAFETERIA</t>
        </is>
      </c>
      <c r="E3801" s="34" t="n">
        <v>68179</v>
      </c>
      <c r="F3801" t="inlineStr">
        <is>
          <t>F</t>
        </is>
      </c>
      <c r="G3801" s="34" t="n">
        <v>10886</v>
      </c>
      <c r="H3801" s="34" t="n">
        <v>57293</v>
      </c>
      <c r="I3801" t="inlineStr">
        <is>
          <t>3.1</t>
        </is>
      </c>
      <c r="J3801" t="inlineStr">
        <is>
          <t>Ventas HoReCa</t>
        </is>
      </c>
      <c r="K3801" t="inlineStr">
        <is>
          <t>CH1</t>
        </is>
      </c>
    </row>
    <row r="3802">
      <c r="A3802" s="33" t="n">
        <v>45980</v>
      </c>
      <c r="B3802" t="inlineStr">
        <is>
          <t>2025-11</t>
        </is>
      </c>
      <c r="C3802" t="inlineStr">
        <is>
          <t>Cafeteria de especialidad al paso Michael C. Plaza</t>
        </is>
      </c>
      <c r="D3802" t="inlineStr">
        <is>
          <t>HORECA CAFETERIA</t>
        </is>
      </c>
      <c r="E3802" s="34" t="n">
        <v>73189</v>
      </c>
      <c r="F3802" t="inlineStr">
        <is>
          <t>F</t>
        </is>
      </c>
      <c r="G3802" s="34" t="n">
        <v>11686</v>
      </c>
      <c r="H3802" s="34" t="n">
        <v>61503</v>
      </c>
      <c r="I3802" t="inlineStr">
        <is>
          <t>3.1</t>
        </is>
      </c>
      <c r="J3802" t="inlineStr">
        <is>
          <t>Ventas HoReCa</t>
        </is>
      </c>
      <c r="K3802" t="inlineStr">
        <is>
          <t>CH1</t>
        </is>
      </c>
    </row>
    <row r="3803">
      <c r="A3803" s="33" t="n">
        <v>45980</v>
      </c>
      <c r="B3803" t="inlineStr">
        <is>
          <t>2025-11</t>
        </is>
      </c>
      <c r="C3803" t="inlineStr">
        <is>
          <t>Marcela Carrasco</t>
        </is>
      </c>
      <c r="D3803" t="inlineStr">
        <is>
          <t>Petit Crunchy</t>
        </is>
      </c>
      <c r="E3803" s="34" t="n">
        <v>40390</v>
      </c>
      <c r="F3803" t="inlineStr">
        <is>
          <t>B</t>
        </is>
      </c>
      <c r="G3803" s="34" t="n">
        <v>6449</v>
      </c>
      <c r="H3803" s="34" t="n">
        <v>33941</v>
      </c>
      <c r="I3803" t="inlineStr">
        <is>
          <t>3.2</t>
        </is>
      </c>
      <c r="J3803" t="inlineStr">
        <is>
          <t>Ventas Personas (B2C)</t>
        </is>
      </c>
      <c r="K3803" t="inlineStr">
        <is>
          <t>CH2</t>
        </is>
      </c>
    </row>
    <row r="3804">
      <c r="A3804" s="33" t="n">
        <v>45980</v>
      </c>
      <c r="B3804" t="inlineStr">
        <is>
          <t>2025-11</t>
        </is>
      </c>
      <c r="C3804" t="inlineStr">
        <is>
          <t>Bernardita Estay</t>
        </is>
      </c>
      <c r="D3804" t="inlineStr">
        <is>
          <t>Petit Tradicional</t>
        </is>
      </c>
      <c r="E3804" s="34" t="n">
        <v>55620</v>
      </c>
      <c r="F3804" t="inlineStr">
        <is>
          <t>B</t>
        </is>
      </c>
      <c r="G3804" s="34" t="n">
        <v>8881</v>
      </c>
      <c r="H3804" s="34" t="n">
        <v>46739</v>
      </c>
      <c r="I3804" t="inlineStr">
        <is>
          <t>3.2</t>
        </is>
      </c>
      <c r="J3804" t="inlineStr">
        <is>
          <t>Ventas Personas (B2C)</t>
        </is>
      </c>
      <c r="K3804" t="inlineStr">
        <is>
          <t>CH2</t>
        </is>
      </c>
    </row>
    <row r="3805">
      <c r="A3805" s="33" t="n">
        <v>45980</v>
      </c>
      <c r="B3805" t="inlineStr">
        <is>
          <t>2025-11</t>
        </is>
      </c>
      <c r="C3805" t="inlineStr">
        <is>
          <t>BOCCADOS SPA</t>
        </is>
      </c>
      <c r="D3805" t="inlineStr">
        <is>
          <t>Petit Crunchy</t>
        </is>
      </c>
      <c r="E3805" s="34" t="n">
        <v>77780</v>
      </c>
      <c r="F3805" t="inlineStr">
        <is>
          <t>F</t>
        </is>
      </c>
      <c r="G3805" s="34" t="n">
        <v>12419</v>
      </c>
      <c r="H3805" s="34" t="n">
        <v>65361</v>
      </c>
      <c r="I3805" t="inlineStr">
        <is>
          <t>3.1</t>
        </is>
      </c>
      <c r="J3805" t="inlineStr">
        <is>
          <t>Ventas HoReCa</t>
        </is>
      </c>
      <c r="K3805" t="inlineStr">
        <is>
          <t>CH1</t>
        </is>
      </c>
    </row>
    <row r="3806">
      <c r="A3806" s="33" t="n">
        <v>45980</v>
      </c>
      <c r="B3806" t="inlineStr">
        <is>
          <t>2025-11</t>
        </is>
      </c>
      <c r="C3806" t="inlineStr">
        <is>
          <t>benjamin astaburuaga</t>
        </is>
      </c>
      <c r="D3806" t="inlineStr">
        <is>
          <t>Petit Crunchy</t>
        </is>
      </c>
      <c r="E3806" s="34" t="n">
        <v>29389</v>
      </c>
      <c r="F3806" t="inlineStr">
        <is>
          <t>B</t>
        </is>
      </c>
      <c r="G3806" s="34" t="n">
        <v>4692</v>
      </c>
      <c r="H3806" s="34" t="n">
        <v>24697</v>
      </c>
      <c r="I3806" t="inlineStr">
        <is>
          <t>3.2</t>
        </is>
      </c>
      <c r="J3806" t="inlineStr">
        <is>
          <t>Ventas Personas (B2C)</t>
        </is>
      </c>
      <c r="K3806" t="inlineStr">
        <is>
          <t>CH2</t>
        </is>
      </c>
    </row>
    <row r="3807">
      <c r="A3807" s="33" t="n">
        <v>45980</v>
      </c>
      <c r="B3807" t="inlineStr">
        <is>
          <t>2025-11</t>
        </is>
      </c>
      <c r="C3807" t="inlineStr">
        <is>
          <t>María Fernanda Guzmán Gatica</t>
        </is>
      </c>
      <c r="D3807" t="inlineStr">
        <is>
          <t>Petit Crunchy</t>
        </is>
      </c>
      <c r="E3807" s="34" t="n">
        <v>75951</v>
      </c>
      <c r="F3807" t="inlineStr">
        <is>
          <t>B</t>
        </is>
      </c>
      <c r="G3807" s="34" t="n">
        <v>12127</v>
      </c>
      <c r="H3807" s="34" t="n">
        <v>63824</v>
      </c>
      <c r="I3807" t="inlineStr">
        <is>
          <t>3.2</t>
        </is>
      </c>
      <c r="J3807" t="inlineStr">
        <is>
          <t>Ventas Personas (B2C)</t>
        </is>
      </c>
      <c r="K3807" t="inlineStr">
        <is>
          <t>CH2</t>
        </is>
      </c>
    </row>
    <row r="3808">
      <c r="A3808" s="33" t="n">
        <v>45980</v>
      </c>
      <c r="B3808" t="inlineStr">
        <is>
          <t>2025-11</t>
        </is>
      </c>
      <c r="C3808" t="inlineStr">
        <is>
          <t>Jose Puelma</t>
        </is>
      </c>
      <c r="D3808" t="inlineStr">
        <is>
          <t>Petit Crunchy</t>
        </is>
      </c>
      <c r="E3808" s="34" t="n">
        <v>13900</v>
      </c>
      <c r="F3808" t="inlineStr">
        <is>
          <t>B</t>
        </is>
      </c>
      <c r="G3808" s="34" t="n">
        <v>2219</v>
      </c>
      <c r="H3808" s="34" t="n">
        <v>11681</v>
      </c>
      <c r="I3808" t="inlineStr">
        <is>
          <t>3.2</t>
        </is>
      </c>
      <c r="J3808" t="inlineStr">
        <is>
          <t>Ventas Personas (B2C)</t>
        </is>
      </c>
      <c r="K3808" t="inlineStr">
        <is>
          <t>CH2</t>
        </is>
      </c>
    </row>
    <row r="3809">
      <c r="A3809" s="33" t="n">
        <v>45980</v>
      </c>
      <c r="B3809" t="inlineStr">
        <is>
          <t>2025-11</t>
        </is>
      </c>
      <c r="C3809" t="inlineStr">
        <is>
          <t>Sin cliente</t>
        </is>
      </c>
      <c r="D3809" t="inlineStr">
        <is>
          <t>PLATAFORMAS RAP-PEYA-UBER-GOOD</t>
        </is>
      </c>
      <c r="E3809" s="34" t="n">
        <v>10680</v>
      </c>
      <c r="F3809" t="inlineStr">
        <is>
          <t>B</t>
        </is>
      </c>
      <c r="G3809" s="34" t="n">
        <v>1705</v>
      </c>
      <c r="H3809" s="34" t="n">
        <v>8975</v>
      </c>
      <c r="I3809" t="inlineStr">
        <is>
          <t>3.6</t>
        </is>
      </c>
      <c r="J3809" t="inlineStr">
        <is>
          <t>Ventas Delivery Apps</t>
        </is>
      </c>
      <c r="K3809" t="inlineStr">
        <is>
          <t>CH3</t>
        </is>
      </c>
    </row>
    <row r="3810">
      <c r="A3810" s="33" t="n">
        <v>45980</v>
      </c>
      <c r="B3810" t="inlineStr">
        <is>
          <t>2025-11</t>
        </is>
      </c>
      <c r="C3810" t="inlineStr">
        <is>
          <t>Monica Serrano Varela</t>
        </is>
      </c>
      <c r="D3810" t="inlineStr">
        <is>
          <t>CANELÉ TRADICIONAL</t>
        </is>
      </c>
      <c r="E3810" s="34" t="n">
        <v>21900</v>
      </c>
      <c r="F3810" t="inlineStr">
        <is>
          <t>B</t>
        </is>
      </c>
      <c r="G3810" s="34" t="n">
        <v>3497</v>
      </c>
      <c r="H3810" s="34" t="n">
        <v>18403</v>
      </c>
      <c r="I3810" t="inlineStr">
        <is>
          <t>3.2</t>
        </is>
      </c>
      <c r="J3810" t="inlineStr">
        <is>
          <t>Ventas Personas (B2C)</t>
        </is>
      </c>
      <c r="K3810" t="inlineStr">
        <is>
          <t>CH2</t>
        </is>
      </c>
    </row>
    <row r="3811">
      <c r="A3811" s="33" t="n">
        <v>45981</v>
      </c>
      <c r="B3811" t="inlineStr">
        <is>
          <t>2025-11</t>
        </is>
      </c>
      <c r="C3811" t="inlineStr">
        <is>
          <t>VILAS BANQUETERIAS SPA</t>
        </is>
      </c>
      <c r="D3811" t="inlineStr">
        <is>
          <t>HORECA CATERING</t>
        </is>
      </c>
      <c r="E3811" s="34" t="n">
        <v>216048</v>
      </c>
      <c r="F3811" t="inlineStr">
        <is>
          <t>F</t>
        </is>
      </c>
      <c r="G3811" s="34" t="n">
        <v>34495</v>
      </c>
      <c r="H3811" s="34" t="n">
        <v>181553</v>
      </c>
      <c r="I3811" t="inlineStr">
        <is>
          <t>3.1</t>
        </is>
      </c>
      <c r="J3811" t="inlineStr">
        <is>
          <t>Ventas HoReCa</t>
        </is>
      </c>
      <c r="K3811" t="inlineStr">
        <is>
          <t>CH1</t>
        </is>
      </c>
    </row>
    <row r="3812">
      <c r="A3812" s="33" t="n">
        <v>45981</v>
      </c>
      <c r="B3812" t="inlineStr">
        <is>
          <t>2025-11</t>
        </is>
      </c>
      <c r="C3812" t="inlineStr">
        <is>
          <t>GALO SPA</t>
        </is>
      </c>
      <c r="D3812" t="inlineStr">
        <is>
          <t>HORECA CAFETERIA</t>
        </is>
      </c>
      <c r="E3812" s="34" t="n">
        <v>235144</v>
      </c>
      <c r="F3812" t="inlineStr">
        <is>
          <t>F</t>
        </is>
      </c>
      <c r="G3812" s="34" t="n">
        <v>37544</v>
      </c>
      <c r="H3812" s="34" t="n">
        <v>197600</v>
      </c>
      <c r="I3812" t="inlineStr">
        <is>
          <t>3.1</t>
        </is>
      </c>
      <c r="J3812" t="inlineStr">
        <is>
          <t>Ventas HoReCa</t>
        </is>
      </c>
      <c r="K3812" t="inlineStr">
        <is>
          <t>CH1</t>
        </is>
      </c>
    </row>
    <row r="3813">
      <c r="A3813" s="33" t="n">
        <v>45981</v>
      </c>
      <c r="B3813" t="inlineStr">
        <is>
          <t>2025-11</t>
        </is>
      </c>
      <c r="C3813" t="inlineStr">
        <is>
          <t>TAVELLI S.A.</t>
        </is>
      </c>
      <c r="D3813" t="inlineStr">
        <is>
          <t>HORECA CAFETERIA</t>
        </is>
      </c>
      <c r="E3813" s="34" t="n">
        <v>818405</v>
      </c>
      <c r="F3813" t="inlineStr">
        <is>
          <t>F</t>
        </is>
      </c>
      <c r="G3813" s="34" t="n">
        <v>130670</v>
      </c>
      <c r="H3813" s="34" t="n">
        <v>687735</v>
      </c>
      <c r="I3813" t="inlineStr">
        <is>
          <t>3.1</t>
        </is>
      </c>
      <c r="J3813" t="inlineStr">
        <is>
          <t>Ventas HoReCa</t>
        </is>
      </c>
      <c r="K3813" t="inlineStr">
        <is>
          <t>CH1</t>
        </is>
      </c>
    </row>
    <row r="3814">
      <c r="A3814" s="33" t="n">
        <v>45981</v>
      </c>
      <c r="B3814" t="inlineStr">
        <is>
          <t>2025-11</t>
        </is>
      </c>
      <c r="C3814" t="inlineStr">
        <is>
          <t>TAVELLI S.A.</t>
        </is>
      </c>
      <c r="D3814" t="inlineStr">
        <is>
          <t>REGION METROPOLITANA</t>
        </is>
      </c>
      <c r="E3814" s="34" t="n">
        <v>35700</v>
      </c>
      <c r="F3814" t="inlineStr">
        <is>
          <t>F</t>
        </is>
      </c>
      <c r="G3814" s="34" t="n">
        <v>5700</v>
      </c>
      <c r="H3814" s="34" t="n">
        <v>30000</v>
      </c>
      <c r="I3814" t="inlineStr">
        <is>
          <t>3.1</t>
        </is>
      </c>
      <c r="J3814" t="inlineStr">
        <is>
          <t>Ventas HoReCa</t>
        </is>
      </c>
      <c r="K3814" t="inlineStr">
        <is>
          <t>CH1</t>
        </is>
      </c>
    </row>
    <row r="3815">
      <c r="A3815" s="33" t="n">
        <v>45981</v>
      </c>
      <c r="B3815" t="inlineStr">
        <is>
          <t>2025-11</t>
        </is>
      </c>
      <c r="C3815" t="inlineStr">
        <is>
          <t>NICOLE LAUREN BANQUETERIA.</t>
        </is>
      </c>
      <c r="D3815" t="inlineStr">
        <is>
          <t>HORECA CATERING</t>
        </is>
      </c>
      <c r="E3815" s="34" t="n">
        <v>261681</v>
      </c>
      <c r="F3815" t="inlineStr">
        <is>
          <t>F</t>
        </is>
      </c>
      <c r="G3815" s="34" t="n">
        <v>41781</v>
      </c>
      <c r="H3815" s="34" t="n">
        <v>219900</v>
      </c>
      <c r="I3815" t="inlineStr">
        <is>
          <t>3.1</t>
        </is>
      </c>
      <c r="J3815" t="inlineStr">
        <is>
          <t>Ventas HoReCa</t>
        </is>
      </c>
      <c r="K3815" t="inlineStr">
        <is>
          <t>CH1</t>
        </is>
      </c>
    </row>
    <row r="3816">
      <c r="A3816" s="33" t="n">
        <v>45981</v>
      </c>
      <c r="B3816" t="inlineStr">
        <is>
          <t>2025-11</t>
        </is>
      </c>
      <c r="C3816" t="inlineStr">
        <is>
          <t>OPA SPA</t>
        </is>
      </c>
      <c r="D3816" t="inlineStr">
        <is>
          <t>HORECA CAFETERIA</t>
        </is>
      </c>
      <c r="E3816" s="34" t="n">
        <v>32094</v>
      </c>
      <c r="F3816" t="inlineStr">
        <is>
          <t>F</t>
        </is>
      </c>
      <c r="G3816" s="34" t="n">
        <v>5124</v>
      </c>
      <c r="H3816" s="34" t="n">
        <v>26970</v>
      </c>
      <c r="I3816" t="inlineStr">
        <is>
          <t>3.1</t>
        </is>
      </c>
      <c r="J3816" t="inlineStr">
        <is>
          <t>Ventas HoReCa</t>
        </is>
      </c>
      <c r="K3816" t="inlineStr">
        <is>
          <t>CH1</t>
        </is>
      </c>
    </row>
    <row r="3817">
      <c r="A3817" s="33" t="n">
        <v>45981</v>
      </c>
      <c r="B3817" t="inlineStr">
        <is>
          <t>2025-11</t>
        </is>
      </c>
      <c r="C3817" t="inlineStr">
        <is>
          <t>Better Food Spa</t>
        </is>
      </c>
      <c r="D3817" t="inlineStr">
        <is>
          <t>HORECA CAFETERIA</t>
        </is>
      </c>
      <c r="E3817" s="34" t="n">
        <v>385132</v>
      </c>
      <c r="F3817" t="inlineStr">
        <is>
          <t>F</t>
        </is>
      </c>
      <c r="G3817" s="34" t="n">
        <v>61492</v>
      </c>
      <c r="H3817" s="34" t="n">
        <v>323640</v>
      </c>
      <c r="I3817" t="inlineStr">
        <is>
          <t>3.1</t>
        </is>
      </c>
      <c r="J3817" t="inlineStr">
        <is>
          <t>Ventas HoReCa</t>
        </is>
      </c>
      <c r="K3817" t="inlineStr">
        <is>
          <t>CH1</t>
        </is>
      </c>
    </row>
    <row r="3818">
      <c r="A3818" s="33" t="n">
        <v>45981</v>
      </c>
      <c r="B3818" t="inlineStr">
        <is>
          <t>2025-11</t>
        </is>
      </c>
      <c r="C3818" t="inlineStr">
        <is>
          <t>Rodrigo Fuentes</t>
        </is>
      </c>
      <c r="D3818" t="inlineStr">
        <is>
          <t>Petit Crunchy</t>
        </is>
      </c>
      <c r="E3818" s="34" t="n">
        <v>18389</v>
      </c>
      <c r="F3818" t="inlineStr">
        <is>
          <t>B</t>
        </is>
      </c>
      <c r="G3818" s="34" t="n">
        <v>2936</v>
      </c>
      <c r="H3818" s="34" t="n">
        <v>15453</v>
      </c>
      <c r="I3818" t="inlineStr">
        <is>
          <t>3.2</t>
        </is>
      </c>
      <c r="J3818" t="inlineStr">
        <is>
          <t>Ventas Personas (B2C)</t>
        </is>
      </c>
      <c r="K3818" t="inlineStr">
        <is>
          <t>CH2</t>
        </is>
      </c>
    </row>
    <row r="3819">
      <c r="A3819" s="33" t="n">
        <v>45981</v>
      </c>
      <c r="B3819" t="inlineStr">
        <is>
          <t>2025-11</t>
        </is>
      </c>
      <c r="C3819" t="inlineStr">
        <is>
          <t>Sin cliente</t>
        </is>
      </c>
      <c r="D3819" t="inlineStr">
        <is>
          <t>SALSAS</t>
        </is>
      </c>
      <c r="E3819" s="34" t="n">
        <v>74570</v>
      </c>
      <c r="F3819" t="inlineStr">
        <is>
          <t>B</t>
        </is>
      </c>
      <c r="G3819" s="34" t="n">
        <v>11906</v>
      </c>
      <c r="H3819" s="34" t="n">
        <v>62664</v>
      </c>
      <c r="I3819" t="inlineStr">
        <is>
          <t>3.2</t>
        </is>
      </c>
      <c r="J3819" t="inlineStr">
        <is>
          <t>Ventas Personas (B2C)</t>
        </is>
      </c>
      <c r="K3819" t="inlineStr">
        <is>
          <t>CH2</t>
        </is>
      </c>
    </row>
    <row r="3820">
      <c r="A3820" s="33" t="n">
        <v>45981</v>
      </c>
      <c r="B3820" t="inlineStr">
        <is>
          <t>2025-11</t>
        </is>
      </c>
      <c r="C3820" t="inlineStr">
        <is>
          <t>Sin cliente</t>
        </is>
      </c>
      <c r="D3820" t="inlineStr">
        <is>
          <t>PLATAFORMAS RAP-PEYA-UBER-GOOD</t>
        </is>
      </c>
      <c r="E3820" s="34" t="n">
        <v>53520</v>
      </c>
      <c r="F3820" t="inlineStr">
        <is>
          <t>B</t>
        </is>
      </c>
      <c r="G3820" s="34" t="n">
        <v>8545</v>
      </c>
      <c r="H3820" s="34" t="n">
        <v>44975</v>
      </c>
      <c r="I3820" t="inlineStr">
        <is>
          <t>3.6</t>
        </is>
      </c>
      <c r="J3820" t="inlineStr">
        <is>
          <t>Ventas Delivery Apps</t>
        </is>
      </c>
      <c r="K3820" t="inlineStr">
        <is>
          <t>CH3</t>
        </is>
      </c>
    </row>
    <row r="3821">
      <c r="A3821" s="33" t="n">
        <v>45981</v>
      </c>
      <c r="B3821" t="inlineStr">
        <is>
          <t>2025-11</t>
        </is>
      </c>
      <c r="C3821" t="inlineStr">
        <is>
          <t>Marisol Valencia Moya</t>
        </is>
      </c>
      <c r="D3821" t="inlineStr">
        <is>
          <t>Mix Sabores</t>
        </is>
      </c>
      <c r="E3821" s="34" t="n">
        <v>52590</v>
      </c>
      <c r="F3821" t="inlineStr">
        <is>
          <t>B</t>
        </is>
      </c>
      <c r="G3821" s="34" t="n">
        <v>8397</v>
      </c>
      <c r="H3821" s="34" t="n">
        <v>44193</v>
      </c>
      <c r="I3821" t="inlineStr">
        <is>
          <t>3.2</t>
        </is>
      </c>
      <c r="J3821" t="inlineStr">
        <is>
          <t>Ventas Personas (B2C)</t>
        </is>
      </c>
      <c r="K3821" t="inlineStr">
        <is>
          <t>CH2</t>
        </is>
      </c>
    </row>
    <row r="3822">
      <c r="A3822" s="33" t="n">
        <v>45981</v>
      </c>
      <c r="B3822" t="inlineStr">
        <is>
          <t>2025-11</t>
        </is>
      </c>
      <c r="C3822" t="inlineStr">
        <is>
          <t>JNCONCEPT SPA</t>
        </is>
      </c>
      <c r="D3822" t="inlineStr">
        <is>
          <t>OTROS</t>
        </is>
      </c>
      <c r="E3822" s="34" t="n">
        <v>40600</v>
      </c>
      <c r="F3822" t="inlineStr">
        <is>
          <t>F</t>
        </is>
      </c>
      <c r="G3822" s="34" t="n">
        <v>6482</v>
      </c>
      <c r="H3822" s="34" t="n">
        <v>34118</v>
      </c>
      <c r="I3822" t="inlineStr">
        <is>
          <t>3.1</t>
        </is>
      </c>
      <c r="J3822" t="inlineStr">
        <is>
          <t>Ventas HoReCa</t>
        </is>
      </c>
      <c r="K3822" t="inlineStr">
        <is>
          <t>CH1</t>
        </is>
      </c>
    </row>
    <row r="3823">
      <c r="A3823" s="33" t="n">
        <v>45981</v>
      </c>
      <c r="B3823" t="inlineStr">
        <is>
          <t>2025-11</t>
        </is>
      </c>
      <c r="C3823" t="inlineStr">
        <is>
          <t>Linda Carrasco</t>
        </is>
      </c>
      <c r="D3823" t="inlineStr">
        <is>
          <t>Rellenos</t>
        </is>
      </c>
      <c r="E3823" s="34" t="n">
        <v>16900</v>
      </c>
      <c r="F3823" t="inlineStr">
        <is>
          <t>B</t>
        </is>
      </c>
      <c r="G3823" s="34" t="n">
        <v>2698</v>
      </c>
      <c r="H3823" s="34" t="n">
        <v>14202</v>
      </c>
      <c r="I3823" t="inlineStr">
        <is>
          <t>3.2</t>
        </is>
      </c>
      <c r="J3823" t="inlineStr">
        <is>
          <t>Ventas Personas (B2C)</t>
        </is>
      </c>
      <c r="K3823" t="inlineStr">
        <is>
          <t>CH2</t>
        </is>
      </c>
    </row>
    <row r="3824">
      <c r="A3824" s="33" t="n">
        <v>45981</v>
      </c>
      <c r="B3824" t="inlineStr">
        <is>
          <t>2025-11</t>
        </is>
      </c>
      <c r="C3824" t="inlineStr">
        <is>
          <t>Catherine Lathrop</t>
        </is>
      </c>
      <c r="D3824" t="inlineStr">
        <is>
          <t>Petit Tradicional</t>
        </is>
      </c>
      <c r="E3824" s="34" t="n">
        <v>48583</v>
      </c>
      <c r="F3824" t="inlineStr">
        <is>
          <t>B</t>
        </is>
      </c>
      <c r="G3824" s="34" t="n">
        <v>7757</v>
      </c>
      <c r="H3824" s="34" t="n">
        <v>40826</v>
      </c>
      <c r="I3824" t="inlineStr">
        <is>
          <t>3.2</t>
        </is>
      </c>
      <c r="J3824" t="inlineStr">
        <is>
          <t>Ventas Personas (B2C)</t>
        </is>
      </c>
      <c r="K3824" t="inlineStr">
        <is>
          <t>CH2</t>
        </is>
      </c>
    </row>
    <row r="3825">
      <c r="A3825" s="33" t="n">
        <v>45981</v>
      </c>
      <c r="B3825" t="inlineStr">
        <is>
          <t>2025-11</t>
        </is>
      </c>
      <c r="C3825" t="inlineStr">
        <is>
          <t>Sin cliente</t>
        </is>
      </c>
      <c r="D3825" t="inlineStr">
        <is>
          <t>PLATAFORMAS RAP-PEYA-UBER-GOOD</t>
        </is>
      </c>
      <c r="E3825" s="34" t="n">
        <v>30960</v>
      </c>
      <c r="F3825" t="inlineStr">
        <is>
          <t>B</t>
        </is>
      </c>
      <c r="G3825" s="34" t="n">
        <v>4943</v>
      </c>
      <c r="H3825" s="34" t="n">
        <v>26017</v>
      </c>
      <c r="I3825" t="inlineStr">
        <is>
          <t>3.6</t>
        </is>
      </c>
      <c r="J3825" t="inlineStr">
        <is>
          <t>Ventas Delivery Apps</t>
        </is>
      </c>
      <c r="K3825" t="inlineStr">
        <is>
          <t>CH3</t>
        </is>
      </c>
    </row>
    <row r="3826">
      <c r="A3826" s="33" t="n">
        <v>45981</v>
      </c>
      <c r="B3826" t="inlineStr">
        <is>
          <t>2025-11</t>
        </is>
      </c>
      <c r="C3826" t="inlineStr">
        <is>
          <t>Sin cliente</t>
        </is>
      </c>
      <c r="D3826" t="inlineStr">
        <is>
          <t>CANELÉ TRADICIONAL</t>
        </is>
      </c>
      <c r="E3826" s="34" t="n">
        <v>36900</v>
      </c>
      <c r="F3826" t="inlineStr">
        <is>
          <t>B</t>
        </is>
      </c>
      <c r="G3826" s="34" t="n">
        <v>5892</v>
      </c>
      <c r="H3826" s="34" t="n">
        <v>31008</v>
      </c>
      <c r="I3826" t="inlineStr">
        <is>
          <t>3.2</t>
        </is>
      </c>
      <c r="J3826" t="inlineStr">
        <is>
          <t>Ventas Personas (B2C)</t>
        </is>
      </c>
      <c r="K3826" t="inlineStr">
        <is>
          <t>CH2</t>
        </is>
      </c>
    </row>
    <row r="3827">
      <c r="A3827" s="33" t="n">
        <v>45981</v>
      </c>
      <c r="B3827" t="inlineStr">
        <is>
          <t>2025-11</t>
        </is>
      </c>
      <c r="C3827" t="inlineStr">
        <is>
          <t>Sin cliente</t>
        </is>
      </c>
      <c r="D3827" t="inlineStr">
        <is>
          <t>CANELÉ TRADICIONAL</t>
        </is>
      </c>
      <c r="E3827" s="34" t="n">
        <v>5500</v>
      </c>
      <c r="F3827" t="inlineStr">
        <is>
          <t>B</t>
        </is>
      </c>
      <c r="G3827" s="34" t="n">
        <v>878</v>
      </c>
      <c r="H3827" s="34" t="n">
        <v>4622</v>
      </c>
      <c r="I3827" t="inlineStr">
        <is>
          <t>3.2</t>
        </is>
      </c>
      <c r="J3827" t="inlineStr">
        <is>
          <t>Ventas Personas (B2C)</t>
        </is>
      </c>
      <c r="K3827" t="inlineStr">
        <is>
          <t>CH2</t>
        </is>
      </c>
    </row>
    <row r="3828">
      <c r="A3828" s="33" t="n">
        <v>45982</v>
      </c>
      <c r="B3828" t="inlineStr">
        <is>
          <t>2025-11</t>
        </is>
      </c>
      <c r="C3828" t="inlineStr">
        <is>
          <t>Importadora y comercializadora Origenes SPA</t>
        </is>
      </c>
      <c r="D3828" t="inlineStr">
        <is>
          <t>HORECA CAFETERIA</t>
        </is>
      </c>
      <c r="E3828" s="34" t="n">
        <v>100273</v>
      </c>
      <c r="F3828" t="inlineStr">
        <is>
          <t>F</t>
        </is>
      </c>
      <c r="G3828" s="34" t="n">
        <v>16010</v>
      </c>
      <c r="H3828" s="34" t="n">
        <v>84263</v>
      </c>
      <c r="I3828" t="inlineStr">
        <is>
          <t>3.1</t>
        </is>
      </c>
      <c r="J3828" t="inlineStr">
        <is>
          <t>Ventas HoReCa</t>
        </is>
      </c>
      <c r="K3828" t="inlineStr">
        <is>
          <t>CH1</t>
        </is>
      </c>
    </row>
    <row r="3829">
      <c r="A3829" s="33" t="n">
        <v>45982</v>
      </c>
      <c r="B3829" t="inlineStr">
        <is>
          <t>2025-11</t>
        </is>
      </c>
      <c r="C3829" t="inlineStr">
        <is>
          <t>DIEGO VARGAS BANQUETERIA Y EVENTOS SPA</t>
        </is>
      </c>
      <c r="D3829" t="inlineStr">
        <is>
          <t>HORECA CATERING</t>
        </is>
      </c>
      <c r="E3829" s="34" t="n">
        <v>217048</v>
      </c>
      <c r="F3829" t="inlineStr">
        <is>
          <t>F</t>
        </is>
      </c>
      <c r="G3829" s="34" t="n">
        <v>34655</v>
      </c>
      <c r="H3829" s="34" t="n">
        <v>182393</v>
      </c>
      <c r="I3829" t="inlineStr">
        <is>
          <t>3.1</t>
        </is>
      </c>
      <c r="J3829" t="inlineStr">
        <is>
          <t>Ventas HoReCa</t>
        </is>
      </c>
      <c r="K3829" t="inlineStr">
        <is>
          <t>CH1</t>
        </is>
      </c>
    </row>
    <row r="3830">
      <c r="A3830" s="33" t="n">
        <v>45982</v>
      </c>
      <c r="B3830" t="inlineStr">
        <is>
          <t>2025-11</t>
        </is>
      </c>
      <c r="C3830" t="inlineStr">
        <is>
          <t>BUSTORF LARSEN Y COMPANIA LIMITADA</t>
        </is>
      </c>
      <c r="D3830" t="inlineStr">
        <is>
          <t>HORECA CAFETERIA</t>
        </is>
      </c>
      <c r="E3830" s="34" t="n">
        <v>68179</v>
      </c>
      <c r="F3830" t="inlineStr">
        <is>
          <t>F</t>
        </is>
      </c>
      <c r="G3830" s="34" t="n">
        <v>10886</v>
      </c>
      <c r="H3830" s="34" t="n">
        <v>57293</v>
      </c>
      <c r="I3830" t="inlineStr">
        <is>
          <t>3.1</t>
        </is>
      </c>
      <c r="J3830" t="inlineStr">
        <is>
          <t>Ventas HoReCa</t>
        </is>
      </c>
      <c r="K3830" t="inlineStr">
        <is>
          <t>CH1</t>
        </is>
      </c>
    </row>
    <row r="3831">
      <c r="A3831" s="33" t="n">
        <v>45982</v>
      </c>
      <c r="B3831" t="inlineStr">
        <is>
          <t>2025-11</t>
        </is>
      </c>
      <c r="C3831" t="inlineStr">
        <is>
          <t>the capital coffee spa</t>
        </is>
      </c>
      <c r="D3831" t="inlineStr">
        <is>
          <t>HORECA CAFETERIA</t>
        </is>
      </c>
      <c r="E3831" s="34" t="n">
        <v>235069</v>
      </c>
      <c r="F3831" t="inlineStr">
        <is>
          <t>F</t>
        </is>
      </c>
      <c r="G3831" s="34" t="n">
        <v>37532</v>
      </c>
      <c r="H3831" s="34" t="n">
        <v>197537</v>
      </c>
      <c r="I3831" t="inlineStr">
        <is>
          <t>3.1</t>
        </is>
      </c>
      <c r="J3831" t="inlineStr">
        <is>
          <t>Ventas HoReCa</t>
        </is>
      </c>
      <c r="K3831" t="inlineStr">
        <is>
          <t>CH1</t>
        </is>
      </c>
    </row>
    <row r="3832">
      <c r="A3832" s="33" t="n">
        <v>45982</v>
      </c>
      <c r="B3832" t="inlineStr">
        <is>
          <t>2025-11</t>
        </is>
      </c>
      <c r="C3832" t="inlineStr">
        <is>
          <t>Carlos Romero</t>
        </is>
      </c>
      <c r="D3832" t="inlineStr">
        <is>
          <t>Petit Tradicional</t>
        </is>
      </c>
      <c r="E3832" s="34" t="n">
        <v>25889</v>
      </c>
      <c r="F3832" t="inlineStr">
        <is>
          <t>B</t>
        </is>
      </c>
      <c r="G3832" s="34" t="n">
        <v>4134</v>
      </c>
      <c r="H3832" s="34" t="n">
        <v>21755</v>
      </c>
      <c r="I3832" t="inlineStr">
        <is>
          <t>3.2</t>
        </is>
      </c>
      <c r="J3832" t="inlineStr">
        <is>
          <t>Ventas Personas (B2C)</t>
        </is>
      </c>
      <c r="K3832" t="inlineStr">
        <is>
          <t>CH2</t>
        </is>
      </c>
    </row>
    <row r="3833">
      <c r="A3833" s="33" t="n">
        <v>45982</v>
      </c>
      <c r="B3833" t="inlineStr">
        <is>
          <t>2025-11</t>
        </is>
      </c>
      <c r="C3833" t="inlineStr">
        <is>
          <t>Carmen Mayo</t>
        </is>
      </c>
      <c r="D3833" t="inlineStr">
        <is>
          <t>CANELÉ TRADICIONAL</t>
        </is>
      </c>
      <c r="E3833" s="34" t="n">
        <v>25890</v>
      </c>
      <c r="F3833" t="inlineStr">
        <is>
          <t>B</t>
        </is>
      </c>
      <c r="G3833" s="34" t="n">
        <v>4134</v>
      </c>
      <c r="H3833" s="34" t="n">
        <v>21756</v>
      </c>
      <c r="I3833" t="inlineStr">
        <is>
          <t>3.2</t>
        </is>
      </c>
      <c r="J3833" t="inlineStr">
        <is>
          <t>Ventas Personas (B2C)</t>
        </is>
      </c>
      <c r="K3833" t="inlineStr">
        <is>
          <t>CH2</t>
        </is>
      </c>
    </row>
    <row r="3834">
      <c r="A3834" s="33" t="n">
        <v>45982</v>
      </c>
      <c r="B3834" t="inlineStr">
        <is>
          <t>2025-11</t>
        </is>
      </c>
      <c r="C3834" t="inlineStr">
        <is>
          <t xml:space="preserve">Sonya Becker </t>
        </is>
      </c>
      <c r="D3834" t="inlineStr">
        <is>
          <t>CANELÉ TRADICIONAL</t>
        </is>
      </c>
      <c r="E3834" s="34" t="n">
        <v>98500</v>
      </c>
      <c r="F3834" t="inlineStr">
        <is>
          <t>B</t>
        </is>
      </c>
      <c r="G3834" s="34" t="n">
        <v>15727</v>
      </c>
      <c r="H3834" s="34" t="n">
        <v>82773</v>
      </c>
      <c r="I3834" t="inlineStr">
        <is>
          <t>3.2</t>
        </is>
      </c>
      <c r="J3834" t="inlineStr">
        <is>
          <t>Ventas Personas (B2C)</t>
        </is>
      </c>
      <c r="K3834" t="inlineStr">
        <is>
          <t>CH2</t>
        </is>
      </c>
    </row>
    <row r="3835">
      <c r="A3835" s="33" t="n">
        <v>45982</v>
      </c>
      <c r="B3835" t="inlineStr">
        <is>
          <t>2025-11</t>
        </is>
      </c>
      <c r="C3835" t="inlineStr">
        <is>
          <t>Sin cliente</t>
        </is>
      </c>
      <c r="D3835" t="inlineStr">
        <is>
          <t>CANELÉ TRADICIONAL</t>
        </is>
      </c>
      <c r="E3835" s="34" t="n">
        <v>14900</v>
      </c>
      <c r="F3835" t="inlineStr">
        <is>
          <t>B</t>
        </is>
      </c>
      <c r="G3835" s="34" t="n">
        <v>2379</v>
      </c>
      <c r="H3835" s="34" t="n">
        <v>12521</v>
      </c>
      <c r="I3835" t="inlineStr">
        <is>
          <t>3.2</t>
        </is>
      </c>
      <c r="J3835" t="inlineStr">
        <is>
          <t>Ventas Personas (B2C)</t>
        </is>
      </c>
      <c r="K3835" t="inlineStr">
        <is>
          <t>CH2</t>
        </is>
      </c>
    </row>
    <row r="3836">
      <c r="A3836" s="33" t="n">
        <v>45982</v>
      </c>
      <c r="B3836" t="inlineStr">
        <is>
          <t>2025-11</t>
        </is>
      </c>
      <c r="C3836" t="inlineStr">
        <is>
          <t>Sin cliente</t>
        </is>
      </c>
      <c r="D3836" t="inlineStr">
        <is>
          <t>PLATAFORMAS RAP-PEYA-UBER-GOOD</t>
        </is>
      </c>
      <c r="E3836" s="34" t="n">
        <v>30360</v>
      </c>
      <c r="F3836" t="inlineStr">
        <is>
          <t>B</t>
        </is>
      </c>
      <c r="G3836" s="34" t="n">
        <v>4847</v>
      </c>
      <c r="H3836" s="34" t="n">
        <v>25513</v>
      </c>
      <c r="I3836" t="inlineStr">
        <is>
          <t>3.6</t>
        </is>
      </c>
      <c r="J3836" t="inlineStr">
        <is>
          <t>Ventas Delivery Apps</t>
        </is>
      </c>
      <c r="K3836" t="inlineStr">
        <is>
          <t>CH3</t>
        </is>
      </c>
    </row>
    <row r="3837">
      <c r="A3837" s="33" t="n">
        <v>45982</v>
      </c>
      <c r="B3837" t="inlineStr">
        <is>
          <t>2025-11</t>
        </is>
      </c>
      <c r="C3837" t="inlineStr">
        <is>
          <t>daniela pliego</t>
        </is>
      </c>
      <c r="D3837" t="inlineStr">
        <is>
          <t>Delicatessen</t>
        </is>
      </c>
      <c r="E3837" s="34" t="n">
        <v>33290</v>
      </c>
      <c r="F3837" t="inlineStr">
        <is>
          <t>B</t>
        </is>
      </c>
      <c r="G3837" s="34" t="n">
        <v>5315</v>
      </c>
      <c r="H3837" s="34" t="n">
        <v>27975</v>
      </c>
      <c r="I3837" t="inlineStr">
        <is>
          <t>3.2</t>
        </is>
      </c>
      <c r="J3837" t="inlineStr">
        <is>
          <t>Ventas Personas (B2C)</t>
        </is>
      </c>
      <c r="K3837" t="inlineStr">
        <is>
          <t>CH2</t>
        </is>
      </c>
    </row>
    <row r="3838">
      <c r="A3838" s="33" t="n">
        <v>45982</v>
      </c>
      <c r="B3838" t="inlineStr">
        <is>
          <t>2025-11</t>
        </is>
      </c>
      <c r="C3838" t="inlineStr">
        <is>
          <t>Paula Gatica</t>
        </is>
      </c>
      <c r="D3838" t="inlineStr">
        <is>
          <t>CANELÉ TRADICIONAL</t>
        </is>
      </c>
      <c r="E3838" s="34" t="n">
        <v>58190</v>
      </c>
      <c r="F3838" t="inlineStr">
        <is>
          <t>B</t>
        </is>
      </c>
      <c r="G3838" s="34" t="n">
        <v>9291</v>
      </c>
      <c r="H3838" s="34" t="n">
        <v>48899</v>
      </c>
      <c r="I3838" t="inlineStr">
        <is>
          <t>3.2</t>
        </is>
      </c>
      <c r="J3838" t="inlineStr">
        <is>
          <t>Ventas Personas (B2C)</t>
        </is>
      </c>
      <c r="K3838" t="inlineStr">
        <is>
          <t>CH2</t>
        </is>
      </c>
    </row>
    <row r="3839">
      <c r="A3839" s="33" t="n">
        <v>45982</v>
      </c>
      <c r="B3839" t="inlineStr">
        <is>
          <t>2025-11</t>
        </is>
      </c>
      <c r="C3839" t="inlineStr">
        <is>
          <t>Paulina Vega Amengual</t>
        </is>
      </c>
      <c r="D3839" t="inlineStr">
        <is>
          <t>Petit Crunchy</t>
        </is>
      </c>
      <c r="E3839" s="34" t="n">
        <v>39389</v>
      </c>
      <c r="F3839" t="inlineStr">
        <is>
          <t>B</t>
        </is>
      </c>
      <c r="G3839" s="34" t="n">
        <v>6289</v>
      </c>
      <c r="H3839" s="34" t="n">
        <v>33100</v>
      </c>
      <c r="I3839" t="inlineStr">
        <is>
          <t>3.2</t>
        </is>
      </c>
      <c r="J3839" t="inlineStr">
        <is>
          <t>Ventas Personas (B2C)</t>
        </is>
      </c>
      <c r="K3839" t="inlineStr">
        <is>
          <t>CH2</t>
        </is>
      </c>
    </row>
    <row r="3840">
      <c r="A3840" s="33" t="n">
        <v>45982</v>
      </c>
      <c r="B3840" t="inlineStr">
        <is>
          <t>2025-11</t>
        </is>
      </c>
      <c r="C3840" t="inlineStr">
        <is>
          <t>Cecilia Rojas</t>
        </is>
      </c>
      <c r="D3840" t="inlineStr">
        <is>
          <t>Petit Crunchy</t>
        </is>
      </c>
      <c r="E3840" s="34" t="n">
        <v>38890</v>
      </c>
      <c r="F3840" t="inlineStr">
        <is>
          <t>B</t>
        </is>
      </c>
      <c r="G3840" s="34" t="n">
        <v>6209</v>
      </c>
      <c r="H3840" s="34" t="n">
        <v>32681</v>
      </c>
      <c r="I3840" t="inlineStr">
        <is>
          <t>3.2</t>
        </is>
      </c>
      <c r="J3840" t="inlineStr">
        <is>
          <t>Ventas Personas (B2C)</t>
        </is>
      </c>
      <c r="K3840" t="inlineStr">
        <is>
          <t>CH2</t>
        </is>
      </c>
    </row>
    <row r="3841">
      <c r="A3841" s="33" t="n">
        <v>45982</v>
      </c>
      <c r="B3841" t="inlineStr">
        <is>
          <t>2025-11</t>
        </is>
      </c>
      <c r="C3841" t="inlineStr">
        <is>
          <t>Sin cliente</t>
        </is>
      </c>
      <c r="D3841" t="inlineStr">
        <is>
          <t>PLATAFORMAS RAP-PEYA-UBER-GOOD</t>
        </is>
      </c>
      <c r="E3841" s="34" t="n">
        <v>30960</v>
      </c>
      <c r="F3841" t="inlineStr">
        <is>
          <t>B</t>
        </is>
      </c>
      <c r="G3841" s="34" t="n">
        <v>4943</v>
      </c>
      <c r="H3841" s="34" t="n">
        <v>26017</v>
      </c>
      <c r="I3841" t="inlineStr">
        <is>
          <t>3.6</t>
        </is>
      </c>
      <c r="J3841" t="inlineStr">
        <is>
          <t>Ventas Delivery Apps</t>
        </is>
      </c>
      <c r="K3841" t="inlineStr">
        <is>
          <t>CH3</t>
        </is>
      </c>
    </row>
    <row r="3842">
      <c r="A3842" s="33" t="n">
        <v>45982</v>
      </c>
      <c r="B3842" t="inlineStr">
        <is>
          <t>2025-11</t>
        </is>
      </c>
      <c r="C3842" t="inlineStr">
        <is>
          <t>Sin cliente</t>
        </is>
      </c>
      <c r="D3842" t="inlineStr">
        <is>
          <t>PLATAFORMAS RAP-PEYA-UBER-GOOD</t>
        </is>
      </c>
      <c r="E3842" s="34" t="n">
        <v>15480</v>
      </c>
      <c r="F3842" t="inlineStr">
        <is>
          <t>B</t>
        </is>
      </c>
      <c r="G3842" s="34" t="n">
        <v>2472</v>
      </c>
      <c r="H3842" s="34" t="n">
        <v>13008</v>
      </c>
      <c r="I3842" t="inlineStr">
        <is>
          <t>3.6</t>
        </is>
      </c>
      <c r="J3842" t="inlineStr">
        <is>
          <t>Ventas Delivery Apps</t>
        </is>
      </c>
      <c r="K3842" t="inlineStr">
        <is>
          <t>CH3</t>
        </is>
      </c>
    </row>
    <row r="3843">
      <c r="A3843" s="33" t="n">
        <v>45982</v>
      </c>
      <c r="B3843" t="inlineStr">
        <is>
          <t>2025-11</t>
        </is>
      </c>
      <c r="C3843" t="inlineStr">
        <is>
          <t>Sin cliente</t>
        </is>
      </c>
      <c r="D3843" t="inlineStr">
        <is>
          <t>PLATAFORMAS RAP-PEYA-UBER-GOOD</t>
        </is>
      </c>
      <c r="E3843" s="34" t="n">
        <v>10680</v>
      </c>
      <c r="F3843" t="inlineStr">
        <is>
          <t>B</t>
        </is>
      </c>
      <c r="G3843" s="34" t="n">
        <v>1705</v>
      </c>
      <c r="H3843" s="34" t="n">
        <v>8975</v>
      </c>
      <c r="I3843" t="inlineStr">
        <is>
          <t>3.6</t>
        </is>
      </c>
      <c r="J3843" t="inlineStr">
        <is>
          <t>Ventas Delivery Apps</t>
        </is>
      </c>
      <c r="K3843" t="inlineStr">
        <is>
          <t>CH3</t>
        </is>
      </c>
    </row>
    <row r="3844">
      <c r="A3844" s="33" t="n">
        <v>45982</v>
      </c>
      <c r="B3844" t="inlineStr">
        <is>
          <t>2025-11</t>
        </is>
      </c>
      <c r="C3844" t="inlineStr">
        <is>
          <t>Sin cliente</t>
        </is>
      </c>
      <c r="D3844" t="inlineStr">
        <is>
          <t>CANELÉ TRADICIONAL</t>
        </is>
      </c>
      <c r="E3844" s="34" t="n">
        <v>14900</v>
      </c>
      <c r="F3844" t="inlineStr">
        <is>
          <t>B</t>
        </is>
      </c>
      <c r="G3844" s="34" t="n">
        <v>2379</v>
      </c>
      <c r="H3844" s="34" t="n">
        <v>12521</v>
      </c>
      <c r="I3844" t="inlineStr">
        <is>
          <t>3.2</t>
        </is>
      </c>
      <c r="J3844" t="inlineStr">
        <is>
          <t>Ventas Personas (B2C)</t>
        </is>
      </c>
      <c r="K3844" t="inlineStr">
        <is>
          <t>CH2</t>
        </is>
      </c>
    </row>
    <row r="3845">
      <c r="A3845" s="33" t="n">
        <v>45982</v>
      </c>
      <c r="B3845" t="inlineStr">
        <is>
          <t>2025-11</t>
        </is>
      </c>
      <c r="C3845" t="inlineStr">
        <is>
          <t>Sin cliente</t>
        </is>
      </c>
      <c r="D3845" t="inlineStr">
        <is>
          <t>Sin Azúcar</t>
        </is>
      </c>
      <c r="E3845" s="34" t="n">
        <v>27300</v>
      </c>
      <c r="F3845" t="inlineStr">
        <is>
          <t>B</t>
        </is>
      </c>
      <c r="G3845" s="34" t="n">
        <v>4359</v>
      </c>
      <c r="H3845" s="34" t="n">
        <v>22941</v>
      </c>
      <c r="I3845" t="inlineStr">
        <is>
          <t>3.2</t>
        </is>
      </c>
      <c r="J3845" t="inlineStr">
        <is>
          <t>Ventas Personas (B2C)</t>
        </is>
      </c>
      <c r="K3845" t="inlineStr">
        <is>
          <t>CH2</t>
        </is>
      </c>
    </row>
    <row r="3846">
      <c r="A3846" s="33" t="n">
        <v>45982</v>
      </c>
      <c r="B3846" t="inlineStr">
        <is>
          <t>2025-11</t>
        </is>
      </c>
      <c r="C3846" t="inlineStr">
        <is>
          <t>Andrea Padilla</t>
        </is>
      </c>
      <c r="D3846" t="inlineStr">
        <is>
          <t>Petit Tradicional</t>
        </is>
      </c>
      <c r="E3846" s="34" t="n">
        <v>34389</v>
      </c>
      <c r="F3846" t="inlineStr">
        <is>
          <t>B</t>
        </is>
      </c>
      <c r="G3846" s="34" t="n">
        <v>5491</v>
      </c>
      <c r="H3846" s="34" t="n">
        <v>28898</v>
      </c>
      <c r="I3846" t="inlineStr">
        <is>
          <t>3.2</t>
        </is>
      </c>
      <c r="J3846" t="inlineStr">
        <is>
          <t>Ventas Personas (B2C)</t>
        </is>
      </c>
      <c r="K3846" t="inlineStr">
        <is>
          <t>CH2</t>
        </is>
      </c>
    </row>
    <row r="3847">
      <c r="A3847" s="33" t="n">
        <v>45982</v>
      </c>
      <c r="B3847" t="inlineStr">
        <is>
          <t>2025-11</t>
        </is>
      </c>
      <c r="C3847" t="inlineStr">
        <is>
          <t>Melania Chaverri</t>
        </is>
      </c>
      <c r="D3847" t="inlineStr">
        <is>
          <t>Petit Tradicional</t>
        </is>
      </c>
      <c r="E3847" s="34" t="n">
        <v>12389</v>
      </c>
      <c r="F3847" t="inlineStr">
        <is>
          <t>B</t>
        </is>
      </c>
      <c r="G3847" s="34" t="n">
        <v>1978</v>
      </c>
      <c r="H3847" s="34" t="n">
        <v>10411</v>
      </c>
      <c r="I3847" t="inlineStr">
        <is>
          <t>3.2</t>
        </is>
      </c>
      <c r="J3847" t="inlineStr">
        <is>
          <t>Ventas Personas (B2C)</t>
        </is>
      </c>
      <c r="K3847" t="inlineStr">
        <is>
          <t>CH2</t>
        </is>
      </c>
    </row>
    <row r="3848">
      <c r="A3848" s="33" t="n">
        <v>45982</v>
      </c>
      <c r="B3848" t="inlineStr">
        <is>
          <t>2025-11</t>
        </is>
      </c>
      <c r="C3848" t="inlineStr">
        <is>
          <t>Carla Sepulveda Pacheco</t>
        </is>
      </c>
      <c r="D3848" t="inlineStr">
        <is>
          <t>PACKAGING</t>
        </is>
      </c>
      <c r="E3848" s="34" t="n">
        <v>23290</v>
      </c>
      <c r="F3848" t="inlineStr">
        <is>
          <t>B</t>
        </is>
      </c>
      <c r="G3848" s="34" t="n">
        <v>3719</v>
      </c>
      <c r="H3848" s="34" t="n">
        <v>19571</v>
      </c>
      <c r="I3848" t="inlineStr">
        <is>
          <t>3.2</t>
        </is>
      </c>
      <c r="J3848" t="inlineStr">
        <is>
          <t>Ventas Personas (B2C)</t>
        </is>
      </c>
      <c r="K3848" t="inlineStr">
        <is>
          <t>CH2</t>
        </is>
      </c>
    </row>
    <row r="3849">
      <c r="A3849" s="33" t="n">
        <v>45982</v>
      </c>
      <c r="B3849" t="inlineStr">
        <is>
          <t>2025-11</t>
        </is>
      </c>
      <c r="C3849" t="inlineStr">
        <is>
          <t>Christian Real Bernouin</t>
        </is>
      </c>
      <c r="D3849" t="inlineStr">
        <is>
          <t>CANELE SIN AZUCAR</t>
        </is>
      </c>
      <c r="E3849" s="34" t="n">
        <v>66500</v>
      </c>
      <c r="F3849" t="inlineStr">
        <is>
          <t>B</t>
        </is>
      </c>
      <c r="G3849" s="34" t="n">
        <v>10618</v>
      </c>
      <c r="H3849" s="34" t="n">
        <v>55882</v>
      </c>
      <c r="I3849" t="inlineStr">
        <is>
          <t>3.2</t>
        </is>
      </c>
      <c r="J3849" t="inlineStr">
        <is>
          <t>Ventas Personas (B2C)</t>
        </is>
      </c>
      <c r="K3849" t="inlineStr">
        <is>
          <t>CH2</t>
        </is>
      </c>
    </row>
    <row r="3850">
      <c r="A3850" s="33" t="n">
        <v>45983</v>
      </c>
      <c r="B3850" t="inlineStr">
        <is>
          <t>2025-11</t>
        </is>
      </c>
      <c r="C3850" t="inlineStr">
        <is>
          <t>Saxana Sequeida Tejeda</t>
        </is>
      </c>
      <c r="D3850" t="inlineStr">
        <is>
          <t>Petit Crunchy</t>
        </is>
      </c>
      <c r="E3850" s="34" t="n">
        <v>52789</v>
      </c>
      <c r="F3850" t="inlineStr">
        <is>
          <t>B</t>
        </is>
      </c>
      <c r="G3850" s="34" t="n">
        <v>8428</v>
      </c>
      <c r="H3850" s="34" t="n">
        <v>44361</v>
      </c>
      <c r="I3850" t="inlineStr">
        <is>
          <t>3.2</t>
        </is>
      </c>
      <c r="J3850" t="inlineStr">
        <is>
          <t>Ventas Personas (B2C)</t>
        </is>
      </c>
      <c r="K3850" t="inlineStr">
        <is>
          <t>CH2</t>
        </is>
      </c>
    </row>
    <row r="3851">
      <c r="A3851" s="33" t="n">
        <v>45983</v>
      </c>
      <c r="B3851" t="inlineStr">
        <is>
          <t>2025-11</t>
        </is>
      </c>
      <c r="C3851" t="inlineStr">
        <is>
          <t>Mario Sanchez</t>
        </is>
      </c>
      <c r="D3851" t="inlineStr">
        <is>
          <t>Petit Crunchy</t>
        </is>
      </c>
      <c r="E3851" s="34" t="n">
        <v>44390</v>
      </c>
      <c r="F3851" t="inlineStr">
        <is>
          <t>B</t>
        </is>
      </c>
      <c r="G3851" s="34" t="n">
        <v>7087</v>
      </c>
      <c r="H3851" s="34" t="n">
        <v>37303</v>
      </c>
      <c r="I3851" t="inlineStr">
        <is>
          <t>3.2</t>
        </is>
      </c>
      <c r="J3851" t="inlineStr">
        <is>
          <t>Ventas Personas (B2C)</t>
        </is>
      </c>
      <c r="K3851" t="inlineStr">
        <is>
          <t>CH2</t>
        </is>
      </c>
    </row>
    <row r="3852">
      <c r="A3852" s="33" t="n">
        <v>45983</v>
      </c>
      <c r="B3852" t="inlineStr">
        <is>
          <t>2025-11</t>
        </is>
      </c>
      <c r="C3852" t="inlineStr">
        <is>
          <t>Melissa Miranda</t>
        </is>
      </c>
      <c r="D3852" t="inlineStr">
        <is>
          <t>Petit Crunchy</t>
        </is>
      </c>
      <c r="E3852" s="34" t="n">
        <v>29389</v>
      </c>
      <c r="F3852" t="inlineStr">
        <is>
          <t>B</t>
        </is>
      </c>
      <c r="G3852" s="34" t="n">
        <v>4692</v>
      </c>
      <c r="H3852" s="34" t="n">
        <v>24697</v>
      </c>
      <c r="I3852" t="inlineStr">
        <is>
          <t>3.2</t>
        </is>
      </c>
      <c r="J3852" t="inlineStr">
        <is>
          <t>Ventas Personas (B2C)</t>
        </is>
      </c>
      <c r="K3852" t="inlineStr">
        <is>
          <t>CH2</t>
        </is>
      </c>
    </row>
    <row r="3853">
      <c r="A3853" s="33" t="n">
        <v>45983</v>
      </c>
      <c r="B3853" t="inlineStr">
        <is>
          <t>2025-11</t>
        </is>
      </c>
      <c r="C3853" t="inlineStr">
        <is>
          <t>Sin cliente</t>
        </is>
      </c>
      <c r="D3853" t="inlineStr">
        <is>
          <t>CANELÉ TRADICIONAL</t>
        </is>
      </c>
      <c r="E3853" s="34" t="n">
        <v>21900</v>
      </c>
      <c r="F3853" t="inlineStr">
        <is>
          <t>B</t>
        </is>
      </c>
      <c r="G3853" s="34" t="n">
        <v>3497</v>
      </c>
      <c r="H3853" s="34" t="n">
        <v>18403</v>
      </c>
      <c r="I3853" t="inlineStr">
        <is>
          <t>3.2</t>
        </is>
      </c>
      <c r="J3853" t="inlineStr">
        <is>
          <t>Ventas Personas (B2C)</t>
        </is>
      </c>
      <c r="K3853" t="inlineStr">
        <is>
          <t>CH2</t>
        </is>
      </c>
    </row>
    <row r="3854">
      <c r="A3854" s="33" t="n">
        <v>45983</v>
      </c>
      <c r="B3854" t="inlineStr">
        <is>
          <t>2025-11</t>
        </is>
      </c>
      <c r="C3854" t="inlineStr">
        <is>
          <t>Alismar Alvarez Arias</t>
        </is>
      </c>
      <c r="D3854" t="inlineStr">
        <is>
          <t>CANELE SIN AZUCAR</t>
        </is>
      </c>
      <c r="E3854" s="34" t="n">
        <v>19790</v>
      </c>
      <c r="F3854" t="inlineStr">
        <is>
          <t>B</t>
        </is>
      </c>
      <c r="G3854" s="34" t="n">
        <v>3160</v>
      </c>
      <c r="H3854" s="34" t="n">
        <v>16630</v>
      </c>
      <c r="I3854" t="inlineStr">
        <is>
          <t>3.2</t>
        </is>
      </c>
      <c r="J3854" t="inlineStr">
        <is>
          <t>Ventas Personas (B2C)</t>
        </is>
      </c>
      <c r="K3854" t="inlineStr">
        <is>
          <t>CH2</t>
        </is>
      </c>
    </row>
    <row r="3855">
      <c r="A3855" s="33" t="n">
        <v>45983</v>
      </c>
      <c r="B3855" t="inlineStr">
        <is>
          <t>2025-11</t>
        </is>
      </c>
      <c r="C3855" t="inlineStr">
        <is>
          <t>Valentina Jofré</t>
        </is>
      </c>
      <c r="D3855" t="inlineStr">
        <is>
          <t>Mix Sabores</t>
        </is>
      </c>
      <c r="E3855" s="34" t="n">
        <v>61090</v>
      </c>
      <c r="F3855" t="inlineStr">
        <is>
          <t>B</t>
        </is>
      </c>
      <c r="G3855" s="34" t="n">
        <v>9754</v>
      </c>
      <c r="H3855" s="34" t="n">
        <v>51336</v>
      </c>
      <c r="I3855" t="inlineStr">
        <is>
          <t>3.2</t>
        </is>
      </c>
      <c r="J3855" t="inlineStr">
        <is>
          <t>Ventas Personas (B2C)</t>
        </is>
      </c>
      <c r="K3855" t="inlineStr">
        <is>
          <t>CH2</t>
        </is>
      </c>
    </row>
    <row r="3856">
      <c r="A3856" s="33" t="n">
        <v>45983</v>
      </c>
      <c r="B3856" t="inlineStr">
        <is>
          <t>2025-11</t>
        </is>
      </c>
      <c r="C3856" t="inlineStr">
        <is>
          <t>Paola Espinosa</t>
        </is>
      </c>
      <c r="D3856" t="inlineStr">
        <is>
          <t>CANELÉ TRADICIONAL</t>
        </is>
      </c>
      <c r="E3856" s="34" t="n">
        <v>19599</v>
      </c>
      <c r="F3856" t="inlineStr">
        <is>
          <t>B</t>
        </is>
      </c>
      <c r="G3856" s="34" t="n">
        <v>3129</v>
      </c>
      <c r="H3856" s="34" t="n">
        <v>16470</v>
      </c>
      <c r="I3856" t="inlineStr">
        <is>
          <t>3.2</t>
        </is>
      </c>
      <c r="J3856" t="inlineStr">
        <is>
          <t>Ventas Personas (B2C)</t>
        </is>
      </c>
      <c r="K3856" t="inlineStr">
        <is>
          <t>CH2</t>
        </is>
      </c>
    </row>
    <row r="3857">
      <c r="A3857" s="33" t="n">
        <v>45983</v>
      </c>
      <c r="B3857" t="inlineStr">
        <is>
          <t>2025-11</t>
        </is>
      </c>
      <c r="C3857" t="inlineStr">
        <is>
          <t>Sin cliente</t>
        </is>
      </c>
      <c r="D3857" t="inlineStr">
        <is>
          <t>Rellenos</t>
        </is>
      </c>
      <c r="E3857" s="34" t="n">
        <v>32800</v>
      </c>
      <c r="F3857" t="inlineStr">
        <is>
          <t>B</t>
        </is>
      </c>
      <c r="G3857" s="34" t="n">
        <v>5237</v>
      </c>
      <c r="H3857" s="34" t="n">
        <v>27563</v>
      </c>
      <c r="I3857" t="inlineStr">
        <is>
          <t>3.2</t>
        </is>
      </c>
      <c r="J3857" t="inlineStr">
        <is>
          <t>Ventas Personas (B2C)</t>
        </is>
      </c>
      <c r="K3857" t="inlineStr">
        <is>
          <t>CH2</t>
        </is>
      </c>
    </row>
    <row r="3858">
      <c r="A3858" s="33" t="n">
        <v>45983</v>
      </c>
      <c r="B3858" t="inlineStr">
        <is>
          <t>2025-11</t>
        </is>
      </c>
      <c r="C3858" t="inlineStr">
        <is>
          <t>Sin cliente</t>
        </is>
      </c>
      <c r="D3858" t="inlineStr">
        <is>
          <t>CANELÉ TRADICIONAL</t>
        </is>
      </c>
      <c r="E3858" s="34" t="n">
        <v>14900</v>
      </c>
      <c r="F3858" t="inlineStr">
        <is>
          <t>B</t>
        </is>
      </c>
      <c r="G3858" s="34" t="n">
        <v>2379</v>
      </c>
      <c r="H3858" s="34" t="n">
        <v>12521</v>
      </c>
      <c r="I3858" t="inlineStr">
        <is>
          <t>3.2</t>
        </is>
      </c>
      <c r="J3858" t="inlineStr">
        <is>
          <t>Ventas Personas (B2C)</t>
        </is>
      </c>
      <c r="K3858" t="inlineStr">
        <is>
          <t>CH2</t>
        </is>
      </c>
    </row>
    <row r="3859">
      <c r="A3859" s="33" t="n">
        <v>45983</v>
      </c>
      <c r="B3859" t="inlineStr">
        <is>
          <t>2025-11</t>
        </is>
      </c>
      <c r="C3859" t="inlineStr">
        <is>
          <t>Sin cliente</t>
        </is>
      </c>
      <c r="D3859" t="inlineStr">
        <is>
          <t>Petit Tradicional</t>
        </is>
      </c>
      <c r="E3859" s="34" t="n">
        <v>27520</v>
      </c>
      <c r="F3859" t="inlineStr">
        <is>
          <t>B</t>
        </is>
      </c>
      <c r="G3859" s="34" t="n">
        <v>4394</v>
      </c>
      <c r="H3859" s="34" t="n">
        <v>23126</v>
      </c>
      <c r="I3859" t="inlineStr">
        <is>
          <t>3.2</t>
        </is>
      </c>
      <c r="J3859" t="inlineStr">
        <is>
          <t>Ventas Personas (B2C)</t>
        </is>
      </c>
      <c r="K3859" t="inlineStr">
        <is>
          <t>CH2</t>
        </is>
      </c>
    </row>
    <row r="3860">
      <c r="A3860" s="33" t="n">
        <v>45983</v>
      </c>
      <c r="B3860" t="inlineStr">
        <is>
          <t>2025-11</t>
        </is>
      </c>
      <c r="C3860" t="inlineStr">
        <is>
          <t>Sin cliente</t>
        </is>
      </c>
      <c r="D3860" t="inlineStr">
        <is>
          <t>CANELÉ TRADICIONAL</t>
        </is>
      </c>
      <c r="E3860" s="34" t="n">
        <v>26800</v>
      </c>
      <c r="F3860" t="inlineStr">
        <is>
          <t>B</t>
        </is>
      </c>
      <c r="G3860" s="34" t="n">
        <v>4279</v>
      </c>
      <c r="H3860" s="34" t="n">
        <v>22521</v>
      </c>
      <c r="I3860" t="inlineStr">
        <is>
          <t>3.2</t>
        </is>
      </c>
      <c r="J3860" t="inlineStr">
        <is>
          <t>Ventas Personas (B2C)</t>
        </is>
      </c>
      <c r="K3860" t="inlineStr">
        <is>
          <t>CH2</t>
        </is>
      </c>
    </row>
    <row r="3861">
      <c r="A3861" s="33" t="n">
        <v>45984</v>
      </c>
      <c r="B3861" t="inlineStr">
        <is>
          <t>2025-11</t>
        </is>
      </c>
      <c r="C3861" t="inlineStr">
        <is>
          <t>Tomas Garrido Mira</t>
        </is>
      </c>
      <c r="D3861" t="inlineStr">
        <is>
          <t>CANELÉ TRADICIONAL</t>
        </is>
      </c>
      <c r="E3861" s="34" t="n">
        <v>50119</v>
      </c>
      <c r="F3861" t="inlineStr">
        <is>
          <t>B</t>
        </is>
      </c>
      <c r="G3861" s="34" t="n">
        <v>8002</v>
      </c>
      <c r="H3861" s="34" t="n">
        <v>42117</v>
      </c>
      <c r="I3861" t="inlineStr">
        <is>
          <t>3.2</t>
        </is>
      </c>
      <c r="J3861" t="inlineStr">
        <is>
          <t>Ventas Personas (B2C)</t>
        </is>
      </c>
      <c r="K3861" t="inlineStr">
        <is>
          <t>CH2</t>
        </is>
      </c>
    </row>
    <row r="3862">
      <c r="A3862" s="33" t="n">
        <v>45984</v>
      </c>
      <c r="B3862" t="inlineStr">
        <is>
          <t>2025-11</t>
        </is>
      </c>
      <c r="C3862" t="inlineStr">
        <is>
          <t>Ghislaine Iraçabal Vidal</t>
        </is>
      </c>
      <c r="D3862" t="inlineStr">
        <is>
          <t>Mix Sabores</t>
        </is>
      </c>
      <c r="E3862" s="34" t="n">
        <v>29800</v>
      </c>
      <c r="F3862" t="inlineStr">
        <is>
          <t>B</t>
        </is>
      </c>
      <c r="G3862" s="34" t="n">
        <v>4758</v>
      </c>
      <c r="H3862" s="34" t="n">
        <v>25042</v>
      </c>
      <c r="I3862" t="inlineStr">
        <is>
          <t>3.2</t>
        </is>
      </c>
      <c r="J3862" t="inlineStr">
        <is>
          <t>Ventas Personas (B2C)</t>
        </is>
      </c>
      <c r="K3862" t="inlineStr">
        <is>
          <t>CH2</t>
        </is>
      </c>
    </row>
    <row r="3863">
      <c r="A3863" s="33" t="n">
        <v>45985</v>
      </c>
      <c r="B3863" t="inlineStr">
        <is>
          <t>2025-11</t>
        </is>
      </c>
      <c r="C3863" t="inlineStr">
        <is>
          <t>GALO SPA</t>
        </is>
      </c>
      <c r="D3863" t="inlineStr">
        <is>
          <t>HORECA CAFETERIA</t>
        </is>
      </c>
      <c r="E3863" s="34" t="n">
        <v>141506</v>
      </c>
      <c r="F3863" t="inlineStr">
        <is>
          <t>F</t>
        </is>
      </c>
      <c r="G3863" s="34" t="n">
        <v>22593</v>
      </c>
      <c r="H3863" s="34" t="n">
        <v>118913</v>
      </c>
      <c r="I3863" t="inlineStr">
        <is>
          <t>3.1</t>
        </is>
      </c>
      <c r="J3863" t="inlineStr">
        <is>
          <t>Ventas HoReCa</t>
        </is>
      </c>
      <c r="K3863" t="inlineStr">
        <is>
          <t>CH1</t>
        </is>
      </c>
    </row>
    <row r="3864">
      <c r="A3864" s="33" t="n">
        <v>45985</v>
      </c>
      <c r="B3864" t="inlineStr">
        <is>
          <t>2025-11</t>
        </is>
      </c>
      <c r="C3864" t="inlineStr">
        <is>
          <t>BUSTORF LARSEN Y COMPANIA LIMITADA</t>
        </is>
      </c>
      <c r="D3864" t="inlineStr">
        <is>
          <t>HORECA CAFETERIA</t>
        </is>
      </c>
      <c r="E3864" s="34" t="n">
        <v>69178</v>
      </c>
      <c r="F3864" t="inlineStr">
        <is>
          <t>F</t>
        </is>
      </c>
      <c r="G3864" s="34" t="n">
        <v>11045</v>
      </c>
      <c r="H3864" s="34" t="n">
        <v>58133</v>
      </c>
      <c r="I3864" t="inlineStr">
        <is>
          <t>3.1</t>
        </is>
      </c>
      <c r="J3864" t="inlineStr">
        <is>
          <t>Ventas HoReCa</t>
        </is>
      </c>
      <c r="K3864" t="inlineStr">
        <is>
          <t>CH1</t>
        </is>
      </c>
    </row>
    <row r="3865">
      <c r="A3865" s="33" t="n">
        <v>45985</v>
      </c>
      <c r="B3865" t="inlineStr">
        <is>
          <t>2025-11</t>
        </is>
      </c>
      <c r="C3865" t="inlineStr">
        <is>
          <t>BUSTORF LARSEN Y COMPANIA LIMITADA</t>
        </is>
      </c>
      <c r="D3865" t="inlineStr">
        <is>
          <t>HORECA CAFETERIA</t>
        </is>
      </c>
      <c r="E3865" s="34" t="n">
        <v>69178</v>
      </c>
      <c r="F3865" t="inlineStr">
        <is>
          <t>F</t>
        </is>
      </c>
      <c r="G3865" s="34" t="n">
        <v>11045</v>
      </c>
      <c r="H3865" s="34" t="n">
        <v>58133</v>
      </c>
      <c r="I3865" t="inlineStr">
        <is>
          <t>3.1</t>
        </is>
      </c>
      <c r="J3865" t="inlineStr">
        <is>
          <t>Ventas HoReCa</t>
        </is>
      </c>
      <c r="K3865" t="inlineStr">
        <is>
          <t>CH1</t>
        </is>
      </c>
    </row>
    <row r="3866">
      <c r="A3866" s="33" t="n">
        <v>45985</v>
      </c>
      <c r="B3866" t="inlineStr">
        <is>
          <t>2025-11</t>
        </is>
      </c>
      <c r="C3866" t="inlineStr">
        <is>
          <t>BUSTORF LARSEN Y COMPANIA LIMITADA</t>
        </is>
      </c>
      <c r="D3866" t="inlineStr">
        <is>
          <t>HORECA CAFETERIA</t>
        </is>
      </c>
      <c r="E3866" s="34" t="n">
        <v>69178</v>
      </c>
      <c r="F3866" t="inlineStr">
        <is>
          <t>F</t>
        </is>
      </c>
      <c r="G3866" s="34" t="n">
        <v>11045</v>
      </c>
      <c r="H3866" s="34" t="n">
        <v>58133</v>
      </c>
      <c r="I3866" t="inlineStr">
        <is>
          <t>3.1</t>
        </is>
      </c>
      <c r="J3866" t="inlineStr">
        <is>
          <t>Ventas HoReCa</t>
        </is>
      </c>
      <c r="K3866" t="inlineStr">
        <is>
          <t>CH1</t>
        </is>
      </c>
    </row>
    <row r="3867">
      <c r="A3867" s="33" t="n">
        <v>45985</v>
      </c>
      <c r="B3867" t="inlineStr">
        <is>
          <t>2025-11</t>
        </is>
      </c>
      <c r="C3867" t="inlineStr">
        <is>
          <t>INVERSIONES Y COMERCIALIZADORA FED LIMITADA</t>
        </is>
      </c>
      <c r="D3867" t="inlineStr">
        <is>
          <t>HORECA CAFETERIA</t>
        </is>
      </c>
      <c r="E3867" s="34" t="n">
        <v>225738</v>
      </c>
      <c r="F3867" t="inlineStr">
        <is>
          <t>F</t>
        </is>
      </c>
      <c r="G3867" s="34" t="n">
        <v>36042</v>
      </c>
      <c r="H3867" s="34" t="n">
        <v>189696</v>
      </c>
      <c r="I3867" t="inlineStr">
        <is>
          <t>3.1</t>
        </is>
      </c>
      <c r="J3867" t="inlineStr">
        <is>
          <t>Ventas HoReCa</t>
        </is>
      </c>
      <c r="K3867" t="inlineStr">
        <is>
          <t>CH1</t>
        </is>
      </c>
    </row>
    <row r="3868">
      <c r="A3868" s="33" t="n">
        <v>45985</v>
      </c>
      <c r="B3868" t="inlineStr">
        <is>
          <t>2025-11</t>
        </is>
      </c>
      <c r="C3868" t="inlineStr">
        <is>
          <t>INVERSIONES Y COMERCIALIZADORA FED LIMITADA</t>
        </is>
      </c>
      <c r="D3868" t="inlineStr">
        <is>
          <t>HORECA CAFETERIA</t>
        </is>
      </c>
      <c r="E3868" s="34" t="n">
        <v>114110</v>
      </c>
      <c r="F3868" t="inlineStr">
        <is>
          <t>F</t>
        </is>
      </c>
      <c r="G3868" s="34" t="n">
        <v>18219</v>
      </c>
      <c r="H3868" s="34" t="n">
        <v>95891</v>
      </c>
      <c r="I3868" t="inlineStr">
        <is>
          <t>3.1</t>
        </is>
      </c>
      <c r="J3868" t="inlineStr">
        <is>
          <t>Ventas HoReCa</t>
        </is>
      </c>
      <c r="K3868" t="inlineStr">
        <is>
          <t>CH1</t>
        </is>
      </c>
    </row>
    <row r="3869">
      <c r="A3869" s="33" t="n">
        <v>45985</v>
      </c>
      <c r="B3869" t="inlineStr">
        <is>
          <t>2025-11</t>
        </is>
      </c>
      <c r="C3869" t="inlineStr">
        <is>
          <t>CAFE DIARIO ENCOMENDEROS SPA</t>
        </is>
      </c>
      <c r="D3869" t="inlineStr">
        <is>
          <t>HORECA CAFETERIA</t>
        </is>
      </c>
      <c r="E3869" s="34" t="n">
        <v>137836</v>
      </c>
      <c r="F3869" t="inlineStr">
        <is>
          <t>F</t>
        </is>
      </c>
      <c r="G3869" s="34" t="n">
        <v>22007</v>
      </c>
      <c r="H3869" s="34" t="n">
        <v>115829</v>
      </c>
      <c r="I3869" t="inlineStr">
        <is>
          <t>3.1</t>
        </is>
      </c>
      <c r="J3869" t="inlineStr">
        <is>
          <t>Ventas HoReCa</t>
        </is>
      </c>
      <c r="K3869" t="inlineStr">
        <is>
          <t>CH1</t>
        </is>
      </c>
    </row>
    <row r="3870">
      <c r="A3870" s="33" t="n">
        <v>45985</v>
      </c>
      <c r="B3870" t="inlineStr">
        <is>
          <t>2025-11</t>
        </is>
      </c>
      <c r="C3870" t="inlineStr">
        <is>
          <t>Maria Consuelo Muñoz Moller</t>
        </is>
      </c>
      <c r="D3870" t="inlineStr">
        <is>
          <t>CANELÉ TRADICIONAL</t>
        </is>
      </c>
      <c r="E3870" s="34" t="n">
        <v>24210</v>
      </c>
      <c r="F3870" t="inlineStr">
        <is>
          <t>B</t>
        </is>
      </c>
      <c r="G3870" s="34" t="n">
        <v>3865</v>
      </c>
      <c r="H3870" s="34" t="n">
        <v>20345</v>
      </c>
      <c r="I3870" t="inlineStr">
        <is>
          <t>3.2</t>
        </is>
      </c>
      <c r="J3870" t="inlineStr">
        <is>
          <t>Ventas Personas (B2C)</t>
        </is>
      </c>
      <c r="K3870" t="inlineStr">
        <is>
          <t>CH2</t>
        </is>
      </c>
    </row>
    <row r="3871">
      <c r="A3871" s="33" t="n">
        <v>45985</v>
      </c>
      <c r="B3871" t="inlineStr">
        <is>
          <t>2025-11</t>
        </is>
      </c>
      <c r="C3871" t="inlineStr">
        <is>
          <t>Yu Jin CHOI</t>
        </is>
      </c>
      <c r="D3871" t="inlineStr">
        <is>
          <t>Rellenos</t>
        </is>
      </c>
      <c r="E3871" s="34" t="n">
        <v>35010</v>
      </c>
      <c r="F3871" t="inlineStr">
        <is>
          <t>B</t>
        </is>
      </c>
      <c r="G3871" s="34" t="n">
        <v>5590</v>
      </c>
      <c r="H3871" s="34" t="n">
        <v>29420</v>
      </c>
      <c r="I3871" t="inlineStr">
        <is>
          <t>3.2</t>
        </is>
      </c>
      <c r="J3871" t="inlineStr">
        <is>
          <t>Ventas Personas (B2C)</t>
        </is>
      </c>
      <c r="K3871" t="inlineStr">
        <is>
          <t>CH2</t>
        </is>
      </c>
    </row>
    <row r="3872">
      <c r="A3872" s="33" t="n">
        <v>45985</v>
      </c>
      <c r="B3872" t="inlineStr">
        <is>
          <t>2025-11</t>
        </is>
      </c>
      <c r="C3872" t="inlineStr">
        <is>
          <t>Sin cliente</t>
        </is>
      </c>
      <c r="D3872" t="inlineStr">
        <is>
          <t>CANELÉ TRADICIONAL</t>
        </is>
      </c>
      <c r="E3872" s="34" t="n">
        <v>17520</v>
      </c>
      <c r="F3872" t="inlineStr">
        <is>
          <t>B</t>
        </is>
      </c>
      <c r="G3872" s="34" t="n">
        <v>2797</v>
      </c>
      <c r="H3872" s="34" t="n">
        <v>14723</v>
      </c>
      <c r="I3872" t="inlineStr">
        <is>
          <t>3.2</t>
        </is>
      </c>
      <c r="J3872" t="inlineStr">
        <is>
          <t>Ventas Personas (B2C)</t>
        </is>
      </c>
      <c r="K3872" t="inlineStr">
        <is>
          <t>CH2</t>
        </is>
      </c>
    </row>
    <row r="3873">
      <c r="A3873" s="33" t="n">
        <v>45985</v>
      </c>
      <c r="B3873" t="inlineStr">
        <is>
          <t>2025-11</t>
        </is>
      </c>
      <c r="C3873" t="inlineStr">
        <is>
          <t>COMERCIALIZADORA NATUTEA SPA</t>
        </is>
      </c>
      <c r="D3873" t="inlineStr">
        <is>
          <t>HORECA CAFETERIA</t>
        </is>
      </c>
      <c r="E3873" s="34" t="n">
        <v>37084</v>
      </c>
      <c r="F3873" t="inlineStr">
        <is>
          <t>F</t>
        </is>
      </c>
      <c r="G3873" s="34" t="n">
        <v>5921</v>
      </c>
      <c r="H3873" s="34" t="n">
        <v>31163</v>
      </c>
      <c r="I3873" t="inlineStr">
        <is>
          <t>3.1</t>
        </is>
      </c>
      <c r="J3873" t="inlineStr">
        <is>
          <t>Ventas HoReCa</t>
        </is>
      </c>
      <c r="K3873" t="inlineStr">
        <is>
          <t>CH1</t>
        </is>
      </c>
    </row>
    <row r="3874">
      <c r="A3874" s="33" t="n">
        <v>45985</v>
      </c>
      <c r="B3874" t="inlineStr">
        <is>
          <t>2025-11</t>
        </is>
      </c>
      <c r="C3874" t="inlineStr">
        <is>
          <t>Sin cliente</t>
        </is>
      </c>
      <c r="D3874" t="inlineStr">
        <is>
          <t>Petit Tradicional</t>
        </is>
      </c>
      <c r="E3874" s="34" t="n">
        <v>8900</v>
      </c>
      <c r="F3874" t="inlineStr">
        <is>
          <t>B</t>
        </is>
      </c>
      <c r="G3874" s="34" t="n">
        <v>1421</v>
      </c>
      <c r="H3874" s="34" t="n">
        <v>7479</v>
      </c>
      <c r="I3874" t="inlineStr">
        <is>
          <t>3.2</t>
        </is>
      </c>
      <c r="J3874" t="inlineStr">
        <is>
          <t>Ventas Personas (B2C)</t>
        </is>
      </c>
      <c r="K3874" t="inlineStr">
        <is>
          <t>CH2</t>
        </is>
      </c>
    </row>
    <row r="3875">
      <c r="A3875" s="33" t="n">
        <v>45985</v>
      </c>
      <c r="B3875" t="inlineStr">
        <is>
          <t>2025-11</t>
        </is>
      </c>
      <c r="C3875" t="inlineStr">
        <is>
          <t>Sin cliente</t>
        </is>
      </c>
      <c r="D3875" t="inlineStr">
        <is>
          <t>CANELÉ TRADICIONAL</t>
        </is>
      </c>
      <c r="E3875" s="34" t="n">
        <v>14900</v>
      </c>
      <c r="F3875" t="inlineStr">
        <is>
          <t>B</t>
        </is>
      </c>
      <c r="G3875" s="34" t="n">
        <v>2379</v>
      </c>
      <c r="H3875" s="34" t="n">
        <v>12521</v>
      </c>
      <c r="I3875" t="inlineStr">
        <is>
          <t>3.2</t>
        </is>
      </c>
      <c r="J3875" t="inlineStr">
        <is>
          <t>Ventas Personas (B2C)</t>
        </is>
      </c>
      <c r="K3875" t="inlineStr">
        <is>
          <t>CH2</t>
        </is>
      </c>
    </row>
    <row r="3876">
      <c r="A3876" s="33" t="n">
        <v>45985</v>
      </c>
      <c r="B3876" t="inlineStr">
        <is>
          <t>2025-11</t>
        </is>
      </c>
      <c r="C3876" t="inlineStr">
        <is>
          <t>Sin cliente</t>
        </is>
      </c>
      <c r="D3876" t="inlineStr">
        <is>
          <t>Petit Tradicional</t>
        </is>
      </c>
      <c r="E3876" s="34" t="n">
        <v>12900</v>
      </c>
      <c r="F3876" t="inlineStr">
        <is>
          <t>B</t>
        </is>
      </c>
      <c r="G3876" s="34" t="n">
        <v>2060</v>
      </c>
      <c r="H3876" s="34" t="n">
        <v>10840</v>
      </c>
      <c r="I3876" t="inlineStr">
        <is>
          <t>3.2</t>
        </is>
      </c>
      <c r="J3876" t="inlineStr">
        <is>
          <t>Ventas Personas (B2C)</t>
        </is>
      </c>
      <c r="K3876" t="inlineStr">
        <is>
          <t>CH2</t>
        </is>
      </c>
    </row>
    <row r="3877">
      <c r="A3877" s="33" t="n">
        <v>45986</v>
      </c>
      <c r="B3877" t="inlineStr">
        <is>
          <t>2025-11</t>
        </is>
      </c>
      <c r="C3877" t="inlineStr">
        <is>
          <t>PRODUCTORA DE EVENTOS AGDV SPA</t>
        </is>
      </c>
      <c r="D3877" t="inlineStr">
        <is>
          <t>Petit Tradicional</t>
        </is>
      </c>
      <c r="E3877" s="34" t="n">
        <v>20900</v>
      </c>
      <c r="F3877" t="inlineStr">
        <is>
          <t>F</t>
        </is>
      </c>
      <c r="G3877" s="34" t="n">
        <v>3337</v>
      </c>
      <c r="H3877" s="34" t="n">
        <v>17563</v>
      </c>
      <c r="I3877" t="inlineStr">
        <is>
          <t>3.1</t>
        </is>
      </c>
      <c r="J3877" t="inlineStr">
        <is>
          <t>Ventas HoReCa</t>
        </is>
      </c>
      <c r="K3877" t="inlineStr">
        <is>
          <t>CH1</t>
        </is>
      </c>
    </row>
    <row r="3878">
      <c r="A3878" s="33" t="n">
        <v>45986</v>
      </c>
      <c r="B3878" t="inlineStr">
        <is>
          <t>2025-11</t>
        </is>
      </c>
      <c r="C3878" t="inlineStr">
        <is>
          <t>Inversiones Nagua SPA</t>
        </is>
      </c>
      <c r="D3878" t="inlineStr">
        <is>
          <t>HORECA CAFETERIA</t>
        </is>
      </c>
      <c r="E3878" s="34" t="n">
        <v>68179</v>
      </c>
      <c r="F3878" t="inlineStr">
        <is>
          <t>F</t>
        </is>
      </c>
      <c r="G3878" s="34" t="n">
        <v>10886</v>
      </c>
      <c r="H3878" s="34" t="n">
        <v>57293</v>
      </c>
      <c r="I3878" t="inlineStr">
        <is>
          <t>3.1</t>
        </is>
      </c>
      <c r="J3878" t="inlineStr">
        <is>
          <t>Ventas HoReCa</t>
        </is>
      </c>
      <c r="K3878" t="inlineStr">
        <is>
          <t>CH1</t>
        </is>
      </c>
    </row>
    <row r="3879">
      <c r="A3879" s="33" t="n">
        <v>45986</v>
      </c>
      <c r="B3879" t="inlineStr">
        <is>
          <t>2025-11</t>
        </is>
      </c>
      <c r="C3879" t="inlineStr">
        <is>
          <t>INVERSIONES Y ASESORIAS RAVAL LIMITADA</t>
        </is>
      </c>
      <c r="D3879" t="inlineStr">
        <is>
          <t>HORECA CAFETERIA</t>
        </is>
      </c>
      <c r="E3879" s="34" t="n">
        <v>104093</v>
      </c>
      <c r="F3879" t="inlineStr">
        <is>
          <t>F</t>
        </is>
      </c>
      <c r="G3879" s="34" t="n">
        <v>16620</v>
      </c>
      <c r="H3879" s="34" t="n">
        <v>87473</v>
      </c>
      <c r="I3879" t="inlineStr">
        <is>
          <t>3.1</t>
        </is>
      </c>
      <c r="J3879" t="inlineStr">
        <is>
          <t>Ventas HoReCa</t>
        </is>
      </c>
      <c r="K3879" t="inlineStr">
        <is>
          <t>CH1</t>
        </is>
      </c>
    </row>
    <row r="3880">
      <c r="A3880" s="33" t="n">
        <v>45986</v>
      </c>
      <c r="B3880" t="inlineStr">
        <is>
          <t>2025-11</t>
        </is>
      </c>
      <c r="C3880" t="inlineStr">
        <is>
          <t>CAFETERÍAS MISTER SPA</t>
        </is>
      </c>
      <c r="D3880" t="inlineStr">
        <is>
          <t>HORECA CAFETERIA</t>
        </is>
      </c>
      <c r="E3880" s="34" t="n">
        <v>36084</v>
      </c>
      <c r="F3880" t="inlineStr">
        <is>
          <t>F</t>
        </is>
      </c>
      <c r="G3880" s="34" t="n">
        <v>5761</v>
      </c>
      <c r="H3880" s="34" t="n">
        <v>30323</v>
      </c>
      <c r="I3880" t="inlineStr">
        <is>
          <t>3.1</t>
        </is>
      </c>
      <c r="J3880" t="inlineStr">
        <is>
          <t>Ventas HoReCa</t>
        </is>
      </c>
      <c r="K3880" t="inlineStr">
        <is>
          <t>CH1</t>
        </is>
      </c>
    </row>
    <row r="3881">
      <c r="A3881" s="33" t="n">
        <v>45986</v>
      </c>
      <c r="B3881" t="inlineStr">
        <is>
          <t>2025-11</t>
        </is>
      </c>
      <c r="C3881" t="inlineStr">
        <is>
          <t>CAFÉ UNDER SPA</t>
        </is>
      </c>
      <c r="D3881" t="inlineStr">
        <is>
          <t>HORECA CAFETERIA</t>
        </is>
      </c>
      <c r="E3881" s="34" t="n">
        <v>68179</v>
      </c>
      <c r="F3881" t="inlineStr">
        <is>
          <t>F</t>
        </is>
      </c>
      <c r="G3881" s="34" t="n">
        <v>10886</v>
      </c>
      <c r="H3881" s="34" t="n">
        <v>57293</v>
      </c>
      <c r="I3881" t="inlineStr">
        <is>
          <t>3.1</t>
        </is>
      </c>
      <c r="J3881" t="inlineStr">
        <is>
          <t>Ventas HoReCa</t>
        </is>
      </c>
      <c r="K3881" t="inlineStr">
        <is>
          <t>CH1</t>
        </is>
      </c>
    </row>
    <row r="3882">
      <c r="A3882" s="33" t="n">
        <v>45986</v>
      </c>
      <c r="B3882" t="inlineStr">
        <is>
          <t>2025-11</t>
        </is>
      </c>
      <c r="C3882" t="inlineStr">
        <is>
          <t>BLUE OAK COFFE SPA</t>
        </is>
      </c>
      <c r="D3882" t="inlineStr">
        <is>
          <t>HORECA CAFETERIA</t>
        </is>
      </c>
      <c r="E3882" s="34" t="n">
        <v>129389</v>
      </c>
      <c r="F3882" t="inlineStr">
        <is>
          <t>F</t>
        </is>
      </c>
      <c r="G3882" s="34" t="n">
        <v>20659</v>
      </c>
      <c r="H3882" s="34" t="n">
        <v>108730</v>
      </c>
      <c r="I3882" t="inlineStr">
        <is>
          <t>3.1</t>
        </is>
      </c>
      <c r="J3882" t="inlineStr">
        <is>
          <t>Ventas HoReCa</t>
        </is>
      </c>
      <c r="K3882" t="inlineStr">
        <is>
          <t>CH1</t>
        </is>
      </c>
    </row>
    <row r="3883">
      <c r="A3883" s="33" t="n">
        <v>45986</v>
      </c>
      <c r="B3883" t="inlineStr">
        <is>
          <t>2025-11</t>
        </is>
      </c>
      <c r="C3883" t="inlineStr">
        <is>
          <t>Soledad Veliz</t>
        </is>
      </c>
      <c r="D3883" t="inlineStr">
        <is>
          <t>PACKAGING</t>
        </is>
      </c>
      <c r="E3883" s="34" t="n">
        <v>32000</v>
      </c>
      <c r="F3883" t="inlineStr">
        <is>
          <t>B</t>
        </is>
      </c>
      <c r="G3883" s="34" t="n">
        <v>5109</v>
      </c>
      <c r="H3883" s="34" t="n">
        <v>26891</v>
      </c>
      <c r="I3883" t="inlineStr">
        <is>
          <t>3.2</t>
        </is>
      </c>
      <c r="J3883" t="inlineStr">
        <is>
          <t>Ventas Personas (B2C)</t>
        </is>
      </c>
      <c r="K3883" t="inlineStr">
        <is>
          <t>CH2</t>
        </is>
      </c>
    </row>
    <row r="3884">
      <c r="A3884" s="33" t="n">
        <v>45986</v>
      </c>
      <c r="B3884" t="inlineStr">
        <is>
          <t>2025-11</t>
        </is>
      </c>
      <c r="C3884" t="inlineStr">
        <is>
          <t>BLUE OAK COFFE SPA</t>
        </is>
      </c>
      <c r="D3884" t="inlineStr">
        <is>
          <t>HORECA CAFETERIA</t>
        </is>
      </c>
      <c r="E3884" s="34" t="n">
        <v>-129389</v>
      </c>
      <c r="F3884" t="inlineStr">
        <is>
          <t>NC</t>
        </is>
      </c>
      <c r="G3884" s="34" t="n">
        <v>-20659</v>
      </c>
      <c r="H3884" s="34" t="n">
        <v>-108730</v>
      </c>
      <c r="I3884" t="inlineStr">
        <is>
          <t>3.1</t>
        </is>
      </c>
      <c r="J3884" t="inlineStr">
        <is>
          <t>Ventas HoReCa</t>
        </is>
      </c>
      <c r="K3884" t="inlineStr">
        <is>
          <t>CH1</t>
        </is>
      </c>
    </row>
    <row r="3885">
      <c r="A3885" s="33" t="n">
        <v>45986</v>
      </c>
      <c r="B3885" t="inlineStr">
        <is>
          <t>2025-11</t>
        </is>
      </c>
      <c r="C3885" t="inlineStr">
        <is>
          <t>Sin cliente</t>
        </is>
      </c>
      <c r="D3885" t="inlineStr">
        <is>
          <t>Mix Sabores</t>
        </is>
      </c>
      <c r="E3885" s="34" t="n">
        <v>22890</v>
      </c>
      <c r="F3885" t="inlineStr">
        <is>
          <t>B</t>
        </is>
      </c>
      <c r="G3885" s="34" t="n">
        <v>3655</v>
      </c>
      <c r="H3885" s="34" t="n">
        <v>19235</v>
      </c>
      <c r="I3885" t="inlineStr">
        <is>
          <t>3.2</t>
        </is>
      </c>
      <c r="J3885" t="inlineStr">
        <is>
          <t>Ventas Personas (B2C)</t>
        </is>
      </c>
      <c r="K3885" t="inlineStr">
        <is>
          <t>CH2</t>
        </is>
      </c>
    </row>
    <row r="3886">
      <c r="A3886" s="33" t="n">
        <v>45986</v>
      </c>
      <c r="B3886" t="inlineStr">
        <is>
          <t>2025-11</t>
        </is>
      </c>
      <c r="C3886" t="inlineStr">
        <is>
          <t>Sin cliente</t>
        </is>
      </c>
      <c r="D3886" t="inlineStr">
        <is>
          <t>Petit Tradicional</t>
        </is>
      </c>
      <c r="E3886" s="34" t="n">
        <v>12900</v>
      </c>
      <c r="F3886" t="inlineStr">
        <is>
          <t>B</t>
        </is>
      </c>
      <c r="G3886" s="34" t="n">
        <v>2060</v>
      </c>
      <c r="H3886" s="34" t="n">
        <v>10840</v>
      </c>
      <c r="I3886" t="inlineStr">
        <is>
          <t>3.2</t>
        </is>
      </c>
      <c r="J3886" t="inlineStr">
        <is>
          <t>Ventas Personas (B2C)</t>
        </is>
      </c>
      <c r="K3886" t="inlineStr">
        <is>
          <t>CH2</t>
        </is>
      </c>
    </row>
    <row r="3887">
      <c r="A3887" s="33" t="n">
        <v>45986</v>
      </c>
      <c r="B3887" t="inlineStr">
        <is>
          <t>2025-11</t>
        </is>
      </c>
      <c r="C3887" t="inlineStr">
        <is>
          <t>Sin cliente</t>
        </is>
      </c>
      <c r="D3887" t="inlineStr">
        <is>
          <t>PLATAFORMAS RAP-PEYA-UBER-GOOD</t>
        </is>
      </c>
      <c r="E3887" s="34" t="n">
        <v>17880</v>
      </c>
      <c r="F3887" t="inlineStr">
        <is>
          <t>B</t>
        </is>
      </c>
      <c r="G3887" s="34" t="n">
        <v>2855</v>
      </c>
      <c r="H3887" s="34" t="n">
        <v>15025</v>
      </c>
      <c r="I3887" t="inlineStr">
        <is>
          <t>3.6</t>
        </is>
      </c>
      <c r="J3887" t="inlineStr">
        <is>
          <t>Ventas Delivery Apps</t>
        </is>
      </c>
      <c r="K3887" t="inlineStr">
        <is>
          <t>CH3</t>
        </is>
      </c>
    </row>
    <row r="3888">
      <c r="A3888" s="33" t="n">
        <v>45986</v>
      </c>
      <c r="B3888" t="inlineStr">
        <is>
          <t>2025-11</t>
        </is>
      </c>
      <c r="C3888" t="inlineStr">
        <is>
          <t>Sin cliente</t>
        </is>
      </c>
      <c r="D3888" t="inlineStr">
        <is>
          <t>PLATAFORMAS RAP-PEYA-UBER-GOOD</t>
        </is>
      </c>
      <c r="E3888" s="34" t="n">
        <v>26268</v>
      </c>
      <c r="F3888" t="inlineStr">
        <is>
          <t>B</t>
        </is>
      </c>
      <c r="G3888" s="34" t="n">
        <v>4194</v>
      </c>
      <c r="H3888" s="34" t="n">
        <v>22074</v>
      </c>
      <c r="I3888" t="inlineStr">
        <is>
          <t>3.6</t>
        </is>
      </c>
      <c r="J3888" t="inlineStr">
        <is>
          <t>Ventas Delivery Apps</t>
        </is>
      </c>
      <c r="K3888" t="inlineStr">
        <is>
          <t>CH3</t>
        </is>
      </c>
    </row>
    <row r="3889">
      <c r="A3889" s="33" t="n">
        <v>45986</v>
      </c>
      <c r="B3889" t="inlineStr">
        <is>
          <t>2025-11</t>
        </is>
      </c>
      <c r="C3889" t="inlineStr">
        <is>
          <t>Sin cliente</t>
        </is>
      </c>
      <c r="D3889" t="inlineStr">
        <is>
          <t>Petit Tradicional</t>
        </is>
      </c>
      <c r="E3889" s="34" t="n">
        <v>8900</v>
      </c>
      <c r="F3889" t="inlineStr">
        <is>
          <t>B</t>
        </is>
      </c>
      <c r="G3889" s="34" t="n">
        <v>1421</v>
      </c>
      <c r="H3889" s="34" t="n">
        <v>7479</v>
      </c>
      <c r="I3889" t="inlineStr">
        <is>
          <t>3.2</t>
        </is>
      </c>
      <c r="J3889" t="inlineStr">
        <is>
          <t>Ventas Personas (B2C)</t>
        </is>
      </c>
      <c r="K3889" t="inlineStr">
        <is>
          <t>CH2</t>
        </is>
      </c>
    </row>
    <row r="3890">
      <c r="A3890" s="33" t="n">
        <v>45986</v>
      </c>
      <c r="B3890" t="inlineStr">
        <is>
          <t>2025-11</t>
        </is>
      </c>
      <c r="C3890" t="inlineStr">
        <is>
          <t>Javiera Sepúlveda Nahuas</t>
        </is>
      </c>
      <c r="D3890" t="inlineStr">
        <is>
          <t>Petit Crunchy</t>
        </is>
      </c>
      <c r="E3890" s="34" t="n">
        <v>32590</v>
      </c>
      <c r="F3890" t="inlineStr">
        <is>
          <t>B</t>
        </is>
      </c>
      <c r="G3890" s="34" t="n">
        <v>5203</v>
      </c>
      <c r="H3890" s="34" t="n">
        <v>27387</v>
      </c>
      <c r="I3890" t="inlineStr">
        <is>
          <t>3.2</t>
        </is>
      </c>
      <c r="J3890" t="inlineStr">
        <is>
          <t>Ventas Personas (B2C)</t>
        </is>
      </c>
      <c r="K3890" t="inlineStr">
        <is>
          <t>CH2</t>
        </is>
      </c>
    </row>
    <row r="3891">
      <c r="A3891" s="33" t="n">
        <v>45986</v>
      </c>
      <c r="B3891" t="inlineStr">
        <is>
          <t>2025-11</t>
        </is>
      </c>
      <c r="C3891" t="inlineStr">
        <is>
          <t>Analuisa Perez</t>
        </is>
      </c>
      <c r="D3891" t="inlineStr">
        <is>
          <t>Petit Crunchy</t>
        </is>
      </c>
      <c r="E3891" s="34" t="n">
        <v>37183</v>
      </c>
      <c r="F3891" t="inlineStr">
        <is>
          <t>B</t>
        </is>
      </c>
      <c r="G3891" s="34" t="n">
        <v>5937</v>
      </c>
      <c r="H3891" s="34" t="n">
        <v>31246</v>
      </c>
      <c r="I3891" t="inlineStr">
        <is>
          <t>3.2</t>
        </is>
      </c>
      <c r="J3891" t="inlineStr">
        <is>
          <t>Ventas Personas (B2C)</t>
        </is>
      </c>
      <c r="K3891" t="inlineStr">
        <is>
          <t>CH2</t>
        </is>
      </c>
    </row>
    <row r="3892">
      <c r="A3892" s="33" t="n">
        <v>45986</v>
      </c>
      <c r="B3892" t="inlineStr">
        <is>
          <t>2025-11</t>
        </is>
      </c>
      <c r="C3892" t="inlineStr">
        <is>
          <t>Paula Acuña</t>
        </is>
      </c>
      <c r="D3892" t="inlineStr">
        <is>
          <t>Rellenos</t>
        </is>
      </c>
      <c r="E3892" s="34" t="n">
        <v>40000</v>
      </c>
      <c r="F3892" t="inlineStr">
        <is>
          <t>B</t>
        </is>
      </c>
      <c r="G3892" s="34" t="n">
        <v>6387</v>
      </c>
      <c r="H3892" s="34" t="n">
        <v>33613</v>
      </c>
      <c r="I3892" t="inlineStr">
        <is>
          <t>3.2</t>
        </is>
      </c>
      <c r="J3892" t="inlineStr">
        <is>
          <t>Ventas Personas (B2C)</t>
        </is>
      </c>
      <c r="K3892" t="inlineStr">
        <is>
          <t>CH2</t>
        </is>
      </c>
    </row>
    <row r="3893">
      <c r="A3893" s="33" t="n">
        <v>45987</v>
      </c>
      <c r="B3893" t="inlineStr">
        <is>
          <t>2025-11</t>
        </is>
      </c>
      <c r="C3893" t="inlineStr">
        <is>
          <t>Café del Parque SpA</t>
        </is>
      </c>
      <c r="D3893" t="inlineStr">
        <is>
          <t>HORECA CAFETERIA</t>
        </is>
      </c>
      <c r="E3893" s="34" t="n">
        <v>75818</v>
      </c>
      <c r="F3893" t="inlineStr">
        <is>
          <t>F</t>
        </is>
      </c>
      <c r="G3893" s="34" t="n">
        <v>12105</v>
      </c>
      <c r="H3893" s="34" t="n">
        <v>63713</v>
      </c>
      <c r="I3893" t="inlineStr">
        <is>
          <t>3.1</t>
        </is>
      </c>
      <c r="J3893" t="inlineStr">
        <is>
          <t>Ventas HoReCa</t>
        </is>
      </c>
      <c r="K3893" t="inlineStr">
        <is>
          <t>CH1</t>
        </is>
      </c>
    </row>
    <row r="3894">
      <c r="A3894" s="33" t="n">
        <v>45987</v>
      </c>
      <c r="B3894" t="inlineStr">
        <is>
          <t>2025-11</t>
        </is>
      </c>
      <c r="C3894" t="inlineStr">
        <is>
          <t>GALO SPA</t>
        </is>
      </c>
      <c r="D3894" t="inlineStr">
        <is>
          <t>HORECA CAFETERIA</t>
        </is>
      </c>
      <c r="E3894" s="34" t="n">
        <v>235144</v>
      </c>
      <c r="F3894" t="inlineStr">
        <is>
          <t>F</t>
        </is>
      </c>
      <c r="G3894" s="34" t="n">
        <v>37544</v>
      </c>
      <c r="H3894" s="34" t="n">
        <v>197600</v>
      </c>
      <c r="I3894" t="inlineStr">
        <is>
          <t>3.1</t>
        </is>
      </c>
      <c r="J3894" t="inlineStr">
        <is>
          <t>Ventas HoReCa</t>
        </is>
      </c>
      <c r="K3894" t="inlineStr">
        <is>
          <t>CH1</t>
        </is>
      </c>
    </row>
    <row r="3895">
      <c r="A3895" s="33" t="n">
        <v>45987</v>
      </c>
      <c r="B3895" t="inlineStr">
        <is>
          <t>2025-11</t>
        </is>
      </c>
      <c r="C3895" t="inlineStr">
        <is>
          <t>Better Food Spa</t>
        </is>
      </c>
      <c r="D3895" t="inlineStr">
        <is>
          <t>HORECA CAFETERIA</t>
        </is>
      </c>
      <c r="E3895" s="34" t="n">
        <v>224660</v>
      </c>
      <c r="F3895" t="inlineStr">
        <is>
          <t>F</t>
        </is>
      </c>
      <c r="G3895" s="34" t="n">
        <v>35870</v>
      </c>
      <c r="H3895" s="34" t="n">
        <v>188790</v>
      </c>
      <c r="I3895" t="inlineStr">
        <is>
          <t>3.1</t>
        </is>
      </c>
      <c r="J3895" t="inlineStr">
        <is>
          <t>Ventas HoReCa</t>
        </is>
      </c>
      <c r="K3895" t="inlineStr">
        <is>
          <t>CH1</t>
        </is>
      </c>
    </row>
    <row r="3896">
      <c r="A3896" s="33" t="n">
        <v>45987</v>
      </c>
      <c r="B3896" t="inlineStr">
        <is>
          <t>2025-11</t>
        </is>
      </c>
      <c r="C3896" t="inlineStr">
        <is>
          <t>TAVELLI S.A.</t>
        </is>
      </c>
      <c r="D3896" t="inlineStr">
        <is>
          <t>HORECA CAFETERIA</t>
        </is>
      </c>
      <c r="E3896" s="34" t="n">
        <v>818405</v>
      </c>
      <c r="F3896" t="inlineStr">
        <is>
          <t>F</t>
        </is>
      </c>
      <c r="G3896" s="34" t="n">
        <v>130670</v>
      </c>
      <c r="H3896" s="34" t="n">
        <v>687735</v>
      </c>
      <c r="I3896" t="inlineStr">
        <is>
          <t>3.1</t>
        </is>
      </c>
      <c r="J3896" t="inlineStr">
        <is>
          <t>Ventas HoReCa</t>
        </is>
      </c>
      <c r="K3896" t="inlineStr">
        <is>
          <t>CH1</t>
        </is>
      </c>
    </row>
    <row r="3897">
      <c r="A3897" s="33" t="n">
        <v>45987</v>
      </c>
      <c r="B3897" t="inlineStr">
        <is>
          <t>2025-11</t>
        </is>
      </c>
      <c r="C3897" t="inlineStr">
        <is>
          <t>TAVELLI S.A.</t>
        </is>
      </c>
      <c r="D3897" t="inlineStr">
        <is>
          <t>REGION METROPOLITANA</t>
        </is>
      </c>
      <c r="E3897" s="34" t="n">
        <v>35700</v>
      </c>
      <c r="F3897" t="inlineStr">
        <is>
          <t>F</t>
        </is>
      </c>
      <c r="G3897" s="34" t="n">
        <v>5700</v>
      </c>
      <c r="H3897" s="34" t="n">
        <v>30000</v>
      </c>
      <c r="I3897" t="inlineStr">
        <is>
          <t>3.1</t>
        </is>
      </c>
      <c r="J3897" t="inlineStr">
        <is>
          <t>Ventas HoReCa</t>
        </is>
      </c>
      <c r="K3897" t="inlineStr">
        <is>
          <t>CH1</t>
        </is>
      </c>
    </row>
    <row r="3898">
      <c r="A3898" s="33" t="n">
        <v>45987</v>
      </c>
      <c r="B3898" t="inlineStr">
        <is>
          <t>2025-11</t>
        </is>
      </c>
      <c r="C3898" t="inlineStr">
        <is>
          <t>D&amp;S SERVICIOS DE ALIMENTACIÓN SpA</t>
        </is>
      </c>
      <c r="D3898" t="inlineStr">
        <is>
          <t xml:space="preserve">THE COFFEE STORE </t>
        </is>
      </c>
      <c r="E3898" s="34" t="n">
        <v>40293</v>
      </c>
      <c r="F3898" t="inlineStr">
        <is>
          <t>F</t>
        </is>
      </c>
      <c r="G3898" s="34" t="n">
        <v>6433</v>
      </c>
      <c r="H3898" s="34" t="n">
        <v>33860</v>
      </c>
      <c r="I3898" t="inlineStr">
        <is>
          <t>3.1</t>
        </is>
      </c>
      <c r="J3898" t="inlineStr">
        <is>
          <t>Ventas HoReCa</t>
        </is>
      </c>
      <c r="K3898" t="inlineStr">
        <is>
          <t>CH1</t>
        </is>
      </c>
    </row>
    <row r="3899">
      <c r="A3899" s="33" t="n">
        <v>45987</v>
      </c>
      <c r="B3899" t="inlineStr">
        <is>
          <t>2025-11</t>
        </is>
      </c>
      <c r="C3899" t="inlineStr">
        <is>
          <t>Sin cliente</t>
        </is>
      </c>
      <c r="D3899" t="inlineStr">
        <is>
          <t>Petit Tradicional</t>
        </is>
      </c>
      <c r="E3899" s="34" t="n">
        <v>12900</v>
      </c>
      <c r="F3899" t="inlineStr">
        <is>
          <t>B</t>
        </is>
      </c>
      <c r="G3899" s="34" t="n">
        <v>2060</v>
      </c>
      <c r="H3899" s="34" t="n">
        <v>10840</v>
      </c>
      <c r="I3899" t="inlineStr">
        <is>
          <t>3.2</t>
        </is>
      </c>
      <c r="J3899" t="inlineStr">
        <is>
          <t>Ventas Personas (B2C)</t>
        </is>
      </c>
      <c r="K3899" t="inlineStr">
        <is>
          <t>CH2</t>
        </is>
      </c>
    </row>
    <row r="3900">
      <c r="A3900" s="33" t="n">
        <v>45987</v>
      </c>
      <c r="B3900" t="inlineStr">
        <is>
          <t>2025-11</t>
        </is>
      </c>
      <c r="C3900" t="inlineStr">
        <is>
          <t>BOCCADOS SPA</t>
        </is>
      </c>
      <c r="D3900" t="inlineStr">
        <is>
          <t>Petit Crunchy</t>
        </is>
      </c>
      <c r="E3900" s="34" t="n">
        <v>38890</v>
      </c>
      <c r="F3900" t="inlineStr">
        <is>
          <t>F</t>
        </is>
      </c>
      <c r="G3900" s="34" t="n">
        <v>6209</v>
      </c>
      <c r="H3900" s="34" t="n">
        <v>32681</v>
      </c>
      <c r="I3900" t="inlineStr">
        <is>
          <t>3.1</t>
        </is>
      </c>
      <c r="J3900" t="inlineStr">
        <is>
          <t>Ventas HoReCa</t>
        </is>
      </c>
      <c r="K3900" t="inlineStr">
        <is>
          <t>CH1</t>
        </is>
      </c>
    </row>
    <row r="3901">
      <c r="A3901" s="33" t="n">
        <v>45987</v>
      </c>
      <c r="B3901" t="inlineStr">
        <is>
          <t>2025-11</t>
        </is>
      </c>
      <c r="C3901" t="inlineStr">
        <is>
          <t>Pablo Ledesma</t>
        </is>
      </c>
      <c r="D3901" t="inlineStr">
        <is>
          <t>CANELÉ TRADICIONAL</t>
        </is>
      </c>
      <c r="E3901" s="34" t="n">
        <v>18389</v>
      </c>
      <c r="F3901" t="inlineStr">
        <is>
          <t>B</t>
        </is>
      </c>
      <c r="G3901" s="34" t="n">
        <v>2936</v>
      </c>
      <c r="H3901" s="34" t="n">
        <v>15453</v>
      </c>
      <c r="I3901" t="inlineStr">
        <is>
          <t>3.2</t>
        </is>
      </c>
      <c r="J3901" t="inlineStr">
        <is>
          <t>Ventas Personas (B2C)</t>
        </is>
      </c>
      <c r="K3901" t="inlineStr">
        <is>
          <t>CH2</t>
        </is>
      </c>
    </row>
    <row r="3902">
      <c r="A3902" s="33" t="n">
        <v>45987</v>
      </c>
      <c r="B3902" t="inlineStr">
        <is>
          <t>2025-11</t>
        </is>
      </c>
      <c r="C3902" t="inlineStr">
        <is>
          <t>Inversiones Las Urbinas SpA</t>
        </is>
      </c>
      <c r="D3902" t="inlineStr">
        <is>
          <t>HORECA CAFETERIA</t>
        </is>
      </c>
      <c r="E3902" s="34" t="n">
        <v>132947</v>
      </c>
      <c r="F3902" t="inlineStr">
        <is>
          <t>F</t>
        </is>
      </c>
      <c r="G3902" s="34" t="n">
        <v>21227</v>
      </c>
      <c r="H3902" s="34" t="n">
        <v>111720</v>
      </c>
      <c r="I3902" t="inlineStr">
        <is>
          <t>3.1</t>
        </is>
      </c>
      <c r="J3902" t="inlineStr">
        <is>
          <t>Ventas HoReCa</t>
        </is>
      </c>
      <c r="K3902" t="inlineStr">
        <is>
          <t>CH1</t>
        </is>
      </c>
    </row>
    <row r="3903">
      <c r="A3903" s="33" t="n">
        <v>45987</v>
      </c>
      <c r="B3903" t="inlineStr">
        <is>
          <t>2025-11</t>
        </is>
      </c>
      <c r="C3903" t="inlineStr">
        <is>
          <t>Sin cliente</t>
        </is>
      </c>
      <c r="D3903" t="inlineStr">
        <is>
          <t>PLATAFORMAS RAP-PEYA-UBER-GOOD</t>
        </is>
      </c>
      <c r="E3903" s="34" t="n">
        <v>14400</v>
      </c>
      <c r="F3903" t="inlineStr">
        <is>
          <t>B</t>
        </is>
      </c>
      <c r="G3903" s="34" t="n">
        <v>2299</v>
      </c>
      <c r="H3903" s="34" t="n">
        <v>12101</v>
      </c>
      <c r="I3903" t="inlineStr">
        <is>
          <t>3.6</t>
        </is>
      </c>
      <c r="J3903" t="inlineStr">
        <is>
          <t>Ventas Delivery Apps</t>
        </is>
      </c>
      <c r="K3903" t="inlineStr">
        <is>
          <t>CH3</t>
        </is>
      </c>
    </row>
    <row r="3904">
      <c r="A3904" s="33" t="n">
        <v>45988</v>
      </c>
      <c r="B3904" t="inlineStr">
        <is>
          <t>2025-11</t>
        </is>
      </c>
      <c r="C3904" t="inlineStr">
        <is>
          <t>VILAS BANQUETERIAS SPA</t>
        </is>
      </c>
      <c r="D3904" t="inlineStr">
        <is>
          <t>HORECA CATERING</t>
        </is>
      </c>
      <c r="E3904" s="34" t="n">
        <v>216048</v>
      </c>
      <c r="F3904" t="inlineStr">
        <is>
          <t>F</t>
        </is>
      </c>
      <c r="G3904" s="34" t="n">
        <v>34495</v>
      </c>
      <c r="H3904" s="34" t="n">
        <v>181553</v>
      </c>
      <c r="I3904" t="inlineStr">
        <is>
          <t>3.1</t>
        </is>
      </c>
      <c r="J3904" t="inlineStr">
        <is>
          <t>Ventas HoReCa</t>
        </is>
      </c>
      <c r="K3904" t="inlineStr">
        <is>
          <t>CH1</t>
        </is>
      </c>
    </row>
    <row r="3905">
      <c r="A3905" s="33" t="n">
        <v>45988</v>
      </c>
      <c r="B3905" t="inlineStr">
        <is>
          <t>2025-11</t>
        </is>
      </c>
      <c r="C3905" t="inlineStr">
        <is>
          <t>BLUE OAK COFFE SPA</t>
        </is>
      </c>
      <c r="D3905" t="inlineStr">
        <is>
          <t>HORECA CAFETERIA</t>
        </is>
      </c>
      <c r="E3905" s="34" t="n">
        <v>36084</v>
      </c>
      <c r="F3905" t="inlineStr">
        <is>
          <t>F</t>
        </is>
      </c>
      <c r="G3905" s="34" t="n">
        <v>5761</v>
      </c>
      <c r="H3905" s="34" t="n">
        <v>30323</v>
      </c>
      <c r="I3905" t="inlineStr">
        <is>
          <t>3.1</t>
        </is>
      </c>
      <c r="J3905" t="inlineStr">
        <is>
          <t>Ventas HoReCa</t>
        </is>
      </c>
      <c r="K3905" t="inlineStr">
        <is>
          <t>CH1</t>
        </is>
      </c>
    </row>
    <row r="3906">
      <c r="A3906" s="33" t="n">
        <v>45988</v>
      </c>
      <c r="B3906" t="inlineStr">
        <is>
          <t>2025-11</t>
        </is>
      </c>
      <c r="C3906" t="inlineStr">
        <is>
          <t>benjamin astaburuaga</t>
        </is>
      </c>
      <c r="D3906" t="inlineStr">
        <is>
          <t>Petit Crunchy</t>
        </is>
      </c>
      <c r="E3906" s="34" t="n">
        <v>24209</v>
      </c>
      <c r="F3906" t="inlineStr">
        <is>
          <t>B</t>
        </is>
      </c>
      <c r="G3906" s="34" t="n">
        <v>3865</v>
      </c>
      <c r="H3906" s="34" t="n">
        <v>20344</v>
      </c>
      <c r="I3906" t="inlineStr">
        <is>
          <t>3.2</t>
        </is>
      </c>
      <c r="J3906" t="inlineStr">
        <is>
          <t>Ventas Personas (B2C)</t>
        </is>
      </c>
      <c r="K3906" t="inlineStr">
        <is>
          <t>CH2</t>
        </is>
      </c>
    </row>
    <row r="3907">
      <c r="A3907" s="33" t="n">
        <v>45988</v>
      </c>
      <c r="B3907" t="inlineStr">
        <is>
          <t>2025-11</t>
        </is>
      </c>
      <c r="C3907" t="inlineStr">
        <is>
          <t>Angie Aracena</t>
        </is>
      </c>
      <c r="D3907" t="inlineStr">
        <is>
          <t>Delicatessen</t>
        </is>
      </c>
      <c r="E3907" s="34" t="n">
        <v>32774</v>
      </c>
      <c r="F3907" t="inlineStr">
        <is>
          <t>B</t>
        </is>
      </c>
      <c r="G3907" s="34" t="n">
        <v>5233</v>
      </c>
      <c r="H3907" s="34" t="n">
        <v>27541</v>
      </c>
      <c r="I3907" t="inlineStr">
        <is>
          <t>3.2</t>
        </is>
      </c>
      <c r="J3907" t="inlineStr">
        <is>
          <t>Ventas Personas (B2C)</t>
        </is>
      </c>
      <c r="K3907" t="inlineStr">
        <is>
          <t>CH2</t>
        </is>
      </c>
    </row>
    <row r="3908">
      <c r="A3908" s="33" t="n">
        <v>45988</v>
      </c>
      <c r="B3908" t="inlineStr">
        <is>
          <t>2025-11</t>
        </is>
      </c>
      <c r="C3908" t="inlineStr">
        <is>
          <t>GALO SPA</t>
        </is>
      </c>
      <c r="D3908" t="inlineStr">
        <is>
          <t>HORECA CAFETERIA</t>
        </is>
      </c>
      <c r="E3908" s="34" t="n">
        <v>32487</v>
      </c>
      <c r="F3908" t="inlineStr">
        <is>
          <t>F</t>
        </is>
      </c>
      <c r="G3908" s="34" t="n">
        <v>5187</v>
      </c>
      <c r="H3908" s="34" t="n">
        <v>27300</v>
      </c>
      <c r="I3908" t="inlineStr">
        <is>
          <t>3.1</t>
        </is>
      </c>
      <c r="J3908" t="inlineStr">
        <is>
          <t>Ventas HoReCa</t>
        </is>
      </c>
      <c r="K3908" t="inlineStr">
        <is>
          <t>CH1</t>
        </is>
      </c>
    </row>
    <row r="3909">
      <c r="A3909" s="33" t="n">
        <v>45988</v>
      </c>
      <c r="B3909" t="inlineStr">
        <is>
          <t>2025-11</t>
        </is>
      </c>
      <c r="C3909" t="inlineStr">
        <is>
          <t>Silvana Oliva</t>
        </is>
      </c>
      <c r="D3909" t="inlineStr">
        <is>
          <t>Rellenos</t>
        </is>
      </c>
      <c r="E3909" s="34" t="n">
        <v>20700</v>
      </c>
      <c r="F3909" t="inlineStr">
        <is>
          <t>B</t>
        </is>
      </c>
      <c r="G3909" s="34" t="n">
        <v>3305</v>
      </c>
      <c r="H3909" s="34" t="n">
        <v>17395</v>
      </c>
      <c r="I3909" t="inlineStr">
        <is>
          <t>3.2</t>
        </is>
      </c>
      <c r="J3909" t="inlineStr">
        <is>
          <t>Ventas Personas (B2C)</t>
        </is>
      </c>
      <c r="K3909" t="inlineStr">
        <is>
          <t>CH2</t>
        </is>
      </c>
    </row>
    <row r="3910">
      <c r="A3910" s="33" t="n">
        <v>45988</v>
      </c>
      <c r="B3910" t="inlineStr">
        <is>
          <t>2025-11</t>
        </is>
      </c>
      <c r="C3910" t="inlineStr">
        <is>
          <t>Maura Pesce</t>
        </is>
      </c>
      <c r="D3910" t="inlineStr">
        <is>
          <t>Petit Crunchy</t>
        </is>
      </c>
      <c r="E3910" s="34" t="n">
        <v>34932</v>
      </c>
      <c r="F3910" t="inlineStr">
        <is>
          <t>B</t>
        </is>
      </c>
      <c r="G3910" s="34" t="n">
        <v>5577</v>
      </c>
      <c r="H3910" s="34" t="n">
        <v>29355</v>
      </c>
      <c r="I3910" t="inlineStr">
        <is>
          <t>3.2</t>
        </is>
      </c>
      <c r="J3910" t="inlineStr">
        <is>
          <t>Ventas Personas (B2C)</t>
        </is>
      </c>
      <c r="K3910" t="inlineStr">
        <is>
          <t>CH2</t>
        </is>
      </c>
    </row>
    <row r="3911">
      <c r="A3911" s="33" t="n">
        <v>45988</v>
      </c>
      <c r="B3911" t="inlineStr">
        <is>
          <t>2025-11</t>
        </is>
      </c>
      <c r="C3911" t="inlineStr">
        <is>
          <t>Sin cliente</t>
        </is>
      </c>
      <c r="D3911" t="inlineStr">
        <is>
          <t>CANELÉ TRADICIONAL</t>
        </is>
      </c>
      <c r="E3911" s="34" t="n">
        <v>39790</v>
      </c>
      <c r="F3911" t="inlineStr">
        <is>
          <t>B</t>
        </is>
      </c>
      <c r="G3911" s="34" t="n">
        <v>6353</v>
      </c>
      <c r="H3911" s="34" t="n">
        <v>33437</v>
      </c>
      <c r="I3911" t="inlineStr">
        <is>
          <t>3.2</t>
        </is>
      </c>
      <c r="J3911" t="inlineStr">
        <is>
          <t>Ventas Personas (B2C)</t>
        </is>
      </c>
      <c r="K3911" t="inlineStr">
        <is>
          <t>CH2</t>
        </is>
      </c>
    </row>
    <row r="3912">
      <c r="A3912" s="33" t="n">
        <v>45988</v>
      </c>
      <c r="B3912" t="inlineStr">
        <is>
          <t>2025-11</t>
        </is>
      </c>
      <c r="C3912" t="inlineStr">
        <is>
          <t>Thibault Terrien</t>
        </is>
      </c>
      <c r="D3912" t="inlineStr">
        <is>
          <t>Petit Crunchy</t>
        </is>
      </c>
      <c r="E3912" s="34" t="n">
        <v>38389</v>
      </c>
      <c r="F3912" t="inlineStr">
        <is>
          <t>B</t>
        </is>
      </c>
      <c r="G3912" s="34" t="n">
        <v>6129</v>
      </c>
      <c r="H3912" s="34" t="n">
        <v>32260</v>
      </c>
      <c r="I3912" t="inlineStr">
        <is>
          <t>3.2</t>
        </is>
      </c>
      <c r="J3912" t="inlineStr">
        <is>
          <t>Ventas Personas (B2C)</t>
        </is>
      </c>
      <c r="K3912" t="inlineStr">
        <is>
          <t>CH2</t>
        </is>
      </c>
    </row>
    <row r="3913">
      <c r="A3913" s="33" t="n">
        <v>45988</v>
      </c>
      <c r="B3913" t="inlineStr">
        <is>
          <t>2025-11</t>
        </is>
      </c>
      <c r="C3913" t="inlineStr">
        <is>
          <t>Producciones la Martina Limitada</t>
        </is>
      </c>
      <c r="D3913" t="inlineStr">
        <is>
          <t>HORECA CATERING</t>
        </is>
      </c>
      <c r="E3913" s="34" t="n">
        <v>63665</v>
      </c>
      <c r="F3913" t="inlineStr">
        <is>
          <t>F</t>
        </is>
      </c>
      <c r="G3913" s="34" t="n">
        <v>10165</v>
      </c>
      <c r="H3913" s="34" t="n">
        <v>53500</v>
      </c>
      <c r="I3913" t="inlineStr">
        <is>
          <t>3.1</t>
        </is>
      </c>
      <c r="J3913" t="inlineStr">
        <is>
          <t>Ventas HoReCa</t>
        </is>
      </c>
      <c r="K3913" t="inlineStr">
        <is>
          <t>CH1</t>
        </is>
      </c>
    </row>
    <row r="3914">
      <c r="A3914" s="33" t="n">
        <v>45988</v>
      </c>
      <c r="B3914" t="inlineStr">
        <is>
          <t>2025-11</t>
        </is>
      </c>
      <c r="C3914" t="inlineStr">
        <is>
          <t>NICOLE LAUREN BANQUETERIA.</t>
        </is>
      </c>
      <c r="D3914" t="inlineStr">
        <is>
          <t>HORECA CATERING</t>
        </is>
      </c>
      <c r="E3914" s="34" t="n">
        <v>389011</v>
      </c>
      <c r="F3914" t="inlineStr">
        <is>
          <t>F</t>
        </is>
      </c>
      <c r="G3914" s="34" t="n">
        <v>62111</v>
      </c>
      <c r="H3914" s="34" t="n">
        <v>326900</v>
      </c>
      <c r="I3914" t="inlineStr">
        <is>
          <t>3.1</t>
        </is>
      </c>
      <c r="J3914" t="inlineStr">
        <is>
          <t>Ventas HoReCa</t>
        </is>
      </c>
      <c r="K3914" t="inlineStr">
        <is>
          <t>CH1</t>
        </is>
      </c>
    </row>
    <row r="3915">
      <c r="A3915" s="33" t="n">
        <v>45988</v>
      </c>
      <c r="B3915" t="inlineStr">
        <is>
          <t>2025-11</t>
        </is>
      </c>
      <c r="C3915" t="inlineStr">
        <is>
          <t>Lisette Lee</t>
        </is>
      </c>
      <c r="D3915" t="inlineStr">
        <is>
          <t>Petit Crunchy</t>
        </is>
      </c>
      <c r="E3915" s="34" t="n">
        <v>36719</v>
      </c>
      <c r="F3915" t="inlineStr">
        <is>
          <t>B</t>
        </is>
      </c>
      <c r="G3915" s="34" t="n">
        <v>5863</v>
      </c>
      <c r="H3915" s="34" t="n">
        <v>30856</v>
      </c>
      <c r="I3915" t="inlineStr">
        <is>
          <t>3.2</t>
        </is>
      </c>
      <c r="J3915" t="inlineStr">
        <is>
          <t>Ventas Personas (B2C)</t>
        </is>
      </c>
      <c r="K3915" t="inlineStr">
        <is>
          <t>CH2</t>
        </is>
      </c>
    </row>
    <row r="3916">
      <c r="A3916" s="33" t="n">
        <v>45988</v>
      </c>
      <c r="B3916" t="inlineStr">
        <is>
          <t>2025-11</t>
        </is>
      </c>
      <c r="C3916" t="inlineStr">
        <is>
          <t>Mónica Pérez</t>
        </is>
      </c>
      <c r="D3916" t="inlineStr">
        <is>
          <t>Petit Tradicional</t>
        </is>
      </c>
      <c r="E3916" s="34" t="n">
        <v>42189</v>
      </c>
      <c r="F3916" t="inlineStr">
        <is>
          <t>B</t>
        </is>
      </c>
      <c r="G3916" s="34" t="n">
        <v>6736</v>
      </c>
      <c r="H3916" s="34" t="n">
        <v>35453</v>
      </c>
      <c r="I3916" t="inlineStr">
        <is>
          <t>3.2</t>
        </is>
      </c>
      <c r="J3916" t="inlineStr">
        <is>
          <t>Ventas Personas (B2C)</t>
        </is>
      </c>
      <c r="K3916" t="inlineStr">
        <is>
          <t>CH2</t>
        </is>
      </c>
    </row>
    <row r="3917">
      <c r="A3917" s="33" t="n">
        <v>45988</v>
      </c>
      <c r="B3917" t="inlineStr">
        <is>
          <t>2025-11</t>
        </is>
      </c>
      <c r="C3917" t="inlineStr">
        <is>
          <t>Sin cliente</t>
        </is>
      </c>
      <c r="D3917" t="inlineStr">
        <is>
          <t>CANELÉ TRADICIONAL</t>
        </is>
      </c>
      <c r="E3917" s="34" t="n">
        <v>26900</v>
      </c>
      <c r="F3917" t="inlineStr">
        <is>
          <t>B</t>
        </is>
      </c>
      <c r="G3917" s="34" t="n">
        <v>4295</v>
      </c>
      <c r="H3917" s="34" t="n">
        <v>22605</v>
      </c>
      <c r="I3917" t="inlineStr">
        <is>
          <t>3.2</t>
        </is>
      </c>
      <c r="J3917" t="inlineStr">
        <is>
          <t>Ventas Personas (B2C)</t>
        </is>
      </c>
      <c r="K3917" t="inlineStr">
        <is>
          <t>CH2</t>
        </is>
      </c>
    </row>
    <row r="3918">
      <c r="A3918" s="33" t="n">
        <v>45988</v>
      </c>
      <c r="B3918" t="inlineStr">
        <is>
          <t>2025-11</t>
        </is>
      </c>
      <c r="C3918" t="inlineStr">
        <is>
          <t>David Buksdorf</t>
        </is>
      </c>
      <c r="D3918" t="inlineStr">
        <is>
          <t>Rellenos</t>
        </is>
      </c>
      <c r="E3918" s="34" t="n">
        <v>30110</v>
      </c>
      <c r="F3918" t="inlineStr">
        <is>
          <t>B</t>
        </is>
      </c>
      <c r="G3918" s="34" t="n">
        <v>4807</v>
      </c>
      <c r="H3918" s="34" t="n">
        <v>25303</v>
      </c>
      <c r="I3918" t="inlineStr">
        <is>
          <t>3.2</t>
        </is>
      </c>
      <c r="J3918" t="inlineStr">
        <is>
          <t>Ventas Personas (B2C)</t>
        </is>
      </c>
      <c r="K3918" t="inlineStr">
        <is>
          <t>CH2</t>
        </is>
      </c>
    </row>
    <row r="3919">
      <c r="A3919" s="33" t="n">
        <v>45988</v>
      </c>
      <c r="B3919" t="inlineStr">
        <is>
          <t>2025-11</t>
        </is>
      </c>
      <c r="C3919" t="inlineStr">
        <is>
          <t>Eduardo Labarca</t>
        </is>
      </c>
      <c r="D3919" t="inlineStr">
        <is>
          <t>Mix Sabores</t>
        </is>
      </c>
      <c r="E3919" s="34" t="n">
        <v>33289</v>
      </c>
      <c r="F3919" t="inlineStr">
        <is>
          <t>B</t>
        </is>
      </c>
      <c r="G3919" s="34" t="n">
        <v>5315</v>
      </c>
      <c r="H3919" s="34" t="n">
        <v>27974</v>
      </c>
      <c r="I3919" t="inlineStr">
        <is>
          <t>3.2</t>
        </is>
      </c>
      <c r="J3919" t="inlineStr">
        <is>
          <t>Ventas Personas (B2C)</t>
        </is>
      </c>
      <c r="K3919" t="inlineStr">
        <is>
          <t>CH2</t>
        </is>
      </c>
    </row>
    <row r="3920">
      <c r="A3920" s="33" t="n">
        <v>45988</v>
      </c>
      <c r="B3920" t="inlineStr">
        <is>
          <t>2025-11</t>
        </is>
      </c>
      <c r="C3920" t="inlineStr">
        <is>
          <t>Sin cliente</t>
        </is>
      </c>
      <c r="D3920" t="inlineStr">
        <is>
          <t>CANELÉ TRADICIONAL</t>
        </is>
      </c>
      <c r="E3920" s="34" t="n">
        <v>24400</v>
      </c>
      <c r="F3920" t="inlineStr">
        <is>
          <t>B</t>
        </is>
      </c>
      <c r="G3920" s="34" t="n">
        <v>3896</v>
      </c>
      <c r="H3920" s="34" t="n">
        <v>20504</v>
      </c>
      <c r="I3920" t="inlineStr">
        <is>
          <t>3.2</t>
        </is>
      </c>
      <c r="J3920" t="inlineStr">
        <is>
          <t>Ventas Personas (B2C)</t>
        </is>
      </c>
      <c r="K3920" t="inlineStr">
        <is>
          <t>CH2</t>
        </is>
      </c>
    </row>
    <row r="3921">
      <c r="A3921" s="33" t="n">
        <v>45988</v>
      </c>
      <c r="B3921" t="inlineStr">
        <is>
          <t>2025-11</t>
        </is>
      </c>
      <c r="C3921" t="inlineStr">
        <is>
          <t>Marisol Valencia Moya</t>
        </is>
      </c>
      <c r="D3921" t="inlineStr">
        <is>
          <t>Rellenos</t>
        </is>
      </c>
      <c r="E3921" s="34" t="n">
        <v>53000</v>
      </c>
      <c r="F3921" t="inlineStr">
        <is>
          <t>B</t>
        </is>
      </c>
      <c r="G3921" s="34" t="n">
        <v>8462</v>
      </c>
      <c r="H3921" s="34" t="n">
        <v>44538</v>
      </c>
      <c r="I3921" t="inlineStr">
        <is>
          <t>3.2</t>
        </is>
      </c>
      <c r="J3921" t="inlineStr">
        <is>
          <t>Ventas Personas (B2C)</t>
        </is>
      </c>
      <c r="K3921" t="inlineStr">
        <is>
          <t>CH2</t>
        </is>
      </c>
    </row>
    <row r="3922">
      <c r="A3922" s="33" t="n">
        <v>45988</v>
      </c>
      <c r="B3922" t="inlineStr">
        <is>
          <t>2025-11</t>
        </is>
      </c>
      <c r="C3922" t="inlineStr">
        <is>
          <t>cristian contreras</t>
        </is>
      </c>
      <c r="D3922" t="inlineStr">
        <is>
          <t>Mix Sabores</t>
        </is>
      </c>
      <c r="E3922" s="34" t="n">
        <v>46800</v>
      </c>
      <c r="F3922" t="inlineStr">
        <is>
          <t>B</t>
        </is>
      </c>
      <c r="G3922" s="34" t="n">
        <v>7472</v>
      </c>
      <c r="H3922" s="34" t="n">
        <v>39328</v>
      </c>
      <c r="I3922" t="inlineStr">
        <is>
          <t>3.2</t>
        </is>
      </c>
      <c r="J3922" t="inlineStr">
        <is>
          <t>Ventas Personas (B2C)</t>
        </is>
      </c>
      <c r="K3922" t="inlineStr">
        <is>
          <t>CH2</t>
        </is>
      </c>
    </row>
    <row r="3923">
      <c r="A3923" s="33" t="n">
        <v>45989</v>
      </c>
      <c r="B3923" t="inlineStr">
        <is>
          <t>2025-11</t>
        </is>
      </c>
      <c r="C3923" t="inlineStr">
        <is>
          <t>DIEGO VARGAS BANQUETERIA Y EVENTOS SPA</t>
        </is>
      </c>
      <c r="D3923" t="inlineStr">
        <is>
          <t>HORECA CATERING</t>
        </is>
      </c>
      <c r="E3923" s="34" t="n">
        <v>287734</v>
      </c>
      <c r="F3923" t="inlineStr">
        <is>
          <t>F</t>
        </is>
      </c>
      <c r="G3923" s="34" t="n">
        <v>45941</v>
      </c>
      <c r="H3923" s="34" t="n">
        <v>241793</v>
      </c>
      <c r="I3923" t="inlineStr">
        <is>
          <t>3.1</t>
        </is>
      </c>
      <c r="J3923" t="inlineStr">
        <is>
          <t>Ventas HoReCa</t>
        </is>
      </c>
      <c r="K3923" t="inlineStr">
        <is>
          <t>CH1</t>
        </is>
      </c>
    </row>
    <row r="3924">
      <c r="A3924" s="33" t="n">
        <v>45989</v>
      </c>
      <c r="B3924" t="inlineStr">
        <is>
          <t>2025-11</t>
        </is>
      </c>
      <c r="C3924" t="inlineStr">
        <is>
          <t>Inversiones Café Dominicos SpA</t>
        </is>
      </c>
      <c r="D3924" t="inlineStr">
        <is>
          <t xml:space="preserve">THE COFFEE STORE </t>
        </is>
      </c>
      <c r="E3924" s="34" t="n">
        <v>39294</v>
      </c>
      <c r="F3924" t="inlineStr">
        <is>
          <t>F</t>
        </is>
      </c>
      <c r="G3924" s="34" t="n">
        <v>6274</v>
      </c>
      <c r="H3924" s="34" t="n">
        <v>33020</v>
      </c>
      <c r="I3924" t="inlineStr">
        <is>
          <t>3.1</t>
        </is>
      </c>
      <c r="J3924" t="inlineStr">
        <is>
          <t>Ventas HoReCa</t>
        </is>
      </c>
      <c r="K3924" t="inlineStr">
        <is>
          <t>CH1</t>
        </is>
      </c>
    </row>
    <row r="3925">
      <c r="A3925" s="33" t="n">
        <v>45989</v>
      </c>
      <c r="B3925" t="inlineStr">
        <is>
          <t>2025-11</t>
        </is>
      </c>
      <c r="C3925" t="inlineStr">
        <is>
          <t>CAFE DIARIO ENCOMENDEROS SPA</t>
        </is>
      </c>
      <c r="D3925" t="inlineStr">
        <is>
          <t>HORECA CAFETERIA</t>
        </is>
      </c>
      <c r="E3925" s="34" t="n">
        <v>105349</v>
      </c>
      <c r="F3925" t="inlineStr">
        <is>
          <t>F</t>
        </is>
      </c>
      <c r="G3925" s="34" t="n">
        <v>16820</v>
      </c>
      <c r="H3925" s="34" t="n">
        <v>88529</v>
      </c>
      <c r="I3925" t="inlineStr">
        <is>
          <t>3.1</t>
        </is>
      </c>
      <c r="J3925" t="inlineStr">
        <is>
          <t>Ventas HoReCa</t>
        </is>
      </c>
      <c r="K3925" t="inlineStr">
        <is>
          <t>CH1</t>
        </is>
      </c>
    </row>
    <row r="3926">
      <c r="A3926" s="33" t="n">
        <v>45989</v>
      </c>
      <c r="B3926" t="inlineStr">
        <is>
          <t>2025-11</t>
        </is>
      </c>
      <c r="C3926" t="inlineStr">
        <is>
          <t>Jun Lin</t>
        </is>
      </c>
      <c r="D3926" t="inlineStr">
        <is>
          <t>Rellenos</t>
        </is>
      </c>
      <c r="E3926" s="34" t="n">
        <v>31630</v>
      </c>
      <c r="F3926" t="inlineStr">
        <is>
          <t>B</t>
        </is>
      </c>
      <c r="G3926" s="34" t="n">
        <v>5050</v>
      </c>
      <c r="H3926" s="34" t="n">
        <v>26580</v>
      </c>
      <c r="I3926" t="inlineStr">
        <is>
          <t>3.2</t>
        </is>
      </c>
      <c r="J3926" t="inlineStr">
        <is>
          <t>Ventas Personas (B2C)</t>
        </is>
      </c>
      <c r="K3926" t="inlineStr">
        <is>
          <t>CH2</t>
        </is>
      </c>
    </row>
    <row r="3927">
      <c r="A3927" s="33" t="n">
        <v>45989</v>
      </c>
      <c r="B3927" t="inlineStr">
        <is>
          <t>2025-11</t>
        </is>
      </c>
      <c r="C3927" t="inlineStr">
        <is>
          <t>Paz Mardones</t>
        </is>
      </c>
      <c r="D3927" t="inlineStr">
        <is>
          <t>Petit Crunchy</t>
        </is>
      </c>
      <c r="E3927" s="34" t="n">
        <v>20720</v>
      </c>
      <c r="F3927" t="inlineStr">
        <is>
          <t>B</t>
        </is>
      </c>
      <c r="G3927" s="34" t="n">
        <v>3308</v>
      </c>
      <c r="H3927" s="34" t="n">
        <v>17412</v>
      </c>
      <c r="I3927" t="inlineStr">
        <is>
          <t>3.2</t>
        </is>
      </c>
      <c r="J3927" t="inlineStr">
        <is>
          <t>Ventas Personas (B2C)</t>
        </is>
      </c>
      <c r="K3927" t="inlineStr">
        <is>
          <t>CH2</t>
        </is>
      </c>
    </row>
    <row r="3928">
      <c r="A3928" s="33" t="n">
        <v>45989</v>
      </c>
      <c r="B3928" t="inlineStr">
        <is>
          <t>2025-11</t>
        </is>
      </c>
      <c r="C3928" t="inlineStr">
        <is>
          <t>Sin cliente</t>
        </is>
      </c>
      <c r="D3928" t="inlineStr">
        <is>
          <t>CANELÉ TRADICIONAL</t>
        </is>
      </c>
      <c r="E3928" s="34" t="n">
        <v>33890</v>
      </c>
      <c r="F3928" t="inlineStr">
        <is>
          <t>B</t>
        </is>
      </c>
      <c r="G3928" s="34" t="n">
        <v>5411</v>
      </c>
      <c r="H3928" s="34" t="n">
        <v>28479</v>
      </c>
      <c r="I3928" t="inlineStr">
        <is>
          <t>3.2</t>
        </is>
      </c>
      <c r="J3928" t="inlineStr">
        <is>
          <t>Ventas Personas (B2C)</t>
        </is>
      </c>
      <c r="K3928" t="inlineStr">
        <is>
          <t>CH2</t>
        </is>
      </c>
    </row>
    <row r="3929">
      <c r="A3929" s="33" t="n">
        <v>45989</v>
      </c>
      <c r="B3929" t="inlineStr">
        <is>
          <t>2025-11</t>
        </is>
      </c>
      <c r="C3929" t="inlineStr">
        <is>
          <t>Paula Gatica</t>
        </is>
      </c>
      <c r="D3929" t="inlineStr">
        <is>
          <t>Rellenos</t>
        </is>
      </c>
      <c r="E3929" s="34" t="n">
        <v>39500</v>
      </c>
      <c r="F3929" t="inlineStr">
        <is>
          <t>B</t>
        </is>
      </c>
      <c r="G3929" s="34" t="n">
        <v>6307</v>
      </c>
      <c r="H3929" s="34" t="n">
        <v>33193</v>
      </c>
      <c r="I3929" t="inlineStr">
        <is>
          <t>3.2</t>
        </is>
      </c>
      <c r="J3929" t="inlineStr">
        <is>
          <t>Ventas Personas (B2C)</t>
        </is>
      </c>
      <c r="K3929" t="inlineStr">
        <is>
          <t>CH2</t>
        </is>
      </c>
    </row>
    <row r="3930">
      <c r="A3930" s="33" t="n">
        <v>45989</v>
      </c>
      <c r="B3930" t="inlineStr">
        <is>
          <t>2025-11</t>
        </is>
      </c>
      <c r="C3930" t="inlineStr">
        <is>
          <t>Sin cliente</t>
        </is>
      </c>
      <c r="D3930" t="inlineStr">
        <is>
          <t>CANELÉ TRADICIONAL</t>
        </is>
      </c>
      <c r="E3930" s="34" t="n">
        <v>24420</v>
      </c>
      <c r="F3930" t="inlineStr">
        <is>
          <t>B</t>
        </is>
      </c>
      <c r="G3930" s="34" t="n">
        <v>3899</v>
      </c>
      <c r="H3930" s="34" t="n">
        <v>20521</v>
      </c>
      <c r="I3930" t="inlineStr">
        <is>
          <t>3.2</t>
        </is>
      </c>
      <c r="J3930" t="inlineStr">
        <is>
          <t>Ventas Personas (B2C)</t>
        </is>
      </c>
      <c r="K3930" t="inlineStr">
        <is>
          <t>CH2</t>
        </is>
      </c>
    </row>
    <row r="3931">
      <c r="A3931" s="33" t="n">
        <v>45989</v>
      </c>
      <c r="B3931" t="inlineStr">
        <is>
          <t>2025-11</t>
        </is>
      </c>
      <c r="C3931" t="inlineStr">
        <is>
          <t>Trinidad Burrows Rakos</t>
        </is>
      </c>
      <c r="D3931" t="inlineStr">
        <is>
          <t>Petit Tradicional</t>
        </is>
      </c>
      <c r="E3931" s="34" t="n">
        <v>8320</v>
      </c>
      <c r="F3931" t="inlineStr">
        <is>
          <t>B</t>
        </is>
      </c>
      <c r="G3931" s="34" t="n">
        <v>1328</v>
      </c>
      <c r="H3931" s="34" t="n">
        <v>6992</v>
      </c>
      <c r="I3931" t="inlineStr">
        <is>
          <t>3.2</t>
        </is>
      </c>
      <c r="J3931" t="inlineStr">
        <is>
          <t>Ventas Personas (B2C)</t>
        </is>
      </c>
      <c r="K3931" t="inlineStr">
        <is>
          <t>CH2</t>
        </is>
      </c>
    </row>
    <row r="3932">
      <c r="A3932" s="33" t="n">
        <v>45989</v>
      </c>
      <c r="B3932" t="inlineStr">
        <is>
          <t>2025-11</t>
        </is>
      </c>
      <c r="C3932" t="inlineStr">
        <is>
          <t>Javiera Fuentes</t>
        </is>
      </c>
      <c r="D3932" t="inlineStr">
        <is>
          <t>Petit Crunchy</t>
        </is>
      </c>
      <c r="E3932" s="34" t="n">
        <v>23565</v>
      </c>
      <c r="F3932" t="inlineStr">
        <is>
          <t>B</t>
        </is>
      </c>
      <c r="G3932" s="34" t="n">
        <v>3762</v>
      </c>
      <c r="H3932" s="34" t="n">
        <v>19803</v>
      </c>
      <c r="I3932" t="inlineStr">
        <is>
          <t>3.2</t>
        </is>
      </c>
      <c r="J3932" t="inlineStr">
        <is>
          <t>Ventas Personas (B2C)</t>
        </is>
      </c>
      <c r="K3932" t="inlineStr">
        <is>
          <t>CH2</t>
        </is>
      </c>
    </row>
    <row r="3933">
      <c r="A3933" s="33" t="n">
        <v>45989</v>
      </c>
      <c r="B3933" t="inlineStr">
        <is>
          <t>2025-11</t>
        </is>
      </c>
      <c r="C3933" t="inlineStr">
        <is>
          <t>karla olguin</t>
        </is>
      </c>
      <c r="D3933" t="inlineStr">
        <is>
          <t>PACKAGING</t>
        </is>
      </c>
      <c r="E3933" s="34" t="n">
        <v>26410</v>
      </c>
      <c r="F3933" t="inlineStr">
        <is>
          <t>B</t>
        </is>
      </c>
      <c r="G3933" s="34" t="n">
        <v>4217</v>
      </c>
      <c r="H3933" s="34" t="n">
        <v>22193</v>
      </c>
      <c r="I3933" t="inlineStr">
        <is>
          <t>3.2</t>
        </is>
      </c>
      <c r="J3933" t="inlineStr">
        <is>
          <t>Ventas Personas (B2C)</t>
        </is>
      </c>
      <c r="K3933" t="inlineStr">
        <is>
          <t>CH2</t>
        </is>
      </c>
    </row>
    <row r="3934">
      <c r="A3934" s="33" t="n">
        <v>45989</v>
      </c>
      <c r="B3934" t="inlineStr">
        <is>
          <t>2025-11</t>
        </is>
      </c>
      <c r="C3934" t="inlineStr">
        <is>
          <t>Sin cliente</t>
        </is>
      </c>
      <c r="D3934" t="inlineStr">
        <is>
          <t>CANELÉ TRADICIONAL</t>
        </is>
      </c>
      <c r="E3934" s="34" t="n">
        <v>42600</v>
      </c>
      <c r="F3934" t="inlineStr">
        <is>
          <t>B</t>
        </is>
      </c>
      <c r="G3934" s="34" t="n">
        <v>6802</v>
      </c>
      <c r="H3934" s="34" t="n">
        <v>35798</v>
      </c>
      <c r="I3934" t="inlineStr">
        <is>
          <t>3.2</t>
        </is>
      </c>
      <c r="J3934" t="inlineStr">
        <is>
          <t>Ventas Personas (B2C)</t>
        </is>
      </c>
      <c r="K3934" t="inlineStr">
        <is>
          <t>CH2</t>
        </is>
      </c>
    </row>
    <row r="3935">
      <c r="A3935" s="33" t="n">
        <v>45989</v>
      </c>
      <c r="B3935" t="inlineStr">
        <is>
          <t>2025-11</t>
        </is>
      </c>
      <c r="C3935" t="inlineStr">
        <is>
          <t>Sin cliente</t>
        </is>
      </c>
      <c r="D3935" t="inlineStr">
        <is>
          <t>CANELÉ TRADICIONAL</t>
        </is>
      </c>
      <c r="E3935" s="34" t="n">
        <v>14900</v>
      </c>
      <c r="F3935" t="inlineStr">
        <is>
          <t>B</t>
        </is>
      </c>
      <c r="G3935" s="34" t="n">
        <v>2379</v>
      </c>
      <c r="H3935" s="34" t="n">
        <v>12521</v>
      </c>
      <c r="I3935" t="inlineStr">
        <is>
          <t>3.2</t>
        </is>
      </c>
      <c r="J3935" t="inlineStr">
        <is>
          <t>Ventas Personas (B2C)</t>
        </is>
      </c>
      <c r="K3935" t="inlineStr">
        <is>
          <t>CH2</t>
        </is>
      </c>
    </row>
    <row r="3936">
      <c r="A3936" s="33" t="n">
        <v>45989</v>
      </c>
      <c r="B3936" t="inlineStr">
        <is>
          <t>2025-11</t>
        </is>
      </c>
      <c r="C3936" t="inlineStr">
        <is>
          <t>Francisca Ugarte</t>
        </is>
      </c>
      <c r="D3936" t="inlineStr">
        <is>
          <t>Petit Crunchy</t>
        </is>
      </c>
      <c r="E3936" s="34" t="n">
        <v>36720</v>
      </c>
      <c r="F3936" t="inlineStr">
        <is>
          <t>B</t>
        </is>
      </c>
      <c r="G3936" s="34" t="n">
        <v>5863</v>
      </c>
      <c r="H3936" s="34" t="n">
        <v>30857</v>
      </c>
      <c r="I3936" t="inlineStr">
        <is>
          <t>3.2</t>
        </is>
      </c>
      <c r="J3936" t="inlineStr">
        <is>
          <t>Ventas Personas (B2C)</t>
        </is>
      </c>
      <c r="K3936" t="inlineStr">
        <is>
          <t>CH2</t>
        </is>
      </c>
    </row>
    <row r="3937">
      <c r="A3937" s="33" t="n">
        <v>45989</v>
      </c>
      <c r="B3937" t="inlineStr">
        <is>
          <t>2025-11</t>
        </is>
      </c>
      <c r="C3937" t="inlineStr">
        <is>
          <t>Sandra Carolina Esquivel de Lima</t>
        </is>
      </c>
      <c r="D3937" t="inlineStr">
        <is>
          <t>Petit Crunchy</t>
        </is>
      </c>
      <c r="E3937" s="34" t="n">
        <v>20720</v>
      </c>
      <c r="F3937" t="inlineStr">
        <is>
          <t>B</t>
        </is>
      </c>
      <c r="G3937" s="34" t="n">
        <v>3308</v>
      </c>
      <c r="H3937" s="34" t="n">
        <v>17412</v>
      </c>
      <c r="I3937" t="inlineStr">
        <is>
          <t>3.2</t>
        </is>
      </c>
      <c r="J3937" t="inlineStr">
        <is>
          <t>Ventas Personas (B2C)</t>
        </is>
      </c>
      <c r="K3937" t="inlineStr">
        <is>
          <t>CH2</t>
        </is>
      </c>
    </row>
    <row r="3938">
      <c r="A3938" s="33" t="n">
        <v>45989</v>
      </c>
      <c r="B3938" t="inlineStr">
        <is>
          <t>2025-11</t>
        </is>
      </c>
      <c r="C3938" t="inlineStr">
        <is>
          <t>Sofia Orbegozo</t>
        </is>
      </c>
      <c r="D3938" t="inlineStr">
        <is>
          <t>Petit Crunchy</t>
        </is>
      </c>
      <c r="E3938" s="34" t="n">
        <v>12510</v>
      </c>
      <c r="F3938" t="inlineStr">
        <is>
          <t>B</t>
        </is>
      </c>
      <c r="G3938" s="34" t="n">
        <v>1997</v>
      </c>
      <c r="H3938" s="34" t="n">
        <v>10513</v>
      </c>
      <c r="I3938" t="inlineStr">
        <is>
          <t>3.2</t>
        </is>
      </c>
      <c r="J3938" t="inlineStr">
        <is>
          <t>Ventas Personas (B2C)</t>
        </is>
      </c>
      <c r="K3938" t="inlineStr">
        <is>
          <t>CH2</t>
        </is>
      </c>
    </row>
    <row r="3939">
      <c r="A3939" s="33" t="n">
        <v>45990</v>
      </c>
      <c r="B3939" t="inlineStr">
        <is>
          <t>2025-11</t>
        </is>
      </c>
      <c r="C3939" t="inlineStr">
        <is>
          <t>Alicia Cebrian lopez</t>
        </is>
      </c>
      <c r="D3939" t="inlineStr">
        <is>
          <t>Petit Crunchy</t>
        </is>
      </c>
      <c r="E3939" s="34" t="n">
        <v>26210</v>
      </c>
      <c r="F3939" t="inlineStr">
        <is>
          <t>B</t>
        </is>
      </c>
      <c r="G3939" s="34" t="n">
        <v>4185</v>
      </c>
      <c r="H3939" s="34" t="n">
        <v>22025</v>
      </c>
      <c r="I3939" t="inlineStr">
        <is>
          <t>3.2</t>
        </is>
      </c>
      <c r="J3939" t="inlineStr">
        <is>
          <t>Ventas Personas (B2C)</t>
        </is>
      </c>
      <c r="K3939" t="inlineStr">
        <is>
          <t>CH2</t>
        </is>
      </c>
    </row>
    <row r="3940">
      <c r="A3940" s="33" t="n">
        <v>45990</v>
      </c>
      <c r="B3940" t="inlineStr">
        <is>
          <t>2025-11</t>
        </is>
      </c>
      <c r="C3940" t="inlineStr">
        <is>
          <t>Carole Mazurek</t>
        </is>
      </c>
      <c r="D3940" t="inlineStr">
        <is>
          <t>Petit Tradicional</t>
        </is>
      </c>
      <c r="E3940" s="34" t="n">
        <v>46020</v>
      </c>
      <c r="F3940" t="inlineStr">
        <is>
          <t>B</t>
        </is>
      </c>
      <c r="G3940" s="34" t="n">
        <v>7348</v>
      </c>
      <c r="H3940" s="34" t="n">
        <v>38672</v>
      </c>
      <c r="I3940" t="inlineStr">
        <is>
          <t>3.2</t>
        </is>
      </c>
      <c r="J3940" t="inlineStr">
        <is>
          <t>Ventas Personas (B2C)</t>
        </is>
      </c>
      <c r="K3940" t="inlineStr">
        <is>
          <t>CH2</t>
        </is>
      </c>
    </row>
    <row r="3941">
      <c r="A3941" s="33" t="n">
        <v>45990</v>
      </c>
      <c r="B3941" t="inlineStr">
        <is>
          <t>2025-11</t>
        </is>
      </c>
      <c r="C3941" t="inlineStr">
        <is>
          <t>Maria Jose Grez</t>
        </is>
      </c>
      <c r="D3941" t="inlineStr">
        <is>
          <t>Rellenos</t>
        </is>
      </c>
      <c r="E3941" s="34" t="n">
        <v>6500</v>
      </c>
      <c r="F3941" t="inlineStr">
        <is>
          <t>B</t>
        </is>
      </c>
      <c r="G3941" s="34" t="n">
        <v>1038</v>
      </c>
      <c r="H3941" s="34" t="n">
        <v>5462</v>
      </c>
      <c r="I3941" t="inlineStr">
        <is>
          <t>3.2</t>
        </is>
      </c>
      <c r="J3941" t="inlineStr">
        <is>
          <t>Ventas Personas (B2C)</t>
        </is>
      </c>
      <c r="K3941" t="inlineStr">
        <is>
          <t>CH2</t>
        </is>
      </c>
    </row>
    <row r="3942">
      <c r="A3942" s="33" t="n">
        <v>45990</v>
      </c>
      <c r="B3942" t="inlineStr">
        <is>
          <t>2025-11</t>
        </is>
      </c>
      <c r="C3942" t="inlineStr">
        <is>
          <t>Sin cliente</t>
        </is>
      </c>
      <c r="D3942" t="inlineStr">
        <is>
          <t>Delicatessen</t>
        </is>
      </c>
      <c r="E3942" s="34" t="n">
        <v>3200</v>
      </c>
      <c r="F3942" t="inlineStr">
        <is>
          <t>B</t>
        </is>
      </c>
      <c r="G3942" s="34" t="n">
        <v>511</v>
      </c>
      <c r="H3942" s="34" t="n">
        <v>2689</v>
      </c>
      <c r="I3942" t="inlineStr">
        <is>
          <t>3.2</t>
        </is>
      </c>
      <c r="J3942" t="inlineStr">
        <is>
          <t>Ventas Personas (B2C)</t>
        </is>
      </c>
      <c r="K3942" t="inlineStr">
        <is>
          <t>CH2</t>
        </is>
      </c>
    </row>
    <row r="3943">
      <c r="A3943" s="33" t="n">
        <v>45990</v>
      </c>
      <c r="B3943" t="inlineStr">
        <is>
          <t>2025-11</t>
        </is>
      </c>
      <c r="C3943" t="inlineStr">
        <is>
          <t>Sin cliente</t>
        </is>
      </c>
      <c r="D3943" t="inlineStr">
        <is>
          <t>Delicatessen</t>
        </is>
      </c>
      <c r="E3943" s="34" t="n">
        <v>8000</v>
      </c>
      <c r="F3943" t="inlineStr">
        <is>
          <t>B</t>
        </is>
      </c>
      <c r="G3943" s="34" t="n">
        <v>1277</v>
      </c>
      <c r="H3943" s="34" t="n">
        <v>6723</v>
      </c>
      <c r="I3943" t="inlineStr">
        <is>
          <t>3.2</t>
        </is>
      </c>
      <c r="J3943" t="inlineStr">
        <is>
          <t>Ventas Personas (B2C)</t>
        </is>
      </c>
      <c r="K3943" t="inlineStr">
        <is>
          <t>CH2</t>
        </is>
      </c>
    </row>
    <row r="3944">
      <c r="A3944" s="33" t="n">
        <v>45990</v>
      </c>
      <c r="B3944" t="inlineStr">
        <is>
          <t>2025-11</t>
        </is>
      </c>
      <c r="C3944" t="inlineStr">
        <is>
          <t>Sin cliente</t>
        </is>
      </c>
      <c r="D3944" t="inlineStr">
        <is>
          <t>PLATAFORMAS RAP-PEYA-UBER-GOOD</t>
        </is>
      </c>
      <c r="E3944" s="34" t="n">
        <v>32280</v>
      </c>
      <c r="F3944" t="inlineStr">
        <is>
          <t>B</t>
        </is>
      </c>
      <c r="G3944" s="34" t="n">
        <v>5154</v>
      </c>
      <c r="H3944" s="34" t="n">
        <v>27126</v>
      </c>
      <c r="I3944" t="inlineStr">
        <is>
          <t>3.6</t>
        </is>
      </c>
      <c r="J3944" t="inlineStr">
        <is>
          <t>Ventas Delivery Apps</t>
        </is>
      </c>
      <c r="K3944" t="inlineStr">
        <is>
          <t>CH3</t>
        </is>
      </c>
    </row>
    <row r="3945">
      <c r="A3945" s="33" t="n">
        <v>45990</v>
      </c>
      <c r="B3945" t="inlineStr">
        <is>
          <t>2025-11</t>
        </is>
      </c>
      <c r="C3945" t="inlineStr">
        <is>
          <t>Eduardo Munita Madrid</t>
        </is>
      </c>
      <c r="D3945" t="inlineStr">
        <is>
          <t>Rellenos</t>
        </is>
      </c>
      <c r="E3945" s="34" t="n">
        <v>28780</v>
      </c>
      <c r="F3945" t="inlineStr">
        <is>
          <t>B</t>
        </is>
      </c>
      <c r="G3945" s="34" t="n">
        <v>4595</v>
      </c>
      <c r="H3945" s="34" t="n">
        <v>24185</v>
      </c>
      <c r="I3945" t="inlineStr">
        <is>
          <t>3.2</t>
        </is>
      </c>
      <c r="J3945" t="inlineStr">
        <is>
          <t>Ventas Personas (B2C)</t>
        </is>
      </c>
      <c r="K3945" t="inlineStr">
        <is>
          <t>CH2</t>
        </is>
      </c>
    </row>
    <row r="3946">
      <c r="A3946" s="33" t="n">
        <v>45992</v>
      </c>
      <c r="B3946" t="inlineStr">
        <is>
          <t>2025-12</t>
        </is>
      </c>
      <c r="C3946" t="inlineStr">
        <is>
          <t>INVERSIONES Y COMERCIALIZADORA FED LIMITADA</t>
        </is>
      </c>
      <c r="D3946" t="inlineStr">
        <is>
          <t>HORECA CAFETERIA</t>
        </is>
      </c>
      <c r="E3946" s="34" t="n">
        <v>227642</v>
      </c>
      <c r="F3946" t="inlineStr">
        <is>
          <t>F</t>
        </is>
      </c>
      <c r="G3946" s="34" t="n">
        <v>36346</v>
      </c>
      <c r="H3946" s="34" t="n">
        <v>191296</v>
      </c>
      <c r="I3946" t="inlineStr">
        <is>
          <t>3.1</t>
        </is>
      </c>
      <c r="J3946" t="inlineStr">
        <is>
          <t>Ventas HoReCa</t>
        </is>
      </c>
      <c r="K3946" t="inlineStr">
        <is>
          <t>CH1</t>
        </is>
      </c>
    </row>
    <row r="3947">
      <c r="A3947" s="33" t="n">
        <v>45992</v>
      </c>
      <c r="B3947" t="inlineStr">
        <is>
          <t>2025-12</t>
        </is>
      </c>
      <c r="C3947" t="inlineStr">
        <is>
          <t>INVERSIONES Y COMERCIALIZADORA FED LIMITADA</t>
        </is>
      </c>
      <c r="D3947" t="inlineStr">
        <is>
          <t>HORECA CAFETERIA</t>
        </is>
      </c>
      <c r="E3947" s="34" t="n">
        <v>116142</v>
      </c>
      <c r="F3947" t="inlineStr">
        <is>
          <t>F</t>
        </is>
      </c>
      <c r="G3947" s="34" t="n">
        <v>18544</v>
      </c>
      <c r="H3947" s="34" t="n">
        <v>97598</v>
      </c>
      <c r="I3947" t="inlineStr">
        <is>
          <t>3.1</t>
        </is>
      </c>
      <c r="J3947" t="inlineStr">
        <is>
          <t>Ventas HoReCa</t>
        </is>
      </c>
      <c r="K3947" t="inlineStr">
        <is>
          <t>CH1</t>
        </is>
      </c>
    </row>
    <row r="3948">
      <c r="A3948" s="33" t="n">
        <v>45992</v>
      </c>
      <c r="B3948" t="inlineStr">
        <is>
          <t>2025-12</t>
        </is>
      </c>
      <c r="C3948" t="inlineStr">
        <is>
          <t>GALO SPA</t>
        </is>
      </c>
      <c r="D3948" t="inlineStr">
        <is>
          <t>HORECA CAFETERIA</t>
        </is>
      </c>
      <c r="E3948" s="34" t="n">
        <v>144537</v>
      </c>
      <c r="F3948" t="inlineStr">
        <is>
          <t>F</t>
        </is>
      </c>
      <c r="G3948" s="34" t="n">
        <v>23077</v>
      </c>
      <c r="H3948" s="34" t="n">
        <v>121460</v>
      </c>
      <c r="I3948" t="inlineStr">
        <is>
          <t>3.1</t>
        </is>
      </c>
      <c r="J3948" t="inlineStr">
        <is>
          <t>Ventas HoReCa</t>
        </is>
      </c>
      <c r="K3948" t="inlineStr">
        <is>
          <t>CH1</t>
        </is>
      </c>
    </row>
    <row r="3949">
      <c r="A3949" s="33" t="n">
        <v>45992</v>
      </c>
      <c r="B3949" t="inlineStr">
        <is>
          <t>2025-12</t>
        </is>
      </c>
      <c r="C3949" t="inlineStr">
        <is>
          <t>CAFE HAITI AHUMADA LTDA</t>
        </is>
      </c>
      <c r="D3949" t="inlineStr">
        <is>
          <t>BROCHURE CAFETERIAS</t>
        </is>
      </c>
      <c r="E3949" s="34" t="n">
        <v>509001</v>
      </c>
      <c r="F3949" t="inlineStr">
        <is>
          <t>F</t>
        </is>
      </c>
      <c r="G3949" s="34" t="n">
        <v>81269</v>
      </c>
      <c r="H3949" s="34" t="n">
        <v>427732</v>
      </c>
      <c r="I3949" t="inlineStr">
        <is>
          <t>3.1</t>
        </is>
      </c>
      <c r="J3949" t="inlineStr">
        <is>
          <t>Ventas HoReCa</t>
        </is>
      </c>
      <c r="K3949" t="inlineStr">
        <is>
          <t>CH1</t>
        </is>
      </c>
    </row>
    <row r="3950">
      <c r="A3950" s="33" t="n">
        <v>45992</v>
      </c>
      <c r="B3950" t="inlineStr">
        <is>
          <t>2025-12</t>
        </is>
      </c>
      <c r="C3950" t="inlineStr">
        <is>
          <t>BLUE OAK COFFE SPA</t>
        </is>
      </c>
      <c r="D3950" t="inlineStr">
        <is>
          <t>HORECA CAFETERIA</t>
        </is>
      </c>
      <c r="E3950" s="34" t="n">
        <v>136410</v>
      </c>
      <c r="F3950" t="inlineStr">
        <is>
          <t>F</t>
        </is>
      </c>
      <c r="G3950" s="34" t="n">
        <v>21780</v>
      </c>
      <c r="H3950" s="34" t="n">
        <v>114630</v>
      </c>
      <c r="I3950" t="inlineStr">
        <is>
          <t>3.1</t>
        </is>
      </c>
      <c r="J3950" t="inlineStr">
        <is>
          <t>Ventas HoReCa</t>
        </is>
      </c>
      <c r="K3950" t="inlineStr">
        <is>
          <t>CH1</t>
        </is>
      </c>
    </row>
    <row r="3951">
      <c r="A3951" s="33" t="n">
        <v>45992</v>
      </c>
      <c r="B3951" t="inlineStr">
        <is>
          <t>2025-12</t>
        </is>
      </c>
      <c r="C3951" t="inlineStr">
        <is>
          <t>Melissa Marin</t>
        </is>
      </c>
      <c r="D3951" t="inlineStr">
        <is>
          <t>PACKAGING</t>
        </is>
      </c>
      <c r="E3951" s="34" t="n">
        <v>46893</v>
      </c>
      <c r="F3951" t="inlineStr">
        <is>
          <t>B</t>
        </is>
      </c>
      <c r="G3951" s="34" t="n">
        <v>7487</v>
      </c>
      <c r="H3951" s="34" t="n">
        <v>39406</v>
      </c>
      <c r="I3951" t="inlineStr">
        <is>
          <t>3.2</t>
        </is>
      </c>
      <c r="J3951" t="inlineStr">
        <is>
          <t>Ventas Personas (B2C)</t>
        </is>
      </c>
      <c r="K3951" t="inlineStr">
        <is>
          <t>CH2</t>
        </is>
      </c>
    </row>
    <row r="3952">
      <c r="A3952" s="33" t="n">
        <v>45992</v>
      </c>
      <c r="B3952" t="inlineStr">
        <is>
          <t>2025-12</t>
        </is>
      </c>
      <c r="C3952" t="inlineStr">
        <is>
          <t>Sebastián Rojas Sepúlveda</t>
        </is>
      </c>
      <c r="D3952" t="inlineStr">
        <is>
          <t>Rellenos</t>
        </is>
      </c>
      <c r="E3952" s="34" t="n">
        <v>31630</v>
      </c>
      <c r="F3952" t="inlineStr">
        <is>
          <t>B</t>
        </is>
      </c>
      <c r="G3952" s="34" t="n">
        <v>5050</v>
      </c>
      <c r="H3952" s="34" t="n">
        <v>26580</v>
      </c>
      <c r="I3952" t="inlineStr">
        <is>
          <t>3.2</t>
        </is>
      </c>
      <c r="J3952" t="inlineStr">
        <is>
          <t>Ventas Personas (B2C)</t>
        </is>
      </c>
      <c r="K3952" t="inlineStr">
        <is>
          <t>CH2</t>
        </is>
      </c>
    </row>
    <row r="3953">
      <c r="A3953" s="33" t="n">
        <v>45992</v>
      </c>
      <c r="B3953" t="inlineStr">
        <is>
          <t>2025-12</t>
        </is>
      </c>
      <c r="C3953" t="inlineStr">
        <is>
          <t>Ting Ting Lee</t>
        </is>
      </c>
      <c r="D3953" t="inlineStr">
        <is>
          <t>Petit Crunchy</t>
        </is>
      </c>
      <c r="E3953" s="34" t="n">
        <v>20720</v>
      </c>
      <c r="F3953" t="inlineStr">
        <is>
          <t>B</t>
        </is>
      </c>
      <c r="G3953" s="34" t="n">
        <v>3308</v>
      </c>
      <c r="H3953" s="34" t="n">
        <v>17412</v>
      </c>
      <c r="I3953" t="inlineStr">
        <is>
          <t>3.2</t>
        </is>
      </c>
      <c r="J3953" t="inlineStr">
        <is>
          <t>Ventas Personas (B2C)</t>
        </is>
      </c>
      <c r="K3953" t="inlineStr">
        <is>
          <t>CH2</t>
        </is>
      </c>
    </row>
    <row r="3954">
      <c r="A3954" s="33" t="n">
        <v>45992</v>
      </c>
      <c r="B3954" t="inlineStr">
        <is>
          <t>2025-12</t>
        </is>
      </c>
      <c r="C3954" t="inlineStr">
        <is>
          <t>Francisca Richard</t>
        </is>
      </c>
      <c r="D3954" t="inlineStr">
        <is>
          <t>Petit Tradicional</t>
        </is>
      </c>
      <c r="E3954" s="34" t="n">
        <v>12390</v>
      </c>
      <c r="F3954" t="inlineStr">
        <is>
          <t>B</t>
        </is>
      </c>
      <c r="G3954" s="34" t="n">
        <v>1978</v>
      </c>
      <c r="H3954" s="34" t="n">
        <v>10412</v>
      </c>
      <c r="I3954" t="inlineStr">
        <is>
          <t>3.2</t>
        </is>
      </c>
      <c r="J3954" t="inlineStr">
        <is>
          <t>Ventas Personas (B2C)</t>
        </is>
      </c>
      <c r="K3954" t="inlineStr">
        <is>
          <t>CH2</t>
        </is>
      </c>
    </row>
    <row r="3955">
      <c r="A3955" s="33" t="n">
        <v>45992</v>
      </c>
      <c r="B3955" t="inlineStr">
        <is>
          <t>2025-12</t>
        </is>
      </c>
      <c r="C3955" t="inlineStr">
        <is>
          <t>Oscar Larrain</t>
        </is>
      </c>
      <c r="D3955" t="inlineStr">
        <is>
          <t>CANELÉ TRADICIONAL</t>
        </is>
      </c>
      <c r="E3955" s="34" t="n">
        <v>17710</v>
      </c>
      <c r="F3955" t="inlineStr">
        <is>
          <t>B</t>
        </is>
      </c>
      <c r="G3955" s="34" t="n">
        <v>2828</v>
      </c>
      <c r="H3955" s="34" t="n">
        <v>14882</v>
      </c>
      <c r="I3955" t="inlineStr">
        <is>
          <t>3.2</t>
        </is>
      </c>
      <c r="J3955" t="inlineStr">
        <is>
          <t>Ventas Personas (B2C)</t>
        </is>
      </c>
      <c r="K3955" t="inlineStr">
        <is>
          <t>CH2</t>
        </is>
      </c>
    </row>
    <row r="3956">
      <c r="A3956" s="33" t="n">
        <v>45992</v>
      </c>
      <c r="B3956" t="inlineStr">
        <is>
          <t>2025-12</t>
        </is>
      </c>
      <c r="C3956" t="inlineStr">
        <is>
          <t>Carmen Mayo</t>
        </is>
      </c>
      <c r="D3956" t="inlineStr">
        <is>
          <t>Petit Crunchy</t>
        </is>
      </c>
      <c r="E3956" s="34" t="n">
        <v>25210</v>
      </c>
      <c r="F3956" t="inlineStr">
        <is>
          <t>B</t>
        </is>
      </c>
      <c r="G3956" s="34" t="n">
        <v>4025</v>
      </c>
      <c r="H3956" s="34" t="n">
        <v>21185</v>
      </c>
      <c r="I3956" t="inlineStr">
        <is>
          <t>3.2</t>
        </is>
      </c>
      <c r="J3956" t="inlineStr">
        <is>
          <t>Ventas Personas (B2C)</t>
        </is>
      </c>
      <c r="K3956" t="inlineStr">
        <is>
          <t>CH2</t>
        </is>
      </c>
    </row>
    <row r="3957">
      <c r="A3957" s="33" t="n">
        <v>45992</v>
      </c>
      <c r="B3957" t="inlineStr">
        <is>
          <t>2025-12</t>
        </is>
      </c>
      <c r="C3957" t="inlineStr">
        <is>
          <t>SKINFIT SPA</t>
        </is>
      </c>
      <c r="D3957" t="inlineStr">
        <is>
          <t>Petit Crunchy</t>
        </is>
      </c>
      <c r="E3957" s="34" t="n">
        <v>288900</v>
      </c>
      <c r="F3957" t="inlineStr">
        <is>
          <t>F</t>
        </is>
      </c>
      <c r="G3957" s="34" t="n">
        <v>46127</v>
      </c>
      <c r="H3957" s="34" t="n">
        <v>242773</v>
      </c>
      <c r="I3957" t="inlineStr">
        <is>
          <t>3.1</t>
        </is>
      </c>
      <c r="J3957" t="inlineStr">
        <is>
          <t>Ventas HoReCa</t>
        </is>
      </c>
      <c r="K3957" t="inlineStr">
        <is>
          <t>CH1</t>
        </is>
      </c>
    </row>
    <row r="3958">
      <c r="A3958" s="33" t="n">
        <v>45992</v>
      </c>
      <c r="B3958" t="inlineStr">
        <is>
          <t>2025-12</t>
        </is>
      </c>
      <c r="C3958" t="inlineStr">
        <is>
          <t>CONCORDIA EVENTOS SPA</t>
        </is>
      </c>
      <c r="D3958" t="inlineStr">
        <is>
          <t>Petit Tradicional</t>
        </is>
      </c>
      <c r="E3958" s="34" t="n">
        <v>205021</v>
      </c>
      <c r="F3958" t="inlineStr">
        <is>
          <t>F</t>
        </is>
      </c>
      <c r="G3958" s="34" t="n">
        <v>32734</v>
      </c>
      <c r="H3958" s="34" t="n">
        <v>172287</v>
      </c>
      <c r="I3958" t="inlineStr">
        <is>
          <t>3.1</t>
        </is>
      </c>
      <c r="J3958" t="inlineStr">
        <is>
          <t>Ventas HoReCa</t>
        </is>
      </c>
      <c r="K3958" t="inlineStr">
        <is>
          <t>CH1</t>
        </is>
      </c>
    </row>
    <row r="3959">
      <c r="A3959" s="33" t="n">
        <v>45992</v>
      </c>
      <c r="B3959" t="inlineStr">
        <is>
          <t>2025-12</t>
        </is>
      </c>
      <c r="C3959" t="inlineStr">
        <is>
          <t>María Fernanda Sáez</t>
        </is>
      </c>
      <c r="D3959" t="inlineStr">
        <is>
          <t>Rellenos</t>
        </is>
      </c>
      <c r="E3959" s="34" t="n">
        <v>19700</v>
      </c>
      <c r="F3959" t="inlineStr">
        <is>
          <t>B</t>
        </is>
      </c>
      <c r="G3959" s="34" t="n">
        <v>3145</v>
      </c>
      <c r="H3959" s="34" t="n">
        <v>16555</v>
      </c>
      <c r="I3959" t="inlineStr">
        <is>
          <t>3.2</t>
        </is>
      </c>
      <c r="J3959" t="inlineStr">
        <is>
          <t>Ventas Personas (B2C)</t>
        </is>
      </c>
      <c r="K3959" t="inlineStr">
        <is>
          <t>CH2</t>
        </is>
      </c>
    </row>
    <row r="3960">
      <c r="A3960" s="33" t="n">
        <v>45992</v>
      </c>
      <c r="B3960" t="inlineStr">
        <is>
          <t>2025-12</t>
        </is>
      </c>
      <c r="C3960" t="inlineStr">
        <is>
          <t>Sin cliente</t>
        </is>
      </c>
      <c r="D3960" t="inlineStr">
        <is>
          <t>Petit Tradicional</t>
        </is>
      </c>
      <c r="E3960" s="34" t="n">
        <v>12900</v>
      </c>
      <c r="F3960" t="inlineStr">
        <is>
          <t>B</t>
        </is>
      </c>
      <c r="G3960" s="34" t="n">
        <v>2060</v>
      </c>
      <c r="H3960" s="34" t="n">
        <v>10840</v>
      </c>
      <c r="I3960" t="inlineStr">
        <is>
          <t>3.2</t>
        </is>
      </c>
      <c r="J3960" t="inlineStr">
        <is>
          <t>Ventas Personas (B2C)</t>
        </is>
      </c>
      <c r="K3960" t="inlineStr">
        <is>
          <t>CH2</t>
        </is>
      </c>
    </row>
    <row r="3961">
      <c r="A3961" s="33" t="n">
        <v>45992</v>
      </c>
      <c r="B3961" t="inlineStr">
        <is>
          <t>2025-12</t>
        </is>
      </c>
      <c r="C3961" t="inlineStr">
        <is>
          <t>Monica Serrano Varela</t>
        </is>
      </c>
      <c r="D3961" t="inlineStr">
        <is>
          <t>CANELÉ TRADICIONAL</t>
        </is>
      </c>
      <c r="E3961" s="34" t="n">
        <v>25390</v>
      </c>
      <c r="F3961" t="inlineStr">
        <is>
          <t>B</t>
        </is>
      </c>
      <c r="G3961" s="34" t="n">
        <v>4054</v>
      </c>
      <c r="H3961" s="34" t="n">
        <v>21336</v>
      </c>
      <c r="I3961" t="inlineStr">
        <is>
          <t>3.2</t>
        </is>
      </c>
      <c r="J3961" t="inlineStr">
        <is>
          <t>Ventas Personas (B2C)</t>
        </is>
      </c>
      <c r="K3961" t="inlineStr">
        <is>
          <t>CH2</t>
        </is>
      </c>
    </row>
    <row r="3962">
      <c r="A3962" s="33" t="n">
        <v>45992</v>
      </c>
      <c r="B3962" t="inlineStr">
        <is>
          <t>2025-12</t>
        </is>
      </c>
      <c r="C3962" t="inlineStr">
        <is>
          <t>Sin cliente</t>
        </is>
      </c>
      <c r="D3962" t="inlineStr">
        <is>
          <t>CANELÉ TRADICIONAL</t>
        </is>
      </c>
      <c r="E3962" s="34" t="n">
        <v>54860</v>
      </c>
      <c r="F3962" t="inlineStr">
        <is>
          <t>B</t>
        </is>
      </c>
      <c r="G3962" s="34" t="n">
        <v>8759</v>
      </c>
      <c r="H3962" s="34" t="n">
        <v>46101</v>
      </c>
      <c r="I3962" t="inlineStr">
        <is>
          <t>3.2</t>
        </is>
      </c>
      <c r="J3962" t="inlineStr">
        <is>
          <t>Ventas Personas (B2C)</t>
        </is>
      </c>
      <c r="K3962" t="inlineStr">
        <is>
          <t>CH2</t>
        </is>
      </c>
    </row>
    <row r="3963">
      <c r="A3963" s="33" t="n">
        <v>45992</v>
      </c>
      <c r="B3963" t="inlineStr">
        <is>
          <t>2025-12</t>
        </is>
      </c>
      <c r="C3963" t="inlineStr">
        <is>
          <t>Ignacia Oliva Roa</t>
        </is>
      </c>
      <c r="D3963" t="inlineStr">
        <is>
          <t>Petit Crunchy</t>
        </is>
      </c>
      <c r="E3963" s="34" t="n">
        <v>19200</v>
      </c>
      <c r="F3963" t="inlineStr">
        <is>
          <t>B</t>
        </is>
      </c>
      <c r="G3963" s="34" t="n">
        <v>3066</v>
      </c>
      <c r="H3963" s="34" t="n">
        <v>16134</v>
      </c>
      <c r="I3963" t="inlineStr">
        <is>
          <t>3.2</t>
        </is>
      </c>
      <c r="J3963" t="inlineStr">
        <is>
          <t>Ventas Personas (B2C)</t>
        </is>
      </c>
      <c r="K3963" t="inlineStr">
        <is>
          <t>CH2</t>
        </is>
      </c>
    </row>
    <row r="3964">
      <c r="A3964" s="33" t="n">
        <v>45992</v>
      </c>
      <c r="B3964" t="inlineStr">
        <is>
          <t>2025-12</t>
        </is>
      </c>
      <c r="C3964" t="inlineStr">
        <is>
          <t>Javiera San Martín hernández</t>
        </is>
      </c>
      <c r="D3964" t="inlineStr">
        <is>
          <t>Rellenos</t>
        </is>
      </c>
      <c r="E3964" s="34" t="n">
        <v>10000</v>
      </c>
      <c r="F3964" t="inlineStr">
        <is>
          <t>B</t>
        </is>
      </c>
      <c r="G3964" s="34" t="n">
        <v>1597</v>
      </c>
      <c r="H3964" s="34" t="n">
        <v>8403</v>
      </c>
      <c r="I3964" t="inlineStr">
        <is>
          <t>3.2</t>
        </is>
      </c>
      <c r="J3964" t="inlineStr">
        <is>
          <t>Ventas Personas (B2C)</t>
        </is>
      </c>
      <c r="K3964" t="inlineStr">
        <is>
          <t>CH2</t>
        </is>
      </c>
    </row>
    <row r="3965">
      <c r="A3965" s="33" t="n">
        <v>45992</v>
      </c>
      <c r="B3965" t="inlineStr">
        <is>
          <t>2025-12</t>
        </is>
      </c>
      <c r="C3965" t="inlineStr">
        <is>
          <t>Daniela Zuñiga Arroyo</t>
        </is>
      </c>
      <c r="D3965" t="inlineStr">
        <is>
          <t>SALSAS</t>
        </is>
      </c>
      <c r="E3965" s="34" t="n">
        <v>49076</v>
      </c>
      <c r="F3965" t="inlineStr">
        <is>
          <t>B</t>
        </is>
      </c>
      <c r="G3965" s="34" t="n">
        <v>7836</v>
      </c>
      <c r="H3965" s="34" t="n">
        <v>41240</v>
      </c>
      <c r="I3965" t="inlineStr">
        <is>
          <t>3.2</t>
        </is>
      </c>
      <c r="J3965" t="inlineStr">
        <is>
          <t>Ventas Personas (B2C)</t>
        </is>
      </c>
      <c r="K3965" t="inlineStr">
        <is>
          <t>CH2</t>
        </is>
      </c>
    </row>
    <row r="3966">
      <c r="A3966" s="33" t="n">
        <v>45993</v>
      </c>
      <c r="B3966" t="inlineStr">
        <is>
          <t>2025-12</t>
        </is>
      </c>
      <c r="C3966" t="inlineStr">
        <is>
          <t>INVERSIONES Y ASESORIAS RAVAL LIMITADA</t>
        </is>
      </c>
      <c r="D3966" t="inlineStr">
        <is>
          <t>HORECA CAFETERIA</t>
        </is>
      </c>
      <c r="E3966" s="34" t="n">
        <v>107124</v>
      </c>
      <c r="F3966" t="inlineStr">
        <is>
          <t>F</t>
        </is>
      </c>
      <c r="G3966" s="34" t="n">
        <v>17104</v>
      </c>
      <c r="H3966" s="34" t="n">
        <v>90020</v>
      </c>
      <c r="I3966" t="inlineStr">
        <is>
          <t>3.1</t>
        </is>
      </c>
      <c r="J3966" t="inlineStr">
        <is>
          <t>Ventas HoReCa</t>
        </is>
      </c>
      <c r="K3966" t="inlineStr">
        <is>
          <t>CH1</t>
        </is>
      </c>
    </row>
    <row r="3967">
      <c r="A3967" s="33" t="n">
        <v>45993</v>
      </c>
      <c r="B3967" t="inlineStr">
        <is>
          <t>2025-12</t>
        </is>
      </c>
      <c r="C3967" t="inlineStr">
        <is>
          <t>BACOLIO SPA</t>
        </is>
      </c>
      <c r="D3967" t="inlineStr">
        <is>
          <t>HORECA CAFETERIA</t>
        </is>
      </c>
      <c r="E3967" s="34" t="n">
        <v>137421</v>
      </c>
      <c r="F3967" t="inlineStr">
        <is>
          <t>F</t>
        </is>
      </c>
      <c r="G3967" s="34" t="n">
        <v>21941</v>
      </c>
      <c r="H3967" s="34" t="n">
        <v>115480</v>
      </c>
      <c r="I3967" t="inlineStr">
        <is>
          <t>3.1</t>
        </is>
      </c>
      <c r="J3967" t="inlineStr">
        <is>
          <t>Ventas HoReCa</t>
        </is>
      </c>
      <c r="K3967" t="inlineStr">
        <is>
          <t>CH1</t>
        </is>
      </c>
    </row>
    <row r="3968">
      <c r="A3968" s="33" t="n">
        <v>45993</v>
      </c>
      <c r="B3968" t="inlineStr">
        <is>
          <t>2025-12</t>
        </is>
      </c>
      <c r="C3968" t="inlineStr">
        <is>
          <t>OH SOME SPA</t>
        </is>
      </c>
      <c r="D3968" t="inlineStr">
        <is>
          <t>HORECA CAFETERIA</t>
        </is>
      </c>
      <c r="E3968" s="34" t="n">
        <v>167493</v>
      </c>
      <c r="F3968" t="inlineStr">
        <is>
          <t>F</t>
        </is>
      </c>
      <c r="G3968" s="34" t="n">
        <v>26743</v>
      </c>
      <c r="H3968" s="34" t="n">
        <v>140750</v>
      </c>
      <c r="I3968" t="inlineStr">
        <is>
          <t>3.1</t>
        </is>
      </c>
      <c r="J3968" t="inlineStr">
        <is>
          <t>Ventas HoReCa</t>
        </is>
      </c>
      <c r="K3968" t="inlineStr">
        <is>
          <t>CH1</t>
        </is>
      </c>
    </row>
    <row r="3969">
      <c r="A3969" s="33" t="n">
        <v>45993</v>
      </c>
      <c r="B3969" t="inlineStr">
        <is>
          <t>2025-12</t>
        </is>
      </c>
      <c r="C3969" t="inlineStr">
        <is>
          <t>OH SOME SPA</t>
        </is>
      </c>
      <c r="D3969" t="inlineStr">
        <is>
          <t>HORECA CAFETERIA</t>
        </is>
      </c>
      <c r="E3969" s="34" t="n">
        <v>-167493</v>
      </c>
      <c r="F3969" t="inlineStr">
        <is>
          <t>NC</t>
        </is>
      </c>
      <c r="G3969" s="34" t="n">
        <v>-26743</v>
      </c>
      <c r="H3969" s="34" t="n">
        <v>-140750</v>
      </c>
      <c r="I3969" t="inlineStr">
        <is>
          <t>3.1</t>
        </is>
      </c>
      <c r="J3969" t="inlineStr">
        <is>
          <t>Ventas HoReCa</t>
        </is>
      </c>
      <c r="K3969" t="inlineStr">
        <is>
          <t>CH1</t>
        </is>
      </c>
    </row>
    <row r="3970">
      <c r="A3970" s="33" t="n">
        <v>45993</v>
      </c>
      <c r="B3970" t="inlineStr">
        <is>
          <t>2025-12</t>
        </is>
      </c>
      <c r="C3970" t="inlineStr">
        <is>
          <t>OH SOME SPA</t>
        </is>
      </c>
      <c r="D3970" t="inlineStr">
        <is>
          <t>HORECA CAFETERIA</t>
        </is>
      </c>
      <c r="E3970" s="34" t="n">
        <v>159469</v>
      </c>
      <c r="F3970" t="inlineStr">
        <is>
          <t>F</t>
        </is>
      </c>
      <c r="G3970" s="34" t="n">
        <v>25461</v>
      </c>
      <c r="H3970" s="34" t="n">
        <v>134008</v>
      </c>
      <c r="I3970" t="inlineStr">
        <is>
          <t>3.1</t>
        </is>
      </c>
      <c r="J3970" t="inlineStr">
        <is>
          <t>Ventas HoReCa</t>
        </is>
      </c>
      <c r="K3970" t="inlineStr">
        <is>
          <t>CH1</t>
        </is>
      </c>
    </row>
    <row r="3971">
      <c r="A3971" s="33" t="n">
        <v>45993</v>
      </c>
      <c r="B3971" t="inlineStr">
        <is>
          <t>2025-12</t>
        </is>
      </c>
      <c r="C3971" t="inlineStr">
        <is>
          <t>Sociedad de inversiones solari y acuña spa</t>
        </is>
      </c>
      <c r="D3971" t="inlineStr">
        <is>
          <t>HORECA CAFETERIA</t>
        </is>
      </c>
      <c r="E3971" s="34" t="n">
        <v>71210</v>
      </c>
      <c r="F3971" t="inlineStr">
        <is>
          <t>F</t>
        </is>
      </c>
      <c r="G3971" s="34" t="n">
        <v>11370</v>
      </c>
      <c r="H3971" s="34" t="n">
        <v>59840</v>
      </c>
      <c r="I3971" t="inlineStr">
        <is>
          <t>3.1</t>
        </is>
      </c>
      <c r="J3971" t="inlineStr">
        <is>
          <t>Ventas HoReCa</t>
        </is>
      </c>
      <c r="K3971" t="inlineStr">
        <is>
          <t>CH1</t>
        </is>
      </c>
    </row>
    <row r="3972">
      <c r="A3972" s="33" t="n">
        <v>45993</v>
      </c>
      <c r="B3972" t="inlineStr">
        <is>
          <t>2025-12</t>
        </is>
      </c>
      <c r="C3972" t="inlineStr">
        <is>
          <t>Andar Café SpA</t>
        </is>
      </c>
      <c r="D3972" t="inlineStr">
        <is>
          <t>HORECA CAFETERIA</t>
        </is>
      </c>
      <c r="E3972" s="34" t="n">
        <v>86270</v>
      </c>
      <c r="F3972" t="inlineStr">
        <is>
          <t>F</t>
        </is>
      </c>
      <c r="G3972" s="34" t="n">
        <v>13774</v>
      </c>
      <c r="H3972" s="34" t="n">
        <v>72496</v>
      </c>
      <c r="I3972" t="inlineStr">
        <is>
          <t>3.1</t>
        </is>
      </c>
      <c r="J3972" t="inlineStr">
        <is>
          <t>Ventas HoReCa</t>
        </is>
      </c>
      <c r="K3972" t="inlineStr">
        <is>
          <t>CH1</t>
        </is>
      </c>
    </row>
    <row r="3973">
      <c r="A3973" s="33" t="n">
        <v>45993</v>
      </c>
      <c r="B3973" t="inlineStr">
        <is>
          <t>2025-12</t>
        </is>
      </c>
      <c r="C3973" t="inlineStr">
        <is>
          <t>MARIA FRANCISCA DEPASSIER CATERING EMPRESA INDIVID</t>
        </is>
      </c>
      <c r="D3973" t="inlineStr">
        <is>
          <t>HORECA CATERING</t>
        </is>
      </c>
      <c r="E3973" s="34" t="n">
        <v>63665</v>
      </c>
      <c r="F3973" t="inlineStr">
        <is>
          <t>F</t>
        </is>
      </c>
      <c r="G3973" s="34" t="n">
        <v>10165</v>
      </c>
      <c r="H3973" s="34" t="n">
        <v>53500</v>
      </c>
      <c r="I3973" t="inlineStr">
        <is>
          <t>3.1</t>
        </is>
      </c>
      <c r="J3973" t="inlineStr">
        <is>
          <t>Ventas HoReCa</t>
        </is>
      </c>
      <c r="K3973" t="inlineStr">
        <is>
          <t>CH1</t>
        </is>
      </c>
    </row>
    <row r="3974">
      <c r="A3974" s="33" t="n">
        <v>45993</v>
      </c>
      <c r="B3974" t="inlineStr">
        <is>
          <t>2025-12</t>
        </is>
      </c>
      <c r="C3974" t="inlineStr">
        <is>
          <t>Sin cliente</t>
        </is>
      </c>
      <c r="D3974" t="inlineStr">
        <is>
          <t>Petit Tradicional</t>
        </is>
      </c>
      <c r="E3974" s="34" t="n">
        <v>12900</v>
      </c>
      <c r="F3974" t="inlineStr">
        <is>
          <t>B</t>
        </is>
      </c>
      <c r="G3974" s="34" t="n">
        <v>2060</v>
      </c>
      <c r="H3974" s="34" t="n">
        <v>10840</v>
      </c>
      <c r="I3974" t="inlineStr">
        <is>
          <t>3.2</t>
        </is>
      </c>
      <c r="J3974" t="inlineStr">
        <is>
          <t>Ventas Personas (B2C)</t>
        </is>
      </c>
      <c r="K3974" t="inlineStr">
        <is>
          <t>CH2</t>
        </is>
      </c>
    </row>
    <row r="3975">
      <c r="A3975" s="33" t="n">
        <v>45993</v>
      </c>
      <c r="B3975" t="inlineStr">
        <is>
          <t>2025-12</t>
        </is>
      </c>
      <c r="C3975" t="inlineStr">
        <is>
          <t>Julieta Palma</t>
        </is>
      </c>
      <c r="D3975" t="inlineStr">
        <is>
          <t>Petit Crunchy</t>
        </is>
      </c>
      <c r="E3975" s="34" t="n">
        <v>44290</v>
      </c>
      <c r="F3975" t="inlineStr">
        <is>
          <t>B</t>
        </is>
      </c>
      <c r="G3975" s="34" t="n">
        <v>7072</v>
      </c>
      <c r="H3975" s="34" t="n">
        <v>37218</v>
      </c>
      <c r="I3975" t="inlineStr">
        <is>
          <t>3.2</t>
        </is>
      </c>
      <c r="J3975" t="inlineStr">
        <is>
          <t>Ventas Personas (B2C)</t>
        </is>
      </c>
      <c r="K3975" t="inlineStr">
        <is>
          <t>CH2</t>
        </is>
      </c>
    </row>
    <row r="3976">
      <c r="A3976" s="33" t="n">
        <v>45993</v>
      </c>
      <c r="B3976" t="inlineStr">
        <is>
          <t>2025-12</t>
        </is>
      </c>
      <c r="C3976" t="inlineStr">
        <is>
          <t>Sin cliente</t>
        </is>
      </c>
      <c r="D3976" t="inlineStr">
        <is>
          <t>CANELÉ TRADICIONAL</t>
        </is>
      </c>
      <c r="E3976" s="34" t="n">
        <v>5000</v>
      </c>
      <c r="F3976" t="inlineStr">
        <is>
          <t>B</t>
        </is>
      </c>
      <c r="G3976" s="34" t="n">
        <v>798</v>
      </c>
      <c r="H3976" s="34" t="n">
        <v>4202</v>
      </c>
      <c r="I3976" t="inlineStr">
        <is>
          <t>3.2</t>
        </is>
      </c>
      <c r="J3976" t="inlineStr">
        <is>
          <t>Ventas Personas (B2C)</t>
        </is>
      </c>
      <c r="K3976" t="inlineStr">
        <is>
          <t>CH2</t>
        </is>
      </c>
    </row>
    <row r="3977">
      <c r="A3977" s="33" t="n">
        <v>45993</v>
      </c>
      <c r="B3977" t="inlineStr">
        <is>
          <t>2025-12</t>
        </is>
      </c>
      <c r="C3977" t="inlineStr">
        <is>
          <t>PRISCILA OVIEDO</t>
        </is>
      </c>
      <c r="D3977" t="inlineStr">
        <is>
          <t>Petit Crunchy</t>
        </is>
      </c>
      <c r="E3977" s="34" t="n">
        <v>31390</v>
      </c>
      <c r="F3977" t="inlineStr">
        <is>
          <t>B</t>
        </is>
      </c>
      <c r="G3977" s="34" t="n">
        <v>5012</v>
      </c>
      <c r="H3977" s="34" t="n">
        <v>26378</v>
      </c>
      <c r="I3977" t="inlineStr">
        <is>
          <t>3.2</t>
        </is>
      </c>
      <c r="J3977" t="inlineStr">
        <is>
          <t>Ventas Personas (B2C)</t>
        </is>
      </c>
      <c r="K3977" t="inlineStr">
        <is>
          <t>CH2</t>
        </is>
      </c>
    </row>
    <row r="3978">
      <c r="A3978" s="33" t="n">
        <v>45993</v>
      </c>
      <c r="B3978" t="inlineStr">
        <is>
          <t>2025-12</t>
        </is>
      </c>
      <c r="C3978" t="inlineStr">
        <is>
          <t>Sin cliente</t>
        </is>
      </c>
      <c r="D3978" t="inlineStr">
        <is>
          <t>CANELÉ TRADICIONAL</t>
        </is>
      </c>
      <c r="E3978" s="34" t="n">
        <v>14900</v>
      </c>
      <c r="F3978" t="inlineStr">
        <is>
          <t>B</t>
        </is>
      </c>
      <c r="G3978" s="34" t="n">
        <v>2379</v>
      </c>
      <c r="H3978" s="34" t="n">
        <v>12521</v>
      </c>
      <c r="I3978" t="inlineStr">
        <is>
          <t>3.2</t>
        </is>
      </c>
      <c r="J3978" t="inlineStr">
        <is>
          <t>Ventas Personas (B2C)</t>
        </is>
      </c>
      <c r="K3978" t="inlineStr">
        <is>
          <t>CH2</t>
        </is>
      </c>
    </row>
    <row r="3979">
      <c r="A3979" s="33" t="n">
        <v>45994</v>
      </c>
      <c r="B3979" t="inlineStr">
        <is>
          <t>2025-12</t>
        </is>
      </c>
      <c r="C3979" t="inlineStr">
        <is>
          <t>VILAS BANQUETERIAS SPA</t>
        </is>
      </c>
      <c r="D3979" t="inlineStr">
        <is>
          <t>HORECA CATERING</t>
        </is>
      </c>
      <c r="E3979" s="34" t="n">
        <v>77707</v>
      </c>
      <c r="F3979" t="inlineStr">
        <is>
          <t>F</t>
        </is>
      </c>
      <c r="G3979" s="34" t="n">
        <v>12407</v>
      </c>
      <c r="H3979" s="34" t="n">
        <v>65300</v>
      </c>
      <c r="I3979" t="inlineStr">
        <is>
          <t>3.1</t>
        </is>
      </c>
      <c r="J3979" t="inlineStr">
        <is>
          <t>Ventas HoReCa</t>
        </is>
      </c>
      <c r="K3979" t="inlineStr">
        <is>
          <t>CH1</t>
        </is>
      </c>
    </row>
    <row r="3980">
      <c r="A3980" s="33" t="n">
        <v>45994</v>
      </c>
      <c r="B3980" t="inlineStr">
        <is>
          <t>2025-12</t>
        </is>
      </c>
      <c r="C3980" t="inlineStr">
        <is>
          <t>BLUE OAK COFFE SPA</t>
        </is>
      </c>
      <c r="D3980" t="inlineStr">
        <is>
          <t>HORECA CAFETERIA</t>
        </is>
      </c>
      <c r="E3980" s="34" t="n">
        <v>71210</v>
      </c>
      <c r="F3980" t="inlineStr">
        <is>
          <t>F</t>
        </is>
      </c>
      <c r="G3980" s="34" t="n">
        <v>11370</v>
      </c>
      <c r="H3980" s="34" t="n">
        <v>59840</v>
      </c>
      <c r="I3980" t="inlineStr">
        <is>
          <t>3.1</t>
        </is>
      </c>
      <c r="J3980" t="inlineStr">
        <is>
          <t>Ventas HoReCa</t>
        </is>
      </c>
      <c r="K3980" t="inlineStr">
        <is>
          <t>CH1</t>
        </is>
      </c>
    </row>
    <row r="3981">
      <c r="A3981" s="33" t="n">
        <v>45994</v>
      </c>
      <c r="B3981" t="inlineStr">
        <is>
          <t>2025-12</t>
        </is>
      </c>
      <c r="C3981" t="inlineStr">
        <is>
          <t>BLUE OAK COFFE SPA</t>
        </is>
      </c>
      <c r="D3981" t="inlineStr">
        <is>
          <t>HORECA CAFETERIA</t>
        </is>
      </c>
      <c r="E3981" s="34" t="n">
        <v>168504</v>
      </c>
      <c r="F3981" t="inlineStr">
        <is>
          <t>F</t>
        </is>
      </c>
      <c r="G3981" s="34" t="n">
        <v>26904</v>
      </c>
      <c r="H3981" s="34" t="n">
        <v>141600</v>
      </c>
      <c r="I3981" t="inlineStr">
        <is>
          <t>3.1</t>
        </is>
      </c>
      <c r="J3981" t="inlineStr">
        <is>
          <t>Ventas HoReCa</t>
        </is>
      </c>
      <c r="K3981" t="inlineStr">
        <is>
          <t>CH1</t>
        </is>
      </c>
    </row>
    <row r="3982">
      <c r="A3982" s="33" t="n">
        <v>45994</v>
      </c>
      <c r="B3982" t="inlineStr">
        <is>
          <t>2025-12</t>
        </is>
      </c>
      <c r="C3982" t="inlineStr">
        <is>
          <t>CAFETERÍAS MISTER SPA</t>
        </is>
      </c>
      <c r="D3982" t="inlineStr">
        <is>
          <t>HORECA CAFETERIA</t>
        </is>
      </c>
      <c r="E3982" s="34" t="n">
        <v>39115</v>
      </c>
      <c r="F3982" t="inlineStr">
        <is>
          <t>F</t>
        </is>
      </c>
      <c r="G3982" s="34" t="n">
        <v>6245</v>
      </c>
      <c r="H3982" s="34" t="n">
        <v>32870</v>
      </c>
      <c r="I3982" t="inlineStr">
        <is>
          <t>3.1</t>
        </is>
      </c>
      <c r="J3982" t="inlineStr">
        <is>
          <t>Ventas HoReCa</t>
        </is>
      </c>
      <c r="K3982" t="inlineStr">
        <is>
          <t>CH1</t>
        </is>
      </c>
    </row>
    <row r="3983">
      <c r="A3983" s="33" t="n">
        <v>45994</v>
      </c>
      <c r="B3983" t="inlineStr">
        <is>
          <t>2025-12</t>
        </is>
      </c>
      <c r="C3983" t="inlineStr">
        <is>
          <t>BLUE OAK COFFE SPA</t>
        </is>
      </c>
      <c r="D3983" t="inlineStr">
        <is>
          <t>HORECA CAFETERIA</t>
        </is>
      </c>
      <c r="E3983" s="34" t="n">
        <v>103304</v>
      </c>
      <c r="F3983" t="inlineStr">
        <is>
          <t>F</t>
        </is>
      </c>
      <c r="G3983" s="34" t="n">
        <v>16494</v>
      </c>
      <c r="H3983" s="34" t="n">
        <v>86810</v>
      </c>
      <c r="I3983" t="inlineStr">
        <is>
          <t>3.1</t>
        </is>
      </c>
      <c r="J3983" t="inlineStr">
        <is>
          <t>Ventas HoReCa</t>
        </is>
      </c>
      <c r="K3983" t="inlineStr">
        <is>
          <t>CH1</t>
        </is>
      </c>
    </row>
    <row r="3984">
      <c r="A3984" s="33" t="n">
        <v>45994</v>
      </c>
      <c r="B3984" t="inlineStr">
        <is>
          <t>2025-12</t>
        </is>
      </c>
      <c r="C3984" t="inlineStr">
        <is>
          <t>Nicole Nuñez</t>
        </is>
      </c>
      <c r="D3984" t="inlineStr">
        <is>
          <t>Petit Crunchy</t>
        </is>
      </c>
      <c r="E3984" s="34" t="n">
        <v>40390</v>
      </c>
      <c r="F3984" t="inlineStr">
        <is>
          <t>B</t>
        </is>
      </c>
      <c r="G3984" s="34" t="n">
        <v>6449</v>
      </c>
      <c r="H3984" s="34" t="n">
        <v>33941</v>
      </c>
      <c r="I3984" t="inlineStr">
        <is>
          <t>3.2</t>
        </is>
      </c>
      <c r="J3984" t="inlineStr">
        <is>
          <t>Ventas Personas (B2C)</t>
        </is>
      </c>
      <c r="K3984" t="inlineStr">
        <is>
          <t>CH2</t>
        </is>
      </c>
    </row>
    <row r="3985">
      <c r="A3985" s="33" t="n">
        <v>45994</v>
      </c>
      <c r="B3985" t="inlineStr">
        <is>
          <t>2025-12</t>
        </is>
      </c>
      <c r="C3985" t="inlineStr">
        <is>
          <t>Liliana Bustamante Muñoz</t>
        </is>
      </c>
      <c r="D3985" t="inlineStr">
        <is>
          <t>Rellenos</t>
        </is>
      </c>
      <c r="E3985" s="34" t="n">
        <v>13490</v>
      </c>
      <c r="F3985" t="inlineStr">
        <is>
          <t>B</t>
        </is>
      </c>
      <c r="G3985" s="34" t="n">
        <v>2154</v>
      </c>
      <c r="H3985" s="34" t="n">
        <v>11336</v>
      </c>
      <c r="I3985" t="inlineStr">
        <is>
          <t>3.2</t>
        </is>
      </c>
      <c r="J3985" t="inlineStr">
        <is>
          <t>Ventas Personas (B2C)</t>
        </is>
      </c>
      <c r="K3985" t="inlineStr">
        <is>
          <t>CH2</t>
        </is>
      </c>
    </row>
    <row r="3986">
      <c r="A3986" s="33" t="n">
        <v>45994</v>
      </c>
      <c r="B3986" t="inlineStr">
        <is>
          <t>2025-12</t>
        </is>
      </c>
      <c r="C3986" t="inlineStr">
        <is>
          <t>silvia Carmona</t>
        </is>
      </c>
      <c r="D3986" t="inlineStr">
        <is>
          <t>CANELE SIN AZUCAR</t>
        </is>
      </c>
      <c r="E3986" s="34" t="n">
        <v>28790</v>
      </c>
      <c r="F3986" t="inlineStr">
        <is>
          <t>B</t>
        </is>
      </c>
      <c r="G3986" s="34" t="n">
        <v>4597</v>
      </c>
      <c r="H3986" s="34" t="n">
        <v>24193</v>
      </c>
      <c r="I3986" t="inlineStr">
        <is>
          <t>3.2</t>
        </is>
      </c>
      <c r="J3986" t="inlineStr">
        <is>
          <t>Ventas Personas (B2C)</t>
        </is>
      </c>
      <c r="K3986" t="inlineStr">
        <is>
          <t>CH2</t>
        </is>
      </c>
    </row>
    <row r="3987">
      <c r="A3987" s="33" t="n">
        <v>45994</v>
      </c>
      <c r="B3987" t="inlineStr">
        <is>
          <t>2025-12</t>
        </is>
      </c>
      <c r="C3987" t="inlineStr">
        <is>
          <t>Carola Meyer</t>
        </is>
      </c>
      <c r="D3987" t="inlineStr">
        <is>
          <t>Petit Tradicional</t>
        </is>
      </c>
      <c r="E3987" s="34" t="n">
        <v>25390</v>
      </c>
      <c r="F3987" t="inlineStr">
        <is>
          <t>B</t>
        </is>
      </c>
      <c r="G3987" s="34" t="n">
        <v>4054</v>
      </c>
      <c r="H3987" s="34" t="n">
        <v>21336</v>
      </c>
      <c r="I3987" t="inlineStr">
        <is>
          <t>3.2</t>
        </is>
      </c>
      <c r="J3987" t="inlineStr">
        <is>
          <t>Ventas Personas (B2C)</t>
        </is>
      </c>
      <c r="K3987" t="inlineStr">
        <is>
          <t>CH2</t>
        </is>
      </c>
    </row>
    <row r="3988">
      <c r="A3988" s="33" t="n">
        <v>45994</v>
      </c>
      <c r="B3988" t="inlineStr">
        <is>
          <t>2025-12</t>
        </is>
      </c>
      <c r="C3988" t="inlineStr">
        <is>
          <t>NACIÓN CAFÉ SPA</t>
        </is>
      </c>
      <c r="D3988" t="inlineStr">
        <is>
          <t>HORECA CAFETERIA</t>
        </is>
      </c>
      <c r="E3988" s="34" t="n">
        <v>73494</v>
      </c>
      <c r="F3988" t="inlineStr">
        <is>
          <t>F</t>
        </is>
      </c>
      <c r="G3988" s="34" t="n">
        <v>11734</v>
      </c>
      <c r="H3988" s="34" t="n">
        <v>61760</v>
      </c>
      <c r="I3988" t="inlineStr">
        <is>
          <t>3.1</t>
        </is>
      </c>
      <c r="J3988" t="inlineStr">
        <is>
          <t>Ventas HoReCa</t>
        </is>
      </c>
      <c r="K3988" t="inlineStr">
        <is>
          <t>CH1</t>
        </is>
      </c>
    </row>
    <row r="3989">
      <c r="A3989" s="33" t="n">
        <v>45994</v>
      </c>
      <c r="B3989" t="inlineStr">
        <is>
          <t>2025-12</t>
        </is>
      </c>
      <c r="C3989" t="inlineStr">
        <is>
          <t>Camila Valladares</t>
        </is>
      </c>
      <c r="D3989" t="inlineStr">
        <is>
          <t>Petit Tradicional</t>
        </is>
      </c>
      <c r="E3989" s="34" t="n">
        <v>27810</v>
      </c>
      <c r="F3989" t="inlineStr">
        <is>
          <t>B</t>
        </is>
      </c>
      <c r="G3989" s="34" t="n">
        <v>4440</v>
      </c>
      <c r="H3989" s="34" t="n">
        <v>23370</v>
      </c>
      <c r="I3989" t="inlineStr">
        <is>
          <t>3.2</t>
        </is>
      </c>
      <c r="J3989" t="inlineStr">
        <is>
          <t>Ventas Personas (B2C)</t>
        </is>
      </c>
      <c r="K3989" t="inlineStr">
        <is>
          <t>CH2</t>
        </is>
      </c>
    </row>
    <row r="3990">
      <c r="A3990" s="33" t="n">
        <v>45994</v>
      </c>
      <c r="B3990" t="inlineStr">
        <is>
          <t>2025-12</t>
        </is>
      </c>
      <c r="C3990" t="inlineStr">
        <is>
          <t>Sin cliente</t>
        </is>
      </c>
      <c r="D3990" t="inlineStr">
        <is>
          <t>Rellenos</t>
        </is>
      </c>
      <c r="E3990" s="34" t="n">
        <v>42700</v>
      </c>
      <c r="F3990" t="inlineStr">
        <is>
          <t>B</t>
        </is>
      </c>
      <c r="G3990" s="34" t="n">
        <v>6818</v>
      </c>
      <c r="H3990" s="34" t="n">
        <v>35882</v>
      </c>
      <c r="I3990" t="inlineStr">
        <is>
          <t>3.2</t>
        </is>
      </c>
      <c r="J3990" t="inlineStr">
        <is>
          <t>Ventas Personas (B2C)</t>
        </is>
      </c>
      <c r="K3990" t="inlineStr">
        <is>
          <t>CH2</t>
        </is>
      </c>
    </row>
    <row r="3991">
      <c r="A3991" s="33" t="n">
        <v>45994</v>
      </c>
      <c r="B3991" t="inlineStr">
        <is>
          <t>2025-12</t>
        </is>
      </c>
      <c r="C3991" t="inlineStr">
        <is>
          <t>María Fernanda Guzmán Gatica</t>
        </is>
      </c>
      <c r="D3991" t="inlineStr">
        <is>
          <t>Petit Crunchy</t>
        </is>
      </c>
      <c r="E3991" s="34" t="n">
        <v>74290</v>
      </c>
      <c r="F3991" t="inlineStr">
        <is>
          <t>B</t>
        </is>
      </c>
      <c r="G3991" s="34" t="n">
        <v>11861</v>
      </c>
      <c r="H3991" s="34" t="n">
        <v>62429</v>
      </c>
      <c r="I3991" t="inlineStr">
        <is>
          <t>3.2</t>
        </is>
      </c>
      <c r="J3991" t="inlineStr">
        <is>
          <t>Ventas Personas (B2C)</t>
        </is>
      </c>
      <c r="K3991" t="inlineStr">
        <is>
          <t>CH2</t>
        </is>
      </c>
    </row>
    <row r="3992">
      <c r="A3992" s="33" t="n">
        <v>45994</v>
      </c>
      <c r="B3992" t="inlineStr">
        <is>
          <t>2025-12</t>
        </is>
      </c>
      <c r="C3992" t="inlineStr">
        <is>
          <t>Victor Villarroel Muñoz</t>
        </is>
      </c>
      <c r="D3992" t="inlineStr">
        <is>
          <t>Rellenos</t>
        </is>
      </c>
      <c r="E3992" s="34" t="n">
        <v>17990</v>
      </c>
      <c r="F3992" t="inlineStr">
        <is>
          <t>B</t>
        </is>
      </c>
      <c r="G3992" s="34" t="n">
        <v>2872</v>
      </c>
      <c r="H3992" s="34" t="n">
        <v>15118</v>
      </c>
      <c r="I3992" t="inlineStr">
        <is>
          <t>3.2</t>
        </is>
      </c>
      <c r="J3992" t="inlineStr">
        <is>
          <t>Ventas Personas (B2C)</t>
        </is>
      </c>
      <c r="K3992" t="inlineStr">
        <is>
          <t>CH2</t>
        </is>
      </c>
    </row>
    <row r="3993">
      <c r="A3993" s="33" t="n">
        <v>45995</v>
      </c>
      <c r="B3993" t="inlineStr">
        <is>
          <t>2025-12</t>
        </is>
      </c>
      <c r="C3993" t="inlineStr">
        <is>
          <t>CAFE DIARIO ENCOMENDEROS SPA</t>
        </is>
      </c>
      <c r="D3993" t="inlineStr">
        <is>
          <t>HORECA CAFETERIA</t>
        </is>
      </c>
      <c r="E3993" s="34" t="n">
        <v>71995</v>
      </c>
      <c r="F3993" t="inlineStr">
        <is>
          <t>F</t>
        </is>
      </c>
      <c r="G3993" s="34" t="n">
        <v>11495</v>
      </c>
      <c r="H3993" s="34" t="n">
        <v>60500</v>
      </c>
      <c r="I3993" t="inlineStr">
        <is>
          <t>3.1</t>
        </is>
      </c>
      <c r="J3993" t="inlineStr">
        <is>
          <t>Ventas HoReCa</t>
        </is>
      </c>
      <c r="K3993" t="inlineStr">
        <is>
          <t>CH1</t>
        </is>
      </c>
    </row>
    <row r="3994">
      <c r="A3994" s="33" t="n">
        <v>45995</v>
      </c>
      <c r="B3994" t="inlineStr">
        <is>
          <t>2025-12</t>
        </is>
      </c>
      <c r="C3994" t="inlineStr">
        <is>
          <t>Better Food Spa</t>
        </is>
      </c>
      <c r="D3994" t="inlineStr">
        <is>
          <t>HORECA CAFETERIA</t>
        </is>
      </c>
      <c r="E3994" s="34" t="n">
        <v>449320</v>
      </c>
      <c r="F3994" t="inlineStr">
        <is>
          <t>F</t>
        </is>
      </c>
      <c r="G3994" s="34" t="n">
        <v>71740</v>
      </c>
      <c r="H3994" s="34" t="n">
        <v>377580</v>
      </c>
      <c r="I3994" t="inlineStr">
        <is>
          <t>3.1</t>
        </is>
      </c>
      <c r="J3994" t="inlineStr">
        <is>
          <t>Ventas HoReCa</t>
        </is>
      </c>
      <c r="K3994" t="inlineStr">
        <is>
          <t>CH1</t>
        </is>
      </c>
    </row>
    <row r="3995">
      <c r="A3995" s="33" t="n">
        <v>45995</v>
      </c>
      <c r="B3995" t="inlineStr">
        <is>
          <t>2025-12</t>
        </is>
      </c>
      <c r="C3995" t="inlineStr">
        <is>
          <t>Better Food Spa</t>
        </is>
      </c>
      <c r="D3995" t="inlineStr">
        <is>
          <t>REGION METROPOLITANA</t>
        </is>
      </c>
      <c r="E3995" s="34" t="n">
        <v>9401</v>
      </c>
      <c r="F3995" t="inlineStr">
        <is>
          <t>F</t>
        </is>
      </c>
      <c r="G3995" s="34" t="n">
        <v>1501</v>
      </c>
      <c r="H3995" s="34" t="n">
        <v>7900</v>
      </c>
      <c r="I3995" t="inlineStr">
        <is>
          <t>3.1</t>
        </is>
      </c>
      <c r="J3995" t="inlineStr">
        <is>
          <t>Ventas HoReCa</t>
        </is>
      </c>
      <c r="K3995" t="inlineStr">
        <is>
          <t>CH1</t>
        </is>
      </c>
    </row>
    <row r="3996">
      <c r="A3996" s="33" t="n">
        <v>45995</v>
      </c>
      <c r="B3996" t="inlineStr">
        <is>
          <t>2025-12</t>
        </is>
      </c>
      <c r="C3996" t="inlineStr">
        <is>
          <t>TAVELLI S.A.</t>
        </is>
      </c>
      <c r="D3996" t="inlineStr">
        <is>
          <t>HORECA CAFETERIA</t>
        </is>
      </c>
      <c r="E3996" s="34" t="n">
        <v>818405</v>
      </c>
      <c r="F3996" t="inlineStr">
        <is>
          <t>F</t>
        </is>
      </c>
      <c r="G3996" s="34" t="n">
        <v>130670</v>
      </c>
      <c r="H3996" s="34" t="n">
        <v>687735</v>
      </c>
      <c r="I3996" t="inlineStr">
        <is>
          <t>3.1</t>
        </is>
      </c>
      <c r="J3996" t="inlineStr">
        <is>
          <t>Ventas HoReCa</t>
        </is>
      </c>
      <c r="K3996" t="inlineStr">
        <is>
          <t>CH1</t>
        </is>
      </c>
    </row>
    <row r="3997">
      <c r="A3997" s="33" t="n">
        <v>45995</v>
      </c>
      <c r="B3997" t="inlineStr">
        <is>
          <t>2025-12</t>
        </is>
      </c>
      <c r="C3997" t="inlineStr">
        <is>
          <t>TAVELLI S.A.</t>
        </is>
      </c>
      <c r="D3997" t="inlineStr">
        <is>
          <t>REGION METROPOLITANA</t>
        </is>
      </c>
      <c r="E3997" s="34" t="n">
        <v>35700</v>
      </c>
      <c r="F3997" t="inlineStr">
        <is>
          <t>F</t>
        </is>
      </c>
      <c r="G3997" s="34" t="n">
        <v>5700</v>
      </c>
      <c r="H3997" s="34" t="n">
        <v>30000</v>
      </c>
      <c r="I3997" t="inlineStr">
        <is>
          <t>3.1</t>
        </is>
      </c>
      <c r="J3997" t="inlineStr">
        <is>
          <t>Ventas HoReCa</t>
        </is>
      </c>
      <c r="K3997" t="inlineStr">
        <is>
          <t>CH1</t>
        </is>
      </c>
    </row>
    <row r="3998">
      <c r="A3998" s="33" t="n">
        <v>45995</v>
      </c>
      <c r="B3998" t="inlineStr">
        <is>
          <t>2025-12</t>
        </is>
      </c>
      <c r="C3998" t="inlineStr">
        <is>
          <t>GALO SPA</t>
        </is>
      </c>
      <c r="D3998" t="inlineStr">
        <is>
          <t>HORECA CAFETERIA</t>
        </is>
      </c>
      <c r="E3998" s="34" t="n">
        <v>238595</v>
      </c>
      <c r="F3998" t="inlineStr">
        <is>
          <t>F</t>
        </is>
      </c>
      <c r="G3998" s="34" t="n">
        <v>38095</v>
      </c>
      <c r="H3998" s="34" t="n">
        <v>200500</v>
      </c>
      <c r="I3998" t="inlineStr">
        <is>
          <t>3.1</t>
        </is>
      </c>
      <c r="J3998" t="inlineStr">
        <is>
          <t>Ventas HoReCa</t>
        </is>
      </c>
      <c r="K3998" t="inlineStr">
        <is>
          <t>CH1</t>
        </is>
      </c>
    </row>
    <row r="3999">
      <c r="A3999" s="33" t="n">
        <v>45995</v>
      </c>
      <c r="B3999" t="inlineStr">
        <is>
          <t>2025-12</t>
        </is>
      </c>
      <c r="C3999" t="inlineStr">
        <is>
          <t>Francisca Larco</t>
        </is>
      </c>
      <c r="D3999" t="inlineStr">
        <is>
          <t>SALSAS</t>
        </is>
      </c>
      <c r="E3999" s="34" t="n">
        <v>57122</v>
      </c>
      <c r="F3999" t="inlineStr">
        <is>
          <t>B</t>
        </is>
      </c>
      <c r="G3999" s="34" t="n">
        <v>9120</v>
      </c>
      <c r="H3999" s="34" t="n">
        <v>48002</v>
      </c>
      <c r="I3999" t="inlineStr">
        <is>
          <t>3.2</t>
        </is>
      </c>
      <c r="J3999" t="inlineStr">
        <is>
          <t>Ventas Personas (B2C)</t>
        </is>
      </c>
      <c r="K3999" t="inlineStr">
        <is>
          <t>CH2</t>
        </is>
      </c>
    </row>
    <row r="4000">
      <c r="A4000" s="33" t="n">
        <v>45995</v>
      </c>
      <c r="B4000" t="inlineStr">
        <is>
          <t>2025-12</t>
        </is>
      </c>
      <c r="C4000" t="inlineStr">
        <is>
          <t>Loreto Olate</t>
        </is>
      </c>
      <c r="D4000" t="inlineStr">
        <is>
          <t>Petit Crunchy</t>
        </is>
      </c>
      <c r="E4000" s="34" t="n">
        <v>45190</v>
      </c>
      <c r="F4000" t="inlineStr">
        <is>
          <t>B</t>
        </is>
      </c>
      <c r="G4000" s="34" t="n">
        <v>7215</v>
      </c>
      <c r="H4000" s="34" t="n">
        <v>37975</v>
      </c>
      <c r="I4000" t="inlineStr">
        <is>
          <t>3.2</t>
        </is>
      </c>
      <c r="J4000" t="inlineStr">
        <is>
          <t>Ventas Personas (B2C)</t>
        </is>
      </c>
      <c r="K4000" t="inlineStr">
        <is>
          <t>CH2</t>
        </is>
      </c>
    </row>
    <row r="4001">
      <c r="A4001" s="33" t="n">
        <v>45995</v>
      </c>
      <c r="B4001" t="inlineStr">
        <is>
          <t>2025-12</t>
        </is>
      </c>
      <c r="C4001" t="inlineStr">
        <is>
          <t>Gabriela Correa</t>
        </is>
      </c>
      <c r="D4001" t="inlineStr">
        <is>
          <t>Petit Tradicional</t>
        </is>
      </c>
      <c r="E4001" s="34" t="n">
        <v>30900</v>
      </c>
      <c r="F4001" t="inlineStr">
        <is>
          <t>B</t>
        </is>
      </c>
      <c r="G4001" s="34" t="n">
        <v>4934</v>
      </c>
      <c r="H4001" s="34" t="n">
        <v>25966</v>
      </c>
      <c r="I4001" t="inlineStr">
        <is>
          <t>3.2</t>
        </is>
      </c>
      <c r="J4001" t="inlineStr">
        <is>
          <t>Ventas Personas (B2C)</t>
        </is>
      </c>
      <c r="K4001" t="inlineStr">
        <is>
          <t>CH2</t>
        </is>
      </c>
    </row>
    <row r="4002">
      <c r="A4002" s="33" t="n">
        <v>45995</v>
      </c>
      <c r="B4002" t="inlineStr">
        <is>
          <t>2025-12</t>
        </is>
      </c>
      <c r="C4002" t="inlineStr">
        <is>
          <t xml:space="preserve">Reposteria Maria Ignacia Grez EIRL </t>
        </is>
      </c>
      <c r="D4002" t="inlineStr">
        <is>
          <t>Edición Navidad</t>
        </is>
      </c>
      <c r="E4002" s="34" t="n">
        <v>24290</v>
      </c>
      <c r="F4002" t="inlineStr">
        <is>
          <t>B</t>
        </is>
      </c>
      <c r="G4002" s="34" t="n">
        <v>3878</v>
      </c>
      <c r="H4002" s="34" t="n">
        <v>20412</v>
      </c>
      <c r="I4002" t="inlineStr">
        <is>
          <t>3.2</t>
        </is>
      </c>
      <c r="J4002" t="inlineStr">
        <is>
          <t>Ventas Personas (B2C)</t>
        </is>
      </c>
      <c r="K4002" t="inlineStr">
        <is>
          <t>CH2</t>
        </is>
      </c>
    </row>
    <row r="4003">
      <c r="A4003" s="33" t="n">
        <v>45995</v>
      </c>
      <c r="B4003" t="inlineStr">
        <is>
          <t>2025-12</t>
        </is>
      </c>
      <c r="C4003" t="inlineStr">
        <is>
          <t xml:space="preserve">Reposteria Maria Ignacia Grez EIRL </t>
        </is>
      </c>
      <c r="D4003" t="inlineStr">
        <is>
          <t>Edición Navidad</t>
        </is>
      </c>
      <c r="E4003" s="34" t="n">
        <v>-24290</v>
      </c>
      <c r="F4003" t="inlineStr">
        <is>
          <t>NC</t>
        </is>
      </c>
      <c r="G4003" s="34" t="n">
        <v>-3878</v>
      </c>
      <c r="H4003" s="34" t="n">
        <v>-20412</v>
      </c>
      <c r="I4003" t="inlineStr">
        <is>
          <t>3.2</t>
        </is>
      </c>
      <c r="J4003" t="inlineStr">
        <is>
          <t>Ventas Personas (B2C)</t>
        </is>
      </c>
      <c r="K4003" t="inlineStr">
        <is>
          <t>CH2</t>
        </is>
      </c>
    </row>
    <row r="4004">
      <c r="A4004" s="33" t="n">
        <v>45995</v>
      </c>
      <c r="B4004" t="inlineStr">
        <is>
          <t>2025-12</t>
        </is>
      </c>
      <c r="C4004" t="inlineStr">
        <is>
          <t>Sin cliente</t>
        </is>
      </c>
      <c r="D4004" t="inlineStr">
        <is>
          <t>Petit Crunchy</t>
        </is>
      </c>
      <c r="E4004" s="34" t="n">
        <v>18900</v>
      </c>
      <c r="F4004" t="inlineStr">
        <is>
          <t>B</t>
        </is>
      </c>
      <c r="G4004" s="34" t="n">
        <v>3018</v>
      </c>
      <c r="H4004" s="34" t="n">
        <v>15882</v>
      </c>
      <c r="I4004" t="inlineStr">
        <is>
          <t>3.2</t>
        </is>
      </c>
      <c r="J4004" t="inlineStr">
        <is>
          <t>Ventas Personas (B2C)</t>
        </is>
      </c>
      <c r="K4004" t="inlineStr">
        <is>
          <t>CH2</t>
        </is>
      </c>
    </row>
    <row r="4005">
      <c r="A4005" s="33" t="n">
        <v>45995</v>
      </c>
      <c r="B4005" t="inlineStr">
        <is>
          <t>2025-12</t>
        </is>
      </c>
      <c r="C4005" t="inlineStr">
        <is>
          <t>Sin cliente</t>
        </is>
      </c>
      <c r="D4005" t="inlineStr">
        <is>
          <t>Petit Tradicional</t>
        </is>
      </c>
      <c r="E4005" s="34" t="n">
        <v>12900</v>
      </c>
      <c r="F4005" t="inlineStr">
        <is>
          <t>B</t>
        </is>
      </c>
      <c r="G4005" s="34" t="n">
        <v>2060</v>
      </c>
      <c r="H4005" s="34" t="n">
        <v>10840</v>
      </c>
      <c r="I4005" t="inlineStr">
        <is>
          <t>3.2</t>
        </is>
      </c>
      <c r="J4005" t="inlineStr">
        <is>
          <t>Ventas Personas (B2C)</t>
        </is>
      </c>
      <c r="K4005" t="inlineStr">
        <is>
          <t>CH2</t>
        </is>
      </c>
    </row>
    <row r="4006">
      <c r="A4006" s="33" t="n">
        <v>45995</v>
      </c>
      <c r="B4006" t="inlineStr">
        <is>
          <t>2025-12</t>
        </is>
      </c>
      <c r="C4006" t="inlineStr">
        <is>
          <t>Elisa Diaz Carniglia</t>
        </is>
      </c>
      <c r="D4006" t="inlineStr">
        <is>
          <t>Petit Tradicional</t>
        </is>
      </c>
      <c r="E4006" s="34" t="n">
        <v>25390</v>
      </c>
      <c r="F4006" t="inlineStr">
        <is>
          <t>B</t>
        </is>
      </c>
      <c r="G4006" s="34" t="n">
        <v>4054</v>
      </c>
      <c r="H4006" s="34" t="n">
        <v>21336</v>
      </c>
      <c r="I4006" t="inlineStr">
        <is>
          <t>3.2</t>
        </is>
      </c>
      <c r="J4006" t="inlineStr">
        <is>
          <t>Ventas Personas (B2C)</t>
        </is>
      </c>
      <c r="K4006" t="inlineStr">
        <is>
          <t>CH2</t>
        </is>
      </c>
    </row>
    <row r="4007">
      <c r="A4007" s="33" t="n">
        <v>45995</v>
      </c>
      <c r="B4007" t="inlineStr">
        <is>
          <t>2025-12</t>
        </is>
      </c>
      <c r="C4007" t="inlineStr">
        <is>
          <t>Sin cliente</t>
        </is>
      </c>
      <c r="D4007" t="inlineStr">
        <is>
          <t>CANELÉ TRADICIONAL</t>
        </is>
      </c>
      <c r="E4007" s="34" t="n">
        <v>14900</v>
      </c>
      <c r="F4007" t="inlineStr">
        <is>
          <t>B</t>
        </is>
      </c>
      <c r="G4007" s="34" t="n">
        <v>2379</v>
      </c>
      <c r="H4007" s="34" t="n">
        <v>12521</v>
      </c>
      <c r="I4007" t="inlineStr">
        <is>
          <t>3.2</t>
        </is>
      </c>
      <c r="J4007" t="inlineStr">
        <is>
          <t>Ventas Personas (B2C)</t>
        </is>
      </c>
      <c r="K4007" t="inlineStr">
        <is>
          <t>CH2</t>
        </is>
      </c>
    </row>
    <row r="4008">
      <c r="A4008" s="33" t="n">
        <v>45996</v>
      </c>
      <c r="B4008" t="inlineStr">
        <is>
          <t>2025-12</t>
        </is>
      </c>
      <c r="C4008" t="inlineStr">
        <is>
          <t>PRODUCTORA DE EVENTOS AGDV SPA</t>
        </is>
      </c>
      <c r="D4008" t="inlineStr">
        <is>
          <t>HORECA CATERING</t>
        </is>
      </c>
      <c r="E4008" s="34" t="n">
        <v>127330</v>
      </c>
      <c r="F4008" t="inlineStr">
        <is>
          <t>F</t>
        </is>
      </c>
      <c r="G4008" s="34" t="n">
        <v>20330</v>
      </c>
      <c r="H4008" s="34" t="n">
        <v>107000</v>
      </c>
      <c r="I4008" t="inlineStr">
        <is>
          <t>3.1</t>
        </is>
      </c>
      <c r="J4008" t="inlineStr">
        <is>
          <t>Ventas HoReCa</t>
        </is>
      </c>
      <c r="K4008" t="inlineStr">
        <is>
          <t>CH1</t>
        </is>
      </c>
    </row>
    <row r="4009">
      <c r="A4009" s="33" t="n">
        <v>45996</v>
      </c>
      <c r="B4009" t="inlineStr">
        <is>
          <t>2025-12</t>
        </is>
      </c>
      <c r="C4009" t="inlineStr">
        <is>
          <t>Clark Veloso Valenzuela</t>
        </is>
      </c>
      <c r="D4009" t="inlineStr">
        <is>
          <t>HORECA CAFETERIA</t>
        </is>
      </c>
      <c r="E4009" s="34" t="n">
        <v>103304</v>
      </c>
      <c r="F4009" t="inlineStr">
        <is>
          <t>F</t>
        </is>
      </c>
      <c r="G4009" s="34" t="n">
        <v>16494</v>
      </c>
      <c r="H4009" s="34" t="n">
        <v>86810</v>
      </c>
      <c r="I4009" t="inlineStr">
        <is>
          <t>3.1</t>
        </is>
      </c>
      <c r="J4009" t="inlineStr">
        <is>
          <t>Ventas HoReCa</t>
        </is>
      </c>
      <c r="K4009" t="inlineStr">
        <is>
          <t>CH1</t>
        </is>
      </c>
    </row>
    <row r="4010">
      <c r="A4010" s="33" t="n">
        <v>45996</v>
      </c>
      <c r="B4010" t="inlineStr">
        <is>
          <t>2025-12</t>
        </is>
      </c>
      <c r="C4010" t="inlineStr">
        <is>
          <t>DIEGO VARGAS BANQUETERIA Y EVENTOS SPA</t>
        </is>
      </c>
      <c r="D4010" t="inlineStr">
        <is>
          <t>HORECA CATERING</t>
        </is>
      </c>
      <c r="E4010" s="34" t="n">
        <v>221459</v>
      </c>
      <c r="F4010" t="inlineStr">
        <is>
          <t>F</t>
        </is>
      </c>
      <c r="G4010" s="34" t="n">
        <v>35359</v>
      </c>
      <c r="H4010" s="34" t="n">
        <v>186100</v>
      </c>
      <c r="I4010" t="inlineStr">
        <is>
          <t>3.1</t>
        </is>
      </c>
      <c r="J4010" t="inlineStr">
        <is>
          <t>Ventas HoReCa</t>
        </is>
      </c>
      <c r="K4010" t="inlineStr">
        <is>
          <t>CH1</t>
        </is>
      </c>
    </row>
    <row r="4011">
      <c r="A4011" s="33" t="n">
        <v>45996</v>
      </c>
      <c r="B4011" t="inlineStr">
        <is>
          <t>2025-12</t>
        </is>
      </c>
      <c r="C4011" t="inlineStr">
        <is>
          <t>Okinawa Spa</t>
        </is>
      </c>
      <c r="D4011" t="inlineStr">
        <is>
          <t>HORECA CAFETERIA</t>
        </is>
      </c>
      <c r="E4011" s="34" t="n">
        <v>103304</v>
      </c>
      <c r="F4011" t="inlineStr">
        <is>
          <t>F</t>
        </is>
      </c>
      <c r="G4011" s="34" t="n">
        <v>16494</v>
      </c>
      <c r="H4011" s="34" t="n">
        <v>86810</v>
      </c>
      <c r="I4011" t="inlineStr">
        <is>
          <t>3.1</t>
        </is>
      </c>
      <c r="J4011" t="inlineStr">
        <is>
          <t>Ventas HoReCa</t>
        </is>
      </c>
      <c r="K4011" t="inlineStr">
        <is>
          <t>CH1</t>
        </is>
      </c>
    </row>
    <row r="4012">
      <c r="A4012" s="33" t="n">
        <v>45996</v>
      </c>
      <c r="B4012" t="inlineStr">
        <is>
          <t>2025-12</t>
        </is>
      </c>
      <c r="C4012" t="inlineStr">
        <is>
          <t>BLUE OAK COFFE SPA</t>
        </is>
      </c>
      <c r="D4012" t="inlineStr">
        <is>
          <t>HORECA CAFETERIA</t>
        </is>
      </c>
      <c r="E4012" s="34" t="n">
        <v>55668</v>
      </c>
      <c r="F4012" t="inlineStr">
        <is>
          <t>F</t>
        </is>
      </c>
      <c r="G4012" s="34" t="n">
        <v>8888</v>
      </c>
      <c r="H4012" s="34" t="n">
        <v>46780</v>
      </c>
      <c r="I4012" t="inlineStr">
        <is>
          <t>3.1</t>
        </is>
      </c>
      <c r="J4012" t="inlineStr">
        <is>
          <t>Ventas HoReCa</t>
        </is>
      </c>
      <c r="K4012" t="inlineStr">
        <is>
          <t>CH1</t>
        </is>
      </c>
    </row>
    <row r="4013">
      <c r="A4013" s="33" t="n">
        <v>45996</v>
      </c>
      <c r="B4013" t="inlineStr">
        <is>
          <t>2025-12</t>
        </is>
      </c>
      <c r="C4013" t="inlineStr">
        <is>
          <t>Sociedad de inversiones solari y acuña spa</t>
        </is>
      </c>
      <c r="D4013" t="inlineStr">
        <is>
          <t>HORECA CAFETERIA</t>
        </is>
      </c>
      <c r="E4013" s="34" t="n">
        <v>55668</v>
      </c>
      <c r="F4013" t="inlineStr">
        <is>
          <t>F</t>
        </is>
      </c>
      <c r="G4013" s="34" t="n">
        <v>8888</v>
      </c>
      <c r="H4013" s="34" t="n">
        <v>46780</v>
      </c>
      <c r="I4013" t="inlineStr">
        <is>
          <t>3.1</t>
        </is>
      </c>
      <c r="J4013" t="inlineStr">
        <is>
          <t>Ventas HoReCa</t>
        </is>
      </c>
      <c r="K4013" t="inlineStr">
        <is>
          <t>CH1</t>
        </is>
      </c>
    </row>
    <row r="4014">
      <c r="A4014" s="33" t="n">
        <v>45996</v>
      </c>
      <c r="B4014" t="inlineStr">
        <is>
          <t>2025-12</t>
        </is>
      </c>
      <c r="C4014" t="inlineStr">
        <is>
          <t>VILAS BANQUETERIAS SPA</t>
        </is>
      </c>
      <c r="D4014" t="inlineStr">
        <is>
          <t>HORECA CATERING</t>
        </is>
      </c>
      <c r="E4014" s="34" t="n">
        <v>219079</v>
      </c>
      <c r="F4014" t="inlineStr">
        <is>
          <t>F</t>
        </is>
      </c>
      <c r="G4014" s="34" t="n">
        <v>34979</v>
      </c>
      <c r="H4014" s="34" t="n">
        <v>184100</v>
      </c>
      <c r="I4014" t="inlineStr">
        <is>
          <t>3.1</t>
        </is>
      </c>
      <c r="J4014" t="inlineStr">
        <is>
          <t>Ventas HoReCa</t>
        </is>
      </c>
      <c r="K4014" t="inlineStr">
        <is>
          <t>CH1</t>
        </is>
      </c>
    </row>
    <row r="4015">
      <c r="A4015" s="33" t="n">
        <v>45996</v>
      </c>
      <c r="B4015" t="inlineStr">
        <is>
          <t>2025-12</t>
        </is>
      </c>
      <c r="C4015" t="inlineStr">
        <is>
          <t>Melanie De Maillard</t>
        </is>
      </c>
      <c r="D4015" t="inlineStr">
        <is>
          <t>Petit Tradicional</t>
        </is>
      </c>
      <c r="E4015" s="34" t="n">
        <v>31300</v>
      </c>
      <c r="F4015" t="inlineStr">
        <is>
          <t>B</t>
        </is>
      </c>
      <c r="G4015" s="34" t="n">
        <v>4997</v>
      </c>
      <c r="H4015" s="34" t="n">
        <v>26303</v>
      </c>
      <c r="I4015" t="inlineStr">
        <is>
          <t>3.2</t>
        </is>
      </c>
      <c r="J4015" t="inlineStr">
        <is>
          <t>Ventas Personas (B2C)</t>
        </is>
      </c>
      <c r="K4015" t="inlineStr">
        <is>
          <t>CH2</t>
        </is>
      </c>
    </row>
    <row r="4016">
      <c r="A4016" s="33" t="n">
        <v>45996</v>
      </c>
      <c r="B4016" t="inlineStr">
        <is>
          <t>2025-12</t>
        </is>
      </c>
      <c r="C4016" t="inlineStr">
        <is>
          <t>Sin cliente</t>
        </is>
      </c>
      <c r="D4016" t="inlineStr">
        <is>
          <t>Petit Tradicional</t>
        </is>
      </c>
      <c r="E4016" s="34" t="n">
        <v>10320</v>
      </c>
      <c r="F4016" t="inlineStr">
        <is>
          <t>B</t>
        </is>
      </c>
      <c r="G4016" s="34" t="n">
        <v>1648</v>
      </c>
      <c r="H4016" s="34" t="n">
        <v>8672</v>
      </c>
      <c r="I4016" t="inlineStr">
        <is>
          <t>3.2</t>
        </is>
      </c>
      <c r="J4016" t="inlineStr">
        <is>
          <t>Ventas Personas (B2C)</t>
        </is>
      </c>
      <c r="K4016" t="inlineStr">
        <is>
          <t>CH2</t>
        </is>
      </c>
    </row>
    <row r="4017">
      <c r="A4017" s="33" t="n">
        <v>45996</v>
      </c>
      <c r="B4017" t="inlineStr">
        <is>
          <t>2025-12</t>
        </is>
      </c>
      <c r="C4017" t="inlineStr">
        <is>
          <t>Sin cliente</t>
        </is>
      </c>
      <c r="D4017" t="inlineStr">
        <is>
          <t>Mix Sabores</t>
        </is>
      </c>
      <c r="E4017" s="34" t="n">
        <v>22800</v>
      </c>
      <c r="F4017" t="inlineStr">
        <is>
          <t>B</t>
        </is>
      </c>
      <c r="G4017" s="34" t="n">
        <v>3640</v>
      </c>
      <c r="H4017" s="34" t="n">
        <v>19160</v>
      </c>
      <c r="I4017" t="inlineStr">
        <is>
          <t>3.2</t>
        </is>
      </c>
      <c r="J4017" t="inlineStr">
        <is>
          <t>Ventas Personas (B2C)</t>
        </is>
      </c>
      <c r="K4017" t="inlineStr">
        <is>
          <t>CH2</t>
        </is>
      </c>
    </row>
    <row r="4018">
      <c r="A4018" s="33" t="n">
        <v>45996</v>
      </c>
      <c r="B4018" t="inlineStr">
        <is>
          <t>2025-12</t>
        </is>
      </c>
      <c r="C4018" t="inlineStr">
        <is>
          <t>Producciones la Martina Limitada</t>
        </is>
      </c>
      <c r="D4018" t="inlineStr">
        <is>
          <t>HORECA CATERING</t>
        </is>
      </c>
      <c r="E4018" s="34" t="n">
        <v>127330</v>
      </c>
      <c r="F4018" t="inlineStr">
        <is>
          <t>F</t>
        </is>
      </c>
      <c r="G4018" s="34" t="n">
        <v>20330</v>
      </c>
      <c r="H4018" s="34" t="n">
        <v>107000</v>
      </c>
      <c r="I4018" t="inlineStr">
        <is>
          <t>3.1</t>
        </is>
      </c>
      <c r="J4018" t="inlineStr">
        <is>
          <t>Ventas HoReCa</t>
        </is>
      </c>
      <c r="K4018" t="inlineStr">
        <is>
          <t>CH1</t>
        </is>
      </c>
    </row>
    <row r="4019">
      <c r="A4019" s="33" t="n">
        <v>45996</v>
      </c>
      <c r="B4019" t="inlineStr">
        <is>
          <t>2025-12</t>
        </is>
      </c>
      <c r="C4019" t="inlineStr">
        <is>
          <t>Yeojin Min</t>
        </is>
      </c>
      <c r="D4019" t="inlineStr">
        <is>
          <t>Petit Crunchy</t>
        </is>
      </c>
      <c r="E4019" s="34" t="n">
        <v>66990</v>
      </c>
      <c r="F4019" t="inlineStr">
        <is>
          <t>B</t>
        </is>
      </c>
      <c r="G4019" s="34" t="n">
        <v>10696</v>
      </c>
      <c r="H4019" s="34" t="n">
        <v>56294</v>
      </c>
      <c r="I4019" t="inlineStr">
        <is>
          <t>3.2</t>
        </is>
      </c>
      <c r="J4019" t="inlineStr">
        <is>
          <t>Ventas Personas (B2C)</t>
        </is>
      </c>
      <c r="K4019" t="inlineStr">
        <is>
          <t>CH2</t>
        </is>
      </c>
    </row>
    <row r="4020">
      <c r="A4020" s="33" t="n">
        <v>45997</v>
      </c>
      <c r="B4020" t="inlineStr">
        <is>
          <t>2025-12</t>
        </is>
      </c>
      <c r="C4020" t="inlineStr">
        <is>
          <t>Alejandro Martin Sanchez</t>
        </is>
      </c>
      <c r="D4020" t="inlineStr">
        <is>
          <t>CANELÉ TRADICIONAL</t>
        </is>
      </c>
      <c r="E4020" s="34" t="n">
        <v>31390</v>
      </c>
      <c r="F4020" t="inlineStr">
        <is>
          <t>B</t>
        </is>
      </c>
      <c r="G4020" s="34" t="n">
        <v>5012</v>
      </c>
      <c r="H4020" s="34" t="n">
        <v>26378</v>
      </c>
      <c r="I4020" t="inlineStr">
        <is>
          <t>3.2</t>
        </is>
      </c>
      <c r="J4020" t="inlineStr">
        <is>
          <t>Ventas Personas (B2C)</t>
        </is>
      </c>
      <c r="K4020" t="inlineStr">
        <is>
          <t>CH2</t>
        </is>
      </c>
    </row>
    <row r="4021">
      <c r="A4021" s="33" t="n">
        <v>45997</v>
      </c>
      <c r="B4021" t="inlineStr">
        <is>
          <t>2025-12</t>
        </is>
      </c>
      <c r="C4021" t="inlineStr">
        <is>
          <t>Sofia Bauducco</t>
        </is>
      </c>
      <c r="D4021" t="inlineStr">
        <is>
          <t>SALSAS</t>
        </is>
      </c>
      <c r="E4021" s="34" t="n">
        <v>36283</v>
      </c>
      <c r="F4021" t="inlineStr">
        <is>
          <t>B</t>
        </is>
      </c>
      <c r="G4021" s="34" t="n">
        <v>5793</v>
      </c>
      <c r="H4021" s="34" t="n">
        <v>30490</v>
      </c>
      <c r="I4021" t="inlineStr">
        <is>
          <t>3.2</t>
        </is>
      </c>
      <c r="J4021" t="inlineStr">
        <is>
          <t>Ventas Personas (B2C)</t>
        </is>
      </c>
      <c r="K4021" t="inlineStr">
        <is>
          <t>CH2</t>
        </is>
      </c>
    </row>
    <row r="4022">
      <c r="A4022" s="33" t="n">
        <v>45997</v>
      </c>
      <c r="B4022" t="inlineStr">
        <is>
          <t>2025-12</t>
        </is>
      </c>
      <c r="C4022" t="inlineStr">
        <is>
          <t>angeles medina</t>
        </is>
      </c>
      <c r="D4022" t="inlineStr">
        <is>
          <t>SALSAS</t>
        </is>
      </c>
      <c r="E4022" s="34" t="n">
        <v>31283</v>
      </c>
      <c r="F4022" t="inlineStr">
        <is>
          <t>B</t>
        </is>
      </c>
      <c r="G4022" s="34" t="n">
        <v>4995</v>
      </c>
      <c r="H4022" s="34" t="n">
        <v>26288</v>
      </c>
      <c r="I4022" t="inlineStr">
        <is>
          <t>3.2</t>
        </is>
      </c>
      <c r="J4022" t="inlineStr">
        <is>
          <t>Ventas Personas (B2C)</t>
        </is>
      </c>
      <c r="K4022" t="inlineStr">
        <is>
          <t>CH2</t>
        </is>
      </c>
    </row>
    <row r="4023">
      <c r="A4023" s="33" t="n">
        <v>45997</v>
      </c>
      <c r="B4023" t="inlineStr">
        <is>
          <t>2025-12</t>
        </is>
      </c>
      <c r="C4023" t="inlineStr">
        <is>
          <t>Ana Donoso</t>
        </is>
      </c>
      <c r="D4023" t="inlineStr">
        <is>
          <t>CANELÉ TRADICIONAL</t>
        </is>
      </c>
      <c r="E4023" s="34" t="n">
        <v>21900</v>
      </c>
      <c r="F4023" t="inlineStr">
        <is>
          <t>B</t>
        </is>
      </c>
      <c r="G4023" s="34" t="n">
        <v>3497</v>
      </c>
      <c r="H4023" s="34" t="n">
        <v>18403</v>
      </c>
      <c r="I4023" t="inlineStr">
        <is>
          <t>3.2</t>
        </is>
      </c>
      <c r="J4023" t="inlineStr">
        <is>
          <t>Ventas Personas (B2C)</t>
        </is>
      </c>
      <c r="K4023" t="inlineStr">
        <is>
          <t>CH2</t>
        </is>
      </c>
    </row>
    <row r="4024">
      <c r="A4024" s="33" t="n">
        <v>45997</v>
      </c>
      <c r="B4024" t="inlineStr">
        <is>
          <t>2025-12</t>
        </is>
      </c>
      <c r="C4024" t="inlineStr">
        <is>
          <t>Sin cliente</t>
        </is>
      </c>
      <c r="D4024" t="inlineStr">
        <is>
          <t>Petit Tradicional</t>
        </is>
      </c>
      <c r="E4024" s="34" t="n">
        <v>12900</v>
      </c>
      <c r="F4024" t="inlineStr">
        <is>
          <t>B</t>
        </is>
      </c>
      <c r="G4024" s="34" t="n">
        <v>2060</v>
      </c>
      <c r="H4024" s="34" t="n">
        <v>10840</v>
      </c>
      <c r="I4024" t="inlineStr">
        <is>
          <t>3.2</t>
        </is>
      </c>
      <c r="J4024" t="inlineStr">
        <is>
          <t>Ventas Personas (B2C)</t>
        </is>
      </c>
      <c r="K4024" t="inlineStr">
        <is>
          <t>CH2</t>
        </is>
      </c>
    </row>
    <row r="4025">
      <c r="A4025" s="33" t="n">
        <v>45997</v>
      </c>
      <c r="B4025" t="inlineStr">
        <is>
          <t>2025-12</t>
        </is>
      </c>
      <c r="C4025" t="inlineStr">
        <is>
          <t>Sin cliente</t>
        </is>
      </c>
      <c r="D4025" t="inlineStr">
        <is>
          <t>Petit Tradicional</t>
        </is>
      </c>
      <c r="E4025" s="34" t="n">
        <v>10320</v>
      </c>
      <c r="F4025" t="inlineStr">
        <is>
          <t>B</t>
        </is>
      </c>
      <c r="G4025" s="34" t="n">
        <v>1648</v>
      </c>
      <c r="H4025" s="34" t="n">
        <v>8672</v>
      </c>
      <c r="I4025" t="inlineStr">
        <is>
          <t>3.2</t>
        </is>
      </c>
      <c r="J4025" t="inlineStr">
        <is>
          <t>Ventas Personas (B2C)</t>
        </is>
      </c>
      <c r="K4025" t="inlineStr">
        <is>
          <t>CH2</t>
        </is>
      </c>
    </row>
    <row r="4026">
      <c r="A4026" s="33" t="n">
        <v>45997</v>
      </c>
      <c r="B4026" t="inlineStr">
        <is>
          <t>2025-12</t>
        </is>
      </c>
      <c r="C4026" t="inlineStr">
        <is>
          <t>Magdalena Aguirre</t>
        </is>
      </c>
      <c r="D4026" t="inlineStr">
        <is>
          <t>CANELÉ TRADICIONAL</t>
        </is>
      </c>
      <c r="E4026" s="34" t="n">
        <v>32890</v>
      </c>
      <c r="F4026" t="inlineStr">
        <is>
          <t>B</t>
        </is>
      </c>
      <c r="G4026" s="34" t="n">
        <v>5251</v>
      </c>
      <c r="H4026" s="34" t="n">
        <v>27639</v>
      </c>
      <c r="I4026" t="inlineStr">
        <is>
          <t>3.2</t>
        </is>
      </c>
      <c r="J4026" t="inlineStr">
        <is>
          <t>Ventas Personas (B2C)</t>
        </is>
      </c>
      <c r="K4026" t="inlineStr">
        <is>
          <t>CH2</t>
        </is>
      </c>
    </row>
    <row r="4027">
      <c r="A4027" s="33" t="n">
        <v>45997</v>
      </c>
      <c r="B4027" t="inlineStr">
        <is>
          <t>2025-12</t>
        </is>
      </c>
      <c r="C4027" t="inlineStr">
        <is>
          <t>Miriam Bastidas</t>
        </is>
      </c>
      <c r="D4027" t="inlineStr">
        <is>
          <t>Petit Tradicional</t>
        </is>
      </c>
      <c r="E4027" s="34" t="n">
        <v>18390</v>
      </c>
      <c r="F4027" t="inlineStr">
        <is>
          <t>B</t>
        </is>
      </c>
      <c r="G4027" s="34" t="n">
        <v>2936</v>
      </c>
      <c r="H4027" s="34" t="n">
        <v>15454</v>
      </c>
      <c r="I4027" t="inlineStr">
        <is>
          <t>3.2</t>
        </is>
      </c>
      <c r="J4027" t="inlineStr">
        <is>
          <t>Ventas Personas (B2C)</t>
        </is>
      </c>
      <c r="K4027" t="inlineStr">
        <is>
          <t>CH2</t>
        </is>
      </c>
    </row>
    <row r="4028">
      <c r="A4028" s="33" t="n">
        <v>45998</v>
      </c>
      <c r="B4028" t="inlineStr">
        <is>
          <t>2025-12</t>
        </is>
      </c>
      <c r="C4028" t="inlineStr">
        <is>
          <t>Francisca Larco</t>
        </is>
      </c>
      <c r="D4028" t="inlineStr">
        <is>
          <t>SALSAS</t>
        </is>
      </c>
      <c r="E4028" s="34" t="n">
        <v>45512</v>
      </c>
      <c r="F4028" t="inlineStr">
        <is>
          <t>B</t>
        </is>
      </c>
      <c r="G4028" s="34" t="n">
        <v>7267</v>
      </c>
      <c r="H4028" s="34" t="n">
        <v>38245</v>
      </c>
      <c r="I4028" t="inlineStr">
        <is>
          <t>3.2</t>
        </is>
      </c>
      <c r="J4028" t="inlineStr">
        <is>
          <t>Ventas Personas (B2C)</t>
        </is>
      </c>
      <c r="K4028" t="inlineStr">
        <is>
          <t>CH2</t>
        </is>
      </c>
    </row>
    <row r="4029">
      <c r="A4029" s="33" t="n">
        <v>45998</v>
      </c>
      <c r="B4029" t="inlineStr">
        <is>
          <t>2025-12</t>
        </is>
      </c>
      <c r="C4029" t="inlineStr">
        <is>
          <t>Eduardo Benedetto</t>
        </is>
      </c>
      <c r="D4029" t="inlineStr">
        <is>
          <t>Rellenos</t>
        </is>
      </c>
      <c r="E4029" s="34" t="n">
        <v>56190</v>
      </c>
      <c r="F4029" t="inlineStr">
        <is>
          <t>B</t>
        </is>
      </c>
      <c r="G4029" s="34" t="n">
        <v>8972</v>
      </c>
      <c r="H4029" s="34" t="n">
        <v>47218</v>
      </c>
      <c r="I4029" t="inlineStr">
        <is>
          <t>3.2</t>
        </is>
      </c>
      <c r="J4029" t="inlineStr">
        <is>
          <t>Ventas Personas (B2C)</t>
        </is>
      </c>
      <c r="K4029" t="inlineStr">
        <is>
          <t>CH2</t>
        </is>
      </c>
    </row>
    <row r="4030">
      <c r="A4030" s="33" t="n">
        <v>45998</v>
      </c>
      <c r="B4030" t="inlineStr">
        <is>
          <t>2025-12</t>
        </is>
      </c>
      <c r="C4030" t="inlineStr">
        <is>
          <t>Andres Joannon</t>
        </is>
      </c>
      <c r="D4030" t="inlineStr">
        <is>
          <t>CANELE SIN AZUCAR</t>
        </is>
      </c>
      <c r="E4030" s="34" t="n">
        <v>28790</v>
      </c>
      <c r="F4030" t="inlineStr">
        <is>
          <t>B</t>
        </is>
      </c>
      <c r="G4030" s="34" t="n">
        <v>4597</v>
      </c>
      <c r="H4030" s="34" t="n">
        <v>24193</v>
      </c>
      <c r="I4030" t="inlineStr">
        <is>
          <t>3.2</t>
        </is>
      </c>
      <c r="J4030" t="inlineStr">
        <is>
          <t>Ventas Personas (B2C)</t>
        </is>
      </c>
      <c r="K4030" t="inlineStr">
        <is>
          <t>CH2</t>
        </is>
      </c>
    </row>
    <row r="4031">
      <c r="A4031" s="33" t="n">
        <v>45999</v>
      </c>
      <c r="B4031" t="inlineStr">
        <is>
          <t>2025-12</t>
        </is>
      </c>
      <c r="C4031" t="inlineStr">
        <is>
          <t>INVERSIONES Y COMERCIALIZADORA FED LIMITADA</t>
        </is>
      </c>
      <c r="D4031" t="inlineStr">
        <is>
          <t>HORECA CAFETERIA</t>
        </is>
      </c>
      <c r="E4031" s="34" t="n">
        <v>227642</v>
      </c>
      <c r="F4031" t="inlineStr">
        <is>
          <t>F</t>
        </is>
      </c>
      <c r="G4031" s="34" t="n">
        <v>36346</v>
      </c>
      <c r="H4031" s="34" t="n">
        <v>191296</v>
      </c>
      <c r="I4031" t="inlineStr">
        <is>
          <t>3.1</t>
        </is>
      </c>
      <c r="J4031" t="inlineStr">
        <is>
          <t>Ventas HoReCa</t>
        </is>
      </c>
      <c r="K4031" t="inlineStr">
        <is>
          <t>CH1</t>
        </is>
      </c>
    </row>
    <row r="4032">
      <c r="A4032" s="33" t="n">
        <v>45999</v>
      </c>
      <c r="B4032" t="inlineStr">
        <is>
          <t>2025-12</t>
        </is>
      </c>
      <c r="C4032" t="inlineStr">
        <is>
          <t>INVERSIONES Y COMERCIALIZADORA FED LIMITADA</t>
        </is>
      </c>
      <c r="D4032" t="inlineStr">
        <is>
          <t>HORECA CAFETERIA</t>
        </is>
      </c>
      <c r="E4032" s="34" t="n">
        <v>103304</v>
      </c>
      <c r="F4032" t="inlineStr">
        <is>
          <t>F</t>
        </is>
      </c>
      <c r="G4032" s="34" t="n">
        <v>16494</v>
      </c>
      <c r="H4032" s="34" t="n">
        <v>86810</v>
      </c>
      <c r="I4032" t="inlineStr">
        <is>
          <t>3.1</t>
        </is>
      </c>
      <c r="J4032" t="inlineStr">
        <is>
          <t>Ventas HoReCa</t>
        </is>
      </c>
      <c r="K4032" t="inlineStr">
        <is>
          <t>CH1</t>
        </is>
      </c>
    </row>
    <row r="4033">
      <c r="A4033" s="33" t="n">
        <v>45999</v>
      </c>
      <c r="B4033" t="inlineStr">
        <is>
          <t>2025-12</t>
        </is>
      </c>
      <c r="C4033" t="inlineStr">
        <is>
          <t>GALO SPA</t>
        </is>
      </c>
      <c r="D4033" t="inlineStr">
        <is>
          <t>HORECA CAFETERIA</t>
        </is>
      </c>
      <c r="E4033" s="34" t="n">
        <v>144537</v>
      </c>
      <c r="F4033" t="inlineStr">
        <is>
          <t>F</t>
        </is>
      </c>
      <c r="G4033" s="34" t="n">
        <v>23077</v>
      </c>
      <c r="H4033" s="34" t="n">
        <v>121460</v>
      </c>
      <c r="I4033" t="inlineStr">
        <is>
          <t>3.1</t>
        </is>
      </c>
      <c r="J4033" t="inlineStr">
        <is>
          <t>Ventas HoReCa</t>
        </is>
      </c>
      <c r="K4033" t="inlineStr">
        <is>
          <t>CH1</t>
        </is>
      </c>
    </row>
    <row r="4034">
      <c r="A4034" s="33" t="n">
        <v>45999</v>
      </c>
      <c r="B4034" t="inlineStr">
        <is>
          <t>2025-12</t>
        </is>
      </c>
      <c r="C4034" t="inlineStr">
        <is>
          <t>Karla Martinovich</t>
        </is>
      </c>
      <c r="D4034" t="inlineStr">
        <is>
          <t>CANELÉ TRADICIONAL</t>
        </is>
      </c>
      <c r="E4034" s="34" t="n">
        <v>17900</v>
      </c>
      <c r="F4034" t="inlineStr">
        <is>
          <t>B</t>
        </is>
      </c>
      <c r="G4034" s="34" t="n">
        <v>2858</v>
      </c>
      <c r="H4034" s="34" t="n">
        <v>15042</v>
      </c>
      <c r="I4034" t="inlineStr">
        <is>
          <t>3.2</t>
        </is>
      </c>
      <c r="J4034" t="inlineStr">
        <is>
          <t>Ventas Personas (B2C)</t>
        </is>
      </c>
      <c r="K4034" t="inlineStr">
        <is>
          <t>CH2</t>
        </is>
      </c>
    </row>
    <row r="4035">
      <c r="A4035" s="33" t="n">
        <v>45999</v>
      </c>
      <c r="B4035" t="inlineStr">
        <is>
          <t>2025-12</t>
        </is>
      </c>
      <c r="C4035" t="inlineStr">
        <is>
          <t>Sin cliente</t>
        </is>
      </c>
      <c r="D4035" t="inlineStr">
        <is>
          <t>PLATAFORMAS RAP-PEYA-UBER-GOOD</t>
        </is>
      </c>
      <c r="E4035" s="34" t="n">
        <v>13140</v>
      </c>
      <c r="F4035" t="inlineStr">
        <is>
          <t>B</t>
        </is>
      </c>
      <c r="G4035" s="34" t="n">
        <v>2098</v>
      </c>
      <c r="H4035" s="34" t="n">
        <v>11042</v>
      </c>
      <c r="I4035" t="inlineStr">
        <is>
          <t>3.6</t>
        </is>
      </c>
      <c r="J4035" t="inlineStr">
        <is>
          <t>Ventas Delivery Apps</t>
        </is>
      </c>
      <c r="K4035" t="inlineStr">
        <is>
          <t>CH3</t>
        </is>
      </c>
    </row>
    <row r="4036">
      <c r="A4036" s="33" t="n">
        <v>45999</v>
      </c>
      <c r="B4036" t="inlineStr">
        <is>
          <t>2025-12</t>
        </is>
      </c>
      <c r="C4036" t="inlineStr">
        <is>
          <t>Sin cliente</t>
        </is>
      </c>
      <c r="D4036" t="inlineStr">
        <is>
          <t>PLATAFORMAS RAP-PEYA-UBER-GOOD</t>
        </is>
      </c>
      <c r="E4036" s="34" t="n">
        <v>30960</v>
      </c>
      <c r="F4036" t="inlineStr">
        <is>
          <t>B</t>
        </is>
      </c>
      <c r="G4036" s="34" t="n">
        <v>4943</v>
      </c>
      <c r="H4036" s="34" t="n">
        <v>26017</v>
      </c>
      <c r="I4036" t="inlineStr">
        <is>
          <t>3.6</t>
        </is>
      </c>
      <c r="J4036" t="inlineStr">
        <is>
          <t>Ventas Delivery Apps</t>
        </is>
      </c>
      <c r="K4036" t="inlineStr">
        <is>
          <t>CH3</t>
        </is>
      </c>
    </row>
    <row r="4037">
      <c r="A4037" s="33" t="n">
        <v>45999</v>
      </c>
      <c r="B4037" t="inlineStr">
        <is>
          <t>2025-12</t>
        </is>
      </c>
      <c r="C4037" t="inlineStr">
        <is>
          <t>Sin cliente</t>
        </is>
      </c>
      <c r="D4037" t="inlineStr">
        <is>
          <t>CANELE SIN AZUCAR</t>
        </is>
      </c>
      <c r="E4037" s="34" t="n">
        <v>16900</v>
      </c>
      <c r="F4037" t="inlineStr">
        <is>
          <t>B</t>
        </is>
      </c>
      <c r="G4037" s="34" t="n">
        <v>2698</v>
      </c>
      <c r="H4037" s="34" t="n">
        <v>14202</v>
      </c>
      <c r="I4037" t="inlineStr">
        <is>
          <t>3.2</t>
        </is>
      </c>
      <c r="J4037" t="inlineStr">
        <is>
          <t>Ventas Personas (B2C)</t>
        </is>
      </c>
      <c r="K4037" t="inlineStr">
        <is>
          <t>CH2</t>
        </is>
      </c>
    </row>
    <row r="4038">
      <c r="A4038" s="33" t="n">
        <v>45999</v>
      </c>
      <c r="B4038" t="inlineStr">
        <is>
          <t>2025-12</t>
        </is>
      </c>
      <c r="C4038" t="inlineStr">
        <is>
          <t>Sin cliente</t>
        </is>
      </c>
      <c r="D4038" t="inlineStr">
        <is>
          <t>PLATAFORMAS RAP-PEYA-UBER-GOOD</t>
        </is>
      </c>
      <c r="E4038" s="34" t="n">
        <v>26280</v>
      </c>
      <c r="F4038" t="inlineStr">
        <is>
          <t>B</t>
        </is>
      </c>
      <c r="G4038" s="34" t="n">
        <v>4196</v>
      </c>
      <c r="H4038" s="34" t="n">
        <v>22084</v>
      </c>
      <c r="I4038" t="inlineStr">
        <is>
          <t>3.6</t>
        </is>
      </c>
      <c r="J4038" t="inlineStr">
        <is>
          <t>Ventas Delivery Apps</t>
        </is>
      </c>
      <c r="K4038" t="inlineStr">
        <is>
          <t>CH3</t>
        </is>
      </c>
    </row>
    <row r="4039">
      <c r="A4039" s="33" t="n">
        <v>45999</v>
      </c>
      <c r="B4039" t="inlineStr">
        <is>
          <t>2025-12</t>
        </is>
      </c>
      <c r="C4039" t="inlineStr">
        <is>
          <t>Sin cliente</t>
        </is>
      </c>
      <c r="D4039" t="inlineStr">
        <is>
          <t>PLATAFORMAS RAP-PEYA-UBER-GOOD</t>
        </is>
      </c>
      <c r="E4039" s="34" t="n">
        <v>8388</v>
      </c>
      <c r="F4039" t="inlineStr">
        <is>
          <t>B</t>
        </is>
      </c>
      <c r="G4039" s="34" t="n">
        <v>1339</v>
      </c>
      <c r="H4039" s="34" t="n">
        <v>7049</v>
      </c>
      <c r="I4039" t="inlineStr">
        <is>
          <t>3.6</t>
        </is>
      </c>
      <c r="J4039" t="inlineStr">
        <is>
          <t>Ventas Delivery Apps</t>
        </is>
      </c>
      <c r="K4039" t="inlineStr">
        <is>
          <t>CH3</t>
        </is>
      </c>
    </row>
    <row r="4040">
      <c r="A4040" s="33" t="n">
        <v>45999</v>
      </c>
      <c r="B4040" t="inlineStr">
        <is>
          <t>2025-12</t>
        </is>
      </c>
      <c r="C4040" t="inlineStr">
        <is>
          <t>Sin cliente</t>
        </is>
      </c>
      <c r="D4040" t="inlineStr">
        <is>
          <t>PLATAFORMAS RAP-PEYA-UBER-GOOD</t>
        </is>
      </c>
      <c r="E4040" s="34" t="n">
        <v>34668</v>
      </c>
      <c r="F4040" t="inlineStr">
        <is>
          <t>B</t>
        </is>
      </c>
      <c r="G4040" s="34" t="n">
        <v>5535</v>
      </c>
      <c r="H4040" s="34" t="n">
        <v>29133</v>
      </c>
      <c r="I4040" t="inlineStr">
        <is>
          <t>3.6</t>
        </is>
      </c>
      <c r="J4040" t="inlineStr">
        <is>
          <t>Ventas Delivery Apps</t>
        </is>
      </c>
      <c r="K4040" t="inlineStr">
        <is>
          <t>CH3</t>
        </is>
      </c>
    </row>
    <row r="4041">
      <c r="A4041" s="33" t="n">
        <v>45999</v>
      </c>
      <c r="B4041" t="inlineStr">
        <is>
          <t>2025-12</t>
        </is>
      </c>
      <c r="C4041" t="inlineStr">
        <is>
          <t>Katheryn Palacios</t>
        </is>
      </c>
      <c r="D4041" t="inlineStr">
        <is>
          <t>CANELÉ TRADICIONAL</t>
        </is>
      </c>
      <c r="E4041" s="34" t="n">
        <v>19390</v>
      </c>
      <c r="F4041" t="inlineStr">
        <is>
          <t>B</t>
        </is>
      </c>
      <c r="G4041" s="34" t="n">
        <v>3096</v>
      </c>
      <c r="H4041" s="34" t="n">
        <v>16294</v>
      </c>
      <c r="I4041" t="inlineStr">
        <is>
          <t>3.2</t>
        </is>
      </c>
      <c r="J4041" t="inlineStr">
        <is>
          <t>Ventas Personas (B2C)</t>
        </is>
      </c>
      <c r="K4041" t="inlineStr">
        <is>
          <t>CH2</t>
        </is>
      </c>
    </row>
    <row r="4042">
      <c r="A4042" s="33" t="n">
        <v>45999</v>
      </c>
      <c r="B4042" t="inlineStr">
        <is>
          <t>2025-12</t>
        </is>
      </c>
      <c r="C4042" t="inlineStr">
        <is>
          <t>Sin cliente</t>
        </is>
      </c>
      <c r="D4042" t="inlineStr">
        <is>
          <t>CANELÉ TRADICIONAL</t>
        </is>
      </c>
      <c r="E4042" s="34" t="n">
        <v>5000</v>
      </c>
      <c r="F4042" t="inlineStr">
        <is>
          <t>B</t>
        </is>
      </c>
      <c r="G4042" s="34" t="n">
        <v>798</v>
      </c>
      <c r="H4042" s="34" t="n">
        <v>4202</v>
      </c>
      <c r="I4042" t="inlineStr">
        <is>
          <t>3.2</t>
        </is>
      </c>
      <c r="J4042" t="inlineStr">
        <is>
          <t>Ventas Personas (B2C)</t>
        </is>
      </c>
      <c r="K4042" t="inlineStr">
        <is>
          <t>CH2</t>
        </is>
      </c>
    </row>
    <row r="4043">
      <c r="A4043" s="33" t="n">
        <v>46000</v>
      </c>
      <c r="B4043" t="inlineStr">
        <is>
          <t>2025-12</t>
        </is>
      </c>
      <c r="C4043" t="inlineStr">
        <is>
          <t>Inversiones Rico SpA</t>
        </is>
      </c>
      <c r="D4043" t="inlineStr">
        <is>
          <t>HORECA CATERING</t>
        </is>
      </c>
      <c r="E4043" s="34" t="n">
        <v>70686</v>
      </c>
      <c r="F4043" t="inlineStr">
        <is>
          <t>F</t>
        </is>
      </c>
      <c r="G4043" s="34" t="n">
        <v>11286</v>
      </c>
      <c r="H4043" s="34" t="n">
        <v>59400</v>
      </c>
      <c r="I4043" t="inlineStr">
        <is>
          <t>3.1</t>
        </is>
      </c>
      <c r="J4043" t="inlineStr">
        <is>
          <t>Ventas HoReCa</t>
        </is>
      </c>
      <c r="K4043" t="inlineStr">
        <is>
          <t>CH1</t>
        </is>
      </c>
    </row>
    <row r="4044">
      <c r="A4044" s="33" t="n">
        <v>46000</v>
      </c>
      <c r="B4044" t="inlineStr">
        <is>
          <t>2025-12</t>
        </is>
      </c>
      <c r="C4044" t="inlineStr">
        <is>
          <t>INVERSIONES Y ASESORIAS RAVAL LIMITADA</t>
        </is>
      </c>
      <c r="D4044" t="inlineStr">
        <is>
          <t>HORECA CAFETERIA</t>
        </is>
      </c>
      <c r="E4044" s="34" t="n">
        <v>107124</v>
      </c>
      <c r="F4044" t="inlineStr">
        <is>
          <t>F</t>
        </is>
      </c>
      <c r="G4044" s="34" t="n">
        <v>17104</v>
      </c>
      <c r="H4044" s="34" t="n">
        <v>90020</v>
      </c>
      <c r="I4044" t="inlineStr">
        <is>
          <t>3.1</t>
        </is>
      </c>
      <c r="J4044" t="inlineStr">
        <is>
          <t>Ventas HoReCa</t>
        </is>
      </c>
      <c r="K4044" t="inlineStr">
        <is>
          <t>CH1</t>
        </is>
      </c>
    </row>
    <row r="4045">
      <c r="A4045" s="33" t="n">
        <v>46000</v>
      </c>
      <c r="B4045" t="inlineStr">
        <is>
          <t>2025-12</t>
        </is>
      </c>
      <c r="C4045" t="inlineStr">
        <is>
          <t>CAFETERIA THE ELEPHANT COFFEE LIMITADA</t>
        </is>
      </c>
      <c r="D4045" t="inlineStr">
        <is>
          <t>HORECA CAFETERIA</t>
        </is>
      </c>
      <c r="E4045" s="34" t="n">
        <v>189959</v>
      </c>
      <c r="F4045" t="inlineStr">
        <is>
          <t>F</t>
        </is>
      </c>
      <c r="G4045" s="34" t="n">
        <v>30330</v>
      </c>
      <c r="H4045" s="34" t="n">
        <v>159629</v>
      </c>
      <c r="I4045" t="inlineStr">
        <is>
          <t>3.1</t>
        </is>
      </c>
      <c r="J4045" t="inlineStr">
        <is>
          <t>Ventas HoReCa</t>
        </is>
      </c>
      <c r="K4045" t="inlineStr">
        <is>
          <t>CH1</t>
        </is>
      </c>
    </row>
    <row r="4046">
      <c r="A4046" s="33" t="n">
        <v>46000</v>
      </c>
      <c r="B4046" t="inlineStr">
        <is>
          <t>2025-12</t>
        </is>
      </c>
      <c r="C4046" t="inlineStr">
        <is>
          <t>CAFÉ ROCAMAR LIMITADA</t>
        </is>
      </c>
      <c r="D4046" t="inlineStr">
        <is>
          <t>HORECA CAFETERIA</t>
        </is>
      </c>
      <c r="E4046" s="34" t="n">
        <v>39508</v>
      </c>
      <c r="F4046" t="inlineStr">
        <is>
          <t>F</t>
        </is>
      </c>
      <c r="G4046" s="34" t="n">
        <v>6308</v>
      </c>
      <c r="H4046" s="34" t="n">
        <v>33200</v>
      </c>
      <c r="I4046" t="inlineStr">
        <is>
          <t>3.1</t>
        </is>
      </c>
      <c r="J4046" t="inlineStr">
        <is>
          <t>Ventas HoReCa</t>
        </is>
      </c>
      <c r="K4046" t="inlineStr">
        <is>
          <t>CH1</t>
        </is>
      </c>
    </row>
    <row r="4047">
      <c r="A4047" s="33" t="n">
        <v>46000</v>
      </c>
      <c r="B4047" t="inlineStr">
        <is>
          <t>2025-12</t>
        </is>
      </c>
      <c r="C4047" t="inlineStr">
        <is>
          <t>Valeria Casarino</t>
        </is>
      </c>
      <c r="D4047" t="inlineStr">
        <is>
          <t>CANELÉ TRADICIONAL</t>
        </is>
      </c>
      <c r="E4047" s="34" t="n">
        <v>27390</v>
      </c>
      <c r="F4047" t="inlineStr">
        <is>
          <t>B</t>
        </is>
      </c>
      <c r="G4047" s="34" t="n">
        <v>4373</v>
      </c>
      <c r="H4047" s="34" t="n">
        <v>23017</v>
      </c>
      <c r="I4047" t="inlineStr">
        <is>
          <t>3.2</t>
        </is>
      </c>
      <c r="J4047" t="inlineStr">
        <is>
          <t>Ventas Personas (B2C)</t>
        </is>
      </c>
      <c r="K4047" t="inlineStr">
        <is>
          <t>CH2</t>
        </is>
      </c>
    </row>
    <row r="4048">
      <c r="A4048" s="33" t="n">
        <v>46000</v>
      </c>
      <c r="B4048" t="inlineStr">
        <is>
          <t>2025-12</t>
        </is>
      </c>
      <c r="C4048" t="inlineStr">
        <is>
          <t>Francisco Águila</t>
        </is>
      </c>
      <c r="D4048" t="inlineStr">
        <is>
          <t>PACKAGING</t>
        </is>
      </c>
      <c r="E4048" s="34" t="n">
        <v>35790</v>
      </c>
      <c r="F4048" t="inlineStr">
        <is>
          <t>B</t>
        </is>
      </c>
      <c r="G4048" s="34" t="n">
        <v>5714</v>
      </c>
      <c r="H4048" s="34" t="n">
        <v>30076</v>
      </c>
      <c r="I4048" t="inlineStr">
        <is>
          <t>3.2</t>
        </is>
      </c>
      <c r="J4048" t="inlineStr">
        <is>
          <t>Ventas Personas (B2C)</t>
        </is>
      </c>
      <c r="K4048" t="inlineStr">
        <is>
          <t>CH2</t>
        </is>
      </c>
    </row>
    <row r="4049">
      <c r="A4049" s="33" t="n">
        <v>46000</v>
      </c>
      <c r="B4049" t="inlineStr">
        <is>
          <t>2025-12</t>
        </is>
      </c>
      <c r="C4049" t="inlineStr">
        <is>
          <t>Alex Arenas Ramirez</t>
        </is>
      </c>
      <c r="D4049" t="inlineStr">
        <is>
          <t>Rellenos</t>
        </is>
      </c>
      <c r="E4049" s="34" t="n">
        <v>29520</v>
      </c>
      <c r="F4049" t="inlineStr">
        <is>
          <t>B</t>
        </is>
      </c>
      <c r="G4049" s="34" t="n">
        <v>4713</v>
      </c>
      <c r="H4049" s="34" t="n">
        <v>24807</v>
      </c>
      <c r="I4049" t="inlineStr">
        <is>
          <t>3.2</t>
        </is>
      </c>
      <c r="J4049" t="inlineStr">
        <is>
          <t>Ventas Personas (B2C)</t>
        </is>
      </c>
      <c r="K4049" t="inlineStr">
        <is>
          <t>CH2</t>
        </is>
      </c>
    </row>
    <row r="4050">
      <c r="A4050" s="33" t="n">
        <v>46000</v>
      </c>
      <c r="B4050" t="inlineStr">
        <is>
          <t>2025-12</t>
        </is>
      </c>
      <c r="C4050" t="inlineStr">
        <is>
          <t>María Jesús Salvatierra</t>
        </is>
      </c>
      <c r="D4050" t="inlineStr">
        <is>
          <t>CANELE SIN AZUCAR</t>
        </is>
      </c>
      <c r="E4050" s="34" t="n">
        <v>38790</v>
      </c>
      <c r="F4050" t="inlineStr">
        <is>
          <t>B</t>
        </is>
      </c>
      <c r="G4050" s="34" t="n">
        <v>6193</v>
      </c>
      <c r="H4050" s="34" t="n">
        <v>32597</v>
      </c>
      <c r="I4050" t="inlineStr">
        <is>
          <t>3.2</t>
        </is>
      </c>
      <c r="J4050" t="inlineStr">
        <is>
          <t>Ventas Personas (B2C)</t>
        </is>
      </c>
      <c r="K4050" t="inlineStr">
        <is>
          <t>CH2</t>
        </is>
      </c>
    </row>
    <row r="4051">
      <c r="A4051" s="33" t="n">
        <v>46000</v>
      </c>
      <c r="B4051" t="inlineStr">
        <is>
          <t>2025-12</t>
        </is>
      </c>
      <c r="C4051" t="inlineStr">
        <is>
          <t>Viviana del Pino</t>
        </is>
      </c>
      <c r="D4051" t="inlineStr">
        <is>
          <t>Rellenos</t>
        </is>
      </c>
      <c r="E4051" s="34" t="n">
        <v>30290</v>
      </c>
      <c r="F4051" t="inlineStr">
        <is>
          <t>B</t>
        </is>
      </c>
      <c r="G4051" s="34" t="n">
        <v>4836</v>
      </c>
      <c r="H4051" s="34" t="n">
        <v>25454</v>
      </c>
      <c r="I4051" t="inlineStr">
        <is>
          <t>3.2</t>
        </is>
      </c>
      <c r="J4051" t="inlineStr">
        <is>
          <t>Ventas Personas (B2C)</t>
        </is>
      </c>
      <c r="K4051" t="inlineStr">
        <is>
          <t>CH2</t>
        </is>
      </c>
    </row>
    <row r="4052">
      <c r="A4052" s="33" t="n">
        <v>46000</v>
      </c>
      <c r="B4052" t="inlineStr">
        <is>
          <t>2025-12</t>
        </is>
      </c>
      <c r="C4052" t="inlineStr">
        <is>
          <t>MOI'S SPA</t>
        </is>
      </c>
      <c r="D4052" t="inlineStr">
        <is>
          <t>HORECA CAFETERIA</t>
        </is>
      </c>
      <c r="E4052" s="34" t="n">
        <v>73590</v>
      </c>
      <c r="F4052" t="inlineStr">
        <is>
          <t>F</t>
        </is>
      </c>
      <c r="G4052" s="34" t="n">
        <v>11750</v>
      </c>
      <c r="H4052" s="34" t="n">
        <v>61840</v>
      </c>
      <c r="I4052" t="inlineStr">
        <is>
          <t>3.1</t>
        </is>
      </c>
      <c r="J4052" t="inlineStr">
        <is>
          <t>Ventas HoReCa</t>
        </is>
      </c>
      <c r="K4052" t="inlineStr">
        <is>
          <t>CH1</t>
        </is>
      </c>
    </row>
    <row r="4053">
      <c r="A4053" s="33" t="n">
        <v>46001</v>
      </c>
      <c r="B4053" t="inlineStr">
        <is>
          <t>2025-12</t>
        </is>
      </c>
      <c r="C4053" t="inlineStr">
        <is>
          <t>VILAS BANQUETERIAS SPA</t>
        </is>
      </c>
      <c r="D4053" t="inlineStr">
        <is>
          <t>HORECA CATERING</t>
        </is>
      </c>
      <c r="E4053" s="34" t="n">
        <v>219079</v>
      </c>
      <c r="F4053" t="inlineStr">
        <is>
          <t>F</t>
        </is>
      </c>
      <c r="G4053" s="34" t="n">
        <v>34979</v>
      </c>
      <c r="H4053" s="34" t="n">
        <v>184100</v>
      </c>
      <c r="I4053" t="inlineStr">
        <is>
          <t>3.1</t>
        </is>
      </c>
      <c r="J4053" t="inlineStr">
        <is>
          <t>Ventas HoReCa</t>
        </is>
      </c>
      <c r="K4053" t="inlineStr">
        <is>
          <t>CH1</t>
        </is>
      </c>
    </row>
    <row r="4054">
      <c r="A4054" s="33" t="n">
        <v>46001</v>
      </c>
      <c r="B4054" t="inlineStr">
        <is>
          <t>2025-12</t>
        </is>
      </c>
      <c r="C4054" t="inlineStr">
        <is>
          <t>BLUE OAK COFFE SPA</t>
        </is>
      </c>
      <c r="D4054" t="inlineStr">
        <is>
          <t>HORECA CAFETERIA</t>
        </is>
      </c>
      <c r="E4054" s="34" t="n">
        <v>209128</v>
      </c>
      <c r="F4054" t="inlineStr">
        <is>
          <t>F</t>
        </is>
      </c>
      <c r="G4054" s="34" t="n">
        <v>33390</v>
      </c>
      <c r="H4054" s="34" t="n">
        <v>175738</v>
      </c>
      <c r="I4054" t="inlineStr">
        <is>
          <t>3.1</t>
        </is>
      </c>
      <c r="J4054" t="inlineStr">
        <is>
          <t>Ventas HoReCa</t>
        </is>
      </c>
      <c r="K4054" t="inlineStr">
        <is>
          <t>CH1</t>
        </is>
      </c>
    </row>
    <row r="4055">
      <c r="A4055" s="33" t="n">
        <v>46001</v>
      </c>
      <c r="B4055" t="inlineStr">
        <is>
          <t>2025-12</t>
        </is>
      </c>
      <c r="C4055" t="inlineStr">
        <is>
          <t>BLUE OAK COFFE SPA</t>
        </is>
      </c>
      <c r="D4055" t="inlineStr">
        <is>
          <t>HORECA CAFETERIA</t>
        </is>
      </c>
      <c r="E4055" s="34" t="n">
        <v>258368</v>
      </c>
      <c r="F4055" t="inlineStr">
        <is>
          <t>F</t>
        </is>
      </c>
      <c r="G4055" s="34" t="n">
        <v>41252</v>
      </c>
      <c r="H4055" s="34" t="n">
        <v>217116</v>
      </c>
      <c r="I4055" t="inlineStr">
        <is>
          <t>3.1</t>
        </is>
      </c>
      <c r="J4055" t="inlineStr">
        <is>
          <t>Ventas HoReCa</t>
        </is>
      </c>
      <c r="K4055" t="inlineStr">
        <is>
          <t>CH1</t>
        </is>
      </c>
    </row>
    <row r="4056">
      <c r="A4056" s="33" t="n">
        <v>46001</v>
      </c>
      <c r="B4056" t="inlineStr">
        <is>
          <t>2025-12</t>
        </is>
      </c>
      <c r="C4056" t="inlineStr">
        <is>
          <t>HUERTO SUR LIMITADA</t>
        </is>
      </c>
      <c r="D4056" t="inlineStr">
        <is>
          <t>REGION METROPOLITANA</t>
        </is>
      </c>
      <c r="E4056" s="34" t="n">
        <v>284838</v>
      </c>
      <c r="F4056" t="inlineStr">
        <is>
          <t>F</t>
        </is>
      </c>
      <c r="G4056" s="34" t="n">
        <v>45478</v>
      </c>
      <c r="H4056" s="34" t="n">
        <v>239360</v>
      </c>
      <c r="I4056" t="inlineStr">
        <is>
          <t>3.1</t>
        </is>
      </c>
      <c r="J4056" t="inlineStr">
        <is>
          <t>Ventas HoReCa</t>
        </is>
      </c>
      <c r="K4056" t="inlineStr">
        <is>
          <t>CH1</t>
        </is>
      </c>
    </row>
    <row r="4057">
      <c r="A4057" s="33" t="n">
        <v>46001</v>
      </c>
      <c r="B4057" t="inlineStr">
        <is>
          <t>2025-12</t>
        </is>
      </c>
      <c r="C4057" t="inlineStr">
        <is>
          <t>Better Food Spa</t>
        </is>
      </c>
      <c r="D4057" t="inlineStr">
        <is>
          <t>REGION METROPOLITANA</t>
        </is>
      </c>
      <c r="E4057" s="34" t="n">
        <v>9401</v>
      </c>
      <c r="F4057" t="inlineStr">
        <is>
          <t>F</t>
        </is>
      </c>
      <c r="G4057" s="34" t="n">
        <v>1501</v>
      </c>
      <c r="H4057" s="34" t="n">
        <v>7900</v>
      </c>
      <c r="I4057" t="inlineStr">
        <is>
          <t>3.1</t>
        </is>
      </c>
      <c r="J4057" t="inlineStr">
        <is>
          <t>Ventas HoReCa</t>
        </is>
      </c>
      <c r="K4057" t="inlineStr">
        <is>
          <t>CH1</t>
        </is>
      </c>
    </row>
    <row r="4058">
      <c r="A4058" s="33" t="n">
        <v>46001</v>
      </c>
      <c r="B4058" t="inlineStr">
        <is>
          <t>2025-12</t>
        </is>
      </c>
      <c r="C4058" t="inlineStr">
        <is>
          <t>Roberto Opazo Barrientos</t>
        </is>
      </c>
      <c r="D4058" t="inlineStr">
        <is>
          <t>SALSAS</t>
        </is>
      </c>
      <c r="E4058" s="34" t="n">
        <v>23283</v>
      </c>
      <c r="F4058" t="inlineStr">
        <is>
          <t>B</t>
        </is>
      </c>
      <c r="G4058" s="34" t="n">
        <v>3717</v>
      </c>
      <c r="H4058" s="34" t="n">
        <v>19566</v>
      </c>
      <c r="I4058" t="inlineStr">
        <is>
          <t>3.2</t>
        </is>
      </c>
      <c r="J4058" t="inlineStr">
        <is>
          <t>Ventas Personas (B2C)</t>
        </is>
      </c>
      <c r="K4058" t="inlineStr">
        <is>
          <t>CH2</t>
        </is>
      </c>
    </row>
    <row r="4059">
      <c r="A4059" s="33" t="n">
        <v>46001</v>
      </c>
      <c r="B4059" t="inlineStr">
        <is>
          <t>2025-12</t>
        </is>
      </c>
      <c r="C4059" t="inlineStr">
        <is>
          <t>Bernardita Rivas Oyarzún</t>
        </is>
      </c>
      <c r="D4059" t="inlineStr">
        <is>
          <t>CANELÉ TRADICIONAL</t>
        </is>
      </c>
      <c r="E4059" s="34" t="n">
        <v>20390</v>
      </c>
      <c r="F4059" t="inlineStr">
        <is>
          <t>B</t>
        </is>
      </c>
      <c r="G4059" s="34" t="n">
        <v>3256</v>
      </c>
      <c r="H4059" s="34" t="n">
        <v>17134</v>
      </c>
      <c r="I4059" t="inlineStr">
        <is>
          <t>3.2</t>
        </is>
      </c>
      <c r="J4059" t="inlineStr">
        <is>
          <t>Ventas Personas (B2C)</t>
        </is>
      </c>
      <c r="K4059" t="inlineStr">
        <is>
          <t>CH2</t>
        </is>
      </c>
    </row>
    <row r="4060">
      <c r="A4060" s="33" t="n">
        <v>46001</v>
      </c>
      <c r="B4060" t="inlineStr">
        <is>
          <t>2025-12</t>
        </is>
      </c>
      <c r="C4060" t="inlineStr">
        <is>
          <t>Andres Pinto</t>
        </is>
      </c>
      <c r="D4060" t="inlineStr">
        <is>
          <t>CANELÉ TRADICIONAL</t>
        </is>
      </c>
      <c r="E4060" s="34" t="n">
        <v>19490</v>
      </c>
      <c r="F4060" t="inlineStr">
        <is>
          <t>B</t>
        </is>
      </c>
      <c r="G4060" s="34" t="n">
        <v>3112</v>
      </c>
      <c r="H4060" s="34" t="n">
        <v>16378</v>
      </c>
      <c r="I4060" t="inlineStr">
        <is>
          <t>3.2</t>
        </is>
      </c>
      <c r="J4060" t="inlineStr">
        <is>
          <t>Ventas Personas (B2C)</t>
        </is>
      </c>
      <c r="K4060" t="inlineStr">
        <is>
          <t>CH2</t>
        </is>
      </c>
    </row>
    <row r="4061">
      <c r="A4061" s="33" t="n">
        <v>46001</v>
      </c>
      <c r="B4061" t="inlineStr">
        <is>
          <t>2025-12</t>
        </is>
      </c>
      <c r="C4061" t="inlineStr">
        <is>
          <t>Sonia Kitchen</t>
        </is>
      </c>
      <c r="D4061" t="inlineStr">
        <is>
          <t>Edición Navidad</t>
        </is>
      </c>
      <c r="E4061" s="34" t="n">
        <v>45090</v>
      </c>
      <c r="F4061" t="inlineStr">
        <is>
          <t>B</t>
        </is>
      </c>
      <c r="G4061" s="34" t="n">
        <v>7199</v>
      </c>
      <c r="H4061" s="34" t="n">
        <v>37891</v>
      </c>
      <c r="I4061" t="inlineStr">
        <is>
          <t>3.2</t>
        </is>
      </c>
      <c r="J4061" t="inlineStr">
        <is>
          <t>Ventas Personas (B2C)</t>
        </is>
      </c>
      <c r="K4061" t="inlineStr">
        <is>
          <t>CH2</t>
        </is>
      </c>
    </row>
    <row r="4062">
      <c r="A4062" s="33" t="n">
        <v>46001</v>
      </c>
      <c r="B4062" t="inlineStr">
        <is>
          <t>2025-12</t>
        </is>
      </c>
      <c r="C4062" t="inlineStr">
        <is>
          <t>Paula Marowski</t>
        </is>
      </c>
      <c r="D4062" t="inlineStr">
        <is>
          <t>Petit Tradicional</t>
        </is>
      </c>
      <c r="E4062" s="34" t="n">
        <v>17390</v>
      </c>
      <c r="F4062" t="inlineStr">
        <is>
          <t>B</t>
        </is>
      </c>
      <c r="G4062" s="34" t="n">
        <v>2777</v>
      </c>
      <c r="H4062" s="34" t="n">
        <v>14613</v>
      </c>
      <c r="I4062" t="inlineStr">
        <is>
          <t>3.2</t>
        </is>
      </c>
      <c r="J4062" t="inlineStr">
        <is>
          <t>Ventas Personas (B2C)</t>
        </is>
      </c>
      <c r="K4062" t="inlineStr">
        <is>
          <t>CH2</t>
        </is>
      </c>
    </row>
    <row r="4063">
      <c r="A4063" s="33" t="n">
        <v>46001</v>
      </c>
      <c r="B4063" t="inlineStr">
        <is>
          <t>2025-12</t>
        </is>
      </c>
      <c r="C4063" t="inlineStr">
        <is>
          <t>Camila Herrera</t>
        </is>
      </c>
      <c r="D4063" t="inlineStr">
        <is>
          <t>Rellenos</t>
        </is>
      </c>
      <c r="E4063" s="34" t="n">
        <v>30290</v>
      </c>
      <c r="F4063" t="inlineStr">
        <is>
          <t>B</t>
        </is>
      </c>
      <c r="G4063" s="34" t="n">
        <v>4836</v>
      </c>
      <c r="H4063" s="34" t="n">
        <v>25454</v>
      </c>
      <c r="I4063" t="inlineStr">
        <is>
          <t>3.2</t>
        </is>
      </c>
      <c r="J4063" t="inlineStr">
        <is>
          <t>Ventas Personas (B2C)</t>
        </is>
      </c>
      <c r="K4063" t="inlineStr">
        <is>
          <t>CH2</t>
        </is>
      </c>
    </row>
    <row r="4064">
      <c r="A4064" s="33" t="n">
        <v>46001</v>
      </c>
      <c r="B4064" t="inlineStr">
        <is>
          <t>2025-12</t>
        </is>
      </c>
      <c r="C4064" t="inlineStr">
        <is>
          <t>Pedro Linares</t>
        </is>
      </c>
      <c r="D4064" t="inlineStr">
        <is>
          <t>Rellenos</t>
        </is>
      </c>
      <c r="E4064" s="34" t="n">
        <v>25800</v>
      </c>
      <c r="F4064" t="inlineStr">
        <is>
          <t>B</t>
        </is>
      </c>
      <c r="G4064" s="34" t="n">
        <v>4119</v>
      </c>
      <c r="H4064" s="34" t="n">
        <v>21681</v>
      </c>
      <c r="I4064" t="inlineStr">
        <is>
          <t>3.2</t>
        </is>
      </c>
      <c r="J4064" t="inlineStr">
        <is>
          <t>Ventas Personas (B2C)</t>
        </is>
      </c>
      <c r="K4064" t="inlineStr">
        <is>
          <t>CH2</t>
        </is>
      </c>
    </row>
    <row r="4065">
      <c r="A4065" s="33" t="n">
        <v>46001</v>
      </c>
      <c r="B4065" t="inlineStr">
        <is>
          <t>2025-12</t>
        </is>
      </c>
      <c r="C4065" t="inlineStr">
        <is>
          <t>Josefa Becker Uriarte</t>
        </is>
      </c>
      <c r="D4065" t="inlineStr">
        <is>
          <t>Rellenos</t>
        </is>
      </c>
      <c r="E4065" s="34" t="n">
        <v>14490</v>
      </c>
      <c r="F4065" t="inlineStr">
        <is>
          <t>B</t>
        </is>
      </c>
      <c r="G4065" s="34" t="n">
        <v>2314</v>
      </c>
      <c r="H4065" s="34" t="n">
        <v>12176</v>
      </c>
      <c r="I4065" t="inlineStr">
        <is>
          <t>3.2</t>
        </is>
      </c>
      <c r="J4065" t="inlineStr">
        <is>
          <t>Ventas Personas (B2C)</t>
        </is>
      </c>
      <c r="K4065" t="inlineStr">
        <is>
          <t>CH2</t>
        </is>
      </c>
    </row>
    <row r="4066">
      <c r="A4066" s="33" t="n">
        <v>46001</v>
      </c>
      <c r="B4066" t="inlineStr">
        <is>
          <t>2025-12</t>
        </is>
      </c>
      <c r="C4066" t="inlineStr">
        <is>
          <t>Marisol Valencia Moya</t>
        </is>
      </c>
      <c r="D4066" t="inlineStr">
        <is>
          <t>Rellenos</t>
        </is>
      </c>
      <c r="E4066" s="34" t="n">
        <v>61690</v>
      </c>
      <c r="F4066" t="inlineStr">
        <is>
          <t>B</t>
        </is>
      </c>
      <c r="G4066" s="34" t="n">
        <v>9850</v>
      </c>
      <c r="H4066" s="34" t="n">
        <v>51840</v>
      </c>
      <c r="I4066" t="inlineStr">
        <is>
          <t>3.2</t>
        </is>
      </c>
      <c r="J4066" t="inlineStr">
        <is>
          <t>Ventas Personas (B2C)</t>
        </is>
      </c>
      <c r="K4066" t="inlineStr">
        <is>
          <t>CH2</t>
        </is>
      </c>
    </row>
    <row r="4067">
      <c r="A4067" s="33" t="n">
        <v>46001</v>
      </c>
      <c r="B4067" t="inlineStr">
        <is>
          <t>2025-12</t>
        </is>
      </c>
      <c r="C4067" t="inlineStr">
        <is>
          <t>Gisselle Jimenez</t>
        </is>
      </c>
      <c r="D4067" t="inlineStr">
        <is>
          <t>Rellenos</t>
        </is>
      </c>
      <c r="E4067" s="34" t="n">
        <v>3000</v>
      </c>
      <c r="F4067" t="inlineStr">
        <is>
          <t>B</t>
        </is>
      </c>
      <c r="G4067" s="34" t="n">
        <v>479</v>
      </c>
      <c r="H4067" s="34" t="n">
        <v>2521</v>
      </c>
      <c r="I4067" t="inlineStr">
        <is>
          <t>3.2</t>
        </is>
      </c>
      <c r="J4067" t="inlineStr">
        <is>
          <t>Ventas Personas (B2C)</t>
        </is>
      </c>
      <c r="K4067" t="inlineStr">
        <is>
          <t>CH2</t>
        </is>
      </c>
    </row>
    <row r="4068">
      <c r="A4068" s="33" t="n">
        <v>46001</v>
      </c>
      <c r="B4068" t="inlineStr">
        <is>
          <t>2025-12</t>
        </is>
      </c>
      <c r="C4068" t="inlineStr">
        <is>
          <t>Catalina Bradford</t>
        </is>
      </c>
      <c r="D4068" t="inlineStr">
        <is>
          <t>Petit Tradicional</t>
        </is>
      </c>
      <c r="E4068" s="34" t="n">
        <v>8900</v>
      </c>
      <c r="F4068" t="inlineStr">
        <is>
          <t>B</t>
        </is>
      </c>
      <c r="G4068" s="34" t="n">
        <v>1421</v>
      </c>
      <c r="H4068" s="34" t="n">
        <v>7479</v>
      </c>
      <c r="I4068" t="inlineStr">
        <is>
          <t>3.2</t>
        </is>
      </c>
      <c r="J4068" t="inlineStr">
        <is>
          <t>Ventas Personas (B2C)</t>
        </is>
      </c>
      <c r="K4068" t="inlineStr">
        <is>
          <t>CH2</t>
        </is>
      </c>
    </row>
    <row r="4069">
      <c r="A4069" s="33" t="n">
        <v>46001</v>
      </c>
      <c r="B4069" t="inlineStr">
        <is>
          <t>2025-12</t>
        </is>
      </c>
      <c r="C4069" t="inlineStr">
        <is>
          <t>Freddy Alarcon</t>
        </is>
      </c>
      <c r="D4069" t="inlineStr">
        <is>
          <t>Petit Crunchy</t>
        </is>
      </c>
      <c r="E4069" s="34" t="n">
        <v>17390</v>
      </c>
      <c r="F4069" t="inlineStr">
        <is>
          <t>B</t>
        </is>
      </c>
      <c r="G4069" s="34" t="n">
        <v>2777</v>
      </c>
      <c r="H4069" s="34" t="n">
        <v>14613</v>
      </c>
      <c r="I4069" t="inlineStr">
        <is>
          <t>3.2</t>
        </is>
      </c>
      <c r="J4069" t="inlineStr">
        <is>
          <t>Ventas Personas (B2C)</t>
        </is>
      </c>
      <c r="K4069" t="inlineStr">
        <is>
          <t>CH2</t>
        </is>
      </c>
    </row>
    <row r="4070">
      <c r="A4070" s="33" t="n">
        <v>46001</v>
      </c>
      <c r="B4070" t="inlineStr">
        <is>
          <t>2025-12</t>
        </is>
      </c>
      <c r="C4070" t="inlineStr">
        <is>
          <t>Merida Carmona</t>
        </is>
      </c>
      <c r="D4070" t="inlineStr">
        <is>
          <t>Edición Navidad</t>
        </is>
      </c>
      <c r="E4070" s="34" t="n">
        <v>31290</v>
      </c>
      <c r="F4070" t="inlineStr">
        <is>
          <t>B</t>
        </is>
      </c>
      <c r="G4070" s="34" t="n">
        <v>4996</v>
      </c>
      <c r="H4070" s="34" t="n">
        <v>26294</v>
      </c>
      <c r="I4070" t="inlineStr">
        <is>
          <t>3.2</t>
        </is>
      </c>
      <c r="J4070" t="inlineStr">
        <is>
          <t>Ventas Personas (B2C)</t>
        </is>
      </c>
      <c r="K4070" t="inlineStr">
        <is>
          <t>CH2</t>
        </is>
      </c>
    </row>
    <row r="4071">
      <c r="A4071" s="33" t="n">
        <v>46001</v>
      </c>
      <c r="B4071" t="inlineStr">
        <is>
          <t>2025-12</t>
        </is>
      </c>
      <c r="C4071" t="inlineStr">
        <is>
          <t>Sin cliente</t>
        </is>
      </c>
      <c r="D4071" t="inlineStr">
        <is>
          <t>Petit Tradicional</t>
        </is>
      </c>
      <c r="E4071" s="34" t="n">
        <v>8900</v>
      </c>
      <c r="F4071" t="inlineStr">
        <is>
          <t>B</t>
        </is>
      </c>
      <c r="G4071" s="34" t="n">
        <v>1421</v>
      </c>
      <c r="H4071" s="34" t="n">
        <v>7479</v>
      </c>
      <c r="I4071" t="inlineStr">
        <is>
          <t>3.2</t>
        </is>
      </c>
      <c r="J4071" t="inlineStr">
        <is>
          <t>Ventas Personas (B2C)</t>
        </is>
      </c>
      <c r="K4071" t="inlineStr">
        <is>
          <t>CH2</t>
        </is>
      </c>
    </row>
    <row r="4072">
      <c r="A4072" s="33" t="n">
        <v>46001</v>
      </c>
      <c r="B4072" t="inlineStr">
        <is>
          <t>2025-12</t>
        </is>
      </c>
      <c r="C4072" t="inlineStr">
        <is>
          <t>Sin cliente</t>
        </is>
      </c>
      <c r="D4072" t="inlineStr">
        <is>
          <t>Rellenos</t>
        </is>
      </c>
      <c r="E4072" s="34" t="n">
        <v>3000</v>
      </c>
      <c r="F4072" t="inlineStr">
        <is>
          <t>B</t>
        </is>
      </c>
      <c r="G4072" s="34" t="n">
        <v>479</v>
      </c>
      <c r="H4072" s="34" t="n">
        <v>2521</v>
      </c>
      <c r="I4072" t="inlineStr">
        <is>
          <t>3.2</t>
        </is>
      </c>
      <c r="J4072" t="inlineStr">
        <is>
          <t>Ventas Personas (B2C)</t>
        </is>
      </c>
      <c r="K4072" t="inlineStr">
        <is>
          <t>CH2</t>
        </is>
      </c>
    </row>
    <row r="4073">
      <c r="A4073" s="33" t="n">
        <v>46001</v>
      </c>
      <c r="B4073" t="inlineStr">
        <is>
          <t>2025-12</t>
        </is>
      </c>
      <c r="C4073" t="inlineStr">
        <is>
          <t>Victoria Tenías</t>
        </is>
      </c>
      <c r="D4073" t="inlineStr">
        <is>
          <t>CANELÉ TRADICIONAL</t>
        </is>
      </c>
      <c r="E4073" s="34" t="n">
        <v>21900</v>
      </c>
      <c r="F4073" t="inlineStr">
        <is>
          <t>B</t>
        </is>
      </c>
      <c r="G4073" s="34" t="n">
        <v>3497</v>
      </c>
      <c r="H4073" s="34" t="n">
        <v>18403</v>
      </c>
      <c r="I4073" t="inlineStr">
        <is>
          <t>3.2</t>
        </is>
      </c>
      <c r="J4073" t="inlineStr">
        <is>
          <t>Ventas Personas (B2C)</t>
        </is>
      </c>
      <c r="K4073" t="inlineStr">
        <is>
          <t>CH2</t>
        </is>
      </c>
    </row>
    <row r="4074">
      <c r="A4074" s="33" t="n">
        <v>46002</v>
      </c>
      <c r="B4074" t="inlineStr">
        <is>
          <t>2025-12</t>
        </is>
      </c>
      <c r="C4074" t="inlineStr">
        <is>
          <t>Better Food Spa</t>
        </is>
      </c>
      <c r="D4074" t="inlineStr">
        <is>
          <t>HORECA CAFETERIA</t>
        </is>
      </c>
      <c r="E4074" s="34" t="n">
        <v>288849</v>
      </c>
      <c r="F4074" t="inlineStr">
        <is>
          <t>F</t>
        </is>
      </c>
      <c r="G4074" s="34" t="n">
        <v>46119</v>
      </c>
      <c r="H4074" s="34" t="n">
        <v>242730</v>
      </c>
      <c r="I4074" t="inlineStr">
        <is>
          <t>3.1</t>
        </is>
      </c>
      <c r="J4074" t="inlineStr">
        <is>
          <t>Ventas HoReCa</t>
        </is>
      </c>
      <c r="K4074" t="inlineStr">
        <is>
          <t>CH1</t>
        </is>
      </c>
    </row>
    <row r="4075">
      <c r="A4075" s="33" t="n">
        <v>46002</v>
      </c>
      <c r="B4075" t="inlineStr">
        <is>
          <t>2025-12</t>
        </is>
      </c>
      <c r="C4075" t="inlineStr">
        <is>
          <t>D&amp;S SERVICIOS DE ALIMENTACIÓN SpA</t>
        </is>
      </c>
      <c r="D4075" t="inlineStr">
        <is>
          <t xml:space="preserve">THE COFFEE STORE </t>
        </is>
      </c>
      <c r="E4075" s="34" t="n">
        <v>44705</v>
      </c>
      <c r="F4075" t="inlineStr">
        <is>
          <t>F</t>
        </is>
      </c>
      <c r="G4075" s="34" t="n">
        <v>7138</v>
      </c>
      <c r="H4075" s="34" t="n">
        <v>37567</v>
      </c>
      <c r="I4075" t="inlineStr">
        <is>
          <t>3.1</t>
        </is>
      </c>
      <c r="J4075" t="inlineStr">
        <is>
          <t>Ventas HoReCa</t>
        </is>
      </c>
      <c r="K4075" t="inlineStr">
        <is>
          <t>CH1</t>
        </is>
      </c>
    </row>
    <row r="4076">
      <c r="A4076" s="33" t="n">
        <v>46002</v>
      </c>
      <c r="B4076" t="inlineStr">
        <is>
          <t>2025-12</t>
        </is>
      </c>
      <c r="C4076" t="inlineStr">
        <is>
          <t>GALO SPA</t>
        </is>
      </c>
      <c r="D4076" t="inlineStr">
        <is>
          <t>HORECA CAFETERIA</t>
        </is>
      </c>
      <c r="E4076" s="34" t="n">
        <v>238595</v>
      </c>
      <c r="F4076" t="inlineStr">
        <is>
          <t>F</t>
        </is>
      </c>
      <c r="G4076" s="34" t="n">
        <v>38095</v>
      </c>
      <c r="H4076" s="34" t="n">
        <v>200500</v>
      </c>
      <c r="I4076" t="inlineStr">
        <is>
          <t>3.1</t>
        </is>
      </c>
      <c r="J4076" t="inlineStr">
        <is>
          <t>Ventas HoReCa</t>
        </is>
      </c>
      <c r="K4076" t="inlineStr">
        <is>
          <t>CH1</t>
        </is>
      </c>
    </row>
    <row r="4077">
      <c r="A4077" s="33" t="n">
        <v>46002</v>
      </c>
      <c r="B4077" t="inlineStr">
        <is>
          <t>2025-12</t>
        </is>
      </c>
      <c r="C4077" t="inlineStr">
        <is>
          <t>Kanako Sekiguchi</t>
        </is>
      </c>
      <c r="D4077" t="inlineStr">
        <is>
          <t>Delicatessen</t>
        </is>
      </c>
      <c r="E4077" s="34" t="n">
        <v>29800</v>
      </c>
      <c r="F4077" t="inlineStr">
        <is>
          <t>B</t>
        </is>
      </c>
      <c r="G4077" s="34" t="n">
        <v>4758</v>
      </c>
      <c r="H4077" s="34" t="n">
        <v>25042</v>
      </c>
      <c r="I4077" t="inlineStr">
        <is>
          <t>3.2</t>
        </is>
      </c>
      <c r="J4077" t="inlineStr">
        <is>
          <t>Ventas Personas (B2C)</t>
        </is>
      </c>
      <c r="K4077" t="inlineStr">
        <is>
          <t>CH2</t>
        </is>
      </c>
    </row>
    <row r="4078">
      <c r="A4078" s="33" t="n">
        <v>46002</v>
      </c>
      <c r="B4078" t="inlineStr">
        <is>
          <t>2025-12</t>
        </is>
      </c>
      <c r="C4078" t="inlineStr">
        <is>
          <t>Angélica Palacios Martínez</t>
        </is>
      </c>
      <c r="D4078" t="inlineStr">
        <is>
          <t>Petit Tradicional</t>
        </is>
      </c>
      <c r="E4078" s="34" t="n">
        <v>14390</v>
      </c>
      <c r="F4078" t="inlineStr">
        <is>
          <t>B</t>
        </is>
      </c>
      <c r="G4078" s="34" t="n">
        <v>2298</v>
      </c>
      <c r="H4078" s="34" t="n">
        <v>12092</v>
      </c>
      <c r="I4078" t="inlineStr">
        <is>
          <t>3.2</t>
        </is>
      </c>
      <c r="J4078" t="inlineStr">
        <is>
          <t>Ventas Personas (B2C)</t>
        </is>
      </c>
      <c r="K4078" t="inlineStr">
        <is>
          <t>CH2</t>
        </is>
      </c>
    </row>
    <row r="4079">
      <c r="A4079" s="33" t="n">
        <v>46002</v>
      </c>
      <c r="B4079" t="inlineStr">
        <is>
          <t>2025-12</t>
        </is>
      </c>
      <c r="C4079" t="inlineStr">
        <is>
          <t>Sin cliente</t>
        </is>
      </c>
      <c r="D4079" t="inlineStr">
        <is>
          <t>PLATAFORMAS RAP-PEYA-UBER-GOOD</t>
        </is>
      </c>
      <c r="E4079" s="34" t="n">
        <v>3000</v>
      </c>
      <c r="F4079" t="inlineStr">
        <is>
          <t>B</t>
        </is>
      </c>
      <c r="G4079" s="34" t="n">
        <v>479</v>
      </c>
      <c r="H4079" s="34" t="n">
        <v>2521</v>
      </c>
      <c r="I4079" t="inlineStr">
        <is>
          <t>3.6</t>
        </is>
      </c>
      <c r="J4079" t="inlineStr">
        <is>
          <t>Ventas Delivery Apps</t>
        </is>
      </c>
      <c r="K4079" t="inlineStr">
        <is>
          <t>CH3</t>
        </is>
      </c>
    </row>
    <row r="4080">
      <c r="A4080" s="33" t="n">
        <v>46002</v>
      </c>
      <c r="B4080" t="inlineStr">
        <is>
          <t>2025-12</t>
        </is>
      </c>
      <c r="C4080" t="inlineStr">
        <is>
          <t>Sin cliente</t>
        </is>
      </c>
      <c r="D4080" t="inlineStr">
        <is>
          <t>CANELÉ TRADICIONAL</t>
        </is>
      </c>
      <c r="E4080" s="34" t="n">
        <v>67100</v>
      </c>
      <c r="F4080" t="inlineStr">
        <is>
          <t>B</t>
        </is>
      </c>
      <c r="G4080" s="34" t="n">
        <v>10713</v>
      </c>
      <c r="H4080" s="34" t="n">
        <v>56387</v>
      </c>
      <c r="I4080" t="inlineStr">
        <is>
          <t>3.2</t>
        </is>
      </c>
      <c r="J4080" t="inlineStr">
        <is>
          <t>Ventas Personas (B2C)</t>
        </is>
      </c>
      <c r="K4080" t="inlineStr">
        <is>
          <t>CH2</t>
        </is>
      </c>
    </row>
    <row r="4081">
      <c r="A4081" s="33" t="n">
        <v>46002</v>
      </c>
      <c r="B4081" t="inlineStr">
        <is>
          <t>2025-12</t>
        </is>
      </c>
      <c r="C4081" t="inlineStr">
        <is>
          <t>ROLANDO ENRIQUE BUSTOS SANTIS</t>
        </is>
      </c>
      <c r="D4081" t="inlineStr">
        <is>
          <t>Rellenos</t>
        </is>
      </c>
      <c r="E4081" s="34" t="n">
        <v>60090</v>
      </c>
      <c r="F4081" t="inlineStr">
        <is>
          <t>B</t>
        </is>
      </c>
      <c r="G4081" s="34" t="n">
        <v>9594</v>
      </c>
      <c r="H4081" s="34" t="n">
        <v>50496</v>
      </c>
      <c r="I4081" t="inlineStr">
        <is>
          <t>3.2</t>
        </is>
      </c>
      <c r="J4081" t="inlineStr">
        <is>
          <t>Ventas Personas (B2C)</t>
        </is>
      </c>
      <c r="K4081" t="inlineStr">
        <is>
          <t>CH2</t>
        </is>
      </c>
    </row>
    <row r="4082">
      <c r="A4082" s="33" t="n">
        <v>46002</v>
      </c>
      <c r="B4082" t="inlineStr">
        <is>
          <t>2025-12</t>
        </is>
      </c>
      <c r="C4082" t="inlineStr">
        <is>
          <t>Maho Ishiwata</t>
        </is>
      </c>
      <c r="D4082" t="inlineStr">
        <is>
          <t>Petit Crunchy</t>
        </is>
      </c>
      <c r="E4082" s="34" t="n">
        <v>26800</v>
      </c>
      <c r="F4082" t="inlineStr">
        <is>
          <t>B</t>
        </is>
      </c>
      <c r="G4082" s="34" t="n">
        <v>4279</v>
      </c>
      <c r="H4082" s="34" t="n">
        <v>22521</v>
      </c>
      <c r="I4082" t="inlineStr">
        <is>
          <t>3.2</t>
        </is>
      </c>
      <c r="J4082" t="inlineStr">
        <is>
          <t>Ventas Personas (B2C)</t>
        </is>
      </c>
      <c r="K4082" t="inlineStr">
        <is>
          <t>CH2</t>
        </is>
      </c>
    </row>
    <row r="4083">
      <c r="A4083" s="33" t="n">
        <v>46002</v>
      </c>
      <c r="B4083" t="inlineStr">
        <is>
          <t>2025-12</t>
        </is>
      </c>
      <c r="C4083" t="inlineStr">
        <is>
          <t>Martin Araya</t>
        </is>
      </c>
      <c r="D4083" t="inlineStr">
        <is>
          <t>CANELE SIN AZUCAR</t>
        </is>
      </c>
      <c r="E4083" s="34" t="n">
        <v>53290</v>
      </c>
      <c r="F4083" t="inlineStr">
        <is>
          <t>B</t>
        </is>
      </c>
      <c r="G4083" s="34" t="n">
        <v>8508</v>
      </c>
      <c r="H4083" s="34" t="n">
        <v>44782</v>
      </c>
      <c r="I4083" t="inlineStr">
        <is>
          <t>3.2</t>
        </is>
      </c>
      <c r="J4083" t="inlineStr">
        <is>
          <t>Ventas Personas (B2C)</t>
        </is>
      </c>
      <c r="K4083" t="inlineStr">
        <is>
          <t>CH2</t>
        </is>
      </c>
    </row>
    <row r="4084">
      <c r="A4084" s="33" t="n">
        <v>46002</v>
      </c>
      <c r="B4084" t="inlineStr">
        <is>
          <t>2025-12</t>
        </is>
      </c>
      <c r="C4084" t="inlineStr">
        <is>
          <t>Sin cliente</t>
        </is>
      </c>
      <c r="D4084" t="inlineStr">
        <is>
          <t>Petit Tradicional</t>
        </is>
      </c>
      <c r="E4084" s="34" t="n">
        <v>20900</v>
      </c>
      <c r="F4084" t="inlineStr">
        <is>
          <t>B</t>
        </is>
      </c>
      <c r="G4084" s="34" t="n">
        <v>3337</v>
      </c>
      <c r="H4084" s="34" t="n">
        <v>17563</v>
      </c>
      <c r="I4084" t="inlineStr">
        <is>
          <t>3.2</t>
        </is>
      </c>
      <c r="J4084" t="inlineStr">
        <is>
          <t>Ventas Personas (B2C)</t>
        </is>
      </c>
      <c r="K4084" t="inlineStr">
        <is>
          <t>CH2</t>
        </is>
      </c>
    </row>
    <row r="4085">
      <c r="A4085" s="33" t="n">
        <v>46002</v>
      </c>
      <c r="B4085" t="inlineStr">
        <is>
          <t>2025-12</t>
        </is>
      </c>
      <c r="C4085" t="inlineStr">
        <is>
          <t>Cocoshouse Spa</t>
        </is>
      </c>
      <c r="D4085" t="inlineStr">
        <is>
          <t>HORECA CAFETERIA</t>
        </is>
      </c>
      <c r="E4085" s="34" t="n">
        <v>71210</v>
      </c>
      <c r="F4085" t="inlineStr">
        <is>
          <t>B</t>
        </is>
      </c>
      <c r="G4085" s="34" t="n">
        <v>11370</v>
      </c>
      <c r="H4085" s="34" t="n">
        <v>59840</v>
      </c>
      <c r="I4085" t="inlineStr">
        <is>
          <t>3.1</t>
        </is>
      </c>
      <c r="J4085" t="inlineStr">
        <is>
          <t>Ventas HoReCa</t>
        </is>
      </c>
      <c r="K4085" t="inlineStr">
        <is>
          <t>CH1</t>
        </is>
      </c>
    </row>
    <row r="4086">
      <c r="A4086" s="33" t="n">
        <v>46002</v>
      </c>
      <c r="B4086" t="inlineStr">
        <is>
          <t>2025-12</t>
        </is>
      </c>
      <c r="C4086" t="inlineStr">
        <is>
          <t>Cocoshouse Spa</t>
        </is>
      </c>
      <c r="D4086" t="inlineStr">
        <is>
          <t>HORECA CAFETERIA</t>
        </is>
      </c>
      <c r="E4086" s="34" t="n">
        <v>-71210</v>
      </c>
      <c r="F4086" t="inlineStr">
        <is>
          <t>NC</t>
        </is>
      </c>
      <c r="G4086" s="34" t="n">
        <v>-11370</v>
      </c>
      <c r="H4086" s="34" t="n">
        <v>-59840</v>
      </c>
      <c r="I4086" t="inlineStr">
        <is>
          <t>3.1</t>
        </is>
      </c>
      <c r="J4086" t="inlineStr">
        <is>
          <t>Ventas HoReCa</t>
        </is>
      </c>
      <c r="K4086" t="inlineStr">
        <is>
          <t>CH1</t>
        </is>
      </c>
    </row>
    <row r="4087">
      <c r="A4087" s="33" t="n">
        <v>46002</v>
      </c>
      <c r="B4087" t="inlineStr">
        <is>
          <t>2025-12</t>
        </is>
      </c>
      <c r="C4087" t="inlineStr">
        <is>
          <t>Javiera Valdivieso</t>
        </is>
      </c>
      <c r="D4087" t="inlineStr">
        <is>
          <t>CANELE SIN AZUCAR</t>
        </is>
      </c>
      <c r="E4087" s="34" t="n">
        <v>17790</v>
      </c>
      <c r="F4087" t="inlineStr">
        <is>
          <t>B</t>
        </is>
      </c>
      <c r="G4087" s="34" t="n">
        <v>2840</v>
      </c>
      <c r="H4087" s="34" t="n">
        <v>14950</v>
      </c>
      <c r="I4087" t="inlineStr">
        <is>
          <t>3.2</t>
        </is>
      </c>
      <c r="J4087" t="inlineStr">
        <is>
          <t>Ventas Personas (B2C)</t>
        </is>
      </c>
      <c r="K4087" t="inlineStr">
        <is>
          <t>CH2</t>
        </is>
      </c>
    </row>
    <row r="4088">
      <c r="A4088" s="33" t="n">
        <v>46002</v>
      </c>
      <c r="B4088" t="inlineStr">
        <is>
          <t>2025-12</t>
        </is>
      </c>
      <c r="C4088" t="inlineStr">
        <is>
          <t>Cocoshouse Spa</t>
        </is>
      </c>
      <c r="D4088" t="inlineStr">
        <is>
          <t>HORECA CAFETERIA</t>
        </is>
      </c>
      <c r="E4088" s="34" t="n">
        <v>71210</v>
      </c>
      <c r="F4088" t="inlineStr">
        <is>
          <t>F</t>
        </is>
      </c>
      <c r="G4088" s="34" t="n">
        <v>11370</v>
      </c>
      <c r="H4088" s="34" t="n">
        <v>59840</v>
      </c>
      <c r="I4088" t="inlineStr">
        <is>
          <t>3.1</t>
        </is>
      </c>
      <c r="J4088" t="inlineStr">
        <is>
          <t>Ventas HoReCa</t>
        </is>
      </c>
      <c r="K4088" t="inlineStr">
        <is>
          <t>CH1</t>
        </is>
      </c>
    </row>
    <row r="4089">
      <c r="A4089" s="33" t="n">
        <v>46002</v>
      </c>
      <c r="B4089" t="inlineStr">
        <is>
          <t>2025-12</t>
        </is>
      </c>
      <c r="C4089" t="inlineStr">
        <is>
          <t>Francisco Gil Bulacio</t>
        </is>
      </c>
      <c r="D4089" t="inlineStr">
        <is>
          <t>Edición Navidad</t>
        </is>
      </c>
      <c r="E4089" s="34" t="n">
        <v>32290</v>
      </c>
      <c r="F4089" t="inlineStr">
        <is>
          <t>B</t>
        </is>
      </c>
      <c r="G4089" s="34" t="n">
        <v>5156</v>
      </c>
      <c r="H4089" s="34" t="n">
        <v>27134</v>
      </c>
      <c r="I4089" t="inlineStr">
        <is>
          <t>3.2</t>
        </is>
      </c>
      <c r="J4089" t="inlineStr">
        <is>
          <t>Ventas Personas (B2C)</t>
        </is>
      </c>
      <c r="K4089" t="inlineStr">
        <is>
          <t>CH2</t>
        </is>
      </c>
    </row>
    <row r="4090">
      <c r="A4090" s="33" t="n">
        <v>46002</v>
      </c>
      <c r="B4090" t="inlineStr">
        <is>
          <t>2025-12</t>
        </is>
      </c>
      <c r="C4090" t="inlineStr">
        <is>
          <t>Muriel Muñoz</t>
        </is>
      </c>
      <c r="D4090" t="inlineStr">
        <is>
          <t>CANELE SIN AZUCAR</t>
        </is>
      </c>
      <c r="E4090" s="34" t="n">
        <v>256507</v>
      </c>
      <c r="F4090" t="inlineStr">
        <is>
          <t>B</t>
        </is>
      </c>
      <c r="G4090" s="34" t="n">
        <v>40955</v>
      </c>
      <c r="H4090" s="34" t="n">
        <v>215552</v>
      </c>
      <c r="I4090" t="inlineStr">
        <is>
          <t>3.2</t>
        </is>
      </c>
      <c r="J4090" t="inlineStr">
        <is>
          <t>Ventas Personas (B2C)</t>
        </is>
      </c>
      <c r="K4090" t="inlineStr">
        <is>
          <t>CH2</t>
        </is>
      </c>
    </row>
    <row r="4091">
      <c r="A4091" s="33" t="n">
        <v>46002</v>
      </c>
      <c r="B4091" t="inlineStr">
        <is>
          <t>2025-12</t>
        </is>
      </c>
      <c r="C4091" t="inlineStr">
        <is>
          <t>Belén Pascale Alamo Morales</t>
        </is>
      </c>
      <c r="D4091" t="inlineStr">
        <is>
          <t>Petit Crunchy</t>
        </is>
      </c>
      <c r="E4091" s="34" t="n">
        <v>34900</v>
      </c>
      <c r="F4091" t="inlineStr">
        <is>
          <t>B</t>
        </is>
      </c>
      <c r="G4091" s="34" t="n">
        <v>5572</v>
      </c>
      <c r="H4091" s="34" t="n">
        <v>29328</v>
      </c>
      <c r="I4091" t="inlineStr">
        <is>
          <t>3.2</t>
        </is>
      </c>
      <c r="J4091" t="inlineStr">
        <is>
          <t>Ventas Personas (B2C)</t>
        </is>
      </c>
      <c r="K4091" t="inlineStr">
        <is>
          <t>CH2</t>
        </is>
      </c>
    </row>
    <row r="4092">
      <c r="A4092" s="33" t="n">
        <v>46002</v>
      </c>
      <c r="B4092" t="inlineStr">
        <is>
          <t>2025-12</t>
        </is>
      </c>
      <c r="C4092" t="inlineStr">
        <is>
          <t>Carmen Lastra</t>
        </is>
      </c>
      <c r="D4092" t="inlineStr">
        <is>
          <t>CANELÉ TRADICIONAL</t>
        </is>
      </c>
      <c r="E4092" s="34" t="n">
        <v>30390</v>
      </c>
      <c r="F4092" t="inlineStr">
        <is>
          <t>B</t>
        </is>
      </c>
      <c r="G4092" s="34" t="n">
        <v>4852</v>
      </c>
      <c r="H4092" s="34" t="n">
        <v>25538</v>
      </c>
      <c r="I4092" t="inlineStr">
        <is>
          <t>3.2</t>
        </is>
      </c>
      <c r="J4092" t="inlineStr">
        <is>
          <t>Ventas Personas (B2C)</t>
        </is>
      </c>
      <c r="K4092" t="inlineStr">
        <is>
          <t>CH2</t>
        </is>
      </c>
    </row>
    <row r="4093">
      <c r="A4093" s="33" t="n">
        <v>46002</v>
      </c>
      <c r="B4093" t="inlineStr">
        <is>
          <t>2025-12</t>
        </is>
      </c>
      <c r="C4093" t="inlineStr">
        <is>
          <t>Sofía Espinoza</t>
        </is>
      </c>
      <c r="D4093" t="inlineStr">
        <is>
          <t>Edición Navidad</t>
        </is>
      </c>
      <c r="E4093" s="34" t="n">
        <v>16470</v>
      </c>
      <c r="F4093" t="inlineStr">
        <is>
          <t>B</t>
        </is>
      </c>
      <c r="G4093" s="34" t="n">
        <v>2630</v>
      </c>
      <c r="H4093" s="34" t="n">
        <v>13840</v>
      </c>
      <c r="I4093" t="inlineStr">
        <is>
          <t>3.2</t>
        </is>
      </c>
      <c r="J4093" t="inlineStr">
        <is>
          <t>Ventas Personas (B2C)</t>
        </is>
      </c>
      <c r="K4093" t="inlineStr">
        <is>
          <t>CH2</t>
        </is>
      </c>
    </row>
    <row r="4094">
      <c r="A4094" s="33" t="n">
        <v>46003</v>
      </c>
      <c r="B4094" t="inlineStr">
        <is>
          <t>2025-12</t>
        </is>
      </c>
      <c r="C4094" t="inlineStr">
        <is>
          <t>PRODUCTORA DE EVENTOS AGDV SPA</t>
        </is>
      </c>
      <c r="D4094" t="inlineStr">
        <is>
          <t>HORECA CATERING</t>
        </is>
      </c>
      <c r="E4094" s="34" t="n">
        <v>63665</v>
      </c>
      <c r="F4094" t="inlineStr">
        <is>
          <t>F</t>
        </is>
      </c>
      <c r="G4094" s="34" t="n">
        <v>10165</v>
      </c>
      <c r="H4094" s="34" t="n">
        <v>53500</v>
      </c>
      <c r="I4094" t="inlineStr">
        <is>
          <t>3.1</t>
        </is>
      </c>
      <c r="J4094" t="inlineStr">
        <is>
          <t>Ventas HoReCa</t>
        </is>
      </c>
      <c r="K4094" t="inlineStr">
        <is>
          <t>CH1</t>
        </is>
      </c>
    </row>
    <row r="4095">
      <c r="A4095" s="33" t="n">
        <v>46003</v>
      </c>
      <c r="B4095" t="inlineStr">
        <is>
          <t>2025-12</t>
        </is>
      </c>
      <c r="C4095" t="inlineStr">
        <is>
          <t>HUERTO SUR LIMITADA</t>
        </is>
      </c>
      <c r="D4095" t="inlineStr">
        <is>
          <t>REGION METROPOLITANA</t>
        </is>
      </c>
      <c r="E4095" s="34" t="n">
        <v>310260</v>
      </c>
      <c r="F4095" t="inlineStr">
        <is>
          <t>F</t>
        </is>
      </c>
      <c r="G4095" s="34" t="n">
        <v>49537</v>
      </c>
      <c r="H4095" s="34" t="n">
        <v>260723</v>
      </c>
      <c r="I4095" t="inlineStr">
        <is>
          <t>3.1</t>
        </is>
      </c>
      <c r="J4095" t="inlineStr">
        <is>
          <t>Ventas HoReCa</t>
        </is>
      </c>
      <c r="K4095" t="inlineStr">
        <is>
          <t>CH1</t>
        </is>
      </c>
    </row>
    <row r="4096">
      <c r="A4096" s="33" t="n">
        <v>46003</v>
      </c>
      <c r="B4096" t="inlineStr">
        <is>
          <t>2025-12</t>
        </is>
      </c>
      <c r="C4096" t="inlineStr">
        <is>
          <t>Sociedad de inversiones solari y acuña spa</t>
        </is>
      </c>
      <c r="D4096" t="inlineStr">
        <is>
          <t>HORECA CAFETERIA</t>
        </is>
      </c>
      <c r="E4096" s="34" t="n">
        <v>168504</v>
      </c>
      <c r="F4096" t="inlineStr">
        <is>
          <t>F</t>
        </is>
      </c>
      <c r="G4096" s="34" t="n">
        <v>26904</v>
      </c>
      <c r="H4096" s="34" t="n">
        <v>141600</v>
      </c>
      <c r="I4096" t="inlineStr">
        <is>
          <t>3.1</t>
        </is>
      </c>
      <c r="J4096" t="inlineStr">
        <is>
          <t>Ventas HoReCa</t>
        </is>
      </c>
      <c r="K4096" t="inlineStr">
        <is>
          <t>CH1</t>
        </is>
      </c>
    </row>
    <row r="4097">
      <c r="A4097" s="33" t="n">
        <v>46003</v>
      </c>
      <c r="B4097" t="inlineStr">
        <is>
          <t>2025-12</t>
        </is>
      </c>
      <c r="C4097" t="inlineStr">
        <is>
          <t>Yeyeong Cho</t>
        </is>
      </c>
      <c r="D4097" t="inlineStr">
        <is>
          <t>Rellenos</t>
        </is>
      </c>
      <c r="E4097" s="34" t="n">
        <v>198500</v>
      </c>
      <c r="F4097" t="inlineStr">
        <is>
          <t>B</t>
        </is>
      </c>
      <c r="G4097" s="34" t="n">
        <v>31693</v>
      </c>
      <c r="H4097" s="34" t="n">
        <v>166807</v>
      </c>
      <c r="I4097" t="inlineStr">
        <is>
          <t>3.1</t>
        </is>
      </c>
      <c r="J4097" t="inlineStr">
        <is>
          <t>Ventas HoReCa</t>
        </is>
      </c>
      <c r="K4097" t="inlineStr">
        <is>
          <t>CH1</t>
        </is>
      </c>
    </row>
    <row r="4098">
      <c r="A4098" s="33" t="n">
        <v>46003</v>
      </c>
      <c r="B4098" t="inlineStr">
        <is>
          <t>2025-12</t>
        </is>
      </c>
      <c r="C4098" t="inlineStr">
        <is>
          <t>Sergio Moraga Garay</t>
        </is>
      </c>
      <c r="D4098" t="inlineStr">
        <is>
          <t>Rellenos</t>
        </is>
      </c>
      <c r="E4098" s="34" t="n">
        <v>26290</v>
      </c>
      <c r="F4098" t="inlineStr">
        <is>
          <t>B</t>
        </is>
      </c>
      <c r="G4098" s="34" t="n">
        <v>4198</v>
      </c>
      <c r="H4098" s="34" t="n">
        <v>22092</v>
      </c>
      <c r="I4098" t="inlineStr">
        <is>
          <t>3.2</t>
        </is>
      </c>
      <c r="J4098" t="inlineStr">
        <is>
          <t>Ventas Personas (B2C)</t>
        </is>
      </c>
      <c r="K4098" t="inlineStr">
        <is>
          <t>CH2</t>
        </is>
      </c>
    </row>
    <row r="4099">
      <c r="A4099" s="33" t="n">
        <v>46003</v>
      </c>
      <c r="B4099" t="inlineStr">
        <is>
          <t>2025-12</t>
        </is>
      </c>
      <c r="C4099" t="inlineStr">
        <is>
          <t>Sin cliente</t>
        </is>
      </c>
      <c r="D4099" t="inlineStr">
        <is>
          <t>CANELÉ TRADICIONAL</t>
        </is>
      </c>
      <c r="E4099" s="34" t="n">
        <v>48700</v>
      </c>
      <c r="F4099" t="inlineStr">
        <is>
          <t>B</t>
        </is>
      </c>
      <c r="G4099" s="34" t="n">
        <v>7776</v>
      </c>
      <c r="H4099" s="34" t="n">
        <v>40924</v>
      </c>
      <c r="I4099" t="inlineStr">
        <is>
          <t>3.2</t>
        </is>
      </c>
      <c r="J4099" t="inlineStr">
        <is>
          <t>Ventas Personas (B2C)</t>
        </is>
      </c>
      <c r="K4099" t="inlineStr">
        <is>
          <t>CH2</t>
        </is>
      </c>
    </row>
    <row r="4100">
      <c r="A4100" s="33" t="n">
        <v>46003</v>
      </c>
      <c r="B4100" t="inlineStr">
        <is>
          <t>2025-12</t>
        </is>
      </c>
      <c r="C4100" t="inlineStr">
        <is>
          <t>Sin cliente</t>
        </is>
      </c>
      <c r="D4100" t="inlineStr">
        <is>
          <t>Petit Tradicional</t>
        </is>
      </c>
      <c r="E4100" s="34" t="n">
        <v>8900</v>
      </c>
      <c r="F4100" t="inlineStr">
        <is>
          <t>B</t>
        </is>
      </c>
      <c r="G4100" s="34" t="n">
        <v>1421</v>
      </c>
      <c r="H4100" s="34" t="n">
        <v>7479</v>
      </c>
      <c r="I4100" t="inlineStr">
        <is>
          <t>3.2</t>
        </is>
      </c>
      <c r="J4100" t="inlineStr">
        <is>
          <t>Ventas Personas (B2C)</t>
        </is>
      </c>
      <c r="K4100" t="inlineStr">
        <is>
          <t>CH2</t>
        </is>
      </c>
    </row>
    <row r="4101">
      <c r="A4101" s="33" t="n">
        <v>46003</v>
      </c>
      <c r="B4101" t="inlineStr">
        <is>
          <t>2025-12</t>
        </is>
      </c>
      <c r="C4101" t="inlineStr">
        <is>
          <t>Raquel Franceschi</t>
        </is>
      </c>
      <c r="D4101" t="inlineStr">
        <is>
          <t>CANELE SIN AZUCAR</t>
        </is>
      </c>
      <c r="E4101" s="34" t="n">
        <v>18990</v>
      </c>
      <c r="F4101" t="inlineStr">
        <is>
          <t>B</t>
        </is>
      </c>
      <c r="G4101" s="34" t="n">
        <v>3032</v>
      </c>
      <c r="H4101" s="34" t="n">
        <v>15958</v>
      </c>
      <c r="I4101" t="inlineStr">
        <is>
          <t>3.2</t>
        </is>
      </c>
      <c r="J4101" t="inlineStr">
        <is>
          <t>Ventas Personas (B2C)</t>
        </is>
      </c>
      <c r="K4101" t="inlineStr">
        <is>
          <t>CH2</t>
        </is>
      </c>
    </row>
    <row r="4102">
      <c r="A4102" s="33" t="n">
        <v>46003</v>
      </c>
      <c r="B4102" t="inlineStr">
        <is>
          <t>2025-12</t>
        </is>
      </c>
      <c r="C4102" t="inlineStr">
        <is>
          <t>Sin cliente</t>
        </is>
      </c>
      <c r="D4102" t="inlineStr">
        <is>
          <t>PLATAFORMAS RAP-PEYA-UBER-GOOD</t>
        </is>
      </c>
      <c r="E4102" s="34" t="n">
        <v>20280</v>
      </c>
      <c r="F4102" t="inlineStr">
        <is>
          <t>B</t>
        </is>
      </c>
      <c r="G4102" s="34" t="n">
        <v>3238</v>
      </c>
      <c r="H4102" s="34" t="n">
        <v>17042</v>
      </c>
      <c r="I4102" t="inlineStr">
        <is>
          <t>3.6</t>
        </is>
      </c>
      <c r="J4102" t="inlineStr">
        <is>
          <t>Ventas Delivery Apps</t>
        </is>
      </c>
      <c r="K4102" t="inlineStr">
        <is>
          <t>CH3</t>
        </is>
      </c>
    </row>
    <row r="4103">
      <c r="A4103" s="33" t="n">
        <v>46003</v>
      </c>
      <c r="B4103" t="inlineStr">
        <is>
          <t>2025-12</t>
        </is>
      </c>
      <c r="C4103" t="inlineStr">
        <is>
          <t>GENESIS WU</t>
        </is>
      </c>
      <c r="D4103" t="inlineStr">
        <is>
          <t>CANELÉ TRADICIONAL</t>
        </is>
      </c>
      <c r="E4103" s="34" t="n">
        <v>33890</v>
      </c>
      <c r="F4103" t="inlineStr">
        <is>
          <t>B</t>
        </is>
      </c>
      <c r="G4103" s="34" t="n">
        <v>5411</v>
      </c>
      <c r="H4103" s="34" t="n">
        <v>28479</v>
      </c>
      <c r="I4103" t="inlineStr">
        <is>
          <t>3.2</t>
        </is>
      </c>
      <c r="J4103" t="inlineStr">
        <is>
          <t>Ventas Personas (B2C)</t>
        </is>
      </c>
      <c r="K4103" t="inlineStr">
        <is>
          <t>CH2</t>
        </is>
      </c>
    </row>
    <row r="4104">
      <c r="A4104" s="33" t="n">
        <v>46003</v>
      </c>
      <c r="B4104" t="inlineStr">
        <is>
          <t>2025-12</t>
        </is>
      </c>
      <c r="C4104" t="inlineStr">
        <is>
          <t>Sin cliente</t>
        </is>
      </c>
      <c r="D4104" t="inlineStr">
        <is>
          <t>Rellenos</t>
        </is>
      </c>
      <c r="E4104" s="34" t="n">
        <v>39360</v>
      </c>
      <c r="F4104" t="inlineStr">
        <is>
          <t>B</t>
        </is>
      </c>
      <c r="G4104" s="34" t="n">
        <v>6284</v>
      </c>
      <c r="H4104" s="34" t="n">
        <v>33076</v>
      </c>
      <c r="I4104" t="inlineStr">
        <is>
          <t>3.2</t>
        </is>
      </c>
      <c r="J4104" t="inlineStr">
        <is>
          <t>Ventas Personas (B2C)</t>
        </is>
      </c>
      <c r="K4104" t="inlineStr">
        <is>
          <t>CH2</t>
        </is>
      </c>
    </row>
    <row r="4105">
      <c r="A4105" s="33" t="n">
        <v>46003</v>
      </c>
      <c r="B4105" t="inlineStr">
        <is>
          <t>2025-12</t>
        </is>
      </c>
      <c r="C4105" t="inlineStr">
        <is>
          <t>Francisco Pizarro</t>
        </is>
      </c>
      <c r="D4105" t="inlineStr">
        <is>
          <t>Petit Tradicional</t>
        </is>
      </c>
      <c r="E4105" s="34" t="n">
        <v>26390</v>
      </c>
      <c r="F4105" t="inlineStr">
        <is>
          <t>B</t>
        </is>
      </c>
      <c r="G4105" s="34" t="n">
        <v>4214</v>
      </c>
      <c r="H4105" s="34" t="n">
        <v>22176</v>
      </c>
      <c r="I4105" t="inlineStr">
        <is>
          <t>3.2</t>
        </is>
      </c>
      <c r="J4105" t="inlineStr">
        <is>
          <t>Ventas Personas (B2C)</t>
        </is>
      </c>
      <c r="K4105" t="inlineStr">
        <is>
          <t>CH2</t>
        </is>
      </c>
    </row>
    <row r="4106">
      <c r="A4106" s="33" t="n">
        <v>46003</v>
      </c>
      <c r="B4106" t="inlineStr">
        <is>
          <t>2025-12</t>
        </is>
      </c>
      <c r="C4106" t="inlineStr">
        <is>
          <t>Catherine Lathrop Rossi</t>
        </is>
      </c>
      <c r="D4106" t="inlineStr">
        <is>
          <t>CANELE SIN AZUCAR</t>
        </is>
      </c>
      <c r="E4106" s="34" t="n">
        <v>54590</v>
      </c>
      <c r="F4106" t="inlineStr">
        <is>
          <t>B</t>
        </is>
      </c>
      <c r="G4106" s="34" t="n">
        <v>8716</v>
      </c>
      <c r="H4106" s="34" t="n">
        <v>45874</v>
      </c>
      <c r="I4106" t="inlineStr">
        <is>
          <t>3.2</t>
        </is>
      </c>
      <c r="J4106" t="inlineStr">
        <is>
          <t>Ventas Personas (B2C)</t>
        </is>
      </c>
      <c r="K4106" t="inlineStr">
        <is>
          <t>CH2</t>
        </is>
      </c>
    </row>
    <row r="4107">
      <c r="A4107" s="33" t="n">
        <v>46003</v>
      </c>
      <c r="B4107" t="inlineStr">
        <is>
          <t>2025-12</t>
        </is>
      </c>
      <c r="C4107" t="inlineStr">
        <is>
          <t>Sin cliente</t>
        </is>
      </c>
      <c r="D4107" t="inlineStr">
        <is>
          <t>Petit Crunchy</t>
        </is>
      </c>
      <c r="E4107" s="34" t="n">
        <v>49600</v>
      </c>
      <c r="F4107" t="inlineStr">
        <is>
          <t>B</t>
        </is>
      </c>
      <c r="G4107" s="34" t="n">
        <v>7919</v>
      </c>
      <c r="H4107" s="34" t="n">
        <v>41681</v>
      </c>
      <c r="I4107" t="inlineStr">
        <is>
          <t>3.2</t>
        </is>
      </c>
      <c r="J4107" t="inlineStr">
        <is>
          <t>Ventas Personas (B2C)</t>
        </is>
      </c>
      <c r="K4107" t="inlineStr">
        <is>
          <t>CH2</t>
        </is>
      </c>
    </row>
    <row r="4108">
      <c r="A4108" s="33" t="n">
        <v>46003</v>
      </c>
      <c r="B4108" t="inlineStr">
        <is>
          <t>2025-12</t>
        </is>
      </c>
      <c r="C4108" t="inlineStr">
        <is>
          <t>Daniela Ricke</t>
        </is>
      </c>
      <c r="D4108" t="inlineStr">
        <is>
          <t>Rellenos</t>
        </is>
      </c>
      <c r="E4108" s="34" t="n">
        <v>29290</v>
      </c>
      <c r="F4108" t="inlineStr">
        <is>
          <t>B</t>
        </is>
      </c>
      <c r="G4108" s="34" t="n">
        <v>4677</v>
      </c>
      <c r="H4108" s="34" t="n">
        <v>24613</v>
      </c>
      <c r="I4108" t="inlineStr">
        <is>
          <t>3.2</t>
        </is>
      </c>
      <c r="J4108" t="inlineStr">
        <is>
          <t>Ventas Personas (B2C)</t>
        </is>
      </c>
      <c r="K4108" t="inlineStr">
        <is>
          <t>CH2</t>
        </is>
      </c>
    </row>
    <row r="4109">
      <c r="A4109" s="33" t="n">
        <v>46003</v>
      </c>
      <c r="B4109" t="inlineStr">
        <is>
          <t>2025-12</t>
        </is>
      </c>
      <c r="C4109" t="inlineStr">
        <is>
          <t>Sin cliente</t>
        </is>
      </c>
      <c r="D4109" t="inlineStr">
        <is>
          <t>CANELÉ TRADICIONAL</t>
        </is>
      </c>
      <c r="E4109" s="34" t="n">
        <v>2500</v>
      </c>
      <c r="F4109" t="inlineStr">
        <is>
          <t>B</t>
        </is>
      </c>
      <c r="G4109" s="34" t="n">
        <v>399</v>
      </c>
      <c r="H4109" s="34" t="n">
        <v>2101</v>
      </c>
      <c r="I4109" t="inlineStr">
        <is>
          <t>3.2</t>
        </is>
      </c>
      <c r="J4109" t="inlineStr">
        <is>
          <t>Ventas Personas (B2C)</t>
        </is>
      </c>
      <c r="K4109" t="inlineStr">
        <is>
          <t>CH2</t>
        </is>
      </c>
    </row>
    <row r="4110">
      <c r="A4110" s="33" t="n">
        <v>46003</v>
      </c>
      <c r="B4110" t="inlineStr">
        <is>
          <t>2025-12</t>
        </is>
      </c>
      <c r="C4110" t="inlineStr">
        <is>
          <t>Sin cliente</t>
        </is>
      </c>
      <c r="D4110" t="inlineStr">
        <is>
          <t>CANELÉ TRADICIONAL</t>
        </is>
      </c>
      <c r="E4110" s="34" t="n">
        <v>2500</v>
      </c>
      <c r="F4110" t="inlineStr">
        <is>
          <t>B</t>
        </is>
      </c>
      <c r="G4110" s="34" t="n">
        <v>399</v>
      </c>
      <c r="H4110" s="34" t="n">
        <v>2101</v>
      </c>
      <c r="I4110" t="inlineStr">
        <is>
          <t>3.2</t>
        </is>
      </c>
      <c r="J4110" t="inlineStr">
        <is>
          <t>Ventas Personas (B2C)</t>
        </is>
      </c>
      <c r="K4110" t="inlineStr">
        <is>
          <t>CH2</t>
        </is>
      </c>
    </row>
    <row r="4111">
      <c r="A4111" s="33" t="n">
        <v>46003</v>
      </c>
      <c r="B4111" t="inlineStr">
        <is>
          <t>2025-12</t>
        </is>
      </c>
      <c r="C4111" t="inlineStr">
        <is>
          <t>NICOLE LAUREN BANQUETERIA.</t>
        </is>
      </c>
      <c r="D4111" t="inlineStr">
        <is>
          <t>HORECA CATERING</t>
        </is>
      </c>
      <c r="E4111" s="34" t="n">
        <v>134351</v>
      </c>
      <c r="F4111" t="inlineStr">
        <is>
          <t>F</t>
        </is>
      </c>
      <c r="G4111" s="34" t="n">
        <v>21451</v>
      </c>
      <c r="H4111" s="34" t="n">
        <v>112900</v>
      </c>
      <c r="I4111" t="inlineStr">
        <is>
          <t>3.1</t>
        </is>
      </c>
      <c r="J4111" t="inlineStr">
        <is>
          <t>Ventas HoReCa</t>
        </is>
      </c>
      <c r="K4111" t="inlineStr">
        <is>
          <t>CH1</t>
        </is>
      </c>
    </row>
    <row r="4112">
      <c r="A4112" s="33" t="n">
        <v>46003</v>
      </c>
      <c r="B4112" t="inlineStr">
        <is>
          <t>2025-12</t>
        </is>
      </c>
      <c r="C4112" t="inlineStr">
        <is>
          <t>NICOLE LAUREN BANQUETERIA.</t>
        </is>
      </c>
      <c r="D4112" t="inlineStr">
        <is>
          <t>HORECA CATERING</t>
        </is>
      </c>
      <c r="E4112" s="34" t="n">
        <v>693966</v>
      </c>
      <c r="F4112" t="inlineStr">
        <is>
          <t>F</t>
        </is>
      </c>
      <c r="G4112" s="34" t="n">
        <v>110801</v>
      </c>
      <c r="H4112" s="34" t="n">
        <v>583165</v>
      </c>
      <c r="I4112" t="inlineStr">
        <is>
          <t>3.1</t>
        </is>
      </c>
      <c r="J4112" t="inlineStr">
        <is>
          <t>Ventas HoReCa</t>
        </is>
      </c>
      <c r="K4112" t="inlineStr">
        <is>
          <t>CH1</t>
        </is>
      </c>
    </row>
    <row r="4113">
      <c r="A4113" s="33" t="n">
        <v>46003</v>
      </c>
      <c r="B4113" t="inlineStr">
        <is>
          <t>2025-12</t>
        </is>
      </c>
      <c r="C4113" t="inlineStr">
        <is>
          <t>Monica Serrano Varela</t>
        </is>
      </c>
      <c r="D4113" t="inlineStr">
        <is>
          <t>Petit Tradicional</t>
        </is>
      </c>
      <c r="E4113" s="34" t="n">
        <v>12900</v>
      </c>
      <c r="F4113" t="inlineStr">
        <is>
          <t>B</t>
        </is>
      </c>
      <c r="G4113" s="34" t="n">
        <v>2060</v>
      </c>
      <c r="H4113" s="34" t="n">
        <v>10840</v>
      </c>
      <c r="I4113" t="inlineStr">
        <is>
          <t>3.2</t>
        </is>
      </c>
      <c r="J4113" t="inlineStr">
        <is>
          <t>Ventas Personas (B2C)</t>
        </is>
      </c>
      <c r="K4113" t="inlineStr">
        <is>
          <t>CH2</t>
        </is>
      </c>
    </row>
    <row r="4114">
      <c r="A4114" s="33" t="n">
        <v>46003</v>
      </c>
      <c r="B4114" t="inlineStr">
        <is>
          <t>2025-12</t>
        </is>
      </c>
      <c r="C4114" t="inlineStr">
        <is>
          <t>CAFE DIARIO ENCOMENDEROS SPA</t>
        </is>
      </c>
      <c r="D4114" t="inlineStr">
        <is>
          <t>HORECA CAFETERIA</t>
        </is>
      </c>
      <c r="E4114" s="34" t="n">
        <v>108380</v>
      </c>
      <c r="F4114" t="inlineStr">
        <is>
          <t>F</t>
        </is>
      </c>
      <c r="G4114" s="34" t="n">
        <v>17304</v>
      </c>
      <c r="H4114" s="34" t="n">
        <v>91076</v>
      </c>
      <c r="I4114" t="inlineStr">
        <is>
          <t>3.1</t>
        </is>
      </c>
      <c r="J4114" t="inlineStr">
        <is>
          <t>Ventas HoReCa</t>
        </is>
      </c>
      <c r="K4114" t="inlineStr">
        <is>
          <t>CH1</t>
        </is>
      </c>
    </row>
    <row r="4115">
      <c r="A4115" s="33" t="n">
        <v>46004</v>
      </c>
      <c r="B4115" t="inlineStr">
        <is>
          <t>2025-12</t>
        </is>
      </c>
      <c r="C4115" t="inlineStr">
        <is>
          <t>Amparo Aguirre lyon</t>
        </is>
      </c>
      <c r="D4115" t="inlineStr">
        <is>
          <t>SALSAS</t>
        </is>
      </c>
      <c r="E4115" s="34" t="n">
        <v>40176</v>
      </c>
      <c r="F4115" t="inlineStr">
        <is>
          <t>B</t>
        </is>
      </c>
      <c r="G4115" s="34" t="n">
        <v>6415</v>
      </c>
      <c r="H4115" s="34" t="n">
        <v>33761</v>
      </c>
      <c r="I4115" t="inlineStr">
        <is>
          <t>3.2</t>
        </is>
      </c>
      <c r="J4115" t="inlineStr">
        <is>
          <t>Ventas Personas (B2C)</t>
        </is>
      </c>
      <c r="K4115" t="inlineStr">
        <is>
          <t>CH2</t>
        </is>
      </c>
    </row>
    <row r="4116">
      <c r="A4116" s="33" t="n">
        <v>46004</v>
      </c>
      <c r="B4116" t="inlineStr">
        <is>
          <t>2025-12</t>
        </is>
      </c>
      <c r="C4116" t="inlineStr">
        <is>
          <t>Marianela Ulloa</t>
        </is>
      </c>
      <c r="D4116" t="inlineStr">
        <is>
          <t>CANELÉ TRADICIONAL</t>
        </is>
      </c>
      <c r="E4116" s="34" t="n">
        <v>20390</v>
      </c>
      <c r="F4116" t="inlineStr">
        <is>
          <t>B</t>
        </is>
      </c>
      <c r="G4116" s="34" t="n">
        <v>3256</v>
      </c>
      <c r="H4116" s="34" t="n">
        <v>17134</v>
      </c>
      <c r="I4116" t="inlineStr">
        <is>
          <t>3.2</t>
        </is>
      </c>
      <c r="J4116" t="inlineStr">
        <is>
          <t>Ventas Personas (B2C)</t>
        </is>
      </c>
      <c r="K4116" t="inlineStr">
        <is>
          <t>CH2</t>
        </is>
      </c>
    </row>
    <row r="4117">
      <c r="A4117" s="33" t="n">
        <v>46004</v>
      </c>
      <c r="B4117" t="inlineStr">
        <is>
          <t>2025-12</t>
        </is>
      </c>
      <c r="C4117" t="inlineStr">
        <is>
          <t>Sin cliente</t>
        </is>
      </c>
      <c r="D4117" t="inlineStr">
        <is>
          <t>CANELÉ TRADICIONAL</t>
        </is>
      </c>
      <c r="E4117" s="34" t="n">
        <v>30400</v>
      </c>
      <c r="F4117" t="inlineStr">
        <is>
          <t>B</t>
        </is>
      </c>
      <c r="G4117" s="34" t="n">
        <v>4854</v>
      </c>
      <c r="H4117" s="34" t="n">
        <v>25546</v>
      </c>
      <c r="I4117" t="inlineStr">
        <is>
          <t>3.2</t>
        </is>
      </c>
      <c r="J4117" t="inlineStr">
        <is>
          <t>Ventas Personas (B2C)</t>
        </is>
      </c>
      <c r="K4117" t="inlineStr">
        <is>
          <t>CH2</t>
        </is>
      </c>
    </row>
    <row r="4118">
      <c r="A4118" s="33" t="n">
        <v>46004</v>
      </c>
      <c r="B4118" t="inlineStr">
        <is>
          <t>2025-12</t>
        </is>
      </c>
      <c r="C4118" t="inlineStr">
        <is>
          <t>Benjamin Retamal Fauré</t>
        </is>
      </c>
      <c r="D4118" t="inlineStr">
        <is>
          <t>Petit Crunchy</t>
        </is>
      </c>
      <c r="E4118" s="34" t="n">
        <v>13900</v>
      </c>
      <c r="F4118" t="inlineStr">
        <is>
          <t>B</t>
        </is>
      </c>
      <c r="G4118" s="34" t="n">
        <v>2219</v>
      </c>
      <c r="H4118" s="34" t="n">
        <v>11681</v>
      </c>
      <c r="I4118" t="inlineStr">
        <is>
          <t>3.2</t>
        </is>
      </c>
      <c r="J4118" t="inlineStr">
        <is>
          <t>Ventas Personas (B2C)</t>
        </is>
      </c>
      <c r="K4118" t="inlineStr">
        <is>
          <t>CH2</t>
        </is>
      </c>
    </row>
    <row r="4119">
      <c r="A4119" s="33" t="n">
        <v>46004</v>
      </c>
      <c r="B4119" t="inlineStr">
        <is>
          <t>2025-12</t>
        </is>
      </c>
      <c r="C4119" t="inlineStr">
        <is>
          <t>Sin cliente</t>
        </is>
      </c>
      <c r="D4119" t="inlineStr">
        <is>
          <t>Petit Crunchy</t>
        </is>
      </c>
      <c r="E4119" s="34" t="n">
        <v>29700</v>
      </c>
      <c r="F4119" t="inlineStr">
        <is>
          <t>B</t>
        </is>
      </c>
      <c r="G4119" s="34" t="n">
        <v>4742</v>
      </c>
      <c r="H4119" s="34" t="n">
        <v>24958</v>
      </c>
      <c r="I4119" t="inlineStr">
        <is>
          <t>3.2</t>
        </is>
      </c>
      <c r="J4119" t="inlineStr">
        <is>
          <t>Ventas Personas (B2C)</t>
        </is>
      </c>
      <c r="K4119" t="inlineStr">
        <is>
          <t>CH2</t>
        </is>
      </c>
    </row>
    <row r="4120">
      <c r="A4120" s="33" t="n">
        <v>46004</v>
      </c>
      <c r="B4120" t="inlineStr">
        <is>
          <t>2025-12</t>
        </is>
      </c>
      <c r="C4120" t="inlineStr">
        <is>
          <t>Sin cliente</t>
        </is>
      </c>
      <c r="D4120" t="inlineStr">
        <is>
          <t>Rellenos</t>
        </is>
      </c>
      <c r="E4120" s="34" t="n">
        <v>25800</v>
      </c>
      <c r="F4120" t="inlineStr">
        <is>
          <t>B</t>
        </is>
      </c>
      <c r="G4120" s="34" t="n">
        <v>4119</v>
      </c>
      <c r="H4120" s="34" t="n">
        <v>21681</v>
      </c>
      <c r="I4120" t="inlineStr">
        <is>
          <t>3.2</t>
        </is>
      </c>
      <c r="J4120" t="inlineStr">
        <is>
          <t>Ventas Personas (B2C)</t>
        </is>
      </c>
      <c r="K4120" t="inlineStr">
        <is>
          <t>CH2</t>
        </is>
      </c>
    </row>
    <row r="4121">
      <c r="A4121" s="33" t="n">
        <v>46004</v>
      </c>
      <c r="B4121" t="inlineStr">
        <is>
          <t>2025-12</t>
        </is>
      </c>
      <c r="C4121" t="inlineStr">
        <is>
          <t>Lissete Ojeda</t>
        </is>
      </c>
      <c r="D4121" t="inlineStr">
        <is>
          <t>CANELÉ TRADICIONAL</t>
        </is>
      </c>
      <c r="E4121" s="34" t="n">
        <v>32390</v>
      </c>
      <c r="F4121" t="inlineStr">
        <is>
          <t>B</t>
        </is>
      </c>
      <c r="G4121" s="34" t="n">
        <v>5172</v>
      </c>
      <c r="H4121" s="34" t="n">
        <v>27218</v>
      </c>
      <c r="I4121" t="inlineStr">
        <is>
          <t>3.2</t>
        </is>
      </c>
      <c r="J4121" t="inlineStr">
        <is>
          <t>Ventas Personas (B2C)</t>
        </is>
      </c>
      <c r="K4121" t="inlineStr">
        <is>
          <t>CH2</t>
        </is>
      </c>
    </row>
    <row r="4122">
      <c r="A4122" s="33" t="n">
        <v>46004</v>
      </c>
      <c r="B4122" t="inlineStr">
        <is>
          <t>2025-12</t>
        </is>
      </c>
      <c r="C4122" t="inlineStr">
        <is>
          <t>Sin cliente</t>
        </is>
      </c>
      <c r="D4122" t="inlineStr">
        <is>
          <t>CANELÉ TRADICIONAL</t>
        </is>
      </c>
      <c r="E4122" s="34" t="n">
        <v>14900</v>
      </c>
      <c r="F4122" t="inlineStr">
        <is>
          <t>B</t>
        </is>
      </c>
      <c r="G4122" s="34" t="n">
        <v>2379</v>
      </c>
      <c r="H4122" s="34" t="n">
        <v>12521</v>
      </c>
      <c r="I4122" t="inlineStr">
        <is>
          <t>3.2</t>
        </is>
      </c>
      <c r="J4122" t="inlineStr">
        <is>
          <t>Ventas Personas (B2C)</t>
        </is>
      </c>
      <c r="K4122" t="inlineStr">
        <is>
          <t>CH2</t>
        </is>
      </c>
    </row>
    <row r="4123">
      <c r="A4123" s="33" t="n">
        <v>46004</v>
      </c>
      <c r="B4123" t="inlineStr">
        <is>
          <t>2025-12</t>
        </is>
      </c>
      <c r="C4123" t="inlineStr">
        <is>
          <t>Sin cliente</t>
        </is>
      </c>
      <c r="D4123" t="inlineStr">
        <is>
          <t>Petit Crunchy</t>
        </is>
      </c>
      <c r="E4123" s="34" t="n">
        <v>46800</v>
      </c>
      <c r="F4123" t="inlineStr">
        <is>
          <t>B</t>
        </is>
      </c>
      <c r="G4123" s="34" t="n">
        <v>7472</v>
      </c>
      <c r="H4123" s="34" t="n">
        <v>39328</v>
      </c>
      <c r="I4123" t="inlineStr">
        <is>
          <t>3.2</t>
        </is>
      </c>
      <c r="J4123" t="inlineStr">
        <is>
          <t>Ventas Personas (B2C)</t>
        </is>
      </c>
      <c r="K4123" t="inlineStr">
        <is>
          <t>CH2</t>
        </is>
      </c>
    </row>
    <row r="4124">
      <c r="A4124" s="33" t="n">
        <v>46004</v>
      </c>
      <c r="B4124" t="inlineStr">
        <is>
          <t>2025-12</t>
        </is>
      </c>
      <c r="C4124" t="inlineStr">
        <is>
          <t>Sin cliente</t>
        </is>
      </c>
      <c r="D4124" t="inlineStr">
        <is>
          <t>PLATAFORMAS RAP-PEYA-UBER-GOOD</t>
        </is>
      </c>
      <c r="E4124" s="34" t="n">
        <v>32280</v>
      </c>
      <c r="F4124" t="inlineStr">
        <is>
          <t>B</t>
        </is>
      </c>
      <c r="G4124" s="34" t="n">
        <v>5154</v>
      </c>
      <c r="H4124" s="34" t="n">
        <v>27126</v>
      </c>
      <c r="I4124" t="inlineStr">
        <is>
          <t>3.6</t>
        </is>
      </c>
      <c r="J4124" t="inlineStr">
        <is>
          <t>Ventas Delivery Apps</t>
        </is>
      </c>
      <c r="K4124" t="inlineStr">
        <is>
          <t>CH3</t>
        </is>
      </c>
    </row>
    <row r="4125">
      <c r="A4125" s="33" t="n">
        <v>46004</v>
      </c>
      <c r="B4125" t="inlineStr">
        <is>
          <t>2025-12</t>
        </is>
      </c>
      <c r="C4125" t="inlineStr">
        <is>
          <t>Sin cliente</t>
        </is>
      </c>
      <c r="D4125" t="inlineStr">
        <is>
          <t>PLATAFORMAS RAP-PEYA-UBER-GOOD</t>
        </is>
      </c>
      <c r="E4125" s="34" t="n">
        <v>34560</v>
      </c>
      <c r="F4125" t="inlineStr">
        <is>
          <t>B</t>
        </is>
      </c>
      <c r="G4125" s="34" t="n">
        <v>5518</v>
      </c>
      <c r="H4125" s="34" t="n">
        <v>29042</v>
      </c>
      <c r="I4125" t="inlineStr">
        <is>
          <t>3.6</t>
        </is>
      </c>
      <c r="J4125" t="inlineStr">
        <is>
          <t>Ventas Delivery Apps</t>
        </is>
      </c>
      <c r="K4125" t="inlineStr">
        <is>
          <t>CH3</t>
        </is>
      </c>
    </row>
    <row r="4126">
      <c r="A4126" s="33" t="n">
        <v>46005</v>
      </c>
      <c r="B4126" t="inlineStr">
        <is>
          <t>2025-12</t>
        </is>
      </c>
      <c r="C4126" t="inlineStr">
        <is>
          <t>rodrigo villablanca</t>
        </is>
      </c>
      <c r="D4126" t="inlineStr">
        <is>
          <t>Petit Crunchy</t>
        </is>
      </c>
      <c r="E4126" s="34" t="n">
        <v>42290</v>
      </c>
      <c r="F4126" t="inlineStr">
        <is>
          <t>B</t>
        </is>
      </c>
      <c r="G4126" s="34" t="n">
        <v>6752</v>
      </c>
      <c r="H4126" s="34" t="n">
        <v>35538</v>
      </c>
      <c r="I4126" t="inlineStr">
        <is>
          <t>3.2</t>
        </is>
      </c>
      <c r="J4126" t="inlineStr">
        <is>
          <t>Ventas Personas (B2C)</t>
        </is>
      </c>
      <c r="K4126" t="inlineStr">
        <is>
          <t>CH2</t>
        </is>
      </c>
    </row>
    <row r="4127">
      <c r="A4127" s="33" t="n">
        <v>46006</v>
      </c>
      <c r="B4127" t="inlineStr">
        <is>
          <t>2025-12</t>
        </is>
      </c>
      <c r="C4127" t="inlineStr">
        <is>
          <t>Inversiones Nagua SPA</t>
        </is>
      </c>
      <c r="D4127" t="inlineStr">
        <is>
          <t>HORECA CAFETERIA</t>
        </is>
      </c>
      <c r="E4127" s="34" t="n">
        <v>71210</v>
      </c>
      <c r="F4127" t="inlineStr">
        <is>
          <t>F</t>
        </is>
      </c>
      <c r="G4127" s="34" t="n">
        <v>11370</v>
      </c>
      <c r="H4127" s="34" t="n">
        <v>59840</v>
      </c>
      <c r="I4127" t="inlineStr">
        <is>
          <t>3.1</t>
        </is>
      </c>
      <c r="J4127" t="inlineStr">
        <is>
          <t>Ventas HoReCa</t>
        </is>
      </c>
      <c r="K4127" t="inlineStr">
        <is>
          <t>CH1</t>
        </is>
      </c>
    </row>
    <row r="4128">
      <c r="A4128" s="33" t="n">
        <v>46006</v>
      </c>
      <c r="B4128" t="inlineStr">
        <is>
          <t>2025-12</t>
        </is>
      </c>
      <c r="C4128" t="inlineStr">
        <is>
          <t>INVERSIONES Y COMERCIALIZADORA FED LIMITADA</t>
        </is>
      </c>
      <c r="D4128" t="inlineStr">
        <is>
          <t>HORECA CAFETERIA</t>
        </is>
      </c>
      <c r="E4128" s="34" t="n">
        <v>227642</v>
      </c>
      <c r="F4128" t="inlineStr">
        <is>
          <t>F</t>
        </is>
      </c>
      <c r="G4128" s="34" t="n">
        <v>36346</v>
      </c>
      <c r="H4128" s="34" t="n">
        <v>191296</v>
      </c>
      <c r="I4128" t="inlineStr">
        <is>
          <t>3.1</t>
        </is>
      </c>
      <c r="J4128" t="inlineStr">
        <is>
          <t>Ventas HoReCa</t>
        </is>
      </c>
      <c r="K4128" t="inlineStr">
        <is>
          <t>CH1</t>
        </is>
      </c>
    </row>
    <row r="4129">
      <c r="A4129" s="33" t="n">
        <v>46006</v>
      </c>
      <c r="B4129" t="inlineStr">
        <is>
          <t>2025-12</t>
        </is>
      </c>
      <c r="C4129" t="inlineStr">
        <is>
          <t>INVERSIONES Y COMERCIALIZADORA FED LIMITADA</t>
        </is>
      </c>
      <c r="D4129" t="inlineStr">
        <is>
          <t>HORECA CAFETERIA</t>
        </is>
      </c>
      <c r="E4129" s="34" t="n">
        <v>103304</v>
      </c>
      <c r="F4129" t="inlineStr">
        <is>
          <t>F</t>
        </is>
      </c>
      <c r="G4129" s="34" t="n">
        <v>16494</v>
      </c>
      <c r="H4129" s="34" t="n">
        <v>86810</v>
      </c>
      <c r="I4129" t="inlineStr">
        <is>
          <t>3.1</t>
        </is>
      </c>
      <c r="J4129" t="inlineStr">
        <is>
          <t>Ventas HoReCa</t>
        </is>
      </c>
      <c r="K4129" t="inlineStr">
        <is>
          <t>CH1</t>
        </is>
      </c>
    </row>
    <row r="4130">
      <c r="A4130" s="33" t="n">
        <v>46006</v>
      </c>
      <c r="B4130" t="inlineStr">
        <is>
          <t>2025-12</t>
        </is>
      </c>
      <c r="C4130" t="inlineStr">
        <is>
          <t>GALO SPA</t>
        </is>
      </c>
      <c r="D4130" t="inlineStr">
        <is>
          <t>HORECA CAFETERIA</t>
        </is>
      </c>
      <c r="E4130" s="34" t="n">
        <v>144537</v>
      </c>
      <c r="F4130" t="inlineStr">
        <is>
          <t>F</t>
        </is>
      </c>
      <c r="G4130" s="34" t="n">
        <v>23077</v>
      </c>
      <c r="H4130" s="34" t="n">
        <v>121460</v>
      </c>
      <c r="I4130" t="inlineStr">
        <is>
          <t>3.1</t>
        </is>
      </c>
      <c r="J4130" t="inlineStr">
        <is>
          <t>Ventas HoReCa</t>
        </is>
      </c>
      <c r="K4130" t="inlineStr">
        <is>
          <t>CH1</t>
        </is>
      </c>
    </row>
    <row r="4131">
      <c r="A4131" s="33" t="n">
        <v>46006</v>
      </c>
      <c r="B4131" t="inlineStr">
        <is>
          <t>2025-12</t>
        </is>
      </c>
      <c r="C4131" t="inlineStr">
        <is>
          <t>Andar Café SpA</t>
        </is>
      </c>
      <c r="D4131" t="inlineStr">
        <is>
          <t>HORECA CAFETERIA</t>
        </is>
      </c>
      <c r="E4131" s="34" t="n">
        <v>73494</v>
      </c>
      <c r="F4131" t="inlineStr">
        <is>
          <t>F</t>
        </is>
      </c>
      <c r="G4131" s="34" t="n">
        <v>11734</v>
      </c>
      <c r="H4131" s="34" t="n">
        <v>61760</v>
      </c>
      <c r="I4131" t="inlineStr">
        <is>
          <t>3.1</t>
        </is>
      </c>
      <c r="J4131" t="inlineStr">
        <is>
          <t>Ventas HoReCa</t>
        </is>
      </c>
      <c r="K4131" t="inlineStr">
        <is>
          <t>CH1</t>
        </is>
      </c>
    </row>
    <row r="4132">
      <c r="A4132" s="33" t="n">
        <v>46006</v>
      </c>
      <c r="B4132" t="inlineStr">
        <is>
          <t>2025-12</t>
        </is>
      </c>
      <c r="C4132" t="inlineStr">
        <is>
          <t>Maria Belen Said</t>
        </is>
      </c>
      <c r="D4132" t="inlineStr">
        <is>
          <t>Edición Navidad</t>
        </is>
      </c>
      <c r="E4132" s="34" t="n">
        <v>58290</v>
      </c>
      <c r="F4132" t="inlineStr">
        <is>
          <t>B</t>
        </is>
      </c>
      <c r="G4132" s="34" t="n">
        <v>9307</v>
      </c>
      <c r="H4132" s="34" t="n">
        <v>48983</v>
      </c>
      <c r="I4132" t="inlineStr">
        <is>
          <t>3.2</t>
        </is>
      </c>
      <c r="J4132" t="inlineStr">
        <is>
          <t>Ventas Personas (B2C)</t>
        </is>
      </c>
      <c r="K4132" t="inlineStr">
        <is>
          <t>CH2</t>
        </is>
      </c>
    </row>
    <row r="4133">
      <c r="A4133" s="33" t="n">
        <v>46006</v>
      </c>
      <c r="B4133" t="inlineStr">
        <is>
          <t>2025-12</t>
        </is>
      </c>
      <c r="C4133" t="inlineStr">
        <is>
          <t>GASTRONÃMICA MANGO GOURMET SPA</t>
        </is>
      </c>
      <c r="D4133" t="inlineStr">
        <is>
          <t>HORECA CATERING</t>
        </is>
      </c>
      <c r="E4133" s="34" t="n">
        <v>70686</v>
      </c>
      <c r="F4133" t="inlineStr">
        <is>
          <t>F</t>
        </is>
      </c>
      <c r="G4133" s="34" t="n">
        <v>11286</v>
      </c>
      <c r="H4133" s="34" t="n">
        <v>59400</v>
      </c>
      <c r="I4133" t="inlineStr">
        <is>
          <t>3.1</t>
        </is>
      </c>
      <c r="J4133" t="inlineStr">
        <is>
          <t>Ventas HoReCa</t>
        </is>
      </c>
      <c r="K4133" t="inlineStr">
        <is>
          <t>CH1</t>
        </is>
      </c>
    </row>
    <row r="4134">
      <c r="A4134" s="33" t="n">
        <v>46006</v>
      </c>
      <c r="B4134" t="inlineStr">
        <is>
          <t>2025-12</t>
        </is>
      </c>
      <c r="C4134" t="inlineStr">
        <is>
          <t>Muriel Muñoz</t>
        </is>
      </c>
      <c r="D4134" t="inlineStr">
        <is>
          <t>CANELE SIN AZUCAR</t>
        </is>
      </c>
      <c r="E4134" s="34" t="n">
        <v>-256507</v>
      </c>
      <c r="F4134" t="inlineStr">
        <is>
          <t>NC</t>
        </is>
      </c>
      <c r="G4134" s="34" t="n">
        <v>-40955</v>
      </c>
      <c r="H4134" s="34" t="n">
        <v>-215552</v>
      </c>
      <c r="I4134" t="inlineStr">
        <is>
          <t>3.1</t>
        </is>
      </c>
      <c r="J4134" t="inlineStr">
        <is>
          <t>Ventas HoReCa</t>
        </is>
      </c>
      <c r="K4134" t="inlineStr">
        <is>
          <t>CH1</t>
        </is>
      </c>
    </row>
    <row r="4135">
      <c r="A4135" s="33" t="n">
        <v>46006</v>
      </c>
      <c r="B4135" t="inlineStr">
        <is>
          <t>2025-12</t>
        </is>
      </c>
      <c r="C4135" t="inlineStr">
        <is>
          <t>IMV INGENIERIA LIMITADA</t>
        </is>
      </c>
      <c r="D4135" t="inlineStr">
        <is>
          <t>CANELE SIN AZUCAR</t>
        </is>
      </c>
      <c r="E4135" s="34" t="n">
        <v>256507</v>
      </c>
      <c r="F4135" t="inlineStr">
        <is>
          <t>F</t>
        </is>
      </c>
      <c r="G4135" s="34" t="n">
        <v>40955</v>
      </c>
      <c r="H4135" s="34" t="n">
        <v>215552</v>
      </c>
      <c r="I4135" t="inlineStr">
        <is>
          <t>3.1</t>
        </is>
      </c>
      <c r="J4135" t="inlineStr">
        <is>
          <t>Ventas HoReCa</t>
        </is>
      </c>
      <c r="K4135" t="inlineStr">
        <is>
          <t>CH1</t>
        </is>
      </c>
    </row>
    <row r="4136">
      <c r="A4136" s="33" t="n">
        <v>46006</v>
      </c>
      <c r="B4136" t="inlineStr">
        <is>
          <t>2025-12</t>
        </is>
      </c>
      <c r="C4136" t="inlineStr">
        <is>
          <t>Sin cliente</t>
        </is>
      </c>
      <c r="D4136" t="inlineStr">
        <is>
          <t>Rellenos</t>
        </is>
      </c>
      <c r="E4136" s="34" t="n">
        <v>18800</v>
      </c>
      <c r="F4136" t="inlineStr">
        <is>
          <t>B</t>
        </is>
      </c>
      <c r="G4136" s="34" t="n">
        <v>3002</v>
      </c>
      <c r="H4136" s="34" t="n">
        <v>15798</v>
      </c>
      <c r="I4136" t="inlineStr">
        <is>
          <t>3.2</t>
        </is>
      </c>
      <c r="J4136" t="inlineStr">
        <is>
          <t>Ventas Personas (B2C)</t>
        </is>
      </c>
      <c r="K4136" t="inlineStr">
        <is>
          <t>CH2</t>
        </is>
      </c>
    </row>
    <row r="4137">
      <c r="A4137" s="33" t="n">
        <v>46006</v>
      </c>
      <c r="B4137" t="inlineStr">
        <is>
          <t>2025-12</t>
        </is>
      </c>
      <c r="C4137" t="inlineStr">
        <is>
          <t>Catalina Han</t>
        </is>
      </c>
      <c r="D4137" t="inlineStr">
        <is>
          <t>Rellenos</t>
        </is>
      </c>
      <c r="E4137" s="34" t="n">
        <v>72090</v>
      </c>
      <c r="F4137" t="inlineStr">
        <is>
          <t>B</t>
        </is>
      </c>
      <c r="G4137" s="34" t="n">
        <v>11510</v>
      </c>
      <c r="H4137" s="34" t="n">
        <v>60580</v>
      </c>
      <c r="I4137" t="inlineStr">
        <is>
          <t>3.2</t>
        </is>
      </c>
      <c r="J4137" t="inlineStr">
        <is>
          <t>Ventas Personas (B2C)</t>
        </is>
      </c>
      <c r="K4137" t="inlineStr">
        <is>
          <t>CH2</t>
        </is>
      </c>
    </row>
    <row r="4138">
      <c r="A4138" s="33" t="n">
        <v>46006</v>
      </c>
      <c r="B4138" t="inlineStr">
        <is>
          <t>2025-12</t>
        </is>
      </c>
      <c r="C4138" t="inlineStr">
        <is>
          <t>CHENGJIE WU</t>
        </is>
      </c>
      <c r="D4138" t="inlineStr">
        <is>
          <t>CANELE SIN AZUCAR</t>
        </is>
      </c>
      <c r="E4138" s="34" t="n">
        <v>159066</v>
      </c>
      <c r="F4138" t="inlineStr">
        <is>
          <t>B</t>
        </is>
      </c>
      <c r="G4138" s="34" t="n">
        <v>25397</v>
      </c>
      <c r="H4138" s="34" t="n">
        <v>133669</v>
      </c>
      <c r="I4138" t="inlineStr">
        <is>
          <t>3.2</t>
        </is>
      </c>
      <c r="J4138" t="inlineStr">
        <is>
          <t>Ventas Personas (B2C)</t>
        </is>
      </c>
      <c r="K4138" t="inlineStr">
        <is>
          <t>CH2</t>
        </is>
      </c>
    </row>
    <row r="4139">
      <c r="A4139" s="33" t="n">
        <v>46006</v>
      </c>
      <c r="B4139" t="inlineStr">
        <is>
          <t>2025-12</t>
        </is>
      </c>
      <c r="C4139" t="inlineStr">
        <is>
          <t>JNCONCEPT SPA</t>
        </is>
      </c>
      <c r="D4139" t="inlineStr">
        <is>
          <t>CANELÉ TRADICIONAL</t>
        </is>
      </c>
      <c r="E4139" s="34" t="n">
        <v>40600</v>
      </c>
      <c r="F4139" t="inlineStr">
        <is>
          <t>F</t>
        </is>
      </c>
      <c r="G4139" s="34" t="n">
        <v>6482</v>
      </c>
      <c r="H4139" s="34" t="n">
        <v>34118</v>
      </c>
      <c r="I4139" t="inlineStr">
        <is>
          <t>3.1</t>
        </is>
      </c>
      <c r="J4139" t="inlineStr">
        <is>
          <t>Ventas HoReCa</t>
        </is>
      </c>
      <c r="K4139" t="inlineStr">
        <is>
          <t>CH1</t>
        </is>
      </c>
    </row>
    <row r="4140">
      <c r="A4140" s="33" t="n">
        <v>46006</v>
      </c>
      <c r="B4140" t="inlineStr">
        <is>
          <t>2025-12</t>
        </is>
      </c>
      <c r="C4140" t="inlineStr">
        <is>
          <t>Saxana Sequeida</t>
        </is>
      </c>
      <c r="D4140" t="inlineStr">
        <is>
          <t>CANELE SIN AZUCAR</t>
        </is>
      </c>
      <c r="E4140" s="34" t="n">
        <v>43790</v>
      </c>
      <c r="F4140" t="inlineStr">
        <is>
          <t>B</t>
        </is>
      </c>
      <c r="G4140" s="34" t="n">
        <v>6992</v>
      </c>
      <c r="H4140" s="34" t="n">
        <v>36798</v>
      </c>
      <c r="I4140" t="inlineStr">
        <is>
          <t>3.2</t>
        </is>
      </c>
      <c r="J4140" t="inlineStr">
        <is>
          <t>Ventas Personas (B2C)</t>
        </is>
      </c>
      <c r="K4140" t="inlineStr">
        <is>
          <t>CH2</t>
        </is>
      </c>
    </row>
    <row r="4141">
      <c r="A4141" s="33" t="n">
        <v>46006</v>
      </c>
      <c r="B4141" t="inlineStr">
        <is>
          <t>2025-12</t>
        </is>
      </c>
      <c r="C4141" t="inlineStr">
        <is>
          <t>Sin cliente</t>
        </is>
      </c>
      <c r="D4141" t="inlineStr">
        <is>
          <t>SALSAS</t>
        </is>
      </c>
      <c r="E4141" s="34" t="n">
        <v>58860</v>
      </c>
      <c r="F4141" t="inlineStr">
        <is>
          <t>B</t>
        </is>
      </c>
      <c r="G4141" s="34" t="n">
        <v>9398</v>
      </c>
      <c r="H4141" s="34" t="n">
        <v>49462</v>
      </c>
      <c r="I4141" t="inlineStr">
        <is>
          <t>3.2</t>
        </is>
      </c>
      <c r="J4141" t="inlineStr">
        <is>
          <t>Ventas Personas (B2C)</t>
        </is>
      </c>
      <c r="K4141" t="inlineStr">
        <is>
          <t>CH2</t>
        </is>
      </c>
    </row>
    <row r="4142">
      <c r="A4142" s="33" t="n">
        <v>46006</v>
      </c>
      <c r="B4142" t="inlineStr">
        <is>
          <t>2025-12</t>
        </is>
      </c>
      <c r="C4142" t="inlineStr">
        <is>
          <t>Sin cliente</t>
        </is>
      </c>
      <c r="D4142" t="inlineStr">
        <is>
          <t>CANELÉ TRADICIONAL</t>
        </is>
      </c>
      <c r="E4142" s="34" t="n">
        <v>42700</v>
      </c>
      <c r="F4142" t="inlineStr">
        <is>
          <t>B</t>
        </is>
      </c>
      <c r="G4142" s="34" t="n">
        <v>6818</v>
      </c>
      <c r="H4142" s="34" t="n">
        <v>35882</v>
      </c>
      <c r="I4142" t="inlineStr">
        <is>
          <t>3.2</t>
        </is>
      </c>
      <c r="J4142" t="inlineStr">
        <is>
          <t>Ventas Personas (B2C)</t>
        </is>
      </c>
      <c r="K4142" t="inlineStr">
        <is>
          <t>CH2</t>
        </is>
      </c>
    </row>
    <row r="4143">
      <c r="A4143" s="33" t="n">
        <v>46006</v>
      </c>
      <c r="B4143" t="inlineStr">
        <is>
          <t>2025-12</t>
        </is>
      </c>
      <c r="C4143" t="inlineStr">
        <is>
          <t>Liliana Bustamante Muñoz</t>
        </is>
      </c>
      <c r="D4143" t="inlineStr">
        <is>
          <t>Rellenos</t>
        </is>
      </c>
      <c r="E4143" s="34" t="n">
        <v>16990</v>
      </c>
      <c r="F4143" t="inlineStr">
        <is>
          <t>B</t>
        </is>
      </c>
      <c r="G4143" s="34" t="n">
        <v>2713</v>
      </c>
      <c r="H4143" s="34" t="n">
        <v>14277</v>
      </c>
      <c r="I4143" t="inlineStr">
        <is>
          <t>3.2</t>
        </is>
      </c>
      <c r="J4143" t="inlineStr">
        <is>
          <t>Ventas Personas (B2C)</t>
        </is>
      </c>
      <c r="K4143" t="inlineStr">
        <is>
          <t>CH2</t>
        </is>
      </c>
    </row>
    <row r="4144">
      <c r="A4144" s="33" t="n">
        <v>46006</v>
      </c>
      <c r="B4144" t="inlineStr">
        <is>
          <t>2025-12</t>
        </is>
      </c>
      <c r="C4144" t="inlineStr">
        <is>
          <t>Sin cliente</t>
        </is>
      </c>
      <c r="D4144" t="inlineStr">
        <is>
          <t>Edición Navidad</t>
        </is>
      </c>
      <c r="E4144" s="34" t="n">
        <v>42690</v>
      </c>
      <c r="F4144" t="inlineStr">
        <is>
          <t>B</t>
        </is>
      </c>
      <c r="G4144" s="34" t="n">
        <v>6816</v>
      </c>
      <c r="H4144" s="34" t="n">
        <v>35874</v>
      </c>
      <c r="I4144" t="inlineStr">
        <is>
          <t>3.2</t>
        </is>
      </c>
      <c r="J4144" t="inlineStr">
        <is>
          <t>Ventas Personas (B2C)</t>
        </is>
      </c>
      <c r="K4144" t="inlineStr">
        <is>
          <t>CH2</t>
        </is>
      </c>
    </row>
    <row r="4145">
      <c r="A4145" s="33" t="n">
        <v>46006</v>
      </c>
      <c r="B4145" t="inlineStr">
        <is>
          <t>2025-12</t>
        </is>
      </c>
      <c r="C4145" t="inlineStr">
        <is>
          <t>Elizabeth Almao</t>
        </is>
      </c>
      <c r="D4145" t="inlineStr">
        <is>
          <t>PACKAGING</t>
        </is>
      </c>
      <c r="E4145" s="34" t="n">
        <v>83590</v>
      </c>
      <c r="F4145" t="inlineStr">
        <is>
          <t>B</t>
        </is>
      </c>
      <c r="G4145" s="34" t="n">
        <v>13346</v>
      </c>
      <c r="H4145" s="34" t="n">
        <v>70244</v>
      </c>
      <c r="I4145" t="inlineStr">
        <is>
          <t>3.2</t>
        </is>
      </c>
      <c r="J4145" t="inlineStr">
        <is>
          <t>Ventas Personas (B2C)</t>
        </is>
      </c>
      <c r="K4145" t="inlineStr">
        <is>
          <t>CH2</t>
        </is>
      </c>
    </row>
    <row r="4146">
      <c r="A4146" s="33" t="n">
        <v>46006</v>
      </c>
      <c r="B4146" t="inlineStr">
        <is>
          <t>2025-12</t>
        </is>
      </c>
      <c r="C4146" t="inlineStr">
        <is>
          <t>Lily Duque</t>
        </is>
      </c>
      <c r="D4146" t="inlineStr">
        <is>
          <t>Petit Crunchy</t>
        </is>
      </c>
      <c r="E4146" s="34" t="n">
        <v>39700</v>
      </c>
      <c r="F4146" t="inlineStr">
        <is>
          <t>B</t>
        </is>
      </c>
      <c r="G4146" s="34" t="n">
        <v>6339</v>
      </c>
      <c r="H4146" s="34" t="n">
        <v>33361</v>
      </c>
      <c r="I4146" t="inlineStr">
        <is>
          <t>3.2</t>
        </is>
      </c>
      <c r="J4146" t="inlineStr">
        <is>
          <t>Ventas Personas (B2C)</t>
        </is>
      </c>
      <c r="K4146" t="inlineStr">
        <is>
          <t>CH2</t>
        </is>
      </c>
    </row>
    <row r="4147">
      <c r="A4147" s="33" t="n">
        <v>46007</v>
      </c>
      <c r="B4147" t="inlineStr">
        <is>
          <t>2025-12</t>
        </is>
      </c>
      <c r="C4147" t="inlineStr">
        <is>
          <t>INVERSIONES Y ASESORIAS RAVAL LIMITADA</t>
        </is>
      </c>
      <c r="D4147" t="inlineStr">
        <is>
          <t>HORECA CAFETERIA</t>
        </is>
      </c>
      <c r="E4147" s="34" t="n">
        <v>75030</v>
      </c>
      <c r="F4147" t="inlineStr">
        <is>
          <t>F</t>
        </is>
      </c>
      <c r="G4147" s="34" t="n">
        <v>11980</v>
      </c>
      <c r="H4147" s="34" t="n">
        <v>63050</v>
      </c>
      <c r="I4147" t="inlineStr">
        <is>
          <t>3.1</t>
        </is>
      </c>
      <c r="J4147" t="inlineStr">
        <is>
          <t>Ventas HoReCa</t>
        </is>
      </c>
      <c r="K4147" t="inlineStr">
        <is>
          <t>CH1</t>
        </is>
      </c>
    </row>
    <row r="4148">
      <c r="A4148" s="33" t="n">
        <v>46007</v>
      </c>
      <c r="B4148" t="inlineStr">
        <is>
          <t>2025-12</t>
        </is>
      </c>
      <c r="C4148" t="inlineStr">
        <is>
          <t>BLUE OAK COFFE SPA</t>
        </is>
      </c>
      <c r="D4148" t="inlineStr">
        <is>
          <t>HORECA CAFETERIA</t>
        </is>
      </c>
      <c r="E4148" s="34" t="n">
        <v>39115</v>
      </c>
      <c r="F4148" t="inlineStr">
        <is>
          <t>F</t>
        </is>
      </c>
      <c r="G4148" s="34" t="n">
        <v>6245</v>
      </c>
      <c r="H4148" s="34" t="n">
        <v>32870</v>
      </c>
      <c r="I4148" t="inlineStr">
        <is>
          <t>3.1</t>
        </is>
      </c>
      <c r="J4148" t="inlineStr">
        <is>
          <t>Ventas HoReCa</t>
        </is>
      </c>
      <c r="K4148" t="inlineStr">
        <is>
          <t>CH1</t>
        </is>
      </c>
    </row>
    <row r="4149">
      <c r="A4149" s="33" t="n">
        <v>46007</v>
      </c>
      <c r="B4149" t="inlineStr">
        <is>
          <t>2025-12</t>
        </is>
      </c>
      <c r="C4149" t="inlineStr">
        <is>
          <t>the capital coffee spa</t>
        </is>
      </c>
      <c r="D4149" t="inlineStr">
        <is>
          <t>HORECA CAFETERIA</t>
        </is>
      </c>
      <c r="E4149" s="34" t="n">
        <v>235069</v>
      </c>
      <c r="F4149" t="inlineStr">
        <is>
          <t>F</t>
        </is>
      </c>
      <c r="G4149" s="34" t="n">
        <v>37532</v>
      </c>
      <c r="H4149" s="34" t="n">
        <v>197537</v>
      </c>
      <c r="I4149" t="inlineStr">
        <is>
          <t>3.1</t>
        </is>
      </c>
      <c r="J4149" t="inlineStr">
        <is>
          <t>Ventas HoReCa</t>
        </is>
      </c>
      <c r="K4149" t="inlineStr">
        <is>
          <t>CH1</t>
        </is>
      </c>
    </row>
    <row r="4150">
      <c r="A4150" s="33" t="n">
        <v>46007</v>
      </c>
      <c r="B4150" t="inlineStr">
        <is>
          <t>2025-12</t>
        </is>
      </c>
      <c r="C4150" t="inlineStr">
        <is>
          <t>CUATROTRESTRES CAFÉ SPA</t>
        </is>
      </c>
      <c r="D4150" t="inlineStr">
        <is>
          <t>HORECA CAFETERIA</t>
        </is>
      </c>
      <c r="E4150" s="34" t="n">
        <v>170702</v>
      </c>
      <c r="F4150" t="inlineStr">
        <is>
          <t>F</t>
        </is>
      </c>
      <c r="G4150" s="34" t="n">
        <v>27255</v>
      </c>
      <c r="H4150" s="34" t="n">
        <v>143447</v>
      </c>
      <c r="I4150" t="inlineStr">
        <is>
          <t>3.1</t>
        </is>
      </c>
      <c r="J4150" t="inlineStr">
        <is>
          <t>Ventas HoReCa</t>
        </is>
      </c>
      <c r="K4150" t="inlineStr">
        <is>
          <t>CH1</t>
        </is>
      </c>
    </row>
    <row r="4151">
      <c r="A4151" s="33" t="n">
        <v>46007</v>
      </c>
      <c r="B4151" t="inlineStr">
        <is>
          <t>2025-12</t>
        </is>
      </c>
      <c r="C4151" t="inlineStr">
        <is>
          <t>Café del Parque SpA</t>
        </is>
      </c>
      <c r="D4151" t="inlineStr">
        <is>
          <t>HORECA CAFETERIA</t>
        </is>
      </c>
      <c r="E4151" s="34" t="n">
        <v>78849</v>
      </c>
      <c r="F4151" t="inlineStr">
        <is>
          <t>F</t>
        </is>
      </c>
      <c r="G4151" s="34" t="n">
        <v>12589</v>
      </c>
      <c r="H4151" s="34" t="n">
        <v>66260</v>
      </c>
      <c r="I4151" t="inlineStr">
        <is>
          <t>3.1</t>
        </is>
      </c>
      <c r="J4151" t="inlineStr">
        <is>
          <t>Ventas HoReCa</t>
        </is>
      </c>
      <c r="K4151" t="inlineStr">
        <is>
          <t>CH1</t>
        </is>
      </c>
    </row>
    <row r="4152">
      <c r="A4152" s="33" t="n">
        <v>46007</v>
      </c>
      <c r="B4152" t="inlineStr">
        <is>
          <t>2025-12</t>
        </is>
      </c>
      <c r="C4152" t="inlineStr">
        <is>
          <t>CUATROTRESTRES CAFÉ SPA</t>
        </is>
      </c>
      <c r="D4152" t="inlineStr">
        <is>
          <t>HORECA CAFETERIA</t>
        </is>
      </c>
      <c r="E4152" s="34" t="n">
        <v>-170702</v>
      </c>
      <c r="F4152" t="inlineStr">
        <is>
          <t>NC</t>
        </is>
      </c>
      <c r="G4152" s="34" t="n">
        <v>-27255</v>
      </c>
      <c r="H4152" s="34" t="n">
        <v>-143447</v>
      </c>
      <c r="I4152" t="inlineStr">
        <is>
          <t>3.1</t>
        </is>
      </c>
      <c r="J4152" t="inlineStr">
        <is>
          <t>Ventas HoReCa</t>
        </is>
      </c>
      <c r="K4152" t="inlineStr">
        <is>
          <t>CH1</t>
        </is>
      </c>
    </row>
    <row r="4153">
      <c r="A4153" s="33" t="n">
        <v>46007</v>
      </c>
      <c r="B4153" t="inlineStr">
        <is>
          <t>2025-12</t>
        </is>
      </c>
      <c r="C4153" t="inlineStr">
        <is>
          <t>CUATROTRESTRES CAFÉ SPA</t>
        </is>
      </c>
      <c r="D4153" t="inlineStr">
        <is>
          <t>HORECA CAFETERIA</t>
        </is>
      </c>
      <c r="E4153" s="34" t="n">
        <v>187255</v>
      </c>
      <c r="F4153" t="inlineStr">
        <is>
          <t>F</t>
        </is>
      </c>
      <c r="G4153" s="34" t="n">
        <v>29898</v>
      </c>
      <c r="H4153" s="34" t="n">
        <v>157357</v>
      </c>
      <c r="I4153" t="inlineStr">
        <is>
          <t>3.1</t>
        </is>
      </c>
      <c r="J4153" t="inlineStr">
        <is>
          <t>Ventas HoReCa</t>
        </is>
      </c>
      <c r="K4153" t="inlineStr">
        <is>
          <t>CH1</t>
        </is>
      </c>
    </row>
    <row r="4154">
      <c r="A4154" s="33" t="n">
        <v>46007</v>
      </c>
      <c r="B4154" t="inlineStr">
        <is>
          <t>2025-12</t>
        </is>
      </c>
      <c r="C4154" t="inlineStr">
        <is>
          <t>Daniela Spröhnle</t>
        </is>
      </c>
      <c r="D4154" t="inlineStr">
        <is>
          <t>Petit Tradicional</t>
        </is>
      </c>
      <c r="E4154" s="34" t="n">
        <v>30900</v>
      </c>
      <c r="F4154" t="inlineStr">
        <is>
          <t>B</t>
        </is>
      </c>
      <c r="G4154" s="34" t="n">
        <v>4934</v>
      </c>
      <c r="H4154" s="34" t="n">
        <v>25966</v>
      </c>
      <c r="I4154" t="inlineStr">
        <is>
          <t>3.2</t>
        </is>
      </c>
      <c r="J4154" t="inlineStr">
        <is>
          <t>Ventas Personas (B2C)</t>
        </is>
      </c>
      <c r="K4154" t="inlineStr">
        <is>
          <t>CH2</t>
        </is>
      </c>
    </row>
    <row r="4155">
      <c r="A4155" s="33" t="n">
        <v>46007</v>
      </c>
      <c r="B4155" t="inlineStr">
        <is>
          <t>2025-12</t>
        </is>
      </c>
      <c r="C4155" t="inlineStr">
        <is>
          <t>Marlyn Contreras</t>
        </is>
      </c>
      <c r="D4155" t="inlineStr">
        <is>
          <t>Edición Navidad</t>
        </is>
      </c>
      <c r="E4155" s="34" t="n">
        <v>23290</v>
      </c>
      <c r="F4155" t="inlineStr">
        <is>
          <t>B</t>
        </is>
      </c>
      <c r="G4155" s="34" t="n">
        <v>3719</v>
      </c>
      <c r="H4155" s="34" t="n">
        <v>19571</v>
      </c>
      <c r="I4155" t="inlineStr">
        <is>
          <t>3.2</t>
        </is>
      </c>
      <c r="J4155" t="inlineStr">
        <is>
          <t>Ventas Personas (B2C)</t>
        </is>
      </c>
      <c r="K4155" t="inlineStr">
        <is>
          <t>CH2</t>
        </is>
      </c>
    </row>
    <row r="4156">
      <c r="A4156" s="33" t="n">
        <v>46007</v>
      </c>
      <c r="B4156" t="inlineStr">
        <is>
          <t>2025-12</t>
        </is>
      </c>
      <c r="C4156" t="inlineStr">
        <is>
          <t>Eduardo Maldonado</t>
        </is>
      </c>
      <c r="D4156" t="inlineStr">
        <is>
          <t>SALSAS</t>
        </is>
      </c>
      <c r="E4156" s="34" t="n">
        <v>16890</v>
      </c>
      <c r="F4156" t="inlineStr">
        <is>
          <t>B</t>
        </is>
      </c>
      <c r="G4156" s="34" t="n">
        <v>2697</v>
      </c>
      <c r="H4156" s="34" t="n">
        <v>14193</v>
      </c>
      <c r="I4156" t="inlineStr">
        <is>
          <t>3.2</t>
        </is>
      </c>
      <c r="J4156" t="inlineStr">
        <is>
          <t>Ventas Personas (B2C)</t>
        </is>
      </c>
      <c r="K4156" t="inlineStr">
        <is>
          <t>CH2</t>
        </is>
      </c>
    </row>
    <row r="4157">
      <c r="A4157" s="33" t="n">
        <v>46007</v>
      </c>
      <c r="B4157" t="inlineStr">
        <is>
          <t>2025-12</t>
        </is>
      </c>
      <c r="C4157" t="inlineStr">
        <is>
          <t>Sin cliente</t>
        </is>
      </c>
      <c r="D4157" t="inlineStr">
        <is>
          <t>Petit Crunchy</t>
        </is>
      </c>
      <c r="E4157" s="34" t="n">
        <v>9900</v>
      </c>
      <c r="F4157" t="inlineStr">
        <is>
          <t>B</t>
        </is>
      </c>
      <c r="G4157" s="34" t="n">
        <v>1581</v>
      </c>
      <c r="H4157" s="34" t="n">
        <v>8319</v>
      </c>
      <c r="I4157" t="inlineStr">
        <is>
          <t>3.2</t>
        </is>
      </c>
      <c r="J4157" t="inlineStr">
        <is>
          <t>Ventas Personas (B2C)</t>
        </is>
      </c>
      <c r="K4157" t="inlineStr">
        <is>
          <t>CH2</t>
        </is>
      </c>
    </row>
    <row r="4158">
      <c r="A4158" s="33" t="n">
        <v>46007</v>
      </c>
      <c r="B4158" t="inlineStr">
        <is>
          <t>2025-12</t>
        </is>
      </c>
      <c r="C4158" t="inlineStr">
        <is>
          <t>Carlos Reitze</t>
        </is>
      </c>
      <c r="D4158" t="inlineStr">
        <is>
          <t>Petit Tradicional</t>
        </is>
      </c>
      <c r="E4158" s="34" t="n">
        <v>26700</v>
      </c>
      <c r="F4158" t="inlineStr">
        <is>
          <t>B</t>
        </is>
      </c>
      <c r="G4158" s="34" t="n">
        <v>4263</v>
      </c>
      <c r="H4158" s="34" t="n">
        <v>22437</v>
      </c>
      <c r="I4158" t="inlineStr">
        <is>
          <t>3.2</t>
        </is>
      </c>
      <c r="J4158" t="inlineStr">
        <is>
          <t>Ventas Personas (B2C)</t>
        </is>
      </c>
      <c r="K4158" t="inlineStr">
        <is>
          <t>CH2</t>
        </is>
      </c>
    </row>
    <row r="4159">
      <c r="A4159" s="33" t="n">
        <v>46007</v>
      </c>
      <c r="B4159" t="inlineStr">
        <is>
          <t>2025-12</t>
        </is>
      </c>
      <c r="C4159" t="inlineStr">
        <is>
          <t>Paola Zambra</t>
        </is>
      </c>
      <c r="D4159" t="inlineStr">
        <is>
          <t>Petit Crunchy</t>
        </is>
      </c>
      <c r="E4159" s="34" t="n">
        <v>38790</v>
      </c>
      <c r="F4159" t="inlineStr">
        <is>
          <t>B</t>
        </is>
      </c>
      <c r="G4159" s="34" t="n">
        <v>6193</v>
      </c>
      <c r="H4159" s="34" t="n">
        <v>32597</v>
      </c>
      <c r="I4159" t="inlineStr">
        <is>
          <t>3.2</t>
        </is>
      </c>
      <c r="J4159" t="inlineStr">
        <is>
          <t>Ventas Personas (B2C)</t>
        </is>
      </c>
      <c r="K4159" t="inlineStr">
        <is>
          <t>CH2</t>
        </is>
      </c>
    </row>
    <row r="4160">
      <c r="A4160" s="33" t="n">
        <v>46007</v>
      </c>
      <c r="B4160" t="inlineStr">
        <is>
          <t>2025-12</t>
        </is>
      </c>
      <c r="C4160" t="inlineStr">
        <is>
          <t>PIA portales</t>
        </is>
      </c>
      <c r="D4160" t="inlineStr">
        <is>
          <t>PACKAGING</t>
        </is>
      </c>
      <c r="E4160" s="34" t="n">
        <v>19290</v>
      </c>
      <c r="F4160" t="inlineStr">
        <is>
          <t>B</t>
        </is>
      </c>
      <c r="G4160" s="34" t="n">
        <v>3080</v>
      </c>
      <c r="H4160" s="34" t="n">
        <v>16210</v>
      </c>
      <c r="I4160" t="inlineStr">
        <is>
          <t>3.2</t>
        </is>
      </c>
      <c r="J4160" t="inlineStr">
        <is>
          <t>Ventas Personas (B2C)</t>
        </is>
      </c>
      <c r="K4160" t="inlineStr">
        <is>
          <t>CH2</t>
        </is>
      </c>
    </row>
    <row r="4161">
      <c r="A4161" s="33" t="n">
        <v>46007</v>
      </c>
      <c r="B4161" t="inlineStr">
        <is>
          <t>2025-12</t>
        </is>
      </c>
      <c r="C4161" t="inlineStr">
        <is>
          <t>Francisca Ugarte</t>
        </is>
      </c>
      <c r="D4161" t="inlineStr">
        <is>
          <t>Petit Tradicional</t>
        </is>
      </c>
      <c r="E4161" s="34" t="n">
        <v>25390</v>
      </c>
      <c r="F4161" t="inlineStr">
        <is>
          <t>B</t>
        </is>
      </c>
      <c r="G4161" s="34" t="n">
        <v>4054</v>
      </c>
      <c r="H4161" s="34" t="n">
        <v>21336</v>
      </c>
      <c r="I4161" t="inlineStr">
        <is>
          <t>3.2</t>
        </is>
      </c>
      <c r="J4161" t="inlineStr">
        <is>
          <t>Ventas Personas (B2C)</t>
        </is>
      </c>
      <c r="K4161" t="inlineStr">
        <is>
          <t>CH2</t>
        </is>
      </c>
    </row>
    <row r="4162">
      <c r="A4162" s="33" t="n">
        <v>46007</v>
      </c>
      <c r="B4162" t="inlineStr">
        <is>
          <t>2025-12</t>
        </is>
      </c>
      <c r="C4162" t="inlineStr">
        <is>
          <t>Soledad Martinez</t>
        </is>
      </c>
      <c r="D4162" t="inlineStr">
        <is>
          <t>Delicatessen</t>
        </is>
      </c>
      <c r="E4162" s="34" t="n">
        <v>24700</v>
      </c>
      <c r="F4162" t="inlineStr">
        <is>
          <t>B</t>
        </is>
      </c>
      <c r="G4162" s="34" t="n">
        <v>3944</v>
      </c>
      <c r="H4162" s="34" t="n">
        <v>20756</v>
      </c>
      <c r="I4162" t="inlineStr">
        <is>
          <t>3.2</t>
        </is>
      </c>
      <c r="J4162" t="inlineStr">
        <is>
          <t>Ventas Personas (B2C)</t>
        </is>
      </c>
      <c r="K4162" t="inlineStr">
        <is>
          <t>CH2</t>
        </is>
      </c>
    </row>
    <row r="4163">
      <c r="A4163" s="33" t="n">
        <v>46007</v>
      </c>
      <c r="B4163" t="inlineStr">
        <is>
          <t>2025-12</t>
        </is>
      </c>
      <c r="C4163" t="inlineStr">
        <is>
          <t>Luciano Lago</t>
        </is>
      </c>
      <c r="D4163" t="inlineStr">
        <is>
          <t>CANELÉ TRADICIONAL</t>
        </is>
      </c>
      <c r="E4163" s="34" t="n">
        <v>36290</v>
      </c>
      <c r="F4163" t="inlineStr">
        <is>
          <t>B</t>
        </is>
      </c>
      <c r="G4163" s="34" t="n">
        <v>5794</v>
      </c>
      <c r="H4163" s="34" t="n">
        <v>30496</v>
      </c>
      <c r="I4163" t="inlineStr">
        <is>
          <t>3.2</t>
        </is>
      </c>
      <c r="J4163" t="inlineStr">
        <is>
          <t>Ventas Personas (B2C)</t>
        </is>
      </c>
      <c r="K4163" t="inlineStr">
        <is>
          <t>CH2</t>
        </is>
      </c>
    </row>
    <row r="4164">
      <c r="A4164" s="33" t="n">
        <v>46007</v>
      </c>
      <c r="B4164" t="inlineStr">
        <is>
          <t>2025-12</t>
        </is>
      </c>
      <c r="C4164" t="inlineStr">
        <is>
          <t>Francisco Benavides</t>
        </is>
      </c>
      <c r="D4164" t="inlineStr">
        <is>
          <t>Rellenos</t>
        </is>
      </c>
      <c r="E4164" s="34" t="n">
        <v>6500</v>
      </c>
      <c r="F4164" t="inlineStr">
        <is>
          <t>B</t>
        </is>
      </c>
      <c r="G4164" s="34" t="n">
        <v>1038</v>
      </c>
      <c r="H4164" s="34" t="n">
        <v>5462</v>
      </c>
      <c r="I4164" t="inlineStr">
        <is>
          <t>3.2</t>
        </is>
      </c>
      <c r="J4164" t="inlineStr">
        <is>
          <t>Ventas Personas (B2C)</t>
        </is>
      </c>
      <c r="K4164" t="inlineStr">
        <is>
          <t>CH2</t>
        </is>
      </c>
    </row>
    <row r="4165">
      <c r="A4165" s="33" t="n">
        <v>46007</v>
      </c>
      <c r="B4165" t="inlineStr">
        <is>
          <t>2025-12</t>
        </is>
      </c>
      <c r="C4165" t="inlineStr">
        <is>
          <t>Álvaro Cárcamo Lobos</t>
        </is>
      </c>
      <c r="D4165" t="inlineStr">
        <is>
          <t>Petit Crunchy</t>
        </is>
      </c>
      <c r="E4165" s="34" t="n">
        <v>44301</v>
      </c>
      <c r="F4165" t="inlineStr">
        <is>
          <t>B</t>
        </is>
      </c>
      <c r="G4165" s="34" t="n">
        <v>7073</v>
      </c>
      <c r="H4165" s="34" t="n">
        <v>37228</v>
      </c>
      <c r="I4165" t="inlineStr">
        <is>
          <t>3.2</t>
        </is>
      </c>
      <c r="J4165" t="inlineStr">
        <is>
          <t>Ventas Personas (B2C)</t>
        </is>
      </c>
      <c r="K4165" t="inlineStr">
        <is>
          <t>CH2</t>
        </is>
      </c>
    </row>
    <row r="4166">
      <c r="A4166" s="33" t="n">
        <v>46007</v>
      </c>
      <c r="B4166" t="inlineStr">
        <is>
          <t>2025-12</t>
        </is>
      </c>
      <c r="C4166" t="inlineStr">
        <is>
          <t>Thamara Berrios</t>
        </is>
      </c>
      <c r="D4166" t="inlineStr">
        <is>
          <t>Edición Navidad</t>
        </is>
      </c>
      <c r="E4166" s="34" t="n">
        <v>26800</v>
      </c>
      <c r="F4166" t="inlineStr">
        <is>
          <t>B</t>
        </is>
      </c>
      <c r="G4166" s="34" t="n">
        <v>4279</v>
      </c>
      <c r="H4166" s="34" t="n">
        <v>22521</v>
      </c>
      <c r="I4166" t="inlineStr">
        <is>
          <t>3.2</t>
        </is>
      </c>
      <c r="J4166" t="inlineStr">
        <is>
          <t>Ventas Personas (B2C)</t>
        </is>
      </c>
      <c r="K4166" t="inlineStr">
        <is>
          <t>CH2</t>
        </is>
      </c>
    </row>
    <row r="4167">
      <c r="A4167" s="33" t="n">
        <v>46007</v>
      </c>
      <c r="B4167" t="inlineStr">
        <is>
          <t>2025-12</t>
        </is>
      </c>
      <c r="C4167" t="inlineStr">
        <is>
          <t>BOCCADOS SPA</t>
        </is>
      </c>
      <c r="D4167" t="inlineStr">
        <is>
          <t>HORECA CATERING</t>
        </is>
      </c>
      <c r="E4167" s="34" t="n">
        <v>77707</v>
      </c>
      <c r="F4167" t="inlineStr">
        <is>
          <t>F</t>
        </is>
      </c>
      <c r="G4167" s="34" t="n">
        <v>12407</v>
      </c>
      <c r="H4167" s="34" t="n">
        <v>65300</v>
      </c>
      <c r="I4167" t="inlineStr">
        <is>
          <t>3.1</t>
        </is>
      </c>
      <c r="J4167" t="inlineStr">
        <is>
          <t>Ventas HoReCa</t>
        </is>
      </c>
      <c r="K4167" t="inlineStr">
        <is>
          <t>CH1</t>
        </is>
      </c>
    </row>
    <row r="4168">
      <c r="A4168" s="33" t="n">
        <v>46007</v>
      </c>
      <c r="B4168" t="inlineStr">
        <is>
          <t>2025-12</t>
        </is>
      </c>
      <c r="C4168" t="inlineStr">
        <is>
          <t>Sociedad Sendero 21 en Expansion SpA</t>
        </is>
      </c>
      <c r="D4168" t="inlineStr">
        <is>
          <t>Edición Navidad</t>
        </is>
      </c>
      <c r="E4168" s="34" t="n">
        <v>46610</v>
      </c>
      <c r="F4168" t="inlineStr">
        <is>
          <t>F</t>
        </is>
      </c>
      <c r="G4168" s="34" t="n">
        <v>7442</v>
      </c>
      <c r="H4168" s="34" t="n">
        <v>39168</v>
      </c>
      <c r="I4168" t="inlineStr">
        <is>
          <t>3.1</t>
        </is>
      </c>
      <c r="J4168" t="inlineStr">
        <is>
          <t>Ventas HoReCa</t>
        </is>
      </c>
      <c r="K4168" t="inlineStr">
        <is>
          <t>CH1</t>
        </is>
      </c>
    </row>
    <row r="4169">
      <c r="A4169" s="33" t="n">
        <v>46007</v>
      </c>
      <c r="B4169" t="inlineStr">
        <is>
          <t>2025-12</t>
        </is>
      </c>
      <c r="C4169" t="inlineStr">
        <is>
          <t>Michell Quintero</t>
        </is>
      </c>
      <c r="D4169" t="inlineStr">
        <is>
          <t>CANELÉ TRADICIONAL</t>
        </is>
      </c>
      <c r="E4169" s="34" t="n">
        <v>46700</v>
      </c>
      <c r="F4169" t="inlineStr">
        <is>
          <t>B</t>
        </is>
      </c>
      <c r="G4169" s="34" t="n">
        <v>7456</v>
      </c>
      <c r="H4169" s="34" t="n">
        <v>39244</v>
      </c>
      <c r="I4169" t="inlineStr">
        <is>
          <t>3.2</t>
        </is>
      </c>
      <c r="J4169" t="inlineStr">
        <is>
          <t>Ventas Personas (B2C)</t>
        </is>
      </c>
      <c r="K4169" t="inlineStr">
        <is>
          <t>CH2</t>
        </is>
      </c>
    </row>
    <row r="4170">
      <c r="A4170" s="33" t="n">
        <v>46007</v>
      </c>
      <c r="B4170" t="inlineStr">
        <is>
          <t>2025-12</t>
        </is>
      </c>
      <c r="C4170" t="inlineStr">
        <is>
          <t>María Teresa Concha</t>
        </is>
      </c>
      <c r="D4170" t="inlineStr">
        <is>
          <t>Petit Tradicional</t>
        </is>
      </c>
      <c r="E4170" s="34" t="n">
        <v>23283</v>
      </c>
      <c r="F4170" t="inlineStr">
        <is>
          <t>B</t>
        </is>
      </c>
      <c r="G4170" s="34" t="n">
        <v>3717</v>
      </c>
      <c r="H4170" s="34" t="n">
        <v>19566</v>
      </c>
      <c r="I4170" t="inlineStr">
        <is>
          <t>3.2</t>
        </is>
      </c>
      <c r="J4170" t="inlineStr">
        <is>
          <t>Ventas Personas (B2C)</t>
        </is>
      </c>
      <c r="K4170" t="inlineStr">
        <is>
          <t>CH2</t>
        </is>
      </c>
    </row>
    <row r="4171">
      <c r="A4171" s="33" t="n">
        <v>46007</v>
      </c>
      <c r="B4171" t="inlineStr">
        <is>
          <t>2025-12</t>
        </is>
      </c>
      <c r="C4171" t="inlineStr">
        <is>
          <t>Ginia Vivas Vivas Parra</t>
        </is>
      </c>
      <c r="D4171" t="inlineStr">
        <is>
          <t>Rellenos</t>
        </is>
      </c>
      <c r="E4171" s="34" t="n">
        <v>18800</v>
      </c>
      <c r="F4171" t="inlineStr">
        <is>
          <t>B</t>
        </is>
      </c>
      <c r="G4171" s="34" t="n">
        <v>3002</v>
      </c>
      <c r="H4171" s="34" t="n">
        <v>15798</v>
      </c>
      <c r="I4171" t="inlineStr">
        <is>
          <t>3.2</t>
        </is>
      </c>
      <c r="J4171" t="inlineStr">
        <is>
          <t>Ventas Personas (B2C)</t>
        </is>
      </c>
      <c r="K4171" t="inlineStr">
        <is>
          <t>CH2</t>
        </is>
      </c>
    </row>
    <row r="4172">
      <c r="A4172" s="33" t="n">
        <v>46007</v>
      </c>
      <c r="B4172" t="inlineStr">
        <is>
          <t>2025-12</t>
        </is>
      </c>
      <c r="C4172" t="inlineStr">
        <is>
          <t>Soledad Paulina Sotomayor García</t>
        </is>
      </c>
      <c r="D4172" t="inlineStr">
        <is>
          <t>Rellenos</t>
        </is>
      </c>
      <c r="E4172" s="34" t="n">
        <v>55090</v>
      </c>
      <c r="F4172" t="inlineStr">
        <is>
          <t>B</t>
        </is>
      </c>
      <c r="G4172" s="34" t="n">
        <v>8796</v>
      </c>
      <c r="H4172" s="34" t="n">
        <v>46294</v>
      </c>
      <c r="I4172" t="inlineStr">
        <is>
          <t>3.2</t>
        </is>
      </c>
      <c r="J4172" t="inlineStr">
        <is>
          <t>Ventas Personas (B2C)</t>
        </is>
      </c>
      <c r="K4172" t="inlineStr">
        <is>
          <t>CH2</t>
        </is>
      </c>
    </row>
    <row r="4173">
      <c r="A4173" s="33" t="n">
        <v>46008</v>
      </c>
      <c r="B4173" t="inlineStr">
        <is>
          <t>2025-12</t>
        </is>
      </c>
      <c r="C4173" t="inlineStr">
        <is>
          <t xml:space="preserve">Café lucerna spa </t>
        </is>
      </c>
      <c r="D4173" t="inlineStr">
        <is>
          <t>HORECA CAFETERIA</t>
        </is>
      </c>
      <c r="E4173" s="34" t="n">
        <v>71210</v>
      </c>
      <c r="F4173" t="inlineStr">
        <is>
          <t>F</t>
        </is>
      </c>
      <c r="G4173" s="34" t="n">
        <v>11370</v>
      </c>
      <c r="H4173" s="34" t="n">
        <v>59840</v>
      </c>
      <c r="I4173" t="inlineStr">
        <is>
          <t>3.1</t>
        </is>
      </c>
      <c r="J4173" t="inlineStr">
        <is>
          <t>Ventas HoReCa</t>
        </is>
      </c>
      <c r="K4173" t="inlineStr">
        <is>
          <t>CH1</t>
        </is>
      </c>
    </row>
    <row r="4174">
      <c r="A4174" s="33" t="n">
        <v>46008</v>
      </c>
      <c r="B4174" t="inlineStr">
        <is>
          <t>2025-12</t>
        </is>
      </c>
      <c r="C4174" t="inlineStr">
        <is>
          <t>Sociedad de inversiones solari y acuña spa</t>
        </is>
      </c>
      <c r="D4174" t="inlineStr">
        <is>
          <t>HORECA CAFETERIA</t>
        </is>
      </c>
      <c r="E4174" s="34" t="n">
        <v>39115</v>
      </c>
      <c r="F4174" t="inlineStr">
        <is>
          <t>F</t>
        </is>
      </c>
      <c r="G4174" s="34" t="n">
        <v>6245</v>
      </c>
      <c r="H4174" s="34" t="n">
        <v>32870</v>
      </c>
      <c r="I4174" t="inlineStr">
        <is>
          <t>3.1</t>
        </is>
      </c>
      <c r="J4174" t="inlineStr">
        <is>
          <t>Ventas HoReCa</t>
        </is>
      </c>
      <c r="K4174" t="inlineStr">
        <is>
          <t>CH1</t>
        </is>
      </c>
    </row>
    <row r="4175">
      <c r="A4175" s="33" t="n">
        <v>46008</v>
      </c>
      <c r="B4175" t="inlineStr">
        <is>
          <t>2025-12</t>
        </is>
      </c>
      <c r="C4175" t="inlineStr">
        <is>
          <t>BUSTORF LARSEN Y COMPANIA LIMITADA</t>
        </is>
      </c>
      <c r="D4175" t="inlineStr">
        <is>
          <t>HORECA CAFETERIA</t>
        </is>
      </c>
      <c r="E4175" s="34" t="n">
        <v>71210</v>
      </c>
      <c r="F4175" t="inlineStr">
        <is>
          <t>F</t>
        </is>
      </c>
      <c r="G4175" s="34" t="n">
        <v>11370</v>
      </c>
      <c r="H4175" s="34" t="n">
        <v>59840</v>
      </c>
      <c r="I4175" t="inlineStr">
        <is>
          <t>3.1</t>
        </is>
      </c>
      <c r="J4175" t="inlineStr">
        <is>
          <t>Ventas HoReCa</t>
        </is>
      </c>
      <c r="K4175" t="inlineStr">
        <is>
          <t>CH1</t>
        </is>
      </c>
    </row>
    <row r="4176">
      <c r="A4176" s="33" t="n">
        <v>46008</v>
      </c>
      <c r="B4176" t="inlineStr">
        <is>
          <t>2025-12</t>
        </is>
      </c>
      <c r="C4176" t="inlineStr">
        <is>
          <t>Teresita Alliende</t>
        </is>
      </c>
      <c r="D4176" t="inlineStr">
        <is>
          <t>Petit Tradicional</t>
        </is>
      </c>
      <c r="E4176" s="34" t="n">
        <v>25390</v>
      </c>
      <c r="F4176" t="inlineStr">
        <is>
          <t>B</t>
        </is>
      </c>
      <c r="G4176" s="34" t="n">
        <v>4054</v>
      </c>
      <c r="H4176" s="34" t="n">
        <v>21336</v>
      </c>
      <c r="I4176" t="inlineStr">
        <is>
          <t>3.2</t>
        </is>
      </c>
      <c r="J4176" t="inlineStr">
        <is>
          <t>Ventas Personas (B2C)</t>
        </is>
      </c>
      <c r="K4176" t="inlineStr">
        <is>
          <t>CH2</t>
        </is>
      </c>
    </row>
    <row r="4177">
      <c r="A4177" s="33" t="n">
        <v>46008</v>
      </c>
      <c r="B4177" t="inlineStr">
        <is>
          <t>2025-12</t>
        </is>
      </c>
      <c r="C4177" t="inlineStr">
        <is>
          <t>Alberto Sasmay</t>
        </is>
      </c>
      <c r="D4177" t="inlineStr">
        <is>
          <t>Rellenos</t>
        </is>
      </c>
      <c r="E4177" s="34" t="n">
        <v>57090</v>
      </c>
      <c r="F4177" t="inlineStr">
        <is>
          <t>B</t>
        </is>
      </c>
      <c r="G4177" s="34" t="n">
        <v>9115</v>
      </c>
      <c r="H4177" s="34" t="n">
        <v>47975</v>
      </c>
      <c r="I4177" t="inlineStr">
        <is>
          <t>3.2</t>
        </is>
      </c>
      <c r="J4177" t="inlineStr">
        <is>
          <t>Ventas Personas (B2C)</t>
        </is>
      </c>
      <c r="K4177" t="inlineStr">
        <is>
          <t>CH2</t>
        </is>
      </c>
    </row>
    <row r="4178">
      <c r="A4178" s="33" t="n">
        <v>46008</v>
      </c>
      <c r="B4178" t="inlineStr">
        <is>
          <t>2025-12</t>
        </is>
      </c>
      <c r="C4178" t="inlineStr">
        <is>
          <t>PRODUCCIONES GASTRONOMICAS TRES TOQUES LIMITADA</t>
        </is>
      </c>
      <c r="D4178" t="inlineStr">
        <is>
          <t>CANELÉ TRADICIONAL</t>
        </is>
      </c>
      <c r="E4178" s="34" t="n">
        <v>66600</v>
      </c>
      <c r="F4178" t="inlineStr">
        <is>
          <t>F</t>
        </is>
      </c>
      <c r="G4178" s="34" t="n">
        <v>10634</v>
      </c>
      <c r="H4178" s="34" t="n">
        <v>55966</v>
      </c>
      <c r="I4178" t="inlineStr">
        <is>
          <t>3.1</t>
        </is>
      </c>
      <c r="J4178" t="inlineStr">
        <is>
          <t>Ventas HoReCa</t>
        </is>
      </c>
      <c r="K4178" t="inlineStr">
        <is>
          <t>CH1</t>
        </is>
      </c>
    </row>
    <row r="4179">
      <c r="A4179" s="33" t="n">
        <v>46008</v>
      </c>
      <c r="B4179" t="inlineStr">
        <is>
          <t>2025-12</t>
        </is>
      </c>
      <c r="C4179" t="inlineStr">
        <is>
          <t>Carlos Reitze</t>
        </is>
      </c>
      <c r="D4179" t="inlineStr">
        <is>
          <t>Edición Navidad</t>
        </is>
      </c>
      <c r="E4179" s="34" t="n">
        <v>5490</v>
      </c>
      <c r="F4179" t="inlineStr">
        <is>
          <t>B</t>
        </is>
      </c>
      <c r="G4179" s="34" t="n">
        <v>877</v>
      </c>
      <c r="H4179" s="34" t="n">
        <v>4613</v>
      </c>
      <c r="I4179" t="inlineStr">
        <is>
          <t>3.2</t>
        </is>
      </c>
      <c r="J4179" t="inlineStr">
        <is>
          <t>Ventas Personas (B2C)</t>
        </is>
      </c>
      <c r="K4179" t="inlineStr">
        <is>
          <t>CH2</t>
        </is>
      </c>
    </row>
    <row r="4180">
      <c r="A4180" s="33" t="n">
        <v>46008</v>
      </c>
      <c r="B4180" t="inlineStr">
        <is>
          <t>2025-12</t>
        </is>
      </c>
      <c r="C4180" t="inlineStr">
        <is>
          <t>Byoung-gun Park</t>
        </is>
      </c>
      <c r="D4180" t="inlineStr">
        <is>
          <t>Petit Crunchy</t>
        </is>
      </c>
      <c r="E4180" s="34" t="n">
        <v>25900</v>
      </c>
      <c r="F4180" t="inlineStr">
        <is>
          <t>B</t>
        </is>
      </c>
      <c r="G4180" s="34" t="n">
        <v>4135</v>
      </c>
      <c r="H4180" s="34" t="n">
        <v>21765</v>
      </c>
      <c r="I4180" t="inlineStr">
        <is>
          <t>3.2</t>
        </is>
      </c>
      <c r="J4180" t="inlineStr">
        <is>
          <t>Ventas Personas (B2C)</t>
        </is>
      </c>
      <c r="K4180" t="inlineStr">
        <is>
          <t>CH2</t>
        </is>
      </c>
    </row>
    <row r="4181">
      <c r="A4181" s="33" t="n">
        <v>46008</v>
      </c>
      <c r="B4181" t="inlineStr">
        <is>
          <t>2025-12</t>
        </is>
      </c>
      <c r="C4181" t="inlineStr">
        <is>
          <t>Consuelo Valenzuela Orphanopoulos</t>
        </is>
      </c>
      <c r="D4181" t="inlineStr">
        <is>
          <t>Rellenos</t>
        </is>
      </c>
      <c r="E4181" s="34" t="n">
        <v>22890</v>
      </c>
      <c r="F4181" t="inlineStr">
        <is>
          <t>B</t>
        </is>
      </c>
      <c r="G4181" s="34" t="n">
        <v>3655</v>
      </c>
      <c r="H4181" s="34" t="n">
        <v>19235</v>
      </c>
      <c r="I4181" t="inlineStr">
        <is>
          <t>3.2</t>
        </is>
      </c>
      <c r="J4181" t="inlineStr">
        <is>
          <t>Ventas Personas (B2C)</t>
        </is>
      </c>
      <c r="K4181" t="inlineStr">
        <is>
          <t>CH2</t>
        </is>
      </c>
    </row>
    <row r="4182">
      <c r="A4182" s="33" t="n">
        <v>46008</v>
      </c>
      <c r="B4182" t="inlineStr">
        <is>
          <t>2025-12</t>
        </is>
      </c>
      <c r="C4182" t="inlineStr">
        <is>
          <t>Pablo  Vial</t>
        </is>
      </c>
      <c r="D4182" t="inlineStr">
        <is>
          <t>Rellenos</t>
        </is>
      </c>
      <c r="E4182" s="34" t="n">
        <v>60133</v>
      </c>
      <c r="F4182" t="inlineStr">
        <is>
          <t>B</t>
        </is>
      </c>
      <c r="G4182" s="34" t="n">
        <v>9601</v>
      </c>
      <c r="H4182" s="34" t="n">
        <v>50532</v>
      </c>
      <c r="I4182" t="inlineStr">
        <is>
          <t>3.2</t>
        </is>
      </c>
      <c r="J4182" t="inlineStr">
        <is>
          <t>Ventas Personas (B2C)</t>
        </is>
      </c>
      <c r="K4182" t="inlineStr">
        <is>
          <t>CH2</t>
        </is>
      </c>
    </row>
    <row r="4183">
      <c r="A4183" s="33" t="n">
        <v>46008</v>
      </c>
      <c r="B4183" t="inlineStr">
        <is>
          <t>2025-12</t>
        </is>
      </c>
      <c r="C4183" t="inlineStr">
        <is>
          <t>Carolina Valezuela</t>
        </is>
      </c>
      <c r="D4183" t="inlineStr">
        <is>
          <t>Mix Sabores</t>
        </is>
      </c>
      <c r="E4183" s="34" t="n">
        <v>60590</v>
      </c>
      <c r="F4183" t="inlineStr">
        <is>
          <t>B</t>
        </is>
      </c>
      <c r="G4183" s="34" t="n">
        <v>9674</v>
      </c>
      <c r="H4183" s="34" t="n">
        <v>50916</v>
      </c>
      <c r="I4183" t="inlineStr">
        <is>
          <t>3.2</t>
        </is>
      </c>
      <c r="J4183" t="inlineStr">
        <is>
          <t>Ventas Personas (B2C)</t>
        </is>
      </c>
      <c r="K4183" t="inlineStr">
        <is>
          <t>CH2</t>
        </is>
      </c>
    </row>
    <row r="4184">
      <c r="A4184" s="33" t="n">
        <v>46008</v>
      </c>
      <c r="B4184" t="inlineStr">
        <is>
          <t>2025-12</t>
        </is>
      </c>
      <c r="C4184" t="inlineStr">
        <is>
          <t>Katherine Pedraza</t>
        </is>
      </c>
      <c r="D4184" t="inlineStr">
        <is>
          <t>Mix Sabores</t>
        </is>
      </c>
      <c r="E4184" s="34" t="n">
        <v>41790</v>
      </c>
      <c r="F4184" t="inlineStr">
        <is>
          <t>B</t>
        </is>
      </c>
      <c r="G4184" s="34" t="n">
        <v>6672</v>
      </c>
      <c r="H4184" s="34" t="n">
        <v>35118</v>
      </c>
      <c r="I4184" t="inlineStr">
        <is>
          <t>3.2</t>
        </is>
      </c>
      <c r="J4184" t="inlineStr">
        <is>
          <t>Ventas Personas (B2C)</t>
        </is>
      </c>
      <c r="K4184" t="inlineStr">
        <is>
          <t>CH2</t>
        </is>
      </c>
    </row>
    <row r="4185">
      <c r="A4185" s="33" t="n">
        <v>46008</v>
      </c>
      <c r="B4185" t="inlineStr">
        <is>
          <t>2025-12</t>
        </is>
      </c>
      <c r="C4185" t="inlineStr">
        <is>
          <t>Valentin Marchant Cabrera</t>
        </is>
      </c>
      <c r="D4185" t="inlineStr">
        <is>
          <t>Rellenos</t>
        </is>
      </c>
      <c r="E4185" s="34" t="n">
        <v>32490</v>
      </c>
      <c r="F4185" t="inlineStr">
        <is>
          <t>B</t>
        </is>
      </c>
      <c r="G4185" s="34" t="n">
        <v>5187</v>
      </c>
      <c r="H4185" s="34" t="n">
        <v>27303</v>
      </c>
      <c r="I4185" t="inlineStr">
        <is>
          <t>3.2</t>
        </is>
      </c>
      <c r="J4185" t="inlineStr">
        <is>
          <t>Ventas Personas (B2C)</t>
        </is>
      </c>
      <c r="K4185" t="inlineStr">
        <is>
          <t>CH2</t>
        </is>
      </c>
    </row>
    <row r="4186">
      <c r="A4186" s="33" t="n">
        <v>46008</v>
      </c>
      <c r="B4186" t="inlineStr">
        <is>
          <t>2025-12</t>
        </is>
      </c>
      <c r="C4186" t="inlineStr">
        <is>
          <t>Jorge Mena</t>
        </is>
      </c>
      <c r="D4186" t="inlineStr">
        <is>
          <t>Petit Tradicional</t>
        </is>
      </c>
      <c r="E4186" s="34" t="n">
        <v>26390</v>
      </c>
      <c r="F4186" t="inlineStr">
        <is>
          <t>B</t>
        </is>
      </c>
      <c r="G4186" s="34" t="n">
        <v>4214</v>
      </c>
      <c r="H4186" s="34" t="n">
        <v>22176</v>
      </c>
      <c r="I4186" t="inlineStr">
        <is>
          <t>3.2</t>
        </is>
      </c>
      <c r="J4186" t="inlineStr">
        <is>
          <t>Ventas Personas (B2C)</t>
        </is>
      </c>
      <c r="K4186" t="inlineStr">
        <is>
          <t>CH2</t>
        </is>
      </c>
    </row>
    <row r="4187">
      <c r="A4187" s="33" t="n">
        <v>46008</v>
      </c>
      <c r="B4187" t="inlineStr">
        <is>
          <t>2025-12</t>
        </is>
      </c>
      <c r="C4187" t="inlineStr">
        <is>
          <t>Elisa Aguirre</t>
        </is>
      </c>
      <c r="D4187" t="inlineStr">
        <is>
          <t>Mix Sabores</t>
        </is>
      </c>
      <c r="E4187" s="34" t="n">
        <v>20390</v>
      </c>
      <c r="F4187" t="inlineStr">
        <is>
          <t>B</t>
        </is>
      </c>
      <c r="G4187" s="34" t="n">
        <v>3256</v>
      </c>
      <c r="H4187" s="34" t="n">
        <v>17134</v>
      </c>
      <c r="I4187" t="inlineStr">
        <is>
          <t>3.2</t>
        </is>
      </c>
      <c r="J4187" t="inlineStr">
        <is>
          <t>Ventas Personas (B2C)</t>
        </is>
      </c>
      <c r="K4187" t="inlineStr">
        <is>
          <t>CH2</t>
        </is>
      </c>
    </row>
    <row r="4188">
      <c r="A4188" s="33" t="n">
        <v>46008</v>
      </c>
      <c r="B4188" t="inlineStr">
        <is>
          <t>2025-12</t>
        </is>
      </c>
      <c r="C4188" t="inlineStr">
        <is>
          <t>Paulina romero</t>
        </is>
      </c>
      <c r="D4188" t="inlineStr">
        <is>
          <t>Rellenos</t>
        </is>
      </c>
      <c r="E4188" s="34" t="n">
        <v>5600</v>
      </c>
      <c r="F4188" t="inlineStr">
        <is>
          <t>B</t>
        </is>
      </c>
      <c r="G4188" s="34" t="n">
        <v>894</v>
      </c>
      <c r="H4188" s="34" t="n">
        <v>4706</v>
      </c>
      <c r="I4188" t="inlineStr">
        <is>
          <t>3.2</t>
        </is>
      </c>
      <c r="J4188" t="inlineStr">
        <is>
          <t>Ventas Personas (B2C)</t>
        </is>
      </c>
      <c r="K4188" t="inlineStr">
        <is>
          <t>CH2</t>
        </is>
      </c>
    </row>
    <row r="4189">
      <c r="A4189" s="33" t="n">
        <v>46008</v>
      </c>
      <c r="B4189" t="inlineStr">
        <is>
          <t>2025-12</t>
        </is>
      </c>
      <c r="C4189" t="inlineStr">
        <is>
          <t>DIEGO VARGAS BANQUETERIA Y EVENTOS SPA</t>
        </is>
      </c>
      <c r="D4189" t="inlineStr">
        <is>
          <t>HORECA CATERING</t>
        </is>
      </c>
      <c r="E4189" s="34" t="n">
        <v>369852</v>
      </c>
      <c r="F4189" t="inlineStr">
        <is>
          <t>F</t>
        </is>
      </c>
      <c r="G4189" s="34" t="n">
        <v>59052</v>
      </c>
      <c r="H4189" s="34" t="n">
        <v>310800</v>
      </c>
      <c r="I4189" t="inlineStr">
        <is>
          <t>3.1</t>
        </is>
      </c>
      <c r="J4189" t="inlineStr">
        <is>
          <t>Ventas HoReCa</t>
        </is>
      </c>
      <c r="K4189" t="inlineStr">
        <is>
          <t>CH1</t>
        </is>
      </c>
    </row>
    <row r="4190">
      <c r="A4190" s="33" t="n">
        <v>46008</v>
      </c>
      <c r="B4190" t="inlineStr">
        <is>
          <t>2025-12</t>
        </is>
      </c>
      <c r="C4190" t="inlineStr">
        <is>
          <t>Paulina romero</t>
        </is>
      </c>
      <c r="D4190" t="inlineStr">
        <is>
          <t>PACKAGING</t>
        </is>
      </c>
      <c r="E4190" s="34" t="n">
        <v>900</v>
      </c>
      <c r="F4190" t="inlineStr">
        <is>
          <t>B</t>
        </is>
      </c>
      <c r="G4190" s="34" t="n">
        <v>144</v>
      </c>
      <c r="H4190" s="34" t="n">
        <v>756</v>
      </c>
      <c r="I4190" t="inlineStr">
        <is>
          <t>3.2</t>
        </is>
      </c>
      <c r="J4190" t="inlineStr">
        <is>
          <t>Ventas Personas (B2C)</t>
        </is>
      </c>
      <c r="K4190" t="inlineStr">
        <is>
          <t>CH2</t>
        </is>
      </c>
    </row>
    <row r="4191">
      <c r="A4191" s="33" t="n">
        <v>46008</v>
      </c>
      <c r="B4191" t="inlineStr">
        <is>
          <t>2025-12</t>
        </is>
      </c>
      <c r="C4191" t="inlineStr">
        <is>
          <t>Sin cliente</t>
        </is>
      </c>
      <c r="D4191" t="inlineStr">
        <is>
          <t>CANELÉ TRADICIONAL</t>
        </is>
      </c>
      <c r="E4191" s="34" t="n">
        <v>2500</v>
      </c>
      <c r="F4191" t="inlineStr">
        <is>
          <t>B</t>
        </is>
      </c>
      <c r="G4191" s="34" t="n">
        <v>399</v>
      </c>
      <c r="H4191" s="34" t="n">
        <v>2101</v>
      </c>
      <c r="I4191" t="inlineStr">
        <is>
          <t>3.2</t>
        </is>
      </c>
      <c r="J4191" t="inlineStr">
        <is>
          <t>Ventas Personas (B2C)</t>
        </is>
      </c>
      <c r="K4191" t="inlineStr">
        <is>
          <t>CH2</t>
        </is>
      </c>
    </row>
    <row r="4192">
      <c r="A4192" s="33" t="n">
        <v>46008</v>
      </c>
      <c r="B4192" t="inlineStr">
        <is>
          <t>2025-12</t>
        </is>
      </c>
      <c r="C4192" t="inlineStr">
        <is>
          <t>Marcelo  Navarro</t>
        </is>
      </c>
      <c r="D4192" t="inlineStr">
        <is>
          <t>Rellenos</t>
        </is>
      </c>
      <c r="E4192" s="34" t="n">
        <v>77400</v>
      </c>
      <c r="F4192" t="inlineStr">
        <is>
          <t>B</t>
        </is>
      </c>
      <c r="G4192" s="34" t="n">
        <v>12358</v>
      </c>
      <c r="H4192" s="34" t="n">
        <v>65042</v>
      </c>
      <c r="I4192" t="inlineStr">
        <is>
          <t>3.2</t>
        </is>
      </c>
      <c r="J4192" t="inlineStr">
        <is>
          <t>Ventas Personas (B2C)</t>
        </is>
      </c>
      <c r="K4192" t="inlineStr">
        <is>
          <t>CH2</t>
        </is>
      </c>
    </row>
    <row r="4193">
      <c r="A4193" s="33" t="n">
        <v>46008</v>
      </c>
      <c r="B4193" t="inlineStr">
        <is>
          <t>2025-12</t>
        </is>
      </c>
      <c r="C4193" t="inlineStr">
        <is>
          <t>Nathalie Lopez</t>
        </is>
      </c>
      <c r="D4193" t="inlineStr">
        <is>
          <t>PACKAGING</t>
        </is>
      </c>
      <c r="E4193" s="34" t="n">
        <v>54200</v>
      </c>
      <c r="F4193" t="inlineStr">
        <is>
          <t>B</t>
        </is>
      </c>
      <c r="G4193" s="34" t="n">
        <v>8654</v>
      </c>
      <c r="H4193" s="34" t="n">
        <v>45546</v>
      </c>
      <c r="I4193" t="inlineStr">
        <is>
          <t>3.2</t>
        </is>
      </c>
      <c r="J4193" t="inlineStr">
        <is>
          <t>Ventas Personas (B2C)</t>
        </is>
      </c>
      <c r="K4193" t="inlineStr">
        <is>
          <t>CH2</t>
        </is>
      </c>
    </row>
    <row r="4194">
      <c r="A4194" s="33" t="n">
        <v>46009</v>
      </c>
      <c r="B4194" t="inlineStr">
        <is>
          <t>2025-12</t>
        </is>
      </c>
      <c r="C4194" t="inlineStr">
        <is>
          <t>BUSTORF LARSEN Y COMPANIA LIMITADA</t>
        </is>
      </c>
      <c r="D4194" t="inlineStr">
        <is>
          <t>HORECA CAFETERIA</t>
        </is>
      </c>
      <c r="E4194" s="34" t="n">
        <v>71210</v>
      </c>
      <c r="F4194" t="inlineStr">
        <is>
          <t>F</t>
        </is>
      </c>
      <c r="G4194" s="34" t="n">
        <v>11370</v>
      </c>
      <c r="H4194" s="34" t="n">
        <v>59840</v>
      </c>
      <c r="I4194" t="inlineStr">
        <is>
          <t>3.1</t>
        </is>
      </c>
      <c r="J4194" t="inlineStr">
        <is>
          <t>Ventas HoReCa</t>
        </is>
      </c>
      <c r="K4194" t="inlineStr">
        <is>
          <t>CH1</t>
        </is>
      </c>
    </row>
    <row r="4195">
      <c r="A4195" s="33" t="n">
        <v>46009</v>
      </c>
      <c r="B4195" t="inlineStr">
        <is>
          <t>2025-12</t>
        </is>
      </c>
      <c r="C4195" t="inlineStr">
        <is>
          <t>BUSTORF LARSEN Y COMPANIA LIMITADA</t>
        </is>
      </c>
      <c r="D4195" t="inlineStr">
        <is>
          <t>HORECA CAFETERIA</t>
        </is>
      </c>
      <c r="E4195" s="34" t="n">
        <v>71210</v>
      </c>
      <c r="F4195" t="inlineStr">
        <is>
          <t>F</t>
        </is>
      </c>
      <c r="G4195" s="34" t="n">
        <v>11370</v>
      </c>
      <c r="H4195" s="34" t="n">
        <v>59840</v>
      </c>
      <c r="I4195" t="inlineStr">
        <is>
          <t>3.1</t>
        </is>
      </c>
      <c r="J4195" t="inlineStr">
        <is>
          <t>Ventas HoReCa</t>
        </is>
      </c>
      <c r="K4195" t="inlineStr">
        <is>
          <t>CH1</t>
        </is>
      </c>
    </row>
    <row r="4196">
      <c r="A4196" s="33" t="n">
        <v>46009</v>
      </c>
      <c r="B4196" t="inlineStr">
        <is>
          <t>2025-12</t>
        </is>
      </c>
      <c r="C4196" t="inlineStr">
        <is>
          <t>Better Food Spa</t>
        </is>
      </c>
      <c r="D4196" t="inlineStr">
        <is>
          <t>HORECA CAFETERIA</t>
        </is>
      </c>
      <c r="E4196" s="34" t="n">
        <v>128377</v>
      </c>
      <c r="F4196" t="inlineStr">
        <is>
          <t>F</t>
        </is>
      </c>
      <c r="G4196" s="34" t="n">
        <v>20497</v>
      </c>
      <c r="H4196" s="34" t="n">
        <v>107880</v>
      </c>
      <c r="I4196" t="inlineStr">
        <is>
          <t>3.1</t>
        </is>
      </c>
      <c r="J4196" t="inlineStr">
        <is>
          <t>Ventas HoReCa</t>
        </is>
      </c>
      <c r="K4196" t="inlineStr">
        <is>
          <t>CH1</t>
        </is>
      </c>
    </row>
    <row r="4197">
      <c r="A4197" s="33" t="n">
        <v>46009</v>
      </c>
      <c r="B4197" t="inlineStr">
        <is>
          <t>2025-12</t>
        </is>
      </c>
      <c r="C4197" t="inlineStr">
        <is>
          <t>Better Food Spa</t>
        </is>
      </c>
      <c r="D4197" t="inlineStr">
        <is>
          <t>REGION METROPOLITANA</t>
        </is>
      </c>
      <c r="E4197" s="34" t="n">
        <v>9401</v>
      </c>
      <c r="F4197" t="inlineStr">
        <is>
          <t>F</t>
        </is>
      </c>
      <c r="G4197" s="34" t="n">
        <v>1501</v>
      </c>
      <c r="H4197" s="34" t="n">
        <v>7900</v>
      </c>
      <c r="I4197" t="inlineStr">
        <is>
          <t>3.1</t>
        </is>
      </c>
      <c r="J4197" t="inlineStr">
        <is>
          <t>Ventas HoReCa</t>
        </is>
      </c>
      <c r="K4197" t="inlineStr">
        <is>
          <t>CH1</t>
        </is>
      </c>
    </row>
    <row r="4198">
      <c r="A4198" s="33" t="n">
        <v>46009</v>
      </c>
      <c r="B4198" t="inlineStr">
        <is>
          <t>2025-12</t>
        </is>
      </c>
      <c r="C4198" t="inlineStr">
        <is>
          <t>D&amp;S SERVICIOS DE ALIMENTACIÓN SpA</t>
        </is>
      </c>
      <c r="D4198" t="inlineStr">
        <is>
          <t xml:space="preserve">THE COFFEE STORE </t>
        </is>
      </c>
      <c r="E4198" s="34" t="n">
        <v>44705</v>
      </c>
      <c r="F4198" t="inlineStr">
        <is>
          <t>F</t>
        </is>
      </c>
      <c r="G4198" s="34" t="n">
        <v>7138</v>
      </c>
      <c r="H4198" s="34" t="n">
        <v>37567</v>
      </c>
      <c r="I4198" t="inlineStr">
        <is>
          <t>3.1</t>
        </is>
      </c>
      <c r="J4198" t="inlineStr">
        <is>
          <t>Ventas HoReCa</t>
        </is>
      </c>
      <c r="K4198" t="inlineStr">
        <is>
          <t>CH1</t>
        </is>
      </c>
    </row>
    <row r="4199">
      <c r="A4199" s="33" t="n">
        <v>46009</v>
      </c>
      <c r="B4199" t="inlineStr">
        <is>
          <t>2025-12</t>
        </is>
      </c>
      <c r="C4199" t="inlineStr">
        <is>
          <t>Christin Azarian</t>
        </is>
      </c>
      <c r="D4199" t="inlineStr">
        <is>
          <t>Mix Sabores</t>
        </is>
      </c>
      <c r="E4199" s="34" t="n">
        <v>20390</v>
      </c>
      <c r="F4199" t="inlineStr">
        <is>
          <t>B</t>
        </is>
      </c>
      <c r="G4199" s="34" t="n">
        <v>3256</v>
      </c>
      <c r="H4199" s="34" t="n">
        <v>17134</v>
      </c>
      <c r="I4199" t="inlineStr">
        <is>
          <t>3.2</t>
        </is>
      </c>
      <c r="J4199" t="inlineStr">
        <is>
          <t>Ventas Personas (B2C)</t>
        </is>
      </c>
      <c r="K4199" t="inlineStr">
        <is>
          <t>CH2</t>
        </is>
      </c>
    </row>
    <row r="4200">
      <c r="A4200" s="33" t="n">
        <v>46009</v>
      </c>
      <c r="B4200" t="inlineStr">
        <is>
          <t>2025-12</t>
        </is>
      </c>
      <c r="C4200" t="inlineStr">
        <is>
          <t>Juanita Mir</t>
        </is>
      </c>
      <c r="D4200" t="inlineStr">
        <is>
          <t>Petit Crunchy</t>
        </is>
      </c>
      <c r="E4200" s="34" t="n">
        <v>25900</v>
      </c>
      <c r="F4200" t="inlineStr">
        <is>
          <t>B</t>
        </is>
      </c>
      <c r="G4200" s="34" t="n">
        <v>4135</v>
      </c>
      <c r="H4200" s="34" t="n">
        <v>21765</v>
      </c>
      <c r="I4200" t="inlineStr">
        <is>
          <t>3.2</t>
        </is>
      </c>
      <c r="J4200" t="inlineStr">
        <is>
          <t>Ventas Personas (B2C)</t>
        </is>
      </c>
      <c r="K4200" t="inlineStr">
        <is>
          <t>CH2</t>
        </is>
      </c>
    </row>
    <row r="4201">
      <c r="A4201" s="33" t="n">
        <v>46009</v>
      </c>
      <c r="B4201" t="inlineStr">
        <is>
          <t>2025-12</t>
        </is>
      </c>
      <c r="C4201" t="inlineStr">
        <is>
          <t>Leonardo Lourtau</t>
        </is>
      </c>
      <c r="D4201" t="inlineStr">
        <is>
          <t>Petit Crunchy</t>
        </is>
      </c>
      <c r="E4201" s="34" t="n">
        <v>29390</v>
      </c>
      <c r="F4201" t="inlineStr">
        <is>
          <t>B</t>
        </is>
      </c>
      <c r="G4201" s="34" t="n">
        <v>4693</v>
      </c>
      <c r="H4201" s="34" t="n">
        <v>24697</v>
      </c>
      <c r="I4201" t="inlineStr">
        <is>
          <t>3.2</t>
        </is>
      </c>
      <c r="J4201" t="inlineStr">
        <is>
          <t>Ventas Personas (B2C)</t>
        </is>
      </c>
      <c r="K4201" t="inlineStr">
        <is>
          <t>CH2</t>
        </is>
      </c>
    </row>
    <row r="4202">
      <c r="A4202" s="33" t="n">
        <v>46009</v>
      </c>
      <c r="B4202" t="inlineStr">
        <is>
          <t>2025-12</t>
        </is>
      </c>
      <c r="C4202" t="inlineStr">
        <is>
          <t>Abdiel Barahona</t>
        </is>
      </c>
      <c r="D4202" t="inlineStr">
        <is>
          <t>Rellenos</t>
        </is>
      </c>
      <c r="E4202" s="34" t="n">
        <v>15500</v>
      </c>
      <c r="F4202" t="inlineStr">
        <is>
          <t>B</t>
        </is>
      </c>
      <c r="G4202" s="34" t="n">
        <v>2475</v>
      </c>
      <c r="H4202" s="34" t="n">
        <v>13025</v>
      </c>
      <c r="I4202" t="inlineStr">
        <is>
          <t>3.2</t>
        </is>
      </c>
      <c r="J4202" t="inlineStr">
        <is>
          <t>Ventas Personas (B2C)</t>
        </is>
      </c>
      <c r="K4202" t="inlineStr">
        <is>
          <t>CH2</t>
        </is>
      </c>
    </row>
    <row r="4203">
      <c r="A4203" s="33" t="n">
        <v>46009</v>
      </c>
      <c r="B4203" t="inlineStr">
        <is>
          <t>2025-12</t>
        </is>
      </c>
      <c r="C4203" t="inlineStr">
        <is>
          <t>Cocoshouse Spa</t>
        </is>
      </c>
      <c r="D4203" t="inlineStr">
        <is>
          <t>HORECA CAFETERIA</t>
        </is>
      </c>
      <c r="E4203" s="34" t="n">
        <v>71210</v>
      </c>
      <c r="F4203" t="inlineStr">
        <is>
          <t>F</t>
        </is>
      </c>
      <c r="G4203" s="34" t="n">
        <v>11370</v>
      </c>
      <c r="H4203" s="34" t="n">
        <v>59840</v>
      </c>
      <c r="I4203" t="inlineStr">
        <is>
          <t>3.1</t>
        </is>
      </c>
      <c r="J4203" t="inlineStr">
        <is>
          <t>Ventas HoReCa</t>
        </is>
      </c>
      <c r="K4203" t="inlineStr">
        <is>
          <t>CH1</t>
        </is>
      </c>
    </row>
    <row r="4204">
      <c r="A4204" s="33" t="n">
        <v>46009</v>
      </c>
      <c r="B4204" t="inlineStr">
        <is>
          <t>2025-12</t>
        </is>
      </c>
      <c r="C4204" t="inlineStr">
        <is>
          <t>GASTRONÃMICA MANGO GOURMET SPA</t>
        </is>
      </c>
      <c r="D4204" t="inlineStr">
        <is>
          <t>HORECA CATERING</t>
        </is>
      </c>
      <c r="E4204" s="34" t="n">
        <v>70686</v>
      </c>
      <c r="F4204" t="inlineStr">
        <is>
          <t>F</t>
        </is>
      </c>
      <c r="G4204" s="34" t="n">
        <v>11286</v>
      </c>
      <c r="H4204" s="34" t="n">
        <v>59400</v>
      </c>
      <c r="I4204" t="inlineStr">
        <is>
          <t>3.1</t>
        </is>
      </c>
      <c r="J4204" t="inlineStr">
        <is>
          <t>Ventas HoReCa</t>
        </is>
      </c>
      <c r="K4204" t="inlineStr">
        <is>
          <t>CH1</t>
        </is>
      </c>
    </row>
    <row r="4205">
      <c r="A4205" s="33" t="n">
        <v>46009</v>
      </c>
      <c r="B4205" t="inlineStr">
        <is>
          <t>2025-12</t>
        </is>
      </c>
      <c r="C4205" t="inlineStr">
        <is>
          <t>Sin cliente</t>
        </is>
      </c>
      <c r="D4205" t="inlineStr">
        <is>
          <t>Rellenos</t>
        </is>
      </c>
      <c r="E4205" s="34" t="n">
        <v>3000</v>
      </c>
      <c r="F4205" t="inlineStr">
        <is>
          <t>B</t>
        </is>
      </c>
      <c r="G4205" s="34" t="n">
        <v>479</v>
      </c>
      <c r="H4205" s="34" t="n">
        <v>2521</v>
      </c>
      <c r="I4205" t="inlineStr">
        <is>
          <t>3.2</t>
        </is>
      </c>
      <c r="J4205" t="inlineStr">
        <is>
          <t>Ventas Personas (B2C)</t>
        </is>
      </c>
      <c r="K4205" t="inlineStr">
        <is>
          <t>CH2</t>
        </is>
      </c>
    </row>
    <row r="4206">
      <c r="A4206" s="33" t="n">
        <v>46009</v>
      </c>
      <c r="B4206" t="inlineStr">
        <is>
          <t>2025-12</t>
        </is>
      </c>
      <c r="C4206" t="inlineStr">
        <is>
          <t>Sin cliente</t>
        </is>
      </c>
      <c r="D4206" t="inlineStr">
        <is>
          <t>Petit Crunchy</t>
        </is>
      </c>
      <c r="E4206" s="34" t="n">
        <v>19800</v>
      </c>
      <c r="F4206" t="inlineStr">
        <is>
          <t>B</t>
        </is>
      </c>
      <c r="G4206" s="34" t="n">
        <v>3161</v>
      </c>
      <c r="H4206" s="34" t="n">
        <v>16639</v>
      </c>
      <c r="I4206" t="inlineStr">
        <is>
          <t>3.2</t>
        </is>
      </c>
      <c r="J4206" t="inlineStr">
        <is>
          <t>Ventas Personas (B2C)</t>
        </is>
      </c>
      <c r="K4206" t="inlineStr">
        <is>
          <t>CH2</t>
        </is>
      </c>
    </row>
    <row r="4207">
      <c r="A4207" s="33" t="n">
        <v>46009</v>
      </c>
      <c r="B4207" t="inlineStr">
        <is>
          <t>2025-12</t>
        </is>
      </c>
      <c r="C4207" t="inlineStr">
        <is>
          <t>Sin cliente</t>
        </is>
      </c>
      <c r="D4207" t="inlineStr">
        <is>
          <t>Petit Tradicional</t>
        </is>
      </c>
      <c r="E4207" s="34" t="n">
        <v>36200</v>
      </c>
      <c r="F4207" t="inlineStr">
        <is>
          <t>B</t>
        </is>
      </c>
      <c r="G4207" s="34" t="n">
        <v>5780</v>
      </c>
      <c r="H4207" s="34" t="n">
        <v>30420</v>
      </c>
      <c r="I4207" t="inlineStr">
        <is>
          <t>3.2</t>
        </is>
      </c>
      <c r="J4207" t="inlineStr">
        <is>
          <t>Ventas Personas (B2C)</t>
        </is>
      </c>
      <c r="K4207" t="inlineStr">
        <is>
          <t>CH2</t>
        </is>
      </c>
    </row>
    <row r="4208">
      <c r="A4208" s="33" t="n">
        <v>46009</v>
      </c>
      <c r="B4208" t="inlineStr">
        <is>
          <t>2025-12</t>
        </is>
      </c>
      <c r="C4208" t="inlineStr">
        <is>
          <t>Sin cliente</t>
        </is>
      </c>
      <c r="D4208" t="inlineStr">
        <is>
          <t>SALSAS</t>
        </is>
      </c>
      <c r="E4208" s="34" t="n">
        <v>32890</v>
      </c>
      <c r="F4208" t="inlineStr">
        <is>
          <t>B</t>
        </is>
      </c>
      <c r="G4208" s="34" t="n">
        <v>5251</v>
      </c>
      <c r="H4208" s="34" t="n">
        <v>27639</v>
      </c>
      <c r="I4208" t="inlineStr">
        <is>
          <t>3.2</t>
        </is>
      </c>
      <c r="J4208" t="inlineStr">
        <is>
          <t>Ventas Personas (B2C)</t>
        </is>
      </c>
      <c r="K4208" t="inlineStr">
        <is>
          <t>CH2</t>
        </is>
      </c>
    </row>
    <row r="4209">
      <c r="A4209" s="33" t="n">
        <v>46009</v>
      </c>
      <c r="B4209" t="inlineStr">
        <is>
          <t>2025-12</t>
        </is>
      </c>
      <c r="C4209" t="inlineStr">
        <is>
          <t>Sin cliente</t>
        </is>
      </c>
      <c r="D4209" t="inlineStr">
        <is>
          <t>Petit Tradicional</t>
        </is>
      </c>
      <c r="E4209" s="34" t="n">
        <v>19600</v>
      </c>
      <c r="F4209" t="inlineStr">
        <is>
          <t>B</t>
        </is>
      </c>
      <c r="G4209" s="34" t="n">
        <v>3129</v>
      </c>
      <c r="H4209" s="34" t="n">
        <v>16471</v>
      </c>
      <c r="I4209" t="inlineStr">
        <is>
          <t>3.2</t>
        </is>
      </c>
      <c r="J4209" t="inlineStr">
        <is>
          <t>Ventas Personas (B2C)</t>
        </is>
      </c>
      <c r="K4209" t="inlineStr">
        <is>
          <t>CH2</t>
        </is>
      </c>
    </row>
    <row r="4210">
      <c r="A4210" s="33" t="n">
        <v>46009</v>
      </c>
      <c r="B4210" t="inlineStr">
        <is>
          <t>2025-12</t>
        </is>
      </c>
      <c r="C4210" t="inlineStr">
        <is>
          <t>Sin cliente</t>
        </is>
      </c>
      <c r="D4210" t="inlineStr">
        <is>
          <t>Delicatessen</t>
        </is>
      </c>
      <c r="E4210" s="34" t="n">
        <v>26800</v>
      </c>
      <c r="F4210" t="inlineStr">
        <is>
          <t>B</t>
        </is>
      </c>
      <c r="G4210" s="34" t="n">
        <v>4279</v>
      </c>
      <c r="H4210" s="34" t="n">
        <v>22521</v>
      </c>
      <c r="I4210" t="inlineStr">
        <is>
          <t>3.2</t>
        </is>
      </c>
      <c r="J4210" t="inlineStr">
        <is>
          <t>Ventas Personas (B2C)</t>
        </is>
      </c>
      <c r="K4210" t="inlineStr">
        <is>
          <t>CH2</t>
        </is>
      </c>
    </row>
    <row r="4211">
      <c r="A4211" s="33" t="n">
        <v>46009</v>
      </c>
      <c r="B4211" t="inlineStr">
        <is>
          <t>2025-12</t>
        </is>
      </c>
      <c r="C4211" t="inlineStr">
        <is>
          <t>Bruno Frigoli</t>
        </is>
      </c>
      <c r="D4211" t="inlineStr">
        <is>
          <t>Petit Tradicional</t>
        </is>
      </c>
      <c r="E4211" s="34" t="n">
        <v>31890</v>
      </c>
      <c r="F4211" t="inlineStr">
        <is>
          <t>B</t>
        </is>
      </c>
      <c r="G4211" s="34" t="n">
        <v>5092</v>
      </c>
      <c r="H4211" s="34" t="n">
        <v>26798</v>
      </c>
      <c r="I4211" t="inlineStr">
        <is>
          <t>3.2</t>
        </is>
      </c>
      <c r="J4211" t="inlineStr">
        <is>
          <t>Ventas Personas (B2C)</t>
        </is>
      </c>
      <c r="K4211" t="inlineStr">
        <is>
          <t>CH2</t>
        </is>
      </c>
    </row>
    <row r="4212">
      <c r="A4212" s="33" t="n">
        <v>46009</v>
      </c>
      <c r="B4212" t="inlineStr">
        <is>
          <t>2025-12</t>
        </is>
      </c>
      <c r="C4212" t="inlineStr">
        <is>
          <t>Ginia Vivas Vivas Parra</t>
        </is>
      </c>
      <c r="D4212" t="inlineStr">
        <is>
          <t>CANELÉ TRADICIONAL</t>
        </is>
      </c>
      <c r="E4212" s="34" t="n">
        <v>12500</v>
      </c>
      <c r="F4212" t="inlineStr">
        <is>
          <t>B</t>
        </is>
      </c>
      <c r="G4212" s="34" t="n">
        <v>1996</v>
      </c>
      <c r="H4212" s="34" t="n">
        <v>10504</v>
      </c>
      <c r="I4212" t="inlineStr">
        <is>
          <t>3.2</t>
        </is>
      </c>
      <c r="J4212" t="inlineStr">
        <is>
          <t>Ventas Personas (B2C)</t>
        </is>
      </c>
      <c r="K4212" t="inlineStr">
        <is>
          <t>CH2</t>
        </is>
      </c>
    </row>
    <row r="4213">
      <c r="A4213" s="33" t="n">
        <v>46009</v>
      </c>
      <c r="B4213" t="inlineStr">
        <is>
          <t>2025-12</t>
        </is>
      </c>
      <c r="C4213" t="inlineStr">
        <is>
          <t>Maximiliano Geoffroy</t>
        </is>
      </c>
      <c r="D4213" t="inlineStr">
        <is>
          <t>CANELÉ TRADICIONAL</t>
        </is>
      </c>
      <c r="E4213" s="34" t="n">
        <v>26900</v>
      </c>
      <c r="F4213" t="inlineStr">
        <is>
          <t>B</t>
        </is>
      </c>
      <c r="G4213" s="34" t="n">
        <v>4295</v>
      </c>
      <c r="H4213" s="34" t="n">
        <v>22605</v>
      </c>
      <c r="I4213" t="inlineStr">
        <is>
          <t>3.2</t>
        </is>
      </c>
      <c r="J4213" t="inlineStr">
        <is>
          <t>Ventas Personas (B2C)</t>
        </is>
      </c>
      <c r="K4213" t="inlineStr">
        <is>
          <t>CH2</t>
        </is>
      </c>
    </row>
    <row r="4214">
      <c r="A4214" s="33" t="n">
        <v>46009</v>
      </c>
      <c r="B4214" t="inlineStr">
        <is>
          <t>2025-12</t>
        </is>
      </c>
      <c r="C4214" t="inlineStr">
        <is>
          <t>Nathalie Lopez</t>
        </is>
      </c>
      <c r="D4214" t="inlineStr">
        <is>
          <t>Glosa Coquimbo rio lauca</t>
        </is>
      </c>
      <c r="E4214" s="34" t="n">
        <v>12990</v>
      </c>
      <c r="F4214" t="inlineStr">
        <is>
          <t>B</t>
        </is>
      </c>
      <c r="G4214" s="34" t="n">
        <v>2074</v>
      </c>
      <c r="H4214" s="34" t="n">
        <v>10916</v>
      </c>
      <c r="I4214" t="inlineStr">
        <is>
          <t>3.2</t>
        </is>
      </c>
      <c r="J4214" t="inlineStr">
        <is>
          <t>Ventas Personas (B2C)</t>
        </is>
      </c>
      <c r="K4214" t="inlineStr">
        <is>
          <t>CH2</t>
        </is>
      </c>
    </row>
    <row r="4215">
      <c r="A4215" s="33" t="n">
        <v>46009</v>
      </c>
      <c r="B4215" t="inlineStr">
        <is>
          <t>2025-12</t>
        </is>
      </c>
      <c r="C4215" t="inlineStr">
        <is>
          <t>Sin cliente</t>
        </is>
      </c>
      <c r="D4215" t="inlineStr">
        <is>
          <t>Glosa cafe</t>
        </is>
      </c>
      <c r="E4215" s="34" t="n">
        <v>2500</v>
      </c>
      <c r="F4215" t="inlineStr">
        <is>
          <t>B</t>
        </is>
      </c>
      <c r="G4215" s="34" t="n">
        <v>399</v>
      </c>
      <c r="H4215" s="34" t="n">
        <v>2101</v>
      </c>
      <c r="I4215" t="inlineStr">
        <is>
          <t>3.2</t>
        </is>
      </c>
      <c r="J4215" t="inlineStr">
        <is>
          <t>Ventas Personas (B2C)</t>
        </is>
      </c>
      <c r="K4215" t="inlineStr">
        <is>
          <t>CH2</t>
        </is>
      </c>
    </row>
    <row r="4216">
      <c r="A4216" s="33" t="n">
        <v>46009</v>
      </c>
      <c r="B4216" t="inlineStr">
        <is>
          <t>2025-12</t>
        </is>
      </c>
      <c r="C4216" t="inlineStr">
        <is>
          <t>Sin cliente</t>
        </is>
      </c>
      <c r="D4216" t="inlineStr">
        <is>
          <t>CANELÉ TRADICIONAL</t>
        </is>
      </c>
      <c r="E4216" s="34" t="n">
        <v>2500</v>
      </c>
      <c r="F4216" t="inlineStr">
        <is>
          <t>B</t>
        </is>
      </c>
      <c r="G4216" s="34" t="n">
        <v>399</v>
      </c>
      <c r="H4216" s="34" t="n">
        <v>2101</v>
      </c>
      <c r="I4216" t="inlineStr">
        <is>
          <t>3.2</t>
        </is>
      </c>
      <c r="J4216" t="inlineStr">
        <is>
          <t>Ventas Personas (B2C)</t>
        </is>
      </c>
      <c r="K4216" t="inlineStr">
        <is>
          <t>CH2</t>
        </is>
      </c>
    </row>
    <row r="4217">
      <c r="A4217" s="33" t="n">
        <v>46009</v>
      </c>
      <c r="B4217" t="inlineStr">
        <is>
          <t>2025-12</t>
        </is>
      </c>
      <c r="C4217" t="inlineStr">
        <is>
          <t>RICARDO GARIB</t>
        </is>
      </c>
      <c r="D4217" t="inlineStr">
        <is>
          <t>Petit Tradicional</t>
        </is>
      </c>
      <c r="E4217" s="34" t="n">
        <v>26390</v>
      </c>
      <c r="F4217" t="inlineStr">
        <is>
          <t>B</t>
        </is>
      </c>
      <c r="G4217" s="34" t="n">
        <v>4214</v>
      </c>
      <c r="H4217" s="34" t="n">
        <v>22176</v>
      </c>
      <c r="I4217" t="inlineStr">
        <is>
          <t>3.2</t>
        </is>
      </c>
      <c r="J4217" t="inlineStr">
        <is>
          <t>Ventas Personas (B2C)</t>
        </is>
      </c>
      <c r="K4217" t="inlineStr">
        <is>
          <t>CH2</t>
        </is>
      </c>
    </row>
    <row r="4218">
      <c r="A4218" s="33" t="n">
        <v>46009</v>
      </c>
      <c r="B4218" t="inlineStr">
        <is>
          <t>2025-12</t>
        </is>
      </c>
      <c r="C4218" t="inlineStr">
        <is>
          <t>Marce Diaz</t>
        </is>
      </c>
      <c r="D4218" t="inlineStr">
        <is>
          <t>Petit Tradicional</t>
        </is>
      </c>
      <c r="E4218" s="34" t="n">
        <v>35390</v>
      </c>
      <c r="F4218" t="inlineStr">
        <is>
          <t>B</t>
        </is>
      </c>
      <c r="G4218" s="34" t="n">
        <v>5651</v>
      </c>
      <c r="H4218" s="34" t="n">
        <v>29739</v>
      </c>
      <c r="I4218" t="inlineStr">
        <is>
          <t>3.2</t>
        </is>
      </c>
      <c r="J4218" t="inlineStr">
        <is>
          <t>Ventas Personas (B2C)</t>
        </is>
      </c>
      <c r="K4218" t="inlineStr">
        <is>
          <t>CH2</t>
        </is>
      </c>
    </row>
    <row r="4219">
      <c r="A4219" s="33" t="n">
        <v>46009</v>
      </c>
      <c r="B4219" t="inlineStr">
        <is>
          <t>2025-12</t>
        </is>
      </c>
      <c r="C4219" t="inlineStr">
        <is>
          <t>Lisa Yanase</t>
        </is>
      </c>
      <c r="D4219" t="inlineStr">
        <is>
          <t>Rellenos</t>
        </is>
      </c>
      <c r="E4219" s="34" t="n">
        <v>29900</v>
      </c>
      <c r="F4219" t="inlineStr">
        <is>
          <t>B</t>
        </is>
      </c>
      <c r="G4219" s="34" t="n">
        <v>4774</v>
      </c>
      <c r="H4219" s="34" t="n">
        <v>25126</v>
      </c>
      <c r="I4219" t="inlineStr">
        <is>
          <t>3.2</t>
        </is>
      </c>
      <c r="J4219" t="inlineStr">
        <is>
          <t>Ventas Personas (B2C)</t>
        </is>
      </c>
      <c r="K4219" t="inlineStr">
        <is>
          <t>CH2</t>
        </is>
      </c>
    </row>
    <row r="4220">
      <c r="A4220" s="33" t="n">
        <v>46009</v>
      </c>
      <c r="B4220" t="inlineStr">
        <is>
          <t>2025-12</t>
        </is>
      </c>
      <c r="C4220" t="inlineStr">
        <is>
          <t>Victor Badillo</t>
        </is>
      </c>
      <c r="D4220" t="inlineStr">
        <is>
          <t>Rellenos</t>
        </is>
      </c>
      <c r="E4220" s="34" t="n">
        <v>16900</v>
      </c>
      <c r="F4220" t="inlineStr">
        <is>
          <t>B</t>
        </is>
      </c>
      <c r="G4220" s="34" t="n">
        <v>2698</v>
      </c>
      <c r="H4220" s="34" t="n">
        <v>14202</v>
      </c>
      <c r="I4220" t="inlineStr">
        <is>
          <t>3.2</t>
        </is>
      </c>
      <c r="J4220" t="inlineStr">
        <is>
          <t>Ventas Personas (B2C)</t>
        </is>
      </c>
      <c r="K4220" t="inlineStr">
        <is>
          <t>CH2</t>
        </is>
      </c>
    </row>
    <row r="4221">
      <c r="A4221" s="33" t="n">
        <v>46009</v>
      </c>
      <c r="B4221" t="inlineStr">
        <is>
          <t>2025-12</t>
        </is>
      </c>
      <c r="C4221" t="inlineStr">
        <is>
          <t>Ximena Lorena Carreño Ayala</t>
        </is>
      </c>
      <c r="D4221" t="inlineStr">
        <is>
          <t>Petit Tradicional</t>
        </is>
      </c>
      <c r="E4221" s="34" t="n">
        <v>70290</v>
      </c>
      <c r="F4221" t="inlineStr">
        <is>
          <t>B</t>
        </is>
      </c>
      <c r="G4221" s="34" t="n">
        <v>11223</v>
      </c>
      <c r="H4221" s="34" t="n">
        <v>59067</v>
      </c>
      <c r="I4221" t="inlineStr">
        <is>
          <t>3.2</t>
        </is>
      </c>
      <c r="J4221" t="inlineStr">
        <is>
          <t>Ventas Personas (B2C)</t>
        </is>
      </c>
      <c r="K4221" t="inlineStr">
        <is>
          <t>CH2</t>
        </is>
      </c>
    </row>
    <row r="4222">
      <c r="A4222" s="33" t="n">
        <v>46010</v>
      </c>
      <c r="B4222" t="inlineStr">
        <is>
          <t>2025-12</t>
        </is>
      </c>
      <c r="C4222" t="inlineStr">
        <is>
          <t>DIEGO VARGAS BANQUETERIA Y EVENTOS SPA</t>
        </is>
      </c>
      <c r="D4222" t="inlineStr">
        <is>
          <t>HORECA CATERING</t>
        </is>
      </c>
      <c r="E4222" s="34" t="n">
        <v>221459</v>
      </c>
      <c r="F4222" t="inlineStr">
        <is>
          <t>F</t>
        </is>
      </c>
      <c r="G4222" s="34" t="n">
        <v>35359</v>
      </c>
      <c r="H4222" s="34" t="n">
        <v>186100</v>
      </c>
      <c r="I4222" t="inlineStr">
        <is>
          <t>3.1</t>
        </is>
      </c>
      <c r="J4222" t="inlineStr">
        <is>
          <t>Ventas HoReCa</t>
        </is>
      </c>
      <c r="K4222" t="inlineStr">
        <is>
          <t>CH1</t>
        </is>
      </c>
    </row>
    <row r="4223">
      <c r="A4223" s="33" t="n">
        <v>46010</v>
      </c>
      <c r="B4223" t="inlineStr">
        <is>
          <t>2025-12</t>
        </is>
      </c>
      <c r="C4223" t="inlineStr">
        <is>
          <t>GALVEZ Y HEUSSER SPA</t>
        </is>
      </c>
      <c r="D4223" t="inlineStr">
        <is>
          <t>HORECA CATERING</t>
        </is>
      </c>
      <c r="E4223" s="34" t="n">
        <v>80087</v>
      </c>
      <c r="F4223" t="inlineStr">
        <is>
          <t>F</t>
        </is>
      </c>
      <c r="G4223" s="34" t="n">
        <v>12787</v>
      </c>
      <c r="H4223" s="34" t="n">
        <v>67300</v>
      </c>
      <c r="I4223" t="inlineStr">
        <is>
          <t>3.1</t>
        </is>
      </c>
      <c r="J4223" t="inlineStr">
        <is>
          <t>Ventas HoReCa</t>
        </is>
      </c>
      <c r="K4223" t="inlineStr">
        <is>
          <t>CH1</t>
        </is>
      </c>
    </row>
    <row r="4224">
      <c r="A4224" s="33" t="n">
        <v>46010</v>
      </c>
      <c r="B4224" t="inlineStr">
        <is>
          <t>2025-12</t>
        </is>
      </c>
      <c r="C4224" t="inlineStr">
        <is>
          <t>CAFETERÍAS MISTER SPA</t>
        </is>
      </c>
      <c r="D4224" t="inlineStr">
        <is>
          <t>HORECA CAFETERIA</t>
        </is>
      </c>
      <c r="E4224" s="34" t="n">
        <v>39115</v>
      </c>
      <c r="F4224" t="inlineStr">
        <is>
          <t>F</t>
        </is>
      </c>
      <c r="G4224" s="34" t="n">
        <v>6245</v>
      </c>
      <c r="H4224" s="34" t="n">
        <v>32870</v>
      </c>
      <c r="I4224" t="inlineStr">
        <is>
          <t>3.1</t>
        </is>
      </c>
      <c r="J4224" t="inlineStr">
        <is>
          <t>Ventas HoReCa</t>
        </is>
      </c>
      <c r="K4224" t="inlineStr">
        <is>
          <t>CH1</t>
        </is>
      </c>
    </row>
    <row r="4225">
      <c r="A4225" s="33" t="n">
        <v>46010</v>
      </c>
      <c r="B4225" t="inlineStr">
        <is>
          <t>2025-12</t>
        </is>
      </c>
      <c r="C4225" t="inlineStr">
        <is>
          <t>CAFE DIARIO ENCOMENDEROS SPA</t>
        </is>
      </c>
      <c r="D4225" t="inlineStr">
        <is>
          <t>HORECA CAFETERIA</t>
        </is>
      </c>
      <c r="E4225" s="34" t="n">
        <v>108380</v>
      </c>
      <c r="F4225" t="inlineStr">
        <is>
          <t>F</t>
        </is>
      </c>
      <c r="G4225" s="34" t="n">
        <v>17304</v>
      </c>
      <c r="H4225" s="34" t="n">
        <v>91076</v>
      </c>
      <c r="I4225" t="inlineStr">
        <is>
          <t>3.1</t>
        </is>
      </c>
      <c r="J4225" t="inlineStr">
        <is>
          <t>Ventas HoReCa</t>
        </is>
      </c>
      <c r="K4225" t="inlineStr">
        <is>
          <t>CH1</t>
        </is>
      </c>
    </row>
    <row r="4226">
      <c r="A4226" s="33" t="n">
        <v>46010</v>
      </c>
      <c r="B4226" t="inlineStr">
        <is>
          <t>2025-12</t>
        </is>
      </c>
      <c r="C4226" t="inlineStr">
        <is>
          <t>GALO SPA</t>
        </is>
      </c>
      <c r="D4226" t="inlineStr">
        <is>
          <t>HORECA CAFETERIA</t>
        </is>
      </c>
      <c r="E4226" s="34" t="n">
        <v>238595</v>
      </c>
      <c r="F4226" t="inlineStr">
        <is>
          <t>F</t>
        </is>
      </c>
      <c r="G4226" s="34" t="n">
        <v>38095</v>
      </c>
      <c r="H4226" s="34" t="n">
        <v>200500</v>
      </c>
      <c r="I4226" t="inlineStr">
        <is>
          <t>3.1</t>
        </is>
      </c>
      <c r="J4226" t="inlineStr">
        <is>
          <t>Ventas HoReCa</t>
        </is>
      </c>
      <c r="K4226" t="inlineStr">
        <is>
          <t>CH1</t>
        </is>
      </c>
    </row>
    <row r="4227">
      <c r="A4227" s="33" t="n">
        <v>46010</v>
      </c>
      <c r="B4227" t="inlineStr">
        <is>
          <t>2025-12</t>
        </is>
      </c>
      <c r="C4227" t="inlineStr">
        <is>
          <t>Rodrigo Ramírez</t>
        </is>
      </c>
      <c r="D4227" t="inlineStr">
        <is>
          <t>Petit Crunchy</t>
        </is>
      </c>
      <c r="E4227" s="34" t="n">
        <v>45890</v>
      </c>
      <c r="F4227" t="inlineStr">
        <is>
          <t>B</t>
        </is>
      </c>
      <c r="G4227" s="34" t="n">
        <v>7327</v>
      </c>
      <c r="H4227" s="34" t="n">
        <v>38563</v>
      </c>
      <c r="I4227" t="inlineStr">
        <is>
          <t>3.2</t>
        </is>
      </c>
      <c r="J4227" t="inlineStr">
        <is>
          <t>Ventas Personas (B2C)</t>
        </is>
      </c>
      <c r="K4227" t="inlineStr">
        <is>
          <t>CH2</t>
        </is>
      </c>
    </row>
    <row r="4228">
      <c r="A4228" s="33" t="n">
        <v>46010</v>
      </c>
      <c r="B4228" t="inlineStr">
        <is>
          <t>2025-12</t>
        </is>
      </c>
      <c r="C4228" t="inlineStr">
        <is>
          <t>Claudia Cortes</t>
        </is>
      </c>
      <c r="D4228" t="inlineStr">
        <is>
          <t>SALSAS</t>
        </is>
      </c>
      <c r="E4228" s="34" t="n">
        <v>62769</v>
      </c>
      <c r="F4228" t="inlineStr">
        <is>
          <t>B</t>
        </is>
      </c>
      <c r="G4228" s="34" t="n">
        <v>10022</v>
      </c>
      <c r="H4228" s="34" t="n">
        <v>52747</v>
      </c>
      <c r="I4228" t="inlineStr">
        <is>
          <t>3.2</t>
        </is>
      </c>
      <c r="J4228" t="inlineStr">
        <is>
          <t>Ventas Personas (B2C)</t>
        </is>
      </c>
      <c r="K4228" t="inlineStr">
        <is>
          <t>CH2</t>
        </is>
      </c>
    </row>
    <row r="4229">
      <c r="A4229" s="33" t="n">
        <v>46010</v>
      </c>
      <c r="B4229" t="inlineStr">
        <is>
          <t>2025-12</t>
        </is>
      </c>
      <c r="C4229" t="inlineStr">
        <is>
          <t>Leonardo Lourtau</t>
        </is>
      </c>
      <c r="D4229" t="inlineStr">
        <is>
          <t>Rellenos</t>
        </is>
      </c>
      <c r="E4229" s="34" t="n">
        <v>48190</v>
      </c>
      <c r="F4229" t="inlineStr">
        <is>
          <t>B</t>
        </is>
      </c>
      <c r="G4229" s="34" t="n">
        <v>7694</v>
      </c>
      <c r="H4229" s="34" t="n">
        <v>40496</v>
      </c>
      <c r="I4229" t="inlineStr">
        <is>
          <t>3.2</t>
        </is>
      </c>
      <c r="J4229" t="inlineStr">
        <is>
          <t>Ventas Personas (B2C)</t>
        </is>
      </c>
      <c r="K4229" t="inlineStr">
        <is>
          <t>CH2</t>
        </is>
      </c>
    </row>
    <row r="4230">
      <c r="A4230" s="33" t="n">
        <v>46010</v>
      </c>
      <c r="B4230" t="inlineStr">
        <is>
          <t>2025-12</t>
        </is>
      </c>
      <c r="C4230" t="inlineStr">
        <is>
          <t>carmen luz herrera</t>
        </is>
      </c>
      <c r="D4230" t="inlineStr">
        <is>
          <t>PACKAGING</t>
        </is>
      </c>
      <c r="E4230" s="34" t="n">
        <v>15100</v>
      </c>
      <c r="F4230" t="inlineStr">
        <is>
          <t>B</t>
        </is>
      </c>
      <c r="G4230" s="34" t="n">
        <v>2411</v>
      </c>
      <c r="H4230" s="34" t="n">
        <v>12689</v>
      </c>
      <c r="I4230" t="inlineStr">
        <is>
          <t>3.2</t>
        </is>
      </c>
      <c r="J4230" t="inlineStr">
        <is>
          <t>Ventas Personas (B2C)</t>
        </is>
      </c>
      <c r="K4230" t="inlineStr">
        <is>
          <t>CH2</t>
        </is>
      </c>
    </row>
    <row r="4231">
      <c r="A4231" s="33" t="n">
        <v>46010</v>
      </c>
      <c r="B4231" t="inlineStr">
        <is>
          <t>2025-12</t>
        </is>
      </c>
      <c r="C4231" t="inlineStr">
        <is>
          <t>Pablo  Galilea</t>
        </is>
      </c>
      <c r="D4231" t="inlineStr">
        <is>
          <t>Petit Tradicional</t>
        </is>
      </c>
      <c r="E4231" s="34" t="n">
        <v>31800</v>
      </c>
      <c r="F4231" t="inlineStr">
        <is>
          <t>B</t>
        </is>
      </c>
      <c r="G4231" s="34" t="n">
        <v>5077</v>
      </c>
      <c r="H4231" s="34" t="n">
        <v>26723</v>
      </c>
      <c r="I4231" t="inlineStr">
        <is>
          <t>3.2</t>
        </is>
      </c>
      <c r="J4231" t="inlineStr">
        <is>
          <t>Ventas Personas (B2C)</t>
        </is>
      </c>
      <c r="K4231" t="inlineStr">
        <is>
          <t>CH2</t>
        </is>
      </c>
    </row>
    <row r="4232">
      <c r="A4232" s="33" t="n">
        <v>46010</v>
      </c>
      <c r="B4232" t="inlineStr">
        <is>
          <t>2025-12</t>
        </is>
      </c>
      <c r="C4232" t="inlineStr">
        <is>
          <t>Macarena Castro</t>
        </is>
      </c>
      <c r="D4232" t="inlineStr">
        <is>
          <t>Rellenos</t>
        </is>
      </c>
      <c r="E4232" s="34" t="n">
        <v>118700</v>
      </c>
      <c r="F4232" t="inlineStr">
        <is>
          <t>B</t>
        </is>
      </c>
      <c r="G4232" s="34" t="n">
        <v>18952</v>
      </c>
      <c r="H4232" s="34" t="n">
        <v>99748</v>
      </c>
      <c r="I4232" t="inlineStr">
        <is>
          <t>3.2</t>
        </is>
      </c>
      <c r="J4232" t="inlineStr">
        <is>
          <t>Ventas Personas (B2C)</t>
        </is>
      </c>
      <c r="K4232" t="inlineStr">
        <is>
          <t>CH2</t>
        </is>
      </c>
    </row>
    <row r="4233">
      <c r="A4233" s="33" t="n">
        <v>46010</v>
      </c>
      <c r="B4233" t="inlineStr">
        <is>
          <t>2025-12</t>
        </is>
      </c>
      <c r="C4233" t="inlineStr">
        <is>
          <t>Sin cliente</t>
        </is>
      </c>
      <c r="D4233" t="inlineStr">
        <is>
          <t>Rellenos</t>
        </is>
      </c>
      <c r="E4233" s="34" t="n">
        <v>16900</v>
      </c>
      <c r="F4233" t="inlineStr">
        <is>
          <t>B</t>
        </is>
      </c>
      <c r="G4233" s="34" t="n">
        <v>2698</v>
      </c>
      <c r="H4233" s="34" t="n">
        <v>14202</v>
      </c>
      <c r="I4233" t="inlineStr">
        <is>
          <t>3.2</t>
        </is>
      </c>
      <c r="J4233" t="inlineStr">
        <is>
          <t>Ventas Personas (B2C)</t>
        </is>
      </c>
      <c r="K4233" t="inlineStr">
        <is>
          <t>CH2</t>
        </is>
      </c>
    </row>
    <row r="4234">
      <c r="A4234" s="33" t="n">
        <v>46010</v>
      </c>
      <c r="B4234" t="inlineStr">
        <is>
          <t>2025-12</t>
        </is>
      </c>
      <c r="C4234" t="inlineStr">
        <is>
          <t>William Viera Ceballo</t>
        </is>
      </c>
      <c r="D4234" t="inlineStr">
        <is>
          <t>Rellenos</t>
        </is>
      </c>
      <c r="E4234" s="34" t="n">
        <v>32400</v>
      </c>
      <c r="F4234" t="inlineStr">
        <is>
          <t>B</t>
        </is>
      </c>
      <c r="G4234" s="34" t="n">
        <v>5173</v>
      </c>
      <c r="H4234" s="34" t="n">
        <v>27227</v>
      </c>
      <c r="I4234" t="inlineStr">
        <is>
          <t>3.2</t>
        </is>
      </c>
      <c r="J4234" t="inlineStr">
        <is>
          <t>Ventas Personas (B2C)</t>
        </is>
      </c>
      <c r="K4234" t="inlineStr">
        <is>
          <t>CH2</t>
        </is>
      </c>
    </row>
    <row r="4235">
      <c r="A4235" s="33" t="n">
        <v>46010</v>
      </c>
      <c r="B4235" t="inlineStr">
        <is>
          <t>2025-12</t>
        </is>
      </c>
      <c r="C4235" t="inlineStr">
        <is>
          <t>Sin cliente</t>
        </is>
      </c>
      <c r="D4235" t="inlineStr">
        <is>
          <t>Rellenos</t>
        </is>
      </c>
      <c r="E4235" s="34" t="n">
        <v>8000</v>
      </c>
      <c r="F4235" t="inlineStr">
        <is>
          <t>B</t>
        </is>
      </c>
      <c r="G4235" s="34" t="n">
        <v>1277</v>
      </c>
      <c r="H4235" s="34" t="n">
        <v>6723</v>
      </c>
      <c r="I4235" t="inlineStr">
        <is>
          <t>3.2</t>
        </is>
      </c>
      <c r="J4235" t="inlineStr">
        <is>
          <t>Ventas Personas (B2C)</t>
        </is>
      </c>
      <c r="K4235" t="inlineStr">
        <is>
          <t>CH2</t>
        </is>
      </c>
    </row>
    <row r="4236">
      <c r="A4236" s="33" t="n">
        <v>46010</v>
      </c>
      <c r="B4236" t="inlineStr">
        <is>
          <t>2025-12</t>
        </is>
      </c>
      <c r="C4236" t="inlineStr">
        <is>
          <t>Sin cliente</t>
        </is>
      </c>
      <c r="D4236" t="inlineStr">
        <is>
          <t>REGION METROPOLITANA</t>
        </is>
      </c>
      <c r="E4236" s="34" t="n">
        <v>54780</v>
      </c>
      <c r="F4236" t="inlineStr">
        <is>
          <t>B</t>
        </is>
      </c>
      <c r="G4236" s="34" t="n">
        <v>8746</v>
      </c>
      <c r="H4236" s="34" t="n">
        <v>46034</v>
      </c>
      <c r="I4236" t="inlineStr">
        <is>
          <t>3.2</t>
        </is>
      </c>
      <c r="J4236" t="inlineStr">
        <is>
          <t>Ventas Personas (B2C)</t>
        </is>
      </c>
      <c r="K4236" t="inlineStr">
        <is>
          <t>CH2</t>
        </is>
      </c>
    </row>
    <row r="4237">
      <c r="A4237" s="33" t="n">
        <v>46010</v>
      </c>
      <c r="B4237" t="inlineStr">
        <is>
          <t>2025-12</t>
        </is>
      </c>
      <c r="C4237" t="inlineStr">
        <is>
          <t>Sin cliente</t>
        </is>
      </c>
      <c r="D4237" t="inlineStr">
        <is>
          <t>PACKAGING</t>
        </is>
      </c>
      <c r="E4237" s="34" t="n">
        <v>3000</v>
      </c>
      <c r="F4237" t="inlineStr">
        <is>
          <t>B</t>
        </is>
      </c>
      <c r="G4237" s="34" t="n">
        <v>479</v>
      </c>
      <c r="H4237" s="34" t="n">
        <v>2521</v>
      </c>
      <c r="I4237" t="inlineStr">
        <is>
          <t>3.2</t>
        </is>
      </c>
      <c r="J4237" t="inlineStr">
        <is>
          <t>Ventas Personas (B2C)</t>
        </is>
      </c>
      <c r="K4237" t="inlineStr">
        <is>
          <t>CH2</t>
        </is>
      </c>
    </row>
    <row r="4238">
      <c r="A4238" s="33" t="n">
        <v>46010</v>
      </c>
      <c r="B4238" t="inlineStr">
        <is>
          <t>2025-12</t>
        </is>
      </c>
      <c r="C4238" t="inlineStr">
        <is>
          <t>Aki Araki</t>
        </is>
      </c>
      <c r="D4238" t="inlineStr">
        <is>
          <t>PACKAGING</t>
        </is>
      </c>
      <c r="E4238" s="34" t="n">
        <v>37500</v>
      </c>
      <c r="F4238" t="inlineStr">
        <is>
          <t>B</t>
        </is>
      </c>
      <c r="G4238" s="34" t="n">
        <v>5987</v>
      </c>
      <c r="H4238" s="34" t="n">
        <v>31513</v>
      </c>
      <c r="I4238" t="inlineStr">
        <is>
          <t>3.2</t>
        </is>
      </c>
      <c r="J4238" t="inlineStr">
        <is>
          <t>Ventas Personas (B2C)</t>
        </is>
      </c>
      <c r="K4238" t="inlineStr">
        <is>
          <t>CH2</t>
        </is>
      </c>
    </row>
    <row r="4239">
      <c r="A4239" s="33" t="n">
        <v>46010</v>
      </c>
      <c r="B4239" t="inlineStr">
        <is>
          <t>2025-12</t>
        </is>
      </c>
      <c r="C4239" t="inlineStr">
        <is>
          <t>Sin cliente</t>
        </is>
      </c>
      <c r="D4239" t="inlineStr">
        <is>
          <t>SALSAS</t>
        </is>
      </c>
      <c r="E4239" s="34" t="n">
        <v>13980</v>
      </c>
      <c r="F4239" t="inlineStr">
        <is>
          <t>B</t>
        </is>
      </c>
      <c r="G4239" s="34" t="n">
        <v>2232</v>
      </c>
      <c r="H4239" s="34" t="n">
        <v>11748</v>
      </c>
      <c r="I4239" t="inlineStr">
        <is>
          <t>3.2</t>
        </is>
      </c>
      <c r="J4239" t="inlineStr">
        <is>
          <t>Ventas Personas (B2C)</t>
        </is>
      </c>
      <c r="K4239" t="inlineStr">
        <is>
          <t>CH2</t>
        </is>
      </c>
    </row>
    <row r="4240">
      <c r="A4240" s="33" t="n">
        <v>46010</v>
      </c>
      <c r="B4240" t="inlineStr">
        <is>
          <t>2025-12</t>
        </is>
      </c>
      <c r="C4240" t="inlineStr">
        <is>
          <t>Vinka Luksic</t>
        </is>
      </c>
      <c r="D4240" t="inlineStr">
        <is>
          <t>Petit Tradicional</t>
        </is>
      </c>
      <c r="E4240" s="34" t="n">
        <v>19290</v>
      </c>
      <c r="F4240" t="inlineStr">
        <is>
          <t>B</t>
        </is>
      </c>
      <c r="G4240" s="34" t="n">
        <v>3080</v>
      </c>
      <c r="H4240" s="34" t="n">
        <v>16210</v>
      </c>
      <c r="I4240" t="inlineStr">
        <is>
          <t>3.2</t>
        </is>
      </c>
      <c r="J4240" t="inlineStr">
        <is>
          <t>Ventas Personas (B2C)</t>
        </is>
      </c>
      <c r="K4240" t="inlineStr">
        <is>
          <t>CH2</t>
        </is>
      </c>
    </row>
    <row r="4241">
      <c r="A4241" s="33" t="n">
        <v>46010</v>
      </c>
      <c r="B4241" t="inlineStr">
        <is>
          <t>2025-12</t>
        </is>
      </c>
      <c r="C4241" t="inlineStr">
        <is>
          <t>claudio molina</t>
        </is>
      </c>
      <c r="D4241" t="inlineStr">
        <is>
          <t>Petit Crunchy</t>
        </is>
      </c>
      <c r="E4241" s="34" t="n">
        <v>31390</v>
      </c>
      <c r="F4241" t="inlineStr">
        <is>
          <t>B</t>
        </is>
      </c>
      <c r="G4241" s="34" t="n">
        <v>5012</v>
      </c>
      <c r="H4241" s="34" t="n">
        <v>26378</v>
      </c>
      <c r="I4241" t="inlineStr">
        <is>
          <t>3.2</t>
        </is>
      </c>
      <c r="J4241" t="inlineStr">
        <is>
          <t>Ventas Personas (B2C)</t>
        </is>
      </c>
      <c r="K4241" t="inlineStr">
        <is>
          <t>CH2</t>
        </is>
      </c>
    </row>
    <row r="4242">
      <c r="A4242" s="33" t="n">
        <v>46010</v>
      </c>
      <c r="B4242" t="inlineStr">
        <is>
          <t>2025-12</t>
        </is>
      </c>
      <c r="C4242" t="inlineStr">
        <is>
          <t>Sin cliente</t>
        </is>
      </c>
      <c r="D4242" t="inlineStr">
        <is>
          <t>Petit Tradicional</t>
        </is>
      </c>
      <c r="E4242" s="34" t="n">
        <v>21800</v>
      </c>
      <c r="F4242" t="inlineStr">
        <is>
          <t>B</t>
        </is>
      </c>
      <c r="G4242" s="34" t="n">
        <v>3481</v>
      </c>
      <c r="H4242" s="34" t="n">
        <v>18319</v>
      </c>
      <c r="I4242" t="inlineStr">
        <is>
          <t>3.2</t>
        </is>
      </c>
      <c r="J4242" t="inlineStr">
        <is>
          <t>Ventas Personas (B2C)</t>
        </is>
      </c>
      <c r="K4242" t="inlineStr">
        <is>
          <t>CH2</t>
        </is>
      </c>
    </row>
    <row r="4243">
      <c r="A4243" s="33" t="n">
        <v>46010</v>
      </c>
      <c r="B4243" t="inlineStr">
        <is>
          <t>2025-12</t>
        </is>
      </c>
      <c r="C4243" t="inlineStr">
        <is>
          <t>Daniela Crisóstomo</t>
        </is>
      </c>
      <c r="D4243" t="inlineStr">
        <is>
          <t>Petit Tradicional</t>
        </is>
      </c>
      <c r="E4243" s="34" t="n">
        <v>25290</v>
      </c>
      <c r="F4243" t="inlineStr">
        <is>
          <t>B</t>
        </is>
      </c>
      <c r="G4243" s="34" t="n">
        <v>4038</v>
      </c>
      <c r="H4243" s="34" t="n">
        <v>21252</v>
      </c>
      <c r="I4243" t="inlineStr">
        <is>
          <t>3.2</t>
        </is>
      </c>
      <c r="J4243" t="inlineStr">
        <is>
          <t>Ventas Personas (B2C)</t>
        </is>
      </c>
      <c r="K4243" t="inlineStr">
        <is>
          <t>CH2</t>
        </is>
      </c>
    </row>
    <row r="4244">
      <c r="A4244" s="33" t="n">
        <v>46010</v>
      </c>
      <c r="B4244" t="inlineStr">
        <is>
          <t>2025-12</t>
        </is>
      </c>
      <c r="C4244" t="inlineStr">
        <is>
          <t>antoine brillant</t>
        </is>
      </c>
      <c r="D4244" t="inlineStr">
        <is>
          <t>CANELE SIN AZUCAR</t>
        </is>
      </c>
      <c r="E4244" s="34" t="n">
        <v>46700</v>
      </c>
      <c r="F4244" t="inlineStr">
        <is>
          <t>B</t>
        </is>
      </c>
      <c r="G4244" s="34" t="n">
        <v>7456</v>
      </c>
      <c r="H4244" s="34" t="n">
        <v>39244</v>
      </c>
      <c r="I4244" t="inlineStr">
        <is>
          <t>3.2</t>
        </is>
      </c>
      <c r="J4244" t="inlineStr">
        <is>
          <t>Ventas Personas (B2C)</t>
        </is>
      </c>
      <c r="K4244" t="inlineStr">
        <is>
          <t>CH2</t>
        </is>
      </c>
    </row>
    <row r="4245">
      <c r="A4245" s="33" t="n">
        <v>46010</v>
      </c>
      <c r="B4245" t="inlineStr">
        <is>
          <t>2025-12</t>
        </is>
      </c>
      <c r="C4245" t="inlineStr">
        <is>
          <t>Macarena Bezanilla</t>
        </is>
      </c>
      <c r="D4245" t="inlineStr">
        <is>
          <t>Rellenos</t>
        </is>
      </c>
      <c r="E4245" s="34" t="n">
        <v>6500</v>
      </c>
      <c r="F4245" t="inlineStr">
        <is>
          <t>B</t>
        </is>
      </c>
      <c r="G4245" s="34" t="n">
        <v>1038</v>
      </c>
      <c r="H4245" s="34" t="n">
        <v>5462</v>
      </c>
      <c r="I4245" t="inlineStr">
        <is>
          <t>3.2</t>
        </is>
      </c>
      <c r="J4245" t="inlineStr">
        <is>
          <t>Ventas Personas (B2C)</t>
        </is>
      </c>
      <c r="K4245" t="inlineStr">
        <is>
          <t>CH2</t>
        </is>
      </c>
    </row>
    <row r="4246">
      <c r="A4246" s="33" t="n">
        <v>46010</v>
      </c>
      <c r="B4246" t="inlineStr">
        <is>
          <t>2025-12</t>
        </is>
      </c>
      <c r="C4246" t="inlineStr">
        <is>
          <t>marcela sanjines</t>
        </is>
      </c>
      <c r="D4246" t="inlineStr">
        <is>
          <t>Petit Tradicional</t>
        </is>
      </c>
      <c r="E4246" s="34" t="n">
        <v>31600</v>
      </c>
      <c r="F4246" t="inlineStr">
        <is>
          <t>B</t>
        </is>
      </c>
      <c r="G4246" s="34" t="n">
        <v>5045</v>
      </c>
      <c r="H4246" s="34" t="n">
        <v>26555</v>
      </c>
      <c r="I4246" t="inlineStr">
        <is>
          <t>3.2</t>
        </is>
      </c>
      <c r="J4246" t="inlineStr">
        <is>
          <t>Ventas Personas (B2C)</t>
        </is>
      </c>
      <c r="K4246" t="inlineStr">
        <is>
          <t>CH2</t>
        </is>
      </c>
    </row>
    <row r="4247">
      <c r="A4247" s="33" t="n">
        <v>46010</v>
      </c>
      <c r="B4247" t="inlineStr">
        <is>
          <t>2025-12</t>
        </is>
      </c>
      <c r="C4247" t="inlineStr">
        <is>
          <t>FELIPE CALLPA GUZMAN</t>
        </is>
      </c>
      <c r="D4247" t="inlineStr">
        <is>
          <t>Edición Navidad</t>
        </is>
      </c>
      <c r="E4247" s="34" t="n">
        <v>42290</v>
      </c>
      <c r="F4247" t="inlineStr">
        <is>
          <t>B</t>
        </is>
      </c>
      <c r="G4247" s="34" t="n">
        <v>6752</v>
      </c>
      <c r="H4247" s="34" t="n">
        <v>35538</v>
      </c>
      <c r="I4247" t="inlineStr">
        <is>
          <t>3.2</t>
        </is>
      </c>
      <c r="J4247" t="inlineStr">
        <is>
          <t>Ventas Personas (B2C)</t>
        </is>
      </c>
      <c r="K4247" t="inlineStr">
        <is>
          <t>CH2</t>
        </is>
      </c>
    </row>
    <row r="4248">
      <c r="A4248" s="33" t="n">
        <v>46010</v>
      </c>
      <c r="B4248" t="inlineStr">
        <is>
          <t>2025-12</t>
        </is>
      </c>
      <c r="C4248" t="inlineStr">
        <is>
          <t>MAURICIO ROJAS</t>
        </is>
      </c>
      <c r="D4248" t="inlineStr">
        <is>
          <t>Mix Sabores</t>
        </is>
      </c>
      <c r="E4248" s="34" t="n">
        <v>29800</v>
      </c>
      <c r="F4248" t="inlineStr">
        <is>
          <t>B</t>
        </is>
      </c>
      <c r="G4248" s="34" t="n">
        <v>4758</v>
      </c>
      <c r="H4248" s="34" t="n">
        <v>25042</v>
      </c>
      <c r="I4248" t="inlineStr">
        <is>
          <t>3.2</t>
        </is>
      </c>
      <c r="J4248" t="inlineStr">
        <is>
          <t>Ventas Personas (B2C)</t>
        </is>
      </c>
      <c r="K4248" t="inlineStr">
        <is>
          <t>CH2</t>
        </is>
      </c>
    </row>
    <row r="4249">
      <c r="A4249" s="33" t="n">
        <v>46010</v>
      </c>
      <c r="B4249" t="inlineStr">
        <is>
          <t>2025-12</t>
        </is>
      </c>
      <c r="C4249" t="inlineStr">
        <is>
          <t>Seo Hwa Kim</t>
        </is>
      </c>
      <c r="D4249" t="inlineStr">
        <is>
          <t>Edición Navidad</t>
        </is>
      </c>
      <c r="E4249" s="34" t="n">
        <v>48420</v>
      </c>
      <c r="F4249" t="inlineStr">
        <is>
          <t>B</t>
        </is>
      </c>
      <c r="G4249" s="34" t="n">
        <v>7731</v>
      </c>
      <c r="H4249" s="34" t="n">
        <v>40689</v>
      </c>
      <c r="I4249" t="inlineStr">
        <is>
          <t>3.2</t>
        </is>
      </c>
      <c r="J4249" t="inlineStr">
        <is>
          <t>Ventas Personas (B2C)</t>
        </is>
      </c>
      <c r="K4249" t="inlineStr">
        <is>
          <t>CH2</t>
        </is>
      </c>
    </row>
    <row r="4250">
      <c r="A4250" s="33" t="n">
        <v>46010</v>
      </c>
      <c r="B4250" t="inlineStr">
        <is>
          <t>2025-12</t>
        </is>
      </c>
      <c r="C4250" t="inlineStr">
        <is>
          <t>Sin cliente</t>
        </is>
      </c>
      <c r="D4250" t="inlineStr">
        <is>
          <t>PLATAFORMAS RAP-PEYA-UBER-GOOD</t>
        </is>
      </c>
      <c r="E4250" s="34" t="n">
        <v>26280</v>
      </c>
      <c r="F4250" t="inlineStr">
        <is>
          <t>B</t>
        </is>
      </c>
      <c r="G4250" s="34" t="n">
        <v>4196</v>
      </c>
      <c r="H4250" s="34" t="n">
        <v>22084</v>
      </c>
      <c r="I4250" t="inlineStr">
        <is>
          <t>3.6</t>
        </is>
      </c>
      <c r="J4250" t="inlineStr">
        <is>
          <t>Ventas Delivery Apps</t>
        </is>
      </c>
      <c r="K4250" t="inlineStr">
        <is>
          <t>CH3</t>
        </is>
      </c>
    </row>
    <row r="4251">
      <c r="A4251" s="33" t="n">
        <v>46010</v>
      </c>
      <c r="B4251" t="inlineStr">
        <is>
          <t>2025-12</t>
        </is>
      </c>
      <c r="C4251" t="inlineStr">
        <is>
          <t>Sin cliente</t>
        </is>
      </c>
      <c r="D4251" t="inlineStr">
        <is>
          <t>PLATAFORMAS RAP-PEYA-UBER-GOOD</t>
        </is>
      </c>
      <c r="E4251" s="34" t="n">
        <v>30960</v>
      </c>
      <c r="F4251" t="inlineStr">
        <is>
          <t>B</t>
        </is>
      </c>
      <c r="G4251" s="34" t="n">
        <v>4943</v>
      </c>
      <c r="H4251" s="34" t="n">
        <v>26017</v>
      </c>
      <c r="I4251" t="inlineStr">
        <is>
          <t>3.6</t>
        </is>
      </c>
      <c r="J4251" t="inlineStr">
        <is>
          <t>Ventas Delivery Apps</t>
        </is>
      </c>
      <c r="K4251" t="inlineStr">
        <is>
          <t>CH3</t>
        </is>
      </c>
    </row>
    <row r="4252">
      <c r="A4252" s="33" t="n">
        <v>46010</v>
      </c>
      <c r="B4252" t="inlineStr">
        <is>
          <t>2025-12</t>
        </is>
      </c>
      <c r="C4252" t="inlineStr">
        <is>
          <t>Yemima Kilman</t>
        </is>
      </c>
      <c r="D4252" t="inlineStr">
        <is>
          <t>Rellenos</t>
        </is>
      </c>
      <c r="E4252" s="34" t="n">
        <v>33390</v>
      </c>
      <c r="F4252" t="inlineStr">
        <is>
          <t>B</t>
        </is>
      </c>
      <c r="G4252" s="34" t="n">
        <v>5331</v>
      </c>
      <c r="H4252" s="34" t="n">
        <v>28059</v>
      </c>
      <c r="I4252" t="inlineStr">
        <is>
          <t>3.2</t>
        </is>
      </c>
      <c r="J4252" t="inlineStr">
        <is>
          <t>Ventas Personas (B2C)</t>
        </is>
      </c>
      <c r="K4252" t="inlineStr">
        <is>
          <t>CH2</t>
        </is>
      </c>
    </row>
    <row r="4253">
      <c r="A4253" s="33" t="n">
        <v>46010</v>
      </c>
      <c r="B4253" t="inlineStr">
        <is>
          <t>2025-12</t>
        </is>
      </c>
      <c r="C4253" t="inlineStr">
        <is>
          <t>Sin cliente</t>
        </is>
      </c>
      <c r="D4253" t="inlineStr">
        <is>
          <t>PLATAFORMAS RAP-PEYA-UBER-GOOD</t>
        </is>
      </c>
      <c r="E4253" s="34" t="n">
        <v>14380</v>
      </c>
      <c r="F4253" t="inlineStr">
        <is>
          <t>B</t>
        </is>
      </c>
      <c r="G4253" s="34" t="n">
        <v>2296</v>
      </c>
      <c r="H4253" s="34" t="n">
        <v>12084</v>
      </c>
      <c r="I4253" t="inlineStr">
        <is>
          <t>3.6</t>
        </is>
      </c>
      <c r="J4253" t="inlineStr">
        <is>
          <t>Ventas Delivery Apps</t>
        </is>
      </c>
      <c r="K4253" t="inlineStr">
        <is>
          <t>CH3</t>
        </is>
      </c>
    </row>
    <row r="4254">
      <c r="A4254" s="33" t="n">
        <v>46010</v>
      </c>
      <c r="B4254" t="inlineStr">
        <is>
          <t>2025-12</t>
        </is>
      </c>
      <c r="C4254" t="inlineStr">
        <is>
          <t>Andrea Dominguez</t>
        </is>
      </c>
      <c r="D4254" t="inlineStr">
        <is>
          <t>Petit Crunchy</t>
        </is>
      </c>
      <c r="E4254" s="34" t="n">
        <v>35900</v>
      </c>
      <c r="F4254" t="inlineStr">
        <is>
          <t>B</t>
        </is>
      </c>
      <c r="G4254" s="34" t="n">
        <v>5732</v>
      </c>
      <c r="H4254" s="34" t="n">
        <v>30168</v>
      </c>
      <c r="I4254" t="inlineStr">
        <is>
          <t>3.2</t>
        </is>
      </c>
      <c r="J4254" t="inlineStr">
        <is>
          <t>Ventas Personas (B2C)</t>
        </is>
      </c>
      <c r="K4254" t="inlineStr">
        <is>
          <t>CH2</t>
        </is>
      </c>
    </row>
    <row r="4255">
      <c r="A4255" s="33" t="n">
        <v>46010</v>
      </c>
      <c r="B4255" t="inlineStr">
        <is>
          <t>2025-12</t>
        </is>
      </c>
      <c r="C4255" t="inlineStr">
        <is>
          <t>Maria Jose Grez</t>
        </is>
      </c>
      <c r="D4255" t="inlineStr">
        <is>
          <t>PLATAFORMAS RAP-PEYA-UBER-GOOD</t>
        </is>
      </c>
      <c r="E4255" s="34" t="n">
        <v>-14380</v>
      </c>
      <c r="F4255" t="inlineStr">
        <is>
          <t>NC</t>
        </is>
      </c>
      <c r="G4255" s="34" t="n">
        <v>-2296</v>
      </c>
      <c r="H4255" s="34" t="n">
        <v>-12084</v>
      </c>
      <c r="I4255" t="inlineStr">
        <is>
          <t>3.6</t>
        </is>
      </c>
      <c r="J4255" t="inlineStr">
        <is>
          <t>Ventas Delivery Apps</t>
        </is>
      </c>
      <c r="K4255" t="inlineStr">
        <is>
          <t>CH3</t>
        </is>
      </c>
    </row>
    <row r="4256">
      <c r="A4256" s="33" t="n">
        <v>46010</v>
      </c>
      <c r="B4256" t="inlineStr">
        <is>
          <t>2025-12</t>
        </is>
      </c>
      <c r="C4256" t="inlineStr">
        <is>
          <t>Soledad Cáceres</t>
        </is>
      </c>
      <c r="D4256" t="inlineStr">
        <is>
          <t>CANELÉ TRADICIONAL</t>
        </is>
      </c>
      <c r="E4256" s="34" t="n">
        <v>50000</v>
      </c>
      <c r="F4256" t="inlineStr">
        <is>
          <t>B</t>
        </is>
      </c>
      <c r="G4256" s="34" t="n">
        <v>7983</v>
      </c>
      <c r="H4256" s="34" t="n">
        <v>42017</v>
      </c>
      <c r="I4256" t="inlineStr">
        <is>
          <t>3.2</t>
        </is>
      </c>
      <c r="J4256" t="inlineStr">
        <is>
          <t>Ventas Personas (B2C)</t>
        </is>
      </c>
      <c r="K4256" t="inlineStr">
        <is>
          <t>CH2</t>
        </is>
      </c>
    </row>
    <row r="4257">
      <c r="A4257" s="33" t="n">
        <v>46010</v>
      </c>
      <c r="B4257" t="inlineStr">
        <is>
          <t>2025-12</t>
        </is>
      </c>
      <c r="C4257" t="inlineStr">
        <is>
          <t>Macarena Astudillo</t>
        </is>
      </c>
      <c r="D4257" t="inlineStr">
        <is>
          <t>Petit Crunchy</t>
        </is>
      </c>
      <c r="E4257" s="34" t="n">
        <v>10900</v>
      </c>
      <c r="F4257" t="inlineStr">
        <is>
          <t>B</t>
        </is>
      </c>
      <c r="G4257" s="34" t="n">
        <v>1740</v>
      </c>
      <c r="H4257" s="34" t="n">
        <v>9160</v>
      </c>
      <c r="I4257" t="inlineStr">
        <is>
          <t>3.2</t>
        </is>
      </c>
      <c r="J4257" t="inlineStr">
        <is>
          <t>Ventas Personas (B2C)</t>
        </is>
      </c>
      <c r="K4257" t="inlineStr">
        <is>
          <t>CH2</t>
        </is>
      </c>
    </row>
    <row r="4258">
      <c r="A4258" s="33" t="n">
        <v>46010</v>
      </c>
      <c r="B4258" t="inlineStr">
        <is>
          <t>2025-12</t>
        </is>
      </c>
      <c r="C4258" t="inlineStr">
        <is>
          <t>Renata salas</t>
        </is>
      </c>
      <c r="D4258" t="inlineStr">
        <is>
          <t>Edición Navidad</t>
        </is>
      </c>
      <c r="E4258" s="34" t="n">
        <v>25290</v>
      </c>
      <c r="F4258" t="inlineStr">
        <is>
          <t>B</t>
        </is>
      </c>
      <c r="G4258" s="34" t="n">
        <v>4038</v>
      </c>
      <c r="H4258" s="34" t="n">
        <v>21252</v>
      </c>
      <c r="I4258" t="inlineStr">
        <is>
          <t>3.2</t>
        </is>
      </c>
      <c r="J4258" t="inlineStr">
        <is>
          <t>Ventas Personas (B2C)</t>
        </is>
      </c>
      <c r="K4258" t="inlineStr">
        <is>
          <t>CH2</t>
        </is>
      </c>
    </row>
    <row r="4259">
      <c r="A4259" s="33" t="n">
        <v>46010</v>
      </c>
      <c r="B4259" t="inlineStr">
        <is>
          <t>2025-12</t>
        </is>
      </c>
      <c r="C4259" t="inlineStr">
        <is>
          <t>Hernán Herrera Lucero</t>
        </is>
      </c>
      <c r="D4259" t="inlineStr">
        <is>
          <t>Petit Crunchy</t>
        </is>
      </c>
      <c r="E4259" s="34" t="n">
        <v>26900</v>
      </c>
      <c r="F4259" t="inlineStr">
        <is>
          <t>B</t>
        </is>
      </c>
      <c r="G4259" s="34" t="n">
        <v>4295</v>
      </c>
      <c r="H4259" s="34" t="n">
        <v>22605</v>
      </c>
      <c r="I4259" t="inlineStr">
        <is>
          <t>3.2</t>
        </is>
      </c>
      <c r="J4259" t="inlineStr">
        <is>
          <t>Ventas Personas (B2C)</t>
        </is>
      </c>
      <c r="K4259" t="inlineStr">
        <is>
          <t>CH2</t>
        </is>
      </c>
    </row>
    <row r="4260">
      <c r="A4260" s="33" t="n">
        <v>46010</v>
      </c>
      <c r="B4260" t="inlineStr">
        <is>
          <t>2025-12</t>
        </is>
      </c>
      <c r="C4260" t="inlineStr">
        <is>
          <t>Carlos Barberis</t>
        </is>
      </c>
      <c r="D4260" t="inlineStr">
        <is>
          <t>Mix Sabores</t>
        </is>
      </c>
      <c r="E4260" s="34" t="n">
        <v>22800</v>
      </c>
      <c r="F4260" t="inlineStr">
        <is>
          <t>B</t>
        </is>
      </c>
      <c r="G4260" s="34" t="n">
        <v>3640</v>
      </c>
      <c r="H4260" s="34" t="n">
        <v>19160</v>
      </c>
      <c r="I4260" t="inlineStr">
        <is>
          <t>3.2</t>
        </is>
      </c>
      <c r="J4260" t="inlineStr">
        <is>
          <t>Ventas Personas (B2C)</t>
        </is>
      </c>
      <c r="K4260" t="inlineStr">
        <is>
          <t>CH2</t>
        </is>
      </c>
    </row>
    <row r="4261">
      <c r="A4261" s="33" t="n">
        <v>46011</v>
      </c>
      <c r="B4261" t="inlineStr">
        <is>
          <t>2025-12</t>
        </is>
      </c>
      <c r="C4261" t="inlineStr">
        <is>
          <t>Constanza Guerrero</t>
        </is>
      </c>
      <c r="D4261" t="inlineStr">
        <is>
          <t>Rellenos</t>
        </is>
      </c>
      <c r="E4261" s="34" t="n">
        <v>18900</v>
      </c>
      <c r="F4261" t="inlineStr">
        <is>
          <t>B</t>
        </is>
      </c>
      <c r="G4261" s="34" t="n">
        <v>3018</v>
      </c>
      <c r="H4261" s="34" t="n">
        <v>15882</v>
      </c>
      <c r="I4261" t="inlineStr">
        <is>
          <t>3.2</t>
        </is>
      </c>
      <c r="J4261" t="inlineStr">
        <is>
          <t>Ventas Personas (B2C)</t>
        </is>
      </c>
      <c r="K4261" t="inlineStr">
        <is>
          <t>CH2</t>
        </is>
      </c>
    </row>
    <row r="4262">
      <c r="A4262" s="33" t="n">
        <v>46011</v>
      </c>
      <c r="B4262" t="inlineStr">
        <is>
          <t>2025-12</t>
        </is>
      </c>
      <c r="C4262" t="inlineStr">
        <is>
          <t>HYUNWOO KANG KANG</t>
        </is>
      </c>
      <c r="D4262" t="inlineStr">
        <is>
          <t>Petit Tradicional</t>
        </is>
      </c>
      <c r="E4262" s="34" t="n">
        <v>15220</v>
      </c>
      <c r="F4262" t="inlineStr">
        <is>
          <t>B</t>
        </is>
      </c>
      <c r="G4262" s="34" t="n">
        <v>2430</v>
      </c>
      <c r="H4262" s="34" t="n">
        <v>12790</v>
      </c>
      <c r="I4262" t="inlineStr">
        <is>
          <t>3.2</t>
        </is>
      </c>
      <c r="J4262" t="inlineStr">
        <is>
          <t>Ventas Personas (B2C)</t>
        </is>
      </c>
      <c r="K4262" t="inlineStr">
        <is>
          <t>CH2</t>
        </is>
      </c>
    </row>
    <row r="4263">
      <c r="A4263" s="33" t="n">
        <v>46011</v>
      </c>
      <c r="B4263" t="inlineStr">
        <is>
          <t>2025-12</t>
        </is>
      </c>
      <c r="C4263" t="inlineStr">
        <is>
          <t>rodrigo borgoña</t>
        </is>
      </c>
      <c r="D4263" t="inlineStr">
        <is>
          <t>CANELÉ TRADICIONAL</t>
        </is>
      </c>
      <c r="E4263" s="34" t="n">
        <v>21520</v>
      </c>
      <c r="F4263" t="inlineStr">
        <is>
          <t>B</t>
        </is>
      </c>
      <c r="G4263" s="34" t="n">
        <v>3436</v>
      </c>
      <c r="H4263" s="34" t="n">
        <v>18084</v>
      </c>
      <c r="I4263" t="inlineStr">
        <is>
          <t>3.2</t>
        </is>
      </c>
      <c r="J4263" t="inlineStr">
        <is>
          <t>Ventas Personas (B2C)</t>
        </is>
      </c>
      <c r="K4263" t="inlineStr">
        <is>
          <t>CH2</t>
        </is>
      </c>
    </row>
    <row r="4264">
      <c r="A4264" s="33" t="n">
        <v>46011</v>
      </c>
      <c r="B4264" t="inlineStr">
        <is>
          <t>2025-12</t>
        </is>
      </c>
      <c r="C4264" t="inlineStr">
        <is>
          <t>Macarena Astudillo</t>
        </is>
      </c>
      <c r="D4264" t="inlineStr">
        <is>
          <t>Delicatessen</t>
        </is>
      </c>
      <c r="E4264" s="34" t="n">
        <v>13900</v>
      </c>
      <c r="F4264" t="inlineStr">
        <is>
          <t>B</t>
        </is>
      </c>
      <c r="G4264" s="34" t="n">
        <v>2219</v>
      </c>
      <c r="H4264" s="34" t="n">
        <v>11681</v>
      </c>
      <c r="I4264" t="inlineStr">
        <is>
          <t>3.2</t>
        </is>
      </c>
      <c r="J4264" t="inlineStr">
        <is>
          <t>Ventas Personas (B2C)</t>
        </is>
      </c>
      <c r="K4264" t="inlineStr">
        <is>
          <t>CH2</t>
        </is>
      </c>
    </row>
    <row r="4265">
      <c r="A4265" s="33" t="n">
        <v>46011</v>
      </c>
      <c r="B4265" t="inlineStr">
        <is>
          <t>2025-12</t>
        </is>
      </c>
      <c r="C4265" t="inlineStr">
        <is>
          <t>carola trucco</t>
        </is>
      </c>
      <c r="D4265" t="inlineStr">
        <is>
          <t>SALSAS</t>
        </is>
      </c>
      <c r="E4265" s="34" t="n">
        <v>97580</v>
      </c>
      <c r="F4265" t="inlineStr">
        <is>
          <t>B</t>
        </is>
      </c>
      <c r="G4265" s="34" t="n">
        <v>15580</v>
      </c>
      <c r="H4265" s="34" t="n">
        <v>82000</v>
      </c>
      <c r="I4265" t="inlineStr">
        <is>
          <t>3.2</t>
        </is>
      </c>
      <c r="J4265" t="inlineStr">
        <is>
          <t>Ventas Personas (B2C)</t>
        </is>
      </c>
      <c r="K4265" t="inlineStr">
        <is>
          <t>CH2</t>
        </is>
      </c>
    </row>
    <row r="4266">
      <c r="A4266" s="33" t="n">
        <v>46011</v>
      </c>
      <c r="B4266" t="inlineStr">
        <is>
          <t>2025-12</t>
        </is>
      </c>
      <c r="C4266" t="inlineStr">
        <is>
          <t>Sin cliente</t>
        </is>
      </c>
      <c r="D4266" t="inlineStr">
        <is>
          <t>CANELÉ TRADICIONAL</t>
        </is>
      </c>
      <c r="E4266" s="34" t="n">
        <v>15900</v>
      </c>
      <c r="F4266" t="inlineStr">
        <is>
          <t>B</t>
        </is>
      </c>
      <c r="G4266" s="34" t="n">
        <v>2539</v>
      </c>
      <c r="H4266" s="34" t="n">
        <v>13361</v>
      </c>
      <c r="I4266" t="inlineStr">
        <is>
          <t>3.2</t>
        </is>
      </c>
      <c r="J4266" t="inlineStr">
        <is>
          <t>Ventas Personas (B2C)</t>
        </is>
      </c>
      <c r="K4266" t="inlineStr">
        <is>
          <t>CH2</t>
        </is>
      </c>
    </row>
    <row r="4267">
      <c r="A4267" s="33" t="n">
        <v>46011</v>
      </c>
      <c r="B4267" t="inlineStr">
        <is>
          <t>2025-12</t>
        </is>
      </c>
      <c r="C4267" t="inlineStr">
        <is>
          <t>Sin cliente</t>
        </is>
      </c>
      <c r="D4267" t="inlineStr">
        <is>
          <t>PACKAGING</t>
        </is>
      </c>
      <c r="E4267" s="34" t="n">
        <v>1200</v>
      </c>
      <c r="F4267" t="inlineStr">
        <is>
          <t>B</t>
        </is>
      </c>
      <c r="G4267" s="34" t="n">
        <v>192</v>
      </c>
      <c r="H4267" s="34" t="n">
        <v>1008</v>
      </c>
      <c r="I4267" t="inlineStr">
        <is>
          <t>3.2</t>
        </is>
      </c>
      <c r="J4267" t="inlineStr">
        <is>
          <t>Ventas Personas (B2C)</t>
        </is>
      </c>
      <c r="K4267" t="inlineStr">
        <is>
          <t>CH2</t>
        </is>
      </c>
    </row>
    <row r="4268">
      <c r="A4268" s="33" t="n">
        <v>46011</v>
      </c>
      <c r="B4268" t="inlineStr">
        <is>
          <t>2025-12</t>
        </is>
      </c>
      <c r="C4268" t="inlineStr">
        <is>
          <t>Francisco Campos</t>
        </is>
      </c>
      <c r="D4268" t="inlineStr">
        <is>
          <t>Mix Sabores</t>
        </is>
      </c>
      <c r="E4268" s="34" t="n">
        <v>28290</v>
      </c>
      <c r="F4268" t="inlineStr">
        <is>
          <t>B</t>
        </is>
      </c>
      <c r="G4268" s="34" t="n">
        <v>4517</v>
      </c>
      <c r="H4268" s="34" t="n">
        <v>23773</v>
      </c>
      <c r="I4268" t="inlineStr">
        <is>
          <t>3.2</t>
        </is>
      </c>
      <c r="J4268" t="inlineStr">
        <is>
          <t>Ventas Personas (B2C)</t>
        </is>
      </c>
      <c r="K4268" t="inlineStr">
        <is>
          <t>CH2</t>
        </is>
      </c>
    </row>
    <row r="4269">
      <c r="A4269" s="33" t="n">
        <v>46011</v>
      </c>
      <c r="B4269" t="inlineStr">
        <is>
          <t>2025-12</t>
        </is>
      </c>
      <c r="C4269" t="inlineStr">
        <is>
          <t>Constanza Garcia</t>
        </is>
      </c>
      <c r="D4269" t="inlineStr">
        <is>
          <t>Petit Tradicional</t>
        </is>
      </c>
      <c r="E4269" s="34" t="n">
        <v>9800</v>
      </c>
      <c r="F4269" t="inlineStr">
        <is>
          <t>B</t>
        </is>
      </c>
      <c r="G4269" s="34" t="n">
        <v>1565</v>
      </c>
      <c r="H4269" s="34" t="n">
        <v>8235</v>
      </c>
      <c r="I4269" t="inlineStr">
        <is>
          <t>3.2</t>
        </is>
      </c>
      <c r="J4269" t="inlineStr">
        <is>
          <t>Ventas Personas (B2C)</t>
        </is>
      </c>
      <c r="K4269" t="inlineStr">
        <is>
          <t>CH2</t>
        </is>
      </c>
    </row>
    <row r="4270">
      <c r="A4270" s="33" t="n">
        <v>46011</v>
      </c>
      <c r="B4270" t="inlineStr">
        <is>
          <t>2025-12</t>
        </is>
      </c>
      <c r="C4270" t="inlineStr">
        <is>
          <t>NIcolas  Wilson</t>
        </is>
      </c>
      <c r="D4270" t="inlineStr">
        <is>
          <t>Rellenos</t>
        </is>
      </c>
      <c r="E4270" s="34" t="n">
        <v>20800</v>
      </c>
      <c r="F4270" t="inlineStr">
        <is>
          <t>B</t>
        </is>
      </c>
      <c r="G4270" s="34" t="n">
        <v>3321</v>
      </c>
      <c r="H4270" s="34" t="n">
        <v>17479</v>
      </c>
      <c r="I4270" t="inlineStr">
        <is>
          <t>3.2</t>
        </is>
      </c>
      <c r="J4270" t="inlineStr">
        <is>
          <t>Ventas Personas (B2C)</t>
        </is>
      </c>
      <c r="K4270" t="inlineStr">
        <is>
          <t>CH2</t>
        </is>
      </c>
    </row>
    <row r="4271">
      <c r="A4271" s="33" t="n">
        <v>46011</v>
      </c>
      <c r="B4271" t="inlineStr">
        <is>
          <t>2025-12</t>
        </is>
      </c>
      <c r="C4271" t="inlineStr">
        <is>
          <t>Sin cliente</t>
        </is>
      </c>
      <c r="D4271" t="inlineStr">
        <is>
          <t>Rellenos</t>
        </is>
      </c>
      <c r="E4271" s="34" t="n">
        <v>13000</v>
      </c>
      <c r="F4271" t="inlineStr">
        <is>
          <t>B</t>
        </is>
      </c>
      <c r="G4271" s="34" t="n">
        <v>2076</v>
      </c>
      <c r="H4271" s="34" t="n">
        <v>10924</v>
      </c>
      <c r="I4271" t="inlineStr">
        <is>
          <t>3.2</t>
        </is>
      </c>
      <c r="J4271" t="inlineStr">
        <is>
          <t>Ventas Personas (B2C)</t>
        </is>
      </c>
      <c r="K4271" t="inlineStr">
        <is>
          <t>CH2</t>
        </is>
      </c>
    </row>
    <row r="4272">
      <c r="A4272" s="33" t="n">
        <v>46011</v>
      </c>
      <c r="B4272" t="inlineStr">
        <is>
          <t>2025-12</t>
        </is>
      </c>
      <c r="C4272" t="inlineStr">
        <is>
          <t>Rodrigo Ramírez</t>
        </is>
      </c>
      <c r="D4272" t="inlineStr">
        <is>
          <t>Petit Crunchy</t>
        </is>
      </c>
      <c r="E4272" s="34" t="n">
        <v>46890</v>
      </c>
      <c r="F4272" t="inlineStr">
        <is>
          <t>B</t>
        </is>
      </c>
      <c r="G4272" s="34" t="n">
        <v>7487</v>
      </c>
      <c r="H4272" s="34" t="n">
        <v>39403</v>
      </c>
      <c r="I4272" t="inlineStr">
        <is>
          <t>3.2</t>
        </is>
      </c>
      <c r="J4272" t="inlineStr">
        <is>
          <t>Ventas Personas (B2C)</t>
        </is>
      </c>
      <c r="K4272" t="inlineStr">
        <is>
          <t>CH2</t>
        </is>
      </c>
    </row>
    <row r="4273">
      <c r="A4273" s="33" t="n">
        <v>46011</v>
      </c>
      <c r="B4273" t="inlineStr">
        <is>
          <t>2025-12</t>
        </is>
      </c>
      <c r="C4273" t="inlineStr">
        <is>
          <t>Maria Veronica Gracia</t>
        </is>
      </c>
      <c r="D4273" t="inlineStr">
        <is>
          <t>CANELE SIN AZUCAR</t>
        </is>
      </c>
      <c r="E4273" s="34" t="n">
        <v>29290</v>
      </c>
      <c r="F4273" t="inlineStr">
        <is>
          <t>B</t>
        </is>
      </c>
      <c r="G4273" s="34" t="n">
        <v>4677</v>
      </c>
      <c r="H4273" s="34" t="n">
        <v>24613</v>
      </c>
      <c r="I4273" t="inlineStr">
        <is>
          <t>3.2</t>
        </is>
      </c>
      <c r="J4273" t="inlineStr">
        <is>
          <t>Ventas Personas (B2C)</t>
        </is>
      </c>
      <c r="K4273" t="inlineStr">
        <is>
          <t>CH2</t>
        </is>
      </c>
    </row>
    <row r="4274">
      <c r="A4274" s="33" t="n">
        <v>46011</v>
      </c>
      <c r="B4274" t="inlineStr">
        <is>
          <t>2025-12</t>
        </is>
      </c>
      <c r="C4274" t="inlineStr">
        <is>
          <t>Javier  Herrera</t>
        </is>
      </c>
      <c r="D4274" t="inlineStr">
        <is>
          <t>CANELÉ TRADICIONAL</t>
        </is>
      </c>
      <c r="E4274" s="34" t="n">
        <v>25000</v>
      </c>
      <c r="F4274" t="inlineStr">
        <is>
          <t>B</t>
        </is>
      </c>
      <c r="G4274" s="34" t="n">
        <v>3992</v>
      </c>
      <c r="H4274" s="34" t="n">
        <v>21008</v>
      </c>
      <c r="I4274" t="inlineStr">
        <is>
          <t>3.2</t>
        </is>
      </c>
      <c r="J4274" t="inlineStr">
        <is>
          <t>Ventas Personas (B2C)</t>
        </is>
      </c>
      <c r="K4274" t="inlineStr">
        <is>
          <t>CH2</t>
        </is>
      </c>
    </row>
    <row r="4275">
      <c r="A4275" s="33" t="n">
        <v>46011</v>
      </c>
      <c r="B4275" t="inlineStr">
        <is>
          <t>2025-12</t>
        </is>
      </c>
      <c r="C4275" t="inlineStr">
        <is>
          <t>Claudia Miranda Sanchez</t>
        </is>
      </c>
      <c r="D4275" t="inlineStr">
        <is>
          <t>Petit Tradicional</t>
        </is>
      </c>
      <c r="E4275" s="34" t="n">
        <v>27290</v>
      </c>
      <c r="F4275" t="inlineStr">
        <is>
          <t>B</t>
        </is>
      </c>
      <c r="G4275" s="34" t="n">
        <v>4357</v>
      </c>
      <c r="H4275" s="34" t="n">
        <v>22933</v>
      </c>
      <c r="I4275" t="inlineStr">
        <is>
          <t>3.2</t>
        </is>
      </c>
      <c r="J4275" t="inlineStr">
        <is>
          <t>Ventas Personas (B2C)</t>
        </is>
      </c>
      <c r="K4275" t="inlineStr">
        <is>
          <t>CH2</t>
        </is>
      </c>
    </row>
    <row r="4276">
      <c r="A4276" s="33" t="n">
        <v>46011</v>
      </c>
      <c r="B4276" t="inlineStr">
        <is>
          <t>2025-12</t>
        </is>
      </c>
      <c r="C4276" t="inlineStr">
        <is>
          <t>LUIS TORO</t>
        </is>
      </c>
      <c r="D4276" t="inlineStr">
        <is>
          <t>Petit Crunchy</t>
        </is>
      </c>
      <c r="E4276" s="34" t="n">
        <v>46290</v>
      </c>
      <c r="F4276" t="inlineStr">
        <is>
          <t>B</t>
        </is>
      </c>
      <c r="G4276" s="34" t="n">
        <v>7391</v>
      </c>
      <c r="H4276" s="34" t="n">
        <v>38899</v>
      </c>
      <c r="I4276" t="inlineStr">
        <is>
          <t>3.2</t>
        </is>
      </c>
      <c r="J4276" t="inlineStr">
        <is>
          <t>Ventas Personas (B2C)</t>
        </is>
      </c>
      <c r="K4276" t="inlineStr">
        <is>
          <t>CH2</t>
        </is>
      </c>
    </row>
    <row r="4277">
      <c r="A4277" s="33" t="n">
        <v>46012</v>
      </c>
      <c r="B4277" t="inlineStr">
        <is>
          <t>2025-12</t>
        </is>
      </c>
      <c r="C4277" t="inlineStr">
        <is>
          <t>Mariajosé Barria</t>
        </is>
      </c>
      <c r="D4277" t="inlineStr">
        <is>
          <t>Petit Tradicional</t>
        </is>
      </c>
      <c r="E4277" s="34" t="n">
        <v>37290</v>
      </c>
      <c r="F4277" t="inlineStr">
        <is>
          <t>B</t>
        </is>
      </c>
      <c r="G4277" s="34" t="n">
        <v>5954</v>
      </c>
      <c r="H4277" s="34" t="n">
        <v>31336</v>
      </c>
      <c r="I4277" t="inlineStr">
        <is>
          <t>3.2</t>
        </is>
      </c>
      <c r="J4277" t="inlineStr">
        <is>
          <t>Ventas Personas (B2C)</t>
        </is>
      </c>
      <c r="K4277" t="inlineStr">
        <is>
          <t>CH2</t>
        </is>
      </c>
    </row>
    <row r="4278">
      <c r="A4278" s="33" t="n">
        <v>46012</v>
      </c>
      <c r="B4278" t="inlineStr">
        <is>
          <t>2025-12</t>
        </is>
      </c>
      <c r="C4278" t="inlineStr">
        <is>
          <t>Eduardo Labarca</t>
        </is>
      </c>
      <c r="D4278" t="inlineStr">
        <is>
          <t>Mix Sabores</t>
        </is>
      </c>
      <c r="E4278" s="34" t="n">
        <v>33290</v>
      </c>
      <c r="F4278" t="inlineStr">
        <is>
          <t>B</t>
        </is>
      </c>
      <c r="G4278" s="34" t="n">
        <v>5315</v>
      </c>
      <c r="H4278" s="34" t="n">
        <v>27975</v>
      </c>
      <c r="I4278" t="inlineStr">
        <is>
          <t>3.2</t>
        </is>
      </c>
      <c r="J4278" t="inlineStr">
        <is>
          <t>Ventas Personas (B2C)</t>
        </is>
      </c>
      <c r="K4278" t="inlineStr">
        <is>
          <t>CH2</t>
        </is>
      </c>
    </row>
    <row r="4279">
      <c r="A4279" s="33" t="n">
        <v>46012</v>
      </c>
      <c r="B4279" t="inlineStr">
        <is>
          <t>2025-12</t>
        </is>
      </c>
      <c r="C4279" t="inlineStr">
        <is>
          <t>Pablo Andres Guarnaccia</t>
        </is>
      </c>
      <c r="D4279" t="inlineStr">
        <is>
          <t>CANELÉ TRADICIONAL</t>
        </is>
      </c>
      <c r="E4279" s="34" t="n">
        <v>56190</v>
      </c>
      <c r="F4279" t="inlineStr">
        <is>
          <t>B</t>
        </is>
      </c>
      <c r="G4279" s="34" t="n">
        <v>8972</v>
      </c>
      <c r="H4279" s="34" t="n">
        <v>47218</v>
      </c>
      <c r="I4279" t="inlineStr">
        <is>
          <t>3.2</t>
        </is>
      </c>
      <c r="J4279" t="inlineStr">
        <is>
          <t>Ventas Personas (B2C)</t>
        </is>
      </c>
      <c r="K4279" t="inlineStr">
        <is>
          <t>CH2</t>
        </is>
      </c>
    </row>
    <row r="4280">
      <c r="A4280" s="33" t="n">
        <v>46012</v>
      </c>
      <c r="B4280" t="inlineStr">
        <is>
          <t>2025-12</t>
        </is>
      </c>
      <c r="C4280" t="inlineStr">
        <is>
          <t>Jacqueline Valenzuela Ulloa</t>
        </is>
      </c>
      <c r="D4280" t="inlineStr">
        <is>
          <t>Petit Tradicional</t>
        </is>
      </c>
      <c r="E4280" s="34" t="n">
        <v>13800</v>
      </c>
      <c r="F4280" t="inlineStr">
        <is>
          <t>B</t>
        </is>
      </c>
      <c r="G4280" s="34" t="n">
        <v>2203</v>
      </c>
      <c r="H4280" s="34" t="n">
        <v>11597</v>
      </c>
      <c r="I4280" t="inlineStr">
        <is>
          <t>3.2</t>
        </is>
      </c>
      <c r="J4280" t="inlineStr">
        <is>
          <t>Ventas Personas (B2C)</t>
        </is>
      </c>
      <c r="K4280" t="inlineStr">
        <is>
          <t>CH2</t>
        </is>
      </c>
    </row>
    <row r="4281">
      <c r="A4281" s="33" t="n">
        <v>46012</v>
      </c>
      <c r="B4281" t="inlineStr">
        <is>
          <t>2025-12</t>
        </is>
      </c>
      <c r="C4281" t="inlineStr">
        <is>
          <t>Yamileth Rondon</t>
        </is>
      </c>
      <c r="D4281" t="inlineStr">
        <is>
          <t>Rellenos</t>
        </is>
      </c>
      <c r="E4281" s="34" t="n">
        <v>24490</v>
      </c>
      <c r="F4281" t="inlineStr">
        <is>
          <t>B</t>
        </is>
      </c>
      <c r="G4281" s="34" t="n">
        <v>3910</v>
      </c>
      <c r="H4281" s="34" t="n">
        <v>20580</v>
      </c>
      <c r="I4281" t="inlineStr">
        <is>
          <t>3.2</t>
        </is>
      </c>
      <c r="J4281" t="inlineStr">
        <is>
          <t>Ventas Personas (B2C)</t>
        </is>
      </c>
      <c r="K4281" t="inlineStr">
        <is>
          <t>CH2</t>
        </is>
      </c>
    </row>
    <row r="4282">
      <c r="A4282" s="33" t="n">
        <v>46012</v>
      </c>
      <c r="B4282" t="inlineStr">
        <is>
          <t>2025-12</t>
        </is>
      </c>
      <c r="C4282" t="inlineStr">
        <is>
          <t>Francisca Duhamel</t>
        </is>
      </c>
      <c r="D4282" t="inlineStr">
        <is>
          <t>Rellenos</t>
        </is>
      </c>
      <c r="E4282" s="34" t="n">
        <v>29390</v>
      </c>
      <c r="F4282" t="inlineStr">
        <is>
          <t>B</t>
        </is>
      </c>
      <c r="G4282" s="34" t="n">
        <v>4693</v>
      </c>
      <c r="H4282" s="34" t="n">
        <v>24697</v>
      </c>
      <c r="I4282" t="inlineStr">
        <is>
          <t>3.2</t>
        </is>
      </c>
      <c r="J4282" t="inlineStr">
        <is>
          <t>Ventas Personas (B2C)</t>
        </is>
      </c>
      <c r="K4282" t="inlineStr">
        <is>
          <t>CH2</t>
        </is>
      </c>
    </row>
    <row r="4283">
      <c r="A4283" s="33" t="n">
        <v>46012</v>
      </c>
      <c r="B4283" t="inlineStr">
        <is>
          <t>2025-12</t>
        </is>
      </c>
      <c r="C4283" t="inlineStr">
        <is>
          <t>Valentina Campos</t>
        </is>
      </c>
      <c r="D4283" t="inlineStr">
        <is>
          <t>Petit Tradicional</t>
        </is>
      </c>
      <c r="E4283" s="34" t="n">
        <v>26290</v>
      </c>
      <c r="F4283" t="inlineStr">
        <is>
          <t>B</t>
        </is>
      </c>
      <c r="G4283" s="34" t="n">
        <v>4198</v>
      </c>
      <c r="H4283" s="34" t="n">
        <v>22092</v>
      </c>
      <c r="I4283" t="inlineStr">
        <is>
          <t>3.2</t>
        </is>
      </c>
      <c r="J4283" t="inlineStr">
        <is>
          <t>Ventas Personas (B2C)</t>
        </is>
      </c>
      <c r="K4283" t="inlineStr">
        <is>
          <t>CH2</t>
        </is>
      </c>
    </row>
    <row r="4284">
      <c r="A4284" s="33" t="n">
        <v>46012</v>
      </c>
      <c r="B4284" t="inlineStr">
        <is>
          <t>2025-12</t>
        </is>
      </c>
      <c r="C4284" t="inlineStr">
        <is>
          <t>Saxana Sequeida</t>
        </is>
      </c>
      <c r="D4284" t="inlineStr">
        <is>
          <t>Petit Crunchy</t>
        </is>
      </c>
      <c r="E4284" s="34" t="n">
        <v>149799</v>
      </c>
      <c r="F4284" t="inlineStr">
        <is>
          <t>B</t>
        </is>
      </c>
      <c r="G4284" s="34" t="n">
        <v>23917</v>
      </c>
      <c r="H4284" s="34" t="n">
        <v>125882</v>
      </c>
      <c r="I4284" t="inlineStr">
        <is>
          <t>3.2</t>
        </is>
      </c>
      <c r="J4284" t="inlineStr">
        <is>
          <t>Ventas Personas (B2C)</t>
        </is>
      </c>
      <c r="K4284" t="inlineStr">
        <is>
          <t>CH2</t>
        </is>
      </c>
    </row>
    <row r="4285">
      <c r="A4285" s="33" t="n">
        <v>46012</v>
      </c>
      <c r="B4285" t="inlineStr">
        <is>
          <t>2025-12</t>
        </is>
      </c>
      <c r="C4285" t="inlineStr">
        <is>
          <t>Braulio Bahamonde</t>
        </is>
      </c>
      <c r="D4285" t="inlineStr">
        <is>
          <t>Petit Crunchy</t>
        </is>
      </c>
      <c r="E4285" s="34" t="n">
        <v>31390</v>
      </c>
      <c r="F4285" t="inlineStr">
        <is>
          <t>B</t>
        </is>
      </c>
      <c r="G4285" s="34" t="n">
        <v>5012</v>
      </c>
      <c r="H4285" s="34" t="n">
        <v>26378</v>
      </c>
      <c r="I4285" t="inlineStr">
        <is>
          <t>3.2</t>
        </is>
      </c>
      <c r="J4285" t="inlineStr">
        <is>
          <t>Ventas Personas (B2C)</t>
        </is>
      </c>
      <c r="K4285" t="inlineStr">
        <is>
          <t>CH2</t>
        </is>
      </c>
    </row>
    <row r="4286">
      <c r="A4286" s="33" t="n">
        <v>46012</v>
      </c>
      <c r="B4286" t="inlineStr">
        <is>
          <t>2025-12</t>
        </is>
      </c>
      <c r="C4286" t="inlineStr">
        <is>
          <t>Maria Toscano</t>
        </is>
      </c>
      <c r="D4286" t="inlineStr">
        <is>
          <t>CANELE SIN AZUCAR</t>
        </is>
      </c>
      <c r="E4286" s="34" t="n">
        <v>29290</v>
      </c>
      <c r="F4286" t="inlineStr">
        <is>
          <t>B</t>
        </is>
      </c>
      <c r="G4286" s="34" t="n">
        <v>4677</v>
      </c>
      <c r="H4286" s="34" t="n">
        <v>24613</v>
      </c>
      <c r="I4286" t="inlineStr">
        <is>
          <t>3.2</t>
        </is>
      </c>
      <c r="J4286" t="inlineStr">
        <is>
          <t>Ventas Personas (B2C)</t>
        </is>
      </c>
      <c r="K4286" t="inlineStr">
        <is>
          <t>CH2</t>
        </is>
      </c>
    </row>
    <row r="4287">
      <c r="A4287" s="33" t="n">
        <v>46013</v>
      </c>
      <c r="B4287" t="inlineStr">
        <is>
          <t>2025-12</t>
        </is>
      </c>
      <c r="C4287" t="inlineStr">
        <is>
          <t>INVERSIONES Y COMERCIALIZADORA FED LIMITADA</t>
        </is>
      </c>
      <c r="D4287" t="inlineStr">
        <is>
          <t>HORECA CAFETERIA</t>
        </is>
      </c>
      <c r="E4287" s="34" t="n">
        <v>282203</v>
      </c>
      <c r="F4287" t="inlineStr">
        <is>
          <t>F</t>
        </is>
      </c>
      <c r="G4287" s="34" t="n">
        <v>45058</v>
      </c>
      <c r="H4287" s="34" t="n">
        <v>237145</v>
      </c>
      <c r="I4287" t="inlineStr">
        <is>
          <t>3.1</t>
        </is>
      </c>
      <c r="J4287" t="inlineStr">
        <is>
          <t>Ventas HoReCa</t>
        </is>
      </c>
      <c r="K4287" t="inlineStr">
        <is>
          <t>CH1</t>
        </is>
      </c>
    </row>
    <row r="4288">
      <c r="A4288" s="33" t="n">
        <v>46013</v>
      </c>
      <c r="B4288" t="inlineStr">
        <is>
          <t>2025-12</t>
        </is>
      </c>
      <c r="C4288" t="inlineStr">
        <is>
          <t>GALO SPA</t>
        </is>
      </c>
      <c r="D4288" t="inlineStr">
        <is>
          <t>HORECA CAFETERIA</t>
        </is>
      </c>
      <c r="E4288" s="34" t="n">
        <v>190376</v>
      </c>
      <c r="F4288" t="inlineStr">
        <is>
          <t>F</t>
        </is>
      </c>
      <c r="G4288" s="34" t="n">
        <v>30396</v>
      </c>
      <c r="H4288" s="34" t="n">
        <v>159980</v>
      </c>
      <c r="I4288" t="inlineStr">
        <is>
          <t>3.1</t>
        </is>
      </c>
      <c r="J4288" t="inlineStr">
        <is>
          <t>Ventas HoReCa</t>
        </is>
      </c>
      <c r="K4288" t="inlineStr">
        <is>
          <t>CH1</t>
        </is>
      </c>
    </row>
    <row r="4289">
      <c r="A4289" s="33" t="n">
        <v>46013</v>
      </c>
      <c r="B4289" t="inlineStr">
        <is>
          <t>2025-12</t>
        </is>
      </c>
      <c r="C4289" t="inlineStr">
        <is>
          <t>INVERSIONES Y ASESORIAS RAVAL LIMITADA</t>
        </is>
      </c>
      <c r="D4289" t="inlineStr">
        <is>
          <t>HORECA CAFETERIA</t>
        </is>
      </c>
      <c r="E4289" s="34" t="n">
        <v>107124</v>
      </c>
      <c r="F4289" t="inlineStr">
        <is>
          <t>F</t>
        </is>
      </c>
      <c r="G4289" s="34" t="n">
        <v>17104</v>
      </c>
      <c r="H4289" s="34" t="n">
        <v>90020</v>
      </c>
      <c r="I4289" t="inlineStr">
        <is>
          <t>3.1</t>
        </is>
      </c>
      <c r="J4289" t="inlineStr">
        <is>
          <t>Ventas HoReCa</t>
        </is>
      </c>
      <c r="K4289" t="inlineStr">
        <is>
          <t>CH1</t>
        </is>
      </c>
    </row>
    <row r="4290">
      <c r="A4290" s="33" t="n">
        <v>46013</v>
      </c>
      <c r="B4290" t="inlineStr">
        <is>
          <t>2025-12</t>
        </is>
      </c>
      <c r="C4290" t="inlineStr">
        <is>
          <t>COMERCIALIZADORA NATUTEA SPA</t>
        </is>
      </c>
      <c r="D4290" t="inlineStr">
        <is>
          <t>HORECA CAFETERIA</t>
        </is>
      </c>
      <c r="E4290" s="34" t="n">
        <v>39115</v>
      </c>
      <c r="F4290" t="inlineStr">
        <is>
          <t>F</t>
        </is>
      </c>
      <c r="G4290" s="34" t="n">
        <v>6245</v>
      </c>
      <c r="H4290" s="34" t="n">
        <v>32870</v>
      </c>
      <c r="I4290" t="inlineStr">
        <is>
          <t>3.1</t>
        </is>
      </c>
      <c r="J4290" t="inlineStr">
        <is>
          <t>Ventas HoReCa</t>
        </is>
      </c>
      <c r="K4290" t="inlineStr">
        <is>
          <t>CH1</t>
        </is>
      </c>
    </row>
    <row r="4291">
      <c r="A4291" s="33" t="n">
        <v>46013</v>
      </c>
      <c r="B4291" t="inlineStr">
        <is>
          <t>2025-12</t>
        </is>
      </c>
      <c r="C4291" t="inlineStr">
        <is>
          <t>NACIÓN CAFÉ SPA</t>
        </is>
      </c>
      <c r="D4291" t="inlineStr">
        <is>
          <t>HORECA CAFETERIA</t>
        </is>
      </c>
      <c r="E4291" s="34" t="n">
        <v>73494</v>
      </c>
      <c r="F4291" t="inlineStr">
        <is>
          <t>F</t>
        </is>
      </c>
      <c r="G4291" s="34" t="n">
        <v>11734</v>
      </c>
      <c r="H4291" s="34" t="n">
        <v>61760</v>
      </c>
      <c r="I4291" t="inlineStr">
        <is>
          <t>3.1</t>
        </is>
      </c>
      <c r="J4291" t="inlineStr">
        <is>
          <t>Ventas HoReCa</t>
        </is>
      </c>
      <c r="K4291" t="inlineStr">
        <is>
          <t>CH1</t>
        </is>
      </c>
    </row>
    <row r="4292">
      <c r="A4292" s="33" t="n">
        <v>46013</v>
      </c>
      <c r="B4292" t="inlineStr">
        <is>
          <t>2025-12</t>
        </is>
      </c>
      <c r="C4292" t="inlineStr">
        <is>
          <t>INVERSIONES Y ASESORIAS RAVAL LIMITADA</t>
        </is>
      </c>
      <c r="D4292" t="inlineStr">
        <is>
          <t>HORECA CAFETERIA</t>
        </is>
      </c>
      <c r="E4292" s="34" t="n">
        <v>-107124</v>
      </c>
      <c r="F4292" t="inlineStr">
        <is>
          <t>NC</t>
        </is>
      </c>
      <c r="G4292" s="34" t="n">
        <v>-17104</v>
      </c>
      <c r="H4292" s="34" t="n">
        <v>-90020</v>
      </c>
      <c r="I4292" t="inlineStr">
        <is>
          <t>3.1</t>
        </is>
      </c>
      <c r="J4292" t="inlineStr">
        <is>
          <t>Ventas HoReCa</t>
        </is>
      </c>
      <c r="K4292" t="inlineStr">
        <is>
          <t>CH1</t>
        </is>
      </c>
    </row>
    <row r="4293">
      <c r="A4293" s="33" t="n">
        <v>46013</v>
      </c>
      <c r="B4293" t="inlineStr">
        <is>
          <t>2025-12</t>
        </is>
      </c>
      <c r="C4293" t="inlineStr">
        <is>
          <t>INVERSIONES Y ASESORIAS RAVAL LIMITADA</t>
        </is>
      </c>
      <c r="D4293" t="inlineStr">
        <is>
          <t>HORECA CAFETERIA</t>
        </is>
      </c>
      <c r="E4293" s="34" t="n">
        <v>75030</v>
      </c>
      <c r="F4293" t="inlineStr">
        <is>
          <t>F</t>
        </is>
      </c>
      <c r="G4293" s="34" t="n">
        <v>11980</v>
      </c>
      <c r="H4293" s="34" t="n">
        <v>63050</v>
      </c>
      <c r="I4293" t="inlineStr">
        <is>
          <t>3.1</t>
        </is>
      </c>
      <c r="J4293" t="inlineStr">
        <is>
          <t>Ventas HoReCa</t>
        </is>
      </c>
      <c r="K4293" t="inlineStr">
        <is>
          <t>CH1</t>
        </is>
      </c>
    </row>
    <row r="4294">
      <c r="A4294" s="33" t="n">
        <v>46013</v>
      </c>
      <c r="B4294" t="inlineStr">
        <is>
          <t>2025-12</t>
        </is>
      </c>
      <c r="C4294" t="inlineStr">
        <is>
          <t>Solange Helena Fontirroig</t>
        </is>
      </c>
      <c r="D4294" t="inlineStr">
        <is>
          <t>Rellenos</t>
        </is>
      </c>
      <c r="E4294" s="34" t="n">
        <v>32900</v>
      </c>
      <c r="F4294" t="inlineStr">
        <is>
          <t>B</t>
        </is>
      </c>
      <c r="G4294" s="34" t="n">
        <v>5253</v>
      </c>
      <c r="H4294" s="34" t="n">
        <v>27647</v>
      </c>
      <c r="I4294" t="inlineStr">
        <is>
          <t>3.2</t>
        </is>
      </c>
      <c r="J4294" t="inlineStr">
        <is>
          <t>Ventas Personas (B2C)</t>
        </is>
      </c>
      <c r="K4294" t="inlineStr">
        <is>
          <t>CH2</t>
        </is>
      </c>
    </row>
    <row r="4295">
      <c r="A4295" s="33" t="n">
        <v>46013</v>
      </c>
      <c r="B4295" t="inlineStr">
        <is>
          <t>2025-12</t>
        </is>
      </c>
      <c r="C4295" t="inlineStr">
        <is>
          <t>BLUE OAK COFFE SPA</t>
        </is>
      </c>
      <c r="D4295" t="inlineStr">
        <is>
          <t>HORECA CAFETERIA</t>
        </is>
      </c>
      <c r="E4295" s="34" t="n">
        <v>136410</v>
      </c>
      <c r="F4295" t="inlineStr">
        <is>
          <t>F</t>
        </is>
      </c>
      <c r="G4295" s="34" t="n">
        <v>21780</v>
      </c>
      <c r="H4295" s="34" t="n">
        <v>114630</v>
      </c>
      <c r="I4295" t="inlineStr">
        <is>
          <t>3.1</t>
        </is>
      </c>
      <c r="J4295" t="inlineStr">
        <is>
          <t>Ventas HoReCa</t>
        </is>
      </c>
      <c r="K4295" t="inlineStr">
        <is>
          <t>CH1</t>
        </is>
      </c>
    </row>
    <row r="4296">
      <c r="A4296" s="33" t="n">
        <v>46013</v>
      </c>
      <c r="B4296" t="inlineStr">
        <is>
          <t>2025-12</t>
        </is>
      </c>
      <c r="C4296" t="inlineStr">
        <is>
          <t>BLUE OAK COFFE SPA</t>
        </is>
      </c>
      <c r="D4296" t="inlineStr">
        <is>
          <t>HORECA CAFETERIA</t>
        </is>
      </c>
      <c r="E4296" s="34" t="n">
        <v>39115</v>
      </c>
      <c r="F4296" t="inlineStr">
        <is>
          <t>F</t>
        </is>
      </c>
      <c r="G4296" s="34" t="n">
        <v>6245</v>
      </c>
      <c r="H4296" s="34" t="n">
        <v>32870</v>
      </c>
      <c r="I4296" t="inlineStr">
        <is>
          <t>3.1</t>
        </is>
      </c>
      <c r="J4296" t="inlineStr">
        <is>
          <t>Ventas HoReCa</t>
        </is>
      </c>
      <c r="K4296" t="inlineStr">
        <is>
          <t>CH1</t>
        </is>
      </c>
    </row>
    <row r="4297">
      <c r="A4297" s="33" t="n">
        <v>46013</v>
      </c>
      <c r="B4297" t="inlineStr">
        <is>
          <t>2025-12</t>
        </is>
      </c>
      <c r="C4297" t="inlineStr">
        <is>
          <t>BLUE OAK COFFE SPA</t>
        </is>
      </c>
      <c r="D4297" t="inlineStr">
        <is>
          <t>HORECA CAFETERIA</t>
        </is>
      </c>
      <c r="E4297" s="34" t="n">
        <v>168504</v>
      </c>
      <c r="F4297" t="inlineStr">
        <is>
          <t>F</t>
        </is>
      </c>
      <c r="G4297" s="34" t="n">
        <v>26904</v>
      </c>
      <c r="H4297" s="34" t="n">
        <v>141600</v>
      </c>
      <c r="I4297" t="inlineStr">
        <is>
          <t>3.1</t>
        </is>
      </c>
      <c r="J4297" t="inlineStr">
        <is>
          <t>Ventas HoReCa</t>
        </is>
      </c>
      <c r="K4297" t="inlineStr">
        <is>
          <t>CH1</t>
        </is>
      </c>
    </row>
    <row r="4298">
      <c r="A4298" s="33" t="n">
        <v>46013</v>
      </c>
      <c r="B4298" t="inlineStr">
        <is>
          <t>2025-12</t>
        </is>
      </c>
      <c r="C4298" t="inlineStr">
        <is>
          <t>Alejandro  Orellana</t>
        </is>
      </c>
      <c r="D4298" t="inlineStr">
        <is>
          <t>CANELÉ TRADICIONAL</t>
        </is>
      </c>
      <c r="E4298" s="34" t="n">
        <v>183100</v>
      </c>
      <c r="F4298" t="inlineStr">
        <is>
          <t>B</t>
        </is>
      </c>
      <c r="G4298" s="34" t="n">
        <v>29234</v>
      </c>
      <c r="H4298" s="34" t="n">
        <v>153866</v>
      </c>
      <c r="I4298" t="inlineStr">
        <is>
          <t>3.2</t>
        </is>
      </c>
      <c r="J4298" t="inlineStr">
        <is>
          <t>Ventas Personas (B2C)</t>
        </is>
      </c>
      <c r="K4298" t="inlineStr">
        <is>
          <t>CH2</t>
        </is>
      </c>
    </row>
    <row r="4299">
      <c r="A4299" s="33" t="n">
        <v>46013</v>
      </c>
      <c r="B4299" t="inlineStr">
        <is>
          <t>2025-12</t>
        </is>
      </c>
      <c r="C4299" t="inlineStr">
        <is>
          <t>carla  donoso</t>
        </is>
      </c>
      <c r="D4299" t="inlineStr">
        <is>
          <t>Petit Crunchy</t>
        </is>
      </c>
      <c r="E4299" s="34" t="n">
        <v>44301</v>
      </c>
      <c r="F4299" t="inlineStr">
        <is>
          <t>B</t>
        </is>
      </c>
      <c r="G4299" s="34" t="n">
        <v>7073</v>
      </c>
      <c r="H4299" s="34" t="n">
        <v>37228</v>
      </c>
      <c r="I4299" t="inlineStr">
        <is>
          <t>3.2</t>
        </is>
      </c>
      <c r="J4299" t="inlineStr">
        <is>
          <t>Ventas Personas (B2C)</t>
        </is>
      </c>
      <c r="K4299" t="inlineStr">
        <is>
          <t>CH2</t>
        </is>
      </c>
    </row>
    <row r="4300">
      <c r="A4300" s="33" t="n">
        <v>46013</v>
      </c>
      <c r="B4300" t="inlineStr">
        <is>
          <t>2025-12</t>
        </is>
      </c>
      <c r="C4300" t="inlineStr">
        <is>
          <t>Victoria Contardo</t>
        </is>
      </c>
      <c r="D4300" t="inlineStr">
        <is>
          <t>Edición Navidad</t>
        </is>
      </c>
      <c r="E4300" s="34" t="n">
        <v>40290</v>
      </c>
      <c r="F4300" t="inlineStr">
        <is>
          <t>B</t>
        </is>
      </c>
      <c r="G4300" s="34" t="n">
        <v>6433</v>
      </c>
      <c r="H4300" s="34" t="n">
        <v>33857</v>
      </c>
      <c r="I4300" t="inlineStr">
        <is>
          <t>3.2</t>
        </is>
      </c>
      <c r="J4300" t="inlineStr">
        <is>
          <t>Ventas Personas (B2C)</t>
        </is>
      </c>
      <c r="K4300" t="inlineStr">
        <is>
          <t>CH2</t>
        </is>
      </c>
    </row>
    <row r="4301">
      <c r="A4301" s="33" t="n">
        <v>46013</v>
      </c>
      <c r="B4301" t="inlineStr">
        <is>
          <t>2025-12</t>
        </is>
      </c>
      <c r="C4301" t="inlineStr">
        <is>
          <t>Elisa Garcia-huidobro</t>
        </is>
      </c>
      <c r="D4301" t="inlineStr">
        <is>
          <t>Mix Sabores</t>
        </is>
      </c>
      <c r="E4301" s="34" t="n">
        <v>15900</v>
      </c>
      <c r="F4301" t="inlineStr">
        <is>
          <t>B</t>
        </is>
      </c>
      <c r="G4301" s="34" t="n">
        <v>2539</v>
      </c>
      <c r="H4301" s="34" t="n">
        <v>13361</v>
      </c>
      <c r="I4301" t="inlineStr">
        <is>
          <t>3.2</t>
        </is>
      </c>
      <c r="J4301" t="inlineStr">
        <is>
          <t>Ventas Personas (B2C)</t>
        </is>
      </c>
      <c r="K4301" t="inlineStr">
        <is>
          <t>CH2</t>
        </is>
      </c>
    </row>
    <row r="4302">
      <c r="A4302" s="33" t="n">
        <v>46013</v>
      </c>
      <c r="B4302" t="inlineStr">
        <is>
          <t>2025-12</t>
        </is>
      </c>
      <c r="C4302" t="inlineStr">
        <is>
          <t>Sin cliente</t>
        </is>
      </c>
      <c r="D4302" t="inlineStr">
        <is>
          <t>PACKAGING</t>
        </is>
      </c>
      <c r="E4302" s="34" t="n">
        <v>1200</v>
      </c>
      <c r="F4302" t="inlineStr">
        <is>
          <t>B</t>
        </is>
      </c>
      <c r="G4302" s="34" t="n">
        <v>192</v>
      </c>
      <c r="H4302" s="34" t="n">
        <v>1008</v>
      </c>
      <c r="I4302" t="inlineStr">
        <is>
          <t>3.2</t>
        </is>
      </c>
      <c r="J4302" t="inlineStr">
        <is>
          <t>Ventas Personas (B2C)</t>
        </is>
      </c>
      <c r="K4302" t="inlineStr">
        <is>
          <t>CH2</t>
        </is>
      </c>
    </row>
    <row r="4303">
      <c r="A4303" s="33" t="n">
        <v>46013</v>
      </c>
      <c r="B4303" t="inlineStr">
        <is>
          <t>2025-12</t>
        </is>
      </c>
      <c r="C4303" t="inlineStr">
        <is>
          <t>Sin cliente</t>
        </is>
      </c>
      <c r="D4303" t="inlineStr">
        <is>
          <t>Rellenos</t>
        </is>
      </c>
      <c r="E4303" s="34" t="n">
        <v>32900</v>
      </c>
      <c r="F4303" t="inlineStr">
        <is>
          <t>B</t>
        </is>
      </c>
      <c r="G4303" s="34" t="n">
        <v>5253</v>
      </c>
      <c r="H4303" s="34" t="n">
        <v>27647</v>
      </c>
      <c r="I4303" t="inlineStr">
        <is>
          <t>3.2</t>
        </is>
      </c>
      <c r="J4303" t="inlineStr">
        <is>
          <t>Ventas Personas (B2C)</t>
        </is>
      </c>
      <c r="K4303" t="inlineStr">
        <is>
          <t>CH2</t>
        </is>
      </c>
    </row>
    <row r="4304">
      <c r="A4304" s="33" t="n">
        <v>46013</v>
      </c>
      <c r="B4304" t="inlineStr">
        <is>
          <t>2025-12</t>
        </is>
      </c>
      <c r="C4304" t="inlineStr">
        <is>
          <t>Valeria Jensen Buhl Peña</t>
        </is>
      </c>
      <c r="D4304" t="inlineStr">
        <is>
          <t>Rellenos</t>
        </is>
      </c>
      <c r="E4304" s="34" t="n">
        <v>30390</v>
      </c>
      <c r="F4304" t="inlineStr">
        <is>
          <t>B</t>
        </is>
      </c>
      <c r="G4304" s="34" t="n">
        <v>4852</v>
      </c>
      <c r="H4304" s="34" t="n">
        <v>25538</v>
      </c>
      <c r="I4304" t="inlineStr">
        <is>
          <t>3.2</t>
        </is>
      </c>
      <c r="J4304" t="inlineStr">
        <is>
          <t>Ventas Personas (B2C)</t>
        </is>
      </c>
      <c r="K4304" t="inlineStr">
        <is>
          <t>CH2</t>
        </is>
      </c>
    </row>
    <row r="4305">
      <c r="A4305" s="33" t="n">
        <v>46013</v>
      </c>
      <c r="B4305" t="inlineStr">
        <is>
          <t>2025-12</t>
        </is>
      </c>
      <c r="C4305" t="inlineStr">
        <is>
          <t>Sin cliente</t>
        </is>
      </c>
      <c r="D4305" t="inlineStr">
        <is>
          <t>Edición Navidad</t>
        </is>
      </c>
      <c r="E4305" s="34" t="n">
        <v>50250</v>
      </c>
      <c r="F4305" t="inlineStr">
        <is>
          <t>B</t>
        </is>
      </c>
      <c r="G4305" s="34" t="n">
        <v>8023</v>
      </c>
      <c r="H4305" s="34" t="n">
        <v>42227</v>
      </c>
      <c r="I4305" t="inlineStr">
        <is>
          <t>3.2</t>
        </is>
      </c>
      <c r="J4305" t="inlineStr">
        <is>
          <t>Ventas Personas (B2C)</t>
        </is>
      </c>
      <c r="K4305" t="inlineStr">
        <is>
          <t>CH2</t>
        </is>
      </c>
    </row>
    <row r="4306">
      <c r="A4306" s="33" t="n">
        <v>46013</v>
      </c>
      <c r="B4306" t="inlineStr">
        <is>
          <t>2025-12</t>
        </is>
      </c>
      <c r="C4306" t="inlineStr">
        <is>
          <t>María Teresa Concha</t>
        </is>
      </c>
      <c r="D4306" t="inlineStr">
        <is>
          <t>SALSAS</t>
        </is>
      </c>
      <c r="E4306" s="34" t="n">
        <v>34380</v>
      </c>
      <c r="F4306" t="inlineStr">
        <is>
          <t>B</t>
        </is>
      </c>
      <c r="G4306" s="34" t="n">
        <v>5489</v>
      </c>
      <c r="H4306" s="34" t="n">
        <v>28891</v>
      </c>
      <c r="I4306" t="inlineStr">
        <is>
          <t>3.2</t>
        </is>
      </c>
      <c r="J4306" t="inlineStr">
        <is>
          <t>Ventas Personas (B2C)</t>
        </is>
      </c>
      <c r="K4306" t="inlineStr">
        <is>
          <t>CH2</t>
        </is>
      </c>
    </row>
    <row r="4307">
      <c r="A4307" s="33" t="n">
        <v>46013</v>
      </c>
      <c r="B4307" t="inlineStr">
        <is>
          <t>2025-12</t>
        </is>
      </c>
      <c r="C4307" t="inlineStr">
        <is>
          <t>María Teresa Concha</t>
        </is>
      </c>
      <c r="D4307" t="inlineStr">
        <is>
          <t>Petit Tradicional</t>
        </is>
      </c>
      <c r="E4307" s="34" t="n">
        <v>36290</v>
      </c>
      <c r="F4307" t="inlineStr">
        <is>
          <t>B</t>
        </is>
      </c>
      <c r="G4307" s="34" t="n">
        <v>5794</v>
      </c>
      <c r="H4307" s="34" t="n">
        <v>30496</v>
      </c>
      <c r="I4307" t="inlineStr">
        <is>
          <t>3.2</t>
        </is>
      </c>
      <c r="J4307" t="inlineStr">
        <is>
          <t>Ventas Personas (B2C)</t>
        </is>
      </c>
      <c r="K4307" t="inlineStr">
        <is>
          <t>CH2</t>
        </is>
      </c>
    </row>
    <row r="4308">
      <c r="A4308" s="33" t="n">
        <v>46013</v>
      </c>
      <c r="B4308" t="inlineStr">
        <is>
          <t>2025-12</t>
        </is>
      </c>
      <c r="C4308" t="inlineStr">
        <is>
          <t>Sin cliente</t>
        </is>
      </c>
      <c r="D4308" t="inlineStr">
        <is>
          <t>Rellenos</t>
        </is>
      </c>
      <c r="E4308" s="34" t="n">
        <v>18900</v>
      </c>
      <c r="F4308" t="inlineStr">
        <is>
          <t>B</t>
        </is>
      </c>
      <c r="G4308" s="34" t="n">
        <v>3018</v>
      </c>
      <c r="H4308" s="34" t="n">
        <v>15882</v>
      </c>
      <c r="I4308" t="inlineStr">
        <is>
          <t>3.2</t>
        </is>
      </c>
      <c r="J4308" t="inlineStr">
        <is>
          <t>Ventas Personas (B2C)</t>
        </is>
      </c>
      <c r="K4308" t="inlineStr">
        <is>
          <t>CH2</t>
        </is>
      </c>
    </row>
    <row r="4309">
      <c r="A4309" s="33" t="n">
        <v>46013</v>
      </c>
      <c r="B4309" t="inlineStr">
        <is>
          <t>2025-12</t>
        </is>
      </c>
      <c r="C4309" t="inlineStr">
        <is>
          <t>Sin cliente</t>
        </is>
      </c>
      <c r="D4309" t="inlineStr">
        <is>
          <t>Rellenos</t>
        </is>
      </c>
      <c r="E4309" s="34" t="n">
        <v>3500</v>
      </c>
      <c r="F4309" t="inlineStr">
        <is>
          <t>B</t>
        </is>
      </c>
      <c r="G4309" s="34" t="n">
        <v>559</v>
      </c>
      <c r="H4309" s="34" t="n">
        <v>2941</v>
      </c>
      <c r="I4309" t="inlineStr">
        <is>
          <t>3.2</t>
        </is>
      </c>
      <c r="J4309" t="inlineStr">
        <is>
          <t>Ventas Personas (B2C)</t>
        </is>
      </c>
      <c r="K4309" t="inlineStr">
        <is>
          <t>CH2</t>
        </is>
      </c>
    </row>
    <row r="4310">
      <c r="A4310" s="33" t="n">
        <v>46013</v>
      </c>
      <c r="B4310" t="inlineStr">
        <is>
          <t>2025-12</t>
        </is>
      </c>
      <c r="C4310" t="inlineStr">
        <is>
          <t>Adriana Acevedo</t>
        </is>
      </c>
      <c r="D4310" t="inlineStr">
        <is>
          <t>Edición Navidad</t>
        </is>
      </c>
      <c r="E4310" s="34" t="n">
        <v>13980</v>
      </c>
      <c r="F4310" t="inlineStr">
        <is>
          <t>B</t>
        </is>
      </c>
      <c r="G4310" s="34" t="n">
        <v>2232</v>
      </c>
      <c r="H4310" s="34" t="n">
        <v>11748</v>
      </c>
      <c r="I4310" t="inlineStr">
        <is>
          <t>3.2</t>
        </is>
      </c>
      <c r="J4310" t="inlineStr">
        <is>
          <t>Ventas Personas (B2C)</t>
        </is>
      </c>
      <c r="K4310" t="inlineStr">
        <is>
          <t>CH2</t>
        </is>
      </c>
    </row>
    <row r="4311">
      <c r="A4311" s="33" t="n">
        <v>46013</v>
      </c>
      <c r="B4311" t="inlineStr">
        <is>
          <t>2025-12</t>
        </is>
      </c>
      <c r="C4311" t="inlineStr">
        <is>
          <t>FELIPE ADRIAN PRADO VERA</t>
        </is>
      </c>
      <c r="D4311" t="inlineStr">
        <is>
          <t>CANELÉ TRADICIONAL</t>
        </is>
      </c>
      <c r="E4311" s="34" t="n">
        <v>86190</v>
      </c>
      <c r="F4311" t="inlineStr">
        <is>
          <t>B</t>
        </is>
      </c>
      <c r="G4311" s="34" t="n">
        <v>13761</v>
      </c>
      <c r="H4311" s="34" t="n">
        <v>72429</v>
      </c>
      <c r="I4311" t="inlineStr">
        <is>
          <t>3.2</t>
        </is>
      </c>
      <c r="J4311" t="inlineStr">
        <is>
          <t>Ventas Personas (B2C)</t>
        </is>
      </c>
      <c r="K4311" t="inlineStr">
        <is>
          <t>CH2</t>
        </is>
      </c>
    </row>
    <row r="4312">
      <c r="A4312" s="33" t="n">
        <v>46013</v>
      </c>
      <c r="B4312" t="inlineStr">
        <is>
          <t>2025-12</t>
        </is>
      </c>
      <c r="C4312" t="inlineStr">
        <is>
          <t>Sin cliente</t>
        </is>
      </c>
      <c r="D4312" t="inlineStr">
        <is>
          <t>CANELÉ TRADICIONAL</t>
        </is>
      </c>
      <c r="E4312" s="34" t="n">
        <v>22900</v>
      </c>
      <c r="F4312" t="inlineStr">
        <is>
          <t>B</t>
        </is>
      </c>
      <c r="G4312" s="34" t="n">
        <v>3656</v>
      </c>
      <c r="H4312" s="34" t="n">
        <v>19244</v>
      </c>
      <c r="I4312" t="inlineStr">
        <is>
          <t>3.2</t>
        </is>
      </c>
      <c r="J4312" t="inlineStr">
        <is>
          <t>Ventas Personas (B2C)</t>
        </is>
      </c>
      <c r="K4312" t="inlineStr">
        <is>
          <t>CH2</t>
        </is>
      </c>
    </row>
    <row r="4313">
      <c r="A4313" s="33" t="n">
        <v>46013</v>
      </c>
      <c r="B4313" t="inlineStr">
        <is>
          <t>2025-12</t>
        </is>
      </c>
      <c r="C4313" t="inlineStr">
        <is>
          <t>Alfred Haindl</t>
        </is>
      </c>
      <c r="D4313" t="inlineStr">
        <is>
          <t>Rellenos</t>
        </is>
      </c>
      <c r="E4313" s="34" t="n">
        <v>37390</v>
      </c>
      <c r="F4313" t="inlineStr">
        <is>
          <t>B</t>
        </is>
      </c>
      <c r="G4313" s="34" t="n">
        <v>5970</v>
      </c>
      <c r="H4313" s="34" t="n">
        <v>31420</v>
      </c>
      <c r="I4313" t="inlineStr">
        <is>
          <t>3.2</t>
        </is>
      </c>
      <c r="J4313" t="inlineStr">
        <is>
          <t>Ventas Personas (B2C)</t>
        </is>
      </c>
      <c r="K4313" t="inlineStr">
        <is>
          <t>CH2</t>
        </is>
      </c>
    </row>
    <row r="4314">
      <c r="A4314" s="33" t="n">
        <v>46013</v>
      </c>
      <c r="B4314" t="inlineStr">
        <is>
          <t>2025-12</t>
        </is>
      </c>
      <c r="C4314" t="inlineStr">
        <is>
          <t>antoine brillant</t>
        </is>
      </c>
      <c r="D4314" t="inlineStr">
        <is>
          <t xml:space="preserve">Glosa Providencia </t>
        </is>
      </c>
      <c r="E4314" s="34" t="n">
        <v>5490</v>
      </c>
      <c r="F4314" t="inlineStr">
        <is>
          <t>B</t>
        </is>
      </c>
      <c r="G4314" s="34" t="n">
        <v>877</v>
      </c>
      <c r="H4314" s="34" t="n">
        <v>4613</v>
      </c>
      <c r="I4314" t="inlineStr">
        <is>
          <t>3.2</t>
        </is>
      </c>
      <c r="J4314" t="inlineStr">
        <is>
          <t>Ventas Personas (B2C)</t>
        </is>
      </c>
      <c r="K4314" t="inlineStr">
        <is>
          <t>CH2</t>
        </is>
      </c>
    </row>
    <row r="4315">
      <c r="A4315" s="33" t="n">
        <v>46013</v>
      </c>
      <c r="B4315" t="inlineStr">
        <is>
          <t>2025-12</t>
        </is>
      </c>
      <c r="C4315" t="inlineStr">
        <is>
          <t>Sin cliente</t>
        </is>
      </c>
      <c r="D4315" t="inlineStr">
        <is>
          <t>Rellenos</t>
        </is>
      </c>
      <c r="E4315" s="34" t="n">
        <v>39700</v>
      </c>
      <c r="F4315" t="inlineStr">
        <is>
          <t>B</t>
        </is>
      </c>
      <c r="G4315" s="34" t="n">
        <v>6339</v>
      </c>
      <c r="H4315" s="34" t="n">
        <v>33361</v>
      </c>
      <c r="I4315" t="inlineStr">
        <is>
          <t>3.2</t>
        </is>
      </c>
      <c r="J4315" t="inlineStr">
        <is>
          <t>Ventas Personas (B2C)</t>
        </is>
      </c>
      <c r="K4315" t="inlineStr">
        <is>
          <t>CH2</t>
        </is>
      </c>
    </row>
    <row r="4316">
      <c r="A4316" s="33" t="n">
        <v>46013</v>
      </c>
      <c r="B4316" t="inlineStr">
        <is>
          <t>2025-12</t>
        </is>
      </c>
      <c r="C4316" t="inlineStr">
        <is>
          <t>Sin cliente</t>
        </is>
      </c>
      <c r="D4316" t="inlineStr">
        <is>
          <t>Delicatessen</t>
        </is>
      </c>
      <c r="E4316" s="34" t="n">
        <v>12400</v>
      </c>
      <c r="F4316" t="inlineStr">
        <is>
          <t>B</t>
        </is>
      </c>
      <c r="G4316" s="34" t="n">
        <v>1980</v>
      </c>
      <c r="H4316" s="34" t="n">
        <v>10420</v>
      </c>
      <c r="I4316" t="inlineStr">
        <is>
          <t>3.2</t>
        </is>
      </c>
      <c r="J4316" t="inlineStr">
        <is>
          <t>Ventas Personas (B2C)</t>
        </is>
      </c>
      <c r="K4316" t="inlineStr">
        <is>
          <t>CH2</t>
        </is>
      </c>
    </row>
    <row r="4317">
      <c r="A4317" s="33" t="n">
        <v>46013</v>
      </c>
      <c r="B4317" t="inlineStr">
        <is>
          <t>2025-12</t>
        </is>
      </c>
      <c r="C4317" t="inlineStr">
        <is>
          <t>Sin cliente</t>
        </is>
      </c>
      <c r="D4317" t="inlineStr">
        <is>
          <t>Rellenos</t>
        </is>
      </c>
      <c r="E4317" s="34" t="n">
        <v>12400</v>
      </c>
      <c r="F4317" t="inlineStr">
        <is>
          <t>B</t>
        </is>
      </c>
      <c r="G4317" s="34" t="n">
        <v>1980</v>
      </c>
      <c r="H4317" s="34" t="n">
        <v>10420</v>
      </c>
      <c r="I4317" t="inlineStr">
        <is>
          <t>3.2</t>
        </is>
      </c>
      <c r="J4317" t="inlineStr">
        <is>
          <t>Ventas Personas (B2C)</t>
        </is>
      </c>
      <c r="K4317" t="inlineStr">
        <is>
          <t>CH2</t>
        </is>
      </c>
    </row>
    <row r="4318">
      <c r="A4318" s="33" t="n">
        <v>46013</v>
      </c>
      <c r="B4318" t="inlineStr">
        <is>
          <t>2025-12</t>
        </is>
      </c>
      <c r="C4318" t="inlineStr">
        <is>
          <t>CATALINA CUEVAS</t>
        </is>
      </c>
      <c r="D4318" t="inlineStr">
        <is>
          <t>Rellenos</t>
        </is>
      </c>
      <c r="E4318" s="34" t="n">
        <v>2800</v>
      </c>
      <c r="F4318" t="inlineStr">
        <is>
          <t>B</t>
        </is>
      </c>
      <c r="G4318" s="34" t="n">
        <v>447</v>
      </c>
      <c r="H4318" s="34" t="n">
        <v>2353</v>
      </c>
      <c r="I4318" t="inlineStr">
        <is>
          <t>3.2</t>
        </is>
      </c>
      <c r="J4318" t="inlineStr">
        <is>
          <t>Ventas Personas (B2C)</t>
        </is>
      </c>
      <c r="K4318" t="inlineStr">
        <is>
          <t>CH2</t>
        </is>
      </c>
    </row>
    <row r="4319">
      <c r="A4319" s="33" t="n">
        <v>46013</v>
      </c>
      <c r="B4319" t="inlineStr">
        <is>
          <t>2025-12</t>
        </is>
      </c>
      <c r="C4319" t="inlineStr">
        <is>
          <t>Sin cliente</t>
        </is>
      </c>
      <c r="D4319" t="inlineStr">
        <is>
          <t>CANELÉ TRADICIONAL</t>
        </is>
      </c>
      <c r="E4319" s="34" t="n">
        <v>18400</v>
      </c>
      <c r="F4319" t="inlineStr">
        <is>
          <t>B</t>
        </is>
      </c>
      <c r="G4319" s="34" t="n">
        <v>2938</v>
      </c>
      <c r="H4319" s="34" t="n">
        <v>15462</v>
      </c>
      <c r="I4319" t="inlineStr">
        <is>
          <t>3.2</t>
        </is>
      </c>
      <c r="J4319" t="inlineStr">
        <is>
          <t>Ventas Personas (B2C)</t>
        </is>
      </c>
      <c r="K4319" t="inlineStr">
        <is>
          <t>CH2</t>
        </is>
      </c>
    </row>
    <row r="4320">
      <c r="A4320" s="33" t="n">
        <v>46013</v>
      </c>
      <c r="B4320" t="inlineStr">
        <is>
          <t>2025-12</t>
        </is>
      </c>
      <c r="C4320" t="inlineStr">
        <is>
          <t>María Teresa Concha</t>
        </is>
      </c>
      <c r="D4320" t="inlineStr">
        <is>
          <t>SALSAS</t>
        </is>
      </c>
      <c r="E4320" s="34" t="n">
        <v>28790</v>
      </c>
      <c r="F4320" t="inlineStr">
        <is>
          <t>B</t>
        </is>
      </c>
      <c r="G4320" s="34" t="n">
        <v>4597</v>
      </c>
      <c r="H4320" s="34" t="n">
        <v>24193</v>
      </c>
      <c r="I4320" t="inlineStr">
        <is>
          <t>3.2</t>
        </is>
      </c>
      <c r="J4320" t="inlineStr">
        <is>
          <t>Ventas Personas (B2C)</t>
        </is>
      </c>
      <c r="K4320" t="inlineStr">
        <is>
          <t>CH2</t>
        </is>
      </c>
    </row>
    <row r="4321">
      <c r="A4321" s="33" t="n">
        <v>46013</v>
      </c>
      <c r="B4321" t="inlineStr">
        <is>
          <t>2025-12</t>
        </is>
      </c>
      <c r="C4321" t="inlineStr">
        <is>
          <t>Sin cliente</t>
        </is>
      </c>
      <c r="D4321" t="inlineStr">
        <is>
          <t>SALSAS</t>
        </is>
      </c>
      <c r="E4321" s="34" t="n">
        <v>65860</v>
      </c>
      <c r="F4321" t="inlineStr">
        <is>
          <t>B</t>
        </is>
      </c>
      <c r="G4321" s="34" t="n">
        <v>10515</v>
      </c>
      <c r="H4321" s="34" t="n">
        <v>55345</v>
      </c>
      <c r="I4321" t="inlineStr">
        <is>
          <t>3.2</t>
        </is>
      </c>
      <c r="J4321" t="inlineStr">
        <is>
          <t>Ventas Personas (B2C)</t>
        </is>
      </c>
      <c r="K4321" t="inlineStr">
        <is>
          <t>CH2</t>
        </is>
      </c>
    </row>
    <row r="4322">
      <c r="A4322" s="33" t="n">
        <v>46013</v>
      </c>
      <c r="B4322" t="inlineStr">
        <is>
          <t>2025-12</t>
        </is>
      </c>
      <c r="C4322" t="inlineStr">
        <is>
          <t>María Teresa Concha</t>
        </is>
      </c>
      <c r="D4322" t="inlineStr">
        <is>
          <t>SALSAS</t>
        </is>
      </c>
      <c r="E4322" s="34" t="n">
        <v>26280</v>
      </c>
      <c r="F4322" t="inlineStr">
        <is>
          <t>B</t>
        </is>
      </c>
      <c r="G4322" s="34" t="n">
        <v>4196</v>
      </c>
      <c r="H4322" s="34" t="n">
        <v>22084</v>
      </c>
      <c r="I4322" t="inlineStr">
        <is>
          <t>3.2</t>
        </is>
      </c>
      <c r="J4322" t="inlineStr">
        <is>
          <t>Ventas Personas (B2C)</t>
        </is>
      </c>
      <c r="K4322" t="inlineStr">
        <is>
          <t>CH2</t>
        </is>
      </c>
    </row>
    <row r="4323">
      <c r="A4323" s="33" t="n">
        <v>46013</v>
      </c>
      <c r="B4323" t="inlineStr">
        <is>
          <t>2025-12</t>
        </is>
      </c>
      <c r="C4323" t="inlineStr">
        <is>
          <t>Sin cliente</t>
        </is>
      </c>
      <c r="D4323" t="inlineStr">
        <is>
          <t>PACKAGING</t>
        </is>
      </c>
      <c r="E4323" s="34" t="n">
        <v>16700</v>
      </c>
      <c r="F4323" t="inlineStr">
        <is>
          <t>B</t>
        </is>
      </c>
      <c r="G4323" s="34" t="n">
        <v>2666</v>
      </c>
      <c r="H4323" s="34" t="n">
        <v>14034</v>
      </c>
      <c r="I4323" t="inlineStr">
        <is>
          <t>3.2</t>
        </is>
      </c>
      <c r="J4323" t="inlineStr">
        <is>
          <t>Ventas Personas (B2C)</t>
        </is>
      </c>
      <c r="K4323" t="inlineStr">
        <is>
          <t>CH2</t>
        </is>
      </c>
    </row>
    <row r="4324">
      <c r="A4324" s="33" t="n">
        <v>46013</v>
      </c>
      <c r="B4324" t="inlineStr">
        <is>
          <t>2025-12</t>
        </is>
      </c>
      <c r="C4324" t="inlineStr">
        <is>
          <t>Jessica AROS BARRIENTOS</t>
        </is>
      </c>
      <c r="D4324" t="inlineStr">
        <is>
          <t>Petit Crunchy</t>
        </is>
      </c>
      <c r="E4324" s="34" t="n">
        <v>26900</v>
      </c>
      <c r="F4324" t="inlineStr">
        <is>
          <t>B</t>
        </is>
      </c>
      <c r="G4324" s="34" t="n">
        <v>4295</v>
      </c>
      <c r="H4324" s="34" t="n">
        <v>22605</v>
      </c>
      <c r="I4324" t="inlineStr">
        <is>
          <t>3.2</t>
        </is>
      </c>
      <c r="J4324" t="inlineStr">
        <is>
          <t>Ventas Personas (B2C)</t>
        </is>
      </c>
      <c r="K4324" t="inlineStr">
        <is>
          <t>CH2</t>
        </is>
      </c>
    </row>
    <row r="4325">
      <c r="A4325" s="33" t="n">
        <v>46013</v>
      </c>
      <c r="B4325" t="inlineStr">
        <is>
          <t>2025-12</t>
        </is>
      </c>
      <c r="C4325" t="inlineStr">
        <is>
          <t>Lily Günther</t>
        </is>
      </c>
      <c r="D4325" t="inlineStr">
        <is>
          <t>Mix Sabores</t>
        </is>
      </c>
      <c r="E4325" s="34" t="n">
        <v>45190</v>
      </c>
      <c r="F4325" t="inlineStr">
        <is>
          <t>B</t>
        </is>
      </c>
      <c r="G4325" s="34" t="n">
        <v>7215</v>
      </c>
      <c r="H4325" s="34" t="n">
        <v>37975</v>
      </c>
      <c r="I4325" t="inlineStr">
        <is>
          <t>3.2</t>
        </is>
      </c>
      <c r="J4325" t="inlineStr">
        <is>
          <t>Ventas Personas (B2C)</t>
        </is>
      </c>
      <c r="K4325" t="inlineStr">
        <is>
          <t>CH2</t>
        </is>
      </c>
    </row>
    <row r="4326">
      <c r="A4326" s="33" t="n">
        <v>46013</v>
      </c>
      <c r="B4326" t="inlineStr">
        <is>
          <t>2025-12</t>
        </is>
      </c>
      <c r="C4326" t="inlineStr">
        <is>
          <t>Monica franzoy</t>
        </is>
      </c>
      <c r="D4326" t="inlineStr">
        <is>
          <t>Petit Crunchy</t>
        </is>
      </c>
      <c r="E4326" s="34" t="n">
        <v>40390</v>
      </c>
      <c r="F4326" t="inlineStr">
        <is>
          <t>B</t>
        </is>
      </c>
      <c r="G4326" s="34" t="n">
        <v>6449</v>
      </c>
      <c r="H4326" s="34" t="n">
        <v>33941</v>
      </c>
      <c r="I4326" t="inlineStr">
        <is>
          <t>3.2</t>
        </is>
      </c>
      <c r="J4326" t="inlineStr">
        <is>
          <t>Ventas Personas (B2C)</t>
        </is>
      </c>
      <c r="K4326" t="inlineStr">
        <is>
          <t>CH2</t>
        </is>
      </c>
    </row>
    <row r="4327">
      <c r="A4327" s="33" t="n">
        <v>46013</v>
      </c>
      <c r="B4327" t="inlineStr">
        <is>
          <t>2025-12</t>
        </is>
      </c>
      <c r="C4327" t="inlineStr">
        <is>
          <t>INVERSIONES Y COMERCIALIZADORA FED LIMITADA</t>
        </is>
      </c>
      <c r="D4327" t="inlineStr">
        <is>
          <t>HORECA CAFETERIA</t>
        </is>
      </c>
      <c r="E4327" s="34" t="n">
        <v>88862</v>
      </c>
      <c r="F4327" t="inlineStr">
        <is>
          <t>F</t>
        </is>
      </c>
      <c r="G4327" s="34" t="n">
        <v>14188</v>
      </c>
      <c r="H4327" s="34" t="n">
        <v>74674</v>
      </c>
      <c r="I4327" t="inlineStr">
        <is>
          <t>3.1</t>
        </is>
      </c>
      <c r="J4327" t="inlineStr">
        <is>
          <t>Ventas HoReCa</t>
        </is>
      </c>
      <c r="K4327" t="inlineStr">
        <is>
          <t>CH1</t>
        </is>
      </c>
    </row>
    <row r="4328">
      <c r="A4328" s="33" t="n">
        <v>46013</v>
      </c>
      <c r="B4328" t="inlineStr">
        <is>
          <t>2025-12</t>
        </is>
      </c>
      <c r="C4328" t="inlineStr">
        <is>
          <t>Maximiliano Catalan</t>
        </is>
      </c>
      <c r="D4328" t="inlineStr">
        <is>
          <t>CANELÉ TRADICIONAL</t>
        </is>
      </c>
      <c r="E4328" s="34" t="n">
        <v>85500</v>
      </c>
      <c r="F4328" t="inlineStr">
        <is>
          <t>B</t>
        </is>
      </c>
      <c r="G4328" s="34" t="n">
        <v>13651</v>
      </c>
      <c r="H4328" s="34" t="n">
        <v>71849</v>
      </c>
      <c r="I4328" t="inlineStr">
        <is>
          <t>3.2</t>
        </is>
      </c>
      <c r="J4328" t="inlineStr">
        <is>
          <t>Ventas Personas (B2C)</t>
        </is>
      </c>
      <c r="K4328" t="inlineStr">
        <is>
          <t>CH2</t>
        </is>
      </c>
    </row>
    <row r="4329">
      <c r="A4329" s="33" t="n">
        <v>46013</v>
      </c>
      <c r="B4329" t="inlineStr">
        <is>
          <t>2025-12</t>
        </is>
      </c>
      <c r="C4329" t="inlineStr">
        <is>
          <t>Sin cliente</t>
        </is>
      </c>
      <c r="D4329" t="inlineStr">
        <is>
          <t>CANELÉ TRADICIONAL</t>
        </is>
      </c>
      <c r="E4329" s="34" t="n">
        <v>17400</v>
      </c>
      <c r="F4329" t="inlineStr">
        <is>
          <t>B</t>
        </is>
      </c>
      <c r="G4329" s="34" t="n">
        <v>2778</v>
      </c>
      <c r="H4329" s="34" t="n">
        <v>14622</v>
      </c>
      <c r="I4329" t="inlineStr">
        <is>
          <t>3.2</t>
        </is>
      </c>
      <c r="J4329" t="inlineStr">
        <is>
          <t>Ventas Personas (B2C)</t>
        </is>
      </c>
      <c r="K4329" t="inlineStr">
        <is>
          <t>CH2</t>
        </is>
      </c>
    </row>
    <row r="4330">
      <c r="A4330" s="33" t="n">
        <v>46013</v>
      </c>
      <c r="B4330" t="inlineStr">
        <is>
          <t>2025-12</t>
        </is>
      </c>
      <c r="C4330" t="inlineStr">
        <is>
          <t>Sin cliente</t>
        </is>
      </c>
      <c r="D4330" t="inlineStr">
        <is>
          <t>Mix Sabores</t>
        </is>
      </c>
      <c r="E4330" s="34" t="n">
        <v>60590</v>
      </c>
      <c r="F4330" t="inlineStr">
        <is>
          <t>B</t>
        </is>
      </c>
      <c r="G4330" s="34" t="n">
        <v>9674</v>
      </c>
      <c r="H4330" s="34" t="n">
        <v>50916</v>
      </c>
      <c r="I4330" t="inlineStr">
        <is>
          <t>3.2</t>
        </is>
      </c>
      <c r="J4330" t="inlineStr">
        <is>
          <t>Ventas Personas (B2C)</t>
        </is>
      </c>
      <c r="K4330" t="inlineStr">
        <is>
          <t>CH2</t>
        </is>
      </c>
    </row>
    <row r="4331">
      <c r="A4331" s="33" t="n">
        <v>46013</v>
      </c>
      <c r="B4331" t="inlineStr">
        <is>
          <t>2025-12</t>
        </is>
      </c>
      <c r="C4331" t="inlineStr">
        <is>
          <t>Gonzalo Huneeus</t>
        </is>
      </c>
      <c r="D4331" t="inlineStr">
        <is>
          <t>PACKAGING</t>
        </is>
      </c>
      <c r="E4331" s="34" t="n">
        <v>55400</v>
      </c>
      <c r="F4331" t="inlineStr">
        <is>
          <t>B</t>
        </is>
      </c>
      <c r="G4331" s="34" t="n">
        <v>8845</v>
      </c>
      <c r="H4331" s="34" t="n">
        <v>46555</v>
      </c>
      <c r="I4331" t="inlineStr">
        <is>
          <t>3.2</t>
        </is>
      </c>
      <c r="J4331" t="inlineStr">
        <is>
          <t>Ventas Personas (B2C)</t>
        </is>
      </c>
      <c r="K4331" t="inlineStr">
        <is>
          <t>CH2</t>
        </is>
      </c>
    </row>
    <row r="4332">
      <c r="A4332" s="33" t="n">
        <v>46013</v>
      </c>
      <c r="B4332" t="inlineStr">
        <is>
          <t>2025-12</t>
        </is>
      </c>
      <c r="C4332" t="inlineStr">
        <is>
          <t>Carmen Casanova</t>
        </is>
      </c>
      <c r="D4332" t="inlineStr">
        <is>
          <t>Petit Tradicional</t>
        </is>
      </c>
      <c r="E4332" s="34" t="n">
        <v>33090</v>
      </c>
      <c r="F4332" t="inlineStr">
        <is>
          <t>B</t>
        </is>
      </c>
      <c r="G4332" s="34" t="n">
        <v>5283</v>
      </c>
      <c r="H4332" s="34" t="n">
        <v>27807</v>
      </c>
      <c r="I4332" t="inlineStr">
        <is>
          <t>3.2</t>
        </is>
      </c>
      <c r="J4332" t="inlineStr">
        <is>
          <t>Ventas Personas (B2C)</t>
        </is>
      </c>
      <c r="K4332" t="inlineStr">
        <is>
          <t>CH2</t>
        </is>
      </c>
    </row>
    <row r="4333">
      <c r="A4333" s="33" t="n">
        <v>46013</v>
      </c>
      <c r="B4333" t="inlineStr">
        <is>
          <t>2025-12</t>
        </is>
      </c>
      <c r="C4333" t="inlineStr">
        <is>
          <t>Viery Neculñir</t>
        </is>
      </c>
      <c r="D4333" t="inlineStr">
        <is>
          <t>Rellenos</t>
        </is>
      </c>
      <c r="E4333" s="34" t="n">
        <v>31390</v>
      </c>
      <c r="F4333" t="inlineStr">
        <is>
          <t>B</t>
        </is>
      </c>
      <c r="G4333" s="34" t="n">
        <v>5012</v>
      </c>
      <c r="H4333" s="34" t="n">
        <v>26378</v>
      </c>
      <c r="I4333" t="inlineStr">
        <is>
          <t>3.2</t>
        </is>
      </c>
      <c r="J4333" t="inlineStr">
        <is>
          <t>Ventas Personas (B2C)</t>
        </is>
      </c>
      <c r="K4333" t="inlineStr">
        <is>
          <t>CH2</t>
        </is>
      </c>
    </row>
    <row r="4334">
      <c r="A4334" s="33" t="n">
        <v>46013</v>
      </c>
      <c r="B4334" t="inlineStr">
        <is>
          <t>2025-12</t>
        </is>
      </c>
      <c r="C4334" t="inlineStr">
        <is>
          <t>Nicolas Benedetti</t>
        </is>
      </c>
      <c r="D4334" t="inlineStr">
        <is>
          <t>Petit Tradicional</t>
        </is>
      </c>
      <c r="E4334" s="34" t="n">
        <v>21800</v>
      </c>
      <c r="F4334" t="inlineStr">
        <is>
          <t>B</t>
        </is>
      </c>
      <c r="G4334" s="34" t="n">
        <v>3481</v>
      </c>
      <c r="H4334" s="34" t="n">
        <v>18319</v>
      </c>
      <c r="I4334" t="inlineStr">
        <is>
          <t>3.2</t>
        </is>
      </c>
      <c r="J4334" t="inlineStr">
        <is>
          <t>Ventas Personas (B2C)</t>
        </is>
      </c>
      <c r="K4334" t="inlineStr">
        <is>
          <t>CH2</t>
        </is>
      </c>
    </row>
    <row r="4335">
      <c r="A4335" s="33" t="n">
        <v>46013</v>
      </c>
      <c r="B4335" t="inlineStr">
        <is>
          <t>2025-12</t>
        </is>
      </c>
      <c r="C4335" t="inlineStr">
        <is>
          <t>Susan Pettersen</t>
        </is>
      </c>
      <c r="D4335" t="inlineStr">
        <is>
          <t>Petit Tradicional</t>
        </is>
      </c>
      <c r="E4335" s="34" t="n">
        <v>32790</v>
      </c>
      <c r="F4335" t="inlineStr">
        <is>
          <t>B</t>
        </is>
      </c>
      <c r="G4335" s="34" t="n">
        <v>5235</v>
      </c>
      <c r="H4335" s="34" t="n">
        <v>27555</v>
      </c>
      <c r="I4335" t="inlineStr">
        <is>
          <t>3.2</t>
        </is>
      </c>
      <c r="J4335" t="inlineStr">
        <is>
          <t>Ventas Personas (B2C)</t>
        </is>
      </c>
      <c r="K4335" t="inlineStr">
        <is>
          <t>CH2</t>
        </is>
      </c>
    </row>
    <row r="4336">
      <c r="A4336" s="33" t="n">
        <v>46014</v>
      </c>
      <c r="B4336" t="inlineStr">
        <is>
          <t>2025-12</t>
        </is>
      </c>
      <c r="C4336" t="inlineStr">
        <is>
          <t>Inversiones Café Dominicos SpA</t>
        </is>
      </c>
      <c r="D4336" t="inlineStr">
        <is>
          <t xml:space="preserve">THE COFFEE STORE </t>
        </is>
      </c>
      <c r="E4336" s="34" t="n">
        <v>42325</v>
      </c>
      <c r="F4336" t="inlineStr">
        <is>
          <t>F</t>
        </is>
      </c>
      <c r="G4336" s="34" t="n">
        <v>6758</v>
      </c>
      <c r="H4336" s="34" t="n">
        <v>35567</v>
      </c>
      <c r="I4336" t="inlineStr">
        <is>
          <t>3.1</t>
        </is>
      </c>
      <c r="J4336" t="inlineStr">
        <is>
          <t>Ventas HoReCa</t>
        </is>
      </c>
      <c r="K4336" t="inlineStr">
        <is>
          <t>CH1</t>
        </is>
      </c>
    </row>
    <row r="4337">
      <c r="A4337" s="33" t="n">
        <v>46014</v>
      </c>
      <c r="B4337" t="inlineStr">
        <is>
          <t>2025-12</t>
        </is>
      </c>
      <c r="C4337" t="inlineStr">
        <is>
          <t>GALO SPA</t>
        </is>
      </c>
      <c r="D4337" t="inlineStr">
        <is>
          <t>HORECA CAFETERIA</t>
        </is>
      </c>
      <c r="E4337" s="34" t="n">
        <v>284434</v>
      </c>
      <c r="F4337" t="inlineStr">
        <is>
          <t>F</t>
        </is>
      </c>
      <c r="G4337" s="34" t="n">
        <v>45414</v>
      </c>
      <c r="H4337" s="34" t="n">
        <v>239020</v>
      </c>
      <c r="I4337" t="inlineStr">
        <is>
          <t>3.1</t>
        </is>
      </c>
      <c r="J4337" t="inlineStr">
        <is>
          <t>Ventas HoReCa</t>
        </is>
      </c>
      <c r="K4337" t="inlineStr">
        <is>
          <t>CH1</t>
        </is>
      </c>
    </row>
    <row r="4338">
      <c r="A4338" s="33" t="n">
        <v>46014</v>
      </c>
      <c r="B4338" t="inlineStr">
        <is>
          <t>2025-12</t>
        </is>
      </c>
      <c r="C4338" t="inlineStr">
        <is>
          <t>TAVELLI S.A.</t>
        </is>
      </c>
      <c r="D4338" t="inlineStr">
        <is>
          <t>HORECA CAFETERIA</t>
        </is>
      </c>
      <c r="E4338" s="34" t="n">
        <v>818405</v>
      </c>
      <c r="F4338" t="inlineStr">
        <is>
          <t>F</t>
        </is>
      </c>
      <c r="G4338" s="34" t="n">
        <v>130670</v>
      </c>
      <c r="H4338" s="34" t="n">
        <v>687735</v>
      </c>
      <c r="I4338" t="inlineStr">
        <is>
          <t>3.1</t>
        </is>
      </c>
      <c r="J4338" t="inlineStr">
        <is>
          <t>Ventas HoReCa</t>
        </is>
      </c>
      <c r="K4338" t="inlineStr">
        <is>
          <t>CH1</t>
        </is>
      </c>
    </row>
    <row r="4339">
      <c r="A4339" s="33" t="n">
        <v>46014</v>
      </c>
      <c r="B4339" t="inlineStr">
        <is>
          <t>2025-12</t>
        </is>
      </c>
      <c r="C4339" t="inlineStr">
        <is>
          <t>TAVELLI S.A.</t>
        </is>
      </c>
      <c r="D4339" t="inlineStr">
        <is>
          <t>REGION METROPOLITANA</t>
        </is>
      </c>
      <c r="E4339" s="34" t="n">
        <v>35700</v>
      </c>
      <c r="F4339" t="inlineStr">
        <is>
          <t>F</t>
        </is>
      </c>
      <c r="G4339" s="34" t="n">
        <v>5700</v>
      </c>
      <c r="H4339" s="34" t="n">
        <v>30000</v>
      </c>
      <c r="I4339" t="inlineStr">
        <is>
          <t>3.1</t>
        </is>
      </c>
      <c r="J4339" t="inlineStr">
        <is>
          <t>Ventas HoReCa</t>
        </is>
      </c>
      <c r="K4339" t="inlineStr">
        <is>
          <t>CH1</t>
        </is>
      </c>
    </row>
    <row r="4340">
      <c r="A4340" s="33" t="n">
        <v>46014</v>
      </c>
      <c r="B4340" t="inlineStr">
        <is>
          <t>2025-12</t>
        </is>
      </c>
      <c r="C4340" t="inlineStr">
        <is>
          <t>Better Food Spa</t>
        </is>
      </c>
      <c r="D4340" t="inlineStr">
        <is>
          <t>HORECA CAFETERIA</t>
        </is>
      </c>
      <c r="E4340" s="34" t="n">
        <v>320943</v>
      </c>
      <c r="F4340" t="inlineStr">
        <is>
          <t>F</t>
        </is>
      </c>
      <c r="G4340" s="34" t="n">
        <v>51243</v>
      </c>
      <c r="H4340" s="34" t="n">
        <v>269700</v>
      </c>
      <c r="I4340" t="inlineStr">
        <is>
          <t>3.1</t>
        </is>
      </c>
      <c r="J4340" t="inlineStr">
        <is>
          <t>Ventas HoReCa</t>
        </is>
      </c>
      <c r="K4340" t="inlineStr">
        <is>
          <t>CH1</t>
        </is>
      </c>
    </row>
    <row r="4341">
      <c r="A4341" s="33" t="n">
        <v>46014</v>
      </c>
      <c r="B4341" t="inlineStr">
        <is>
          <t>2025-12</t>
        </is>
      </c>
      <c r="C4341" t="inlineStr">
        <is>
          <t>Better Food Spa</t>
        </is>
      </c>
      <c r="D4341" t="inlineStr">
        <is>
          <t>REGION METROPOLITANA</t>
        </is>
      </c>
      <c r="E4341" s="34" t="n">
        <v>9401</v>
      </c>
      <c r="F4341" t="inlineStr">
        <is>
          <t>F</t>
        </is>
      </c>
      <c r="G4341" s="34" t="n">
        <v>1501</v>
      </c>
      <c r="H4341" s="34" t="n">
        <v>7900</v>
      </c>
      <c r="I4341" t="inlineStr">
        <is>
          <t>3.1</t>
        </is>
      </c>
      <c r="J4341" t="inlineStr">
        <is>
          <t>Ventas HoReCa</t>
        </is>
      </c>
      <c r="K4341" t="inlineStr">
        <is>
          <t>CH1</t>
        </is>
      </c>
    </row>
    <row r="4342">
      <c r="A4342" s="33" t="n">
        <v>46014</v>
      </c>
      <c r="B4342" t="inlineStr">
        <is>
          <t>2025-12</t>
        </is>
      </c>
      <c r="C4342" t="inlineStr">
        <is>
          <t>CAFE HAITI AHUMADA LTDA</t>
        </is>
      </c>
      <c r="D4342" t="inlineStr">
        <is>
          <t>HORECA CAFETERIA</t>
        </is>
      </c>
      <c r="E4342" s="34" t="n">
        <v>239071</v>
      </c>
      <c r="F4342" t="inlineStr">
        <is>
          <t>F</t>
        </is>
      </c>
      <c r="G4342" s="34" t="n">
        <v>38171</v>
      </c>
      <c r="H4342" s="34" t="n">
        <v>200900</v>
      </c>
      <c r="I4342" t="inlineStr">
        <is>
          <t>3.1</t>
        </is>
      </c>
      <c r="J4342" t="inlineStr">
        <is>
          <t>Ventas HoReCa</t>
        </is>
      </c>
      <c r="K4342" t="inlineStr">
        <is>
          <t>CH1</t>
        </is>
      </c>
    </row>
    <row r="4343">
      <c r="A4343" s="33" t="n">
        <v>46014</v>
      </c>
      <c r="B4343" t="inlineStr">
        <is>
          <t>2025-12</t>
        </is>
      </c>
      <c r="C4343" t="inlineStr">
        <is>
          <t>Renata Ramírez Cornejo</t>
        </is>
      </c>
      <c r="D4343" t="inlineStr">
        <is>
          <t>CANELÉ TRADICIONAL</t>
        </is>
      </c>
      <c r="E4343" s="34" t="n">
        <v>20800</v>
      </c>
      <c r="F4343" t="inlineStr">
        <is>
          <t>B</t>
        </is>
      </c>
      <c r="G4343" s="34" t="n">
        <v>3321</v>
      </c>
      <c r="H4343" s="34" t="n">
        <v>17479</v>
      </c>
      <c r="I4343" t="inlineStr">
        <is>
          <t>3.2</t>
        </is>
      </c>
      <c r="J4343" t="inlineStr">
        <is>
          <t>Ventas Personas (B2C)</t>
        </is>
      </c>
      <c r="K4343" t="inlineStr">
        <is>
          <t>CH2</t>
        </is>
      </c>
    </row>
    <row r="4344">
      <c r="A4344" s="33" t="n">
        <v>46014</v>
      </c>
      <c r="B4344" t="inlineStr">
        <is>
          <t>2025-12</t>
        </is>
      </c>
      <c r="C4344" t="inlineStr">
        <is>
          <t>HYUNWOO KANG KANG</t>
        </is>
      </c>
      <c r="D4344" t="inlineStr">
        <is>
          <t>Petit Tradicional</t>
        </is>
      </c>
      <c r="E4344" s="34" t="n">
        <v>30520</v>
      </c>
      <c r="F4344" t="inlineStr">
        <is>
          <t>B</t>
        </is>
      </c>
      <c r="G4344" s="34" t="n">
        <v>4873</v>
      </c>
      <c r="H4344" s="34" t="n">
        <v>25647</v>
      </c>
      <c r="I4344" t="inlineStr">
        <is>
          <t>3.2</t>
        </is>
      </c>
      <c r="J4344" t="inlineStr">
        <is>
          <t>Ventas Personas (B2C)</t>
        </is>
      </c>
      <c r="K4344" t="inlineStr">
        <is>
          <t>CH2</t>
        </is>
      </c>
    </row>
    <row r="4345">
      <c r="A4345" s="33" t="n">
        <v>46014</v>
      </c>
      <c r="B4345" t="inlineStr">
        <is>
          <t>2025-12</t>
        </is>
      </c>
      <c r="C4345" t="inlineStr">
        <is>
          <t>Sin cliente</t>
        </is>
      </c>
      <c r="D4345" t="inlineStr">
        <is>
          <t>Edición Navidad</t>
        </is>
      </c>
      <c r="E4345" s="34" t="n">
        <v>26800</v>
      </c>
      <c r="F4345" t="inlineStr">
        <is>
          <t>B</t>
        </is>
      </c>
      <c r="G4345" s="34" t="n">
        <v>4279</v>
      </c>
      <c r="H4345" s="34" t="n">
        <v>22521</v>
      </c>
      <c r="I4345" t="inlineStr">
        <is>
          <t>3.2</t>
        </is>
      </c>
      <c r="J4345" t="inlineStr">
        <is>
          <t>Ventas Personas (B2C)</t>
        </is>
      </c>
      <c r="K4345" t="inlineStr">
        <is>
          <t>CH2</t>
        </is>
      </c>
    </row>
    <row r="4346">
      <c r="A4346" s="33" t="n">
        <v>46014</v>
      </c>
      <c r="B4346" t="inlineStr">
        <is>
          <t>2025-12</t>
        </is>
      </c>
      <c r="C4346" t="inlineStr">
        <is>
          <t>Jimena Delgado</t>
        </is>
      </c>
      <c r="D4346" t="inlineStr">
        <is>
          <t>Edición Navidad</t>
        </is>
      </c>
      <c r="E4346" s="34" t="n">
        <v>42290</v>
      </c>
      <c r="F4346" t="inlineStr">
        <is>
          <t>B</t>
        </is>
      </c>
      <c r="G4346" s="34" t="n">
        <v>6752</v>
      </c>
      <c r="H4346" s="34" t="n">
        <v>35538</v>
      </c>
      <c r="I4346" t="inlineStr">
        <is>
          <t>3.2</t>
        </is>
      </c>
      <c r="J4346" t="inlineStr">
        <is>
          <t>Ventas Personas (B2C)</t>
        </is>
      </c>
      <c r="K4346" t="inlineStr">
        <is>
          <t>CH2</t>
        </is>
      </c>
    </row>
    <row r="4347">
      <c r="A4347" s="33" t="n">
        <v>46014</v>
      </c>
      <c r="B4347" t="inlineStr">
        <is>
          <t>2025-12</t>
        </is>
      </c>
      <c r="C4347" t="inlineStr">
        <is>
          <t>Angie Morillo</t>
        </is>
      </c>
      <c r="D4347" t="inlineStr">
        <is>
          <t>Edición Navidad</t>
        </is>
      </c>
      <c r="E4347" s="34" t="n">
        <v>78090</v>
      </c>
      <c r="F4347" t="inlineStr">
        <is>
          <t>B</t>
        </is>
      </c>
      <c r="G4347" s="34" t="n">
        <v>12468</v>
      </c>
      <c r="H4347" s="34" t="n">
        <v>65622</v>
      </c>
      <c r="I4347" t="inlineStr">
        <is>
          <t>3.2</t>
        </is>
      </c>
      <c r="J4347" t="inlineStr">
        <is>
          <t>Ventas Personas (B2C)</t>
        </is>
      </c>
      <c r="K4347" t="inlineStr">
        <is>
          <t>CH2</t>
        </is>
      </c>
    </row>
    <row r="4348">
      <c r="A4348" s="33" t="n">
        <v>46014</v>
      </c>
      <c r="B4348" t="inlineStr">
        <is>
          <t>2025-12</t>
        </is>
      </c>
      <c r="C4348" t="inlineStr">
        <is>
          <t>Esteban Miño</t>
        </is>
      </c>
      <c r="D4348" t="inlineStr">
        <is>
          <t>CANELE SIN AZUCAR</t>
        </is>
      </c>
      <c r="E4348" s="34" t="n">
        <v>20290</v>
      </c>
      <c r="F4348" t="inlineStr">
        <is>
          <t>B</t>
        </is>
      </c>
      <c r="G4348" s="34" t="n">
        <v>3240</v>
      </c>
      <c r="H4348" s="34" t="n">
        <v>17050</v>
      </c>
      <c r="I4348" t="inlineStr">
        <is>
          <t>3.2</t>
        </is>
      </c>
      <c r="J4348" t="inlineStr">
        <is>
          <t>Ventas Personas (B2C)</t>
        </is>
      </c>
      <c r="K4348" t="inlineStr">
        <is>
          <t>CH2</t>
        </is>
      </c>
    </row>
    <row r="4349">
      <c r="A4349" s="33" t="n">
        <v>46014</v>
      </c>
      <c r="B4349" t="inlineStr">
        <is>
          <t>2025-12</t>
        </is>
      </c>
      <c r="C4349" t="inlineStr">
        <is>
          <t>Daniela Echeverria</t>
        </is>
      </c>
      <c r="D4349" t="inlineStr">
        <is>
          <t>Mix Sabores</t>
        </is>
      </c>
      <c r="E4349" s="34" t="n">
        <v>31500</v>
      </c>
      <c r="F4349" t="inlineStr">
        <is>
          <t>B</t>
        </is>
      </c>
      <c r="G4349" s="34" t="n">
        <v>5029</v>
      </c>
      <c r="H4349" s="34" t="n">
        <v>26471</v>
      </c>
      <c r="I4349" t="inlineStr">
        <is>
          <t>3.2</t>
        </is>
      </c>
      <c r="J4349" t="inlineStr">
        <is>
          <t>Ventas Personas (B2C)</t>
        </is>
      </c>
      <c r="K4349" t="inlineStr">
        <is>
          <t>CH2</t>
        </is>
      </c>
    </row>
    <row r="4350">
      <c r="A4350" s="33" t="n">
        <v>46014</v>
      </c>
      <c r="B4350" t="inlineStr">
        <is>
          <t>2025-12</t>
        </is>
      </c>
      <c r="C4350" t="inlineStr">
        <is>
          <t>Gustavo  Morales Correa</t>
        </is>
      </c>
      <c r="D4350" t="inlineStr">
        <is>
          <t>PACKS GOURMET</t>
        </is>
      </c>
      <c r="E4350" s="34" t="n">
        <v>46370</v>
      </c>
      <c r="F4350" t="inlineStr">
        <is>
          <t>B</t>
        </is>
      </c>
      <c r="G4350" s="34" t="n">
        <v>7404</v>
      </c>
      <c r="H4350" s="34" t="n">
        <v>38966</v>
      </c>
      <c r="I4350" t="inlineStr">
        <is>
          <t>3.2</t>
        </is>
      </c>
      <c r="J4350" t="inlineStr">
        <is>
          <t>Ventas Personas (B2C)</t>
        </is>
      </c>
      <c r="K4350" t="inlineStr">
        <is>
          <t>CH2</t>
        </is>
      </c>
    </row>
    <row r="4351">
      <c r="A4351" s="33" t="n">
        <v>46014</v>
      </c>
      <c r="B4351" t="inlineStr">
        <is>
          <t>2025-12</t>
        </is>
      </c>
      <c r="C4351" t="inlineStr">
        <is>
          <t>María Teresa Concha</t>
        </is>
      </c>
      <c r="D4351" t="inlineStr">
        <is>
          <t>Glosa Despacho Las condes</t>
        </is>
      </c>
      <c r="E4351" s="34" t="n">
        <v>4490</v>
      </c>
      <c r="F4351" t="inlineStr">
        <is>
          <t>B</t>
        </is>
      </c>
      <c r="G4351" s="34" t="n">
        <v>717</v>
      </c>
      <c r="H4351" s="34" t="n">
        <v>3773</v>
      </c>
      <c r="I4351" t="inlineStr">
        <is>
          <t>3.2</t>
        </is>
      </c>
      <c r="J4351" t="inlineStr">
        <is>
          <t>Ventas Personas (B2C)</t>
        </is>
      </c>
      <c r="K4351" t="inlineStr">
        <is>
          <t>CH2</t>
        </is>
      </c>
    </row>
    <row r="4352">
      <c r="A4352" s="33" t="n">
        <v>46014</v>
      </c>
      <c r="B4352" t="inlineStr">
        <is>
          <t>2025-12</t>
        </is>
      </c>
      <c r="C4352" t="inlineStr">
        <is>
          <t>Valeska Silva</t>
        </is>
      </c>
      <c r="D4352" t="inlineStr">
        <is>
          <t>Petit Crunchy</t>
        </is>
      </c>
      <c r="E4352" s="34" t="n">
        <v>54290</v>
      </c>
      <c r="F4352" t="inlineStr">
        <is>
          <t>B</t>
        </is>
      </c>
      <c r="G4352" s="34" t="n">
        <v>8668</v>
      </c>
      <c r="H4352" s="34" t="n">
        <v>45622</v>
      </c>
      <c r="I4352" t="inlineStr">
        <is>
          <t>3.2</t>
        </is>
      </c>
      <c r="J4352" t="inlineStr">
        <is>
          <t>Ventas Personas (B2C)</t>
        </is>
      </c>
      <c r="K4352" t="inlineStr">
        <is>
          <t>CH2</t>
        </is>
      </c>
    </row>
    <row r="4353">
      <c r="A4353" s="33" t="n">
        <v>46014</v>
      </c>
      <c r="B4353" t="inlineStr">
        <is>
          <t>2025-12</t>
        </is>
      </c>
      <c r="C4353" t="inlineStr">
        <is>
          <t>Oscar Larrain</t>
        </is>
      </c>
      <c r="D4353" t="inlineStr">
        <is>
          <t>Mix Sabores</t>
        </is>
      </c>
      <c r="E4353" s="34" t="n">
        <v>41800</v>
      </c>
      <c r="F4353" t="inlineStr">
        <is>
          <t>B</t>
        </is>
      </c>
      <c r="G4353" s="34" t="n">
        <v>6674</v>
      </c>
      <c r="H4353" s="34" t="n">
        <v>35126</v>
      </c>
      <c r="I4353" t="inlineStr">
        <is>
          <t>3.2</t>
        </is>
      </c>
      <c r="J4353" t="inlineStr">
        <is>
          <t>Ventas Personas (B2C)</t>
        </is>
      </c>
      <c r="K4353" t="inlineStr">
        <is>
          <t>CH2</t>
        </is>
      </c>
    </row>
    <row r="4354">
      <c r="A4354" s="33" t="n">
        <v>46014</v>
      </c>
      <c r="B4354" t="inlineStr">
        <is>
          <t>2025-12</t>
        </is>
      </c>
      <c r="C4354" t="inlineStr">
        <is>
          <t>CATALINA CUEVAS</t>
        </is>
      </c>
      <c r="D4354" t="inlineStr">
        <is>
          <t>Petit Crunchy</t>
        </is>
      </c>
      <c r="E4354" s="34" t="n">
        <v>22720</v>
      </c>
      <c r="F4354" t="inlineStr">
        <is>
          <t>B</t>
        </is>
      </c>
      <c r="G4354" s="34" t="n">
        <v>3628</v>
      </c>
      <c r="H4354" s="34" t="n">
        <v>19092</v>
      </c>
      <c r="I4354" t="inlineStr">
        <is>
          <t>3.2</t>
        </is>
      </c>
      <c r="J4354" t="inlineStr">
        <is>
          <t>Ventas Personas (B2C)</t>
        </is>
      </c>
      <c r="K4354" t="inlineStr">
        <is>
          <t>CH2</t>
        </is>
      </c>
    </row>
    <row r="4355">
      <c r="A4355" s="33" t="n">
        <v>46014</v>
      </c>
      <c r="B4355" t="inlineStr">
        <is>
          <t>2025-12</t>
        </is>
      </c>
      <c r="C4355" t="inlineStr">
        <is>
          <t>Sin cliente</t>
        </is>
      </c>
      <c r="D4355" t="inlineStr">
        <is>
          <t>CANELÉ TRADICIONAL</t>
        </is>
      </c>
      <c r="E4355" s="34" t="n">
        <v>27900</v>
      </c>
      <c r="F4355" t="inlineStr">
        <is>
          <t>B</t>
        </is>
      </c>
      <c r="G4355" s="34" t="n">
        <v>4455</v>
      </c>
      <c r="H4355" s="34" t="n">
        <v>23445</v>
      </c>
      <c r="I4355" t="inlineStr">
        <is>
          <t>3.2</t>
        </is>
      </c>
      <c r="J4355" t="inlineStr">
        <is>
          <t>Ventas Personas (B2C)</t>
        </is>
      </c>
      <c r="K4355" t="inlineStr">
        <is>
          <t>CH2</t>
        </is>
      </c>
    </row>
    <row r="4356">
      <c r="A4356" s="33" t="n">
        <v>46014</v>
      </c>
      <c r="B4356" t="inlineStr">
        <is>
          <t>2025-12</t>
        </is>
      </c>
      <c r="C4356" t="inlineStr">
        <is>
          <t>Stephie Rabi</t>
        </is>
      </c>
      <c r="D4356" t="inlineStr">
        <is>
          <t>Rellenos</t>
        </is>
      </c>
      <c r="E4356" s="34" t="n">
        <v>36390</v>
      </c>
      <c r="F4356" t="inlineStr">
        <is>
          <t>B</t>
        </is>
      </c>
      <c r="G4356" s="34" t="n">
        <v>5810</v>
      </c>
      <c r="H4356" s="34" t="n">
        <v>30580</v>
      </c>
      <c r="I4356" t="inlineStr">
        <is>
          <t>3.2</t>
        </is>
      </c>
      <c r="J4356" t="inlineStr">
        <is>
          <t>Ventas Personas (B2C)</t>
        </is>
      </c>
      <c r="K4356" t="inlineStr">
        <is>
          <t>CH2</t>
        </is>
      </c>
    </row>
    <row r="4357">
      <c r="A4357" s="33" t="n">
        <v>46014</v>
      </c>
      <c r="B4357" t="inlineStr">
        <is>
          <t>2025-12</t>
        </is>
      </c>
      <c r="C4357" t="inlineStr">
        <is>
          <t>Eduardo Silva</t>
        </is>
      </c>
      <c r="D4357" t="inlineStr">
        <is>
          <t>Petit Tradicional</t>
        </is>
      </c>
      <c r="E4357" s="34" t="n">
        <v>56300</v>
      </c>
      <c r="F4357" t="inlineStr">
        <is>
          <t>B</t>
        </is>
      </c>
      <c r="G4357" s="34" t="n">
        <v>8989</v>
      </c>
      <c r="H4357" s="34" t="n">
        <v>47311</v>
      </c>
      <c r="I4357" t="inlineStr">
        <is>
          <t>3.2</t>
        </is>
      </c>
      <c r="J4357" t="inlineStr">
        <is>
          <t>Ventas Personas (B2C)</t>
        </is>
      </c>
      <c r="K4357" t="inlineStr">
        <is>
          <t>CH2</t>
        </is>
      </c>
    </row>
    <row r="4358">
      <c r="A4358" s="33" t="n">
        <v>46014</v>
      </c>
      <c r="B4358" t="inlineStr">
        <is>
          <t>2025-12</t>
        </is>
      </c>
      <c r="C4358" t="inlineStr">
        <is>
          <t>Sin cliente</t>
        </is>
      </c>
      <c r="D4358" t="inlineStr">
        <is>
          <t>Mix Sabores</t>
        </is>
      </c>
      <c r="E4358" s="34" t="n">
        <v>37700</v>
      </c>
      <c r="F4358" t="inlineStr">
        <is>
          <t>B</t>
        </is>
      </c>
      <c r="G4358" s="34" t="n">
        <v>6019</v>
      </c>
      <c r="H4358" s="34" t="n">
        <v>31681</v>
      </c>
      <c r="I4358" t="inlineStr">
        <is>
          <t>3.2</t>
        </is>
      </c>
      <c r="J4358" t="inlineStr">
        <is>
          <t>Ventas Personas (B2C)</t>
        </is>
      </c>
      <c r="K4358" t="inlineStr">
        <is>
          <t>CH2</t>
        </is>
      </c>
    </row>
    <row r="4359">
      <c r="A4359" s="33" t="n">
        <v>46014</v>
      </c>
      <c r="B4359" t="inlineStr">
        <is>
          <t>2025-12</t>
        </is>
      </c>
      <c r="C4359" t="inlineStr">
        <is>
          <t>Sin cliente</t>
        </is>
      </c>
      <c r="D4359" t="inlineStr">
        <is>
          <t>Delicatessen</t>
        </is>
      </c>
      <c r="E4359" s="34" t="n">
        <v>9800</v>
      </c>
      <c r="F4359" t="inlineStr">
        <is>
          <t>B</t>
        </is>
      </c>
      <c r="G4359" s="34" t="n">
        <v>1565</v>
      </c>
      <c r="H4359" s="34" t="n">
        <v>8235</v>
      </c>
      <c r="I4359" t="inlineStr">
        <is>
          <t>3.2</t>
        </is>
      </c>
      <c r="J4359" t="inlineStr">
        <is>
          <t>Ventas Personas (B2C)</t>
        </is>
      </c>
      <c r="K4359" t="inlineStr">
        <is>
          <t>CH2</t>
        </is>
      </c>
    </row>
    <row r="4360">
      <c r="A4360" s="33" t="n">
        <v>46014</v>
      </c>
      <c r="B4360" t="inlineStr">
        <is>
          <t>2025-12</t>
        </is>
      </c>
      <c r="C4360" t="inlineStr">
        <is>
          <t>Sin cliente</t>
        </is>
      </c>
      <c r="D4360" t="inlineStr">
        <is>
          <t>Delicatessen</t>
        </is>
      </c>
      <c r="E4360" s="34" t="n">
        <v>19600</v>
      </c>
      <c r="F4360" t="inlineStr">
        <is>
          <t>B</t>
        </is>
      </c>
      <c r="G4360" s="34" t="n">
        <v>3129</v>
      </c>
      <c r="H4360" s="34" t="n">
        <v>16471</v>
      </c>
      <c r="I4360" t="inlineStr">
        <is>
          <t>3.2</t>
        </is>
      </c>
      <c r="J4360" t="inlineStr">
        <is>
          <t>Ventas Personas (B2C)</t>
        </is>
      </c>
      <c r="K4360" t="inlineStr">
        <is>
          <t>CH2</t>
        </is>
      </c>
    </row>
    <row r="4361">
      <c r="A4361" s="33" t="n">
        <v>46014</v>
      </c>
      <c r="B4361" t="inlineStr">
        <is>
          <t>2025-12</t>
        </is>
      </c>
      <c r="C4361" t="inlineStr">
        <is>
          <t>Sin cliente</t>
        </is>
      </c>
      <c r="D4361" t="inlineStr">
        <is>
          <t>Rellenos</t>
        </is>
      </c>
      <c r="E4361" s="34" t="n">
        <v>18900</v>
      </c>
      <c r="F4361" t="inlineStr">
        <is>
          <t>B</t>
        </is>
      </c>
      <c r="G4361" s="34" t="n">
        <v>3018</v>
      </c>
      <c r="H4361" s="34" t="n">
        <v>15882</v>
      </c>
      <c r="I4361" t="inlineStr">
        <is>
          <t>3.2</t>
        </is>
      </c>
      <c r="J4361" t="inlineStr">
        <is>
          <t>Ventas Personas (B2C)</t>
        </is>
      </c>
      <c r="K4361" t="inlineStr">
        <is>
          <t>CH2</t>
        </is>
      </c>
    </row>
    <row r="4362">
      <c r="A4362" s="33" t="n">
        <v>46014</v>
      </c>
      <c r="B4362" t="inlineStr">
        <is>
          <t>2025-12</t>
        </is>
      </c>
      <c r="C4362" t="inlineStr">
        <is>
          <t>Sin cliente</t>
        </is>
      </c>
      <c r="D4362" t="inlineStr">
        <is>
          <t>Rellenos</t>
        </is>
      </c>
      <c r="E4362" s="34" t="n">
        <v>25900</v>
      </c>
      <c r="F4362" t="inlineStr">
        <is>
          <t>B</t>
        </is>
      </c>
      <c r="G4362" s="34" t="n">
        <v>4135</v>
      </c>
      <c r="H4362" s="34" t="n">
        <v>21765</v>
      </c>
      <c r="I4362" t="inlineStr">
        <is>
          <t>3.2</t>
        </is>
      </c>
      <c r="J4362" t="inlineStr">
        <is>
          <t>Ventas Personas (B2C)</t>
        </is>
      </c>
      <c r="K4362" t="inlineStr">
        <is>
          <t>CH2</t>
        </is>
      </c>
    </row>
    <row r="4363">
      <c r="A4363" s="33" t="n">
        <v>46014</v>
      </c>
      <c r="B4363" t="inlineStr">
        <is>
          <t>2025-12</t>
        </is>
      </c>
      <c r="C4363" t="inlineStr">
        <is>
          <t>Bastian Apellido</t>
        </is>
      </c>
      <c r="D4363" t="inlineStr">
        <is>
          <t>Petit Tradicional</t>
        </is>
      </c>
      <c r="E4363" s="34" t="n">
        <v>20490</v>
      </c>
      <c r="F4363" t="inlineStr">
        <is>
          <t>B</t>
        </is>
      </c>
      <c r="G4363" s="34" t="n">
        <v>3272</v>
      </c>
      <c r="H4363" s="34" t="n">
        <v>17218</v>
      </c>
      <c r="I4363" t="inlineStr">
        <is>
          <t>3.2</t>
        </is>
      </c>
      <c r="J4363" t="inlineStr">
        <is>
          <t>Ventas Personas (B2C)</t>
        </is>
      </c>
      <c r="K4363" t="inlineStr">
        <is>
          <t>CH2</t>
        </is>
      </c>
    </row>
    <row r="4364">
      <c r="A4364" s="33" t="n">
        <v>46014</v>
      </c>
      <c r="B4364" t="inlineStr">
        <is>
          <t>2025-12</t>
        </is>
      </c>
      <c r="C4364" t="inlineStr">
        <is>
          <t>Barbara Miranda</t>
        </is>
      </c>
      <c r="D4364" t="inlineStr">
        <is>
          <t>CANELÉ TRADICIONAL</t>
        </is>
      </c>
      <c r="E4364" s="34" t="n">
        <v>26390</v>
      </c>
      <c r="F4364" t="inlineStr">
        <is>
          <t>B</t>
        </is>
      </c>
      <c r="G4364" s="34" t="n">
        <v>4214</v>
      </c>
      <c r="H4364" s="34" t="n">
        <v>22176</v>
      </c>
      <c r="I4364" t="inlineStr">
        <is>
          <t>3.2</t>
        </is>
      </c>
      <c r="J4364" t="inlineStr">
        <is>
          <t>Ventas Personas (B2C)</t>
        </is>
      </c>
      <c r="K4364" t="inlineStr">
        <is>
          <t>CH2</t>
        </is>
      </c>
    </row>
    <row r="4365">
      <c r="A4365" s="33" t="n">
        <v>46014</v>
      </c>
      <c r="B4365" t="inlineStr">
        <is>
          <t>2025-12</t>
        </is>
      </c>
      <c r="C4365" t="inlineStr">
        <is>
          <t>Kárel Núñez</t>
        </is>
      </c>
      <c r="D4365" t="inlineStr">
        <is>
          <t>Petit Tradicional</t>
        </is>
      </c>
      <c r="E4365" s="34" t="n">
        <v>17290</v>
      </c>
      <c r="F4365" t="inlineStr">
        <is>
          <t>B</t>
        </is>
      </c>
      <c r="G4365" s="34" t="n">
        <v>2761</v>
      </c>
      <c r="H4365" s="34" t="n">
        <v>14529</v>
      </c>
      <c r="I4365" t="inlineStr">
        <is>
          <t>3.2</t>
        </is>
      </c>
      <c r="J4365" t="inlineStr">
        <is>
          <t>Ventas Personas (B2C)</t>
        </is>
      </c>
      <c r="K4365" t="inlineStr">
        <is>
          <t>CH2</t>
        </is>
      </c>
    </row>
    <row r="4366">
      <c r="A4366" s="33" t="n">
        <v>46014</v>
      </c>
      <c r="B4366" t="inlineStr">
        <is>
          <t>2025-12</t>
        </is>
      </c>
      <c r="C4366" t="inlineStr">
        <is>
          <t>Sin cliente</t>
        </is>
      </c>
      <c r="D4366" t="inlineStr">
        <is>
          <t>CANELÉ TRADICIONAL</t>
        </is>
      </c>
      <c r="E4366" s="34" t="n">
        <v>26900</v>
      </c>
      <c r="F4366" t="inlineStr">
        <is>
          <t>B</t>
        </is>
      </c>
      <c r="G4366" s="34" t="n">
        <v>4295</v>
      </c>
      <c r="H4366" s="34" t="n">
        <v>22605</v>
      </c>
      <c r="I4366" t="inlineStr">
        <is>
          <t>3.2</t>
        </is>
      </c>
      <c r="J4366" t="inlineStr">
        <is>
          <t>Ventas Personas (B2C)</t>
        </is>
      </c>
      <c r="K4366" t="inlineStr">
        <is>
          <t>CH2</t>
        </is>
      </c>
    </row>
    <row r="4367">
      <c r="A4367" s="33" t="n">
        <v>46014</v>
      </c>
      <c r="B4367" t="inlineStr">
        <is>
          <t>2025-12</t>
        </is>
      </c>
      <c r="C4367" t="inlineStr">
        <is>
          <t>Javi Valdivieso</t>
        </is>
      </c>
      <c r="D4367" t="inlineStr">
        <is>
          <t>Petit Crunchy</t>
        </is>
      </c>
      <c r="E4367" s="34" t="n">
        <v>14390</v>
      </c>
      <c r="F4367" t="inlineStr">
        <is>
          <t>B</t>
        </is>
      </c>
      <c r="G4367" s="34" t="n">
        <v>2298</v>
      </c>
      <c r="H4367" s="34" t="n">
        <v>12092</v>
      </c>
      <c r="I4367" t="inlineStr">
        <is>
          <t>3.2</t>
        </is>
      </c>
      <c r="J4367" t="inlineStr">
        <is>
          <t>Ventas Personas (B2C)</t>
        </is>
      </c>
      <c r="K4367" t="inlineStr">
        <is>
          <t>CH2</t>
        </is>
      </c>
    </row>
    <row r="4368">
      <c r="A4368" s="33" t="n">
        <v>46014</v>
      </c>
      <c r="B4368" t="inlineStr">
        <is>
          <t>2025-12</t>
        </is>
      </c>
      <c r="C4368" t="inlineStr">
        <is>
          <t>Veronica Gazzoni Donoso</t>
        </is>
      </c>
      <c r="D4368" t="inlineStr">
        <is>
          <t>Petit Tradicional</t>
        </is>
      </c>
      <c r="E4368" s="34" t="n">
        <v>41400</v>
      </c>
      <c r="F4368" t="inlineStr">
        <is>
          <t>B</t>
        </is>
      </c>
      <c r="G4368" s="34" t="n">
        <v>6610</v>
      </c>
      <c r="H4368" s="34" t="n">
        <v>34790</v>
      </c>
      <c r="I4368" t="inlineStr">
        <is>
          <t>3.2</t>
        </is>
      </c>
      <c r="J4368" t="inlineStr">
        <is>
          <t>Ventas Personas (B2C)</t>
        </is>
      </c>
      <c r="K4368" t="inlineStr">
        <is>
          <t>CH2</t>
        </is>
      </c>
    </row>
    <row r="4369">
      <c r="A4369" s="33" t="n">
        <v>46014</v>
      </c>
      <c r="B4369" t="inlineStr">
        <is>
          <t>2025-12</t>
        </is>
      </c>
      <c r="C4369" t="inlineStr">
        <is>
          <t>Santiago Effa</t>
        </is>
      </c>
      <c r="D4369" t="inlineStr">
        <is>
          <t>PACKAGING</t>
        </is>
      </c>
      <c r="E4369" s="34" t="n">
        <v>82790</v>
      </c>
      <c r="F4369" t="inlineStr">
        <is>
          <t>B</t>
        </is>
      </c>
      <c r="G4369" s="34" t="n">
        <v>13219</v>
      </c>
      <c r="H4369" s="34" t="n">
        <v>69571</v>
      </c>
      <c r="I4369" t="inlineStr">
        <is>
          <t>3.2</t>
        </is>
      </c>
      <c r="J4369" t="inlineStr">
        <is>
          <t>Ventas Personas (B2C)</t>
        </is>
      </c>
      <c r="K4369" t="inlineStr">
        <is>
          <t>CH2</t>
        </is>
      </c>
    </row>
    <row r="4370">
      <c r="A4370" s="33" t="n">
        <v>46014</v>
      </c>
      <c r="B4370" t="inlineStr">
        <is>
          <t>2025-12</t>
        </is>
      </c>
      <c r="C4370" t="inlineStr">
        <is>
          <t>Leon Pinedo</t>
        </is>
      </c>
      <c r="D4370" t="inlineStr">
        <is>
          <t>Edición Navidad</t>
        </is>
      </c>
      <c r="E4370" s="34" t="n">
        <v>19800</v>
      </c>
      <c r="F4370" t="inlineStr">
        <is>
          <t>B</t>
        </is>
      </c>
      <c r="G4370" s="34" t="n">
        <v>3161</v>
      </c>
      <c r="H4370" s="34" t="n">
        <v>16639</v>
      </c>
      <c r="I4370" t="inlineStr">
        <is>
          <t>3.2</t>
        </is>
      </c>
      <c r="J4370" t="inlineStr">
        <is>
          <t>Ventas Personas (B2C)</t>
        </is>
      </c>
      <c r="K4370" t="inlineStr">
        <is>
          <t>CH2</t>
        </is>
      </c>
    </row>
    <row r="4371">
      <c r="A4371" s="33" t="n">
        <v>46014</v>
      </c>
      <c r="B4371" t="inlineStr">
        <is>
          <t>2025-12</t>
        </is>
      </c>
      <c r="C4371" t="inlineStr">
        <is>
          <t>Sin cliente</t>
        </is>
      </c>
      <c r="D4371" t="inlineStr">
        <is>
          <t>SALSAS</t>
        </is>
      </c>
      <c r="E4371" s="34" t="n">
        <v>6990</v>
      </c>
      <c r="F4371" t="inlineStr">
        <is>
          <t>B</t>
        </is>
      </c>
      <c r="G4371" s="34" t="n">
        <v>1116</v>
      </c>
      <c r="H4371" s="34" t="n">
        <v>5874</v>
      </c>
      <c r="I4371" t="inlineStr">
        <is>
          <t>3.2</t>
        </is>
      </c>
      <c r="J4371" t="inlineStr">
        <is>
          <t>Ventas Personas (B2C)</t>
        </is>
      </c>
      <c r="K4371" t="inlineStr">
        <is>
          <t>CH2</t>
        </is>
      </c>
    </row>
    <row r="4372">
      <c r="A4372" s="33" t="n">
        <v>46014</v>
      </c>
      <c r="B4372" t="inlineStr">
        <is>
          <t>2025-12</t>
        </is>
      </c>
      <c r="C4372" t="inlineStr">
        <is>
          <t>Sin cliente</t>
        </is>
      </c>
      <c r="D4372" t="inlineStr">
        <is>
          <t>CANELÉ TRADICIONAL</t>
        </is>
      </c>
      <c r="E4372" s="34" t="n">
        <v>52000</v>
      </c>
      <c r="F4372" t="inlineStr">
        <is>
          <t>B</t>
        </is>
      </c>
      <c r="G4372" s="34" t="n">
        <v>8303</v>
      </c>
      <c r="H4372" s="34" t="n">
        <v>43697</v>
      </c>
      <c r="I4372" t="inlineStr">
        <is>
          <t>3.2</t>
        </is>
      </c>
      <c r="J4372" t="inlineStr">
        <is>
          <t>Ventas Personas (B2C)</t>
        </is>
      </c>
      <c r="K4372" t="inlineStr">
        <is>
          <t>CH2</t>
        </is>
      </c>
    </row>
    <row r="4373">
      <c r="A4373" s="33" t="n">
        <v>46014</v>
      </c>
      <c r="B4373" t="inlineStr">
        <is>
          <t>2025-12</t>
        </is>
      </c>
      <c r="C4373" t="inlineStr">
        <is>
          <t>Maria emilia Junquera</t>
        </is>
      </c>
      <c r="D4373" t="inlineStr">
        <is>
          <t>Petit Crunchy</t>
        </is>
      </c>
      <c r="E4373" s="34" t="n">
        <v>18390</v>
      </c>
      <c r="F4373" t="inlineStr">
        <is>
          <t>B</t>
        </is>
      </c>
      <c r="G4373" s="34" t="n">
        <v>2936</v>
      </c>
      <c r="H4373" s="34" t="n">
        <v>15454</v>
      </c>
      <c r="I4373" t="inlineStr">
        <is>
          <t>3.2</t>
        </is>
      </c>
      <c r="J4373" t="inlineStr">
        <is>
          <t>Ventas Personas (B2C)</t>
        </is>
      </c>
      <c r="K4373" t="inlineStr">
        <is>
          <t>CH2</t>
        </is>
      </c>
    </row>
    <row r="4374">
      <c r="A4374" s="33" t="n">
        <v>46014</v>
      </c>
      <c r="B4374" t="inlineStr">
        <is>
          <t>2025-12</t>
        </is>
      </c>
      <c r="C4374" t="inlineStr">
        <is>
          <t>Jorge Mora</t>
        </is>
      </c>
      <c r="D4374" t="inlineStr">
        <is>
          <t>CANELE SIN AZUCAR</t>
        </is>
      </c>
      <c r="E4374" s="34" t="n">
        <v>21290</v>
      </c>
      <c r="F4374" t="inlineStr">
        <is>
          <t>B</t>
        </is>
      </c>
      <c r="G4374" s="34" t="n">
        <v>3399</v>
      </c>
      <c r="H4374" s="34" t="n">
        <v>17891</v>
      </c>
      <c r="I4374" t="inlineStr">
        <is>
          <t>3.2</t>
        </is>
      </c>
      <c r="J4374" t="inlineStr">
        <is>
          <t>Ventas Personas (B2C)</t>
        </is>
      </c>
      <c r="K4374" t="inlineStr">
        <is>
          <t>CH2</t>
        </is>
      </c>
    </row>
    <row r="4375">
      <c r="A4375" s="33" t="n">
        <v>46014</v>
      </c>
      <c r="B4375" t="inlineStr">
        <is>
          <t>2025-12</t>
        </is>
      </c>
      <c r="C4375" t="inlineStr">
        <is>
          <t>Sin cliente</t>
        </is>
      </c>
      <c r="D4375" t="inlineStr">
        <is>
          <t>Mix Sabores</t>
        </is>
      </c>
      <c r="E4375" s="34" t="n">
        <v>50700</v>
      </c>
      <c r="F4375" t="inlineStr">
        <is>
          <t>B</t>
        </is>
      </c>
      <c r="G4375" s="34" t="n">
        <v>8095</v>
      </c>
      <c r="H4375" s="34" t="n">
        <v>42605</v>
      </c>
      <c r="I4375" t="inlineStr">
        <is>
          <t>3.2</t>
        </is>
      </c>
      <c r="J4375" t="inlineStr">
        <is>
          <t>Ventas Personas (B2C)</t>
        </is>
      </c>
      <c r="K4375" t="inlineStr">
        <is>
          <t>CH2</t>
        </is>
      </c>
    </row>
    <row r="4376">
      <c r="A4376" s="33" t="n">
        <v>46014</v>
      </c>
      <c r="B4376" t="inlineStr">
        <is>
          <t>2025-12</t>
        </is>
      </c>
      <c r="C4376" t="inlineStr">
        <is>
          <t>María José Robles</t>
        </is>
      </c>
      <c r="D4376" t="inlineStr">
        <is>
          <t>Petit Tradicional</t>
        </is>
      </c>
      <c r="E4376" s="34" t="n">
        <v>21800</v>
      </c>
      <c r="F4376" t="inlineStr">
        <is>
          <t>B</t>
        </is>
      </c>
      <c r="G4376" s="34" t="n">
        <v>3481</v>
      </c>
      <c r="H4376" s="34" t="n">
        <v>18319</v>
      </c>
      <c r="I4376" t="inlineStr">
        <is>
          <t>3.2</t>
        </is>
      </c>
      <c r="J4376" t="inlineStr">
        <is>
          <t>Ventas Personas (B2C)</t>
        </is>
      </c>
      <c r="K4376" t="inlineStr">
        <is>
          <t>CH2</t>
        </is>
      </c>
    </row>
    <row r="4377">
      <c r="A4377" s="33" t="n">
        <v>46014</v>
      </c>
      <c r="B4377" t="inlineStr">
        <is>
          <t>2025-12</t>
        </is>
      </c>
      <c r="C4377" t="inlineStr">
        <is>
          <t>Sin cliente</t>
        </is>
      </c>
      <c r="D4377" t="inlineStr">
        <is>
          <t>CANELÉ TRADICIONAL</t>
        </is>
      </c>
      <c r="E4377" s="34" t="n">
        <v>31520</v>
      </c>
      <c r="F4377" t="inlineStr">
        <is>
          <t>B</t>
        </is>
      </c>
      <c r="G4377" s="34" t="n">
        <v>5033</v>
      </c>
      <c r="H4377" s="34" t="n">
        <v>26487</v>
      </c>
      <c r="I4377" t="inlineStr">
        <is>
          <t>3.2</t>
        </is>
      </c>
      <c r="J4377" t="inlineStr">
        <is>
          <t>Ventas Personas (B2C)</t>
        </is>
      </c>
      <c r="K4377" t="inlineStr">
        <is>
          <t>CH2</t>
        </is>
      </c>
    </row>
    <row r="4378">
      <c r="A4378" s="33" t="n">
        <v>46014</v>
      </c>
      <c r="B4378" t="inlineStr">
        <is>
          <t>2025-12</t>
        </is>
      </c>
      <c r="C4378" t="inlineStr">
        <is>
          <t>Marcelo  Navarro</t>
        </is>
      </c>
      <c r="D4378" t="inlineStr">
        <is>
          <t>Rellenos</t>
        </is>
      </c>
      <c r="E4378" s="34" t="n">
        <v>20720</v>
      </c>
      <c r="F4378" t="inlineStr">
        <is>
          <t>B</t>
        </is>
      </c>
      <c r="G4378" s="34" t="n">
        <v>3308</v>
      </c>
      <c r="H4378" s="34" t="n">
        <v>17412</v>
      </c>
      <c r="I4378" t="inlineStr">
        <is>
          <t>3.2</t>
        </is>
      </c>
      <c r="J4378" t="inlineStr">
        <is>
          <t>Ventas Personas (B2C)</t>
        </is>
      </c>
      <c r="K4378" t="inlineStr">
        <is>
          <t>CH2</t>
        </is>
      </c>
    </row>
    <row r="4379">
      <c r="A4379" s="33" t="n">
        <v>46014</v>
      </c>
      <c r="B4379" t="inlineStr">
        <is>
          <t>2025-12</t>
        </is>
      </c>
      <c r="C4379" t="inlineStr">
        <is>
          <t>Constanza Alvarez</t>
        </is>
      </c>
      <c r="D4379" t="inlineStr">
        <is>
          <t>CANELE SIN AZUCAR</t>
        </is>
      </c>
      <c r="E4379" s="34" t="n">
        <v>19710</v>
      </c>
      <c r="F4379" t="inlineStr">
        <is>
          <t>B</t>
        </is>
      </c>
      <c r="G4379" s="34" t="n">
        <v>3147</v>
      </c>
      <c r="H4379" s="34" t="n">
        <v>16563</v>
      </c>
      <c r="I4379" t="inlineStr">
        <is>
          <t>3.2</t>
        </is>
      </c>
      <c r="J4379" t="inlineStr">
        <is>
          <t>Ventas Personas (B2C)</t>
        </is>
      </c>
      <c r="K4379" t="inlineStr">
        <is>
          <t>CH2</t>
        </is>
      </c>
    </row>
    <row r="4380">
      <c r="A4380" s="33" t="n">
        <v>46014</v>
      </c>
      <c r="B4380" t="inlineStr">
        <is>
          <t>2025-12</t>
        </is>
      </c>
      <c r="C4380" t="inlineStr">
        <is>
          <t>Felipe Leppe Ravanales</t>
        </is>
      </c>
      <c r="D4380" t="inlineStr">
        <is>
          <t>Rellenos</t>
        </is>
      </c>
      <c r="E4380" s="34" t="n">
        <v>118430</v>
      </c>
      <c r="F4380" t="inlineStr">
        <is>
          <t>B</t>
        </is>
      </c>
      <c r="G4380" s="34" t="n">
        <v>18909</v>
      </c>
      <c r="H4380" s="34" t="n">
        <v>99521</v>
      </c>
      <c r="I4380" t="inlineStr">
        <is>
          <t>3.2</t>
        </is>
      </c>
      <c r="J4380" t="inlineStr">
        <is>
          <t>Ventas Personas (B2C)</t>
        </is>
      </c>
      <c r="K4380" t="inlineStr">
        <is>
          <t>CH2</t>
        </is>
      </c>
    </row>
    <row r="4381">
      <c r="A4381" s="33" t="n">
        <v>46014</v>
      </c>
      <c r="B4381" t="inlineStr">
        <is>
          <t>2025-12</t>
        </is>
      </c>
      <c r="C4381" t="inlineStr">
        <is>
          <t>Jenny Muñoz</t>
        </is>
      </c>
      <c r="D4381" t="inlineStr">
        <is>
          <t>CANELÉ TRADICIONAL</t>
        </is>
      </c>
      <c r="E4381" s="34" t="n">
        <v>47290</v>
      </c>
      <c r="F4381" t="inlineStr">
        <is>
          <t>B</t>
        </is>
      </c>
      <c r="G4381" s="34" t="n">
        <v>7551</v>
      </c>
      <c r="H4381" s="34" t="n">
        <v>39739</v>
      </c>
      <c r="I4381" t="inlineStr">
        <is>
          <t>3.2</t>
        </is>
      </c>
      <c r="J4381" t="inlineStr">
        <is>
          <t>Ventas Personas (B2C)</t>
        </is>
      </c>
      <c r="K4381" t="inlineStr">
        <is>
          <t>CH2</t>
        </is>
      </c>
    </row>
    <row r="4382">
      <c r="A4382" s="33" t="n">
        <v>46014</v>
      </c>
      <c r="B4382" t="inlineStr">
        <is>
          <t>2025-12</t>
        </is>
      </c>
      <c r="C4382" t="inlineStr">
        <is>
          <t>Sin cliente</t>
        </is>
      </c>
      <c r="D4382" t="inlineStr">
        <is>
          <t>Edición Navidad</t>
        </is>
      </c>
      <c r="E4382" s="34" t="n">
        <v>19800</v>
      </c>
      <c r="F4382" t="inlineStr">
        <is>
          <t>B</t>
        </is>
      </c>
      <c r="G4382" s="34" t="n">
        <v>3161</v>
      </c>
      <c r="H4382" s="34" t="n">
        <v>16639</v>
      </c>
      <c r="I4382" t="inlineStr">
        <is>
          <t>3.2</t>
        </is>
      </c>
      <c r="J4382" t="inlineStr">
        <is>
          <t>Ventas Personas (B2C)</t>
        </is>
      </c>
      <c r="K4382" t="inlineStr">
        <is>
          <t>CH2</t>
        </is>
      </c>
    </row>
    <row r="4383">
      <c r="A4383" s="33" t="n">
        <v>46014</v>
      </c>
      <c r="B4383" t="inlineStr">
        <is>
          <t>2025-12</t>
        </is>
      </c>
      <c r="C4383" t="inlineStr">
        <is>
          <t>Sin cliente</t>
        </is>
      </c>
      <c r="D4383" t="inlineStr">
        <is>
          <t>Edición Navidad</t>
        </is>
      </c>
      <c r="E4383" s="34" t="n">
        <v>19800</v>
      </c>
      <c r="F4383" t="inlineStr">
        <is>
          <t>B</t>
        </is>
      </c>
      <c r="G4383" s="34" t="n">
        <v>3161</v>
      </c>
      <c r="H4383" s="34" t="n">
        <v>16639</v>
      </c>
      <c r="I4383" t="inlineStr">
        <is>
          <t>3.2</t>
        </is>
      </c>
      <c r="J4383" t="inlineStr">
        <is>
          <t>Ventas Personas (B2C)</t>
        </is>
      </c>
      <c r="K4383" t="inlineStr">
        <is>
          <t>CH2</t>
        </is>
      </c>
    </row>
    <row r="4384">
      <c r="A4384" s="33" t="n">
        <v>46014</v>
      </c>
      <c r="B4384" t="inlineStr">
        <is>
          <t>2025-12</t>
        </is>
      </c>
      <c r="C4384" t="inlineStr">
        <is>
          <t>Sin cliente</t>
        </is>
      </c>
      <c r="D4384" t="inlineStr">
        <is>
          <t>CANELÉ TRADICIONAL</t>
        </is>
      </c>
      <c r="E4384" s="34" t="n">
        <v>2500</v>
      </c>
      <c r="F4384" t="inlineStr">
        <is>
          <t>B</t>
        </is>
      </c>
      <c r="G4384" s="34" t="n">
        <v>399</v>
      </c>
      <c r="H4384" s="34" t="n">
        <v>2101</v>
      </c>
      <c r="I4384" t="inlineStr">
        <is>
          <t>3.2</t>
        </is>
      </c>
      <c r="J4384" t="inlineStr">
        <is>
          <t>Ventas Personas (B2C)</t>
        </is>
      </c>
      <c r="K4384" t="inlineStr">
        <is>
          <t>CH2</t>
        </is>
      </c>
    </row>
    <row r="4385">
      <c r="A4385" s="33" t="n">
        <v>46014</v>
      </c>
      <c r="B4385" t="inlineStr">
        <is>
          <t>2025-12</t>
        </is>
      </c>
      <c r="C4385" t="inlineStr">
        <is>
          <t>Sin cliente</t>
        </is>
      </c>
      <c r="D4385" t="inlineStr">
        <is>
          <t>Edición Navidad</t>
        </is>
      </c>
      <c r="E4385" s="34" t="n">
        <v>19800</v>
      </c>
      <c r="F4385" t="inlineStr">
        <is>
          <t>B</t>
        </is>
      </c>
      <c r="G4385" s="34" t="n">
        <v>3161</v>
      </c>
      <c r="H4385" s="34" t="n">
        <v>16639</v>
      </c>
      <c r="I4385" t="inlineStr">
        <is>
          <t>3.2</t>
        </is>
      </c>
      <c r="J4385" t="inlineStr">
        <is>
          <t>Ventas Personas (B2C)</t>
        </is>
      </c>
      <c r="K4385" t="inlineStr">
        <is>
          <t>CH2</t>
        </is>
      </c>
    </row>
    <row r="4386">
      <c r="A4386" s="33" t="n">
        <v>46014</v>
      </c>
      <c r="B4386" t="inlineStr">
        <is>
          <t>2025-12</t>
        </is>
      </c>
      <c r="C4386" t="inlineStr">
        <is>
          <t>Sin cliente</t>
        </is>
      </c>
      <c r="D4386" t="inlineStr">
        <is>
          <t>Petit Tradicional</t>
        </is>
      </c>
      <c r="E4386" s="34" t="n">
        <v>30600</v>
      </c>
      <c r="F4386" t="inlineStr">
        <is>
          <t>B</t>
        </is>
      </c>
      <c r="G4386" s="34" t="n">
        <v>4886</v>
      </c>
      <c r="H4386" s="34" t="n">
        <v>25714</v>
      </c>
      <c r="I4386" t="inlineStr">
        <is>
          <t>3.2</t>
        </is>
      </c>
      <c r="J4386" t="inlineStr">
        <is>
          <t>Ventas Personas (B2C)</t>
        </is>
      </c>
      <c r="K4386" t="inlineStr">
        <is>
          <t>CH2</t>
        </is>
      </c>
    </row>
    <row r="4387">
      <c r="A4387" s="33" t="n">
        <v>46014</v>
      </c>
      <c r="B4387" t="inlineStr">
        <is>
          <t>2025-12</t>
        </is>
      </c>
      <c r="C4387" t="inlineStr">
        <is>
          <t>Sin cliente</t>
        </is>
      </c>
      <c r="D4387" t="inlineStr">
        <is>
          <t>Delicatessen</t>
        </is>
      </c>
      <c r="E4387" s="34" t="n">
        <v>9800</v>
      </c>
      <c r="F4387" t="inlineStr">
        <is>
          <t>B</t>
        </is>
      </c>
      <c r="G4387" s="34" t="n">
        <v>1565</v>
      </c>
      <c r="H4387" s="34" t="n">
        <v>8235</v>
      </c>
      <c r="I4387" t="inlineStr">
        <is>
          <t>3.2</t>
        </is>
      </c>
      <c r="J4387" t="inlineStr">
        <is>
          <t>Ventas Personas (B2C)</t>
        </is>
      </c>
      <c r="K4387" t="inlineStr">
        <is>
          <t>CH2</t>
        </is>
      </c>
    </row>
    <row r="4388">
      <c r="A4388" s="33" t="n">
        <v>46014</v>
      </c>
      <c r="B4388" t="inlineStr">
        <is>
          <t>2025-12</t>
        </is>
      </c>
      <c r="C4388" t="inlineStr">
        <is>
          <t>Sin cliente</t>
        </is>
      </c>
      <c r="D4388" t="inlineStr">
        <is>
          <t>PLATAFORMAS RAP-PEYA-UBER-GOOD</t>
        </is>
      </c>
      <c r="E4388" s="34" t="n">
        <v>23880</v>
      </c>
      <c r="F4388" t="inlineStr">
        <is>
          <t>B</t>
        </is>
      </c>
      <c r="G4388" s="34" t="n">
        <v>3813</v>
      </c>
      <c r="H4388" s="34" t="n">
        <v>20067</v>
      </c>
      <c r="I4388" t="inlineStr">
        <is>
          <t>3.6</t>
        </is>
      </c>
      <c r="J4388" t="inlineStr">
        <is>
          <t>Ventas Delivery Apps</t>
        </is>
      </c>
      <c r="K4388" t="inlineStr">
        <is>
          <t>CH3</t>
        </is>
      </c>
    </row>
    <row r="4389">
      <c r="A4389" s="33" t="n">
        <v>46014</v>
      </c>
      <c r="B4389" t="inlineStr">
        <is>
          <t>2025-12</t>
        </is>
      </c>
      <c r="C4389" t="inlineStr">
        <is>
          <t>Sin cliente</t>
        </is>
      </c>
      <c r="D4389" t="inlineStr">
        <is>
          <t>PLATAFORMAS RAP-PEYA-UBER-GOOD</t>
        </is>
      </c>
      <c r="E4389" s="34" t="n">
        <v>12000</v>
      </c>
      <c r="F4389" t="inlineStr">
        <is>
          <t>B</t>
        </is>
      </c>
      <c r="G4389" s="34" t="n">
        <v>1916</v>
      </c>
      <c r="H4389" s="34" t="n">
        <v>10084</v>
      </c>
      <c r="I4389" t="inlineStr">
        <is>
          <t>3.6</t>
        </is>
      </c>
      <c r="J4389" t="inlineStr">
        <is>
          <t>Ventas Delivery Apps</t>
        </is>
      </c>
      <c r="K4389" t="inlineStr">
        <is>
          <t>CH3</t>
        </is>
      </c>
    </row>
    <row r="4390">
      <c r="A4390" s="33" t="n">
        <v>46014</v>
      </c>
      <c r="B4390" t="inlineStr">
        <is>
          <t>2025-12</t>
        </is>
      </c>
      <c r="C4390" t="inlineStr">
        <is>
          <t>Sin cliente</t>
        </is>
      </c>
      <c r="D4390" t="inlineStr">
        <is>
          <t>PLATAFORMAS RAP-PEYA-UBER-GOOD</t>
        </is>
      </c>
      <c r="E4390" s="34" t="n">
        <v>18480</v>
      </c>
      <c r="F4390" t="inlineStr">
        <is>
          <t>B</t>
        </is>
      </c>
      <c r="G4390" s="34" t="n">
        <v>2951</v>
      </c>
      <c r="H4390" s="34" t="n">
        <v>15529</v>
      </c>
      <c r="I4390" t="inlineStr">
        <is>
          <t>3.6</t>
        </is>
      </c>
      <c r="J4390" t="inlineStr">
        <is>
          <t>Ventas Delivery Apps</t>
        </is>
      </c>
      <c r="K4390" t="inlineStr">
        <is>
          <t>CH3</t>
        </is>
      </c>
    </row>
    <row r="4391">
      <c r="A4391" s="33" t="n">
        <v>46014</v>
      </c>
      <c r="B4391" t="inlineStr">
        <is>
          <t>2025-12</t>
        </is>
      </c>
      <c r="C4391" t="inlineStr">
        <is>
          <t>Sin cliente</t>
        </is>
      </c>
      <c r="D4391" t="inlineStr">
        <is>
          <t>PLATAFORMAS RAP-PEYA-UBER-GOOD</t>
        </is>
      </c>
      <c r="E4391" s="34" t="n">
        <v>34560</v>
      </c>
      <c r="F4391" t="inlineStr">
        <is>
          <t>B</t>
        </is>
      </c>
      <c r="G4391" s="34" t="n">
        <v>5518</v>
      </c>
      <c r="H4391" s="34" t="n">
        <v>29042</v>
      </c>
      <c r="I4391" t="inlineStr">
        <is>
          <t>3.6</t>
        </is>
      </c>
      <c r="J4391" t="inlineStr">
        <is>
          <t>Ventas Delivery Apps</t>
        </is>
      </c>
      <c r="K4391" t="inlineStr">
        <is>
          <t>CH3</t>
        </is>
      </c>
    </row>
    <row r="4392">
      <c r="A4392" s="33" t="n">
        <v>46014</v>
      </c>
      <c r="B4392" t="inlineStr">
        <is>
          <t>2025-12</t>
        </is>
      </c>
      <c r="C4392" t="inlineStr">
        <is>
          <t>Sin cliente</t>
        </is>
      </c>
      <c r="D4392" t="inlineStr">
        <is>
          <t>PLATAFORMAS RAP-PEYA-UBER-GOOD</t>
        </is>
      </c>
      <c r="E4392" s="34" t="n">
        <v>20640</v>
      </c>
      <c r="F4392" t="inlineStr">
        <is>
          <t>B</t>
        </is>
      </c>
      <c r="G4392" s="34" t="n">
        <v>3295</v>
      </c>
      <c r="H4392" s="34" t="n">
        <v>17345</v>
      </c>
      <c r="I4392" t="inlineStr">
        <is>
          <t>3.6</t>
        </is>
      </c>
      <c r="J4392" t="inlineStr">
        <is>
          <t>Ventas Delivery Apps</t>
        </is>
      </c>
      <c r="K4392" t="inlineStr">
        <is>
          <t>CH3</t>
        </is>
      </c>
    </row>
    <row r="4393">
      <c r="A4393" s="33" t="n">
        <v>46014</v>
      </c>
      <c r="B4393" t="inlineStr">
        <is>
          <t>2025-12</t>
        </is>
      </c>
      <c r="C4393" t="inlineStr">
        <is>
          <t>Sin cliente</t>
        </is>
      </c>
      <c r="D4393" t="inlineStr">
        <is>
          <t>PLATAFORMAS RAP-PEYA-UBER-GOOD</t>
        </is>
      </c>
      <c r="E4393" s="34" t="n">
        <v>20280</v>
      </c>
      <c r="F4393" t="inlineStr">
        <is>
          <t>B</t>
        </is>
      </c>
      <c r="G4393" s="34" t="n">
        <v>3238</v>
      </c>
      <c r="H4393" s="34" t="n">
        <v>17042</v>
      </c>
      <c r="I4393" t="inlineStr">
        <is>
          <t>3.6</t>
        </is>
      </c>
      <c r="J4393" t="inlineStr">
        <is>
          <t>Ventas Delivery Apps</t>
        </is>
      </c>
      <c r="K4393" t="inlineStr">
        <is>
          <t>CH3</t>
        </is>
      </c>
    </row>
    <row r="4394">
      <c r="A4394" s="33" t="n">
        <v>46014</v>
      </c>
      <c r="B4394" t="inlineStr">
        <is>
          <t>2025-12</t>
        </is>
      </c>
      <c r="C4394" t="inlineStr">
        <is>
          <t>Sin cliente</t>
        </is>
      </c>
      <c r="D4394" t="inlineStr">
        <is>
          <t>PLATAFORMAS RAP-PEYA-UBER-GOOD</t>
        </is>
      </c>
      <c r="E4394" s="34" t="n">
        <v>15480</v>
      </c>
      <c r="F4394" t="inlineStr">
        <is>
          <t>B</t>
        </is>
      </c>
      <c r="G4394" s="34" t="n">
        <v>2472</v>
      </c>
      <c r="H4394" s="34" t="n">
        <v>13008</v>
      </c>
      <c r="I4394" t="inlineStr">
        <is>
          <t>3.6</t>
        </is>
      </c>
      <c r="J4394" t="inlineStr">
        <is>
          <t>Ventas Delivery Apps</t>
        </is>
      </c>
      <c r="K4394" t="inlineStr">
        <is>
          <t>CH3</t>
        </is>
      </c>
    </row>
    <row r="4395">
      <c r="A4395" s="33" t="n">
        <v>46014</v>
      </c>
      <c r="B4395" t="inlineStr">
        <is>
          <t>2025-12</t>
        </is>
      </c>
      <c r="C4395" t="inlineStr">
        <is>
          <t>Sin cliente</t>
        </is>
      </c>
      <c r="D4395" t="inlineStr">
        <is>
          <t>PLATAFORMAS RAP-PEYA-UBER-GOOD</t>
        </is>
      </c>
      <c r="E4395" s="34" t="n">
        <v>25080</v>
      </c>
      <c r="F4395" t="inlineStr">
        <is>
          <t>B</t>
        </is>
      </c>
      <c r="G4395" s="34" t="n">
        <v>4004</v>
      </c>
      <c r="H4395" s="34" t="n">
        <v>21076</v>
      </c>
      <c r="I4395" t="inlineStr">
        <is>
          <t>3.6</t>
        </is>
      </c>
      <c r="J4395" t="inlineStr">
        <is>
          <t>Ventas Delivery Apps</t>
        </is>
      </c>
      <c r="K4395" t="inlineStr">
        <is>
          <t>CH3</t>
        </is>
      </c>
    </row>
    <row r="4396">
      <c r="A4396" s="33" t="n">
        <v>46014</v>
      </c>
      <c r="B4396" t="inlineStr">
        <is>
          <t>2025-12</t>
        </is>
      </c>
      <c r="C4396" t="inlineStr">
        <is>
          <t>Sociedad Sendero 21 en Expansion SpA</t>
        </is>
      </c>
      <c r="D4396" t="inlineStr">
        <is>
          <t>Petit Crunchy</t>
        </is>
      </c>
      <c r="E4396" s="34" t="n">
        <v>46500</v>
      </c>
      <c r="F4396" t="inlineStr">
        <is>
          <t>F</t>
        </is>
      </c>
      <c r="G4396" s="34" t="n">
        <v>7424</v>
      </c>
      <c r="H4396" s="34" t="n">
        <v>39076</v>
      </c>
      <c r="I4396" t="inlineStr">
        <is>
          <t>3.1</t>
        </is>
      </c>
      <c r="J4396" t="inlineStr">
        <is>
          <t>Ventas HoReCa</t>
        </is>
      </c>
      <c r="K4396" t="inlineStr">
        <is>
          <t>CH1</t>
        </is>
      </c>
    </row>
    <row r="4397">
      <c r="A4397" s="33" t="n">
        <v>46014</v>
      </c>
      <c r="B4397" t="inlineStr">
        <is>
          <t>2025-12</t>
        </is>
      </c>
      <c r="C4397" t="inlineStr">
        <is>
          <t>Sin cliente</t>
        </is>
      </c>
      <c r="D4397" t="inlineStr">
        <is>
          <t>CANELÉ TRADICIONAL</t>
        </is>
      </c>
      <c r="E4397" s="34" t="n">
        <v>29400</v>
      </c>
      <c r="F4397" t="inlineStr">
        <is>
          <t>B</t>
        </is>
      </c>
      <c r="G4397" s="34" t="n">
        <v>4694</v>
      </c>
      <c r="H4397" s="34" t="n">
        <v>24706</v>
      </c>
      <c r="I4397" t="inlineStr">
        <is>
          <t>3.2</t>
        </is>
      </c>
      <c r="J4397" t="inlineStr">
        <is>
          <t>Ventas Personas (B2C)</t>
        </is>
      </c>
      <c r="K4397" t="inlineStr">
        <is>
          <t>CH2</t>
        </is>
      </c>
    </row>
    <row r="4398">
      <c r="A4398" s="33" t="n">
        <v>46014</v>
      </c>
      <c r="B4398" t="inlineStr">
        <is>
          <t>2025-12</t>
        </is>
      </c>
      <c r="C4398" t="inlineStr">
        <is>
          <t>Rodrigo Morales</t>
        </is>
      </c>
      <c r="D4398" t="inlineStr">
        <is>
          <t>Rellenos</t>
        </is>
      </c>
      <c r="E4398" s="34" t="n">
        <v>25900</v>
      </c>
      <c r="F4398" t="inlineStr">
        <is>
          <t>B</t>
        </is>
      </c>
      <c r="G4398" s="34" t="n">
        <v>4135</v>
      </c>
      <c r="H4398" s="34" t="n">
        <v>21765</v>
      </c>
      <c r="I4398" t="inlineStr">
        <is>
          <t>3.2</t>
        </is>
      </c>
      <c r="J4398" t="inlineStr">
        <is>
          <t>Ventas Personas (B2C)</t>
        </is>
      </c>
      <c r="K4398" t="inlineStr">
        <is>
          <t>CH2</t>
        </is>
      </c>
    </row>
    <row r="4399">
      <c r="A4399" s="33" t="n">
        <v>46014</v>
      </c>
      <c r="B4399" t="inlineStr">
        <is>
          <t>2025-12</t>
        </is>
      </c>
      <c r="C4399" t="inlineStr">
        <is>
          <t>Gonzalo Poblete aravena</t>
        </is>
      </c>
      <c r="D4399" t="inlineStr">
        <is>
          <t>Rellenos</t>
        </is>
      </c>
      <c r="E4399" s="34" t="n">
        <v>31390</v>
      </c>
      <c r="F4399" t="inlineStr">
        <is>
          <t>B</t>
        </is>
      </c>
      <c r="G4399" s="34" t="n">
        <v>5012</v>
      </c>
      <c r="H4399" s="34" t="n">
        <v>26378</v>
      </c>
      <c r="I4399" t="inlineStr">
        <is>
          <t>3.2</t>
        </is>
      </c>
      <c r="J4399" t="inlineStr">
        <is>
          <t>Ventas Personas (B2C)</t>
        </is>
      </c>
      <c r="K4399" t="inlineStr">
        <is>
          <t>CH2</t>
        </is>
      </c>
    </row>
    <row r="4400">
      <c r="A4400" s="33" t="n">
        <v>46014</v>
      </c>
      <c r="B4400" t="inlineStr">
        <is>
          <t>2025-12</t>
        </is>
      </c>
      <c r="C4400" t="inlineStr">
        <is>
          <t>VMAS SPA</t>
        </is>
      </c>
      <c r="D4400" t="inlineStr">
        <is>
          <t>CANELÉ TRADICIONAL</t>
        </is>
      </c>
      <c r="E4400" s="34" t="n">
        <v>101759</v>
      </c>
      <c r="F4400" t="inlineStr">
        <is>
          <t>F</t>
        </is>
      </c>
      <c r="G4400" s="34" t="n">
        <v>16247</v>
      </c>
      <c r="H4400" s="34" t="n">
        <v>85512</v>
      </c>
      <c r="I4400" t="inlineStr">
        <is>
          <t>3.6</t>
        </is>
      </c>
      <c r="J4400" t="inlineStr">
        <is>
          <t>Ventas Delivery Apps</t>
        </is>
      </c>
      <c r="K4400" t="inlineStr">
        <is>
          <t>CH3</t>
        </is>
      </c>
    </row>
    <row r="4401">
      <c r="A4401" s="33" t="n">
        <v>46014</v>
      </c>
      <c r="B4401" t="inlineStr">
        <is>
          <t>2025-12</t>
        </is>
      </c>
      <c r="C4401" t="inlineStr">
        <is>
          <t>Josefina Bravo Iñiguez</t>
        </is>
      </c>
      <c r="D4401" t="inlineStr">
        <is>
          <t>Edición Navidad</t>
        </is>
      </c>
      <c r="E4401" s="34" t="n">
        <v>30290</v>
      </c>
      <c r="F4401" t="inlineStr">
        <is>
          <t>B</t>
        </is>
      </c>
      <c r="G4401" s="34" t="n">
        <v>4836</v>
      </c>
      <c r="H4401" s="34" t="n">
        <v>25454</v>
      </c>
      <c r="I4401" t="inlineStr">
        <is>
          <t>3.2</t>
        </is>
      </c>
      <c r="J4401" t="inlineStr">
        <is>
          <t>Ventas Personas (B2C)</t>
        </is>
      </c>
      <c r="K4401" t="inlineStr">
        <is>
          <t>CH2</t>
        </is>
      </c>
    </row>
    <row r="4402">
      <c r="A4402" s="33" t="n">
        <v>46014</v>
      </c>
      <c r="B4402" t="inlineStr">
        <is>
          <t>2025-12</t>
        </is>
      </c>
      <c r="C4402" t="inlineStr">
        <is>
          <t>Fernanda González Rosén</t>
        </is>
      </c>
      <c r="D4402" t="inlineStr">
        <is>
          <t>Rellenos</t>
        </is>
      </c>
      <c r="E4402" s="34" t="n">
        <v>25900</v>
      </c>
      <c r="F4402" t="inlineStr">
        <is>
          <t>B</t>
        </is>
      </c>
      <c r="G4402" s="34" t="n">
        <v>4135</v>
      </c>
      <c r="H4402" s="34" t="n">
        <v>21765</v>
      </c>
      <c r="I4402" t="inlineStr">
        <is>
          <t>3.2</t>
        </is>
      </c>
      <c r="J4402" t="inlineStr">
        <is>
          <t>Ventas Personas (B2C)</t>
        </is>
      </c>
      <c r="K4402" t="inlineStr">
        <is>
          <t>CH2</t>
        </is>
      </c>
    </row>
    <row r="4403">
      <c r="A4403" s="33" t="n">
        <v>46014</v>
      </c>
      <c r="B4403" t="inlineStr">
        <is>
          <t>2025-12</t>
        </is>
      </c>
      <c r="C4403" t="inlineStr">
        <is>
          <t>MARIANA FLIMAN</t>
        </is>
      </c>
      <c r="D4403" t="inlineStr">
        <is>
          <t>Petit Crunchy</t>
        </is>
      </c>
      <c r="E4403" s="34" t="n">
        <v>28400</v>
      </c>
      <c r="F4403" t="inlineStr">
        <is>
          <t>B</t>
        </is>
      </c>
      <c r="G4403" s="34" t="n">
        <v>4534</v>
      </c>
      <c r="H4403" s="34" t="n">
        <v>23866</v>
      </c>
      <c r="I4403" t="inlineStr">
        <is>
          <t>3.2</t>
        </is>
      </c>
      <c r="J4403" t="inlineStr">
        <is>
          <t>Ventas Personas (B2C)</t>
        </is>
      </c>
      <c r="K4403" t="inlineStr">
        <is>
          <t>CH2</t>
        </is>
      </c>
    </row>
    <row r="4404">
      <c r="A4404" s="33" t="n">
        <v>46014</v>
      </c>
      <c r="B4404" t="inlineStr">
        <is>
          <t>2025-12</t>
        </is>
      </c>
      <c r="C4404" t="inlineStr">
        <is>
          <t>Francisca Flores</t>
        </is>
      </c>
      <c r="D4404" t="inlineStr">
        <is>
          <t>Petit Crunchy</t>
        </is>
      </c>
      <c r="E4404" s="34" t="n">
        <v>35900</v>
      </c>
      <c r="F4404" t="inlineStr">
        <is>
          <t>B</t>
        </is>
      </c>
      <c r="G4404" s="34" t="n">
        <v>5732</v>
      </c>
      <c r="H4404" s="34" t="n">
        <v>30168</v>
      </c>
      <c r="I4404" t="inlineStr">
        <is>
          <t>3.2</t>
        </is>
      </c>
      <c r="J4404" t="inlineStr">
        <is>
          <t>Ventas Personas (B2C)</t>
        </is>
      </c>
      <c r="K4404" t="inlineStr">
        <is>
          <t>CH2</t>
        </is>
      </c>
    </row>
    <row r="4405">
      <c r="A4405" s="33" t="n">
        <v>46014</v>
      </c>
      <c r="B4405" t="inlineStr">
        <is>
          <t>2025-12</t>
        </is>
      </c>
      <c r="C4405" t="inlineStr">
        <is>
          <t>JOSE IGNACIO ARAVENA</t>
        </is>
      </c>
      <c r="D4405" t="inlineStr">
        <is>
          <t>Rellenos</t>
        </is>
      </c>
      <c r="E4405" s="34" t="n">
        <v>22900</v>
      </c>
      <c r="F4405" t="inlineStr">
        <is>
          <t>B</t>
        </is>
      </c>
      <c r="G4405" s="34" t="n">
        <v>3656</v>
      </c>
      <c r="H4405" s="34" t="n">
        <v>19244</v>
      </c>
      <c r="I4405" t="inlineStr">
        <is>
          <t>3.2</t>
        </is>
      </c>
      <c r="J4405" t="inlineStr">
        <is>
          <t>Ventas Personas (B2C)</t>
        </is>
      </c>
      <c r="K4405" t="inlineStr">
        <is>
          <t>CH2</t>
        </is>
      </c>
    </row>
    <row r="4406">
      <c r="A4406" s="33" t="n">
        <v>46014</v>
      </c>
      <c r="B4406" t="inlineStr">
        <is>
          <t>2025-12</t>
        </is>
      </c>
      <c r="C4406" t="inlineStr">
        <is>
          <t>Francia Castillo Catalán</t>
        </is>
      </c>
      <c r="D4406" t="inlineStr">
        <is>
          <t>Petit Tradicional</t>
        </is>
      </c>
      <c r="E4406" s="34" t="n">
        <v>31800</v>
      </c>
      <c r="F4406" t="inlineStr">
        <is>
          <t>B</t>
        </is>
      </c>
      <c r="G4406" s="34" t="n">
        <v>5077</v>
      </c>
      <c r="H4406" s="34" t="n">
        <v>26723</v>
      </c>
      <c r="I4406" t="inlineStr">
        <is>
          <t>3.2</t>
        </is>
      </c>
      <c r="J4406" t="inlineStr">
        <is>
          <t>Ventas Personas (B2C)</t>
        </is>
      </c>
      <c r="K4406" t="inlineStr">
        <is>
          <t>CH2</t>
        </is>
      </c>
    </row>
    <row r="4407">
      <c r="A4407" s="33" t="n">
        <v>46014</v>
      </c>
      <c r="B4407" t="inlineStr">
        <is>
          <t>2025-12</t>
        </is>
      </c>
      <c r="C4407" t="inlineStr">
        <is>
          <t>Carole Mazurek</t>
        </is>
      </c>
      <c r="D4407" t="inlineStr">
        <is>
          <t>Rellenos</t>
        </is>
      </c>
      <c r="E4407" s="34" t="n">
        <v>61090</v>
      </c>
      <c r="F4407" t="inlineStr">
        <is>
          <t>B</t>
        </is>
      </c>
      <c r="G4407" s="34" t="n">
        <v>9754</v>
      </c>
      <c r="H4407" s="34" t="n">
        <v>51336</v>
      </c>
      <c r="I4407" t="inlineStr">
        <is>
          <t>3.2</t>
        </is>
      </c>
      <c r="J4407" t="inlineStr">
        <is>
          <t>Ventas Personas (B2C)</t>
        </is>
      </c>
      <c r="K4407" t="inlineStr">
        <is>
          <t>CH2</t>
        </is>
      </c>
    </row>
    <row r="4408">
      <c r="A4408" s="33" t="n">
        <v>46014</v>
      </c>
      <c r="B4408" t="inlineStr">
        <is>
          <t>2025-12</t>
        </is>
      </c>
      <c r="C4408" t="inlineStr">
        <is>
          <t>Consuelo Fuenzalida</t>
        </is>
      </c>
      <c r="D4408" t="inlineStr">
        <is>
          <t>Petit Crunchy</t>
        </is>
      </c>
      <c r="E4408" s="34" t="n">
        <v>35800</v>
      </c>
      <c r="F4408" t="inlineStr">
        <is>
          <t>B</t>
        </is>
      </c>
      <c r="G4408" s="34" t="n">
        <v>5716</v>
      </c>
      <c r="H4408" s="34" t="n">
        <v>30084</v>
      </c>
      <c r="I4408" t="inlineStr">
        <is>
          <t>3.2</t>
        </is>
      </c>
      <c r="J4408" t="inlineStr">
        <is>
          <t>Ventas Personas (B2C)</t>
        </is>
      </c>
      <c r="K4408" t="inlineStr">
        <is>
          <t>CH2</t>
        </is>
      </c>
    </row>
    <row r="4409">
      <c r="A4409" s="33" t="n">
        <v>46015</v>
      </c>
      <c r="B4409" t="inlineStr">
        <is>
          <t>2025-12</t>
        </is>
      </c>
      <c r="C4409" t="inlineStr">
        <is>
          <t>Agustin Ramos</t>
        </is>
      </c>
      <c r="D4409" t="inlineStr">
        <is>
          <t>Petit Crunchy</t>
        </is>
      </c>
      <c r="E4409" s="34" t="n">
        <v>10900</v>
      </c>
      <c r="F4409" t="inlineStr">
        <is>
          <t>B</t>
        </is>
      </c>
      <c r="G4409" s="34" t="n">
        <v>1740</v>
      </c>
      <c r="H4409" s="34" t="n">
        <v>9160</v>
      </c>
      <c r="I4409" t="inlineStr">
        <is>
          <t>3.2</t>
        </is>
      </c>
      <c r="J4409" t="inlineStr">
        <is>
          <t>Ventas Personas (B2C)</t>
        </is>
      </c>
      <c r="K4409" t="inlineStr">
        <is>
          <t>CH2</t>
        </is>
      </c>
    </row>
    <row r="4410">
      <c r="A4410" s="33" t="n">
        <v>46015</v>
      </c>
      <c r="B4410" t="inlineStr">
        <is>
          <t>2025-12</t>
        </is>
      </c>
      <c r="C4410" t="inlineStr">
        <is>
          <t>Ignacio Cardenas Lillo</t>
        </is>
      </c>
      <c r="D4410" t="inlineStr">
        <is>
          <t>Rellenos</t>
        </is>
      </c>
      <c r="E4410" s="34" t="n">
        <v>32900</v>
      </c>
      <c r="F4410" t="inlineStr">
        <is>
          <t>B</t>
        </is>
      </c>
      <c r="G4410" s="34" t="n">
        <v>5253</v>
      </c>
      <c r="H4410" s="34" t="n">
        <v>27647</v>
      </c>
      <c r="I4410" t="inlineStr">
        <is>
          <t>3.2</t>
        </is>
      </c>
      <c r="J4410" t="inlineStr">
        <is>
          <t>Ventas Personas (B2C)</t>
        </is>
      </c>
      <c r="K4410" t="inlineStr">
        <is>
          <t>CH2</t>
        </is>
      </c>
    </row>
    <row r="4411">
      <c r="A4411" s="33" t="n">
        <v>46015</v>
      </c>
      <c r="B4411" t="inlineStr">
        <is>
          <t>2025-12</t>
        </is>
      </c>
      <c r="C4411" t="inlineStr">
        <is>
          <t>Jorge Leiva</t>
        </is>
      </c>
      <c r="D4411" t="inlineStr">
        <is>
          <t>Petit Tradicional</t>
        </is>
      </c>
      <c r="E4411" s="34" t="n">
        <v>19290</v>
      </c>
      <c r="F4411" t="inlineStr">
        <is>
          <t>B</t>
        </is>
      </c>
      <c r="G4411" s="34" t="n">
        <v>3080</v>
      </c>
      <c r="H4411" s="34" t="n">
        <v>16210</v>
      </c>
      <c r="I4411" t="inlineStr">
        <is>
          <t>3.2</t>
        </is>
      </c>
      <c r="J4411" t="inlineStr">
        <is>
          <t>Ventas Personas (B2C)</t>
        </is>
      </c>
      <c r="K4411" t="inlineStr">
        <is>
          <t>CH2</t>
        </is>
      </c>
    </row>
    <row r="4412">
      <c r="A4412" s="33" t="n">
        <v>46015</v>
      </c>
      <c r="B4412" t="inlineStr">
        <is>
          <t>2025-12</t>
        </is>
      </c>
      <c r="C4412" t="inlineStr">
        <is>
          <t>Flavia Simonetti</t>
        </is>
      </c>
      <c r="D4412" t="inlineStr">
        <is>
          <t>Petit Crunchy</t>
        </is>
      </c>
      <c r="E4412" s="34" t="n">
        <v>18390</v>
      </c>
      <c r="F4412" t="inlineStr">
        <is>
          <t>B</t>
        </is>
      </c>
      <c r="G4412" s="34" t="n">
        <v>2936</v>
      </c>
      <c r="H4412" s="34" t="n">
        <v>15454</v>
      </c>
      <c r="I4412" t="inlineStr">
        <is>
          <t>3.2</t>
        </is>
      </c>
      <c r="J4412" t="inlineStr">
        <is>
          <t>Ventas Personas (B2C)</t>
        </is>
      </c>
      <c r="K4412" t="inlineStr">
        <is>
          <t>CH2</t>
        </is>
      </c>
    </row>
    <row r="4413">
      <c r="A4413" s="33" t="n">
        <v>46015</v>
      </c>
      <c r="B4413" t="inlineStr">
        <is>
          <t>2025-12</t>
        </is>
      </c>
      <c r="C4413" t="inlineStr">
        <is>
          <t>Reynaldo musso</t>
        </is>
      </c>
      <c r="D4413" t="inlineStr">
        <is>
          <t>Rellenos</t>
        </is>
      </c>
      <c r="E4413" s="34" t="n">
        <v>36720</v>
      </c>
      <c r="F4413" t="inlineStr">
        <is>
          <t>B</t>
        </is>
      </c>
      <c r="G4413" s="34" t="n">
        <v>5863</v>
      </c>
      <c r="H4413" s="34" t="n">
        <v>30857</v>
      </c>
      <c r="I4413" t="inlineStr">
        <is>
          <t>3.2</t>
        </is>
      </c>
      <c r="J4413" t="inlineStr">
        <is>
          <t>Ventas Personas (B2C)</t>
        </is>
      </c>
      <c r="K4413" t="inlineStr">
        <is>
          <t>CH2</t>
        </is>
      </c>
    </row>
    <row r="4414">
      <c r="A4414" s="33" t="n">
        <v>46015</v>
      </c>
      <c r="B4414" t="inlineStr">
        <is>
          <t>2025-12</t>
        </is>
      </c>
      <c r="C4414" t="inlineStr">
        <is>
          <t>Margarita Vera González</t>
        </is>
      </c>
      <c r="D4414" t="inlineStr">
        <is>
          <t>Rellenos</t>
        </is>
      </c>
      <c r="E4414" s="34" t="n">
        <v>26800</v>
      </c>
      <c r="F4414" t="inlineStr">
        <is>
          <t>B</t>
        </is>
      </c>
      <c r="G4414" s="34" t="n">
        <v>4279</v>
      </c>
      <c r="H4414" s="34" t="n">
        <v>22521</v>
      </c>
      <c r="I4414" t="inlineStr">
        <is>
          <t>3.2</t>
        </is>
      </c>
      <c r="J4414" t="inlineStr">
        <is>
          <t>Ventas Personas (B2C)</t>
        </is>
      </c>
      <c r="K4414" t="inlineStr">
        <is>
          <t>CH2</t>
        </is>
      </c>
    </row>
    <row r="4415">
      <c r="A4415" s="33" t="n">
        <v>46015</v>
      </c>
      <c r="B4415" t="inlineStr">
        <is>
          <t>2025-12</t>
        </is>
      </c>
      <c r="C4415" t="inlineStr">
        <is>
          <t>Catalina Dulanto Torres</t>
        </is>
      </c>
      <c r="D4415" t="inlineStr">
        <is>
          <t>Petit Tradicional</t>
        </is>
      </c>
      <c r="E4415" s="34" t="n">
        <v>36290</v>
      </c>
      <c r="F4415" t="inlineStr">
        <is>
          <t>B</t>
        </is>
      </c>
      <c r="G4415" s="34" t="n">
        <v>5794</v>
      </c>
      <c r="H4415" s="34" t="n">
        <v>30496</v>
      </c>
      <c r="I4415" t="inlineStr">
        <is>
          <t>3.2</t>
        </is>
      </c>
      <c r="J4415" t="inlineStr">
        <is>
          <t>Ventas Personas (B2C)</t>
        </is>
      </c>
      <c r="K4415" t="inlineStr">
        <is>
          <t>CH2</t>
        </is>
      </c>
    </row>
    <row r="4416">
      <c r="A4416" s="33" t="n">
        <v>46015</v>
      </c>
      <c r="B4416" t="inlineStr">
        <is>
          <t>2025-12</t>
        </is>
      </c>
      <c r="C4416" t="inlineStr">
        <is>
          <t>Lissette Flores</t>
        </is>
      </c>
      <c r="D4416" t="inlineStr">
        <is>
          <t>SALSAS</t>
        </is>
      </c>
      <c r="E4416" s="34" t="n">
        <v>56350</v>
      </c>
      <c r="F4416" t="inlineStr">
        <is>
          <t>B</t>
        </is>
      </c>
      <c r="G4416" s="34" t="n">
        <v>8997</v>
      </c>
      <c r="H4416" s="34" t="n">
        <v>47353</v>
      </c>
      <c r="I4416" t="inlineStr">
        <is>
          <t>3.2</t>
        </is>
      </c>
      <c r="J4416" t="inlineStr">
        <is>
          <t>Ventas Personas (B2C)</t>
        </is>
      </c>
      <c r="K4416" t="inlineStr">
        <is>
          <t>CH2</t>
        </is>
      </c>
    </row>
    <row r="4417">
      <c r="A4417" s="33" t="n">
        <v>46015</v>
      </c>
      <c r="B4417" t="inlineStr">
        <is>
          <t>2025-12</t>
        </is>
      </c>
      <c r="C4417" t="inlineStr">
        <is>
          <t>Sin cliente</t>
        </is>
      </c>
      <c r="D4417" t="inlineStr">
        <is>
          <t>Rellenos</t>
        </is>
      </c>
      <c r="E4417" s="34" t="n">
        <v>25500</v>
      </c>
      <c r="F4417" t="inlineStr">
        <is>
          <t>B</t>
        </is>
      </c>
      <c r="G4417" s="34" t="n">
        <v>4071</v>
      </c>
      <c r="H4417" s="34" t="n">
        <v>21429</v>
      </c>
      <c r="I4417" t="inlineStr">
        <is>
          <t>3.2</t>
        </is>
      </c>
      <c r="J4417" t="inlineStr">
        <is>
          <t>Ventas Personas (B2C)</t>
        </is>
      </c>
      <c r="K4417" t="inlineStr">
        <is>
          <t>CH2</t>
        </is>
      </c>
    </row>
    <row r="4418">
      <c r="A4418" s="33" t="n">
        <v>46015</v>
      </c>
      <c r="B4418" t="inlineStr">
        <is>
          <t>2025-12</t>
        </is>
      </c>
      <c r="C4418" t="inlineStr">
        <is>
          <t>Sin cliente</t>
        </is>
      </c>
      <c r="D4418" t="inlineStr">
        <is>
          <t>Rellenos</t>
        </is>
      </c>
      <c r="E4418" s="34" t="n">
        <v>60300</v>
      </c>
      <c r="F4418" t="inlineStr">
        <is>
          <t>B</t>
        </is>
      </c>
      <c r="G4418" s="34" t="n">
        <v>9628</v>
      </c>
      <c r="H4418" s="34" t="n">
        <v>50672</v>
      </c>
      <c r="I4418" t="inlineStr">
        <is>
          <t>3.2</t>
        </is>
      </c>
      <c r="J4418" t="inlineStr">
        <is>
          <t>Ventas Personas (B2C)</t>
        </is>
      </c>
      <c r="K4418" t="inlineStr">
        <is>
          <t>CH2</t>
        </is>
      </c>
    </row>
    <row r="4419">
      <c r="A4419" s="33" t="n">
        <v>46015</v>
      </c>
      <c r="B4419" t="inlineStr">
        <is>
          <t>2025-12</t>
        </is>
      </c>
      <c r="C4419" t="inlineStr">
        <is>
          <t>MIRIAM PINEDA</t>
        </is>
      </c>
      <c r="D4419" t="inlineStr">
        <is>
          <t>Mix Sabores</t>
        </is>
      </c>
      <c r="E4419" s="34" t="n">
        <v>21390</v>
      </c>
      <c r="F4419" t="inlineStr">
        <is>
          <t>B</t>
        </is>
      </c>
      <c r="G4419" s="34" t="n">
        <v>3415</v>
      </c>
      <c r="H4419" s="34" t="n">
        <v>17975</v>
      </c>
      <c r="I4419" t="inlineStr">
        <is>
          <t>3.2</t>
        </is>
      </c>
      <c r="J4419" t="inlineStr">
        <is>
          <t>Ventas Personas (B2C)</t>
        </is>
      </c>
      <c r="K4419" t="inlineStr">
        <is>
          <t>CH2</t>
        </is>
      </c>
    </row>
    <row r="4420">
      <c r="A4420" s="33" t="n">
        <v>46015</v>
      </c>
      <c r="B4420" t="inlineStr">
        <is>
          <t>2025-12</t>
        </is>
      </c>
      <c r="C4420" t="inlineStr">
        <is>
          <t>Rocio Marchant Bravo</t>
        </is>
      </c>
      <c r="D4420" t="inlineStr">
        <is>
          <t>Petit Crunchy</t>
        </is>
      </c>
      <c r="E4420" s="34" t="n">
        <v>10900</v>
      </c>
      <c r="F4420" t="inlineStr">
        <is>
          <t>B</t>
        </is>
      </c>
      <c r="G4420" s="34" t="n">
        <v>1740</v>
      </c>
      <c r="H4420" s="34" t="n">
        <v>9160</v>
      </c>
      <c r="I4420" t="inlineStr">
        <is>
          <t>3.2</t>
        </is>
      </c>
      <c r="J4420" t="inlineStr">
        <is>
          <t>Ventas Personas (B2C)</t>
        </is>
      </c>
      <c r="K4420" t="inlineStr">
        <is>
          <t>CH2</t>
        </is>
      </c>
    </row>
    <row r="4421">
      <c r="A4421" s="33" t="n">
        <v>46015</v>
      </c>
      <c r="B4421" t="inlineStr">
        <is>
          <t>2025-12</t>
        </is>
      </c>
      <c r="C4421" t="inlineStr">
        <is>
          <t>Patricia Cuevas ibarra</t>
        </is>
      </c>
      <c r="D4421" t="inlineStr">
        <is>
          <t>CANELÉ TRADICIONAL</t>
        </is>
      </c>
      <c r="E4421" s="34" t="n">
        <v>33890</v>
      </c>
      <c r="F4421" t="inlineStr">
        <is>
          <t>B</t>
        </is>
      </c>
      <c r="G4421" s="34" t="n">
        <v>5411</v>
      </c>
      <c r="H4421" s="34" t="n">
        <v>28479</v>
      </c>
      <c r="I4421" t="inlineStr">
        <is>
          <t>3.2</t>
        </is>
      </c>
      <c r="J4421" t="inlineStr">
        <is>
          <t>Ventas Personas (B2C)</t>
        </is>
      </c>
      <c r="K4421" t="inlineStr">
        <is>
          <t>CH2</t>
        </is>
      </c>
    </row>
    <row r="4422">
      <c r="A4422" s="33" t="n">
        <v>46015</v>
      </c>
      <c r="B4422" t="inlineStr">
        <is>
          <t>2025-12</t>
        </is>
      </c>
      <c r="C4422" t="inlineStr">
        <is>
          <t>Sin cliente</t>
        </is>
      </c>
      <c r="D4422" t="inlineStr">
        <is>
          <t>CANELÉ TRADICIONAL</t>
        </is>
      </c>
      <c r="E4422" s="34" t="n">
        <v>22900</v>
      </c>
      <c r="F4422" t="inlineStr">
        <is>
          <t>B</t>
        </is>
      </c>
      <c r="G4422" s="34" t="n">
        <v>3656</v>
      </c>
      <c r="H4422" s="34" t="n">
        <v>19244</v>
      </c>
      <c r="I4422" t="inlineStr">
        <is>
          <t>3.2</t>
        </is>
      </c>
      <c r="J4422" t="inlineStr">
        <is>
          <t>Ventas Personas (B2C)</t>
        </is>
      </c>
      <c r="K4422" t="inlineStr">
        <is>
          <t>CH2</t>
        </is>
      </c>
    </row>
    <row r="4423">
      <c r="A4423" s="33" t="n">
        <v>46015</v>
      </c>
      <c r="B4423" t="inlineStr">
        <is>
          <t>2025-12</t>
        </is>
      </c>
      <c r="C4423" t="inlineStr">
        <is>
          <t>GABRIEL CAMPOS TORRENTE</t>
        </is>
      </c>
      <c r="D4423" t="inlineStr">
        <is>
          <t>Mix Sabores</t>
        </is>
      </c>
      <c r="E4423" s="34" t="n">
        <v>21390</v>
      </c>
      <c r="F4423" t="inlineStr">
        <is>
          <t>B</t>
        </is>
      </c>
      <c r="G4423" s="34" t="n">
        <v>3415</v>
      </c>
      <c r="H4423" s="34" t="n">
        <v>17975</v>
      </c>
      <c r="I4423" t="inlineStr">
        <is>
          <t>3.2</t>
        </is>
      </c>
      <c r="J4423" t="inlineStr">
        <is>
          <t>Ventas Personas (B2C)</t>
        </is>
      </c>
      <c r="K4423" t="inlineStr">
        <is>
          <t>CH2</t>
        </is>
      </c>
    </row>
    <row r="4424">
      <c r="A4424" s="33" t="n">
        <v>46015</v>
      </c>
      <c r="B4424" t="inlineStr">
        <is>
          <t>2025-12</t>
        </is>
      </c>
      <c r="C4424" t="inlineStr">
        <is>
          <t>Pablo Ledesma</t>
        </is>
      </c>
      <c r="D4424" t="inlineStr">
        <is>
          <t>CANELÉ TRADICIONAL</t>
        </is>
      </c>
      <c r="E4424" s="34" t="n">
        <v>27390</v>
      </c>
      <c r="F4424" t="inlineStr">
        <is>
          <t>B</t>
        </is>
      </c>
      <c r="G4424" s="34" t="n">
        <v>4373</v>
      </c>
      <c r="H4424" s="34" t="n">
        <v>23017</v>
      </c>
      <c r="I4424" t="inlineStr">
        <is>
          <t>3.2</t>
        </is>
      </c>
      <c r="J4424" t="inlineStr">
        <is>
          <t>Ventas Personas (B2C)</t>
        </is>
      </c>
      <c r="K4424" t="inlineStr">
        <is>
          <t>CH2</t>
        </is>
      </c>
    </row>
    <row r="4425">
      <c r="A4425" s="33" t="n">
        <v>46015</v>
      </c>
      <c r="B4425" t="inlineStr">
        <is>
          <t>2025-12</t>
        </is>
      </c>
      <c r="C4425" t="inlineStr">
        <is>
          <t>Sin cliente</t>
        </is>
      </c>
      <c r="D4425" t="inlineStr">
        <is>
          <t>CANELÉ TRADICIONAL</t>
        </is>
      </c>
      <c r="E4425" s="34" t="n">
        <v>29400</v>
      </c>
      <c r="F4425" t="inlineStr">
        <is>
          <t>B</t>
        </is>
      </c>
      <c r="G4425" s="34" t="n">
        <v>4694</v>
      </c>
      <c r="H4425" s="34" t="n">
        <v>24706</v>
      </c>
      <c r="I4425" t="inlineStr">
        <is>
          <t>3.2</t>
        </is>
      </c>
      <c r="J4425" t="inlineStr">
        <is>
          <t>Ventas Personas (B2C)</t>
        </is>
      </c>
      <c r="K4425" t="inlineStr">
        <is>
          <t>CH2</t>
        </is>
      </c>
    </row>
    <row r="4426">
      <c r="A4426" s="33" t="n">
        <v>46015</v>
      </c>
      <c r="B4426" t="inlineStr">
        <is>
          <t>2025-12</t>
        </is>
      </c>
      <c r="C4426" t="inlineStr">
        <is>
          <t>Sin cliente</t>
        </is>
      </c>
      <c r="D4426" t="inlineStr">
        <is>
          <t>PACKAGING</t>
        </is>
      </c>
      <c r="E4426" s="34" t="n">
        <v>1500</v>
      </c>
      <c r="F4426" t="inlineStr">
        <is>
          <t>B</t>
        </is>
      </c>
      <c r="G4426" s="34" t="n">
        <v>239</v>
      </c>
      <c r="H4426" s="34" t="n">
        <v>1261</v>
      </c>
      <c r="I4426" t="inlineStr">
        <is>
          <t>3.2</t>
        </is>
      </c>
      <c r="J4426" t="inlineStr">
        <is>
          <t>Ventas Personas (B2C)</t>
        </is>
      </c>
      <c r="K4426" t="inlineStr">
        <is>
          <t>CH2</t>
        </is>
      </c>
    </row>
    <row r="4427">
      <c r="A4427" s="33" t="n">
        <v>46015</v>
      </c>
      <c r="B4427" t="inlineStr">
        <is>
          <t>2025-12</t>
        </is>
      </c>
      <c r="C4427" t="inlineStr">
        <is>
          <t>Sin cliente</t>
        </is>
      </c>
      <c r="D4427" t="inlineStr">
        <is>
          <t>CANELÉ TRADICIONAL</t>
        </is>
      </c>
      <c r="E4427" s="34" t="n">
        <v>15900</v>
      </c>
      <c r="F4427" t="inlineStr">
        <is>
          <t>B</t>
        </is>
      </c>
      <c r="G4427" s="34" t="n">
        <v>2539</v>
      </c>
      <c r="H4427" s="34" t="n">
        <v>13361</v>
      </c>
      <c r="I4427" t="inlineStr">
        <is>
          <t>3.2</t>
        </is>
      </c>
      <c r="J4427" t="inlineStr">
        <is>
          <t>Ventas Personas (B2C)</t>
        </is>
      </c>
      <c r="K4427" t="inlineStr">
        <is>
          <t>CH2</t>
        </is>
      </c>
    </row>
    <row r="4428">
      <c r="A4428" s="33" t="n">
        <v>46015</v>
      </c>
      <c r="B4428" t="inlineStr">
        <is>
          <t>2025-12</t>
        </is>
      </c>
      <c r="C4428" t="inlineStr">
        <is>
          <t>Sin cliente</t>
        </is>
      </c>
      <c r="D4428" t="inlineStr">
        <is>
          <t>PLATAFORMAS RAP-PEYA-UBER-GOOD</t>
        </is>
      </c>
      <c r="E4428" s="34" t="n">
        <v>11760</v>
      </c>
      <c r="F4428" t="inlineStr">
        <is>
          <t>B</t>
        </is>
      </c>
      <c r="G4428" s="34" t="n">
        <v>1878</v>
      </c>
      <c r="H4428" s="34" t="n">
        <v>9882</v>
      </c>
      <c r="I4428" t="inlineStr">
        <is>
          <t>3.6</t>
        </is>
      </c>
      <c r="J4428" t="inlineStr">
        <is>
          <t>Ventas Delivery Apps</t>
        </is>
      </c>
      <c r="K4428" t="inlineStr">
        <is>
          <t>CH3</t>
        </is>
      </c>
    </row>
    <row r="4429">
      <c r="A4429" s="33" t="n">
        <v>46015</v>
      </c>
      <c r="B4429" t="inlineStr">
        <is>
          <t>2025-12</t>
        </is>
      </c>
      <c r="C4429" t="inlineStr">
        <is>
          <t>Sin cliente</t>
        </is>
      </c>
      <c r="D4429" t="inlineStr">
        <is>
          <t>PLATAFORMAS RAP-PEYA-UBER-GOOD</t>
        </is>
      </c>
      <c r="E4429" s="34" t="n">
        <v>32268</v>
      </c>
      <c r="F4429" t="inlineStr">
        <is>
          <t>B</t>
        </is>
      </c>
      <c r="G4429" s="34" t="n">
        <v>5152</v>
      </c>
      <c r="H4429" s="34" t="n">
        <v>27116</v>
      </c>
      <c r="I4429" t="inlineStr">
        <is>
          <t>3.6</t>
        </is>
      </c>
      <c r="J4429" t="inlineStr">
        <is>
          <t>Ventas Delivery Apps</t>
        </is>
      </c>
      <c r="K4429" t="inlineStr">
        <is>
          <t>CH3</t>
        </is>
      </c>
    </row>
    <row r="4430">
      <c r="A4430" s="33" t="n">
        <v>46015</v>
      </c>
      <c r="B4430" t="inlineStr">
        <is>
          <t>2025-12</t>
        </is>
      </c>
      <c r="C4430" t="inlineStr">
        <is>
          <t xml:space="preserve">Carolina Guerrero </t>
        </is>
      </c>
      <c r="D4430" t="inlineStr">
        <is>
          <t>Mix Sabores</t>
        </is>
      </c>
      <c r="E4430" s="34" t="n">
        <v>22800</v>
      </c>
      <c r="F4430" t="inlineStr">
        <is>
          <t>B</t>
        </is>
      </c>
      <c r="G4430" s="34" t="n">
        <v>3640</v>
      </c>
      <c r="H4430" s="34" t="n">
        <v>19160</v>
      </c>
      <c r="I4430" t="inlineStr">
        <is>
          <t>3.2</t>
        </is>
      </c>
      <c r="J4430" t="inlineStr">
        <is>
          <t>Ventas Personas (B2C)</t>
        </is>
      </c>
      <c r="K4430" t="inlineStr">
        <is>
          <t>CH2</t>
        </is>
      </c>
    </row>
    <row r="4431">
      <c r="A4431" s="33" t="n">
        <v>46015</v>
      </c>
      <c r="B4431" t="inlineStr">
        <is>
          <t>2025-12</t>
        </is>
      </c>
      <c r="C4431" t="inlineStr">
        <is>
          <t>Sin cliente</t>
        </is>
      </c>
      <c r="D4431" t="inlineStr">
        <is>
          <t>Rellenos</t>
        </is>
      </c>
      <c r="E4431" s="34" t="n">
        <v>8990</v>
      </c>
      <c r="F4431" t="inlineStr">
        <is>
          <t>B</t>
        </is>
      </c>
      <c r="G4431" s="34" t="n">
        <v>1435</v>
      </c>
      <c r="H4431" s="34" t="n">
        <v>7555</v>
      </c>
      <c r="I4431" t="inlineStr">
        <is>
          <t>3.2</t>
        </is>
      </c>
      <c r="J4431" t="inlineStr">
        <is>
          <t>Ventas Personas (B2C)</t>
        </is>
      </c>
      <c r="K4431" t="inlineStr">
        <is>
          <t>CH2</t>
        </is>
      </c>
    </row>
    <row r="4432">
      <c r="A4432" s="33" t="n">
        <v>46015</v>
      </c>
      <c r="B4432" t="inlineStr">
        <is>
          <t>2025-12</t>
        </is>
      </c>
      <c r="C4432" t="inlineStr">
        <is>
          <t>Sin cliente</t>
        </is>
      </c>
      <c r="D4432" t="inlineStr">
        <is>
          <t>PACKAGING</t>
        </is>
      </c>
      <c r="E4432" s="34" t="n">
        <v>49300</v>
      </c>
      <c r="F4432" t="inlineStr">
        <is>
          <t>B</t>
        </is>
      </c>
      <c r="G4432" s="34" t="n">
        <v>7871</v>
      </c>
      <c r="H4432" s="34" t="n">
        <v>41429</v>
      </c>
      <c r="I4432" t="inlineStr">
        <is>
          <t>3.2</t>
        </is>
      </c>
      <c r="J4432" t="inlineStr">
        <is>
          <t>Ventas Personas (B2C)</t>
        </is>
      </c>
      <c r="K4432" t="inlineStr">
        <is>
          <t>CH2</t>
        </is>
      </c>
    </row>
    <row r="4433">
      <c r="A4433" s="33" t="n">
        <v>46015</v>
      </c>
      <c r="B4433" t="inlineStr">
        <is>
          <t>2025-12</t>
        </is>
      </c>
      <c r="C4433" t="inlineStr">
        <is>
          <t>Sin cliente</t>
        </is>
      </c>
      <c r="D4433" t="inlineStr">
        <is>
          <t>PLATAFORMAS RAP-PEYA-UBER-GOOD</t>
        </is>
      </c>
      <c r="E4433" s="34" t="n">
        <v>21360</v>
      </c>
      <c r="F4433" t="inlineStr">
        <is>
          <t>B</t>
        </is>
      </c>
      <c r="G4433" s="34" t="n">
        <v>3410</v>
      </c>
      <c r="H4433" s="34" t="n">
        <v>17950</v>
      </c>
      <c r="I4433" t="inlineStr">
        <is>
          <t>3.6</t>
        </is>
      </c>
      <c r="J4433" t="inlineStr">
        <is>
          <t>Ventas Delivery Apps</t>
        </is>
      </c>
      <c r="K4433" t="inlineStr">
        <is>
          <t>CH3</t>
        </is>
      </c>
    </row>
    <row r="4434">
      <c r="A4434" s="33" t="n">
        <v>46015</v>
      </c>
      <c r="B4434" t="inlineStr">
        <is>
          <t>2025-12</t>
        </is>
      </c>
      <c r="C4434" t="inlineStr">
        <is>
          <t>Dennisse Calabrano</t>
        </is>
      </c>
      <c r="D4434" t="inlineStr">
        <is>
          <t>Petit Crunchy</t>
        </is>
      </c>
      <c r="E4434" s="34" t="n">
        <v>26190</v>
      </c>
      <c r="F4434" t="inlineStr">
        <is>
          <t>B</t>
        </is>
      </c>
      <c r="G4434" s="34" t="n">
        <v>4182</v>
      </c>
      <c r="H4434" s="34" t="n">
        <v>22008</v>
      </c>
      <c r="I4434" t="inlineStr">
        <is>
          <t>3.2</t>
        </is>
      </c>
      <c r="J4434" t="inlineStr">
        <is>
          <t>Ventas Personas (B2C)</t>
        </is>
      </c>
      <c r="K4434" t="inlineStr">
        <is>
          <t>CH2</t>
        </is>
      </c>
    </row>
    <row r="4435">
      <c r="A4435" s="33" t="n">
        <v>46015</v>
      </c>
      <c r="B4435" t="inlineStr">
        <is>
          <t>2025-12</t>
        </is>
      </c>
      <c r="C4435" t="inlineStr">
        <is>
          <t>Sin cliente</t>
        </is>
      </c>
      <c r="D4435" t="inlineStr">
        <is>
          <t>CANELÉ TRADICIONAL</t>
        </is>
      </c>
      <c r="E4435" s="34" t="n">
        <v>2500</v>
      </c>
      <c r="F4435" t="inlineStr">
        <is>
          <t>B</t>
        </is>
      </c>
      <c r="G4435" s="34" t="n">
        <v>399</v>
      </c>
      <c r="H4435" s="34" t="n">
        <v>2101</v>
      </c>
      <c r="I4435" t="inlineStr">
        <is>
          <t>3.2</t>
        </is>
      </c>
      <c r="J4435" t="inlineStr">
        <is>
          <t>Ventas Personas (B2C)</t>
        </is>
      </c>
      <c r="K4435" t="inlineStr">
        <is>
          <t>CH2</t>
        </is>
      </c>
    </row>
    <row r="4436">
      <c r="A4436" s="33" t="n">
        <v>46015</v>
      </c>
      <c r="B4436" t="inlineStr">
        <is>
          <t>2025-12</t>
        </is>
      </c>
      <c r="C4436" t="inlineStr">
        <is>
          <t>Paula Acuña</t>
        </is>
      </c>
      <c r="D4436" t="inlineStr">
        <is>
          <t>Rellenos</t>
        </is>
      </c>
      <c r="E4436" s="34" t="n">
        <v>40190</v>
      </c>
      <c r="F4436" t="inlineStr">
        <is>
          <t>B</t>
        </is>
      </c>
      <c r="G4436" s="34" t="n">
        <v>6417</v>
      </c>
      <c r="H4436" s="34" t="n">
        <v>33773</v>
      </c>
      <c r="I4436" t="inlineStr">
        <is>
          <t>3.2</t>
        </is>
      </c>
      <c r="J4436" t="inlineStr">
        <is>
          <t>Ventas Personas (B2C)</t>
        </is>
      </c>
      <c r="K4436" t="inlineStr">
        <is>
          <t>CH2</t>
        </is>
      </c>
    </row>
    <row r="4437">
      <c r="A4437" s="33" t="n">
        <v>46015</v>
      </c>
      <c r="B4437" t="inlineStr">
        <is>
          <t>2025-12</t>
        </is>
      </c>
      <c r="C4437" t="inlineStr">
        <is>
          <t>Alejandro Avendaño</t>
        </is>
      </c>
      <c r="D4437" t="inlineStr">
        <is>
          <t>Petit Crunchy</t>
        </is>
      </c>
      <c r="E4437" s="34" t="n">
        <v>35900</v>
      </c>
      <c r="F4437" t="inlineStr">
        <is>
          <t>B</t>
        </is>
      </c>
      <c r="G4437" s="34" t="n">
        <v>5732</v>
      </c>
      <c r="H4437" s="34" t="n">
        <v>30168</v>
      </c>
      <c r="I4437" t="inlineStr">
        <is>
          <t>3.2</t>
        </is>
      </c>
      <c r="J4437" t="inlineStr">
        <is>
          <t>Ventas Personas (B2C)</t>
        </is>
      </c>
      <c r="K4437" t="inlineStr">
        <is>
          <t>CH2</t>
        </is>
      </c>
    </row>
    <row r="4438">
      <c r="A4438" s="33" t="n">
        <v>46015</v>
      </c>
      <c r="B4438" t="inlineStr">
        <is>
          <t>2025-12</t>
        </is>
      </c>
      <c r="C4438" t="inlineStr">
        <is>
          <t>Sin cliente</t>
        </is>
      </c>
      <c r="D4438" t="inlineStr">
        <is>
          <t>CANELÉ TRADICIONAL</t>
        </is>
      </c>
      <c r="E4438" s="34" t="n">
        <v>27900</v>
      </c>
      <c r="F4438" t="inlineStr">
        <is>
          <t>B</t>
        </is>
      </c>
      <c r="G4438" s="34" t="n">
        <v>4455</v>
      </c>
      <c r="H4438" s="34" t="n">
        <v>23445</v>
      </c>
      <c r="I4438" t="inlineStr">
        <is>
          <t>3.2</t>
        </is>
      </c>
      <c r="J4438" t="inlineStr">
        <is>
          <t>Ventas Personas (B2C)</t>
        </is>
      </c>
      <c r="K4438" t="inlineStr">
        <is>
          <t>CH2</t>
        </is>
      </c>
    </row>
    <row r="4439">
      <c r="A4439" s="33" t="n">
        <v>46015</v>
      </c>
      <c r="B4439" t="inlineStr">
        <is>
          <t>2025-12</t>
        </is>
      </c>
      <c r="C4439" t="inlineStr">
        <is>
          <t>Sin cliente</t>
        </is>
      </c>
      <c r="D4439" t="inlineStr">
        <is>
          <t>CANELÉ TRADICIONAL</t>
        </is>
      </c>
      <c r="E4439" s="34" t="n">
        <v>22900</v>
      </c>
      <c r="F4439" t="inlineStr">
        <is>
          <t>B</t>
        </is>
      </c>
      <c r="G4439" s="34" t="n">
        <v>3656</v>
      </c>
      <c r="H4439" s="34" t="n">
        <v>19244</v>
      </c>
      <c r="I4439" t="inlineStr">
        <is>
          <t>3.2</t>
        </is>
      </c>
      <c r="J4439" t="inlineStr">
        <is>
          <t>Ventas Personas (B2C)</t>
        </is>
      </c>
      <c r="K4439" t="inlineStr">
        <is>
          <t>CH2</t>
        </is>
      </c>
    </row>
    <row r="4440">
      <c r="A4440" s="33" t="n">
        <v>46015</v>
      </c>
      <c r="B4440" t="inlineStr">
        <is>
          <t>2025-12</t>
        </is>
      </c>
      <c r="C4440" t="inlineStr">
        <is>
          <t>Sin cliente</t>
        </is>
      </c>
      <c r="D4440" t="inlineStr">
        <is>
          <t>Glosa Kombucha</t>
        </is>
      </c>
      <c r="E4440" s="34" t="n">
        <v>3000</v>
      </c>
      <c r="F4440" t="inlineStr">
        <is>
          <t>B</t>
        </is>
      </c>
      <c r="G4440" s="34" t="n">
        <v>479</v>
      </c>
      <c r="H4440" s="34" t="n">
        <v>2521</v>
      </c>
      <c r="I4440" t="inlineStr">
        <is>
          <t>3.2</t>
        </is>
      </c>
      <c r="J4440" t="inlineStr">
        <is>
          <t>Ventas Personas (B2C)</t>
        </is>
      </c>
      <c r="K4440" t="inlineStr">
        <is>
          <t>CH2</t>
        </is>
      </c>
    </row>
    <row r="4441">
      <c r="A4441" s="33" t="n">
        <v>46015</v>
      </c>
      <c r="B4441" t="inlineStr">
        <is>
          <t>2025-12</t>
        </is>
      </c>
      <c r="C4441" t="inlineStr">
        <is>
          <t>Sin cliente</t>
        </is>
      </c>
      <c r="D4441" t="inlineStr">
        <is>
          <t>Petit Tradicional</t>
        </is>
      </c>
      <c r="E4441" s="34" t="n">
        <v>41200</v>
      </c>
      <c r="F4441" t="inlineStr">
        <is>
          <t>B</t>
        </is>
      </c>
      <c r="G4441" s="34" t="n">
        <v>6578</v>
      </c>
      <c r="H4441" s="34" t="n">
        <v>34622</v>
      </c>
      <c r="I4441" t="inlineStr">
        <is>
          <t>3.2</t>
        </is>
      </c>
      <c r="J4441" t="inlineStr">
        <is>
          <t>Ventas Personas (B2C)</t>
        </is>
      </c>
      <c r="K4441" t="inlineStr">
        <is>
          <t>CH2</t>
        </is>
      </c>
    </row>
    <row r="4442">
      <c r="A4442" s="33" t="n">
        <v>46015</v>
      </c>
      <c r="B4442" t="inlineStr">
        <is>
          <t>2025-12</t>
        </is>
      </c>
      <c r="C4442" t="inlineStr">
        <is>
          <t>Sin cliente</t>
        </is>
      </c>
      <c r="D4442" t="inlineStr">
        <is>
          <t>CANELE SIN AZUCAR</t>
        </is>
      </c>
      <c r="E4442" s="34" t="n">
        <v>9900</v>
      </c>
      <c r="F4442" t="inlineStr">
        <is>
          <t>B</t>
        </is>
      </c>
      <c r="G4442" s="34" t="n">
        <v>1581</v>
      </c>
      <c r="H4442" s="34" t="n">
        <v>8319</v>
      </c>
      <c r="I4442" t="inlineStr">
        <is>
          <t>3.2</t>
        </is>
      </c>
      <c r="J4442" t="inlineStr">
        <is>
          <t>Ventas Personas (B2C)</t>
        </is>
      </c>
      <c r="K4442" t="inlineStr">
        <is>
          <t>CH2</t>
        </is>
      </c>
    </row>
    <row r="4443">
      <c r="A4443" s="33" t="n">
        <v>46015</v>
      </c>
      <c r="B4443" t="inlineStr">
        <is>
          <t>2025-12</t>
        </is>
      </c>
      <c r="C4443" t="inlineStr">
        <is>
          <t>Sin cliente</t>
        </is>
      </c>
      <c r="D4443" t="inlineStr">
        <is>
          <t>SALSAS</t>
        </is>
      </c>
      <c r="E4443" s="34" t="n">
        <v>38380</v>
      </c>
      <c r="F4443" t="inlineStr">
        <is>
          <t>B</t>
        </is>
      </c>
      <c r="G4443" s="34" t="n">
        <v>6128</v>
      </c>
      <c r="H4443" s="34" t="n">
        <v>32252</v>
      </c>
      <c r="I4443" t="inlineStr">
        <is>
          <t>3.2</t>
        </is>
      </c>
      <c r="J4443" t="inlineStr">
        <is>
          <t>Ventas Personas (B2C)</t>
        </is>
      </c>
      <c r="K4443" t="inlineStr">
        <is>
          <t>CH2</t>
        </is>
      </c>
    </row>
    <row r="4444">
      <c r="A4444" s="33" t="n">
        <v>46015</v>
      </c>
      <c r="B4444" t="inlineStr">
        <is>
          <t>2025-12</t>
        </is>
      </c>
      <c r="C4444" t="inlineStr">
        <is>
          <t>Claudia Peña Valjalo</t>
        </is>
      </c>
      <c r="D4444" t="inlineStr">
        <is>
          <t>SALSAS</t>
        </is>
      </c>
      <c r="E4444" s="34" t="n">
        <v>33280</v>
      </c>
      <c r="F4444" t="inlineStr">
        <is>
          <t>B</t>
        </is>
      </c>
      <c r="G4444" s="34" t="n">
        <v>5314</v>
      </c>
      <c r="H4444" s="34" t="n">
        <v>27966</v>
      </c>
      <c r="I4444" t="inlineStr">
        <is>
          <t>3.2</t>
        </is>
      </c>
      <c r="J4444" t="inlineStr">
        <is>
          <t>Ventas Personas (B2C)</t>
        </is>
      </c>
      <c r="K4444" t="inlineStr">
        <is>
          <t>CH2</t>
        </is>
      </c>
    </row>
    <row r="4445">
      <c r="A4445" s="33" t="n">
        <v>46015</v>
      </c>
      <c r="B4445" t="inlineStr">
        <is>
          <t>2025-12</t>
        </is>
      </c>
      <c r="C4445" t="inlineStr">
        <is>
          <t>Alvaro Soteres</t>
        </is>
      </c>
      <c r="D4445" t="inlineStr">
        <is>
          <t>Petit Crunchy</t>
        </is>
      </c>
      <c r="E4445" s="34" t="n">
        <v>33290</v>
      </c>
      <c r="F4445" t="inlineStr">
        <is>
          <t>B</t>
        </is>
      </c>
      <c r="G4445" s="34" t="n">
        <v>5315</v>
      </c>
      <c r="H4445" s="34" t="n">
        <v>27975</v>
      </c>
      <c r="I4445" t="inlineStr">
        <is>
          <t>3.2</t>
        </is>
      </c>
      <c r="J4445" t="inlineStr">
        <is>
          <t>Ventas Personas (B2C)</t>
        </is>
      </c>
      <c r="K4445" t="inlineStr">
        <is>
          <t>CH2</t>
        </is>
      </c>
    </row>
    <row r="4446">
      <c r="A4446" s="33" t="n">
        <v>46015</v>
      </c>
      <c r="B4446" t="inlineStr">
        <is>
          <t>2025-12</t>
        </is>
      </c>
      <c r="C4446" t="inlineStr">
        <is>
          <t>Sin cliente</t>
        </is>
      </c>
      <c r="D4446" t="inlineStr">
        <is>
          <t>Petit Tradicional</t>
        </is>
      </c>
      <c r="E4446" s="34" t="n">
        <v>25400</v>
      </c>
      <c r="F4446" t="inlineStr">
        <is>
          <t>B</t>
        </is>
      </c>
      <c r="G4446" s="34" t="n">
        <v>4055</v>
      </c>
      <c r="H4446" s="34" t="n">
        <v>21345</v>
      </c>
      <c r="I4446" t="inlineStr">
        <is>
          <t>3.2</t>
        </is>
      </c>
      <c r="J4446" t="inlineStr">
        <is>
          <t>Ventas Personas (B2C)</t>
        </is>
      </c>
      <c r="K4446" t="inlineStr">
        <is>
          <t>CH2</t>
        </is>
      </c>
    </row>
    <row r="4447">
      <c r="A4447" s="33" t="n">
        <v>46015</v>
      </c>
      <c r="B4447" t="inlineStr">
        <is>
          <t>2025-12</t>
        </is>
      </c>
      <c r="C4447" t="inlineStr">
        <is>
          <t>Sin cliente</t>
        </is>
      </c>
      <c r="D4447" t="inlineStr">
        <is>
          <t>PACKAGING</t>
        </is>
      </c>
      <c r="E4447" s="34" t="n">
        <v>11800</v>
      </c>
      <c r="F4447" t="inlineStr">
        <is>
          <t>B</t>
        </is>
      </c>
      <c r="G4447" s="34" t="n">
        <v>1884</v>
      </c>
      <c r="H4447" s="34" t="n">
        <v>9916</v>
      </c>
      <c r="I4447" t="inlineStr">
        <is>
          <t>3.2</t>
        </is>
      </c>
      <c r="J4447" t="inlineStr">
        <is>
          <t>Ventas Personas (B2C)</t>
        </is>
      </c>
      <c r="K4447" t="inlineStr">
        <is>
          <t>CH2</t>
        </is>
      </c>
    </row>
    <row r="4448">
      <c r="A4448" s="33" t="n">
        <v>46015</v>
      </c>
      <c r="B4448" t="inlineStr">
        <is>
          <t>2025-12</t>
        </is>
      </c>
      <c r="C4448" t="inlineStr">
        <is>
          <t>Sin cliente</t>
        </is>
      </c>
      <c r="D4448" t="inlineStr">
        <is>
          <t>Petit Crunchy</t>
        </is>
      </c>
      <c r="E4448" s="34" t="n">
        <v>28400</v>
      </c>
      <c r="F4448" t="inlineStr">
        <is>
          <t>B</t>
        </is>
      </c>
      <c r="G4448" s="34" t="n">
        <v>4534</v>
      </c>
      <c r="H4448" s="34" t="n">
        <v>23866</v>
      </c>
      <c r="I4448" t="inlineStr">
        <is>
          <t>3.2</t>
        </is>
      </c>
      <c r="J4448" t="inlineStr">
        <is>
          <t>Ventas Personas (B2C)</t>
        </is>
      </c>
      <c r="K4448" t="inlineStr">
        <is>
          <t>CH2</t>
        </is>
      </c>
    </row>
    <row r="4449">
      <c r="A4449" s="33" t="n">
        <v>46015</v>
      </c>
      <c r="B4449" t="inlineStr">
        <is>
          <t>2025-12</t>
        </is>
      </c>
      <c r="C4449" t="inlineStr">
        <is>
          <t>Sin cliente</t>
        </is>
      </c>
      <c r="D4449" t="inlineStr">
        <is>
          <t>SALSAS</t>
        </is>
      </c>
      <c r="E4449" s="34" t="n">
        <v>46880</v>
      </c>
      <c r="F4449" t="inlineStr">
        <is>
          <t>B</t>
        </is>
      </c>
      <c r="G4449" s="34" t="n">
        <v>7485</v>
      </c>
      <c r="H4449" s="34" t="n">
        <v>39395</v>
      </c>
      <c r="I4449" t="inlineStr">
        <is>
          <t>3.2</t>
        </is>
      </c>
      <c r="J4449" t="inlineStr">
        <is>
          <t>Ventas Personas (B2C)</t>
        </is>
      </c>
      <c r="K4449" t="inlineStr">
        <is>
          <t>CH2</t>
        </is>
      </c>
    </row>
    <row r="4450">
      <c r="A4450" s="33" t="n">
        <v>46015</v>
      </c>
      <c r="B4450" t="inlineStr">
        <is>
          <t>2025-12</t>
        </is>
      </c>
      <c r="C4450" t="inlineStr">
        <is>
          <t>Yully Rolon</t>
        </is>
      </c>
      <c r="D4450" t="inlineStr">
        <is>
          <t>Rellenos</t>
        </is>
      </c>
      <c r="E4450" s="34" t="n">
        <v>31390</v>
      </c>
      <c r="F4450" t="inlineStr">
        <is>
          <t>B</t>
        </is>
      </c>
      <c r="G4450" s="34" t="n">
        <v>5012</v>
      </c>
      <c r="H4450" s="34" t="n">
        <v>26378</v>
      </c>
      <c r="I4450" t="inlineStr">
        <is>
          <t>3.2</t>
        </is>
      </c>
      <c r="J4450" t="inlineStr">
        <is>
          <t>Ventas Personas (B2C)</t>
        </is>
      </c>
      <c r="K4450" t="inlineStr">
        <is>
          <t>CH2</t>
        </is>
      </c>
    </row>
    <row r="4451">
      <c r="A4451" s="33" t="n">
        <v>46015</v>
      </c>
      <c r="B4451" t="inlineStr">
        <is>
          <t>2025-12</t>
        </is>
      </c>
      <c r="C4451" t="inlineStr">
        <is>
          <t>Ale Zuñiga</t>
        </is>
      </c>
      <c r="D4451" t="inlineStr">
        <is>
          <t>Edición Navidad</t>
        </is>
      </c>
      <c r="E4451" s="34" t="n">
        <v>32290</v>
      </c>
      <c r="F4451" t="inlineStr">
        <is>
          <t>B</t>
        </is>
      </c>
      <c r="G4451" s="34" t="n">
        <v>5156</v>
      </c>
      <c r="H4451" s="34" t="n">
        <v>27134</v>
      </c>
      <c r="I4451" t="inlineStr">
        <is>
          <t>3.2</t>
        </is>
      </c>
      <c r="J4451" t="inlineStr">
        <is>
          <t>Ventas Personas (B2C)</t>
        </is>
      </c>
      <c r="K4451" t="inlineStr">
        <is>
          <t>CH2</t>
        </is>
      </c>
    </row>
    <row r="4452">
      <c r="A4452" s="33" t="n">
        <v>46015</v>
      </c>
      <c r="B4452" t="inlineStr">
        <is>
          <t>2025-12</t>
        </is>
      </c>
      <c r="C4452" t="inlineStr">
        <is>
          <t>Sin cliente</t>
        </is>
      </c>
      <c r="D4452" t="inlineStr">
        <is>
          <t>Rellenos</t>
        </is>
      </c>
      <c r="E4452" s="34" t="n">
        <v>18900</v>
      </c>
      <c r="F4452" t="inlineStr">
        <is>
          <t>B</t>
        </is>
      </c>
      <c r="G4452" s="34" t="n">
        <v>3018</v>
      </c>
      <c r="H4452" s="34" t="n">
        <v>15882</v>
      </c>
      <c r="I4452" t="inlineStr">
        <is>
          <t>3.2</t>
        </is>
      </c>
      <c r="J4452" t="inlineStr">
        <is>
          <t>Ventas Personas (B2C)</t>
        </is>
      </c>
      <c r="K4452" t="inlineStr">
        <is>
          <t>CH2</t>
        </is>
      </c>
    </row>
    <row r="4453">
      <c r="A4453" s="33" t="n">
        <v>46015</v>
      </c>
      <c r="B4453" t="inlineStr">
        <is>
          <t>2025-12</t>
        </is>
      </c>
      <c r="C4453" t="inlineStr">
        <is>
          <t>CARLOS DIAZ</t>
        </is>
      </c>
      <c r="D4453" t="inlineStr">
        <is>
          <t>Petit Tradicional</t>
        </is>
      </c>
      <c r="E4453" s="34" t="n">
        <v>21800</v>
      </c>
      <c r="F4453" t="inlineStr">
        <is>
          <t>B</t>
        </is>
      </c>
      <c r="G4453" s="34" t="n">
        <v>3481</v>
      </c>
      <c r="H4453" s="34" t="n">
        <v>18319</v>
      </c>
      <c r="I4453" t="inlineStr">
        <is>
          <t>3.2</t>
        </is>
      </c>
      <c r="J4453" t="inlineStr">
        <is>
          <t>Ventas Personas (B2C)</t>
        </is>
      </c>
      <c r="K4453" t="inlineStr">
        <is>
          <t>CH2</t>
        </is>
      </c>
    </row>
    <row r="4454">
      <c r="A4454" s="33" t="n">
        <v>46015</v>
      </c>
      <c r="B4454" t="inlineStr">
        <is>
          <t>2025-12</t>
        </is>
      </c>
      <c r="C4454" t="inlineStr">
        <is>
          <t>Carolina Araya</t>
        </is>
      </c>
      <c r="D4454" t="inlineStr">
        <is>
          <t>SALSAS</t>
        </is>
      </c>
      <c r="E4454" s="34" t="n">
        <v>71770</v>
      </c>
      <c r="F4454" t="inlineStr">
        <is>
          <t>B</t>
        </is>
      </c>
      <c r="G4454" s="34" t="n">
        <v>11459</v>
      </c>
      <c r="H4454" s="34" t="n">
        <v>60311</v>
      </c>
      <c r="I4454" t="inlineStr">
        <is>
          <t>3.2</t>
        </is>
      </c>
      <c r="J4454" t="inlineStr">
        <is>
          <t>Ventas Personas (B2C)</t>
        </is>
      </c>
      <c r="K4454" t="inlineStr">
        <is>
          <t>CH2</t>
        </is>
      </c>
    </row>
    <row r="4455">
      <c r="A4455" s="33" t="n">
        <v>46015</v>
      </c>
      <c r="B4455" t="inlineStr">
        <is>
          <t>2025-12</t>
        </is>
      </c>
      <c r="C4455" t="inlineStr">
        <is>
          <t>Bruno Frigoli</t>
        </is>
      </c>
      <c r="D4455" t="inlineStr">
        <is>
          <t>Rellenos</t>
        </is>
      </c>
      <c r="E4455" s="34" t="n">
        <v>37890</v>
      </c>
      <c r="F4455" t="inlineStr">
        <is>
          <t>B</t>
        </is>
      </c>
      <c r="G4455" s="34" t="n">
        <v>6050</v>
      </c>
      <c r="H4455" s="34" t="n">
        <v>31840</v>
      </c>
      <c r="I4455" t="inlineStr">
        <is>
          <t>3.2</t>
        </is>
      </c>
      <c r="J4455" t="inlineStr">
        <is>
          <t>Ventas Personas (B2C)</t>
        </is>
      </c>
      <c r="K4455" t="inlineStr">
        <is>
          <t>CH2</t>
        </is>
      </c>
    </row>
    <row r="4456">
      <c r="A4456" s="33" t="n">
        <v>46015</v>
      </c>
      <c r="B4456" t="inlineStr">
        <is>
          <t>2025-12</t>
        </is>
      </c>
      <c r="C4456" t="inlineStr">
        <is>
          <t>Sin cliente</t>
        </is>
      </c>
      <c r="D4456" t="inlineStr">
        <is>
          <t>Rellenos</t>
        </is>
      </c>
      <c r="E4456" s="34" t="n">
        <v>72000</v>
      </c>
      <c r="F4456" t="inlineStr">
        <is>
          <t>B</t>
        </is>
      </c>
      <c r="G4456" s="34" t="n">
        <v>11496</v>
      </c>
      <c r="H4456" s="34" t="n">
        <v>60504</v>
      </c>
      <c r="I4456" t="inlineStr">
        <is>
          <t>3.2</t>
        </is>
      </c>
      <c r="J4456" t="inlineStr">
        <is>
          <t>Ventas Personas (B2C)</t>
        </is>
      </c>
      <c r="K4456" t="inlineStr">
        <is>
          <t>CH2</t>
        </is>
      </c>
    </row>
    <row r="4457">
      <c r="A4457" s="33" t="n">
        <v>46015</v>
      </c>
      <c r="B4457" t="inlineStr">
        <is>
          <t>2025-12</t>
        </is>
      </c>
      <c r="C4457" t="inlineStr">
        <is>
          <t>Catalina Carvallo</t>
        </is>
      </c>
      <c r="D4457" t="inlineStr">
        <is>
          <t>Petit Tradicional</t>
        </is>
      </c>
      <c r="E4457" s="34" t="n">
        <v>36290</v>
      </c>
      <c r="F4457" t="inlineStr">
        <is>
          <t>B</t>
        </is>
      </c>
      <c r="G4457" s="34" t="n">
        <v>5794</v>
      </c>
      <c r="H4457" s="34" t="n">
        <v>30496</v>
      </c>
      <c r="I4457" t="inlineStr">
        <is>
          <t>3.2</t>
        </is>
      </c>
      <c r="J4457" t="inlineStr">
        <is>
          <t>Ventas Personas (B2C)</t>
        </is>
      </c>
      <c r="K4457" t="inlineStr">
        <is>
          <t>CH2</t>
        </is>
      </c>
    </row>
    <row r="4458">
      <c r="A4458" s="33" t="n">
        <v>46015</v>
      </c>
      <c r="B4458" t="inlineStr">
        <is>
          <t>2025-12</t>
        </is>
      </c>
      <c r="C4458" t="inlineStr">
        <is>
          <t>Sin cliente</t>
        </is>
      </c>
      <c r="D4458" t="inlineStr">
        <is>
          <t>Petit Crunchy</t>
        </is>
      </c>
      <c r="E4458" s="34" t="n">
        <v>30700</v>
      </c>
      <c r="F4458" t="inlineStr">
        <is>
          <t>B</t>
        </is>
      </c>
      <c r="G4458" s="34" t="n">
        <v>4902</v>
      </c>
      <c r="H4458" s="34" t="n">
        <v>25798</v>
      </c>
      <c r="I4458" t="inlineStr">
        <is>
          <t>3.2</t>
        </is>
      </c>
      <c r="J4458" t="inlineStr">
        <is>
          <t>Ventas Personas (B2C)</t>
        </is>
      </c>
      <c r="K4458" t="inlineStr">
        <is>
          <t>CH2</t>
        </is>
      </c>
    </row>
    <row r="4459">
      <c r="A4459" s="33" t="n">
        <v>46015</v>
      </c>
      <c r="B4459" t="inlineStr">
        <is>
          <t>2025-12</t>
        </is>
      </c>
      <c r="C4459" t="inlineStr">
        <is>
          <t>Sin cliente</t>
        </is>
      </c>
      <c r="D4459" t="inlineStr">
        <is>
          <t>Petit Crunchy</t>
        </is>
      </c>
      <c r="E4459" s="34" t="n">
        <v>15800</v>
      </c>
      <c r="F4459" t="inlineStr">
        <is>
          <t>B</t>
        </is>
      </c>
      <c r="G4459" s="34" t="n">
        <v>2523</v>
      </c>
      <c r="H4459" s="34" t="n">
        <v>13277</v>
      </c>
      <c r="I4459" t="inlineStr">
        <is>
          <t>3.2</t>
        </is>
      </c>
      <c r="J4459" t="inlineStr">
        <is>
          <t>Ventas Personas (B2C)</t>
        </is>
      </c>
      <c r="K4459" t="inlineStr">
        <is>
          <t>CH2</t>
        </is>
      </c>
    </row>
    <row r="4460">
      <c r="A4460" s="33" t="n">
        <v>46015</v>
      </c>
      <c r="B4460" t="inlineStr">
        <is>
          <t>2025-12</t>
        </is>
      </c>
      <c r="C4460" t="inlineStr">
        <is>
          <t>Pelayo Bulnes Rios</t>
        </is>
      </c>
      <c r="D4460" t="inlineStr">
        <is>
          <t>Rellenos</t>
        </is>
      </c>
      <c r="E4460" s="34" t="n">
        <v>30390</v>
      </c>
      <c r="F4460" t="inlineStr">
        <is>
          <t>B</t>
        </is>
      </c>
      <c r="G4460" s="34" t="n">
        <v>4852</v>
      </c>
      <c r="H4460" s="34" t="n">
        <v>25538</v>
      </c>
      <c r="I4460" t="inlineStr">
        <is>
          <t>3.2</t>
        </is>
      </c>
      <c r="J4460" t="inlineStr">
        <is>
          <t>Ventas Personas (B2C)</t>
        </is>
      </c>
      <c r="K4460" t="inlineStr">
        <is>
          <t>CH2</t>
        </is>
      </c>
    </row>
    <row r="4461">
      <c r="A4461" s="33" t="n">
        <v>46015</v>
      </c>
      <c r="B4461" t="inlineStr">
        <is>
          <t>2025-12</t>
        </is>
      </c>
      <c r="C4461" t="inlineStr">
        <is>
          <t>maria elisa grez</t>
        </is>
      </c>
      <c r="D4461" t="inlineStr">
        <is>
          <t>Edición Navidad</t>
        </is>
      </c>
      <c r="E4461" s="34" t="n">
        <v>53951</v>
      </c>
      <c r="F4461" t="inlineStr">
        <is>
          <t>B</t>
        </is>
      </c>
      <c r="G4461" s="34" t="n">
        <v>8614</v>
      </c>
      <c r="H4461" s="34" t="n">
        <v>45337</v>
      </c>
      <c r="I4461" t="inlineStr">
        <is>
          <t>3.2</t>
        </is>
      </c>
      <c r="J4461" t="inlineStr">
        <is>
          <t>Ventas Personas (B2C)</t>
        </is>
      </c>
      <c r="K4461" t="inlineStr">
        <is>
          <t>CH2</t>
        </is>
      </c>
    </row>
    <row r="4462">
      <c r="A4462" s="33" t="n">
        <v>46015</v>
      </c>
      <c r="B4462" t="inlineStr">
        <is>
          <t>2025-12</t>
        </is>
      </c>
      <c r="C4462" t="inlineStr">
        <is>
          <t>Rocio Marchant Bravo</t>
        </is>
      </c>
      <c r="D4462" t="inlineStr">
        <is>
          <t>Glosa Providencia</t>
        </is>
      </c>
      <c r="E4462" s="34" t="n">
        <v>4490</v>
      </c>
      <c r="F4462" t="inlineStr">
        <is>
          <t>B</t>
        </is>
      </c>
      <c r="G4462" s="34" t="n">
        <v>717</v>
      </c>
      <c r="H4462" s="34" t="n">
        <v>3773</v>
      </c>
      <c r="I4462" t="inlineStr">
        <is>
          <t>3.2</t>
        </is>
      </c>
      <c r="J4462" t="inlineStr">
        <is>
          <t>Ventas Personas (B2C)</t>
        </is>
      </c>
      <c r="K4462" t="inlineStr">
        <is>
          <t>CH2</t>
        </is>
      </c>
    </row>
    <row r="4463">
      <c r="A4463" s="33" t="n">
        <v>46015</v>
      </c>
      <c r="B4463" t="inlineStr">
        <is>
          <t>2025-12</t>
        </is>
      </c>
      <c r="C4463" t="inlineStr">
        <is>
          <t>Sin cliente</t>
        </is>
      </c>
      <c r="D4463" t="inlineStr">
        <is>
          <t>PLATAFORMAS RAP-PEYA-UBER-GOOD</t>
        </is>
      </c>
      <c r="E4463" s="34" t="n">
        <v>17880</v>
      </c>
      <c r="F4463" t="inlineStr">
        <is>
          <t>B</t>
        </is>
      </c>
      <c r="G4463" s="34" t="n">
        <v>2855</v>
      </c>
      <c r="H4463" s="34" t="n">
        <v>15025</v>
      </c>
      <c r="I4463" t="inlineStr">
        <is>
          <t>3.6</t>
        </is>
      </c>
      <c r="J4463" t="inlineStr">
        <is>
          <t>Ventas Delivery Apps</t>
        </is>
      </c>
      <c r="K4463" t="inlineStr">
        <is>
          <t>CH3</t>
        </is>
      </c>
    </row>
    <row r="4464">
      <c r="A4464" s="33" t="n">
        <v>46015</v>
      </c>
      <c r="B4464" t="inlineStr">
        <is>
          <t>2025-12</t>
        </is>
      </c>
      <c r="C4464" t="inlineStr">
        <is>
          <t>Sin cliente</t>
        </is>
      </c>
      <c r="D4464" t="inlineStr">
        <is>
          <t>PLATAFORMAS RAP-PEYA-UBER-GOOD</t>
        </is>
      </c>
      <c r="E4464" s="34" t="n">
        <v>25080</v>
      </c>
      <c r="F4464" t="inlineStr">
        <is>
          <t>B</t>
        </is>
      </c>
      <c r="G4464" s="34" t="n">
        <v>4004</v>
      </c>
      <c r="H4464" s="34" t="n">
        <v>21076</v>
      </c>
      <c r="I4464" t="inlineStr">
        <is>
          <t>3.6</t>
        </is>
      </c>
      <c r="J4464" t="inlineStr">
        <is>
          <t>Ventas Delivery Apps</t>
        </is>
      </c>
      <c r="K4464" t="inlineStr">
        <is>
          <t>CH3</t>
        </is>
      </c>
    </row>
    <row r="4465">
      <c r="A4465" s="33" t="n">
        <v>46015</v>
      </c>
      <c r="B4465" t="inlineStr">
        <is>
          <t>2025-12</t>
        </is>
      </c>
      <c r="C4465" t="inlineStr">
        <is>
          <t>Sin cliente</t>
        </is>
      </c>
      <c r="D4465" t="inlineStr">
        <is>
          <t>Glosa Producto no identificado</t>
        </is>
      </c>
      <c r="E4465" s="34" t="n">
        <v>25400</v>
      </c>
      <c r="F4465" t="inlineStr">
        <is>
          <t>B</t>
        </is>
      </c>
      <c r="G4465" s="34" t="n">
        <v>4055</v>
      </c>
      <c r="H4465" s="34" t="n">
        <v>21345</v>
      </c>
      <c r="I4465" t="inlineStr">
        <is>
          <t>3.2</t>
        </is>
      </c>
      <c r="J4465" t="inlineStr">
        <is>
          <t>Ventas Personas (B2C)</t>
        </is>
      </c>
      <c r="K4465" t="inlineStr">
        <is>
          <t>CH2</t>
        </is>
      </c>
    </row>
    <row r="4466">
      <c r="A4466" s="33" t="n">
        <v>46016</v>
      </c>
      <c r="B4466" t="inlineStr">
        <is>
          <t>2025-12</t>
        </is>
      </c>
      <c r="C4466" t="inlineStr">
        <is>
          <t>Valentina Bodevin</t>
        </is>
      </c>
      <c r="D4466" t="inlineStr">
        <is>
          <t>Petit Crunchy</t>
        </is>
      </c>
      <c r="E4466" s="34" t="n">
        <v>31390</v>
      </c>
      <c r="F4466" t="inlineStr">
        <is>
          <t>B</t>
        </is>
      </c>
      <c r="G4466" s="34" t="n">
        <v>5012</v>
      </c>
      <c r="H4466" s="34" t="n">
        <v>26378</v>
      </c>
      <c r="I4466" t="inlineStr">
        <is>
          <t>3.2</t>
        </is>
      </c>
      <c r="J4466" t="inlineStr">
        <is>
          <t>Ventas Personas (B2C)</t>
        </is>
      </c>
      <c r="K4466" t="inlineStr">
        <is>
          <t>CH2</t>
        </is>
      </c>
    </row>
    <row r="4467">
      <c r="A4467" s="33" t="n">
        <v>46016</v>
      </c>
      <c r="B4467" t="inlineStr">
        <is>
          <t>2025-12</t>
        </is>
      </c>
      <c r="C4467" t="inlineStr">
        <is>
          <t>Laura Abrahams</t>
        </is>
      </c>
      <c r="D4467" t="inlineStr">
        <is>
          <t>Rellenos</t>
        </is>
      </c>
      <c r="E4467" s="34" t="n">
        <v>18390</v>
      </c>
      <c r="F4467" t="inlineStr">
        <is>
          <t>B</t>
        </is>
      </c>
      <c r="G4467" s="34" t="n">
        <v>2936</v>
      </c>
      <c r="H4467" s="34" t="n">
        <v>15454</v>
      </c>
      <c r="I4467" t="inlineStr">
        <is>
          <t>3.2</t>
        </is>
      </c>
      <c r="J4467" t="inlineStr">
        <is>
          <t>Ventas Personas (B2C)</t>
        </is>
      </c>
      <c r="K4467" t="inlineStr">
        <is>
          <t>CH2</t>
        </is>
      </c>
    </row>
    <row r="4468">
      <c r="A4468" s="33" t="n">
        <v>46017</v>
      </c>
      <c r="B4468" t="inlineStr">
        <is>
          <t>2025-12</t>
        </is>
      </c>
      <c r="C4468" t="inlineStr">
        <is>
          <t>Rosemarie Demierre</t>
        </is>
      </c>
      <c r="D4468" t="inlineStr">
        <is>
          <t>Petit Tradicional</t>
        </is>
      </c>
      <c r="E4468" s="34" t="n">
        <v>25790</v>
      </c>
      <c r="F4468" t="inlineStr">
        <is>
          <t>B</t>
        </is>
      </c>
      <c r="G4468" s="34" t="n">
        <v>4118</v>
      </c>
      <c r="H4468" s="34" t="n">
        <v>21672</v>
      </c>
      <c r="I4468" t="inlineStr">
        <is>
          <t>3.2</t>
        </is>
      </c>
      <c r="J4468" t="inlineStr">
        <is>
          <t>Ventas Personas (B2C)</t>
        </is>
      </c>
      <c r="K4468" t="inlineStr">
        <is>
          <t>CH2</t>
        </is>
      </c>
    </row>
    <row r="4469">
      <c r="A4469" s="33" t="n">
        <v>46017</v>
      </c>
      <c r="B4469" t="inlineStr">
        <is>
          <t>2025-12</t>
        </is>
      </c>
      <c r="C4469" t="inlineStr">
        <is>
          <t>Inversiones Fofoca SpA</t>
        </is>
      </c>
      <c r="D4469" t="inlineStr">
        <is>
          <t>HORECA CAFETERIA</t>
        </is>
      </c>
      <c r="E4469" s="34" t="n">
        <v>39115</v>
      </c>
      <c r="F4469" t="inlineStr">
        <is>
          <t>F</t>
        </is>
      </c>
      <c r="G4469" s="34" t="n">
        <v>6245</v>
      </c>
      <c r="H4469" s="34" t="n">
        <v>32870</v>
      </c>
      <c r="I4469" t="inlineStr">
        <is>
          <t>3.1</t>
        </is>
      </c>
      <c r="J4469" t="inlineStr">
        <is>
          <t>Ventas HoReCa</t>
        </is>
      </c>
      <c r="K4469" t="inlineStr">
        <is>
          <t>CH1</t>
        </is>
      </c>
    </row>
    <row r="4470">
      <c r="A4470" s="33" t="n">
        <v>46017</v>
      </c>
      <c r="B4470" t="inlineStr">
        <is>
          <t>2025-12</t>
        </is>
      </c>
      <c r="C4470" t="inlineStr">
        <is>
          <t>VILAS BANQUETERIAS SPA</t>
        </is>
      </c>
      <c r="D4470" t="inlineStr">
        <is>
          <t>HORECA CATERING</t>
        </is>
      </c>
      <c r="E4470" s="34" t="n">
        <v>77707</v>
      </c>
      <c r="F4470" t="inlineStr">
        <is>
          <t>F</t>
        </is>
      </c>
      <c r="G4470" s="34" t="n">
        <v>12407</v>
      </c>
      <c r="H4470" s="34" t="n">
        <v>65300</v>
      </c>
      <c r="I4470" t="inlineStr">
        <is>
          <t>3.1</t>
        </is>
      </c>
      <c r="J4470" t="inlineStr">
        <is>
          <t>Ventas HoReCa</t>
        </is>
      </c>
      <c r="K4470" t="inlineStr">
        <is>
          <t>CH1</t>
        </is>
      </c>
    </row>
    <row r="4471">
      <c r="A4471" s="33" t="n">
        <v>46017</v>
      </c>
      <c r="B4471" t="inlineStr">
        <is>
          <t>2025-12</t>
        </is>
      </c>
      <c r="C4471" t="inlineStr">
        <is>
          <t>Layla Raya</t>
        </is>
      </c>
      <c r="D4471" t="inlineStr">
        <is>
          <t>Rellenos</t>
        </is>
      </c>
      <c r="E4471" s="34" t="n">
        <v>36000</v>
      </c>
      <c r="F4471" t="inlineStr">
        <is>
          <t>B</t>
        </is>
      </c>
      <c r="G4471" s="34" t="n">
        <v>5748</v>
      </c>
      <c r="H4471" s="34" t="n">
        <v>30252</v>
      </c>
      <c r="I4471" t="inlineStr">
        <is>
          <t>3.2</t>
        </is>
      </c>
      <c r="J4471" t="inlineStr">
        <is>
          <t>Ventas Personas (B2C)</t>
        </is>
      </c>
      <c r="K4471" t="inlineStr">
        <is>
          <t>CH2</t>
        </is>
      </c>
    </row>
    <row r="4472">
      <c r="A4472" s="33" t="n">
        <v>46017</v>
      </c>
      <c r="B4472" t="inlineStr">
        <is>
          <t>2025-12</t>
        </is>
      </c>
      <c r="C4472" t="inlineStr">
        <is>
          <t>Carolin Adam</t>
        </is>
      </c>
      <c r="D4472" t="inlineStr">
        <is>
          <t>Rellenos</t>
        </is>
      </c>
      <c r="E4472" s="34" t="n">
        <v>20400</v>
      </c>
      <c r="F4472" t="inlineStr">
        <is>
          <t>B</t>
        </is>
      </c>
      <c r="G4472" s="34" t="n">
        <v>3257</v>
      </c>
      <c r="H4472" s="34" t="n">
        <v>17143</v>
      </c>
      <c r="I4472" t="inlineStr">
        <is>
          <t>3.2</t>
        </is>
      </c>
      <c r="J4472" t="inlineStr">
        <is>
          <t>Ventas Personas (B2C)</t>
        </is>
      </c>
      <c r="K4472" t="inlineStr">
        <is>
          <t>CH2</t>
        </is>
      </c>
    </row>
    <row r="4473">
      <c r="A4473" s="33" t="n">
        <v>46017</v>
      </c>
      <c r="B4473" t="inlineStr">
        <is>
          <t>2025-12</t>
        </is>
      </c>
      <c r="C4473" t="inlineStr">
        <is>
          <t>Fernanda Cáceres Prat</t>
        </is>
      </c>
      <c r="D4473" t="inlineStr">
        <is>
          <t>PACKAGING</t>
        </is>
      </c>
      <c r="E4473" s="34" t="n">
        <v>16100</v>
      </c>
      <c r="F4473" t="inlineStr">
        <is>
          <t>B</t>
        </is>
      </c>
      <c r="G4473" s="34" t="n">
        <v>2571</v>
      </c>
      <c r="H4473" s="34" t="n">
        <v>13529</v>
      </c>
      <c r="I4473" t="inlineStr">
        <is>
          <t>3.2</t>
        </is>
      </c>
      <c r="J4473" t="inlineStr">
        <is>
          <t>Ventas Personas (B2C)</t>
        </is>
      </c>
      <c r="K4473" t="inlineStr">
        <is>
          <t>CH2</t>
        </is>
      </c>
    </row>
    <row r="4474">
      <c r="A4474" s="33" t="n">
        <v>46017</v>
      </c>
      <c r="B4474" t="inlineStr">
        <is>
          <t>2025-12</t>
        </is>
      </c>
      <c r="C4474" t="inlineStr">
        <is>
          <t>Alejandro de Solminihac</t>
        </is>
      </c>
      <c r="D4474" t="inlineStr">
        <is>
          <t>Rellenos</t>
        </is>
      </c>
      <c r="E4474" s="34" t="n">
        <v>35790</v>
      </c>
      <c r="F4474" t="inlineStr">
        <is>
          <t>B</t>
        </is>
      </c>
      <c r="G4474" s="34" t="n">
        <v>5714</v>
      </c>
      <c r="H4474" s="34" t="n">
        <v>30076</v>
      </c>
      <c r="I4474" t="inlineStr">
        <is>
          <t>3.2</t>
        </is>
      </c>
      <c r="J4474" t="inlineStr">
        <is>
          <t>Ventas Personas (B2C)</t>
        </is>
      </c>
      <c r="K4474" t="inlineStr">
        <is>
          <t>CH2</t>
        </is>
      </c>
    </row>
    <row r="4475">
      <c r="A4475" s="33" t="n">
        <v>46017</v>
      </c>
      <c r="B4475" t="inlineStr">
        <is>
          <t>2025-12</t>
        </is>
      </c>
      <c r="C4475" t="inlineStr">
        <is>
          <t>Paula Campusano Banse</t>
        </is>
      </c>
      <c r="D4475" t="inlineStr">
        <is>
          <t>Mix Sabores</t>
        </is>
      </c>
      <c r="E4475" s="34" t="n">
        <v>20390</v>
      </c>
      <c r="F4475" t="inlineStr">
        <is>
          <t>B</t>
        </is>
      </c>
      <c r="G4475" s="34" t="n">
        <v>3256</v>
      </c>
      <c r="H4475" s="34" t="n">
        <v>17134</v>
      </c>
      <c r="I4475" t="inlineStr">
        <is>
          <t>3.2</t>
        </is>
      </c>
      <c r="J4475" t="inlineStr">
        <is>
          <t>Ventas Personas (B2C)</t>
        </is>
      </c>
      <c r="K4475" t="inlineStr">
        <is>
          <t>CH2</t>
        </is>
      </c>
    </row>
    <row r="4476">
      <c r="A4476" s="33" t="n">
        <v>46017</v>
      </c>
      <c r="B4476" t="inlineStr">
        <is>
          <t>2025-12</t>
        </is>
      </c>
      <c r="C4476" t="inlineStr">
        <is>
          <t>Catalina Veas Correa</t>
        </is>
      </c>
      <c r="D4476" t="inlineStr">
        <is>
          <t>CANELE SIN AZUCAR</t>
        </is>
      </c>
      <c r="E4476" s="34" t="n">
        <v>28790</v>
      </c>
      <c r="F4476" t="inlineStr">
        <is>
          <t>B</t>
        </is>
      </c>
      <c r="G4476" s="34" t="n">
        <v>4597</v>
      </c>
      <c r="H4476" s="34" t="n">
        <v>24193</v>
      </c>
      <c r="I4476" t="inlineStr">
        <is>
          <t>3.2</t>
        </is>
      </c>
      <c r="J4476" t="inlineStr">
        <is>
          <t>Ventas Personas (B2C)</t>
        </is>
      </c>
      <c r="K4476" t="inlineStr">
        <is>
          <t>CH2</t>
        </is>
      </c>
    </row>
    <row r="4477">
      <c r="A4477" s="33" t="n">
        <v>46017</v>
      </c>
      <c r="B4477" t="inlineStr">
        <is>
          <t>2025-12</t>
        </is>
      </c>
      <c r="C4477" t="inlineStr">
        <is>
          <t>Iñigo Lin</t>
        </is>
      </c>
      <c r="D4477" t="inlineStr">
        <is>
          <t>Rellenos</t>
        </is>
      </c>
      <c r="E4477" s="34" t="n">
        <v>103190</v>
      </c>
      <c r="F4477" t="inlineStr">
        <is>
          <t>B</t>
        </is>
      </c>
      <c r="G4477" s="34" t="n">
        <v>16476</v>
      </c>
      <c r="H4477" s="34" t="n">
        <v>86714</v>
      </c>
      <c r="I4477" t="inlineStr">
        <is>
          <t>3.2</t>
        </is>
      </c>
      <c r="J4477" t="inlineStr">
        <is>
          <t>Ventas Personas (B2C)</t>
        </is>
      </c>
      <c r="K4477" t="inlineStr">
        <is>
          <t>CH2</t>
        </is>
      </c>
    </row>
    <row r="4478">
      <c r="A4478" s="33" t="n">
        <v>46017</v>
      </c>
      <c r="B4478" t="inlineStr">
        <is>
          <t>2025-12</t>
        </is>
      </c>
      <c r="C4478" t="inlineStr">
        <is>
          <t>ESTUDIO DE PILATES MARIA ANGELICA LAMARCA ROSS EIR</t>
        </is>
      </c>
      <c r="D4478" t="inlineStr">
        <is>
          <t>PACKS GOURMET</t>
        </is>
      </c>
      <c r="E4478" s="34" t="n">
        <v>26379</v>
      </c>
      <c r="F4478" t="inlineStr">
        <is>
          <t>F</t>
        </is>
      </c>
      <c r="G4478" s="34" t="n">
        <v>4212</v>
      </c>
      <c r="H4478" s="34" t="n">
        <v>22167</v>
      </c>
      <c r="I4478" t="inlineStr">
        <is>
          <t>3.1</t>
        </is>
      </c>
      <c r="J4478" t="inlineStr">
        <is>
          <t>Ventas HoReCa</t>
        </is>
      </c>
      <c r="K4478" t="inlineStr">
        <is>
          <t>CH1</t>
        </is>
      </c>
    </row>
    <row r="4479">
      <c r="A4479" s="33" t="n">
        <v>46017</v>
      </c>
      <c r="B4479" t="inlineStr">
        <is>
          <t>2025-12</t>
        </is>
      </c>
      <c r="C4479" t="inlineStr">
        <is>
          <t>ESTUDIO DE PILATES MARIA ANGELICA LAMARCA ROSS EIR</t>
        </is>
      </c>
      <c r="D4479" t="inlineStr">
        <is>
          <t>Edición Navidad</t>
        </is>
      </c>
      <c r="E4479" s="34" t="n">
        <v>46800</v>
      </c>
      <c r="F4479" t="inlineStr">
        <is>
          <t>F</t>
        </is>
      </c>
      <c r="G4479" s="34" t="n">
        <v>7472</v>
      </c>
      <c r="H4479" s="34" t="n">
        <v>39328</v>
      </c>
      <c r="I4479" t="inlineStr">
        <is>
          <t>3.1</t>
        </is>
      </c>
      <c r="J4479" t="inlineStr">
        <is>
          <t>Ventas HoReCa</t>
        </is>
      </c>
      <c r="K4479" t="inlineStr">
        <is>
          <t>CH1</t>
        </is>
      </c>
    </row>
    <row r="4480">
      <c r="A4480" s="33" t="n">
        <v>46017</v>
      </c>
      <c r="B4480" t="inlineStr">
        <is>
          <t>2025-12</t>
        </is>
      </c>
      <c r="C4480" t="inlineStr">
        <is>
          <t>Sin cliente</t>
        </is>
      </c>
      <c r="D4480" t="inlineStr">
        <is>
          <t>Rellenos</t>
        </is>
      </c>
      <c r="E4480" s="34" t="n">
        <v>21900</v>
      </c>
      <c r="F4480" t="inlineStr">
        <is>
          <t>B</t>
        </is>
      </c>
      <c r="G4480" s="34" t="n">
        <v>3497</v>
      </c>
      <c r="H4480" s="34" t="n">
        <v>18403</v>
      </c>
      <c r="I4480" t="inlineStr">
        <is>
          <t>3.2</t>
        </is>
      </c>
      <c r="J4480" t="inlineStr">
        <is>
          <t>Ventas Personas (B2C)</t>
        </is>
      </c>
      <c r="K4480" t="inlineStr">
        <is>
          <t>CH2</t>
        </is>
      </c>
    </row>
    <row r="4481">
      <c r="A4481" s="33" t="n">
        <v>46017</v>
      </c>
      <c r="B4481" t="inlineStr">
        <is>
          <t>2025-12</t>
        </is>
      </c>
      <c r="C4481" t="inlineStr">
        <is>
          <t>Luis Julio</t>
        </is>
      </c>
      <c r="D4481" t="inlineStr">
        <is>
          <t>Mix Sabores</t>
        </is>
      </c>
      <c r="E4481" s="34" t="n">
        <v>28290</v>
      </c>
      <c r="F4481" t="inlineStr">
        <is>
          <t>B</t>
        </is>
      </c>
      <c r="G4481" s="34" t="n">
        <v>4517</v>
      </c>
      <c r="H4481" s="34" t="n">
        <v>23773</v>
      </c>
      <c r="I4481" t="inlineStr">
        <is>
          <t>3.2</t>
        </is>
      </c>
      <c r="J4481" t="inlineStr">
        <is>
          <t>Ventas Personas (B2C)</t>
        </is>
      </c>
      <c r="K4481" t="inlineStr">
        <is>
          <t>CH2</t>
        </is>
      </c>
    </row>
    <row r="4482">
      <c r="A4482" s="33" t="n">
        <v>46017</v>
      </c>
      <c r="B4482" t="inlineStr">
        <is>
          <t>2025-12</t>
        </is>
      </c>
      <c r="C4482" t="inlineStr">
        <is>
          <t>William Viera Ceballo</t>
        </is>
      </c>
      <c r="D4482" t="inlineStr">
        <is>
          <t>Petit Crunchy</t>
        </is>
      </c>
      <c r="E4482" s="34" t="n">
        <v>32390</v>
      </c>
      <c r="F4482" t="inlineStr">
        <is>
          <t>B</t>
        </is>
      </c>
      <c r="G4482" s="34" t="n">
        <v>5172</v>
      </c>
      <c r="H4482" s="34" t="n">
        <v>27218</v>
      </c>
      <c r="I4482" t="inlineStr">
        <is>
          <t>3.2</t>
        </is>
      </c>
      <c r="J4482" t="inlineStr">
        <is>
          <t>Ventas Personas (B2C)</t>
        </is>
      </c>
      <c r="K4482" t="inlineStr">
        <is>
          <t>CH2</t>
        </is>
      </c>
    </row>
    <row r="4483">
      <c r="A4483" s="33" t="n">
        <v>46017</v>
      </c>
      <c r="B4483" t="inlineStr">
        <is>
          <t>2025-12</t>
        </is>
      </c>
      <c r="C4483" t="inlineStr">
        <is>
          <t>Sin cliente</t>
        </is>
      </c>
      <c r="D4483" t="inlineStr">
        <is>
          <t>Petit Tradicional</t>
        </is>
      </c>
      <c r="E4483" s="34" t="n">
        <v>27600</v>
      </c>
      <c r="F4483" t="inlineStr">
        <is>
          <t>B</t>
        </is>
      </c>
      <c r="G4483" s="34" t="n">
        <v>4407</v>
      </c>
      <c r="H4483" s="34" t="n">
        <v>23193</v>
      </c>
      <c r="I4483" t="inlineStr">
        <is>
          <t>3.2</t>
        </is>
      </c>
      <c r="J4483" t="inlineStr">
        <is>
          <t>Ventas Personas (B2C)</t>
        </is>
      </c>
      <c r="K4483" t="inlineStr">
        <is>
          <t>CH2</t>
        </is>
      </c>
    </row>
    <row r="4484">
      <c r="A4484" s="33" t="n">
        <v>46017</v>
      </c>
      <c r="B4484" t="inlineStr">
        <is>
          <t>2025-12</t>
        </is>
      </c>
      <c r="C4484" t="inlineStr">
        <is>
          <t>ESTUDIO DE PILATES MARIA ANGELICA LAMARCA ROSS EIR</t>
        </is>
      </c>
      <c r="D4484" t="inlineStr">
        <is>
          <t>Edición Navidad</t>
        </is>
      </c>
      <c r="E4484" s="34" t="n">
        <v>-46800</v>
      </c>
      <c r="F4484" t="inlineStr">
        <is>
          <t>NC</t>
        </is>
      </c>
      <c r="G4484" s="34" t="n">
        <v>-7472</v>
      </c>
      <c r="H4484" s="34" t="n">
        <v>-39328</v>
      </c>
      <c r="I4484" t="inlineStr">
        <is>
          <t>3.1</t>
        </is>
      </c>
      <c r="J4484" t="inlineStr">
        <is>
          <t>Ventas HoReCa</t>
        </is>
      </c>
      <c r="K4484" t="inlineStr">
        <is>
          <t>CH1</t>
        </is>
      </c>
    </row>
    <row r="4485">
      <c r="A4485" s="33" t="n">
        <v>46017</v>
      </c>
      <c r="B4485" t="inlineStr">
        <is>
          <t>2025-12</t>
        </is>
      </c>
      <c r="C4485" t="inlineStr">
        <is>
          <t>ESTUDIO DE PILATES MARIA ANGELICA LAMARCA ROSS EIR</t>
        </is>
      </c>
      <c r="D4485" t="inlineStr">
        <is>
          <t>PACKS GOURMET</t>
        </is>
      </c>
      <c r="E4485" s="34" t="n">
        <v>-26379</v>
      </c>
      <c r="F4485" t="inlineStr">
        <is>
          <t>NC</t>
        </is>
      </c>
      <c r="G4485" s="34" t="n">
        <v>-4212</v>
      </c>
      <c r="H4485" s="34" t="n">
        <v>-22167</v>
      </c>
      <c r="I4485" t="inlineStr">
        <is>
          <t>3.1</t>
        </is>
      </c>
      <c r="J4485" t="inlineStr">
        <is>
          <t>Ventas HoReCa</t>
        </is>
      </c>
      <c r="K4485" t="inlineStr">
        <is>
          <t>CH1</t>
        </is>
      </c>
    </row>
    <row r="4486">
      <c r="A4486" s="33" t="n">
        <v>46017</v>
      </c>
      <c r="B4486" t="inlineStr">
        <is>
          <t>2025-12</t>
        </is>
      </c>
      <c r="C4486" t="inlineStr">
        <is>
          <t>ESTUDIO DE PILATES MARIA ANGELICA LAMARCA ROSS EIR</t>
        </is>
      </c>
      <c r="D4486" t="inlineStr">
        <is>
          <t>PACKS GOURMET</t>
        </is>
      </c>
      <c r="E4486" s="34" t="n">
        <v>99561</v>
      </c>
      <c r="F4486" t="inlineStr">
        <is>
          <t>F</t>
        </is>
      </c>
      <c r="G4486" s="34" t="n">
        <v>15896</v>
      </c>
      <c r="H4486" s="34" t="n">
        <v>83665</v>
      </c>
      <c r="I4486" t="inlineStr">
        <is>
          <t>3.1</t>
        </is>
      </c>
      <c r="J4486" t="inlineStr">
        <is>
          <t>Ventas HoReCa</t>
        </is>
      </c>
      <c r="K4486" t="inlineStr">
        <is>
          <t>CH1</t>
        </is>
      </c>
    </row>
    <row r="4487">
      <c r="A4487" s="33" t="n">
        <v>46017</v>
      </c>
      <c r="B4487" t="inlineStr">
        <is>
          <t>2025-12</t>
        </is>
      </c>
      <c r="C4487" t="inlineStr">
        <is>
          <t>Sin cliente</t>
        </is>
      </c>
      <c r="D4487" t="inlineStr">
        <is>
          <t>CANELÉ TRADICIONAL</t>
        </is>
      </c>
      <c r="E4487" s="34" t="n">
        <v>34890</v>
      </c>
      <c r="F4487" t="inlineStr">
        <is>
          <t>B</t>
        </is>
      </c>
      <c r="G4487" s="34" t="n">
        <v>5571</v>
      </c>
      <c r="H4487" s="34" t="n">
        <v>29319</v>
      </c>
      <c r="I4487" t="inlineStr">
        <is>
          <t>3.2</t>
        </is>
      </c>
      <c r="J4487" t="inlineStr">
        <is>
          <t>Ventas Personas (B2C)</t>
        </is>
      </c>
      <c r="K4487" t="inlineStr">
        <is>
          <t>CH2</t>
        </is>
      </c>
    </row>
    <row r="4488">
      <c r="A4488" s="33" t="n">
        <v>46017</v>
      </c>
      <c r="B4488" t="inlineStr">
        <is>
          <t>2025-12</t>
        </is>
      </c>
      <c r="C4488" t="inlineStr">
        <is>
          <t>Sin cliente</t>
        </is>
      </c>
      <c r="D4488" t="inlineStr">
        <is>
          <t>Rellenos</t>
        </is>
      </c>
      <c r="E4488" s="34" t="n">
        <v>14400</v>
      </c>
      <c r="F4488" t="inlineStr">
        <is>
          <t>B</t>
        </is>
      </c>
      <c r="G4488" s="34" t="n">
        <v>2299</v>
      </c>
      <c r="H4488" s="34" t="n">
        <v>12101</v>
      </c>
      <c r="I4488" t="inlineStr">
        <is>
          <t>3.6</t>
        </is>
      </c>
      <c r="J4488" t="inlineStr">
        <is>
          <t>Ventas Delivery Apps</t>
        </is>
      </c>
      <c r="K4488" t="inlineStr">
        <is>
          <t>CH3</t>
        </is>
      </c>
    </row>
    <row r="4489">
      <c r="A4489" s="33" t="n">
        <v>46017</v>
      </c>
      <c r="B4489" t="inlineStr">
        <is>
          <t>2025-12</t>
        </is>
      </c>
      <c r="C4489" t="inlineStr">
        <is>
          <t>Sin cliente</t>
        </is>
      </c>
      <c r="D4489" t="inlineStr">
        <is>
          <t>PLATAFORMAS RAP-PEYA-UBER-GOOD</t>
        </is>
      </c>
      <c r="E4489" s="34" t="n">
        <v>25080</v>
      </c>
      <c r="F4489" t="inlineStr">
        <is>
          <t>B</t>
        </is>
      </c>
      <c r="G4489" s="34" t="n">
        <v>4004</v>
      </c>
      <c r="H4489" s="34" t="n">
        <v>21076</v>
      </c>
      <c r="I4489" t="inlineStr">
        <is>
          <t>3.6</t>
        </is>
      </c>
      <c r="J4489" t="inlineStr">
        <is>
          <t>Ventas Delivery Apps</t>
        </is>
      </c>
      <c r="K4489" t="inlineStr">
        <is>
          <t>CH3</t>
        </is>
      </c>
    </row>
    <row r="4490">
      <c r="A4490" s="33" t="n">
        <v>46017</v>
      </c>
      <c r="B4490" t="inlineStr">
        <is>
          <t>2025-12</t>
        </is>
      </c>
      <c r="C4490" t="inlineStr">
        <is>
          <t>Sin cliente</t>
        </is>
      </c>
      <c r="D4490" t="inlineStr">
        <is>
          <t>PLATAFORMAS RAP-PEYA-UBER-GOOD</t>
        </is>
      </c>
      <c r="E4490" s="34" t="n">
        <v>32280</v>
      </c>
      <c r="F4490" t="inlineStr">
        <is>
          <t>B</t>
        </is>
      </c>
      <c r="G4490" s="34" t="n">
        <v>5154</v>
      </c>
      <c r="H4490" s="34" t="n">
        <v>27126</v>
      </c>
      <c r="I4490" t="inlineStr">
        <is>
          <t>3.6</t>
        </is>
      </c>
      <c r="J4490" t="inlineStr">
        <is>
          <t>Ventas Delivery Apps</t>
        </is>
      </c>
      <c r="K4490" t="inlineStr">
        <is>
          <t>CH3</t>
        </is>
      </c>
    </row>
    <row r="4491">
      <c r="A4491" s="33" t="n">
        <v>46017</v>
      </c>
      <c r="B4491" t="inlineStr">
        <is>
          <t>2025-12</t>
        </is>
      </c>
      <c r="C4491" t="inlineStr">
        <is>
          <t>Sin cliente</t>
        </is>
      </c>
      <c r="D4491" t="inlineStr">
        <is>
          <t>PLATAFORMAS RAP-PEYA-UBER-GOOD</t>
        </is>
      </c>
      <c r="E4491" s="34" t="n">
        <v>21600</v>
      </c>
      <c r="F4491" t="inlineStr">
        <is>
          <t>B</t>
        </is>
      </c>
      <c r="G4491" s="34" t="n">
        <v>3449</v>
      </c>
      <c r="H4491" s="34" t="n">
        <v>18151</v>
      </c>
      <c r="I4491" t="inlineStr">
        <is>
          <t>3.6</t>
        </is>
      </c>
      <c r="J4491" t="inlineStr">
        <is>
          <t>Ventas Delivery Apps</t>
        </is>
      </c>
      <c r="K4491" t="inlineStr">
        <is>
          <t>CH3</t>
        </is>
      </c>
    </row>
    <row r="4492">
      <c r="A4492" s="33" t="n">
        <v>46017</v>
      </c>
      <c r="B4492" t="inlineStr">
        <is>
          <t>2025-12</t>
        </is>
      </c>
      <c r="C4492" t="inlineStr">
        <is>
          <t>Katerine Muñoz Tello</t>
        </is>
      </c>
      <c r="D4492" t="inlineStr">
        <is>
          <t>CANELÉ TRADICIONAL</t>
        </is>
      </c>
      <c r="E4492" s="34" t="n">
        <v>61700</v>
      </c>
      <c r="F4492" t="inlineStr">
        <is>
          <t>B</t>
        </is>
      </c>
      <c r="G4492" s="34" t="n">
        <v>9851</v>
      </c>
      <c r="H4492" s="34" t="n">
        <v>51849</v>
      </c>
      <c r="I4492" t="inlineStr">
        <is>
          <t>3.2</t>
        </is>
      </c>
      <c r="J4492" t="inlineStr">
        <is>
          <t>Ventas Personas (B2C)</t>
        </is>
      </c>
      <c r="K4492" t="inlineStr">
        <is>
          <t>CH2</t>
        </is>
      </c>
    </row>
    <row r="4493">
      <c r="A4493" s="33" t="n">
        <v>46017</v>
      </c>
      <c r="B4493" t="inlineStr">
        <is>
          <t>2025-12</t>
        </is>
      </c>
      <c r="C4493" t="inlineStr">
        <is>
          <t>Paula Rodriguez</t>
        </is>
      </c>
      <c r="D4493" t="inlineStr">
        <is>
          <t>Petit Tradicional</t>
        </is>
      </c>
      <c r="E4493" s="34" t="n">
        <v>26290</v>
      </c>
      <c r="F4493" t="inlineStr">
        <is>
          <t>B</t>
        </is>
      </c>
      <c r="G4493" s="34" t="n">
        <v>4198</v>
      </c>
      <c r="H4493" s="34" t="n">
        <v>22092</v>
      </c>
      <c r="I4493" t="inlineStr">
        <is>
          <t>3.2</t>
        </is>
      </c>
      <c r="J4493" t="inlineStr">
        <is>
          <t>Ventas Personas (B2C)</t>
        </is>
      </c>
      <c r="K4493" t="inlineStr">
        <is>
          <t>CH2</t>
        </is>
      </c>
    </row>
    <row r="4494">
      <c r="A4494" s="33" t="n">
        <v>46018</v>
      </c>
      <c r="B4494" t="inlineStr">
        <is>
          <t>2025-12</t>
        </is>
      </c>
      <c r="C4494" t="inlineStr">
        <is>
          <t>Natalia Troncoso</t>
        </is>
      </c>
      <c r="D4494" t="inlineStr">
        <is>
          <t>Rellenos</t>
        </is>
      </c>
      <c r="E4494" s="34" t="n">
        <v>25900</v>
      </c>
      <c r="F4494" t="inlineStr">
        <is>
          <t>B</t>
        </is>
      </c>
      <c r="G4494" s="34" t="n">
        <v>4135</v>
      </c>
      <c r="H4494" s="34" t="n">
        <v>21765</v>
      </c>
      <c r="I4494" t="inlineStr">
        <is>
          <t>3.2</t>
        </is>
      </c>
      <c r="J4494" t="inlineStr">
        <is>
          <t>Ventas Personas (B2C)</t>
        </is>
      </c>
      <c r="K4494" t="inlineStr">
        <is>
          <t>CH2</t>
        </is>
      </c>
    </row>
    <row r="4495">
      <c r="A4495" s="33" t="n">
        <v>46018</v>
      </c>
      <c r="B4495" t="inlineStr">
        <is>
          <t>2025-12</t>
        </is>
      </c>
      <c r="C4495" t="inlineStr">
        <is>
          <t>Macarena Ormazabal</t>
        </is>
      </c>
      <c r="D4495" t="inlineStr">
        <is>
          <t>Rellenos</t>
        </is>
      </c>
      <c r="E4495" s="34" t="n">
        <v>26400</v>
      </c>
      <c r="F4495" t="inlineStr">
        <is>
          <t>B</t>
        </is>
      </c>
      <c r="G4495" s="34" t="n">
        <v>4215</v>
      </c>
      <c r="H4495" s="34" t="n">
        <v>22185</v>
      </c>
      <c r="I4495" t="inlineStr">
        <is>
          <t>3.2</t>
        </is>
      </c>
      <c r="J4495" t="inlineStr">
        <is>
          <t>Ventas Personas (B2C)</t>
        </is>
      </c>
      <c r="K4495" t="inlineStr">
        <is>
          <t>CH2</t>
        </is>
      </c>
    </row>
    <row r="4496">
      <c r="A4496" s="33" t="n">
        <v>46018</v>
      </c>
      <c r="B4496" t="inlineStr">
        <is>
          <t>2025-12</t>
        </is>
      </c>
      <c r="C4496" t="inlineStr">
        <is>
          <t>Sin cliente</t>
        </is>
      </c>
      <c r="D4496" t="inlineStr">
        <is>
          <t>Petit Crunchy</t>
        </is>
      </c>
      <c r="E4496" s="34" t="n">
        <v>14900</v>
      </c>
      <c r="F4496" t="inlineStr">
        <is>
          <t>B</t>
        </is>
      </c>
      <c r="G4496" s="34" t="n">
        <v>2379</v>
      </c>
      <c r="H4496" s="34" t="n">
        <v>12521</v>
      </c>
      <c r="I4496" t="inlineStr">
        <is>
          <t>3.2</t>
        </is>
      </c>
      <c r="J4496" t="inlineStr">
        <is>
          <t>Ventas Personas (B2C)</t>
        </is>
      </c>
      <c r="K4496" t="inlineStr">
        <is>
          <t>CH2</t>
        </is>
      </c>
    </row>
    <row r="4497">
      <c r="A4497" s="33" t="n">
        <v>46018</v>
      </c>
      <c r="B4497" t="inlineStr">
        <is>
          <t>2025-12</t>
        </is>
      </c>
      <c r="C4497" t="inlineStr">
        <is>
          <t>Karen Gonzalez</t>
        </is>
      </c>
      <c r="D4497" t="inlineStr">
        <is>
          <t>Rellenos</t>
        </is>
      </c>
      <c r="E4497" s="34" t="n">
        <v>58280</v>
      </c>
      <c r="F4497" t="inlineStr">
        <is>
          <t>B</t>
        </is>
      </c>
      <c r="G4497" s="34" t="n">
        <v>9305</v>
      </c>
      <c r="H4497" s="34" t="n">
        <v>48975</v>
      </c>
      <c r="I4497" t="inlineStr">
        <is>
          <t>3.2</t>
        </is>
      </c>
      <c r="J4497" t="inlineStr">
        <is>
          <t>Ventas Personas (B2C)</t>
        </is>
      </c>
      <c r="K4497" t="inlineStr">
        <is>
          <t>CH2</t>
        </is>
      </c>
    </row>
    <row r="4498">
      <c r="A4498" s="33" t="n">
        <v>46018</v>
      </c>
      <c r="B4498" t="inlineStr">
        <is>
          <t>2025-12</t>
        </is>
      </c>
      <c r="C4498" t="inlineStr">
        <is>
          <t>Sin cliente</t>
        </is>
      </c>
      <c r="D4498" t="inlineStr">
        <is>
          <t>Petit Tradicional</t>
        </is>
      </c>
      <c r="E4498" s="34" t="n">
        <v>31800</v>
      </c>
      <c r="F4498" t="inlineStr">
        <is>
          <t>B</t>
        </is>
      </c>
      <c r="G4498" s="34" t="n">
        <v>5077</v>
      </c>
      <c r="H4498" s="34" t="n">
        <v>26723</v>
      </c>
      <c r="I4498" t="inlineStr">
        <is>
          <t>3.2</t>
        </is>
      </c>
      <c r="J4498" t="inlineStr">
        <is>
          <t>Ventas Personas (B2C)</t>
        </is>
      </c>
      <c r="K4498" t="inlineStr">
        <is>
          <t>CH2</t>
        </is>
      </c>
    </row>
    <row r="4499">
      <c r="A4499" s="33" t="n">
        <v>46018</v>
      </c>
      <c r="B4499" t="inlineStr">
        <is>
          <t>2025-12</t>
        </is>
      </c>
      <c r="C4499" t="inlineStr">
        <is>
          <t>Isabel Schild Wenzel</t>
        </is>
      </c>
      <c r="D4499" t="inlineStr">
        <is>
          <t>Rellenos</t>
        </is>
      </c>
      <c r="E4499" s="34" t="n">
        <v>55290</v>
      </c>
      <c r="F4499" t="inlineStr">
        <is>
          <t>B</t>
        </is>
      </c>
      <c r="G4499" s="34" t="n">
        <v>8828</v>
      </c>
      <c r="H4499" s="34" t="n">
        <v>46462</v>
      </c>
      <c r="I4499" t="inlineStr">
        <is>
          <t>3.2</t>
        </is>
      </c>
      <c r="J4499" t="inlineStr">
        <is>
          <t>Ventas Personas (B2C)</t>
        </is>
      </c>
      <c r="K4499" t="inlineStr">
        <is>
          <t>CH2</t>
        </is>
      </c>
    </row>
    <row r="4500">
      <c r="A4500" s="33" t="n">
        <v>46018</v>
      </c>
      <c r="B4500" t="inlineStr">
        <is>
          <t>2025-12</t>
        </is>
      </c>
      <c r="C4500" t="inlineStr">
        <is>
          <t>Sin cliente</t>
        </is>
      </c>
      <c r="D4500" t="inlineStr">
        <is>
          <t>Mix Sabores</t>
        </is>
      </c>
      <c r="E4500" s="34" t="n">
        <v>29800</v>
      </c>
      <c r="F4500" t="inlineStr">
        <is>
          <t>B</t>
        </is>
      </c>
      <c r="G4500" s="34" t="n">
        <v>4758</v>
      </c>
      <c r="H4500" s="34" t="n">
        <v>25042</v>
      </c>
      <c r="I4500" t="inlineStr">
        <is>
          <t>3.2</t>
        </is>
      </c>
      <c r="J4500" t="inlineStr">
        <is>
          <t>Ventas Personas (B2C)</t>
        </is>
      </c>
      <c r="K4500" t="inlineStr">
        <is>
          <t>CH2</t>
        </is>
      </c>
    </row>
    <row r="4501">
      <c r="A4501" s="33" t="n">
        <v>46018</v>
      </c>
      <c r="B4501" t="inlineStr">
        <is>
          <t>2025-12</t>
        </is>
      </c>
      <c r="C4501" t="inlineStr">
        <is>
          <t>Sin cliente</t>
        </is>
      </c>
      <c r="D4501" t="inlineStr">
        <is>
          <t>Petit Crunchy</t>
        </is>
      </c>
      <c r="E4501" s="34" t="n">
        <v>13400</v>
      </c>
      <c r="F4501" t="inlineStr">
        <is>
          <t>B</t>
        </is>
      </c>
      <c r="G4501" s="34" t="n">
        <v>2139</v>
      </c>
      <c r="H4501" s="34" t="n">
        <v>11261</v>
      </c>
      <c r="I4501" t="inlineStr">
        <is>
          <t>3.2</t>
        </is>
      </c>
      <c r="J4501" t="inlineStr">
        <is>
          <t>Ventas Personas (B2C)</t>
        </is>
      </c>
      <c r="K4501" t="inlineStr">
        <is>
          <t>CH2</t>
        </is>
      </c>
    </row>
    <row r="4502">
      <c r="A4502" s="33" t="n">
        <v>46018</v>
      </c>
      <c r="B4502" t="inlineStr">
        <is>
          <t>2025-12</t>
        </is>
      </c>
      <c r="C4502" t="inlineStr">
        <is>
          <t>Gustavo Maldonado Saba</t>
        </is>
      </c>
      <c r="D4502" t="inlineStr">
        <is>
          <t>Rellenos</t>
        </is>
      </c>
      <c r="E4502" s="34" t="n">
        <v>38390</v>
      </c>
      <c r="F4502" t="inlineStr">
        <is>
          <t>B</t>
        </is>
      </c>
      <c r="G4502" s="34" t="n">
        <v>6129</v>
      </c>
      <c r="H4502" s="34" t="n">
        <v>32261</v>
      </c>
      <c r="I4502" t="inlineStr">
        <is>
          <t>3.2</t>
        </is>
      </c>
      <c r="J4502" t="inlineStr">
        <is>
          <t>Ventas Personas (B2C)</t>
        </is>
      </c>
      <c r="K4502" t="inlineStr">
        <is>
          <t>CH2</t>
        </is>
      </c>
    </row>
    <row r="4503">
      <c r="A4503" s="33" t="n">
        <v>46018</v>
      </c>
      <c r="B4503" t="inlineStr">
        <is>
          <t>2025-12</t>
        </is>
      </c>
      <c r="C4503" t="inlineStr">
        <is>
          <t>Sin cliente</t>
        </is>
      </c>
      <c r="D4503" t="inlineStr">
        <is>
          <t>Rellenos</t>
        </is>
      </c>
      <c r="E4503" s="34" t="n">
        <v>2800</v>
      </c>
      <c r="F4503" t="inlineStr">
        <is>
          <t>B</t>
        </is>
      </c>
      <c r="G4503" s="34" t="n">
        <v>447</v>
      </c>
      <c r="H4503" s="34" t="n">
        <v>2353</v>
      </c>
      <c r="I4503" t="inlineStr">
        <is>
          <t>3.2</t>
        </is>
      </c>
      <c r="J4503" t="inlineStr">
        <is>
          <t>Ventas Personas (B2C)</t>
        </is>
      </c>
      <c r="K4503" t="inlineStr">
        <is>
          <t>CH2</t>
        </is>
      </c>
    </row>
    <row r="4504">
      <c r="A4504" s="33" t="n">
        <v>46018</v>
      </c>
      <c r="B4504" t="inlineStr">
        <is>
          <t>2025-12</t>
        </is>
      </c>
      <c r="C4504" t="inlineStr">
        <is>
          <t>Sin cliente</t>
        </is>
      </c>
      <c r="D4504" t="inlineStr">
        <is>
          <t>Rellenos</t>
        </is>
      </c>
      <c r="E4504" s="34" t="n">
        <v>44800</v>
      </c>
      <c r="F4504" t="inlineStr">
        <is>
          <t>B</t>
        </is>
      </c>
      <c r="G4504" s="34" t="n">
        <v>7153</v>
      </c>
      <c r="H4504" s="34" t="n">
        <v>37647</v>
      </c>
      <c r="I4504" t="inlineStr">
        <is>
          <t>3.2</t>
        </is>
      </c>
      <c r="J4504" t="inlineStr">
        <is>
          <t>Ventas Personas (B2C)</t>
        </is>
      </c>
      <c r="K4504" t="inlineStr">
        <is>
          <t>CH2</t>
        </is>
      </c>
    </row>
    <row r="4505">
      <c r="A4505" s="33" t="n">
        <v>46018</v>
      </c>
      <c r="B4505" t="inlineStr">
        <is>
          <t>2025-12</t>
        </is>
      </c>
      <c r="C4505" t="inlineStr">
        <is>
          <t>Sin cliente</t>
        </is>
      </c>
      <c r="D4505" t="inlineStr">
        <is>
          <t>Petit Tradicional</t>
        </is>
      </c>
      <c r="E4505" s="34" t="n">
        <v>13800</v>
      </c>
      <c r="F4505" t="inlineStr">
        <is>
          <t>B</t>
        </is>
      </c>
      <c r="G4505" s="34" t="n">
        <v>2203</v>
      </c>
      <c r="H4505" s="34" t="n">
        <v>11597</v>
      </c>
      <c r="I4505" t="inlineStr">
        <is>
          <t>3.2</t>
        </is>
      </c>
      <c r="J4505" t="inlineStr">
        <is>
          <t>Ventas Personas (B2C)</t>
        </is>
      </c>
      <c r="K4505" t="inlineStr">
        <is>
          <t>CH2</t>
        </is>
      </c>
    </row>
    <row r="4506">
      <c r="A4506" s="33" t="n">
        <v>46018</v>
      </c>
      <c r="B4506" t="inlineStr">
        <is>
          <t>2025-12</t>
        </is>
      </c>
      <c r="C4506" t="inlineStr">
        <is>
          <t>Maria Ignacia Sagredo</t>
        </is>
      </c>
      <c r="D4506" t="inlineStr">
        <is>
          <t>Petit Tradicional</t>
        </is>
      </c>
      <c r="E4506" s="34" t="n">
        <v>27290</v>
      </c>
      <c r="F4506" t="inlineStr">
        <is>
          <t>B</t>
        </is>
      </c>
      <c r="G4506" s="34" t="n">
        <v>4357</v>
      </c>
      <c r="H4506" s="34" t="n">
        <v>22933</v>
      </c>
      <c r="I4506" t="inlineStr">
        <is>
          <t>3.2</t>
        </is>
      </c>
      <c r="J4506" t="inlineStr">
        <is>
          <t>Ventas Personas (B2C)</t>
        </is>
      </c>
      <c r="K4506" t="inlineStr">
        <is>
          <t>CH2</t>
        </is>
      </c>
    </row>
    <row r="4507">
      <c r="A4507" s="33" t="n">
        <v>46018</v>
      </c>
      <c r="B4507" t="inlineStr">
        <is>
          <t>2025-12</t>
        </is>
      </c>
      <c r="C4507" t="inlineStr">
        <is>
          <t>Sin cliente</t>
        </is>
      </c>
      <c r="D4507" t="inlineStr">
        <is>
          <t>CANELÉ TRADICIONAL</t>
        </is>
      </c>
      <c r="E4507" s="34" t="n">
        <v>52600</v>
      </c>
      <c r="F4507" t="inlineStr">
        <is>
          <t>B</t>
        </is>
      </c>
      <c r="G4507" s="34" t="n">
        <v>8398</v>
      </c>
      <c r="H4507" s="34" t="n">
        <v>44202</v>
      </c>
      <c r="I4507" t="inlineStr">
        <is>
          <t>3.2</t>
        </is>
      </c>
      <c r="J4507" t="inlineStr">
        <is>
          <t>Ventas Personas (B2C)</t>
        </is>
      </c>
      <c r="K4507" t="inlineStr">
        <is>
          <t>CH2</t>
        </is>
      </c>
    </row>
    <row r="4508">
      <c r="A4508" s="33" t="n">
        <v>46018</v>
      </c>
      <c r="B4508" t="inlineStr">
        <is>
          <t>2025-12</t>
        </is>
      </c>
      <c r="C4508" t="inlineStr">
        <is>
          <t>Sin cliente</t>
        </is>
      </c>
      <c r="D4508" t="inlineStr">
        <is>
          <t>CANELÉ TRADICIONAL</t>
        </is>
      </c>
      <c r="E4508" s="34" t="n">
        <v>2500</v>
      </c>
      <c r="F4508" t="inlineStr">
        <is>
          <t>B</t>
        </is>
      </c>
      <c r="G4508" s="34" t="n">
        <v>399</v>
      </c>
      <c r="H4508" s="34" t="n">
        <v>2101</v>
      </c>
      <c r="I4508" t="inlineStr">
        <is>
          <t>3.2</t>
        </is>
      </c>
      <c r="J4508" t="inlineStr">
        <is>
          <t>Ventas Personas (B2C)</t>
        </is>
      </c>
      <c r="K4508" t="inlineStr">
        <is>
          <t>CH2</t>
        </is>
      </c>
    </row>
    <row r="4509">
      <c r="A4509" s="33" t="n">
        <v>46018</v>
      </c>
      <c r="B4509" t="inlineStr">
        <is>
          <t>2025-12</t>
        </is>
      </c>
      <c r="C4509" t="inlineStr">
        <is>
          <t>Macarena Martinez pesenti</t>
        </is>
      </c>
      <c r="D4509" t="inlineStr">
        <is>
          <t>Petit Crunchy</t>
        </is>
      </c>
      <c r="E4509" s="34" t="n">
        <v>39390</v>
      </c>
      <c r="F4509" t="inlineStr">
        <is>
          <t>B</t>
        </is>
      </c>
      <c r="G4509" s="34" t="n">
        <v>6289</v>
      </c>
      <c r="H4509" s="34" t="n">
        <v>33101</v>
      </c>
      <c r="I4509" t="inlineStr">
        <is>
          <t>3.2</t>
        </is>
      </c>
      <c r="J4509" t="inlineStr">
        <is>
          <t>Ventas Personas (B2C)</t>
        </is>
      </c>
      <c r="K4509" t="inlineStr">
        <is>
          <t>CH2</t>
        </is>
      </c>
    </row>
    <row r="4510">
      <c r="A4510" s="33" t="n">
        <v>46018</v>
      </c>
      <c r="B4510" t="inlineStr">
        <is>
          <t>2025-12</t>
        </is>
      </c>
      <c r="C4510" t="inlineStr">
        <is>
          <t>Sin cliente</t>
        </is>
      </c>
      <c r="D4510" t="inlineStr">
        <is>
          <t>CANELÉ TRADICIONAL</t>
        </is>
      </c>
      <c r="E4510" s="34" t="n">
        <v>15900</v>
      </c>
      <c r="F4510" t="inlineStr">
        <is>
          <t>B</t>
        </is>
      </c>
      <c r="G4510" s="34" t="n">
        <v>2539</v>
      </c>
      <c r="H4510" s="34" t="n">
        <v>13361</v>
      </c>
      <c r="I4510" t="inlineStr">
        <is>
          <t>3.2</t>
        </is>
      </c>
      <c r="J4510" t="inlineStr">
        <is>
          <t>Ventas Personas (B2C)</t>
        </is>
      </c>
      <c r="K4510" t="inlineStr">
        <is>
          <t>CH2</t>
        </is>
      </c>
    </row>
    <row r="4511">
      <c r="A4511" s="33" t="n">
        <v>46019</v>
      </c>
      <c r="B4511" t="inlineStr">
        <is>
          <t>2025-12</t>
        </is>
      </c>
      <c r="C4511" t="inlineStr">
        <is>
          <t>Andrea Guillen Peña</t>
        </is>
      </c>
      <c r="D4511" t="inlineStr">
        <is>
          <t>Petit Tradicional</t>
        </is>
      </c>
      <c r="E4511" s="34" t="n">
        <v>21800</v>
      </c>
      <c r="F4511" t="inlineStr">
        <is>
          <t>B</t>
        </is>
      </c>
      <c r="G4511" s="34" t="n">
        <v>3481</v>
      </c>
      <c r="H4511" s="34" t="n">
        <v>18319</v>
      </c>
      <c r="I4511" t="inlineStr">
        <is>
          <t>3.2</t>
        </is>
      </c>
      <c r="J4511" t="inlineStr">
        <is>
          <t>Ventas Personas (B2C)</t>
        </is>
      </c>
      <c r="K4511" t="inlineStr">
        <is>
          <t>CH2</t>
        </is>
      </c>
    </row>
    <row r="4512">
      <c r="A4512" s="33" t="n">
        <v>46019</v>
      </c>
      <c r="B4512" t="inlineStr">
        <is>
          <t>2025-12</t>
        </is>
      </c>
      <c r="C4512" t="inlineStr">
        <is>
          <t>Josefina Araya</t>
        </is>
      </c>
      <c r="D4512" t="inlineStr">
        <is>
          <t>CANELÉ TRADICIONAL</t>
        </is>
      </c>
      <c r="E4512" s="34" t="n">
        <v>27390</v>
      </c>
      <c r="F4512" t="inlineStr">
        <is>
          <t>B</t>
        </is>
      </c>
      <c r="G4512" s="34" t="n">
        <v>4373</v>
      </c>
      <c r="H4512" s="34" t="n">
        <v>23017</v>
      </c>
      <c r="I4512" t="inlineStr">
        <is>
          <t>3.2</t>
        </is>
      </c>
      <c r="J4512" t="inlineStr">
        <is>
          <t>Ventas Personas (B2C)</t>
        </is>
      </c>
      <c r="K4512" t="inlineStr">
        <is>
          <t>CH2</t>
        </is>
      </c>
    </row>
    <row r="4513">
      <c r="A4513" s="33" t="n">
        <v>46019</v>
      </c>
      <c r="B4513" t="inlineStr">
        <is>
          <t>2025-12</t>
        </is>
      </c>
      <c r="C4513" t="inlineStr">
        <is>
          <t>Claudia Kim</t>
        </is>
      </c>
      <c r="D4513" t="inlineStr">
        <is>
          <t>SALSAS</t>
        </is>
      </c>
      <c r="E4513" s="34" t="n">
        <v>65390</v>
      </c>
      <c r="F4513" t="inlineStr">
        <is>
          <t>B</t>
        </is>
      </c>
      <c r="G4513" s="34" t="n">
        <v>10440</v>
      </c>
      <c r="H4513" s="34" t="n">
        <v>54950</v>
      </c>
      <c r="I4513" t="inlineStr">
        <is>
          <t>3.2</t>
        </is>
      </c>
      <c r="J4513" t="inlineStr">
        <is>
          <t>Ventas Personas (B2C)</t>
        </is>
      </c>
      <c r="K4513" t="inlineStr">
        <is>
          <t>CH2</t>
        </is>
      </c>
    </row>
    <row r="4514">
      <c r="A4514" s="33" t="n">
        <v>46019</v>
      </c>
      <c r="B4514" t="inlineStr">
        <is>
          <t>2025-12</t>
        </is>
      </c>
      <c r="C4514" t="inlineStr">
        <is>
          <t>Luciano Souyris Basso</t>
        </is>
      </c>
      <c r="D4514" t="inlineStr">
        <is>
          <t>Rellenos</t>
        </is>
      </c>
      <c r="E4514" s="34" t="n">
        <v>18900</v>
      </c>
      <c r="F4514" t="inlineStr">
        <is>
          <t>B</t>
        </is>
      </c>
      <c r="G4514" s="34" t="n">
        <v>3018</v>
      </c>
      <c r="H4514" s="34" t="n">
        <v>15882</v>
      </c>
      <c r="I4514" t="inlineStr">
        <is>
          <t>3.2</t>
        </is>
      </c>
      <c r="J4514" t="inlineStr">
        <is>
          <t>Ventas Personas (B2C)</t>
        </is>
      </c>
      <c r="K4514" t="inlineStr">
        <is>
          <t>CH2</t>
        </is>
      </c>
    </row>
    <row r="4515">
      <c r="A4515" s="33" t="n">
        <v>46019</v>
      </c>
      <c r="B4515" t="inlineStr">
        <is>
          <t>2025-12</t>
        </is>
      </c>
      <c r="C4515" t="inlineStr">
        <is>
          <t>Marisol Urrutia</t>
        </is>
      </c>
      <c r="D4515" t="inlineStr">
        <is>
          <t>Rellenos</t>
        </is>
      </c>
      <c r="E4515" s="34" t="n">
        <v>31390</v>
      </c>
      <c r="F4515" t="inlineStr">
        <is>
          <t>B</t>
        </is>
      </c>
      <c r="G4515" s="34" t="n">
        <v>5012</v>
      </c>
      <c r="H4515" s="34" t="n">
        <v>26378</v>
      </c>
      <c r="I4515" t="inlineStr">
        <is>
          <t>3.2</t>
        </is>
      </c>
      <c r="J4515" t="inlineStr">
        <is>
          <t>Ventas Personas (B2C)</t>
        </is>
      </c>
      <c r="K4515" t="inlineStr">
        <is>
          <t>CH2</t>
        </is>
      </c>
    </row>
    <row r="4516">
      <c r="A4516" s="33" t="n">
        <v>46019</v>
      </c>
      <c r="B4516" t="inlineStr">
        <is>
          <t>2025-12</t>
        </is>
      </c>
      <c r="C4516" t="inlineStr">
        <is>
          <t>Francia Ducasse</t>
        </is>
      </c>
      <c r="D4516" t="inlineStr">
        <is>
          <t>Rellenos</t>
        </is>
      </c>
      <c r="E4516" s="34" t="n">
        <v>49290</v>
      </c>
      <c r="F4516" t="inlineStr">
        <is>
          <t>B</t>
        </is>
      </c>
      <c r="G4516" s="34" t="n">
        <v>7870</v>
      </c>
      <c r="H4516" s="34" t="n">
        <v>41420</v>
      </c>
      <c r="I4516" t="inlineStr">
        <is>
          <t>3.2</t>
        </is>
      </c>
      <c r="J4516" t="inlineStr">
        <is>
          <t>Ventas Personas (B2C)</t>
        </is>
      </c>
      <c r="K4516" t="inlineStr">
        <is>
          <t>CH2</t>
        </is>
      </c>
    </row>
    <row r="4517">
      <c r="A4517" s="33" t="n">
        <v>46019</v>
      </c>
      <c r="B4517" t="inlineStr">
        <is>
          <t>2025-12</t>
        </is>
      </c>
      <c r="C4517" t="inlineStr">
        <is>
          <t>Araceli Caceres</t>
        </is>
      </c>
      <c r="D4517" t="inlineStr">
        <is>
          <t>CANELE SIN AZUCAR</t>
        </is>
      </c>
      <c r="E4517" s="34" t="n">
        <v>26810</v>
      </c>
      <c r="F4517" t="inlineStr">
        <is>
          <t>B</t>
        </is>
      </c>
      <c r="G4517" s="34" t="n">
        <v>4281</v>
      </c>
      <c r="H4517" s="34" t="n">
        <v>22529</v>
      </c>
      <c r="I4517" t="inlineStr">
        <is>
          <t>3.2</t>
        </is>
      </c>
      <c r="J4517" t="inlineStr">
        <is>
          <t>Ventas Personas (B2C)</t>
        </is>
      </c>
      <c r="K4517" t="inlineStr">
        <is>
          <t>CH2</t>
        </is>
      </c>
    </row>
    <row r="4518">
      <c r="A4518" s="33" t="n">
        <v>46019</v>
      </c>
      <c r="B4518" t="inlineStr">
        <is>
          <t>2025-12</t>
        </is>
      </c>
      <c r="C4518" t="inlineStr">
        <is>
          <t>Blanca Ugarte</t>
        </is>
      </c>
      <c r="D4518" t="inlineStr">
        <is>
          <t>CANELÉ TRADICIONAL</t>
        </is>
      </c>
      <c r="E4518" s="34" t="n">
        <v>59290</v>
      </c>
      <c r="F4518" t="inlineStr">
        <is>
          <t>B</t>
        </is>
      </c>
      <c r="G4518" s="34" t="n">
        <v>9466</v>
      </c>
      <c r="H4518" s="34" t="n">
        <v>49824</v>
      </c>
      <c r="I4518" t="inlineStr">
        <is>
          <t>3.2</t>
        </is>
      </c>
      <c r="J4518" t="inlineStr">
        <is>
          <t>Ventas Personas (B2C)</t>
        </is>
      </c>
      <c r="K4518" t="inlineStr">
        <is>
          <t>CH2</t>
        </is>
      </c>
    </row>
    <row r="4519">
      <c r="A4519" s="33" t="n">
        <v>46020</v>
      </c>
      <c r="B4519" t="inlineStr">
        <is>
          <t>2025-12</t>
        </is>
      </c>
      <c r="C4519" t="inlineStr">
        <is>
          <t>INVERSIONES Y COMERCIALIZADORA FED LIMITADA</t>
        </is>
      </c>
      <c r="D4519" t="inlineStr">
        <is>
          <t>HORECA CAFETERIA</t>
        </is>
      </c>
      <c r="E4519" s="34" t="n">
        <v>211595</v>
      </c>
      <c r="F4519" t="inlineStr">
        <is>
          <t>F</t>
        </is>
      </c>
      <c r="G4519" s="34" t="n">
        <v>33784</v>
      </c>
      <c r="H4519" s="34" t="n">
        <v>177811</v>
      </c>
      <c r="I4519" t="inlineStr">
        <is>
          <t>3.1</t>
        </is>
      </c>
      <c r="J4519" t="inlineStr">
        <is>
          <t>Ventas HoReCa</t>
        </is>
      </c>
      <c r="K4519" t="inlineStr">
        <is>
          <t>CH1</t>
        </is>
      </c>
    </row>
    <row r="4520">
      <c r="A4520" s="33" t="n">
        <v>46020</v>
      </c>
      <c r="B4520" t="inlineStr">
        <is>
          <t>2025-12</t>
        </is>
      </c>
      <c r="C4520" t="inlineStr">
        <is>
          <t>INVERSIONES Y COMERCIALIZADORA FED LIMITADA</t>
        </is>
      </c>
      <c r="D4520" t="inlineStr">
        <is>
          <t>HORECA CAFETERIA</t>
        </is>
      </c>
      <c r="E4520" s="34" t="n">
        <v>64791</v>
      </c>
      <c r="F4520" t="inlineStr">
        <is>
          <t>F</t>
        </is>
      </c>
      <c r="G4520" s="34" t="n">
        <v>10345</v>
      </c>
      <c r="H4520" s="34" t="n">
        <v>54446</v>
      </c>
      <c r="I4520" t="inlineStr">
        <is>
          <t>3.1</t>
        </is>
      </c>
      <c r="J4520" t="inlineStr">
        <is>
          <t>Ventas HoReCa</t>
        </is>
      </c>
      <c r="K4520" t="inlineStr">
        <is>
          <t>CH1</t>
        </is>
      </c>
    </row>
    <row r="4521">
      <c r="A4521" s="33" t="n">
        <v>46020</v>
      </c>
      <c r="B4521" t="inlineStr">
        <is>
          <t>2025-12</t>
        </is>
      </c>
      <c r="C4521" t="inlineStr">
        <is>
          <t>INVERSIONES Y ASESORIAS RAVAL LIMITADA</t>
        </is>
      </c>
      <c r="D4521" t="inlineStr">
        <is>
          <t>HORECA CAFETERIA</t>
        </is>
      </c>
      <c r="E4521" s="34" t="n">
        <v>75030</v>
      </c>
      <c r="F4521" t="inlineStr">
        <is>
          <t>F</t>
        </is>
      </c>
      <c r="G4521" s="34" t="n">
        <v>11980</v>
      </c>
      <c r="H4521" s="34" t="n">
        <v>63050</v>
      </c>
      <c r="I4521" t="inlineStr">
        <is>
          <t>3.1</t>
        </is>
      </c>
      <c r="J4521" t="inlineStr">
        <is>
          <t>Ventas HoReCa</t>
        </is>
      </c>
      <c r="K4521" t="inlineStr">
        <is>
          <t>CH1</t>
        </is>
      </c>
    </row>
    <row r="4522">
      <c r="A4522" s="33" t="n">
        <v>46020</v>
      </c>
      <c r="B4522" t="inlineStr">
        <is>
          <t>2025-12</t>
        </is>
      </c>
      <c r="C4522" t="inlineStr">
        <is>
          <t>Sociedad de inversiones solari y acuña spa</t>
        </is>
      </c>
      <c r="D4522" t="inlineStr">
        <is>
          <t>HORECA CAFETERIA</t>
        </is>
      </c>
      <c r="E4522" s="34" t="n">
        <v>135398</v>
      </c>
      <c r="F4522" t="inlineStr">
        <is>
          <t>F</t>
        </is>
      </c>
      <c r="G4522" s="34" t="n">
        <v>21618</v>
      </c>
      <c r="H4522" s="34" t="n">
        <v>113780</v>
      </c>
      <c r="I4522" t="inlineStr">
        <is>
          <t>3.1</t>
        </is>
      </c>
      <c r="J4522" t="inlineStr">
        <is>
          <t>Ventas HoReCa</t>
        </is>
      </c>
      <c r="K4522" t="inlineStr">
        <is>
          <t>CH1</t>
        </is>
      </c>
    </row>
    <row r="4523">
      <c r="A4523" s="33" t="n">
        <v>46020</v>
      </c>
      <c r="B4523" t="inlineStr">
        <is>
          <t>2025-12</t>
        </is>
      </c>
      <c r="C4523" t="inlineStr">
        <is>
          <t>CAFE DIARIO ENCOMENDEROS SPA</t>
        </is>
      </c>
      <c r="D4523" t="inlineStr">
        <is>
          <t>HORECA CAFETERIA</t>
        </is>
      </c>
      <c r="E4523" s="34" t="n">
        <v>108380</v>
      </c>
      <c r="F4523" t="inlineStr">
        <is>
          <t>F</t>
        </is>
      </c>
      <c r="G4523" s="34" t="n">
        <v>17304</v>
      </c>
      <c r="H4523" s="34" t="n">
        <v>91076</v>
      </c>
      <c r="I4523" t="inlineStr">
        <is>
          <t>3.1</t>
        </is>
      </c>
      <c r="J4523" t="inlineStr">
        <is>
          <t>Ventas HoReCa</t>
        </is>
      </c>
      <c r="K4523" t="inlineStr">
        <is>
          <t>CH1</t>
        </is>
      </c>
    </row>
    <row r="4524">
      <c r="A4524" s="33" t="n">
        <v>46020</v>
      </c>
      <c r="B4524" t="inlineStr">
        <is>
          <t>2025-12</t>
        </is>
      </c>
      <c r="C4524" t="inlineStr">
        <is>
          <t>GALO SPA</t>
        </is>
      </c>
      <c r="D4524" t="inlineStr">
        <is>
          <t>HORECA CAFETERIA</t>
        </is>
      </c>
      <c r="E4524" s="34" t="n">
        <v>144537</v>
      </c>
      <c r="F4524" t="inlineStr">
        <is>
          <t>F</t>
        </is>
      </c>
      <c r="G4524" s="34" t="n">
        <v>23077</v>
      </c>
      <c r="H4524" s="34" t="n">
        <v>121460</v>
      </c>
      <c r="I4524" t="inlineStr">
        <is>
          <t>3.1</t>
        </is>
      </c>
      <c r="J4524" t="inlineStr">
        <is>
          <t>Ventas HoReCa</t>
        </is>
      </c>
      <c r="K4524" t="inlineStr">
        <is>
          <t>CH1</t>
        </is>
      </c>
    </row>
    <row r="4525">
      <c r="A4525" s="33" t="n">
        <v>46020</v>
      </c>
      <c r="B4525" t="inlineStr">
        <is>
          <t>2025-12</t>
        </is>
      </c>
      <c r="C4525" t="inlineStr">
        <is>
          <t>Sofía Parra</t>
        </is>
      </c>
      <c r="D4525" t="inlineStr">
        <is>
          <t>Rellenos</t>
        </is>
      </c>
      <c r="E4525" s="34" t="n">
        <v>33390</v>
      </c>
      <c r="F4525" t="inlineStr">
        <is>
          <t>B</t>
        </is>
      </c>
      <c r="G4525" s="34" t="n">
        <v>5331</v>
      </c>
      <c r="H4525" s="34" t="n">
        <v>28059</v>
      </c>
      <c r="I4525" t="inlineStr">
        <is>
          <t>3.2</t>
        </is>
      </c>
      <c r="J4525" t="inlineStr">
        <is>
          <t>Ventas Personas (B2C)</t>
        </is>
      </c>
      <c r="K4525" t="inlineStr">
        <is>
          <t>CH2</t>
        </is>
      </c>
    </row>
    <row r="4526">
      <c r="A4526" s="33" t="n">
        <v>46020</v>
      </c>
      <c r="B4526" t="inlineStr">
        <is>
          <t>2025-12</t>
        </is>
      </c>
      <c r="C4526" t="inlineStr">
        <is>
          <t>Lagos y garay ltda</t>
        </is>
      </c>
      <c r="D4526" t="inlineStr">
        <is>
          <t>Petit Crunchy</t>
        </is>
      </c>
      <c r="E4526" s="34" t="n">
        <v>42921</v>
      </c>
      <c r="F4526" t="inlineStr">
        <is>
          <t>F</t>
        </is>
      </c>
      <c r="G4526" s="34" t="n">
        <v>6853</v>
      </c>
      <c r="H4526" s="34" t="n">
        <v>36068</v>
      </c>
      <c r="I4526" t="inlineStr">
        <is>
          <t>3.1</t>
        </is>
      </c>
      <c r="J4526" t="inlineStr">
        <is>
          <t>Ventas HoReCa</t>
        </is>
      </c>
      <c r="K4526" t="inlineStr">
        <is>
          <t>CH1</t>
        </is>
      </c>
    </row>
    <row r="4527">
      <c r="A4527" s="33" t="n">
        <v>46020</v>
      </c>
      <c r="B4527" t="inlineStr">
        <is>
          <t>2025-12</t>
        </is>
      </c>
      <c r="C4527" t="inlineStr">
        <is>
          <t>Carolina Campo - Martinez</t>
        </is>
      </c>
      <c r="D4527" t="inlineStr">
        <is>
          <t>CANELE SIN AZUCAR</t>
        </is>
      </c>
      <c r="E4527" s="34" t="n">
        <v>99840</v>
      </c>
      <c r="F4527" t="inlineStr">
        <is>
          <t>B</t>
        </is>
      </c>
      <c r="G4527" s="34" t="n">
        <v>15941</v>
      </c>
      <c r="H4527" s="34" t="n">
        <v>83899</v>
      </c>
      <c r="I4527" t="inlineStr">
        <is>
          <t>3.2</t>
        </is>
      </c>
      <c r="J4527" t="inlineStr">
        <is>
          <t>Ventas Personas (B2C)</t>
        </is>
      </c>
      <c r="K4527" t="inlineStr">
        <is>
          <t>CH2</t>
        </is>
      </c>
    </row>
    <row r="4528">
      <c r="A4528" s="33" t="n">
        <v>46020</v>
      </c>
      <c r="B4528" t="inlineStr">
        <is>
          <t>2025-12</t>
        </is>
      </c>
      <c r="C4528" t="inlineStr">
        <is>
          <t>RAUL FUENTES</t>
        </is>
      </c>
      <c r="D4528" t="inlineStr">
        <is>
          <t>SALSAS</t>
        </is>
      </c>
      <c r="E4528" s="34" t="n">
        <v>32280</v>
      </c>
      <c r="F4528" t="inlineStr">
        <is>
          <t>B</t>
        </is>
      </c>
      <c r="G4528" s="34" t="n">
        <v>5154</v>
      </c>
      <c r="H4528" s="34" t="n">
        <v>27126</v>
      </c>
      <c r="I4528" t="inlineStr">
        <is>
          <t>3.2</t>
        </is>
      </c>
      <c r="J4528" t="inlineStr">
        <is>
          <t>Ventas Personas (B2C)</t>
        </is>
      </c>
      <c r="K4528" t="inlineStr">
        <is>
          <t>CH2</t>
        </is>
      </c>
    </row>
    <row r="4529">
      <c r="A4529" s="33" t="n">
        <v>46020</v>
      </c>
      <c r="B4529" t="inlineStr">
        <is>
          <t>2025-12</t>
        </is>
      </c>
      <c r="C4529" t="inlineStr">
        <is>
          <t>María Ignacia pattillo garnham</t>
        </is>
      </c>
      <c r="D4529" t="inlineStr">
        <is>
          <t>Mix Sabores</t>
        </is>
      </c>
      <c r="E4529" s="34" t="n">
        <v>20390</v>
      </c>
      <c r="F4529" t="inlineStr">
        <is>
          <t>B</t>
        </is>
      </c>
      <c r="G4529" s="34" t="n">
        <v>3256</v>
      </c>
      <c r="H4529" s="34" t="n">
        <v>17134</v>
      </c>
      <c r="I4529" t="inlineStr">
        <is>
          <t>3.2</t>
        </is>
      </c>
      <c r="J4529" t="inlineStr">
        <is>
          <t>Ventas Personas (B2C)</t>
        </is>
      </c>
      <c r="K4529" t="inlineStr">
        <is>
          <t>CH2</t>
        </is>
      </c>
    </row>
    <row r="4530">
      <c r="A4530" s="33" t="n">
        <v>46020</v>
      </c>
      <c r="B4530" t="inlineStr">
        <is>
          <t>2025-12</t>
        </is>
      </c>
      <c r="C4530" t="inlineStr">
        <is>
          <t>Macarena sarra</t>
        </is>
      </c>
      <c r="D4530" t="inlineStr">
        <is>
          <t>CANELÉ TRADICIONAL</t>
        </is>
      </c>
      <c r="E4530" s="34" t="n">
        <v>22900</v>
      </c>
      <c r="F4530" t="inlineStr">
        <is>
          <t>B</t>
        </is>
      </c>
      <c r="G4530" s="34" t="n">
        <v>3656</v>
      </c>
      <c r="H4530" s="34" t="n">
        <v>19244</v>
      </c>
      <c r="I4530" t="inlineStr">
        <is>
          <t>3.2</t>
        </is>
      </c>
      <c r="J4530" t="inlineStr">
        <is>
          <t>Ventas Personas (B2C)</t>
        </is>
      </c>
      <c r="K4530" t="inlineStr">
        <is>
          <t>CH2</t>
        </is>
      </c>
    </row>
    <row r="4531">
      <c r="A4531" s="33" t="n">
        <v>46020</v>
      </c>
      <c r="B4531" t="inlineStr">
        <is>
          <t>2025-12</t>
        </is>
      </c>
      <c r="C4531" t="inlineStr">
        <is>
          <t>Dianmar Briceño</t>
        </is>
      </c>
      <c r="D4531" t="inlineStr">
        <is>
          <t>CANELÉ TRADICIONAL</t>
        </is>
      </c>
      <c r="E4531" s="34" t="n">
        <v>32301</v>
      </c>
      <c r="F4531" t="inlineStr">
        <is>
          <t>B</t>
        </is>
      </c>
      <c r="G4531" s="34" t="n">
        <v>5157</v>
      </c>
      <c r="H4531" s="34" t="n">
        <v>27144</v>
      </c>
      <c r="I4531" t="inlineStr">
        <is>
          <t>3.2</t>
        </is>
      </c>
      <c r="J4531" t="inlineStr">
        <is>
          <t>Ventas Personas (B2C)</t>
        </is>
      </c>
      <c r="K4531" t="inlineStr">
        <is>
          <t>CH2</t>
        </is>
      </c>
    </row>
    <row r="4532">
      <c r="A4532" s="33" t="n">
        <v>46020</v>
      </c>
      <c r="B4532" t="inlineStr">
        <is>
          <t>2025-12</t>
        </is>
      </c>
      <c r="C4532" t="inlineStr">
        <is>
          <t>Tamara Poblete escobar</t>
        </is>
      </c>
      <c r="D4532" t="inlineStr">
        <is>
          <t>Petit Crunchy</t>
        </is>
      </c>
      <c r="E4532" s="34" t="n">
        <v>14900</v>
      </c>
      <c r="F4532" t="inlineStr">
        <is>
          <t>B</t>
        </is>
      </c>
      <c r="G4532" s="34" t="n">
        <v>2379</v>
      </c>
      <c r="H4532" s="34" t="n">
        <v>12521</v>
      </c>
      <c r="I4532" t="inlineStr">
        <is>
          <t>3.2</t>
        </is>
      </c>
      <c r="J4532" t="inlineStr">
        <is>
          <t>Ventas Personas (B2C)</t>
        </is>
      </c>
      <c r="K4532" t="inlineStr">
        <is>
          <t>CH2</t>
        </is>
      </c>
    </row>
    <row r="4533">
      <c r="A4533" s="33" t="n">
        <v>46020</v>
      </c>
      <c r="B4533" t="inlineStr">
        <is>
          <t>2025-12</t>
        </is>
      </c>
      <c r="C4533" t="inlineStr">
        <is>
          <t>LINDA DUVAL</t>
        </is>
      </c>
      <c r="D4533" t="inlineStr">
        <is>
          <t>Petit Crunchy</t>
        </is>
      </c>
      <c r="E4533" s="34" t="n">
        <v>26900</v>
      </c>
      <c r="F4533" t="inlineStr">
        <is>
          <t>B</t>
        </is>
      </c>
      <c r="G4533" s="34" t="n">
        <v>4295</v>
      </c>
      <c r="H4533" s="34" t="n">
        <v>22605</v>
      </c>
      <c r="I4533" t="inlineStr">
        <is>
          <t>3.2</t>
        </is>
      </c>
      <c r="J4533" t="inlineStr">
        <is>
          <t>Ventas Personas (B2C)</t>
        </is>
      </c>
      <c r="K4533" t="inlineStr">
        <is>
          <t>CH2</t>
        </is>
      </c>
    </row>
    <row r="4534">
      <c r="A4534" s="33" t="n">
        <v>46020</v>
      </c>
      <c r="B4534" t="inlineStr">
        <is>
          <t>2025-12</t>
        </is>
      </c>
      <c r="C4534" t="inlineStr">
        <is>
          <t>Seo Hwa Kim</t>
        </is>
      </c>
      <c r="D4534" t="inlineStr">
        <is>
          <t>CANELE SIN AZUCAR</t>
        </is>
      </c>
      <c r="E4534" s="34" t="n">
        <v>41290</v>
      </c>
      <c r="F4534" t="inlineStr">
        <is>
          <t>B</t>
        </is>
      </c>
      <c r="G4534" s="34" t="n">
        <v>6593</v>
      </c>
      <c r="H4534" s="34" t="n">
        <v>34697</v>
      </c>
      <c r="I4534" t="inlineStr">
        <is>
          <t>3.2</t>
        </is>
      </c>
      <c r="J4534" t="inlineStr">
        <is>
          <t>Ventas Personas (B2C)</t>
        </is>
      </c>
      <c r="K4534" t="inlineStr">
        <is>
          <t>CH2</t>
        </is>
      </c>
    </row>
    <row r="4535">
      <c r="A4535" s="33" t="n">
        <v>46020</v>
      </c>
      <c r="B4535" t="inlineStr">
        <is>
          <t>2025-12</t>
        </is>
      </c>
      <c r="C4535" t="inlineStr">
        <is>
          <t>Claudio Concha bustos</t>
        </is>
      </c>
      <c r="D4535" t="inlineStr">
        <is>
          <t>PACKAGING</t>
        </is>
      </c>
      <c r="E4535" s="34" t="n">
        <v>20290</v>
      </c>
      <c r="F4535" t="inlineStr">
        <is>
          <t>B</t>
        </is>
      </c>
      <c r="G4535" s="34" t="n">
        <v>3240</v>
      </c>
      <c r="H4535" s="34" t="n">
        <v>17050</v>
      </c>
      <c r="I4535" t="inlineStr">
        <is>
          <t>3.2</t>
        </is>
      </c>
      <c r="J4535" t="inlineStr">
        <is>
          <t>Ventas Personas (B2C)</t>
        </is>
      </c>
      <c r="K4535" t="inlineStr">
        <is>
          <t>CH2</t>
        </is>
      </c>
    </row>
    <row r="4536">
      <c r="A4536" s="33" t="n">
        <v>46020</v>
      </c>
      <c r="B4536" t="inlineStr">
        <is>
          <t>2025-12</t>
        </is>
      </c>
      <c r="C4536" t="inlineStr">
        <is>
          <t>Maria Jose Bruna Alvarez</t>
        </is>
      </c>
      <c r="D4536" t="inlineStr">
        <is>
          <t>CANELÉ TRADICIONAL</t>
        </is>
      </c>
      <c r="E4536" s="34" t="n">
        <v>38160</v>
      </c>
      <c r="F4536" t="inlineStr">
        <is>
          <t>B</t>
        </is>
      </c>
      <c r="G4536" s="34" t="n">
        <v>6093</v>
      </c>
      <c r="H4536" s="34" t="n">
        <v>32067</v>
      </c>
      <c r="I4536" t="inlineStr">
        <is>
          <t>3.2</t>
        </is>
      </c>
      <c r="J4536" t="inlineStr">
        <is>
          <t>Ventas Personas (B2C)</t>
        </is>
      </c>
      <c r="K4536" t="inlineStr">
        <is>
          <t>CH2</t>
        </is>
      </c>
    </row>
    <row r="4537">
      <c r="A4537" s="33" t="n">
        <v>46020</v>
      </c>
      <c r="B4537" t="inlineStr">
        <is>
          <t>2025-12</t>
        </is>
      </c>
      <c r="C4537" t="inlineStr">
        <is>
          <t>Daniela Arias Guiñez</t>
        </is>
      </c>
      <c r="D4537" t="inlineStr">
        <is>
          <t>Rellenos</t>
        </is>
      </c>
      <c r="E4537" s="34" t="n">
        <v>38390</v>
      </c>
      <c r="F4537" t="inlineStr">
        <is>
          <t>B</t>
        </is>
      </c>
      <c r="G4537" s="34" t="n">
        <v>6129</v>
      </c>
      <c r="H4537" s="34" t="n">
        <v>32261</v>
      </c>
      <c r="I4537" t="inlineStr">
        <is>
          <t>3.2</t>
        </is>
      </c>
      <c r="J4537" t="inlineStr">
        <is>
          <t>Ventas Personas (B2C)</t>
        </is>
      </c>
      <c r="K4537" t="inlineStr">
        <is>
          <t>CH2</t>
        </is>
      </c>
    </row>
    <row r="4538">
      <c r="A4538" s="33" t="n">
        <v>46020</v>
      </c>
      <c r="B4538" t="inlineStr">
        <is>
          <t>2025-12</t>
        </is>
      </c>
      <c r="C4538" t="inlineStr">
        <is>
          <t>Camila Valenzuela bravo</t>
        </is>
      </c>
      <c r="D4538" t="inlineStr">
        <is>
          <t>Petit Crunchy</t>
        </is>
      </c>
      <c r="E4538" s="34" t="n">
        <v>35290</v>
      </c>
      <c r="F4538" t="inlineStr">
        <is>
          <t>B</t>
        </is>
      </c>
      <c r="G4538" s="34" t="n">
        <v>5635</v>
      </c>
      <c r="H4538" s="34" t="n">
        <v>29655</v>
      </c>
      <c r="I4538" t="inlineStr">
        <is>
          <t>3.2</t>
        </is>
      </c>
      <c r="J4538" t="inlineStr">
        <is>
          <t>Ventas Personas (B2C)</t>
        </is>
      </c>
      <c r="K4538" t="inlineStr">
        <is>
          <t>CH2</t>
        </is>
      </c>
    </row>
    <row r="4539">
      <c r="A4539" s="33" t="n">
        <v>46020</v>
      </c>
      <c r="B4539" t="inlineStr">
        <is>
          <t>2025-12</t>
        </is>
      </c>
      <c r="C4539" t="inlineStr">
        <is>
          <t>Nathalie Jamett</t>
        </is>
      </c>
      <c r="D4539" t="inlineStr">
        <is>
          <t>Mix Sabores</t>
        </is>
      </c>
      <c r="E4539" s="34" t="n">
        <v>29800</v>
      </c>
      <c r="F4539" t="inlineStr">
        <is>
          <t>B</t>
        </is>
      </c>
      <c r="G4539" s="34" t="n">
        <v>4758</v>
      </c>
      <c r="H4539" s="34" t="n">
        <v>25042</v>
      </c>
      <c r="I4539" t="inlineStr">
        <is>
          <t>3.2</t>
        </is>
      </c>
      <c r="J4539" t="inlineStr">
        <is>
          <t>Ventas Personas (B2C)</t>
        </is>
      </c>
      <c r="K4539" t="inlineStr">
        <is>
          <t>CH2</t>
        </is>
      </c>
    </row>
    <row r="4540">
      <c r="A4540" s="33" t="n">
        <v>46020</v>
      </c>
      <c r="B4540" t="inlineStr">
        <is>
          <t>2025-12</t>
        </is>
      </c>
      <c r="C4540" t="inlineStr">
        <is>
          <t>Marisol Valencia Moya</t>
        </is>
      </c>
      <c r="D4540" t="inlineStr">
        <is>
          <t>Rellenos</t>
        </is>
      </c>
      <c r="E4540" s="34" t="n">
        <v>78690</v>
      </c>
      <c r="F4540" t="inlineStr">
        <is>
          <t>B</t>
        </is>
      </c>
      <c r="G4540" s="34" t="n">
        <v>12564</v>
      </c>
      <c r="H4540" s="34" t="n">
        <v>66126</v>
      </c>
      <c r="I4540" t="inlineStr">
        <is>
          <t>3.2</t>
        </is>
      </c>
      <c r="J4540" t="inlineStr">
        <is>
          <t>Ventas Personas (B2C)</t>
        </is>
      </c>
      <c r="K4540" t="inlineStr">
        <is>
          <t>CH2</t>
        </is>
      </c>
    </row>
    <row r="4541">
      <c r="A4541" s="33" t="n">
        <v>46020</v>
      </c>
      <c r="B4541" t="inlineStr">
        <is>
          <t>2025-12</t>
        </is>
      </c>
      <c r="C4541" t="inlineStr">
        <is>
          <t>Sin cliente</t>
        </is>
      </c>
      <c r="D4541" t="inlineStr">
        <is>
          <t>PLATAFORMAS RAP-PEYA-UBER-GOOD</t>
        </is>
      </c>
      <c r="E4541" s="34" t="n">
        <v>60000</v>
      </c>
      <c r="F4541" t="inlineStr">
        <is>
          <t>B</t>
        </is>
      </c>
      <c r="G4541" s="34" t="n">
        <v>9580</v>
      </c>
      <c r="H4541" s="34" t="n">
        <v>50420</v>
      </c>
      <c r="I4541" t="inlineStr">
        <is>
          <t>3.6</t>
        </is>
      </c>
      <c r="J4541" t="inlineStr">
        <is>
          <t>Ventas Delivery Apps</t>
        </is>
      </c>
      <c r="K4541" t="inlineStr">
        <is>
          <t>CH3</t>
        </is>
      </c>
    </row>
    <row r="4542">
      <c r="A4542" s="33" t="n">
        <v>46020</v>
      </c>
      <c r="B4542" t="inlineStr">
        <is>
          <t>2025-12</t>
        </is>
      </c>
      <c r="C4542" t="inlineStr">
        <is>
          <t>Sin cliente</t>
        </is>
      </c>
      <c r="D4542" t="inlineStr">
        <is>
          <t>PLATAFORMAS RAP-PEYA-UBER-GOOD</t>
        </is>
      </c>
      <c r="E4542" s="34" t="n">
        <v>30960</v>
      </c>
      <c r="F4542" t="inlineStr">
        <is>
          <t>B</t>
        </is>
      </c>
      <c r="G4542" s="34" t="n">
        <v>4943</v>
      </c>
      <c r="H4542" s="34" t="n">
        <v>26017</v>
      </c>
      <c r="I4542" t="inlineStr">
        <is>
          <t>3.6</t>
        </is>
      </c>
      <c r="J4542" t="inlineStr">
        <is>
          <t>Ventas Delivery Apps</t>
        </is>
      </c>
      <c r="K4542" t="inlineStr">
        <is>
          <t>CH3</t>
        </is>
      </c>
    </row>
    <row r="4543">
      <c r="A4543" s="33" t="n">
        <v>46020</v>
      </c>
      <c r="B4543" t="inlineStr">
        <is>
          <t>2025-12</t>
        </is>
      </c>
      <c r="C4543" t="inlineStr">
        <is>
          <t>Rene Diaz</t>
        </is>
      </c>
      <c r="D4543" t="inlineStr">
        <is>
          <t>Rellenos</t>
        </is>
      </c>
      <c r="E4543" s="34" t="n">
        <v>25900</v>
      </c>
      <c r="F4543" t="inlineStr">
        <is>
          <t>B</t>
        </is>
      </c>
      <c r="G4543" s="34" t="n">
        <v>4135</v>
      </c>
      <c r="H4543" s="34" t="n">
        <v>21765</v>
      </c>
      <c r="I4543" t="inlineStr">
        <is>
          <t>3.2</t>
        </is>
      </c>
      <c r="J4543" t="inlineStr">
        <is>
          <t>Ventas Personas (B2C)</t>
        </is>
      </c>
      <c r="K4543" t="inlineStr">
        <is>
          <t>CH2</t>
        </is>
      </c>
    </row>
    <row r="4544">
      <c r="A4544" s="33" t="n">
        <v>46020</v>
      </c>
      <c r="B4544" t="inlineStr">
        <is>
          <t>2025-12</t>
        </is>
      </c>
      <c r="C4544" t="inlineStr">
        <is>
          <t>Diego Escobar</t>
        </is>
      </c>
      <c r="D4544" t="inlineStr">
        <is>
          <t>Mix Sabores</t>
        </is>
      </c>
      <c r="E4544" s="34" t="n">
        <v>34290</v>
      </c>
      <c r="F4544" t="inlineStr">
        <is>
          <t>B</t>
        </is>
      </c>
      <c r="G4544" s="34" t="n">
        <v>5475</v>
      </c>
      <c r="H4544" s="34" t="n">
        <v>28815</v>
      </c>
      <c r="I4544" t="inlineStr">
        <is>
          <t>3.2</t>
        </is>
      </c>
      <c r="J4544" t="inlineStr">
        <is>
          <t>Ventas Personas (B2C)</t>
        </is>
      </c>
      <c r="K4544" t="inlineStr">
        <is>
          <t>CH2</t>
        </is>
      </c>
    </row>
    <row r="4545">
      <c r="A4545" s="33" t="n">
        <v>46020</v>
      </c>
      <c r="B4545" t="inlineStr">
        <is>
          <t>2025-12</t>
        </is>
      </c>
      <c r="C4545" t="inlineStr">
        <is>
          <t>Diego Escobar</t>
        </is>
      </c>
      <c r="D4545" t="inlineStr">
        <is>
          <t>Mix Sabores</t>
        </is>
      </c>
      <c r="E4545" s="34" t="n">
        <v>34290</v>
      </c>
      <c r="F4545" t="inlineStr">
        <is>
          <t>B</t>
        </is>
      </c>
      <c r="G4545" s="34" t="n">
        <v>5475</v>
      </c>
      <c r="H4545" s="34" t="n">
        <v>28815</v>
      </c>
      <c r="I4545" t="inlineStr">
        <is>
          <t>3.2</t>
        </is>
      </c>
      <c r="J4545" t="inlineStr">
        <is>
          <t>Ventas Personas (B2C)</t>
        </is>
      </c>
      <c r="K4545" t="inlineStr">
        <is>
          <t>CH2</t>
        </is>
      </c>
    </row>
    <row r="4546">
      <c r="A4546" s="33" t="n">
        <v>46020</v>
      </c>
      <c r="B4546" t="inlineStr">
        <is>
          <t>2025-12</t>
        </is>
      </c>
      <c r="C4546" t="inlineStr">
        <is>
          <t>Paloma Muñoz</t>
        </is>
      </c>
      <c r="D4546" t="inlineStr">
        <is>
          <t>Petit Tradicional</t>
        </is>
      </c>
      <c r="E4546" s="34" t="n">
        <v>13800</v>
      </c>
      <c r="F4546" t="inlineStr">
        <is>
          <t>B</t>
        </is>
      </c>
      <c r="G4546" s="34" t="n">
        <v>2203</v>
      </c>
      <c r="H4546" s="34" t="n">
        <v>11597</v>
      </c>
      <c r="I4546" t="inlineStr">
        <is>
          <t>3.2</t>
        </is>
      </c>
      <c r="J4546" t="inlineStr">
        <is>
          <t>Ventas Personas (B2C)</t>
        </is>
      </c>
      <c r="K4546" t="inlineStr">
        <is>
          <t>CH2</t>
        </is>
      </c>
    </row>
    <row r="4547">
      <c r="A4547" s="33" t="n">
        <v>46020</v>
      </c>
      <c r="B4547" t="inlineStr">
        <is>
          <t>2025-12</t>
        </is>
      </c>
      <c r="C4547" t="inlineStr">
        <is>
          <t>José Manuel Fuentes Del Pozo</t>
        </is>
      </c>
      <c r="D4547" t="inlineStr">
        <is>
          <t>SALSAS</t>
        </is>
      </c>
      <c r="E4547" s="34" t="n">
        <v>44380</v>
      </c>
      <c r="F4547" t="inlineStr">
        <is>
          <t>B</t>
        </is>
      </c>
      <c r="G4547" s="34" t="n">
        <v>7086</v>
      </c>
      <c r="H4547" s="34" t="n">
        <v>37294</v>
      </c>
      <c r="I4547" t="inlineStr">
        <is>
          <t>3.2</t>
        </is>
      </c>
      <c r="J4547" t="inlineStr">
        <is>
          <t>Ventas Personas (B2C)</t>
        </is>
      </c>
      <c r="K4547" t="inlineStr">
        <is>
          <t>CH2</t>
        </is>
      </c>
    </row>
    <row r="4548">
      <c r="A4548" s="33" t="n">
        <v>46020</v>
      </c>
      <c r="B4548" t="inlineStr">
        <is>
          <t>2025-12</t>
        </is>
      </c>
      <c r="C4548" t="inlineStr">
        <is>
          <t>Hernán Coronado Sarabia</t>
        </is>
      </c>
      <c r="D4548" t="inlineStr">
        <is>
          <t>Petit Crunchy</t>
        </is>
      </c>
      <c r="E4548" s="34" t="n">
        <v>39390</v>
      </c>
      <c r="F4548" t="inlineStr">
        <is>
          <t>B</t>
        </is>
      </c>
      <c r="G4548" s="34" t="n">
        <v>6289</v>
      </c>
      <c r="H4548" s="34" t="n">
        <v>33101</v>
      </c>
      <c r="I4548" t="inlineStr">
        <is>
          <t>3.2</t>
        </is>
      </c>
      <c r="J4548" t="inlineStr">
        <is>
          <t>Ventas Personas (B2C)</t>
        </is>
      </c>
      <c r="K4548" t="inlineStr">
        <is>
          <t>CH2</t>
        </is>
      </c>
    </row>
    <row r="4549">
      <c r="A4549" s="33" t="n">
        <v>46020</v>
      </c>
      <c r="B4549" t="inlineStr">
        <is>
          <t>2025-12</t>
        </is>
      </c>
      <c r="C4549" t="inlineStr">
        <is>
          <t>Jonathan Galleguillos Miranda</t>
        </is>
      </c>
      <c r="D4549" t="inlineStr">
        <is>
          <t>CANELÉ TRADICIONAL</t>
        </is>
      </c>
      <c r="E4549" s="34" t="n">
        <v>27390</v>
      </c>
      <c r="F4549" t="inlineStr">
        <is>
          <t>B</t>
        </is>
      </c>
      <c r="G4549" s="34" t="n">
        <v>4373</v>
      </c>
      <c r="H4549" s="34" t="n">
        <v>23017</v>
      </c>
      <c r="I4549" t="inlineStr">
        <is>
          <t>3.2</t>
        </is>
      </c>
      <c r="J4549" t="inlineStr">
        <is>
          <t>Ventas Personas (B2C)</t>
        </is>
      </c>
      <c r="K4549" t="inlineStr">
        <is>
          <t>CH2</t>
        </is>
      </c>
    </row>
    <row r="4550">
      <c r="A4550" s="33" t="n">
        <v>46020</v>
      </c>
      <c r="B4550" t="inlineStr">
        <is>
          <t>2025-12</t>
        </is>
      </c>
      <c r="C4550" t="inlineStr">
        <is>
          <t>Luisa Cedeño</t>
        </is>
      </c>
      <c r="D4550" t="inlineStr">
        <is>
          <t>Mix Sabores</t>
        </is>
      </c>
      <c r="E4550" s="34" t="n">
        <v>57200</v>
      </c>
      <c r="F4550" t="inlineStr">
        <is>
          <t>B</t>
        </is>
      </c>
      <c r="G4550" s="34" t="n">
        <v>9133</v>
      </c>
      <c r="H4550" s="34" t="n">
        <v>48067</v>
      </c>
      <c r="I4550" t="inlineStr">
        <is>
          <t>3.2</t>
        </is>
      </c>
      <c r="J4550" t="inlineStr">
        <is>
          <t>Ventas Personas (B2C)</t>
        </is>
      </c>
      <c r="K4550" t="inlineStr">
        <is>
          <t>CH2</t>
        </is>
      </c>
    </row>
    <row r="4551">
      <c r="A4551" s="33" t="n">
        <v>46020</v>
      </c>
      <c r="B4551" t="inlineStr">
        <is>
          <t>2025-12</t>
        </is>
      </c>
      <c r="C4551" t="inlineStr">
        <is>
          <t>Sin cliente</t>
        </is>
      </c>
      <c r="D4551" t="inlineStr">
        <is>
          <t>CANELÉ TRADICIONAL</t>
        </is>
      </c>
      <c r="E4551" s="34" t="n">
        <v>22900</v>
      </c>
      <c r="F4551" t="inlineStr">
        <is>
          <t>B</t>
        </is>
      </c>
      <c r="G4551" s="34" t="n">
        <v>3656</v>
      </c>
      <c r="H4551" s="34" t="n">
        <v>19244</v>
      </c>
      <c r="I4551" t="inlineStr">
        <is>
          <t>3.2</t>
        </is>
      </c>
      <c r="J4551" t="inlineStr">
        <is>
          <t>Ventas Personas (B2C)</t>
        </is>
      </c>
      <c r="K4551" t="inlineStr">
        <is>
          <t>CH2</t>
        </is>
      </c>
    </row>
    <row r="4552">
      <c r="A4552" s="33" t="n">
        <v>46020</v>
      </c>
      <c r="B4552" t="inlineStr">
        <is>
          <t>2025-12</t>
        </is>
      </c>
      <c r="C4552" t="inlineStr">
        <is>
          <t>America Sainz</t>
        </is>
      </c>
      <c r="D4552" t="inlineStr">
        <is>
          <t>Petit Crunchy</t>
        </is>
      </c>
      <c r="E4552" s="34" t="n">
        <v>42300</v>
      </c>
      <c r="F4552" t="inlineStr">
        <is>
          <t>B</t>
        </is>
      </c>
      <c r="G4552" s="34" t="n">
        <v>6754</v>
      </c>
      <c r="H4552" s="34" t="n">
        <v>35546</v>
      </c>
      <c r="I4552" t="inlineStr">
        <is>
          <t>3.2</t>
        </is>
      </c>
      <c r="J4552" t="inlineStr">
        <is>
          <t>Ventas Personas (B2C)</t>
        </is>
      </c>
      <c r="K4552" t="inlineStr">
        <is>
          <t>CH2</t>
        </is>
      </c>
    </row>
    <row r="4553">
      <c r="A4553" s="33" t="n">
        <v>46020</v>
      </c>
      <c r="B4553" t="inlineStr">
        <is>
          <t>2025-12</t>
        </is>
      </c>
      <c r="C4553" t="inlineStr">
        <is>
          <t>Javiera Bennett Ahumada</t>
        </is>
      </c>
      <c r="D4553" t="inlineStr">
        <is>
          <t>Rellenos</t>
        </is>
      </c>
      <c r="E4553" s="34" t="n">
        <v>36390</v>
      </c>
      <c r="F4553" t="inlineStr">
        <is>
          <t>B</t>
        </is>
      </c>
      <c r="G4553" s="34" t="n">
        <v>5810</v>
      </c>
      <c r="H4553" s="34" t="n">
        <v>30580</v>
      </c>
      <c r="I4553" t="inlineStr">
        <is>
          <t>3.2</t>
        </is>
      </c>
      <c r="J4553" t="inlineStr">
        <is>
          <t>Ventas Personas (B2C)</t>
        </is>
      </c>
      <c r="K4553" t="inlineStr">
        <is>
          <t>CH2</t>
        </is>
      </c>
    </row>
    <row r="4554">
      <c r="A4554" s="33" t="n">
        <v>46020</v>
      </c>
      <c r="B4554" t="inlineStr">
        <is>
          <t>2025-12</t>
        </is>
      </c>
      <c r="C4554" t="inlineStr">
        <is>
          <t>Karin Vera Fiestas</t>
        </is>
      </c>
      <c r="D4554" t="inlineStr">
        <is>
          <t>Rellenos</t>
        </is>
      </c>
      <c r="E4554" s="34" t="n">
        <v>19890</v>
      </c>
      <c r="F4554" t="inlineStr">
        <is>
          <t>B</t>
        </is>
      </c>
      <c r="G4554" s="34" t="n">
        <v>3176</v>
      </c>
      <c r="H4554" s="34" t="n">
        <v>16714</v>
      </c>
      <c r="I4554" t="inlineStr">
        <is>
          <t>3.2</t>
        </is>
      </c>
      <c r="J4554" t="inlineStr">
        <is>
          <t>Ventas Personas (B2C)</t>
        </is>
      </c>
      <c r="K4554" t="inlineStr">
        <is>
          <t>CH2</t>
        </is>
      </c>
    </row>
    <row r="4555">
      <c r="A4555" s="33" t="n">
        <v>46020</v>
      </c>
      <c r="B4555" t="inlineStr">
        <is>
          <t>2025-12</t>
        </is>
      </c>
      <c r="C4555" t="inlineStr">
        <is>
          <t>Karin Bascuñan</t>
        </is>
      </c>
      <c r="D4555" t="inlineStr">
        <is>
          <t>CANELÉ TRADICIONAL</t>
        </is>
      </c>
      <c r="E4555" s="34" t="n">
        <v>48800</v>
      </c>
      <c r="F4555" t="inlineStr">
        <is>
          <t>B</t>
        </is>
      </c>
      <c r="G4555" s="34" t="n">
        <v>7792</v>
      </c>
      <c r="H4555" s="34" t="n">
        <v>41008</v>
      </c>
      <c r="I4555" t="inlineStr">
        <is>
          <t>3.2</t>
        </is>
      </c>
      <c r="J4555" t="inlineStr">
        <is>
          <t>Ventas Personas (B2C)</t>
        </is>
      </c>
      <c r="K4555" t="inlineStr">
        <is>
          <t>CH2</t>
        </is>
      </c>
    </row>
    <row r="4556">
      <c r="A4556" s="33" t="n">
        <v>46021</v>
      </c>
      <c r="B4556" t="inlineStr">
        <is>
          <t>2025-12</t>
        </is>
      </c>
      <c r="C4556" t="inlineStr">
        <is>
          <t>GOOD LIFE SPA</t>
        </is>
      </c>
      <c r="D4556" t="inlineStr">
        <is>
          <t>HORECA CAFETERIA</t>
        </is>
      </c>
      <c r="E4556" s="34" t="n">
        <v>229893</v>
      </c>
      <c r="F4556" t="inlineStr">
        <is>
          <t>F</t>
        </is>
      </c>
      <c r="G4556" s="34" t="n">
        <v>36706</v>
      </c>
      <c r="H4556" s="34" t="n">
        <v>193187</v>
      </c>
      <c r="I4556" t="inlineStr">
        <is>
          <t>3.1</t>
        </is>
      </c>
      <c r="J4556" t="inlineStr">
        <is>
          <t>Ventas HoReCa</t>
        </is>
      </c>
      <c r="K4556" t="inlineStr">
        <is>
          <t>CH1</t>
        </is>
      </c>
    </row>
    <row r="4557">
      <c r="A4557" s="33" t="n">
        <v>46021</v>
      </c>
      <c r="B4557" t="inlineStr">
        <is>
          <t>2025-12</t>
        </is>
      </c>
      <c r="C4557" t="inlineStr">
        <is>
          <t>GASTRONÃMICA MANGO GOURMET SPA</t>
        </is>
      </c>
      <c r="D4557" t="inlineStr">
        <is>
          <t>HORECA CATERING</t>
        </is>
      </c>
      <c r="E4557" s="34" t="n">
        <v>349848</v>
      </c>
      <c r="F4557" t="inlineStr">
        <is>
          <t>F</t>
        </is>
      </c>
      <c r="G4557" s="34" t="n">
        <v>55858</v>
      </c>
      <c r="H4557" s="34" t="n">
        <v>293990</v>
      </c>
      <c r="I4557" t="inlineStr">
        <is>
          <t>3.1</t>
        </is>
      </c>
      <c r="J4557" t="inlineStr">
        <is>
          <t>Ventas HoReCa</t>
        </is>
      </c>
      <c r="K4557" t="inlineStr">
        <is>
          <t>CH1</t>
        </is>
      </c>
    </row>
    <row r="4558">
      <c r="A4558" s="33" t="n">
        <v>46021</v>
      </c>
      <c r="B4558" t="inlineStr">
        <is>
          <t>2025-12</t>
        </is>
      </c>
      <c r="C4558" t="inlineStr">
        <is>
          <t>Café del Parque SpA</t>
        </is>
      </c>
      <c r="D4558" t="inlineStr">
        <is>
          <t>HORECA CAFETERIA</t>
        </is>
      </c>
      <c r="E4558" s="34" t="n">
        <v>78849</v>
      </c>
      <c r="F4558" t="inlineStr">
        <is>
          <t>F</t>
        </is>
      </c>
      <c r="G4558" s="34" t="n">
        <v>12589</v>
      </c>
      <c r="H4558" s="34" t="n">
        <v>66260</v>
      </c>
      <c r="I4558" t="inlineStr">
        <is>
          <t>3.1</t>
        </is>
      </c>
      <c r="J4558" t="inlineStr">
        <is>
          <t>Ventas HoReCa</t>
        </is>
      </c>
      <c r="K4558" t="inlineStr">
        <is>
          <t>CH1</t>
        </is>
      </c>
    </row>
    <row r="4559">
      <c r="A4559" s="33" t="n">
        <v>46021</v>
      </c>
      <c r="B4559" t="inlineStr">
        <is>
          <t>2025-12</t>
        </is>
      </c>
      <c r="C4559" t="inlineStr">
        <is>
          <t>Manuel Breton</t>
        </is>
      </c>
      <c r="D4559" t="inlineStr">
        <is>
          <t>Mix Sabores</t>
        </is>
      </c>
      <c r="E4559" s="34" t="n">
        <v>34290</v>
      </c>
      <c r="F4559" t="inlineStr">
        <is>
          <t>B</t>
        </is>
      </c>
      <c r="G4559" s="34" t="n">
        <v>5475</v>
      </c>
      <c r="H4559" s="34" t="n">
        <v>28815</v>
      </c>
      <c r="I4559" t="inlineStr">
        <is>
          <t>3.2</t>
        </is>
      </c>
      <c r="J4559" t="inlineStr">
        <is>
          <t>Ventas Personas (B2C)</t>
        </is>
      </c>
      <c r="K4559" t="inlineStr">
        <is>
          <t>CH2</t>
        </is>
      </c>
    </row>
    <row r="4560">
      <c r="A4560" s="33" t="n">
        <v>46021</v>
      </c>
      <c r="B4560" t="inlineStr">
        <is>
          <t>2025-12</t>
        </is>
      </c>
      <c r="C4560" t="inlineStr">
        <is>
          <t>Francisca Ruiz</t>
        </is>
      </c>
      <c r="D4560" t="inlineStr">
        <is>
          <t>Mix Sabores</t>
        </is>
      </c>
      <c r="E4560" s="34" t="n">
        <v>45290</v>
      </c>
      <c r="F4560" t="inlineStr">
        <is>
          <t>B</t>
        </is>
      </c>
      <c r="G4560" s="34" t="n">
        <v>7231</v>
      </c>
      <c r="H4560" s="34" t="n">
        <v>38059</v>
      </c>
      <c r="I4560" t="inlineStr">
        <is>
          <t>3.2</t>
        </is>
      </c>
      <c r="J4560" t="inlineStr">
        <is>
          <t>Ventas Personas (B2C)</t>
        </is>
      </c>
      <c r="K4560" t="inlineStr">
        <is>
          <t>CH2</t>
        </is>
      </c>
    </row>
    <row r="4561">
      <c r="A4561" s="33" t="n">
        <v>46021</v>
      </c>
      <c r="B4561" t="inlineStr">
        <is>
          <t>2025-12</t>
        </is>
      </c>
      <c r="C4561" t="inlineStr">
        <is>
          <t>Christel Forey</t>
        </is>
      </c>
      <c r="D4561" t="inlineStr">
        <is>
          <t>Petit Tradicional</t>
        </is>
      </c>
      <c r="E4561" s="34" t="n">
        <v>18290</v>
      </c>
      <c r="F4561" t="inlineStr">
        <is>
          <t>B</t>
        </is>
      </c>
      <c r="G4561" s="34" t="n">
        <v>2920</v>
      </c>
      <c r="H4561" s="34" t="n">
        <v>15370</v>
      </c>
      <c r="I4561" t="inlineStr">
        <is>
          <t>3.2</t>
        </is>
      </c>
      <c r="J4561" t="inlineStr">
        <is>
          <t>Ventas Personas (B2C)</t>
        </is>
      </c>
      <c r="K4561" t="inlineStr">
        <is>
          <t>CH2</t>
        </is>
      </c>
    </row>
    <row r="4562">
      <c r="A4562" s="33" t="n">
        <v>46021</v>
      </c>
      <c r="B4562" t="inlineStr">
        <is>
          <t>2025-12</t>
        </is>
      </c>
      <c r="C4562" t="inlineStr">
        <is>
          <t>Kevin Barahona Valdivia</t>
        </is>
      </c>
      <c r="D4562" t="inlineStr">
        <is>
          <t>Petit Crunchy</t>
        </is>
      </c>
      <c r="E4562" s="34" t="n">
        <v>35290</v>
      </c>
      <c r="F4562" t="inlineStr">
        <is>
          <t>B</t>
        </is>
      </c>
      <c r="G4562" s="34" t="n">
        <v>5635</v>
      </c>
      <c r="H4562" s="34" t="n">
        <v>29655</v>
      </c>
      <c r="I4562" t="inlineStr">
        <is>
          <t>3.2</t>
        </is>
      </c>
      <c r="J4562" t="inlineStr">
        <is>
          <t>Ventas Personas (B2C)</t>
        </is>
      </c>
      <c r="K4562" t="inlineStr">
        <is>
          <t>CH2</t>
        </is>
      </c>
    </row>
    <row r="4563">
      <c r="A4563" s="33" t="n">
        <v>46021</v>
      </c>
      <c r="B4563" t="inlineStr">
        <is>
          <t>2025-12</t>
        </is>
      </c>
      <c r="C4563" t="inlineStr">
        <is>
          <t>Carola Acuña</t>
        </is>
      </c>
      <c r="D4563" t="inlineStr">
        <is>
          <t>CANELÉ TRADICIONAL</t>
        </is>
      </c>
      <c r="E4563" s="34" t="n">
        <v>33215</v>
      </c>
      <c r="F4563" t="inlineStr">
        <is>
          <t>B</t>
        </is>
      </c>
      <c r="G4563" s="34" t="n">
        <v>5303</v>
      </c>
      <c r="H4563" s="34" t="n">
        <v>27912</v>
      </c>
      <c r="I4563" t="inlineStr">
        <is>
          <t>3.2</t>
        </is>
      </c>
      <c r="J4563" t="inlineStr">
        <is>
          <t>Ventas Personas (B2C)</t>
        </is>
      </c>
      <c r="K4563" t="inlineStr">
        <is>
          <t>CH2</t>
        </is>
      </c>
    </row>
    <row r="4564">
      <c r="A4564" s="33" t="n">
        <v>46021</v>
      </c>
      <c r="B4564" t="inlineStr">
        <is>
          <t>2025-12</t>
        </is>
      </c>
      <c r="C4564" t="inlineStr">
        <is>
          <t>Sin cliente</t>
        </is>
      </c>
      <c r="D4564" t="inlineStr">
        <is>
          <t>SALSAS</t>
        </is>
      </c>
      <c r="E4564" s="34" t="n">
        <v>51380</v>
      </c>
      <c r="F4564" t="inlineStr">
        <is>
          <t>B</t>
        </is>
      </c>
      <c r="G4564" s="34" t="n">
        <v>8204</v>
      </c>
      <c r="H4564" s="34" t="n">
        <v>43176</v>
      </c>
      <c r="I4564" t="inlineStr">
        <is>
          <t>3.2</t>
        </is>
      </c>
      <c r="J4564" t="inlineStr">
        <is>
          <t>Ventas Personas (B2C)</t>
        </is>
      </c>
      <c r="K4564" t="inlineStr">
        <is>
          <t>CH2</t>
        </is>
      </c>
    </row>
    <row r="4565">
      <c r="A4565" s="33" t="n">
        <v>46021</v>
      </c>
      <c r="B4565" t="inlineStr">
        <is>
          <t>2025-12</t>
        </is>
      </c>
      <c r="C4565" t="inlineStr">
        <is>
          <t>Sin cliente</t>
        </is>
      </c>
      <c r="D4565" t="inlineStr">
        <is>
          <t>PLATAFORMAS RAP-PEYA-UBER-GOOD</t>
        </is>
      </c>
      <c r="E4565" s="34" t="n">
        <v>22560</v>
      </c>
      <c r="F4565" t="inlineStr">
        <is>
          <t>B</t>
        </is>
      </c>
      <c r="G4565" s="34" t="n">
        <v>3602</v>
      </c>
      <c r="H4565" s="34" t="n">
        <v>18958</v>
      </c>
      <c r="I4565" t="inlineStr">
        <is>
          <t>3.6</t>
        </is>
      </c>
      <c r="J4565" t="inlineStr">
        <is>
          <t>Ventas Delivery Apps</t>
        </is>
      </c>
      <c r="K4565" t="inlineStr">
        <is>
          <t>CH3</t>
        </is>
      </c>
    </row>
    <row r="4566">
      <c r="A4566" s="33" t="n">
        <v>46021</v>
      </c>
      <c r="B4566" t="inlineStr">
        <is>
          <t>2025-12</t>
        </is>
      </c>
      <c r="C4566" t="inlineStr">
        <is>
          <t>Sin cliente</t>
        </is>
      </c>
      <c r="D4566" t="inlineStr">
        <is>
          <t>Rellenos</t>
        </is>
      </c>
      <c r="E4566" s="34" t="n">
        <v>56040</v>
      </c>
      <c r="F4566" t="inlineStr">
        <is>
          <t>B</t>
        </is>
      </c>
      <c r="G4566" s="34" t="n">
        <v>8948</v>
      </c>
      <c r="H4566" s="34" t="n">
        <v>47092</v>
      </c>
      <c r="I4566" t="inlineStr">
        <is>
          <t>3.6</t>
        </is>
      </c>
      <c r="J4566" t="inlineStr">
        <is>
          <t>Ventas Delivery Apps</t>
        </is>
      </c>
      <c r="K4566" t="inlineStr">
        <is>
          <t>CH3</t>
        </is>
      </c>
    </row>
    <row r="4567">
      <c r="A4567" s="33" t="n">
        <v>46021</v>
      </c>
      <c r="B4567" t="inlineStr">
        <is>
          <t>2025-12</t>
        </is>
      </c>
      <c r="C4567" t="inlineStr">
        <is>
          <t>Karen Gonzalez</t>
        </is>
      </c>
      <c r="D4567" t="inlineStr">
        <is>
          <t>SALSAS</t>
        </is>
      </c>
      <c r="E4567" s="34" t="n">
        <v>48380</v>
      </c>
      <c r="F4567" t="inlineStr">
        <is>
          <t>B</t>
        </is>
      </c>
      <c r="G4567" s="34" t="n">
        <v>7725</v>
      </c>
      <c r="H4567" s="34" t="n">
        <v>40655</v>
      </c>
      <c r="I4567" t="inlineStr">
        <is>
          <t>3.2</t>
        </is>
      </c>
      <c r="J4567" t="inlineStr">
        <is>
          <t>Ventas Personas (B2C)</t>
        </is>
      </c>
      <c r="K4567" t="inlineStr">
        <is>
          <t>CH2</t>
        </is>
      </c>
    </row>
    <row r="4568">
      <c r="A4568" s="33" t="n">
        <v>46021</v>
      </c>
      <c r="B4568" t="inlineStr">
        <is>
          <t>2025-12</t>
        </is>
      </c>
      <c r="C4568" t="inlineStr">
        <is>
          <t>Sin cliente</t>
        </is>
      </c>
      <c r="D4568" t="inlineStr">
        <is>
          <t>CANELÉ TRADICIONAL</t>
        </is>
      </c>
      <c r="E4568" s="34" t="n">
        <v>15900</v>
      </c>
      <c r="F4568" t="inlineStr">
        <is>
          <t>B</t>
        </is>
      </c>
      <c r="G4568" s="34" t="n">
        <v>2539</v>
      </c>
      <c r="H4568" s="34" t="n">
        <v>13361</v>
      </c>
      <c r="I4568" t="inlineStr">
        <is>
          <t>3.2</t>
        </is>
      </c>
      <c r="J4568" t="inlineStr">
        <is>
          <t>Ventas Personas (B2C)</t>
        </is>
      </c>
      <c r="K4568" t="inlineStr">
        <is>
          <t>CH2</t>
        </is>
      </c>
    </row>
    <row r="4569">
      <c r="A4569" s="33" t="n">
        <v>46021</v>
      </c>
      <c r="B4569" t="inlineStr">
        <is>
          <t>2025-12</t>
        </is>
      </c>
      <c r="C4569" t="inlineStr">
        <is>
          <t>Sin cliente</t>
        </is>
      </c>
      <c r="D4569" t="inlineStr">
        <is>
          <t>Rellenos</t>
        </is>
      </c>
      <c r="E4569" s="34" t="n">
        <v>39360</v>
      </c>
      <c r="F4569" t="inlineStr">
        <is>
          <t>B</t>
        </is>
      </c>
      <c r="G4569" s="34" t="n">
        <v>6284</v>
      </c>
      <c r="H4569" s="34" t="n">
        <v>33076</v>
      </c>
      <c r="I4569" t="inlineStr">
        <is>
          <t>3.2</t>
        </is>
      </c>
      <c r="J4569" t="inlineStr">
        <is>
          <t>Ventas Personas (B2C)</t>
        </is>
      </c>
      <c r="K4569" t="inlineStr">
        <is>
          <t>CH2</t>
        </is>
      </c>
    </row>
    <row r="4570">
      <c r="A4570" s="33" t="n">
        <v>46021</v>
      </c>
      <c r="B4570" t="inlineStr">
        <is>
          <t>2025-12</t>
        </is>
      </c>
      <c r="C4570" t="inlineStr">
        <is>
          <t>Claudia Loyola Jara</t>
        </is>
      </c>
      <c r="D4570" t="inlineStr">
        <is>
          <t>Petit Crunchy</t>
        </is>
      </c>
      <c r="E4570" s="34" t="n">
        <v>30390</v>
      </c>
      <c r="F4570" t="inlineStr">
        <is>
          <t>B</t>
        </is>
      </c>
      <c r="G4570" s="34" t="n">
        <v>4852</v>
      </c>
      <c r="H4570" s="34" t="n">
        <v>25538</v>
      </c>
      <c r="I4570" t="inlineStr">
        <is>
          <t>3.2</t>
        </is>
      </c>
      <c r="J4570" t="inlineStr">
        <is>
          <t>Ventas Personas (B2C)</t>
        </is>
      </c>
      <c r="K4570" t="inlineStr">
        <is>
          <t>CH2</t>
        </is>
      </c>
    </row>
    <row r="4571">
      <c r="A4571" s="33" t="n">
        <v>46021</v>
      </c>
      <c r="B4571" t="inlineStr">
        <is>
          <t>2025-12</t>
        </is>
      </c>
      <c r="C4571" t="inlineStr">
        <is>
          <t>Sin cliente</t>
        </is>
      </c>
      <c r="D4571" t="inlineStr">
        <is>
          <t>Rellenos</t>
        </is>
      </c>
      <c r="E4571" s="34" t="n">
        <v>38400</v>
      </c>
      <c r="F4571" t="inlineStr">
        <is>
          <t>B</t>
        </is>
      </c>
      <c r="G4571" s="34" t="n">
        <v>6131</v>
      </c>
      <c r="H4571" s="34" t="n">
        <v>32269</v>
      </c>
      <c r="I4571" t="inlineStr">
        <is>
          <t>3.2</t>
        </is>
      </c>
      <c r="J4571" t="inlineStr">
        <is>
          <t>Ventas Personas (B2C)</t>
        </is>
      </c>
      <c r="K4571" t="inlineStr">
        <is>
          <t>CH2</t>
        </is>
      </c>
    </row>
    <row r="4572">
      <c r="A4572" s="33" t="n">
        <v>46021</v>
      </c>
      <c r="B4572" t="inlineStr">
        <is>
          <t>2025-12</t>
        </is>
      </c>
      <c r="C4572" t="inlineStr">
        <is>
          <t>Sin cliente</t>
        </is>
      </c>
      <c r="D4572" t="inlineStr">
        <is>
          <t>Rellenos</t>
        </is>
      </c>
      <c r="E4572" s="34" t="n">
        <v>27400</v>
      </c>
      <c r="F4572" t="inlineStr">
        <is>
          <t>B</t>
        </is>
      </c>
      <c r="G4572" s="34" t="n">
        <v>4375</v>
      </c>
      <c r="H4572" s="34" t="n">
        <v>23025</v>
      </c>
      <c r="I4572" t="inlineStr">
        <is>
          <t>3.2</t>
        </is>
      </c>
      <c r="J4572" t="inlineStr">
        <is>
          <t>Ventas Personas (B2C)</t>
        </is>
      </c>
      <c r="K4572" t="inlineStr">
        <is>
          <t>CH2</t>
        </is>
      </c>
    </row>
    <row r="4573">
      <c r="A4573" s="33" t="n">
        <v>46021</v>
      </c>
      <c r="B4573" t="inlineStr">
        <is>
          <t>2025-12</t>
        </is>
      </c>
      <c r="C4573" t="inlineStr">
        <is>
          <t>Sin cliente</t>
        </is>
      </c>
      <c r="D4573" t="inlineStr">
        <is>
          <t>SALSAS</t>
        </is>
      </c>
      <c r="E4573" s="34" t="n">
        <v>84280</v>
      </c>
      <c r="F4573" t="inlineStr">
        <is>
          <t>B</t>
        </is>
      </c>
      <c r="G4573" s="34" t="n">
        <v>13456</v>
      </c>
      <c r="H4573" s="34" t="n">
        <v>70824</v>
      </c>
      <c r="I4573" t="inlineStr">
        <is>
          <t>3.2</t>
        </is>
      </c>
      <c r="J4573" t="inlineStr">
        <is>
          <t>Ventas Personas (B2C)</t>
        </is>
      </c>
      <c r="K4573" t="inlineStr">
        <is>
          <t>CH2</t>
        </is>
      </c>
    </row>
    <row r="4574">
      <c r="A4574" s="33" t="n">
        <v>46021</v>
      </c>
      <c r="B4574" t="inlineStr">
        <is>
          <t>2025-12</t>
        </is>
      </c>
      <c r="C4574" t="inlineStr">
        <is>
          <t>Sin cliente</t>
        </is>
      </c>
      <c r="D4574" t="inlineStr">
        <is>
          <t>SALSAS</t>
        </is>
      </c>
      <c r="E4574" s="34" t="n">
        <v>16900</v>
      </c>
      <c r="F4574" t="inlineStr">
        <is>
          <t>B</t>
        </is>
      </c>
      <c r="G4574" s="34" t="n">
        <v>2698</v>
      </c>
      <c r="H4574" s="34" t="n">
        <v>14202</v>
      </c>
      <c r="I4574" t="inlineStr">
        <is>
          <t>3.2</t>
        </is>
      </c>
      <c r="J4574" t="inlineStr">
        <is>
          <t>Ventas Personas (B2C)</t>
        </is>
      </c>
      <c r="K4574" t="inlineStr">
        <is>
          <t>CH2</t>
        </is>
      </c>
    </row>
    <row r="4575">
      <c r="A4575" s="33" t="n">
        <v>46021</v>
      </c>
      <c r="B4575" t="inlineStr">
        <is>
          <t>2025-12</t>
        </is>
      </c>
      <c r="C4575" t="inlineStr">
        <is>
          <t>Sin cliente</t>
        </is>
      </c>
      <c r="D4575" t="inlineStr">
        <is>
          <t>Petit Crunchy</t>
        </is>
      </c>
      <c r="E4575" s="34" t="n">
        <v>26900</v>
      </c>
      <c r="F4575" t="inlineStr">
        <is>
          <t>B</t>
        </is>
      </c>
      <c r="G4575" s="34" t="n">
        <v>4295</v>
      </c>
      <c r="H4575" s="34" t="n">
        <v>22605</v>
      </c>
      <c r="I4575" t="inlineStr">
        <is>
          <t>3.2</t>
        </is>
      </c>
      <c r="J4575" t="inlineStr">
        <is>
          <t>Ventas Personas (B2C)</t>
        </is>
      </c>
      <c r="K4575" t="inlineStr">
        <is>
          <t>CH2</t>
        </is>
      </c>
    </row>
    <row r="4576">
      <c r="A4576" s="33" t="n">
        <v>46021</v>
      </c>
      <c r="B4576" t="inlineStr">
        <is>
          <t>2025-12</t>
        </is>
      </c>
      <c r="C4576" t="inlineStr">
        <is>
          <t>Javiera Bennett Ahumada</t>
        </is>
      </c>
      <c r="D4576" t="inlineStr">
        <is>
          <t>Petit Crunchy</t>
        </is>
      </c>
      <c r="E4576" s="34" t="n">
        <v>26900</v>
      </c>
      <c r="F4576" t="inlineStr">
        <is>
          <t>B</t>
        </is>
      </c>
      <c r="G4576" s="34" t="n">
        <v>4295</v>
      </c>
      <c r="H4576" s="34" t="n">
        <v>22605</v>
      </c>
      <c r="I4576" t="inlineStr">
        <is>
          <t>3.2</t>
        </is>
      </c>
      <c r="J4576" t="inlineStr">
        <is>
          <t>Ventas Personas (B2C)</t>
        </is>
      </c>
      <c r="K4576" t="inlineStr">
        <is>
          <t>CH2</t>
        </is>
      </c>
    </row>
    <row r="4577">
      <c r="A4577" s="33" t="n">
        <v>46021</v>
      </c>
      <c r="B4577" t="inlineStr">
        <is>
          <t>2025-12</t>
        </is>
      </c>
      <c r="C4577" t="inlineStr">
        <is>
          <t>Viviana Valenzuela Benavente</t>
        </is>
      </c>
      <c r="D4577" t="inlineStr">
        <is>
          <t>Rellenos</t>
        </is>
      </c>
      <c r="E4577" s="34" t="n">
        <v>29390</v>
      </c>
      <c r="F4577" t="inlineStr">
        <is>
          <t>B</t>
        </is>
      </c>
      <c r="G4577" s="34" t="n">
        <v>4693</v>
      </c>
      <c r="H4577" s="34" t="n">
        <v>24697</v>
      </c>
      <c r="I4577" t="inlineStr">
        <is>
          <t>3.2</t>
        </is>
      </c>
      <c r="J4577" t="inlineStr">
        <is>
          <t>Ventas Personas (B2C)</t>
        </is>
      </c>
      <c r="K4577" t="inlineStr">
        <is>
          <t>CH2</t>
        </is>
      </c>
    </row>
    <row r="4578">
      <c r="A4578" s="33" t="n">
        <v>46021</v>
      </c>
      <c r="B4578" t="inlineStr">
        <is>
          <t>2025-12</t>
        </is>
      </c>
      <c r="C4578" t="inlineStr">
        <is>
          <t>Alejandra Flores</t>
        </is>
      </c>
      <c r="D4578" t="inlineStr">
        <is>
          <t>PACKAGING</t>
        </is>
      </c>
      <c r="E4578" s="34" t="n">
        <v>32590</v>
      </c>
      <c r="F4578" t="inlineStr">
        <is>
          <t>B</t>
        </is>
      </c>
      <c r="G4578" s="34" t="n">
        <v>5203</v>
      </c>
      <c r="H4578" s="34" t="n">
        <v>27387</v>
      </c>
      <c r="I4578" t="inlineStr">
        <is>
          <t>3.2</t>
        </is>
      </c>
      <c r="J4578" t="inlineStr">
        <is>
          <t>Ventas Personas (B2C)</t>
        </is>
      </c>
      <c r="K4578" t="inlineStr">
        <is>
          <t>CH2</t>
        </is>
      </c>
    </row>
    <row r="4579">
      <c r="A4579" s="33" t="n">
        <v>46021</v>
      </c>
      <c r="B4579" t="inlineStr">
        <is>
          <t>2025-12</t>
        </is>
      </c>
      <c r="C4579" t="inlineStr">
        <is>
          <t>Sin cliente</t>
        </is>
      </c>
      <c r="D4579" t="inlineStr">
        <is>
          <t>CANELÉ TRADICIONAL</t>
        </is>
      </c>
      <c r="E4579" s="34" t="n">
        <v>29400</v>
      </c>
      <c r="F4579" t="inlineStr">
        <is>
          <t>B</t>
        </is>
      </c>
      <c r="G4579" s="34" t="n">
        <v>4694</v>
      </c>
      <c r="H4579" s="34" t="n">
        <v>24706</v>
      </c>
      <c r="I4579" t="inlineStr">
        <is>
          <t>3.2</t>
        </is>
      </c>
      <c r="J4579" t="inlineStr">
        <is>
          <t>Ventas Personas (B2C)</t>
        </is>
      </c>
      <c r="K4579" t="inlineStr">
        <is>
          <t>CH2</t>
        </is>
      </c>
    </row>
    <row r="4580">
      <c r="A4580" s="33" t="n">
        <v>46021</v>
      </c>
      <c r="B4580" t="inlineStr">
        <is>
          <t>2025-12</t>
        </is>
      </c>
      <c r="C4580" t="inlineStr">
        <is>
          <t>Sin cliente</t>
        </is>
      </c>
      <c r="D4580" t="inlineStr">
        <is>
          <t>Delicatessen</t>
        </is>
      </c>
      <c r="E4580" s="34" t="n">
        <v>19800</v>
      </c>
      <c r="F4580" t="inlineStr">
        <is>
          <t>B</t>
        </is>
      </c>
      <c r="G4580" s="34" t="n">
        <v>3161</v>
      </c>
      <c r="H4580" s="34" t="n">
        <v>16639</v>
      </c>
      <c r="I4580" t="inlineStr">
        <is>
          <t>3.2</t>
        </is>
      </c>
      <c r="J4580" t="inlineStr">
        <is>
          <t>Ventas Personas (B2C)</t>
        </is>
      </c>
      <c r="K4580" t="inlineStr">
        <is>
          <t>CH2</t>
        </is>
      </c>
    </row>
    <row r="4581">
      <c r="A4581" s="33" t="n">
        <v>46021</v>
      </c>
      <c r="B4581" t="inlineStr">
        <is>
          <t>2025-12</t>
        </is>
      </c>
      <c r="C4581" t="inlineStr">
        <is>
          <t>Sin cliente</t>
        </is>
      </c>
      <c r="D4581" t="inlineStr">
        <is>
          <t>Petit Crunchy</t>
        </is>
      </c>
      <c r="E4581" s="34" t="n">
        <v>11800</v>
      </c>
      <c r="F4581" t="inlineStr">
        <is>
          <t>B</t>
        </is>
      </c>
      <c r="G4581" s="34" t="n">
        <v>1884</v>
      </c>
      <c r="H4581" s="34" t="n">
        <v>9916</v>
      </c>
      <c r="I4581" t="inlineStr">
        <is>
          <t>3.2</t>
        </is>
      </c>
      <c r="J4581" t="inlineStr">
        <is>
          <t>Ventas Personas (B2C)</t>
        </is>
      </c>
      <c r="K4581" t="inlineStr">
        <is>
          <t>CH2</t>
        </is>
      </c>
    </row>
    <row r="4582">
      <c r="A4582" s="33" t="n">
        <v>46021</v>
      </c>
      <c r="B4582" t="inlineStr">
        <is>
          <t>2025-12</t>
        </is>
      </c>
      <c r="C4582" t="inlineStr">
        <is>
          <t>Mijody Cisternas</t>
        </is>
      </c>
      <c r="D4582" t="inlineStr">
        <is>
          <t>Petit Crunchy</t>
        </is>
      </c>
      <c r="E4582" s="34" t="n">
        <v>30390</v>
      </c>
      <c r="F4582" t="inlineStr">
        <is>
          <t>B</t>
        </is>
      </c>
      <c r="G4582" s="34" t="n">
        <v>4852</v>
      </c>
      <c r="H4582" s="34" t="n">
        <v>25538</v>
      </c>
      <c r="I4582" t="inlineStr">
        <is>
          <t>3.2</t>
        </is>
      </c>
      <c r="J4582" t="inlineStr">
        <is>
          <t>Ventas Personas (B2C)</t>
        </is>
      </c>
      <c r="K4582" t="inlineStr">
        <is>
          <t>CH2</t>
        </is>
      </c>
    </row>
    <row r="4583">
      <c r="A4583" s="33" t="n">
        <v>46021</v>
      </c>
      <c r="B4583" t="inlineStr">
        <is>
          <t>2025-12</t>
        </is>
      </c>
      <c r="C4583" t="inlineStr">
        <is>
          <t>Sin cliente</t>
        </is>
      </c>
      <c r="D4583" t="inlineStr">
        <is>
          <t>Rellenos</t>
        </is>
      </c>
      <c r="E4583" s="34" t="n">
        <v>6000</v>
      </c>
      <c r="F4583" t="inlineStr">
        <is>
          <t>B</t>
        </is>
      </c>
      <c r="G4583" s="34" t="n">
        <v>958</v>
      </c>
      <c r="H4583" s="34" t="n">
        <v>5042</v>
      </c>
      <c r="I4583" t="inlineStr">
        <is>
          <t>3.2</t>
        </is>
      </c>
      <c r="J4583" t="inlineStr">
        <is>
          <t>Ventas Personas (B2C)</t>
        </is>
      </c>
      <c r="K4583" t="inlineStr">
        <is>
          <t>CH2</t>
        </is>
      </c>
    </row>
    <row r="4584">
      <c r="A4584" s="33" t="n">
        <v>46021</v>
      </c>
      <c r="B4584" t="inlineStr">
        <is>
          <t>2025-12</t>
        </is>
      </c>
      <c r="C4584" t="inlineStr">
        <is>
          <t>Jorge Pacheco</t>
        </is>
      </c>
      <c r="D4584" t="inlineStr">
        <is>
          <t>Mix Sabores</t>
        </is>
      </c>
      <c r="E4584" s="34" t="n">
        <v>27290</v>
      </c>
      <c r="F4584" t="inlineStr">
        <is>
          <t>B</t>
        </is>
      </c>
      <c r="G4584" s="34" t="n">
        <v>4357</v>
      </c>
      <c r="H4584" s="34" t="n">
        <v>22933</v>
      </c>
      <c r="I4584" t="inlineStr">
        <is>
          <t>3.2</t>
        </is>
      </c>
      <c r="J4584" t="inlineStr">
        <is>
          <t>Ventas Personas (B2C)</t>
        </is>
      </c>
      <c r="K4584" t="inlineStr">
        <is>
          <t>CH2</t>
        </is>
      </c>
    </row>
    <row r="4585">
      <c r="A4585" s="33" t="n">
        <v>46021</v>
      </c>
      <c r="B4585" t="inlineStr">
        <is>
          <t>2025-12</t>
        </is>
      </c>
      <c r="C4585" t="inlineStr">
        <is>
          <t>Freddy Alarcon</t>
        </is>
      </c>
      <c r="D4585" t="inlineStr">
        <is>
          <t>Rellenos</t>
        </is>
      </c>
      <c r="E4585" s="34" t="n">
        <v>29390</v>
      </c>
      <c r="F4585" t="inlineStr">
        <is>
          <t>B</t>
        </is>
      </c>
      <c r="G4585" s="34" t="n">
        <v>4693</v>
      </c>
      <c r="H4585" s="34" t="n">
        <v>24697</v>
      </c>
      <c r="I4585" t="inlineStr">
        <is>
          <t>3.2</t>
        </is>
      </c>
      <c r="J4585" t="inlineStr">
        <is>
          <t>Ventas Personas (B2C)</t>
        </is>
      </c>
      <c r="K4585" t="inlineStr">
        <is>
          <t>CH2</t>
        </is>
      </c>
    </row>
    <row r="4586">
      <c r="A4586" s="33" t="n">
        <v>46021</v>
      </c>
      <c r="B4586" t="inlineStr">
        <is>
          <t>2025-12</t>
        </is>
      </c>
      <c r="C4586" t="inlineStr">
        <is>
          <t>Sin cliente</t>
        </is>
      </c>
      <c r="D4586" t="inlineStr">
        <is>
          <t>Rellenos</t>
        </is>
      </c>
      <c r="E4586" s="34" t="n">
        <v>25900</v>
      </c>
      <c r="F4586" t="inlineStr">
        <is>
          <t>B</t>
        </is>
      </c>
      <c r="G4586" s="34" t="n">
        <v>4135</v>
      </c>
      <c r="H4586" s="34" t="n">
        <v>21765</v>
      </c>
      <c r="I4586" t="inlineStr">
        <is>
          <t>3.2</t>
        </is>
      </c>
      <c r="J4586" t="inlineStr">
        <is>
          <t>Ventas Personas (B2C)</t>
        </is>
      </c>
      <c r="K4586" t="inlineStr">
        <is>
          <t>CH2</t>
        </is>
      </c>
    </row>
    <row r="4587">
      <c r="A4587" s="33" t="n">
        <v>46021</v>
      </c>
      <c r="B4587" t="inlineStr">
        <is>
          <t>2025-12</t>
        </is>
      </c>
      <c r="C4587" t="inlineStr">
        <is>
          <t>Sin cliente</t>
        </is>
      </c>
      <c r="D4587" t="inlineStr">
        <is>
          <t>CANELÉ TRADICIONAL</t>
        </is>
      </c>
      <c r="E4587" s="34" t="n">
        <v>5000</v>
      </c>
      <c r="F4587" t="inlineStr">
        <is>
          <t>B</t>
        </is>
      </c>
      <c r="G4587" s="34" t="n">
        <v>798</v>
      </c>
      <c r="H4587" s="34" t="n">
        <v>4202</v>
      </c>
      <c r="I4587" t="inlineStr">
        <is>
          <t>3.2</t>
        </is>
      </c>
      <c r="J4587" t="inlineStr">
        <is>
          <t>Ventas Personas (B2C)</t>
        </is>
      </c>
      <c r="K4587" t="inlineStr">
        <is>
          <t>CH2</t>
        </is>
      </c>
    </row>
    <row r="4588">
      <c r="A4588" s="33" t="n">
        <v>46021</v>
      </c>
      <c r="B4588" t="inlineStr">
        <is>
          <t>2025-12</t>
        </is>
      </c>
      <c r="C4588" t="inlineStr">
        <is>
          <t>Angie Morillo</t>
        </is>
      </c>
      <c r="D4588" t="inlineStr">
        <is>
          <t>PACKS GOURMET</t>
        </is>
      </c>
      <c r="E4588" s="34" t="n">
        <v>78250</v>
      </c>
      <c r="F4588" t="inlineStr">
        <is>
          <t>B</t>
        </is>
      </c>
      <c r="G4588" s="34" t="n">
        <v>12494</v>
      </c>
      <c r="H4588" s="34" t="n">
        <v>65756</v>
      </c>
      <c r="I4588" t="inlineStr">
        <is>
          <t>3.2</t>
        </is>
      </c>
      <c r="J4588" t="inlineStr">
        <is>
          <t>Ventas Personas (B2C)</t>
        </is>
      </c>
      <c r="K4588" t="inlineStr">
        <is>
          <t>CH2</t>
        </is>
      </c>
    </row>
    <row r="4589">
      <c r="A4589" s="33" t="n">
        <v>46021</v>
      </c>
      <c r="B4589" t="inlineStr">
        <is>
          <t>2025-12</t>
        </is>
      </c>
      <c r="C4589" t="inlineStr">
        <is>
          <t>Sin cliente</t>
        </is>
      </c>
      <c r="D4589" t="inlineStr">
        <is>
          <t>PLATAFORMAS RAP-PEYA-UBER-GOOD</t>
        </is>
      </c>
      <c r="E4589" s="34" t="n">
        <v>20280</v>
      </c>
      <c r="F4589" t="inlineStr">
        <is>
          <t>B</t>
        </is>
      </c>
      <c r="G4589" s="34" t="n">
        <v>3238</v>
      </c>
      <c r="H4589" s="34" t="n">
        <v>17042</v>
      </c>
      <c r="I4589" t="inlineStr">
        <is>
          <t>3.6</t>
        </is>
      </c>
      <c r="J4589" t="inlineStr">
        <is>
          <t>Ventas Delivery Apps</t>
        </is>
      </c>
      <c r="K4589" t="inlineStr">
        <is>
          <t>CH3</t>
        </is>
      </c>
    </row>
    <row r="4590">
      <c r="A4590" s="33" t="n">
        <v>46021</v>
      </c>
      <c r="B4590" t="inlineStr">
        <is>
          <t>2025-12</t>
        </is>
      </c>
      <c r="C4590" t="inlineStr">
        <is>
          <t>Edith Isabel Espinoza Velásquez</t>
        </is>
      </c>
      <c r="D4590" t="inlineStr">
        <is>
          <t>SALSAS</t>
        </is>
      </c>
      <c r="E4590" s="34" t="n">
        <v>60570</v>
      </c>
      <c r="F4590" t="inlineStr">
        <is>
          <t>B</t>
        </is>
      </c>
      <c r="G4590" s="34" t="n">
        <v>9671</v>
      </c>
      <c r="H4590" s="34" t="n">
        <v>50899</v>
      </c>
      <c r="I4590" t="inlineStr">
        <is>
          <t>3.2</t>
        </is>
      </c>
      <c r="J4590" t="inlineStr">
        <is>
          <t>Ventas Personas (B2C)</t>
        </is>
      </c>
      <c r="K4590" t="inlineStr">
        <is>
          <t>CH2</t>
        </is>
      </c>
    </row>
    <row r="4591">
      <c r="A4591" s="33" t="n">
        <v>46021</v>
      </c>
      <c r="B4591" t="inlineStr">
        <is>
          <t>2025-12</t>
        </is>
      </c>
      <c r="C4591" t="inlineStr">
        <is>
          <t>Christian Longuet</t>
        </is>
      </c>
      <c r="D4591" t="inlineStr">
        <is>
          <t>Rellenos</t>
        </is>
      </c>
      <c r="E4591" s="34" t="n">
        <v>25900</v>
      </c>
      <c r="F4591" t="inlineStr">
        <is>
          <t>B</t>
        </is>
      </c>
      <c r="G4591" s="34" t="n">
        <v>4135</v>
      </c>
      <c r="H4591" s="34" t="n">
        <v>21765</v>
      </c>
      <c r="I4591" t="inlineStr">
        <is>
          <t>3.2</t>
        </is>
      </c>
      <c r="J4591" t="inlineStr">
        <is>
          <t>Ventas Personas (B2C)</t>
        </is>
      </c>
      <c r="K4591" t="inlineStr">
        <is>
          <t>CH2</t>
        </is>
      </c>
    </row>
    <row r="4592">
      <c r="A4592" s="33" t="n">
        <v>46021</v>
      </c>
      <c r="B4592" t="inlineStr">
        <is>
          <t>2025-12</t>
        </is>
      </c>
      <c r="C4592" t="inlineStr">
        <is>
          <t>andres larrain</t>
        </is>
      </c>
      <c r="D4592" t="inlineStr">
        <is>
          <t>SALSAS</t>
        </is>
      </c>
      <c r="E4592" s="34" t="n">
        <v>6990</v>
      </c>
      <c r="F4592" t="inlineStr">
        <is>
          <t>B</t>
        </is>
      </c>
      <c r="G4592" s="34" t="n">
        <v>1116</v>
      </c>
      <c r="H4592" s="34" t="n">
        <v>5874</v>
      </c>
      <c r="I4592" t="inlineStr">
        <is>
          <t>3.2</t>
        </is>
      </c>
      <c r="J4592" t="inlineStr">
        <is>
          <t>Ventas Personas (B2C)</t>
        </is>
      </c>
      <c r="K4592" t="inlineStr">
        <is>
          <t>CH2</t>
        </is>
      </c>
    </row>
    <row r="4593">
      <c r="A4593" s="33" t="n">
        <v>46021</v>
      </c>
      <c r="B4593" t="inlineStr">
        <is>
          <t>2025-12</t>
        </is>
      </c>
      <c r="C4593" t="inlineStr">
        <is>
          <t>andres larrain</t>
        </is>
      </c>
      <c r="D4593" t="inlineStr">
        <is>
          <t>Delicatessen</t>
        </is>
      </c>
      <c r="E4593" s="34" t="n">
        <v>15800</v>
      </c>
      <c r="F4593" t="inlineStr">
        <is>
          <t>B</t>
        </is>
      </c>
      <c r="G4593" s="34" t="n">
        <v>2523</v>
      </c>
      <c r="H4593" s="34" t="n">
        <v>13277</v>
      </c>
      <c r="I4593" t="inlineStr">
        <is>
          <t>3.2</t>
        </is>
      </c>
      <c r="J4593" t="inlineStr">
        <is>
          <t>Ventas Personas (B2C)</t>
        </is>
      </c>
      <c r="K4593" t="inlineStr">
        <is>
          <t>CH2</t>
        </is>
      </c>
    </row>
    <row r="4594">
      <c r="A4594" s="33" t="n">
        <v>46021</v>
      </c>
      <c r="B4594" t="inlineStr">
        <is>
          <t>2025-12</t>
        </is>
      </c>
      <c r="C4594" t="inlineStr">
        <is>
          <t>Barbara Montt</t>
        </is>
      </c>
      <c r="D4594" t="inlineStr">
        <is>
          <t>Petit Crunchy</t>
        </is>
      </c>
      <c r="E4594" s="34" t="n">
        <v>20390</v>
      </c>
      <c r="F4594" t="inlineStr">
        <is>
          <t>B</t>
        </is>
      </c>
      <c r="G4594" s="34" t="n">
        <v>3256</v>
      </c>
      <c r="H4594" s="34" t="n">
        <v>17134</v>
      </c>
      <c r="I4594" t="inlineStr">
        <is>
          <t>3.2</t>
        </is>
      </c>
      <c r="J4594" t="inlineStr">
        <is>
          <t>Ventas Personas (B2C)</t>
        </is>
      </c>
      <c r="K4594" t="inlineStr">
        <is>
          <t>CH2</t>
        </is>
      </c>
    </row>
    <row r="4595">
      <c r="A4595" s="33" t="n">
        <v>46021</v>
      </c>
      <c r="B4595" t="inlineStr">
        <is>
          <t>2025-12</t>
        </is>
      </c>
      <c r="C4595" t="inlineStr">
        <is>
          <t>Agustin Ramos</t>
        </is>
      </c>
      <c r="D4595" t="inlineStr">
        <is>
          <t>CANELÉ TRADICIONAL</t>
        </is>
      </c>
      <c r="E4595" s="34" t="n">
        <v>30800</v>
      </c>
      <c r="F4595" t="inlineStr">
        <is>
          <t>B</t>
        </is>
      </c>
      <c r="G4595" s="34" t="n">
        <v>4918</v>
      </c>
      <c r="H4595" s="34" t="n">
        <v>25882</v>
      </c>
      <c r="I4595" t="inlineStr">
        <is>
          <t>3.2</t>
        </is>
      </c>
      <c r="J4595" t="inlineStr">
        <is>
          <t>Ventas Personas (B2C)</t>
        </is>
      </c>
      <c r="K4595" t="inlineStr">
        <is>
          <t>CH2</t>
        </is>
      </c>
    </row>
    <row r="4596">
      <c r="A4596" s="33" t="n">
        <v>46022</v>
      </c>
      <c r="B4596" t="inlineStr">
        <is>
          <t>2025-12</t>
        </is>
      </c>
      <c r="C4596" t="inlineStr">
        <is>
          <t>Better Food Spa</t>
        </is>
      </c>
      <c r="D4596" t="inlineStr">
        <is>
          <t>HORECA CAFETERIA</t>
        </is>
      </c>
      <c r="E4596" s="34" t="n">
        <v>128377</v>
      </c>
      <c r="F4596" t="inlineStr">
        <is>
          <t>F</t>
        </is>
      </c>
      <c r="G4596" s="34" t="n">
        <v>20497</v>
      </c>
      <c r="H4596" s="34" t="n">
        <v>107880</v>
      </c>
      <c r="I4596" t="inlineStr">
        <is>
          <t>3.1</t>
        </is>
      </c>
      <c r="J4596" t="inlineStr">
        <is>
          <t>Ventas HoReCa</t>
        </is>
      </c>
      <c r="K4596" t="inlineStr">
        <is>
          <t>CH1</t>
        </is>
      </c>
    </row>
    <row r="4597">
      <c r="A4597" s="33" t="n">
        <v>46022</v>
      </c>
      <c r="B4597" t="inlineStr">
        <is>
          <t>2025-12</t>
        </is>
      </c>
      <c r="C4597" t="inlineStr">
        <is>
          <t>Better Food Spa</t>
        </is>
      </c>
      <c r="D4597" t="inlineStr">
        <is>
          <t>REGION METROPOLITANA</t>
        </is>
      </c>
      <c r="E4597" s="34" t="n">
        <v>9401</v>
      </c>
      <c r="F4597" t="inlineStr">
        <is>
          <t>F</t>
        </is>
      </c>
      <c r="G4597" s="34" t="n">
        <v>1501</v>
      </c>
      <c r="H4597" s="34" t="n">
        <v>7900</v>
      </c>
      <c r="I4597" t="inlineStr">
        <is>
          <t>3.1</t>
        </is>
      </c>
      <c r="J4597" t="inlineStr">
        <is>
          <t>Ventas HoReCa</t>
        </is>
      </c>
      <c r="K4597" t="inlineStr">
        <is>
          <t>CH1</t>
        </is>
      </c>
    </row>
    <row r="4598">
      <c r="A4598" s="33" t="n">
        <v>46022</v>
      </c>
      <c r="B4598" t="inlineStr">
        <is>
          <t>2025-12</t>
        </is>
      </c>
      <c r="C4598" t="inlineStr">
        <is>
          <t>GALO SPA</t>
        </is>
      </c>
      <c r="D4598" t="inlineStr">
        <is>
          <t>HORECA CAFETERIA</t>
        </is>
      </c>
      <c r="E4598" s="34" t="n">
        <v>238595</v>
      </c>
      <c r="F4598" t="inlineStr">
        <is>
          <t>F</t>
        </is>
      </c>
      <c r="G4598" s="34" t="n">
        <v>38095</v>
      </c>
      <c r="H4598" s="34" t="n">
        <v>200500</v>
      </c>
      <c r="I4598" t="inlineStr">
        <is>
          <t>3.1</t>
        </is>
      </c>
      <c r="J4598" t="inlineStr">
        <is>
          <t>Ventas HoReCa</t>
        </is>
      </c>
      <c r="K4598" t="inlineStr">
        <is>
          <t>CH1</t>
        </is>
      </c>
    </row>
    <row r="4599">
      <c r="A4599" s="33" t="n">
        <v>46022</v>
      </c>
      <c r="B4599" t="inlineStr">
        <is>
          <t>2025-12</t>
        </is>
      </c>
      <c r="C4599" t="inlineStr">
        <is>
          <t>D&amp;S SERVICIOS DE ALIMENTACIÓN SpA</t>
        </is>
      </c>
      <c r="D4599" t="inlineStr">
        <is>
          <t xml:space="preserve">THE COFFEE STORE </t>
        </is>
      </c>
      <c r="E4599" s="34" t="n">
        <v>44705</v>
      </c>
      <c r="F4599" t="inlineStr">
        <is>
          <t>F</t>
        </is>
      </c>
      <c r="G4599" s="34" t="n">
        <v>7138</v>
      </c>
      <c r="H4599" s="34" t="n">
        <v>37567</v>
      </c>
      <c r="I4599" t="inlineStr">
        <is>
          <t>3.1</t>
        </is>
      </c>
      <c r="J4599" t="inlineStr">
        <is>
          <t>Ventas HoReCa</t>
        </is>
      </c>
      <c r="K4599" t="inlineStr">
        <is>
          <t>CH1</t>
        </is>
      </c>
    </row>
    <row r="4600">
      <c r="A4600" s="33" t="n">
        <v>46022</v>
      </c>
      <c r="B4600" t="inlineStr">
        <is>
          <t>2025-12</t>
        </is>
      </c>
      <c r="C4600" t="inlineStr">
        <is>
          <t>Andrea Martinez Moran</t>
        </is>
      </c>
      <c r="D4600" t="inlineStr">
        <is>
          <t>CANELE SIN AZUCAR</t>
        </is>
      </c>
      <c r="E4600" s="34" t="n">
        <v>48190</v>
      </c>
      <c r="F4600" t="inlineStr">
        <is>
          <t>B</t>
        </is>
      </c>
      <c r="G4600" s="34" t="n">
        <v>7694</v>
      </c>
      <c r="H4600" s="34" t="n">
        <v>40496</v>
      </c>
      <c r="I4600" t="inlineStr">
        <is>
          <t>3.2</t>
        </is>
      </c>
      <c r="J4600" t="inlineStr">
        <is>
          <t>Ventas Personas (B2C)</t>
        </is>
      </c>
      <c r="K4600" t="inlineStr">
        <is>
          <t>CH2</t>
        </is>
      </c>
    </row>
    <row r="4601">
      <c r="A4601" s="33" t="n">
        <v>46022</v>
      </c>
      <c r="B4601" t="inlineStr">
        <is>
          <t>2025-12</t>
        </is>
      </c>
      <c r="C4601" t="inlineStr">
        <is>
          <t>Daniel Henriquez</t>
        </is>
      </c>
      <c r="D4601" t="inlineStr">
        <is>
          <t>Petit Tradicional</t>
        </is>
      </c>
      <c r="E4601" s="34" t="n">
        <v>26290</v>
      </c>
      <c r="F4601" t="inlineStr">
        <is>
          <t>B</t>
        </is>
      </c>
      <c r="G4601" s="34" t="n">
        <v>4198</v>
      </c>
      <c r="H4601" s="34" t="n">
        <v>22092</v>
      </c>
      <c r="I4601" t="inlineStr">
        <is>
          <t>3.2</t>
        </is>
      </c>
      <c r="J4601" t="inlineStr">
        <is>
          <t>Ventas Personas (B2C)</t>
        </is>
      </c>
      <c r="K4601" t="inlineStr">
        <is>
          <t>CH2</t>
        </is>
      </c>
    </row>
    <row r="4602">
      <c r="A4602" s="33" t="n">
        <v>46022</v>
      </c>
      <c r="B4602" t="inlineStr">
        <is>
          <t>2025-12</t>
        </is>
      </c>
      <c r="C4602" t="inlineStr">
        <is>
          <t>Rodrigo Leon</t>
        </is>
      </c>
      <c r="D4602" t="inlineStr">
        <is>
          <t>Petit Tradicional</t>
        </is>
      </c>
      <c r="E4602" s="34" t="n">
        <v>25110</v>
      </c>
      <c r="F4602" t="inlineStr">
        <is>
          <t>B</t>
        </is>
      </c>
      <c r="G4602" s="34" t="n">
        <v>4009</v>
      </c>
      <c r="H4602" s="34" t="n">
        <v>21101</v>
      </c>
      <c r="I4602" t="inlineStr">
        <is>
          <t>3.2</t>
        </is>
      </c>
      <c r="J4602" t="inlineStr">
        <is>
          <t>Ventas Personas (B2C)</t>
        </is>
      </c>
      <c r="K4602" t="inlineStr">
        <is>
          <t>CH2</t>
        </is>
      </c>
    </row>
    <row r="4603">
      <c r="A4603" s="33" t="n">
        <v>46022</v>
      </c>
      <c r="B4603" t="inlineStr">
        <is>
          <t>2025-12</t>
        </is>
      </c>
      <c r="C4603" t="inlineStr">
        <is>
          <t>Kevin Barahona Valdivia</t>
        </is>
      </c>
      <c r="D4603" t="inlineStr">
        <is>
          <t>Petit Crunchy</t>
        </is>
      </c>
      <c r="E4603" s="34" t="n">
        <v>32390</v>
      </c>
      <c r="F4603" t="inlineStr">
        <is>
          <t>B</t>
        </is>
      </c>
      <c r="G4603" s="34" t="n">
        <v>5172</v>
      </c>
      <c r="H4603" s="34" t="n">
        <v>27218</v>
      </c>
      <c r="I4603" t="inlineStr">
        <is>
          <t>3.2</t>
        </is>
      </c>
      <c r="J4603" t="inlineStr">
        <is>
          <t>Ventas Personas (B2C)</t>
        </is>
      </c>
      <c r="K4603" t="inlineStr">
        <is>
          <t>CH2</t>
        </is>
      </c>
    </row>
    <row r="4604">
      <c r="A4604" s="33" t="n">
        <v>46022</v>
      </c>
      <c r="B4604" t="inlineStr">
        <is>
          <t>2025-12</t>
        </is>
      </c>
      <c r="C4604" t="inlineStr">
        <is>
          <t>Loreto Eckholt Peña</t>
        </is>
      </c>
      <c r="D4604" t="inlineStr">
        <is>
          <t>SALSAS</t>
        </is>
      </c>
      <c r="E4604" s="34" t="n">
        <v>33380</v>
      </c>
      <c r="F4604" t="inlineStr">
        <is>
          <t>B</t>
        </is>
      </c>
      <c r="G4604" s="34" t="n">
        <v>5330</v>
      </c>
      <c r="H4604" s="34" t="n">
        <v>28050</v>
      </c>
      <c r="I4604" t="inlineStr">
        <is>
          <t>3.2</t>
        </is>
      </c>
      <c r="J4604" t="inlineStr">
        <is>
          <t>Ventas Personas (B2C)</t>
        </is>
      </c>
      <c r="K4604" t="inlineStr">
        <is>
          <t>CH2</t>
        </is>
      </c>
    </row>
    <row r="4605">
      <c r="A4605" s="33" t="n">
        <v>46022</v>
      </c>
      <c r="B4605" t="inlineStr">
        <is>
          <t>2025-12</t>
        </is>
      </c>
      <c r="C4605" t="inlineStr">
        <is>
          <t>Victor Araneda del Canto</t>
        </is>
      </c>
      <c r="D4605" t="inlineStr">
        <is>
          <t>Rellenos</t>
        </is>
      </c>
      <c r="E4605" s="34" t="n">
        <v>38390</v>
      </c>
      <c r="F4605" t="inlineStr">
        <is>
          <t>B</t>
        </is>
      </c>
      <c r="G4605" s="34" t="n">
        <v>6129</v>
      </c>
      <c r="H4605" s="34" t="n">
        <v>32261</v>
      </c>
      <c r="I4605" t="inlineStr">
        <is>
          <t>3.2</t>
        </is>
      </c>
      <c r="J4605" t="inlineStr">
        <is>
          <t>Ventas Personas (B2C)</t>
        </is>
      </c>
      <c r="K4605" t="inlineStr">
        <is>
          <t>CH2</t>
        </is>
      </c>
    </row>
    <row r="4606">
      <c r="A4606" s="33" t="n">
        <v>46022</v>
      </c>
      <c r="B4606" t="inlineStr">
        <is>
          <t>2025-12</t>
        </is>
      </c>
      <c r="C4606" t="inlineStr">
        <is>
          <t>Katheryn Palacios</t>
        </is>
      </c>
      <c r="D4606" t="inlineStr">
        <is>
          <t>CANELÉ TRADICIONAL</t>
        </is>
      </c>
      <c r="E4606" s="34" t="n">
        <v>27390</v>
      </c>
      <c r="F4606" t="inlineStr">
        <is>
          <t>B</t>
        </is>
      </c>
      <c r="G4606" s="34" t="n">
        <v>4373</v>
      </c>
      <c r="H4606" s="34" t="n">
        <v>23017</v>
      </c>
      <c r="I4606" t="inlineStr">
        <is>
          <t>3.2</t>
        </is>
      </c>
      <c r="J4606" t="inlineStr">
        <is>
          <t>Ventas Personas (B2C)</t>
        </is>
      </c>
      <c r="K4606" t="inlineStr">
        <is>
          <t>CH2</t>
        </is>
      </c>
    </row>
    <row r="4607">
      <c r="A4607" s="33" t="n">
        <v>46022</v>
      </c>
      <c r="B4607" t="inlineStr">
        <is>
          <t>2025-12</t>
        </is>
      </c>
      <c r="C4607" t="inlineStr">
        <is>
          <t>Maria Alejandra Rabagliati</t>
        </is>
      </c>
      <c r="D4607" t="inlineStr">
        <is>
          <t>Petit Crunchy</t>
        </is>
      </c>
      <c r="E4607" s="34" t="n">
        <v>19390</v>
      </c>
      <c r="F4607" t="inlineStr">
        <is>
          <t>B</t>
        </is>
      </c>
      <c r="G4607" s="34" t="n">
        <v>3096</v>
      </c>
      <c r="H4607" s="34" t="n">
        <v>16294</v>
      </c>
      <c r="I4607" t="inlineStr">
        <is>
          <t>3.2</t>
        </is>
      </c>
      <c r="J4607" t="inlineStr">
        <is>
          <t>Ventas Personas (B2C)</t>
        </is>
      </c>
      <c r="K4607" t="inlineStr">
        <is>
          <t>CH2</t>
        </is>
      </c>
    </row>
    <row r="4608">
      <c r="A4608" s="33" t="n">
        <v>46022</v>
      </c>
      <c r="B4608" t="inlineStr">
        <is>
          <t>2025-12</t>
        </is>
      </c>
      <c r="C4608" t="inlineStr">
        <is>
          <t>Sin cliente</t>
        </is>
      </c>
      <c r="D4608" t="inlineStr">
        <is>
          <t>Petit Tradicional</t>
        </is>
      </c>
      <c r="E4608" s="34" t="n">
        <v>31800</v>
      </c>
      <c r="F4608" t="inlineStr">
        <is>
          <t>B</t>
        </is>
      </c>
      <c r="G4608" s="34" t="n">
        <v>5077</v>
      </c>
      <c r="H4608" s="34" t="n">
        <v>26723</v>
      </c>
      <c r="I4608" t="inlineStr">
        <is>
          <t>3.2</t>
        </is>
      </c>
      <c r="J4608" t="inlineStr">
        <is>
          <t>Ventas Personas (B2C)</t>
        </is>
      </c>
      <c r="K4608" t="inlineStr">
        <is>
          <t>CH2</t>
        </is>
      </c>
    </row>
    <row r="4609">
      <c r="A4609" s="33" t="n">
        <v>46022</v>
      </c>
      <c r="B4609" t="inlineStr">
        <is>
          <t>2025-12</t>
        </is>
      </c>
      <c r="C4609" t="inlineStr">
        <is>
          <t>Sin cliente</t>
        </is>
      </c>
      <c r="D4609" t="inlineStr">
        <is>
          <t>Petit Tradicional</t>
        </is>
      </c>
      <c r="E4609" s="34" t="n">
        <v>40300</v>
      </c>
      <c r="F4609" t="inlineStr">
        <is>
          <t>B</t>
        </is>
      </c>
      <c r="G4609" s="34" t="n">
        <v>6434</v>
      </c>
      <c r="H4609" s="34" t="n">
        <v>33866</v>
      </c>
      <c r="I4609" t="inlineStr">
        <is>
          <t>3.2</t>
        </is>
      </c>
      <c r="J4609" t="inlineStr">
        <is>
          <t>Ventas Personas (B2C)</t>
        </is>
      </c>
      <c r="K4609" t="inlineStr">
        <is>
          <t>CH2</t>
        </is>
      </c>
    </row>
    <row r="4610">
      <c r="A4610" s="33" t="n">
        <v>46022</v>
      </c>
      <c r="B4610" t="inlineStr">
        <is>
          <t>2025-12</t>
        </is>
      </c>
      <c r="C4610" t="inlineStr">
        <is>
          <t>Sin cliente</t>
        </is>
      </c>
      <c r="D4610" t="inlineStr">
        <is>
          <t>Petit Tradicional</t>
        </is>
      </c>
      <c r="E4610" s="34" t="n">
        <v>9800</v>
      </c>
      <c r="F4610" t="inlineStr">
        <is>
          <t>B</t>
        </is>
      </c>
      <c r="G4610" s="34" t="n">
        <v>1565</v>
      </c>
      <c r="H4610" s="34" t="n">
        <v>8235</v>
      </c>
      <c r="I4610" t="inlineStr">
        <is>
          <t>3.2</t>
        </is>
      </c>
      <c r="J4610" t="inlineStr">
        <is>
          <t>Ventas Personas (B2C)</t>
        </is>
      </c>
      <c r="K4610" t="inlineStr">
        <is>
          <t>CH2</t>
        </is>
      </c>
    </row>
    <row r="4611">
      <c r="A4611" s="33" t="n">
        <v>46022</v>
      </c>
      <c r="B4611" t="inlineStr">
        <is>
          <t>2025-12</t>
        </is>
      </c>
      <c r="C4611" t="inlineStr">
        <is>
          <t>Daniel Sohail</t>
        </is>
      </c>
      <c r="D4611" t="inlineStr">
        <is>
          <t>Rellenos</t>
        </is>
      </c>
      <c r="E4611" s="34" t="n">
        <v>23900</v>
      </c>
      <c r="F4611" t="inlineStr">
        <is>
          <t>B</t>
        </is>
      </c>
      <c r="G4611" s="34" t="n">
        <v>3816</v>
      </c>
      <c r="H4611" s="34" t="n">
        <v>20084</v>
      </c>
      <c r="I4611" t="inlineStr">
        <is>
          <t>3.2</t>
        </is>
      </c>
      <c r="J4611" t="inlineStr">
        <is>
          <t>Ventas Personas (B2C)</t>
        </is>
      </c>
      <c r="K4611" t="inlineStr">
        <is>
          <t>CH2</t>
        </is>
      </c>
    </row>
    <row r="4612">
      <c r="A4612" s="33" t="n">
        <v>46022</v>
      </c>
      <c r="B4612" t="inlineStr">
        <is>
          <t>2025-12</t>
        </is>
      </c>
      <c r="C4612" t="inlineStr">
        <is>
          <t>Sin cliente</t>
        </is>
      </c>
      <c r="D4612" t="inlineStr">
        <is>
          <t>SALSAS</t>
        </is>
      </c>
      <c r="E4612" s="34" t="n">
        <v>9490</v>
      </c>
      <c r="F4612" t="inlineStr">
        <is>
          <t>B</t>
        </is>
      </c>
      <c r="G4612" s="34" t="n">
        <v>1515</v>
      </c>
      <c r="H4612" s="34" t="n">
        <v>7975</v>
      </c>
      <c r="I4612" t="inlineStr">
        <is>
          <t>3.2</t>
        </is>
      </c>
      <c r="J4612" t="inlineStr">
        <is>
          <t>Ventas Personas (B2C)</t>
        </is>
      </c>
      <c r="K4612" t="inlineStr">
        <is>
          <t>CH2</t>
        </is>
      </c>
    </row>
    <row r="4613">
      <c r="A4613" s="33" t="n">
        <v>46022</v>
      </c>
      <c r="B4613" t="inlineStr">
        <is>
          <t>2025-12</t>
        </is>
      </c>
      <c r="C4613" t="inlineStr">
        <is>
          <t>Sin cliente</t>
        </is>
      </c>
      <c r="D4613" t="inlineStr">
        <is>
          <t>Petit Tradicional</t>
        </is>
      </c>
      <c r="E4613" s="34" t="n">
        <v>21800</v>
      </c>
      <c r="F4613" t="inlineStr">
        <is>
          <t>B</t>
        </is>
      </c>
      <c r="G4613" s="34" t="n">
        <v>3481</v>
      </c>
      <c r="H4613" s="34" t="n">
        <v>18319</v>
      </c>
      <c r="I4613" t="inlineStr">
        <is>
          <t>3.2</t>
        </is>
      </c>
      <c r="J4613" t="inlineStr">
        <is>
          <t>Ventas Personas (B2C)</t>
        </is>
      </c>
      <c r="K4613" t="inlineStr">
        <is>
          <t>CH2</t>
        </is>
      </c>
    </row>
    <row r="4614">
      <c r="A4614" s="33" t="n">
        <v>46022</v>
      </c>
      <c r="B4614" t="inlineStr">
        <is>
          <t>2025-12</t>
        </is>
      </c>
      <c r="C4614" t="inlineStr">
        <is>
          <t>Sin cliente</t>
        </is>
      </c>
      <c r="D4614" t="inlineStr">
        <is>
          <t>Petit Tradicional</t>
        </is>
      </c>
      <c r="E4614" s="34" t="n">
        <v>28700</v>
      </c>
      <c r="F4614" t="inlineStr">
        <is>
          <t>B</t>
        </is>
      </c>
      <c r="G4614" s="34" t="n">
        <v>4582</v>
      </c>
      <c r="H4614" s="34" t="n">
        <v>24118</v>
      </c>
      <c r="I4614" t="inlineStr">
        <is>
          <t>3.2</t>
        </is>
      </c>
      <c r="J4614" t="inlineStr">
        <is>
          <t>Ventas Personas (B2C)</t>
        </is>
      </c>
      <c r="K4614" t="inlineStr">
        <is>
          <t>CH2</t>
        </is>
      </c>
    </row>
    <row r="4615">
      <c r="A4615" s="33" t="n">
        <v>46022</v>
      </c>
      <c r="B4615" t="inlineStr">
        <is>
          <t>2025-12</t>
        </is>
      </c>
      <c r="C4615" t="inlineStr">
        <is>
          <t>Sin cliente</t>
        </is>
      </c>
      <c r="D4615" t="inlineStr">
        <is>
          <t>CANELÉ TRADICIONAL</t>
        </is>
      </c>
      <c r="E4615" s="34" t="n">
        <v>26900</v>
      </c>
      <c r="F4615" t="inlineStr">
        <is>
          <t>B</t>
        </is>
      </c>
      <c r="G4615" s="34" t="n">
        <v>4295</v>
      </c>
      <c r="H4615" s="34" t="n">
        <v>22605</v>
      </c>
      <c r="I4615" t="inlineStr">
        <is>
          <t>3.2</t>
        </is>
      </c>
      <c r="J4615" t="inlineStr">
        <is>
          <t>Ventas Personas (B2C)</t>
        </is>
      </c>
      <c r="K4615" t="inlineStr">
        <is>
          <t>CH2</t>
        </is>
      </c>
    </row>
    <row r="4616">
      <c r="A4616" s="33" t="n">
        <v>46022</v>
      </c>
      <c r="B4616" t="inlineStr">
        <is>
          <t>2025-12</t>
        </is>
      </c>
      <c r="C4616" t="inlineStr">
        <is>
          <t>Sin cliente</t>
        </is>
      </c>
      <c r="D4616" t="inlineStr">
        <is>
          <t>Rellenos</t>
        </is>
      </c>
      <c r="E4616" s="34" t="n">
        <v>32700</v>
      </c>
      <c r="F4616" t="inlineStr">
        <is>
          <t>B</t>
        </is>
      </c>
      <c r="G4616" s="34" t="n">
        <v>5221</v>
      </c>
      <c r="H4616" s="34" t="n">
        <v>27479</v>
      </c>
      <c r="I4616" t="inlineStr">
        <is>
          <t>3.2</t>
        </is>
      </c>
      <c r="J4616" t="inlineStr">
        <is>
          <t>Ventas Personas (B2C)</t>
        </is>
      </c>
      <c r="K4616" t="inlineStr">
        <is>
          <t>CH2</t>
        </is>
      </c>
    </row>
    <row r="4617">
      <c r="A4617" s="33" t="n">
        <v>46022</v>
      </c>
      <c r="B4617" t="inlineStr">
        <is>
          <t>2025-12</t>
        </is>
      </c>
      <c r="C4617" t="inlineStr">
        <is>
          <t>Sin cliente</t>
        </is>
      </c>
      <c r="D4617" t="inlineStr">
        <is>
          <t>Petit Tradicional</t>
        </is>
      </c>
      <c r="E4617" s="34" t="n">
        <v>9800</v>
      </c>
      <c r="F4617" t="inlineStr">
        <is>
          <t>B</t>
        </is>
      </c>
      <c r="G4617" s="34" t="n">
        <v>1565</v>
      </c>
      <c r="H4617" s="34" t="n">
        <v>8235</v>
      </c>
      <c r="I4617" t="inlineStr">
        <is>
          <t>3.2</t>
        </is>
      </c>
      <c r="J4617" t="inlineStr">
        <is>
          <t>Ventas Personas (B2C)</t>
        </is>
      </c>
      <c r="K4617" t="inlineStr">
        <is>
          <t>CH2</t>
        </is>
      </c>
    </row>
    <row r="4618">
      <c r="A4618" s="33" t="n">
        <v>46022</v>
      </c>
      <c r="B4618" t="inlineStr">
        <is>
          <t>2025-12</t>
        </is>
      </c>
      <c r="C4618" t="inlineStr">
        <is>
          <t>Sin cliente</t>
        </is>
      </c>
      <c r="D4618" t="inlineStr">
        <is>
          <t>Petit Tradicional</t>
        </is>
      </c>
      <c r="E4618" s="34" t="n">
        <v>39690</v>
      </c>
      <c r="F4618" t="inlineStr">
        <is>
          <t>B</t>
        </is>
      </c>
      <c r="G4618" s="34" t="n">
        <v>6337</v>
      </c>
      <c r="H4618" s="34" t="n">
        <v>33353</v>
      </c>
      <c r="I4618" t="inlineStr">
        <is>
          <t>3.2</t>
        </is>
      </c>
      <c r="J4618" t="inlineStr">
        <is>
          <t>Ventas Personas (B2C)</t>
        </is>
      </c>
      <c r="K4618" t="inlineStr">
        <is>
          <t>CH2</t>
        </is>
      </c>
    </row>
    <row r="4619">
      <c r="A4619" s="33" t="n">
        <v>46022</v>
      </c>
      <c r="B4619" t="inlineStr">
        <is>
          <t>2025-12</t>
        </is>
      </c>
      <c r="C4619" t="inlineStr">
        <is>
          <t>Sin cliente</t>
        </is>
      </c>
      <c r="D4619" t="inlineStr">
        <is>
          <t>PLATAFORMAS RAP-PEYA-UBER-GOOD</t>
        </is>
      </c>
      <c r="E4619" s="34" t="n">
        <v>25080</v>
      </c>
      <c r="F4619" t="inlineStr">
        <is>
          <t>B</t>
        </is>
      </c>
      <c r="G4619" s="34" t="n">
        <v>4004</v>
      </c>
      <c r="H4619" s="34" t="n">
        <v>21076</v>
      </c>
      <c r="I4619" t="inlineStr">
        <is>
          <t>3.6</t>
        </is>
      </c>
      <c r="J4619" t="inlineStr">
        <is>
          <t>Ventas Delivery Apps</t>
        </is>
      </c>
      <c r="K4619" t="inlineStr">
        <is>
          <t>CH3</t>
        </is>
      </c>
    </row>
    <row r="4620">
      <c r="A4620" s="33" t="n">
        <v>46022</v>
      </c>
      <c r="B4620" t="inlineStr">
        <is>
          <t>2025-12</t>
        </is>
      </c>
      <c r="C4620" t="inlineStr">
        <is>
          <t>Sin cliente</t>
        </is>
      </c>
      <c r="D4620" t="inlineStr">
        <is>
          <t>PLATAFORMAS RAP-PEYA-UBER-GOOD</t>
        </is>
      </c>
      <c r="E4620" s="34" t="n">
        <v>17880</v>
      </c>
      <c r="F4620" t="inlineStr">
        <is>
          <t>B</t>
        </is>
      </c>
      <c r="G4620" s="34" t="n">
        <v>2855</v>
      </c>
      <c r="H4620" s="34" t="n">
        <v>15025</v>
      </c>
      <c r="I4620" t="inlineStr">
        <is>
          <t>3.6</t>
        </is>
      </c>
      <c r="J4620" t="inlineStr">
        <is>
          <t>Ventas Delivery Apps</t>
        </is>
      </c>
      <c r="K4620" t="inlineStr">
        <is>
          <t>CH3</t>
        </is>
      </c>
    </row>
    <row r="4621">
      <c r="A4621" s="33" t="n">
        <v>46022</v>
      </c>
      <c r="B4621" t="inlineStr">
        <is>
          <t>2025-12</t>
        </is>
      </c>
      <c r="C4621" t="inlineStr">
        <is>
          <t>Sin cliente</t>
        </is>
      </c>
      <c r="D4621" t="inlineStr">
        <is>
          <t>PLATAFORMAS RAP-PEYA-UBER-GOOD</t>
        </is>
      </c>
      <c r="E4621" s="34" t="n">
        <v>17880</v>
      </c>
      <c r="F4621" t="inlineStr">
        <is>
          <t>B</t>
        </is>
      </c>
      <c r="G4621" s="34" t="n">
        <v>2855</v>
      </c>
      <c r="H4621" s="34" t="n">
        <v>15025</v>
      </c>
      <c r="I4621" t="inlineStr">
        <is>
          <t>3.6</t>
        </is>
      </c>
      <c r="J4621" t="inlineStr">
        <is>
          <t>Ventas Delivery Apps</t>
        </is>
      </c>
      <c r="K4621" t="inlineStr">
        <is>
          <t>CH3</t>
        </is>
      </c>
    </row>
    <row r="4622">
      <c r="A4622" s="33" t="n">
        <v>46022</v>
      </c>
      <c r="B4622" t="inlineStr">
        <is>
          <t>2025-12</t>
        </is>
      </c>
      <c r="C4622" t="inlineStr">
        <is>
          <t>Sin cliente</t>
        </is>
      </c>
      <c r="D4622" t="inlineStr">
        <is>
          <t>PLATAFORMAS RAP-PEYA-UBER-GOOD</t>
        </is>
      </c>
      <c r="E4622" s="34" t="n">
        <v>25080</v>
      </c>
      <c r="F4622" t="inlineStr">
        <is>
          <t>B</t>
        </is>
      </c>
      <c r="G4622" s="34" t="n">
        <v>4004</v>
      </c>
      <c r="H4622" s="34" t="n">
        <v>21076</v>
      </c>
      <c r="I4622" t="inlineStr">
        <is>
          <t>3.6</t>
        </is>
      </c>
      <c r="J4622" t="inlineStr">
        <is>
          <t>Ventas Delivery Apps</t>
        </is>
      </c>
      <c r="K4622" t="inlineStr">
        <is>
          <t>CH3</t>
        </is>
      </c>
    </row>
    <row r="4623">
      <c r="A4623" s="33" t="n">
        <v>46022</v>
      </c>
      <c r="B4623" t="inlineStr">
        <is>
          <t>2025-12</t>
        </is>
      </c>
      <c r="C4623" t="inlineStr">
        <is>
          <t>Sin cliente</t>
        </is>
      </c>
      <c r="D4623" t="inlineStr">
        <is>
          <t>PLATAFORMAS RAP-PEYA-UBER-GOOD</t>
        </is>
      </c>
      <c r="E4623" s="34" t="n">
        <v>29760</v>
      </c>
      <c r="F4623" t="inlineStr">
        <is>
          <t>B</t>
        </is>
      </c>
      <c r="G4623" s="34" t="n">
        <v>4752</v>
      </c>
      <c r="H4623" s="34" t="n">
        <v>25008</v>
      </c>
      <c r="I4623" t="inlineStr">
        <is>
          <t>3.6</t>
        </is>
      </c>
      <c r="J4623" t="inlineStr">
        <is>
          <t>Ventas Delivery Apps</t>
        </is>
      </c>
      <c r="K4623" t="inlineStr">
        <is>
          <t>CH3</t>
        </is>
      </c>
    </row>
    <row r="4624">
      <c r="A4624" s="33" t="n">
        <v>46022</v>
      </c>
      <c r="B4624" t="inlineStr">
        <is>
          <t>2025-12</t>
        </is>
      </c>
      <c r="C4624" t="inlineStr">
        <is>
          <t>Sin cliente</t>
        </is>
      </c>
      <c r="D4624" t="inlineStr">
        <is>
          <t>Rellenos</t>
        </is>
      </c>
      <c r="E4624" s="34" t="n">
        <v>20400</v>
      </c>
      <c r="F4624" t="inlineStr">
        <is>
          <t>B</t>
        </is>
      </c>
      <c r="G4624" s="34" t="n">
        <v>3257</v>
      </c>
      <c r="H4624" s="34" t="n">
        <v>17143</v>
      </c>
      <c r="I4624" t="inlineStr">
        <is>
          <t>3.6</t>
        </is>
      </c>
      <c r="J4624" t="inlineStr">
        <is>
          <t>Ventas Delivery Apps</t>
        </is>
      </c>
      <c r="K4624" t="inlineStr">
        <is>
          <t>CH3</t>
        </is>
      </c>
    </row>
    <row r="4625">
      <c r="A4625" s="33" t="n">
        <v>46022</v>
      </c>
      <c r="B4625" t="inlineStr">
        <is>
          <t>2025-12</t>
        </is>
      </c>
      <c r="C4625" t="inlineStr">
        <is>
          <t>Sin cliente</t>
        </is>
      </c>
      <c r="D4625" t="inlineStr">
        <is>
          <t>PLATAFORMAS RAP-PEYA-UBER-GOOD</t>
        </is>
      </c>
      <c r="E4625" s="34" t="n">
        <v>60000</v>
      </c>
      <c r="F4625" t="inlineStr">
        <is>
          <t>B</t>
        </is>
      </c>
      <c r="G4625" s="34" t="n">
        <v>9580</v>
      </c>
      <c r="H4625" s="34" t="n">
        <v>50420</v>
      </c>
      <c r="I4625" t="inlineStr">
        <is>
          <t>3.6</t>
        </is>
      </c>
      <c r="J4625" t="inlineStr">
        <is>
          <t>Ventas Delivery Apps</t>
        </is>
      </c>
      <c r="K4625" t="inlineStr">
        <is>
          <t>CH3</t>
        </is>
      </c>
    </row>
    <row r="4626">
      <c r="A4626" s="33" t="n">
        <v>46022</v>
      </c>
      <c r="B4626" t="inlineStr">
        <is>
          <t>2025-12</t>
        </is>
      </c>
      <c r="C4626" t="inlineStr">
        <is>
          <t>Sofía Espinoza</t>
        </is>
      </c>
      <c r="D4626" t="inlineStr">
        <is>
          <t>Rellenos</t>
        </is>
      </c>
      <c r="E4626" s="34" t="n">
        <v>18900</v>
      </c>
      <c r="F4626" t="inlineStr">
        <is>
          <t>B</t>
        </is>
      </c>
      <c r="G4626" s="34" t="n">
        <v>3018</v>
      </c>
      <c r="H4626" s="34" t="n">
        <v>15882</v>
      </c>
      <c r="I4626" t="inlineStr">
        <is>
          <t>3.2</t>
        </is>
      </c>
      <c r="J4626" t="inlineStr">
        <is>
          <t>Ventas Personas (B2C)</t>
        </is>
      </c>
      <c r="K4626" t="inlineStr">
        <is>
          <t>CH2</t>
        </is>
      </c>
    </row>
    <row r="4627">
      <c r="A4627" s="33" t="n">
        <v>46023</v>
      </c>
      <c r="B4627" t="inlineStr">
        <is>
          <t>2026-01</t>
        </is>
      </c>
      <c r="C4627" t="inlineStr">
        <is>
          <t>BLUE OAK COFFE SPA</t>
        </is>
      </c>
      <c r="D4627" t="inlineStr">
        <is>
          <t>HORECA CAFETERIA</t>
        </is>
      </c>
      <c r="E4627" s="34" t="n">
        <v>136410</v>
      </c>
      <c r="F4627" t="inlineStr">
        <is>
          <t>F</t>
        </is>
      </c>
      <c r="G4627" s="34" t="n">
        <v>21780</v>
      </c>
      <c r="H4627" s="34" t="n">
        <v>114630</v>
      </c>
      <c r="I4627" t="inlineStr">
        <is>
          <t>3.1</t>
        </is>
      </c>
      <c r="J4627" t="inlineStr">
        <is>
          <t>Ventas HoReCa</t>
        </is>
      </c>
      <c r="K4627" t="inlineStr">
        <is>
          <t>CH1</t>
        </is>
      </c>
    </row>
    <row r="4628">
      <c r="A4628" s="33" t="n">
        <v>46023</v>
      </c>
      <c r="B4628" t="inlineStr">
        <is>
          <t>2026-01</t>
        </is>
      </c>
      <c r="C4628" t="inlineStr">
        <is>
          <t>BLUE OAK COFFE SPA</t>
        </is>
      </c>
      <c r="D4628" t="inlineStr">
        <is>
          <t>HORECA CAFETERIA</t>
        </is>
      </c>
      <c r="E4628" s="34" t="n">
        <v>87763</v>
      </c>
      <c r="F4628" t="inlineStr">
        <is>
          <t>F</t>
        </is>
      </c>
      <c r="G4628" s="34" t="n">
        <v>14013</v>
      </c>
      <c r="H4628" s="34" t="n">
        <v>73750</v>
      </c>
      <c r="I4628" t="inlineStr">
        <is>
          <t>3.1</t>
        </is>
      </c>
      <c r="J4628" t="inlineStr">
        <is>
          <t>Ventas HoReCa</t>
        </is>
      </c>
      <c r="K4628" t="inlineStr">
        <is>
          <t>CH1</t>
        </is>
      </c>
    </row>
    <row r="4629">
      <c r="A4629" s="33" t="n">
        <v>46023</v>
      </c>
      <c r="B4629" t="inlineStr">
        <is>
          <t>2026-01</t>
        </is>
      </c>
      <c r="C4629" t="inlineStr">
        <is>
          <t>Macarena Martinez pesenti</t>
        </is>
      </c>
      <c r="D4629" t="inlineStr">
        <is>
          <t>Petit Crunchy</t>
        </is>
      </c>
      <c r="E4629" s="34" t="n">
        <v>39390</v>
      </c>
      <c r="F4629" t="inlineStr">
        <is>
          <t>B</t>
        </is>
      </c>
      <c r="G4629" s="34" t="n">
        <v>6289</v>
      </c>
      <c r="H4629" s="34" t="n">
        <v>33101</v>
      </c>
      <c r="I4629" t="inlineStr">
        <is>
          <t>3.2</t>
        </is>
      </c>
      <c r="J4629" t="inlineStr">
        <is>
          <t>Ventas Personas (B2C)</t>
        </is>
      </c>
      <c r="K4629" t="inlineStr">
        <is>
          <t>CH2</t>
        </is>
      </c>
    </row>
    <row r="4630">
      <c r="A4630" s="33" t="n">
        <v>46024</v>
      </c>
      <c r="B4630" t="inlineStr">
        <is>
          <t>2026-01</t>
        </is>
      </c>
      <c r="C4630" t="inlineStr">
        <is>
          <t>Inversiones Nagua SPA</t>
        </is>
      </c>
      <c r="D4630" t="inlineStr">
        <is>
          <t>HORECA CAFETERIA</t>
        </is>
      </c>
      <c r="E4630" s="34" t="n">
        <v>71210</v>
      </c>
      <c r="F4630" t="inlineStr">
        <is>
          <t>F</t>
        </is>
      </c>
      <c r="G4630" s="34" t="n">
        <v>11370</v>
      </c>
      <c r="H4630" s="34" t="n">
        <v>59840</v>
      </c>
      <c r="I4630" t="inlineStr">
        <is>
          <t>3.1</t>
        </is>
      </c>
      <c r="J4630" t="inlineStr">
        <is>
          <t>Ventas HoReCa</t>
        </is>
      </c>
      <c r="K4630" t="inlineStr">
        <is>
          <t>CH1</t>
        </is>
      </c>
    </row>
    <row r="4631">
      <c r="A4631" s="33" t="n">
        <v>46024</v>
      </c>
      <c r="B4631" t="inlineStr">
        <is>
          <t>2026-01</t>
        </is>
      </c>
      <c r="C4631" t="inlineStr">
        <is>
          <t>CAFE DIARIO ENCOMENDEROS SPA</t>
        </is>
      </c>
      <c r="D4631" t="inlineStr">
        <is>
          <t>HORECA CAFETERIA</t>
        </is>
      </c>
      <c r="E4631" s="34" t="n">
        <v>108380</v>
      </c>
      <c r="F4631" t="inlineStr">
        <is>
          <t>F</t>
        </is>
      </c>
      <c r="G4631" s="34" t="n">
        <v>17304</v>
      </c>
      <c r="H4631" s="34" t="n">
        <v>91076</v>
      </c>
      <c r="I4631" t="inlineStr">
        <is>
          <t>3.1</t>
        </is>
      </c>
      <c r="J4631" t="inlineStr">
        <is>
          <t>Ventas HoReCa</t>
        </is>
      </c>
      <c r="K4631" t="inlineStr">
        <is>
          <t>CH1</t>
        </is>
      </c>
    </row>
    <row r="4632">
      <c r="A4632" s="33" t="n">
        <v>46024</v>
      </c>
      <c r="B4632" t="inlineStr">
        <is>
          <t>2026-01</t>
        </is>
      </c>
      <c r="C4632" t="inlineStr">
        <is>
          <t>INVERSIONES Y ASESORIAS RAVAL LIMITADA</t>
        </is>
      </c>
      <c r="D4632" t="inlineStr">
        <is>
          <t>HORECA CAFETERIA</t>
        </is>
      </c>
      <c r="E4632" s="34" t="n">
        <v>75030</v>
      </c>
      <c r="F4632" t="inlineStr">
        <is>
          <t>F</t>
        </is>
      </c>
      <c r="G4632" s="34" t="n">
        <v>11980</v>
      </c>
      <c r="H4632" s="34" t="n">
        <v>63050</v>
      </c>
      <c r="I4632" t="inlineStr">
        <is>
          <t>3.1</t>
        </is>
      </c>
      <c r="J4632" t="inlineStr">
        <is>
          <t>Ventas HoReCa</t>
        </is>
      </c>
      <c r="K4632" t="inlineStr">
        <is>
          <t>CH1</t>
        </is>
      </c>
    </row>
    <row r="4633">
      <c r="A4633" s="33" t="n">
        <v>46024</v>
      </c>
      <c r="B4633" t="inlineStr">
        <is>
          <t>2026-01</t>
        </is>
      </c>
      <c r="C4633" t="inlineStr">
        <is>
          <t>Sin cliente</t>
        </is>
      </c>
      <c r="D4633" t="inlineStr">
        <is>
          <t>CANELÉ TRADICIONAL</t>
        </is>
      </c>
      <c r="E4633" s="34" t="n">
        <v>15000</v>
      </c>
      <c r="F4633" t="inlineStr">
        <is>
          <t>B</t>
        </is>
      </c>
      <c r="G4633" s="34" t="n">
        <v>2395</v>
      </c>
      <c r="H4633" s="34" t="n">
        <v>12605</v>
      </c>
      <c r="I4633" t="inlineStr">
        <is>
          <t>3.2</t>
        </is>
      </c>
      <c r="J4633" t="inlineStr">
        <is>
          <t>Ventas Personas (B2C)</t>
        </is>
      </c>
      <c r="K4633" t="inlineStr">
        <is>
          <t>CH2</t>
        </is>
      </c>
    </row>
    <row r="4634">
      <c r="A4634" s="33" t="n">
        <v>46024</v>
      </c>
      <c r="B4634" t="inlineStr">
        <is>
          <t>2026-01</t>
        </is>
      </c>
      <c r="C4634" t="inlineStr">
        <is>
          <t>Margarita Bascuñán</t>
        </is>
      </c>
      <c r="D4634" t="inlineStr">
        <is>
          <t>PACKAGING</t>
        </is>
      </c>
      <c r="E4634" s="34" t="n">
        <v>14700</v>
      </c>
      <c r="F4634" t="inlineStr">
        <is>
          <t>B</t>
        </is>
      </c>
      <c r="G4634" s="34" t="n">
        <v>2347</v>
      </c>
      <c r="H4634" s="34" t="n">
        <v>12353</v>
      </c>
      <c r="I4634" t="inlineStr">
        <is>
          <t>3.2</t>
        </is>
      </c>
      <c r="J4634" t="inlineStr">
        <is>
          <t>Ventas Personas (B2C)</t>
        </is>
      </c>
      <c r="K4634" t="inlineStr">
        <is>
          <t>CH2</t>
        </is>
      </c>
    </row>
    <row r="4635">
      <c r="A4635" s="33" t="n">
        <v>46024</v>
      </c>
      <c r="B4635" t="inlineStr">
        <is>
          <t>2026-01</t>
        </is>
      </c>
      <c r="C4635" t="inlineStr">
        <is>
          <t>Rebecca Bell</t>
        </is>
      </c>
      <c r="D4635" t="inlineStr">
        <is>
          <t>CANELÉ TRADICIONAL</t>
        </is>
      </c>
      <c r="E4635" s="34" t="n">
        <v>5000</v>
      </c>
      <c r="F4635" t="inlineStr">
        <is>
          <t>B</t>
        </is>
      </c>
      <c r="G4635" s="34" t="n">
        <v>798</v>
      </c>
      <c r="H4635" s="34" t="n">
        <v>4202</v>
      </c>
      <c r="I4635" t="inlineStr">
        <is>
          <t>3.2</t>
        </is>
      </c>
      <c r="J4635" t="inlineStr">
        <is>
          <t>Ventas Personas (B2C)</t>
        </is>
      </c>
      <c r="K4635" t="inlineStr">
        <is>
          <t>CH2</t>
        </is>
      </c>
    </row>
    <row r="4636">
      <c r="A4636" s="33" t="n">
        <v>46024</v>
      </c>
      <c r="B4636" t="inlineStr">
        <is>
          <t>2026-01</t>
        </is>
      </c>
      <c r="C4636" t="inlineStr">
        <is>
          <t>Eleazar Zuñiga</t>
        </is>
      </c>
      <c r="D4636" t="inlineStr">
        <is>
          <t>Rellenos</t>
        </is>
      </c>
      <c r="E4636" s="34" t="n">
        <v>18900</v>
      </c>
      <c r="F4636" t="inlineStr">
        <is>
          <t>B</t>
        </is>
      </c>
      <c r="G4636" s="34" t="n">
        <v>3018</v>
      </c>
      <c r="H4636" s="34" t="n">
        <v>15882</v>
      </c>
      <c r="I4636" t="inlineStr">
        <is>
          <t>3.2</t>
        </is>
      </c>
      <c r="J4636" t="inlineStr">
        <is>
          <t>Ventas Personas (B2C)</t>
        </is>
      </c>
      <c r="K4636" t="inlineStr">
        <is>
          <t>CH2</t>
        </is>
      </c>
    </row>
    <row r="4637">
      <c r="A4637" s="33" t="n">
        <v>46024</v>
      </c>
      <c r="B4637" t="inlineStr">
        <is>
          <t>2026-01</t>
        </is>
      </c>
      <c r="C4637" t="inlineStr">
        <is>
          <t xml:space="preserve">Andrés  Paredes </t>
        </is>
      </c>
      <c r="D4637" t="inlineStr">
        <is>
          <t>CANELÉ TRADICIONAL</t>
        </is>
      </c>
      <c r="E4637" s="34" t="n">
        <v>53987</v>
      </c>
      <c r="F4637" t="inlineStr">
        <is>
          <t>B</t>
        </is>
      </c>
      <c r="G4637" s="34" t="n">
        <v>8620</v>
      </c>
      <c r="H4637" s="34" t="n">
        <v>45367</v>
      </c>
      <c r="I4637" t="inlineStr">
        <is>
          <t>3.1</t>
        </is>
      </c>
      <c r="J4637" t="inlineStr">
        <is>
          <t>Ventas HoReCa</t>
        </is>
      </c>
      <c r="K4637" t="inlineStr">
        <is>
          <t>CH1</t>
        </is>
      </c>
    </row>
    <row r="4638">
      <c r="A4638" s="33" t="n">
        <v>46024</v>
      </c>
      <c r="B4638" t="inlineStr">
        <is>
          <t>2026-01</t>
        </is>
      </c>
      <c r="C4638" t="inlineStr">
        <is>
          <t>Juan  Araya</t>
        </is>
      </c>
      <c r="D4638" t="inlineStr">
        <is>
          <t>Petit Tradicional</t>
        </is>
      </c>
      <c r="E4638" s="34" t="n">
        <v>20800</v>
      </c>
      <c r="F4638" t="inlineStr">
        <is>
          <t>B</t>
        </is>
      </c>
      <c r="G4638" s="34" t="n">
        <v>3321</v>
      </c>
      <c r="H4638" s="34" t="n">
        <v>17479</v>
      </c>
      <c r="I4638" t="inlineStr">
        <is>
          <t>3.2</t>
        </is>
      </c>
      <c r="J4638" t="inlineStr">
        <is>
          <t>Ventas Personas (B2C)</t>
        </is>
      </c>
      <c r="K4638" t="inlineStr">
        <is>
          <t>CH2</t>
        </is>
      </c>
    </row>
    <row r="4639">
      <c r="A4639" s="33" t="n">
        <v>46024</v>
      </c>
      <c r="B4639" t="inlineStr">
        <is>
          <t>2026-01</t>
        </is>
      </c>
      <c r="C4639" t="inlineStr">
        <is>
          <t>Ileana Pastran</t>
        </is>
      </c>
      <c r="D4639" t="inlineStr">
        <is>
          <t>Petit Crunchy</t>
        </is>
      </c>
      <c r="E4639" s="34" t="n">
        <v>20390</v>
      </c>
      <c r="F4639" t="inlineStr">
        <is>
          <t>B</t>
        </is>
      </c>
      <c r="G4639" s="34" t="n">
        <v>3256</v>
      </c>
      <c r="H4639" s="34" t="n">
        <v>17134</v>
      </c>
      <c r="I4639" t="inlineStr">
        <is>
          <t>3.2</t>
        </is>
      </c>
      <c r="J4639" t="inlineStr">
        <is>
          <t>Ventas Personas (B2C)</t>
        </is>
      </c>
      <c r="K4639" t="inlineStr">
        <is>
          <t>CH2</t>
        </is>
      </c>
    </row>
    <row r="4640">
      <c r="A4640" s="33" t="n">
        <v>46024</v>
      </c>
      <c r="B4640" t="inlineStr">
        <is>
          <t>2026-01</t>
        </is>
      </c>
      <c r="C4640" t="inlineStr">
        <is>
          <t>Sin cliente</t>
        </is>
      </c>
      <c r="D4640" t="inlineStr">
        <is>
          <t>Delicatessen</t>
        </is>
      </c>
      <c r="E4640" s="34" t="n">
        <v>4900</v>
      </c>
      <c r="F4640" t="inlineStr">
        <is>
          <t>B</t>
        </is>
      </c>
      <c r="G4640" s="34" t="n">
        <v>782</v>
      </c>
      <c r="H4640" s="34" t="n">
        <v>4118</v>
      </c>
      <c r="I4640" t="inlineStr">
        <is>
          <t>3.2</t>
        </is>
      </c>
      <c r="J4640" t="inlineStr">
        <is>
          <t>Ventas Personas (B2C)</t>
        </is>
      </c>
      <c r="K4640" t="inlineStr">
        <is>
          <t>CH2</t>
        </is>
      </c>
    </row>
    <row r="4641">
      <c r="A4641" s="33" t="n">
        <v>46024</v>
      </c>
      <c r="B4641" t="inlineStr">
        <is>
          <t>2026-01</t>
        </is>
      </c>
      <c r="C4641" t="inlineStr">
        <is>
          <t>Sin cliente</t>
        </is>
      </c>
      <c r="D4641" t="inlineStr">
        <is>
          <t>Petit Tradicional</t>
        </is>
      </c>
      <c r="E4641" s="34" t="n">
        <v>13800</v>
      </c>
      <c r="F4641" t="inlineStr">
        <is>
          <t>B</t>
        </is>
      </c>
      <c r="G4641" s="34" t="n">
        <v>2203</v>
      </c>
      <c r="H4641" s="34" t="n">
        <v>11597</v>
      </c>
      <c r="I4641" t="inlineStr">
        <is>
          <t>3.2</t>
        </is>
      </c>
      <c r="J4641" t="inlineStr">
        <is>
          <t>Ventas Personas (B2C)</t>
        </is>
      </c>
      <c r="K4641" t="inlineStr">
        <is>
          <t>CH2</t>
        </is>
      </c>
    </row>
    <row r="4642">
      <c r="A4642" s="33" t="n">
        <v>46024</v>
      </c>
      <c r="B4642" t="inlineStr">
        <is>
          <t>2026-01</t>
        </is>
      </c>
      <c r="C4642" t="inlineStr">
        <is>
          <t>Juan Espinoza</t>
        </is>
      </c>
      <c r="D4642" t="inlineStr">
        <is>
          <t>CANELÉ TRADICIONAL</t>
        </is>
      </c>
      <c r="E4642" s="34" t="n">
        <v>27900</v>
      </c>
      <c r="F4642" t="inlineStr">
        <is>
          <t>B</t>
        </is>
      </c>
      <c r="G4642" s="34" t="n">
        <v>4455</v>
      </c>
      <c r="H4642" s="34" t="n">
        <v>23445</v>
      </c>
      <c r="I4642" t="inlineStr">
        <is>
          <t>3.2</t>
        </is>
      </c>
      <c r="J4642" t="inlineStr">
        <is>
          <t>Ventas Personas (B2C)</t>
        </is>
      </c>
      <c r="K4642" t="inlineStr">
        <is>
          <t>CH2</t>
        </is>
      </c>
    </row>
    <row r="4643">
      <c r="A4643" s="33" t="n">
        <v>46024</v>
      </c>
      <c r="B4643" t="inlineStr">
        <is>
          <t>2026-01</t>
        </is>
      </c>
      <c r="C4643" t="inlineStr">
        <is>
          <t>Sin cliente</t>
        </is>
      </c>
      <c r="D4643" t="inlineStr">
        <is>
          <t>Rellenos</t>
        </is>
      </c>
      <c r="E4643" s="34" t="n">
        <v>22680</v>
      </c>
      <c r="F4643" t="inlineStr">
        <is>
          <t>B</t>
        </is>
      </c>
      <c r="G4643" s="34" t="n">
        <v>3621</v>
      </c>
      <c r="H4643" s="34" t="n">
        <v>19059</v>
      </c>
      <c r="I4643" t="inlineStr">
        <is>
          <t>3.6</t>
        </is>
      </c>
      <c r="J4643" t="inlineStr">
        <is>
          <t>Ventas Delivery Apps</t>
        </is>
      </c>
      <c r="K4643" t="inlineStr">
        <is>
          <t>CH3</t>
        </is>
      </c>
    </row>
    <row r="4644">
      <c r="A4644" s="33" t="n">
        <v>46024</v>
      </c>
      <c r="B4644" t="inlineStr">
        <is>
          <t>2026-01</t>
        </is>
      </c>
      <c r="C4644" t="inlineStr">
        <is>
          <t>Sin cliente</t>
        </is>
      </c>
      <c r="D4644" t="inlineStr">
        <is>
          <t>PLATAFORMAS RAP-PEYA-UBER-GOOD</t>
        </is>
      </c>
      <c r="E4644" s="34" t="n">
        <v>23868</v>
      </c>
      <c r="F4644" t="inlineStr">
        <is>
          <t>B</t>
        </is>
      </c>
      <c r="G4644" s="34" t="n">
        <v>3811</v>
      </c>
      <c r="H4644" s="34" t="n">
        <v>20057</v>
      </c>
      <c r="I4644" t="inlineStr">
        <is>
          <t>3.6</t>
        </is>
      </c>
      <c r="J4644" t="inlineStr">
        <is>
          <t>Ventas Delivery Apps</t>
        </is>
      </c>
      <c r="K4644" t="inlineStr">
        <is>
          <t>CH3</t>
        </is>
      </c>
    </row>
    <row r="4645">
      <c r="A4645" s="33" t="n">
        <v>46024</v>
      </c>
      <c r="B4645" t="inlineStr">
        <is>
          <t>2026-01</t>
        </is>
      </c>
      <c r="C4645" t="inlineStr">
        <is>
          <t>Sin cliente</t>
        </is>
      </c>
      <c r="D4645" t="inlineStr">
        <is>
          <t>PLATAFORMAS RAP-PEYA-UBER-GOOD</t>
        </is>
      </c>
      <c r="E4645" s="34" t="n">
        <v>26280</v>
      </c>
      <c r="F4645" t="inlineStr">
        <is>
          <t>B</t>
        </is>
      </c>
      <c r="G4645" s="34" t="n">
        <v>4196</v>
      </c>
      <c r="H4645" s="34" t="n">
        <v>22084</v>
      </c>
      <c r="I4645" t="inlineStr">
        <is>
          <t>3.6</t>
        </is>
      </c>
      <c r="J4645" t="inlineStr">
        <is>
          <t>Ventas Delivery Apps</t>
        </is>
      </c>
      <c r="K4645" t="inlineStr">
        <is>
          <t>CH3</t>
        </is>
      </c>
    </row>
    <row r="4646">
      <c r="A4646" s="33" t="n">
        <v>46024</v>
      </c>
      <c r="B4646" t="inlineStr">
        <is>
          <t>2026-01</t>
        </is>
      </c>
      <c r="C4646" t="inlineStr">
        <is>
          <t>Sin cliente</t>
        </is>
      </c>
      <c r="D4646" t="inlineStr">
        <is>
          <t>PLATAFORMAS RAP-PEYA-UBER-GOOD</t>
        </is>
      </c>
      <c r="E4646" s="34" t="n">
        <v>36948</v>
      </c>
      <c r="F4646" t="inlineStr">
        <is>
          <t>B</t>
        </is>
      </c>
      <c r="G4646" s="34" t="n">
        <v>5899</v>
      </c>
      <c r="H4646" s="34" t="n">
        <v>31049</v>
      </c>
      <c r="I4646" t="inlineStr">
        <is>
          <t>3.6</t>
        </is>
      </c>
      <c r="J4646" t="inlineStr">
        <is>
          <t>Ventas Delivery Apps</t>
        </is>
      </c>
      <c r="K4646" t="inlineStr">
        <is>
          <t>CH3</t>
        </is>
      </c>
    </row>
    <row r="4647">
      <c r="A4647" s="33" t="n">
        <v>46024</v>
      </c>
      <c r="B4647" t="inlineStr">
        <is>
          <t>2026-01</t>
        </is>
      </c>
      <c r="C4647" t="inlineStr">
        <is>
          <t>Jessica Diez</t>
        </is>
      </c>
      <c r="D4647" t="inlineStr">
        <is>
          <t>Rellenos</t>
        </is>
      </c>
      <c r="E4647" s="34" t="n">
        <v>32900</v>
      </c>
      <c r="F4647" t="inlineStr">
        <is>
          <t>B</t>
        </is>
      </c>
      <c r="G4647" s="34" t="n">
        <v>5253</v>
      </c>
      <c r="H4647" s="34" t="n">
        <v>27647</v>
      </c>
      <c r="I4647" t="inlineStr">
        <is>
          <t>3.2</t>
        </is>
      </c>
      <c r="J4647" t="inlineStr">
        <is>
          <t>Ventas Personas (B2C)</t>
        </is>
      </c>
      <c r="K4647" t="inlineStr">
        <is>
          <t>CH2</t>
        </is>
      </c>
    </row>
    <row r="4648">
      <c r="A4648" s="33" t="n">
        <v>46025</v>
      </c>
      <c r="B4648" t="inlineStr">
        <is>
          <t>2026-01</t>
        </is>
      </c>
      <c r="C4648" t="inlineStr">
        <is>
          <t>nataly morales</t>
        </is>
      </c>
      <c r="D4648" t="inlineStr">
        <is>
          <t>Edición Navidad</t>
        </is>
      </c>
      <c r="E4648" s="34" t="n">
        <v>8784</v>
      </c>
      <c r="F4648" t="inlineStr">
        <is>
          <t>B</t>
        </is>
      </c>
      <c r="G4648" s="34" t="n">
        <v>1402</v>
      </c>
      <c r="H4648" s="34" t="n">
        <v>7382</v>
      </c>
      <c r="I4648" t="inlineStr">
        <is>
          <t>3.2</t>
        </is>
      </c>
      <c r="J4648" t="inlineStr">
        <is>
          <t>Ventas Personas (B2C)</t>
        </is>
      </c>
      <c r="K4648" t="inlineStr">
        <is>
          <t>CH2</t>
        </is>
      </c>
    </row>
    <row r="4649">
      <c r="A4649" s="33" t="n">
        <v>46025</v>
      </c>
      <c r="B4649" t="inlineStr">
        <is>
          <t>2026-01</t>
        </is>
      </c>
      <c r="C4649" t="inlineStr">
        <is>
          <t>Sin cliente</t>
        </is>
      </c>
      <c r="D4649" t="inlineStr">
        <is>
          <t>Rellenos</t>
        </is>
      </c>
      <c r="E4649" s="34" t="n">
        <v>10200</v>
      </c>
      <c r="F4649" t="inlineStr">
        <is>
          <t>B</t>
        </is>
      </c>
      <c r="G4649" s="34" t="n">
        <v>1629</v>
      </c>
      <c r="H4649" s="34" t="n">
        <v>8571</v>
      </c>
      <c r="I4649" t="inlineStr">
        <is>
          <t>3.6</t>
        </is>
      </c>
      <c r="J4649" t="inlineStr">
        <is>
          <t>Ventas Delivery Apps</t>
        </is>
      </c>
      <c r="K4649" t="inlineStr">
        <is>
          <t>CH3</t>
        </is>
      </c>
    </row>
    <row r="4650">
      <c r="A4650" s="33" t="n">
        <v>46025</v>
      </c>
      <c r="B4650" t="inlineStr">
        <is>
          <t>2026-01</t>
        </is>
      </c>
      <c r="C4650" t="inlineStr">
        <is>
          <t>Sin cliente</t>
        </is>
      </c>
      <c r="D4650" t="inlineStr">
        <is>
          <t>Rellenos</t>
        </is>
      </c>
      <c r="E4650" s="34" t="n">
        <v>6500</v>
      </c>
      <c r="F4650" t="inlineStr">
        <is>
          <t>B</t>
        </is>
      </c>
      <c r="G4650" s="34" t="n">
        <v>1038</v>
      </c>
      <c r="H4650" s="34" t="n">
        <v>5462</v>
      </c>
      <c r="I4650" t="inlineStr">
        <is>
          <t>3.2</t>
        </is>
      </c>
      <c r="J4650" t="inlineStr">
        <is>
          <t>Ventas Personas (B2C)</t>
        </is>
      </c>
      <c r="K4650" t="inlineStr">
        <is>
          <t>CH2</t>
        </is>
      </c>
    </row>
    <row r="4651">
      <c r="A4651" s="33" t="n">
        <v>46025</v>
      </c>
      <c r="B4651" t="inlineStr">
        <is>
          <t>2026-01</t>
        </is>
      </c>
      <c r="C4651" t="inlineStr">
        <is>
          <t>Sin cliente</t>
        </is>
      </c>
      <c r="D4651" t="inlineStr">
        <is>
          <t>PLATAFORMAS RAP-PEYA-UBER-GOOD</t>
        </is>
      </c>
      <c r="E4651" s="34" t="n">
        <v>21600</v>
      </c>
      <c r="F4651" t="inlineStr">
        <is>
          <t>B</t>
        </is>
      </c>
      <c r="G4651" s="34" t="n">
        <v>3449</v>
      </c>
      <c r="H4651" s="34" t="n">
        <v>18151</v>
      </c>
      <c r="I4651" t="inlineStr">
        <is>
          <t>3.6</t>
        </is>
      </c>
      <c r="J4651" t="inlineStr">
        <is>
          <t>Ventas Delivery Apps</t>
        </is>
      </c>
      <c r="K4651" t="inlineStr">
        <is>
          <t>CH3</t>
        </is>
      </c>
    </row>
    <row r="4652">
      <c r="A4652" s="33" t="n">
        <v>46025</v>
      </c>
      <c r="B4652" t="inlineStr">
        <is>
          <t>2026-01</t>
        </is>
      </c>
      <c r="C4652" t="inlineStr">
        <is>
          <t>Sin cliente</t>
        </is>
      </c>
      <c r="D4652" t="inlineStr">
        <is>
          <t>CANELÉ TRADICIONAL</t>
        </is>
      </c>
      <c r="E4652" s="34" t="n">
        <v>15000</v>
      </c>
      <c r="F4652" t="inlineStr">
        <is>
          <t>B</t>
        </is>
      </c>
      <c r="G4652" s="34" t="n">
        <v>2395</v>
      </c>
      <c r="H4652" s="34" t="n">
        <v>12605</v>
      </c>
      <c r="I4652" t="inlineStr">
        <is>
          <t>3.2</t>
        </is>
      </c>
      <c r="J4652" t="inlineStr">
        <is>
          <t>Ventas Personas (B2C)</t>
        </is>
      </c>
      <c r="K4652" t="inlineStr">
        <is>
          <t>CH2</t>
        </is>
      </c>
    </row>
    <row r="4653">
      <c r="A4653" s="33" t="n">
        <v>46025</v>
      </c>
      <c r="B4653" t="inlineStr">
        <is>
          <t>2026-01</t>
        </is>
      </c>
      <c r="C4653" t="inlineStr">
        <is>
          <t>Sin cliente</t>
        </is>
      </c>
      <c r="D4653" t="inlineStr">
        <is>
          <t>Delicatessen</t>
        </is>
      </c>
      <c r="E4653" s="34" t="n">
        <v>14900</v>
      </c>
      <c r="F4653" t="inlineStr">
        <is>
          <t>B</t>
        </is>
      </c>
      <c r="G4653" s="34" t="n">
        <v>2379</v>
      </c>
      <c r="H4653" s="34" t="n">
        <v>12521</v>
      </c>
      <c r="I4653" t="inlineStr">
        <is>
          <t>3.2</t>
        </is>
      </c>
      <c r="J4653" t="inlineStr">
        <is>
          <t>Ventas Personas (B2C)</t>
        </is>
      </c>
      <c r="K4653" t="inlineStr">
        <is>
          <t>CH2</t>
        </is>
      </c>
    </row>
    <row r="4654">
      <c r="A4654" s="33" t="n">
        <v>46025</v>
      </c>
      <c r="B4654" t="inlineStr">
        <is>
          <t>2026-01</t>
        </is>
      </c>
      <c r="C4654" t="inlineStr">
        <is>
          <t>Sin cliente</t>
        </is>
      </c>
      <c r="D4654" t="inlineStr">
        <is>
          <t>CANELÉ TRADICIONAL</t>
        </is>
      </c>
      <c r="E4654" s="34" t="n">
        <v>40890</v>
      </c>
      <c r="F4654" t="inlineStr">
        <is>
          <t>B</t>
        </is>
      </c>
      <c r="G4654" s="34" t="n">
        <v>6529</v>
      </c>
      <c r="H4654" s="34" t="n">
        <v>34361</v>
      </c>
      <c r="I4654" t="inlineStr">
        <is>
          <t>3.2</t>
        </is>
      </c>
      <c r="J4654" t="inlineStr">
        <is>
          <t>Ventas Personas (B2C)</t>
        </is>
      </c>
      <c r="K4654" t="inlineStr">
        <is>
          <t>CH2</t>
        </is>
      </c>
    </row>
    <row r="4655">
      <c r="A4655" s="33" t="n">
        <v>46025</v>
      </c>
      <c r="B4655" t="inlineStr">
        <is>
          <t>2026-01</t>
        </is>
      </c>
      <c r="C4655" t="inlineStr">
        <is>
          <t>Sin cliente</t>
        </is>
      </c>
      <c r="D4655" t="inlineStr">
        <is>
          <t>CANELÉ TRADICIONAL</t>
        </is>
      </c>
      <c r="E4655" s="34" t="n">
        <v>34800</v>
      </c>
      <c r="F4655" t="inlineStr">
        <is>
          <t>B</t>
        </is>
      </c>
      <c r="G4655" s="34" t="n">
        <v>5556</v>
      </c>
      <c r="H4655" s="34" t="n">
        <v>29244</v>
      </c>
      <c r="I4655" t="inlineStr">
        <is>
          <t>3.2</t>
        </is>
      </c>
      <c r="J4655" t="inlineStr">
        <is>
          <t>Ventas Personas (B2C)</t>
        </is>
      </c>
      <c r="K4655" t="inlineStr">
        <is>
          <t>CH2</t>
        </is>
      </c>
    </row>
    <row r="4656">
      <c r="A4656" s="33" t="n">
        <v>46025</v>
      </c>
      <c r="B4656" t="inlineStr">
        <is>
          <t>2026-01</t>
        </is>
      </c>
      <c r="C4656" t="inlineStr">
        <is>
          <t>Sergio Valdivieso Cifuentes</t>
        </is>
      </c>
      <c r="D4656" t="inlineStr">
        <is>
          <t>Rellenos</t>
        </is>
      </c>
      <c r="E4656" s="34" t="n">
        <v>26490</v>
      </c>
      <c r="F4656" t="inlineStr">
        <is>
          <t>B</t>
        </is>
      </c>
      <c r="G4656" s="34" t="n">
        <v>4229</v>
      </c>
      <c r="H4656" s="34" t="n">
        <v>22261</v>
      </c>
      <c r="I4656" t="inlineStr">
        <is>
          <t>3.2</t>
        </is>
      </c>
      <c r="J4656" t="inlineStr">
        <is>
          <t>Ventas Personas (B2C)</t>
        </is>
      </c>
      <c r="K4656" t="inlineStr">
        <is>
          <t>CH2</t>
        </is>
      </c>
    </row>
    <row r="4657">
      <c r="A4657" s="33" t="n">
        <v>46025</v>
      </c>
      <c r="B4657" t="inlineStr">
        <is>
          <t>2026-01</t>
        </is>
      </c>
      <c r="C4657" t="inlineStr">
        <is>
          <t>Sin cliente</t>
        </is>
      </c>
      <c r="D4657" t="inlineStr">
        <is>
          <t>CANELÉ TRADICIONAL</t>
        </is>
      </c>
      <c r="E4657" s="34" t="n">
        <v>37790</v>
      </c>
      <c r="F4657" t="inlineStr">
        <is>
          <t>B</t>
        </is>
      </c>
      <c r="G4657" s="34" t="n">
        <v>6034</v>
      </c>
      <c r="H4657" s="34" t="n">
        <v>31756</v>
      </c>
      <c r="I4657" t="inlineStr">
        <is>
          <t>3.2</t>
        </is>
      </c>
      <c r="J4657" t="inlineStr">
        <is>
          <t>Ventas Personas (B2C)</t>
        </is>
      </c>
      <c r="K4657" t="inlineStr">
        <is>
          <t>CH2</t>
        </is>
      </c>
    </row>
    <row r="4658">
      <c r="A4658" s="33" t="n">
        <v>46025</v>
      </c>
      <c r="B4658" t="inlineStr">
        <is>
          <t>2026-01</t>
        </is>
      </c>
      <c r="C4658" t="inlineStr">
        <is>
          <t>Sin cliente</t>
        </is>
      </c>
      <c r="D4658" t="inlineStr">
        <is>
          <t>PLATAFORMAS RAP-PEYA-UBER-GOOD</t>
        </is>
      </c>
      <c r="E4658" s="34" t="n">
        <v>13800</v>
      </c>
      <c r="F4658" t="inlineStr">
        <is>
          <t>B</t>
        </is>
      </c>
      <c r="G4658" s="34" t="n">
        <v>2203</v>
      </c>
      <c r="H4658" s="34" t="n">
        <v>11597</v>
      </c>
      <c r="I4658" t="inlineStr">
        <is>
          <t>3.6</t>
        </is>
      </c>
      <c r="J4658" t="inlineStr">
        <is>
          <t>Ventas Delivery Apps</t>
        </is>
      </c>
      <c r="K4658" t="inlineStr">
        <is>
          <t>CH3</t>
        </is>
      </c>
    </row>
    <row r="4659">
      <c r="A4659" s="33" t="n">
        <v>46026</v>
      </c>
      <c r="B4659" t="inlineStr">
        <is>
          <t>2026-01</t>
        </is>
      </c>
      <c r="C4659" t="inlineStr">
        <is>
          <t>Francia Ducasse</t>
        </is>
      </c>
      <c r="D4659" t="inlineStr">
        <is>
          <t>Rellenos</t>
        </is>
      </c>
      <c r="E4659" s="34" t="n">
        <v>42290</v>
      </c>
      <c r="F4659" t="inlineStr">
        <is>
          <t>B</t>
        </is>
      </c>
      <c r="G4659" s="34" t="n">
        <v>6752</v>
      </c>
      <c r="H4659" s="34" t="n">
        <v>35538</v>
      </c>
      <c r="I4659" t="inlineStr">
        <is>
          <t>3.2</t>
        </is>
      </c>
      <c r="J4659" t="inlineStr">
        <is>
          <t>Ventas Personas (B2C)</t>
        </is>
      </c>
      <c r="K4659" t="inlineStr">
        <is>
          <t>CH2</t>
        </is>
      </c>
    </row>
    <row r="4660">
      <c r="A4660" s="33" t="n">
        <v>46026</v>
      </c>
      <c r="B4660" t="inlineStr">
        <is>
          <t>2026-01</t>
        </is>
      </c>
      <c r="C4660" t="inlineStr">
        <is>
          <t>micaela bravo fuentealba</t>
        </is>
      </c>
      <c r="D4660" t="inlineStr">
        <is>
          <t>CANELÉ TRADICIONAL</t>
        </is>
      </c>
      <c r="E4660" s="34" t="n">
        <v>15900</v>
      </c>
      <c r="F4660" t="inlineStr">
        <is>
          <t>B</t>
        </is>
      </c>
      <c r="G4660" s="34" t="n">
        <v>2539</v>
      </c>
      <c r="H4660" s="34" t="n">
        <v>13361</v>
      </c>
      <c r="I4660" t="inlineStr">
        <is>
          <t>3.2</t>
        </is>
      </c>
      <c r="J4660" t="inlineStr">
        <is>
          <t>Ventas Personas (B2C)</t>
        </is>
      </c>
      <c r="K4660" t="inlineStr">
        <is>
          <t>CH2</t>
        </is>
      </c>
    </row>
    <row r="4661">
      <c r="A4661" s="33" t="n">
        <v>46027</v>
      </c>
      <c r="B4661" t="inlineStr">
        <is>
          <t>2026-01</t>
        </is>
      </c>
      <c r="C4661" t="inlineStr">
        <is>
          <t>GALO SPA</t>
        </is>
      </c>
      <c r="D4661" t="inlineStr">
        <is>
          <t>HORECA CAFETERIA</t>
        </is>
      </c>
      <c r="E4661" s="34" t="n">
        <v>144537</v>
      </c>
      <c r="F4661" t="inlineStr">
        <is>
          <t>F</t>
        </is>
      </c>
      <c r="G4661" s="34" t="n">
        <v>23077</v>
      </c>
      <c r="H4661" s="34" t="n">
        <v>121460</v>
      </c>
      <c r="I4661" t="inlineStr">
        <is>
          <t>3.1</t>
        </is>
      </c>
      <c r="J4661" t="inlineStr">
        <is>
          <t>Ventas HoReCa</t>
        </is>
      </c>
      <c r="K4661" t="inlineStr">
        <is>
          <t>CH1</t>
        </is>
      </c>
    </row>
    <row r="4662">
      <c r="A4662" s="33" t="n">
        <v>46027</v>
      </c>
      <c r="B4662" t="inlineStr">
        <is>
          <t>2026-01</t>
        </is>
      </c>
      <c r="C4662" t="inlineStr">
        <is>
          <t>BLUE OAK COFFE SPA</t>
        </is>
      </c>
      <c r="D4662" t="inlineStr">
        <is>
          <t>HORECA CAFETERIA</t>
        </is>
      </c>
      <c r="E4662" s="34" t="n">
        <v>39115</v>
      </c>
      <c r="F4662" t="inlineStr">
        <is>
          <t>F</t>
        </is>
      </c>
      <c r="G4662" s="34" t="n">
        <v>6245</v>
      </c>
      <c r="H4662" s="34" t="n">
        <v>32870</v>
      </c>
      <c r="I4662" t="inlineStr">
        <is>
          <t>3.1</t>
        </is>
      </c>
      <c r="J4662" t="inlineStr">
        <is>
          <t>Ventas HoReCa</t>
        </is>
      </c>
      <c r="K4662" t="inlineStr">
        <is>
          <t>CH1</t>
        </is>
      </c>
    </row>
    <row r="4663">
      <c r="A4663" s="33" t="n">
        <v>46027</v>
      </c>
      <c r="B4663" t="inlineStr">
        <is>
          <t>2026-01</t>
        </is>
      </c>
      <c r="C4663" t="inlineStr">
        <is>
          <t>Sociedad de inversiones solari y acuña spa</t>
        </is>
      </c>
      <c r="D4663" t="inlineStr">
        <is>
          <t>HORECA CAFETERIA</t>
        </is>
      </c>
      <c r="E4663" s="34" t="n">
        <v>120868</v>
      </c>
      <c r="F4663" t="inlineStr">
        <is>
          <t>F</t>
        </is>
      </c>
      <c r="G4663" s="34" t="n">
        <v>19298</v>
      </c>
      <c r="H4663" s="34" t="n">
        <v>101570</v>
      </c>
      <c r="I4663" t="inlineStr">
        <is>
          <t>3.1</t>
        </is>
      </c>
      <c r="J4663" t="inlineStr">
        <is>
          <t>Ventas HoReCa</t>
        </is>
      </c>
      <c r="K4663" t="inlineStr">
        <is>
          <t>CH1</t>
        </is>
      </c>
    </row>
    <row r="4664">
      <c r="A4664" s="33" t="n">
        <v>46027</v>
      </c>
      <c r="B4664" t="inlineStr">
        <is>
          <t>2026-01</t>
        </is>
      </c>
      <c r="C4664" t="inlineStr">
        <is>
          <t>Sin cliente</t>
        </is>
      </c>
      <c r="D4664" t="inlineStr">
        <is>
          <t>Petit Tradicional</t>
        </is>
      </c>
      <c r="E4664" s="34" t="n">
        <v>20800</v>
      </c>
      <c r="F4664" t="inlineStr">
        <is>
          <t>B</t>
        </is>
      </c>
      <c r="G4664" s="34" t="n">
        <v>3321</v>
      </c>
      <c r="H4664" s="34" t="n">
        <v>17479</v>
      </c>
      <c r="I4664" t="inlineStr">
        <is>
          <t>3.2</t>
        </is>
      </c>
      <c r="J4664" t="inlineStr">
        <is>
          <t>Ventas Personas (B2C)</t>
        </is>
      </c>
      <c r="K4664" t="inlineStr">
        <is>
          <t>CH2</t>
        </is>
      </c>
    </row>
    <row r="4665">
      <c r="A4665" s="33" t="n">
        <v>46027</v>
      </c>
      <c r="B4665" t="inlineStr">
        <is>
          <t>2026-01</t>
        </is>
      </c>
      <c r="C4665" t="inlineStr">
        <is>
          <t>Okinawa Spa</t>
        </is>
      </c>
      <c r="D4665" t="inlineStr">
        <is>
          <t>HORECA CAFETERIA</t>
        </is>
      </c>
      <c r="E4665" s="34" t="n">
        <v>103304</v>
      </c>
      <c r="F4665" t="inlineStr">
        <is>
          <t>F</t>
        </is>
      </c>
      <c r="G4665" s="34" t="n">
        <v>16494</v>
      </c>
      <c r="H4665" s="34" t="n">
        <v>86810</v>
      </c>
      <c r="I4665" t="inlineStr">
        <is>
          <t>3.1</t>
        </is>
      </c>
      <c r="J4665" t="inlineStr">
        <is>
          <t>Ventas HoReCa</t>
        </is>
      </c>
      <c r="K4665" t="inlineStr">
        <is>
          <t>CH1</t>
        </is>
      </c>
    </row>
    <row r="4666">
      <c r="A4666" s="33" t="n">
        <v>46027</v>
      </c>
      <c r="B4666" t="inlineStr">
        <is>
          <t>2026-01</t>
        </is>
      </c>
      <c r="C4666" t="inlineStr">
        <is>
          <t>Sin cliente</t>
        </is>
      </c>
      <c r="D4666" t="inlineStr">
        <is>
          <t>Petit Crunchy</t>
        </is>
      </c>
      <c r="E4666" s="34" t="n">
        <v>44700</v>
      </c>
      <c r="F4666" t="inlineStr">
        <is>
          <t>B</t>
        </is>
      </c>
      <c r="G4666" s="34" t="n">
        <v>7137</v>
      </c>
      <c r="H4666" s="34" t="n">
        <v>37563</v>
      </c>
      <c r="I4666" t="inlineStr">
        <is>
          <t>3.2</t>
        </is>
      </c>
      <c r="J4666" t="inlineStr">
        <is>
          <t>Ventas Personas (B2C)</t>
        </is>
      </c>
      <c r="K4666" t="inlineStr">
        <is>
          <t>CH2</t>
        </is>
      </c>
    </row>
    <row r="4667">
      <c r="A4667" s="33" t="n">
        <v>46027</v>
      </c>
      <c r="B4667" t="inlineStr">
        <is>
          <t>2026-01</t>
        </is>
      </c>
      <c r="C4667" t="inlineStr">
        <is>
          <t>Sin cliente</t>
        </is>
      </c>
      <c r="D4667" t="inlineStr">
        <is>
          <t>Rellenos</t>
        </is>
      </c>
      <c r="E4667" s="34" t="n">
        <v>3500</v>
      </c>
      <c r="F4667" t="inlineStr">
        <is>
          <t>B</t>
        </is>
      </c>
      <c r="G4667" s="34" t="n">
        <v>559</v>
      </c>
      <c r="H4667" s="34" t="n">
        <v>2941</v>
      </c>
      <c r="I4667" t="inlineStr">
        <is>
          <t>3.2</t>
        </is>
      </c>
      <c r="J4667" t="inlineStr">
        <is>
          <t>Ventas Personas (B2C)</t>
        </is>
      </c>
      <c r="K4667" t="inlineStr">
        <is>
          <t>CH2</t>
        </is>
      </c>
    </row>
    <row r="4668">
      <c r="A4668" s="33" t="n">
        <v>46027</v>
      </c>
      <c r="B4668" t="inlineStr">
        <is>
          <t>2026-01</t>
        </is>
      </c>
      <c r="C4668" t="inlineStr">
        <is>
          <t>Sin cliente</t>
        </is>
      </c>
      <c r="D4668" t="inlineStr">
        <is>
          <t>PLATAFORMAS RAP-PEYA-UBER-GOOD</t>
        </is>
      </c>
      <c r="E4668" s="34" t="n">
        <v>10680</v>
      </c>
      <c r="F4668" t="inlineStr">
        <is>
          <t>B</t>
        </is>
      </c>
      <c r="G4668" s="34" t="n">
        <v>1705</v>
      </c>
      <c r="H4668" s="34" t="n">
        <v>8975</v>
      </c>
      <c r="I4668" t="inlineStr">
        <is>
          <t>3.6</t>
        </is>
      </c>
      <c r="J4668" t="inlineStr">
        <is>
          <t>Ventas Delivery Apps</t>
        </is>
      </c>
      <c r="K4668" t="inlineStr">
        <is>
          <t>CH3</t>
        </is>
      </c>
    </row>
    <row r="4669">
      <c r="A4669" s="33" t="n">
        <v>46027</v>
      </c>
      <c r="B4669" t="inlineStr">
        <is>
          <t>2026-01</t>
        </is>
      </c>
      <c r="C4669" t="inlineStr">
        <is>
          <t>Sin cliente</t>
        </is>
      </c>
      <c r="D4669" t="inlineStr">
        <is>
          <t>PLATAFORMAS RAP-PEYA-UBER-GOOD</t>
        </is>
      </c>
      <c r="E4669" s="34" t="n">
        <v>19080</v>
      </c>
      <c r="F4669" t="inlineStr">
        <is>
          <t>B</t>
        </is>
      </c>
      <c r="G4669" s="34" t="n">
        <v>3046</v>
      </c>
      <c r="H4669" s="34" t="n">
        <v>16034</v>
      </c>
      <c r="I4669" t="inlineStr">
        <is>
          <t>3.6</t>
        </is>
      </c>
      <c r="J4669" t="inlineStr">
        <is>
          <t>Ventas Delivery Apps</t>
        </is>
      </c>
      <c r="K4669" t="inlineStr">
        <is>
          <t>CH3</t>
        </is>
      </c>
    </row>
    <row r="4670">
      <c r="A4670" s="33" t="n">
        <v>46027</v>
      </c>
      <c r="B4670" t="inlineStr">
        <is>
          <t>2026-01</t>
        </is>
      </c>
      <c r="C4670" t="inlineStr">
        <is>
          <t>Bernardita Zamorano</t>
        </is>
      </c>
      <c r="D4670" t="inlineStr">
        <is>
          <t>CANELÉ TRADICIONAL</t>
        </is>
      </c>
      <c r="E4670" s="34" t="n">
        <v>54290</v>
      </c>
      <c r="F4670" t="inlineStr">
        <is>
          <t>B</t>
        </is>
      </c>
      <c r="G4670" s="34" t="n">
        <v>8668</v>
      </c>
      <c r="H4670" s="34" t="n">
        <v>45622</v>
      </c>
      <c r="I4670" t="inlineStr">
        <is>
          <t>3.2</t>
        </is>
      </c>
      <c r="J4670" t="inlineStr">
        <is>
          <t>Ventas Personas (B2C)</t>
        </is>
      </c>
      <c r="K4670" t="inlineStr">
        <is>
          <t>CH2</t>
        </is>
      </c>
    </row>
    <row r="4671">
      <c r="A4671" s="33" t="n">
        <v>46028</v>
      </c>
      <c r="B4671" t="inlineStr">
        <is>
          <t>2026-01</t>
        </is>
      </c>
      <c r="C4671" t="inlineStr">
        <is>
          <t>BLUE OAK COFFE SPA</t>
        </is>
      </c>
      <c r="D4671" t="inlineStr">
        <is>
          <t>HORECA CAFETERIA</t>
        </is>
      </c>
      <c r="E4671" s="34" t="n">
        <v>201610</v>
      </c>
      <c r="F4671" t="inlineStr">
        <is>
          <t>F</t>
        </is>
      </c>
      <c r="G4671" s="34" t="n">
        <v>32190</v>
      </c>
      <c r="H4671" s="34" t="n">
        <v>169420</v>
      </c>
      <c r="I4671" t="inlineStr">
        <is>
          <t>3.1</t>
        </is>
      </c>
      <c r="J4671" t="inlineStr">
        <is>
          <t>Ventas HoReCa</t>
        </is>
      </c>
      <c r="K4671" t="inlineStr">
        <is>
          <t>CH1</t>
        </is>
      </c>
    </row>
    <row r="4672">
      <c r="A4672" s="33" t="n">
        <v>46028</v>
      </c>
      <c r="B4672" t="inlineStr">
        <is>
          <t>2026-01</t>
        </is>
      </c>
      <c r="C4672" t="inlineStr">
        <is>
          <t>Sin cliente</t>
        </is>
      </c>
      <c r="D4672" t="inlineStr">
        <is>
          <t>Cafeteria Geronimo</t>
        </is>
      </c>
      <c r="E4672" s="34" t="n">
        <v>3000</v>
      </c>
      <c r="F4672" t="inlineStr">
        <is>
          <t>B</t>
        </is>
      </c>
      <c r="G4672" s="34" t="n">
        <v>479</v>
      </c>
      <c r="H4672" s="34" t="n">
        <v>2521</v>
      </c>
      <c r="I4672" t="inlineStr">
        <is>
          <t>3.2</t>
        </is>
      </c>
      <c r="J4672" t="inlineStr">
        <is>
          <t>Ventas Personas (B2C)</t>
        </is>
      </c>
      <c r="K4672" t="inlineStr">
        <is>
          <t>CH2</t>
        </is>
      </c>
    </row>
    <row r="4673">
      <c r="A4673" s="33" t="n">
        <v>46028</v>
      </c>
      <c r="B4673" t="inlineStr">
        <is>
          <t>2026-01</t>
        </is>
      </c>
      <c r="C4673" t="inlineStr">
        <is>
          <t>Jessica Diez</t>
        </is>
      </c>
      <c r="D4673" t="inlineStr">
        <is>
          <t>Glosa Pudahuel</t>
        </is>
      </c>
      <c r="E4673" s="34" t="n">
        <v>7021</v>
      </c>
      <c r="F4673" t="inlineStr">
        <is>
          <t>B</t>
        </is>
      </c>
      <c r="G4673" s="34" t="n">
        <v>1121</v>
      </c>
      <c r="H4673" s="34" t="n">
        <v>5900</v>
      </c>
      <c r="I4673" t="inlineStr">
        <is>
          <t>3.2</t>
        </is>
      </c>
      <c r="J4673" t="inlineStr">
        <is>
          <t>Ventas Personas (B2C)</t>
        </is>
      </c>
      <c r="K4673" t="inlineStr">
        <is>
          <t>CH2</t>
        </is>
      </c>
    </row>
    <row r="4674">
      <c r="A4674" s="33" t="n">
        <v>46028</v>
      </c>
      <c r="B4674" t="inlineStr">
        <is>
          <t>2026-01</t>
        </is>
      </c>
      <c r="C4674" t="inlineStr">
        <is>
          <t>Sin cliente</t>
        </is>
      </c>
      <c r="D4674" t="inlineStr">
        <is>
          <t>CANELÉ TRADICIONAL</t>
        </is>
      </c>
      <c r="E4674" s="34" t="n">
        <v>15900</v>
      </c>
      <c r="F4674" t="inlineStr">
        <is>
          <t>B</t>
        </is>
      </c>
      <c r="G4674" s="34" t="n">
        <v>2539</v>
      </c>
      <c r="H4674" s="34" t="n">
        <v>13361</v>
      </c>
      <c r="I4674" t="inlineStr">
        <is>
          <t>3.2</t>
        </is>
      </c>
      <c r="J4674" t="inlineStr">
        <is>
          <t>Ventas Personas (B2C)</t>
        </is>
      </c>
      <c r="K4674" t="inlineStr">
        <is>
          <t>CH2</t>
        </is>
      </c>
    </row>
    <row r="4675">
      <c r="A4675" s="33" t="n">
        <v>46028</v>
      </c>
      <c r="B4675" t="inlineStr">
        <is>
          <t>2026-01</t>
        </is>
      </c>
      <c r="C4675" t="inlineStr">
        <is>
          <t>Better Food Spa</t>
        </is>
      </c>
      <c r="D4675" t="inlineStr">
        <is>
          <t>HORECA CAFETERIA</t>
        </is>
      </c>
      <c r="E4675" s="34" t="n">
        <v>288849</v>
      </c>
      <c r="F4675" t="inlineStr">
        <is>
          <t>F</t>
        </is>
      </c>
      <c r="G4675" s="34" t="n">
        <v>46119</v>
      </c>
      <c r="H4675" s="34" t="n">
        <v>242730</v>
      </c>
      <c r="I4675" t="inlineStr">
        <is>
          <t>3.1</t>
        </is>
      </c>
      <c r="J4675" t="inlineStr">
        <is>
          <t>Ventas HoReCa</t>
        </is>
      </c>
      <c r="K4675" t="inlineStr">
        <is>
          <t>CH1</t>
        </is>
      </c>
    </row>
    <row r="4676">
      <c r="A4676" s="33" t="n">
        <v>46028</v>
      </c>
      <c r="B4676" t="inlineStr">
        <is>
          <t>2026-01</t>
        </is>
      </c>
      <c r="C4676" t="inlineStr">
        <is>
          <t>Sin cliente</t>
        </is>
      </c>
      <c r="D4676" t="inlineStr">
        <is>
          <t>CANELÉ TRADICIONAL</t>
        </is>
      </c>
      <c r="E4676" s="34" t="n">
        <v>29300</v>
      </c>
      <c r="F4676" t="inlineStr">
        <is>
          <t>B</t>
        </is>
      </c>
      <c r="G4676" s="34" t="n">
        <v>4678</v>
      </c>
      <c r="H4676" s="34" t="n">
        <v>24622</v>
      </c>
      <c r="I4676" t="inlineStr">
        <is>
          <t>3.2</t>
        </is>
      </c>
      <c r="J4676" t="inlineStr">
        <is>
          <t>Ventas Personas (B2C)</t>
        </is>
      </c>
      <c r="K4676" t="inlineStr">
        <is>
          <t>CH2</t>
        </is>
      </c>
    </row>
    <row r="4677">
      <c r="A4677" s="33" t="n">
        <v>46028</v>
      </c>
      <c r="B4677" t="inlineStr">
        <is>
          <t>2026-01</t>
        </is>
      </c>
      <c r="C4677" t="inlineStr">
        <is>
          <t>Better Food Spa</t>
        </is>
      </c>
      <c r="D4677" t="inlineStr">
        <is>
          <t>REGION METROPOLITANA</t>
        </is>
      </c>
      <c r="E4677" s="34" t="n">
        <v>9401</v>
      </c>
      <c r="F4677" t="inlineStr">
        <is>
          <t>F</t>
        </is>
      </c>
      <c r="G4677" s="34" t="n">
        <v>1501</v>
      </c>
      <c r="H4677" s="34" t="n">
        <v>7900</v>
      </c>
      <c r="I4677" t="inlineStr">
        <is>
          <t>3.1</t>
        </is>
      </c>
      <c r="J4677" t="inlineStr">
        <is>
          <t>Ventas HoReCa</t>
        </is>
      </c>
      <c r="K4677" t="inlineStr">
        <is>
          <t>CH1</t>
        </is>
      </c>
    </row>
    <row r="4678">
      <c r="A4678" s="33" t="n">
        <v>46028</v>
      </c>
      <c r="B4678" t="inlineStr">
        <is>
          <t>2026-01</t>
        </is>
      </c>
      <c r="C4678" t="inlineStr">
        <is>
          <t>Eduardo saldivia sanchez</t>
        </is>
      </c>
      <c r="D4678" t="inlineStr">
        <is>
          <t>Petit Crunchy</t>
        </is>
      </c>
      <c r="E4678" s="34" t="n">
        <v>38890</v>
      </c>
      <c r="F4678" t="inlineStr">
        <is>
          <t>B</t>
        </is>
      </c>
      <c r="G4678" s="34" t="n">
        <v>6209</v>
      </c>
      <c r="H4678" s="34" t="n">
        <v>32681</v>
      </c>
      <c r="I4678" t="inlineStr">
        <is>
          <t>3.2</t>
        </is>
      </c>
      <c r="J4678" t="inlineStr">
        <is>
          <t>Ventas Personas (B2C)</t>
        </is>
      </c>
      <c r="K4678" t="inlineStr">
        <is>
          <t>CH2</t>
        </is>
      </c>
    </row>
    <row r="4679">
      <c r="A4679" s="33" t="n">
        <v>46028</v>
      </c>
      <c r="B4679" t="inlineStr">
        <is>
          <t>2026-01</t>
        </is>
      </c>
      <c r="C4679" t="inlineStr">
        <is>
          <t>Marwelys Pinto</t>
        </is>
      </c>
      <c r="D4679" t="inlineStr">
        <is>
          <t>SALSAS</t>
        </is>
      </c>
      <c r="E4679" s="34" t="n">
        <v>29280</v>
      </c>
      <c r="F4679" t="inlineStr">
        <is>
          <t>B</t>
        </is>
      </c>
      <c r="G4679" s="34" t="n">
        <v>4675</v>
      </c>
      <c r="H4679" s="34" t="n">
        <v>24605</v>
      </c>
      <c r="I4679" t="inlineStr">
        <is>
          <t>3.2</t>
        </is>
      </c>
      <c r="J4679" t="inlineStr">
        <is>
          <t>Ventas Personas (B2C)</t>
        </is>
      </c>
      <c r="K4679" t="inlineStr">
        <is>
          <t>CH2</t>
        </is>
      </c>
    </row>
    <row r="4680">
      <c r="A4680" s="33" t="n">
        <v>46028</v>
      </c>
      <c r="B4680" t="inlineStr">
        <is>
          <t>2026-01</t>
        </is>
      </c>
      <c r="C4680" t="inlineStr">
        <is>
          <t>Sin cliente</t>
        </is>
      </c>
      <c r="D4680" t="inlineStr">
        <is>
          <t>Petit Crunchy</t>
        </is>
      </c>
      <c r="E4680" s="34" t="n">
        <v>32700</v>
      </c>
      <c r="F4680" t="inlineStr">
        <is>
          <t>B</t>
        </is>
      </c>
      <c r="G4680" s="34" t="n">
        <v>5221</v>
      </c>
      <c r="H4680" s="34" t="n">
        <v>27479</v>
      </c>
      <c r="I4680" t="inlineStr">
        <is>
          <t>3.2</t>
        </is>
      </c>
      <c r="J4680" t="inlineStr">
        <is>
          <t>Ventas Personas (B2C)</t>
        </is>
      </c>
      <c r="K4680" t="inlineStr">
        <is>
          <t>CH2</t>
        </is>
      </c>
    </row>
    <row r="4681">
      <c r="A4681" s="33" t="n">
        <v>46028</v>
      </c>
      <c r="B4681" t="inlineStr">
        <is>
          <t>2026-01</t>
        </is>
      </c>
      <c r="C4681" t="inlineStr">
        <is>
          <t>Sin cliente</t>
        </is>
      </c>
      <c r="D4681" t="inlineStr">
        <is>
          <t>CANELÉ TRADICIONAL</t>
        </is>
      </c>
      <c r="E4681" s="34" t="n">
        <v>21900</v>
      </c>
      <c r="F4681" t="inlineStr">
        <is>
          <t>B</t>
        </is>
      </c>
      <c r="G4681" s="34" t="n">
        <v>3497</v>
      </c>
      <c r="H4681" s="34" t="n">
        <v>18403</v>
      </c>
      <c r="I4681" t="inlineStr">
        <is>
          <t>3.2</t>
        </is>
      </c>
      <c r="J4681" t="inlineStr">
        <is>
          <t>Ventas Personas (B2C)</t>
        </is>
      </c>
      <c r="K4681" t="inlineStr">
        <is>
          <t>CH2</t>
        </is>
      </c>
    </row>
    <row r="4682">
      <c r="A4682" s="33" t="n">
        <v>46028</v>
      </c>
      <c r="B4682" t="inlineStr">
        <is>
          <t>2026-01</t>
        </is>
      </c>
      <c r="C4682" t="inlineStr">
        <is>
          <t>Sin cliente</t>
        </is>
      </c>
      <c r="D4682" t="inlineStr">
        <is>
          <t>Rellenos</t>
        </is>
      </c>
      <c r="E4682" s="34" t="n">
        <v>21400</v>
      </c>
      <c r="F4682" t="inlineStr">
        <is>
          <t>B</t>
        </is>
      </c>
      <c r="G4682" s="34" t="n">
        <v>3417</v>
      </c>
      <c r="H4682" s="34" t="n">
        <v>17983</v>
      </c>
      <c r="I4682" t="inlineStr">
        <is>
          <t>3.2</t>
        </is>
      </c>
      <c r="J4682" t="inlineStr">
        <is>
          <t>Ventas Personas (B2C)</t>
        </is>
      </c>
      <c r="K4682" t="inlineStr">
        <is>
          <t>CH2</t>
        </is>
      </c>
    </row>
    <row r="4683">
      <c r="A4683" s="33" t="n">
        <v>46028</v>
      </c>
      <c r="B4683" t="inlineStr">
        <is>
          <t>2026-01</t>
        </is>
      </c>
      <c r="C4683" t="inlineStr">
        <is>
          <t>Sin cliente</t>
        </is>
      </c>
      <c r="D4683" t="inlineStr">
        <is>
          <t>CANELÉ TRADICIONAL</t>
        </is>
      </c>
      <c r="E4683" s="34" t="n">
        <v>37800</v>
      </c>
      <c r="F4683" t="inlineStr">
        <is>
          <t>B</t>
        </is>
      </c>
      <c r="G4683" s="34" t="n">
        <v>6035</v>
      </c>
      <c r="H4683" s="34" t="n">
        <v>31765</v>
      </c>
      <c r="I4683" t="inlineStr">
        <is>
          <t>3.2</t>
        </is>
      </c>
      <c r="J4683" t="inlineStr">
        <is>
          <t>Ventas Personas (B2C)</t>
        </is>
      </c>
      <c r="K4683" t="inlineStr">
        <is>
          <t>CH2</t>
        </is>
      </c>
    </row>
    <row r="4684">
      <c r="A4684" s="33" t="n">
        <v>46028</v>
      </c>
      <c r="B4684" t="inlineStr">
        <is>
          <t>2026-01</t>
        </is>
      </c>
      <c r="C4684" t="inlineStr">
        <is>
          <t>Sin cliente</t>
        </is>
      </c>
      <c r="D4684" t="inlineStr">
        <is>
          <t>CANELÉ TRADICIONAL</t>
        </is>
      </c>
      <c r="E4684" s="34" t="n">
        <v>23400</v>
      </c>
      <c r="F4684" t="inlineStr">
        <is>
          <t>B</t>
        </is>
      </c>
      <c r="G4684" s="34" t="n">
        <v>3736</v>
      </c>
      <c r="H4684" s="34" t="n">
        <v>19664</v>
      </c>
      <c r="I4684" t="inlineStr">
        <is>
          <t>3.2</t>
        </is>
      </c>
      <c r="J4684" t="inlineStr">
        <is>
          <t>Ventas Personas (B2C)</t>
        </is>
      </c>
      <c r="K4684" t="inlineStr">
        <is>
          <t>CH2</t>
        </is>
      </c>
    </row>
    <row r="4685">
      <c r="A4685" s="33" t="n">
        <v>46028</v>
      </c>
      <c r="B4685" t="inlineStr">
        <is>
          <t>2026-01</t>
        </is>
      </c>
      <c r="C4685" t="inlineStr">
        <is>
          <t>Sin cliente</t>
        </is>
      </c>
      <c r="D4685" t="inlineStr">
        <is>
          <t>PLATAFORMAS RAP-PEYA-UBER-GOOD</t>
        </is>
      </c>
      <c r="E4685" s="34" t="n">
        <v>10800</v>
      </c>
      <c r="F4685" t="inlineStr">
        <is>
          <t>B</t>
        </is>
      </c>
      <c r="G4685" s="34" t="n">
        <v>1724</v>
      </c>
      <c r="H4685" s="34" t="n">
        <v>9076</v>
      </c>
      <c r="I4685" t="inlineStr">
        <is>
          <t>3.6</t>
        </is>
      </c>
      <c r="J4685" t="inlineStr">
        <is>
          <t>Ventas Delivery Apps</t>
        </is>
      </c>
      <c r="K4685" t="inlineStr">
        <is>
          <t>CH3</t>
        </is>
      </c>
    </row>
    <row r="4686">
      <c r="A4686" s="33" t="n">
        <v>46028</v>
      </c>
      <c r="B4686" t="inlineStr">
        <is>
          <t>2026-01</t>
        </is>
      </c>
      <c r="C4686" t="inlineStr">
        <is>
          <t>Sin cliente</t>
        </is>
      </c>
      <c r="D4686" t="inlineStr">
        <is>
          <t>PLATAFORMAS RAP-PEYA-UBER-GOOD</t>
        </is>
      </c>
      <c r="E4686" s="34" t="n">
        <v>15480</v>
      </c>
      <c r="F4686" t="inlineStr">
        <is>
          <t>B</t>
        </is>
      </c>
      <c r="G4686" s="34" t="n">
        <v>2472</v>
      </c>
      <c r="H4686" s="34" t="n">
        <v>13008</v>
      </c>
      <c r="I4686" t="inlineStr">
        <is>
          <t>3.6</t>
        </is>
      </c>
      <c r="J4686" t="inlineStr">
        <is>
          <t>Ventas Delivery Apps</t>
        </is>
      </c>
      <c r="K4686" t="inlineStr">
        <is>
          <t>CH3</t>
        </is>
      </c>
    </row>
    <row r="4687">
      <c r="A4687" s="33" t="n">
        <v>46028</v>
      </c>
      <c r="B4687" t="inlineStr">
        <is>
          <t>2026-01</t>
        </is>
      </c>
      <c r="C4687" t="inlineStr">
        <is>
          <t>Sin cliente</t>
        </is>
      </c>
      <c r="D4687" t="inlineStr">
        <is>
          <t>PLATAFORMAS RAP-PEYA-UBER-GOOD</t>
        </is>
      </c>
      <c r="E4687" s="34" t="n">
        <v>11400</v>
      </c>
      <c r="F4687" t="inlineStr">
        <is>
          <t>B</t>
        </is>
      </c>
      <c r="G4687" s="34" t="n">
        <v>1820</v>
      </c>
      <c r="H4687" s="34" t="n">
        <v>9580</v>
      </c>
      <c r="I4687" t="inlineStr">
        <is>
          <t>3.6</t>
        </is>
      </c>
      <c r="J4687" t="inlineStr">
        <is>
          <t>Ventas Delivery Apps</t>
        </is>
      </c>
      <c r="K4687" t="inlineStr">
        <is>
          <t>CH3</t>
        </is>
      </c>
    </row>
    <row r="4688">
      <c r="A4688" s="33" t="n">
        <v>46028</v>
      </c>
      <c r="B4688" t="inlineStr">
        <is>
          <t>2026-01</t>
        </is>
      </c>
      <c r="C4688" t="inlineStr">
        <is>
          <t>PATRICIA LATORRE MUNOZ</t>
        </is>
      </c>
      <c r="D4688" t="inlineStr">
        <is>
          <t>CANELÉ TRADICIONAL</t>
        </is>
      </c>
      <c r="E4688" s="34" t="n">
        <v>22900</v>
      </c>
      <c r="F4688" t="inlineStr">
        <is>
          <t>B</t>
        </is>
      </c>
      <c r="G4688" s="34" t="n">
        <v>3656</v>
      </c>
      <c r="H4688" s="34" t="n">
        <v>19244</v>
      </c>
      <c r="I4688" t="inlineStr">
        <is>
          <t>3.2</t>
        </is>
      </c>
      <c r="J4688" t="inlineStr">
        <is>
          <t>Ventas Personas (B2C)</t>
        </is>
      </c>
      <c r="K4688" t="inlineStr">
        <is>
          <t>CH2</t>
        </is>
      </c>
    </row>
    <row r="4689">
      <c r="A4689" s="33" t="n">
        <v>46028</v>
      </c>
      <c r="B4689" t="inlineStr">
        <is>
          <t>2026-01</t>
        </is>
      </c>
      <c r="C4689" t="inlineStr">
        <is>
          <t>Lorena Ramírez</t>
        </is>
      </c>
      <c r="D4689" t="inlineStr">
        <is>
          <t>Rellenos</t>
        </is>
      </c>
      <c r="E4689" s="34" t="n">
        <v>55290</v>
      </c>
      <c r="F4689" t="inlineStr">
        <is>
          <t>B</t>
        </is>
      </c>
      <c r="G4689" s="34" t="n">
        <v>8828</v>
      </c>
      <c r="H4689" s="34" t="n">
        <v>46462</v>
      </c>
      <c r="I4689" t="inlineStr">
        <is>
          <t>3.2</t>
        </is>
      </c>
      <c r="J4689" t="inlineStr">
        <is>
          <t>Ventas Personas (B2C)</t>
        </is>
      </c>
      <c r="K4689" t="inlineStr">
        <is>
          <t>CH2</t>
        </is>
      </c>
    </row>
    <row r="4690">
      <c r="A4690" s="33" t="n">
        <v>46029</v>
      </c>
      <c r="B4690" t="inlineStr">
        <is>
          <t>2026-01</t>
        </is>
      </c>
      <c r="C4690" t="inlineStr">
        <is>
          <t>Quintana&amp;Rivera SpA</t>
        </is>
      </c>
      <c r="D4690" t="inlineStr">
        <is>
          <t>HORECA CAFETERIA</t>
        </is>
      </c>
      <c r="E4690" s="34" t="n">
        <v>103697</v>
      </c>
      <c r="F4690" t="inlineStr">
        <is>
          <t>F</t>
        </is>
      </c>
      <c r="G4690" s="34" t="n">
        <v>16557</v>
      </c>
      <c r="H4690" s="34" t="n">
        <v>87140</v>
      </c>
      <c r="I4690" t="inlineStr">
        <is>
          <t>3.1</t>
        </is>
      </c>
      <c r="J4690" t="inlineStr">
        <is>
          <t>Ventas HoReCa</t>
        </is>
      </c>
      <c r="K4690" t="inlineStr">
        <is>
          <t>CH1</t>
        </is>
      </c>
    </row>
    <row r="4691">
      <c r="A4691" s="33" t="n">
        <v>46029</v>
      </c>
      <c r="B4691" t="inlineStr">
        <is>
          <t>2026-01</t>
        </is>
      </c>
      <c r="C4691" t="inlineStr">
        <is>
          <t>Inversiones Las Urbinas SpA</t>
        </is>
      </c>
      <c r="D4691" t="inlineStr">
        <is>
          <t>HORECA CAFETERIA</t>
        </is>
      </c>
      <c r="E4691" s="34" t="n">
        <v>103304</v>
      </c>
      <c r="F4691" t="inlineStr">
        <is>
          <t>F</t>
        </is>
      </c>
      <c r="G4691" s="34" t="n">
        <v>16494</v>
      </c>
      <c r="H4691" s="34" t="n">
        <v>86810</v>
      </c>
      <c r="I4691" t="inlineStr">
        <is>
          <t>3.1</t>
        </is>
      </c>
      <c r="J4691" t="inlineStr">
        <is>
          <t>Ventas HoReCa</t>
        </is>
      </c>
      <c r="K4691" t="inlineStr">
        <is>
          <t>CH1</t>
        </is>
      </c>
    </row>
    <row r="4692">
      <c r="A4692" s="33" t="n">
        <v>46029</v>
      </c>
      <c r="B4692" t="inlineStr">
        <is>
          <t>2026-01</t>
        </is>
      </c>
      <c r="C4692" t="inlineStr">
        <is>
          <t>VILAS BANQUETERIAS SPA</t>
        </is>
      </c>
      <c r="D4692" t="inlineStr">
        <is>
          <t>HORECA CATERING</t>
        </is>
      </c>
      <c r="E4692" s="34" t="n">
        <v>148393</v>
      </c>
      <c r="F4692" t="inlineStr">
        <is>
          <t>F</t>
        </is>
      </c>
      <c r="G4692" s="34" t="n">
        <v>23693</v>
      </c>
      <c r="H4692" s="34" t="n">
        <v>124700</v>
      </c>
      <c r="I4692" t="inlineStr">
        <is>
          <t>3.1</t>
        </is>
      </c>
      <c r="J4692" t="inlineStr">
        <is>
          <t>Ventas HoReCa</t>
        </is>
      </c>
      <c r="K4692" t="inlineStr">
        <is>
          <t>CH1</t>
        </is>
      </c>
    </row>
    <row r="4693">
      <c r="A4693" s="33" t="n">
        <v>46029</v>
      </c>
      <c r="B4693" t="inlineStr">
        <is>
          <t>2026-01</t>
        </is>
      </c>
      <c r="C4693" t="inlineStr">
        <is>
          <t>Ignacia Azócar</t>
        </is>
      </c>
      <c r="D4693" t="inlineStr">
        <is>
          <t>Petit Crunchy</t>
        </is>
      </c>
      <c r="E4693" s="34" t="n">
        <v>27190</v>
      </c>
      <c r="F4693" t="inlineStr">
        <is>
          <t>B</t>
        </is>
      </c>
      <c r="G4693" s="34" t="n">
        <v>4341</v>
      </c>
      <c r="H4693" s="34" t="n">
        <v>22849</v>
      </c>
      <c r="I4693" t="inlineStr">
        <is>
          <t>3.2</t>
        </is>
      </c>
      <c r="J4693" t="inlineStr">
        <is>
          <t>Ventas Personas (B2C)</t>
        </is>
      </c>
      <c r="K4693" t="inlineStr">
        <is>
          <t>CH2</t>
        </is>
      </c>
    </row>
    <row r="4694">
      <c r="A4694" s="33" t="n">
        <v>46029</v>
      </c>
      <c r="B4694" t="inlineStr">
        <is>
          <t>2026-01</t>
        </is>
      </c>
      <c r="C4694" t="inlineStr">
        <is>
          <t>Catherine Lathrop</t>
        </is>
      </c>
      <c r="D4694" t="inlineStr">
        <is>
          <t>Petit Tradicional</t>
        </is>
      </c>
      <c r="E4694" s="34" t="n">
        <v>27290</v>
      </c>
      <c r="F4694" t="inlineStr">
        <is>
          <t>B</t>
        </is>
      </c>
      <c r="G4694" s="34" t="n">
        <v>4357</v>
      </c>
      <c r="H4694" s="34" t="n">
        <v>22932</v>
      </c>
      <c r="I4694" t="inlineStr">
        <is>
          <t>3.2</t>
        </is>
      </c>
      <c r="J4694" t="inlineStr">
        <is>
          <t>Ventas Personas (B2C)</t>
        </is>
      </c>
      <c r="K4694" t="inlineStr">
        <is>
          <t>CH2</t>
        </is>
      </c>
    </row>
    <row r="4695">
      <c r="A4695" s="33" t="n">
        <v>46029</v>
      </c>
      <c r="B4695" t="inlineStr">
        <is>
          <t>2026-01</t>
        </is>
      </c>
      <c r="C4695" t="inlineStr">
        <is>
          <t>Sin cliente</t>
        </is>
      </c>
      <c r="D4695" t="inlineStr">
        <is>
          <t>Petit Tradicional</t>
        </is>
      </c>
      <c r="E4695" s="34" t="n">
        <v>40700</v>
      </c>
      <c r="F4695" t="inlineStr">
        <is>
          <t>B</t>
        </is>
      </c>
      <c r="G4695" s="34" t="n">
        <v>6498</v>
      </c>
      <c r="H4695" s="34" t="n">
        <v>34202</v>
      </c>
      <c r="I4695" t="inlineStr">
        <is>
          <t>3.2</t>
        </is>
      </c>
      <c r="J4695" t="inlineStr">
        <is>
          <t>Ventas Personas (B2C)</t>
        </is>
      </c>
      <c r="K4695" t="inlineStr">
        <is>
          <t>CH2</t>
        </is>
      </c>
    </row>
    <row r="4696">
      <c r="A4696" s="33" t="n">
        <v>46029</v>
      </c>
      <c r="B4696" t="inlineStr">
        <is>
          <t>2026-01</t>
        </is>
      </c>
      <c r="C4696" t="inlineStr">
        <is>
          <t>Andrea Guzman</t>
        </is>
      </c>
      <c r="D4696" t="inlineStr">
        <is>
          <t>Petit Crunchy</t>
        </is>
      </c>
      <c r="E4696" s="34" t="n">
        <v>31390</v>
      </c>
      <c r="F4696" t="inlineStr">
        <is>
          <t>B</t>
        </is>
      </c>
      <c r="G4696" s="34" t="n">
        <v>5012</v>
      </c>
      <c r="H4696" s="34" t="n">
        <v>26378</v>
      </c>
      <c r="I4696" t="inlineStr">
        <is>
          <t>3.2</t>
        </is>
      </c>
      <c r="J4696" t="inlineStr">
        <is>
          <t>Ventas Personas (B2C)</t>
        </is>
      </c>
      <c r="K4696" t="inlineStr">
        <is>
          <t>CH2</t>
        </is>
      </c>
    </row>
    <row r="4697">
      <c r="A4697" s="33" t="n">
        <v>46029</v>
      </c>
      <c r="B4697" t="inlineStr">
        <is>
          <t>2026-01</t>
        </is>
      </c>
      <c r="C4697" t="inlineStr">
        <is>
          <t>Lorena Gonzalez</t>
        </is>
      </c>
      <c r="D4697" t="inlineStr">
        <is>
          <t>Rellenos</t>
        </is>
      </c>
      <c r="E4697" s="34" t="n">
        <v>37700</v>
      </c>
      <c r="F4697" t="inlineStr">
        <is>
          <t>B</t>
        </is>
      </c>
      <c r="G4697" s="34" t="n">
        <v>6019</v>
      </c>
      <c r="H4697" s="34" t="n">
        <v>31681</v>
      </c>
      <c r="I4697" t="inlineStr">
        <is>
          <t>3.2</t>
        </is>
      </c>
      <c r="J4697" t="inlineStr">
        <is>
          <t>Ventas Personas (B2C)</t>
        </is>
      </c>
      <c r="K4697" t="inlineStr">
        <is>
          <t>CH2</t>
        </is>
      </c>
    </row>
    <row r="4698">
      <c r="A4698" s="33" t="n">
        <v>46029</v>
      </c>
      <c r="B4698" t="inlineStr">
        <is>
          <t>2026-01</t>
        </is>
      </c>
      <c r="C4698" t="inlineStr">
        <is>
          <t>Sin cliente</t>
        </is>
      </c>
      <c r="D4698" t="inlineStr">
        <is>
          <t>Petit Crunchy</t>
        </is>
      </c>
      <c r="E4698" s="34" t="n">
        <v>50800</v>
      </c>
      <c r="F4698" t="inlineStr">
        <is>
          <t>B</t>
        </is>
      </c>
      <c r="G4698" s="34" t="n">
        <v>8111</v>
      </c>
      <c r="H4698" s="34" t="n">
        <v>42689</v>
      </c>
      <c r="I4698" t="inlineStr">
        <is>
          <t>3.2</t>
        </is>
      </c>
      <c r="J4698" t="inlineStr">
        <is>
          <t>Ventas Personas (B2C)</t>
        </is>
      </c>
      <c r="K4698" t="inlineStr">
        <is>
          <t>CH2</t>
        </is>
      </c>
    </row>
    <row r="4699">
      <c r="A4699" s="33" t="n">
        <v>46029</v>
      </c>
      <c r="B4699" t="inlineStr">
        <is>
          <t>2026-01</t>
        </is>
      </c>
      <c r="C4699" t="inlineStr">
        <is>
          <t>Sin cliente</t>
        </is>
      </c>
      <c r="D4699" t="inlineStr">
        <is>
          <t>Rellenos</t>
        </is>
      </c>
      <c r="E4699" s="34" t="n">
        <v>3500</v>
      </c>
      <c r="F4699" t="inlineStr">
        <is>
          <t>B</t>
        </is>
      </c>
      <c r="G4699" s="34" t="n">
        <v>559</v>
      </c>
      <c r="H4699" s="34" t="n">
        <v>2941</v>
      </c>
      <c r="I4699" t="inlineStr">
        <is>
          <t>3.2</t>
        </is>
      </c>
      <c r="J4699" t="inlineStr">
        <is>
          <t>Ventas Personas (B2C)</t>
        </is>
      </c>
      <c r="K4699" t="inlineStr">
        <is>
          <t>CH2</t>
        </is>
      </c>
    </row>
    <row r="4700">
      <c r="A4700" s="33" t="n">
        <v>46029</v>
      </c>
      <c r="B4700" t="inlineStr">
        <is>
          <t>2026-01</t>
        </is>
      </c>
      <c r="C4700" t="inlineStr">
        <is>
          <t>Sin cliente</t>
        </is>
      </c>
      <c r="D4700" t="inlineStr">
        <is>
          <t>Rellenos</t>
        </is>
      </c>
      <c r="E4700" s="34" t="n">
        <v>25900</v>
      </c>
      <c r="F4700" t="inlineStr">
        <is>
          <t>B</t>
        </is>
      </c>
      <c r="G4700" s="34" t="n">
        <v>4135</v>
      </c>
      <c r="H4700" s="34" t="n">
        <v>21765</v>
      </c>
      <c r="I4700" t="inlineStr">
        <is>
          <t>3.2</t>
        </is>
      </c>
      <c r="J4700" t="inlineStr">
        <is>
          <t>Ventas Personas (B2C)</t>
        </is>
      </c>
      <c r="K4700" t="inlineStr">
        <is>
          <t>CH2</t>
        </is>
      </c>
    </row>
    <row r="4701">
      <c r="A4701" s="33" t="n">
        <v>46029</v>
      </c>
      <c r="B4701" t="inlineStr">
        <is>
          <t>2026-01</t>
        </is>
      </c>
      <c r="C4701" t="inlineStr">
        <is>
          <t>Sin cliente</t>
        </is>
      </c>
      <c r="D4701" t="inlineStr">
        <is>
          <t>Rellenos</t>
        </is>
      </c>
      <c r="E4701" s="34" t="n">
        <v>14000</v>
      </c>
      <c r="F4701" t="inlineStr">
        <is>
          <t>B</t>
        </is>
      </c>
      <c r="G4701" s="34" t="n">
        <v>2235</v>
      </c>
      <c r="H4701" s="34" t="n">
        <v>11765</v>
      </c>
      <c r="I4701" t="inlineStr">
        <is>
          <t>3.2</t>
        </is>
      </c>
      <c r="J4701" t="inlineStr">
        <is>
          <t>Ventas Personas (B2C)</t>
        </is>
      </c>
      <c r="K4701" t="inlineStr">
        <is>
          <t>CH2</t>
        </is>
      </c>
    </row>
    <row r="4702">
      <c r="A4702" s="33" t="n">
        <v>46029</v>
      </c>
      <c r="B4702" t="inlineStr">
        <is>
          <t>2026-01</t>
        </is>
      </c>
      <c r="C4702" t="inlineStr">
        <is>
          <t>Sin cliente</t>
        </is>
      </c>
      <c r="D4702" t="inlineStr">
        <is>
          <t>Rellenos</t>
        </is>
      </c>
      <c r="E4702" s="34" t="n">
        <v>37700</v>
      </c>
      <c r="F4702" t="inlineStr">
        <is>
          <t>B</t>
        </is>
      </c>
      <c r="G4702" s="34" t="n">
        <v>6019</v>
      </c>
      <c r="H4702" s="34" t="n">
        <v>31681</v>
      </c>
      <c r="I4702" t="inlineStr">
        <is>
          <t>3.2</t>
        </is>
      </c>
      <c r="J4702" t="inlineStr">
        <is>
          <t>Ventas Personas (B2C)</t>
        </is>
      </c>
      <c r="K4702" t="inlineStr">
        <is>
          <t>CH2</t>
        </is>
      </c>
    </row>
    <row r="4703">
      <c r="A4703" s="33" t="n">
        <v>46029</v>
      </c>
      <c r="B4703" t="inlineStr">
        <is>
          <t>2026-01</t>
        </is>
      </c>
      <c r="C4703" t="inlineStr">
        <is>
          <t>Maria Jose Grez</t>
        </is>
      </c>
      <c r="D4703" t="inlineStr">
        <is>
          <t>Rellenos</t>
        </is>
      </c>
      <c r="E4703" s="34" t="n">
        <v>-37700</v>
      </c>
      <c r="F4703" t="inlineStr">
        <is>
          <t>NC</t>
        </is>
      </c>
      <c r="G4703" s="34" t="n">
        <v>-6019</v>
      </c>
      <c r="H4703" s="34" t="n">
        <v>-31681</v>
      </c>
      <c r="I4703" t="inlineStr">
        <is>
          <t>3.2</t>
        </is>
      </c>
      <c r="J4703" t="inlineStr">
        <is>
          <t>Ventas Personas (B2C)</t>
        </is>
      </c>
      <c r="K4703" t="inlineStr">
        <is>
          <t>CH2</t>
        </is>
      </c>
    </row>
    <row r="4704">
      <c r="A4704" s="33" t="n">
        <v>46029</v>
      </c>
      <c r="B4704" t="inlineStr">
        <is>
          <t>2026-01</t>
        </is>
      </c>
      <c r="C4704" t="inlineStr">
        <is>
          <t>Sin cliente</t>
        </is>
      </c>
      <c r="D4704" t="inlineStr">
        <is>
          <t>PLATAFORMAS RAP-PEYA-UBER-GOOD</t>
        </is>
      </c>
      <c r="E4704" s="34" t="n">
        <v>20280</v>
      </c>
      <c r="F4704" t="inlineStr">
        <is>
          <t>B</t>
        </is>
      </c>
      <c r="G4704" s="34" t="n">
        <v>3238</v>
      </c>
      <c r="H4704" s="34" t="n">
        <v>17042</v>
      </c>
      <c r="I4704" t="inlineStr">
        <is>
          <t>3.6</t>
        </is>
      </c>
      <c r="J4704" t="inlineStr">
        <is>
          <t>Ventas Delivery Apps</t>
        </is>
      </c>
      <c r="K4704" t="inlineStr">
        <is>
          <t>CH3</t>
        </is>
      </c>
    </row>
    <row r="4705">
      <c r="A4705" s="33" t="n">
        <v>46029</v>
      </c>
      <c r="B4705" t="inlineStr">
        <is>
          <t>2026-01</t>
        </is>
      </c>
      <c r="C4705" t="inlineStr">
        <is>
          <t>PATRICIA LATORRE MUNOZ</t>
        </is>
      </c>
      <c r="D4705" t="inlineStr">
        <is>
          <t xml:space="preserve">Glosa Despacho </t>
        </is>
      </c>
      <c r="E4705" s="34" t="n">
        <v>5990</v>
      </c>
      <c r="F4705" t="inlineStr">
        <is>
          <t>B</t>
        </is>
      </c>
      <c r="G4705" s="34" t="n">
        <v>956</v>
      </c>
      <c r="H4705" s="34" t="n">
        <v>5034</v>
      </c>
      <c r="I4705" t="inlineStr">
        <is>
          <t>3.2</t>
        </is>
      </c>
      <c r="J4705" t="inlineStr">
        <is>
          <t>Ventas Personas (B2C)</t>
        </is>
      </c>
      <c r="K4705" t="inlineStr">
        <is>
          <t>CH2</t>
        </is>
      </c>
    </row>
    <row r="4706">
      <c r="A4706" s="33" t="n">
        <v>46029</v>
      </c>
      <c r="B4706" t="inlineStr">
        <is>
          <t>2026-01</t>
        </is>
      </c>
      <c r="C4706" t="inlineStr">
        <is>
          <t>Bianca  alba Lavayen</t>
        </is>
      </c>
      <c r="D4706" t="inlineStr">
        <is>
          <t>Rellenos</t>
        </is>
      </c>
      <c r="E4706" s="34" t="n">
        <v>57090</v>
      </c>
      <c r="F4706" t="inlineStr">
        <is>
          <t>B</t>
        </is>
      </c>
      <c r="G4706" s="34" t="n">
        <v>9115</v>
      </c>
      <c r="H4706" s="34" t="n">
        <v>47975</v>
      </c>
      <c r="I4706" t="inlineStr">
        <is>
          <t>3.2</t>
        </is>
      </c>
      <c r="J4706" t="inlineStr">
        <is>
          <t>Ventas Personas (B2C)</t>
        </is>
      </c>
      <c r="K4706" t="inlineStr">
        <is>
          <t>CH2</t>
        </is>
      </c>
    </row>
    <row r="4707">
      <c r="A4707" s="33" t="n">
        <v>46029</v>
      </c>
      <c r="B4707" t="inlineStr">
        <is>
          <t>2026-01</t>
        </is>
      </c>
      <c r="C4707" t="inlineStr">
        <is>
          <t>Sin cliente</t>
        </is>
      </c>
      <c r="D4707" t="inlineStr">
        <is>
          <t>Delicatessen</t>
        </is>
      </c>
      <c r="E4707" s="34" t="n">
        <v>4900</v>
      </c>
      <c r="F4707" t="inlineStr">
        <is>
          <t>B</t>
        </is>
      </c>
      <c r="G4707" s="34" t="n">
        <v>782</v>
      </c>
      <c r="H4707" s="34" t="n">
        <v>4118</v>
      </c>
      <c r="I4707" t="inlineStr">
        <is>
          <t>3.2</t>
        </is>
      </c>
      <c r="J4707" t="inlineStr">
        <is>
          <t>Ventas Personas (B2C)</t>
        </is>
      </c>
      <c r="K4707" t="inlineStr">
        <is>
          <t>CH2</t>
        </is>
      </c>
    </row>
    <row r="4708">
      <c r="A4708" s="33" t="n">
        <v>46030</v>
      </c>
      <c r="B4708" t="inlineStr">
        <is>
          <t>2026-01</t>
        </is>
      </c>
      <c r="C4708" t="inlineStr">
        <is>
          <t>TAVELLI S.A.</t>
        </is>
      </c>
      <c r="D4708" t="inlineStr">
        <is>
          <t>HORECA CAFETERIA</t>
        </is>
      </c>
      <c r="E4708" s="34" t="n">
        <v>818405</v>
      </c>
      <c r="F4708" t="inlineStr">
        <is>
          <t>F</t>
        </is>
      </c>
      <c r="G4708" s="34" t="n">
        <v>130670</v>
      </c>
      <c r="H4708" s="34" t="n">
        <v>687735</v>
      </c>
      <c r="I4708" t="inlineStr">
        <is>
          <t>3.1</t>
        </is>
      </c>
      <c r="J4708" t="inlineStr">
        <is>
          <t>Ventas HoReCa</t>
        </is>
      </c>
      <c r="K4708" t="inlineStr">
        <is>
          <t>CH1</t>
        </is>
      </c>
    </row>
    <row r="4709">
      <c r="A4709" s="33" t="n">
        <v>46030</v>
      </c>
      <c r="B4709" t="inlineStr">
        <is>
          <t>2026-01</t>
        </is>
      </c>
      <c r="C4709" t="inlineStr">
        <is>
          <t>TAVELLI S.A.</t>
        </is>
      </c>
      <c r="D4709" t="inlineStr">
        <is>
          <t>REGION METROPOLITANA</t>
        </is>
      </c>
      <c r="E4709" s="34" t="n">
        <v>35700</v>
      </c>
      <c r="F4709" t="inlineStr">
        <is>
          <t>F</t>
        </is>
      </c>
      <c r="G4709" s="34" t="n">
        <v>5700</v>
      </c>
      <c r="H4709" s="34" t="n">
        <v>30000</v>
      </c>
      <c r="I4709" t="inlineStr">
        <is>
          <t>3.1</t>
        </is>
      </c>
      <c r="J4709" t="inlineStr">
        <is>
          <t>Ventas HoReCa</t>
        </is>
      </c>
      <c r="K4709" t="inlineStr">
        <is>
          <t>CH1</t>
        </is>
      </c>
    </row>
    <row r="4710">
      <c r="A4710" s="33" t="n">
        <v>46030</v>
      </c>
      <c r="B4710" t="inlineStr">
        <is>
          <t>2026-01</t>
        </is>
      </c>
      <c r="C4710" t="inlineStr">
        <is>
          <t>Andariego Coffee Spa</t>
        </is>
      </c>
      <c r="D4710" t="inlineStr">
        <is>
          <t>HORECA CAFETERIA</t>
        </is>
      </c>
      <c r="E4710" s="34" t="n">
        <v>355446</v>
      </c>
      <c r="F4710" t="inlineStr">
        <is>
          <t>F</t>
        </is>
      </c>
      <c r="G4710" s="34" t="n">
        <v>56752</v>
      </c>
      <c r="H4710" s="34" t="n">
        <v>298694</v>
      </c>
      <c r="I4710" t="inlineStr">
        <is>
          <t>3.1</t>
        </is>
      </c>
      <c r="J4710" t="inlineStr">
        <is>
          <t>Ventas HoReCa</t>
        </is>
      </c>
      <c r="K4710" t="inlineStr">
        <is>
          <t>CH1</t>
        </is>
      </c>
    </row>
    <row r="4711">
      <c r="A4711" s="33" t="n">
        <v>46030</v>
      </c>
      <c r="B4711" t="inlineStr">
        <is>
          <t>2026-01</t>
        </is>
      </c>
      <c r="C4711" t="inlineStr">
        <is>
          <t>GALO SPA</t>
        </is>
      </c>
      <c r="D4711" t="inlineStr">
        <is>
          <t>HORECA CAFETERIA</t>
        </is>
      </c>
      <c r="E4711" s="34" t="n">
        <v>238595</v>
      </c>
      <c r="F4711" t="inlineStr">
        <is>
          <t>F</t>
        </is>
      </c>
      <c r="G4711" s="34" t="n">
        <v>38095</v>
      </c>
      <c r="H4711" s="34" t="n">
        <v>200500</v>
      </c>
      <c r="I4711" t="inlineStr">
        <is>
          <t>3.1</t>
        </is>
      </c>
      <c r="J4711" t="inlineStr">
        <is>
          <t>Ventas HoReCa</t>
        </is>
      </c>
      <c r="K4711" t="inlineStr">
        <is>
          <t>CH1</t>
        </is>
      </c>
    </row>
    <row r="4712">
      <c r="A4712" s="33" t="n">
        <v>46030</v>
      </c>
      <c r="B4712" t="inlineStr">
        <is>
          <t>2026-01</t>
        </is>
      </c>
      <c r="C4712" t="inlineStr">
        <is>
          <t>Romina Rangel</t>
        </is>
      </c>
      <c r="D4712" t="inlineStr">
        <is>
          <t>Petit Crunchy</t>
        </is>
      </c>
      <c r="E4712" s="34" t="n">
        <v>35900</v>
      </c>
      <c r="F4712" t="inlineStr">
        <is>
          <t>B</t>
        </is>
      </c>
      <c r="G4712" s="34" t="n">
        <v>5732</v>
      </c>
      <c r="H4712" s="34" t="n">
        <v>30168</v>
      </c>
      <c r="I4712" t="inlineStr">
        <is>
          <t>3.2</t>
        </is>
      </c>
      <c r="J4712" t="inlineStr">
        <is>
          <t>Ventas Personas (B2C)</t>
        </is>
      </c>
      <c r="K4712" t="inlineStr">
        <is>
          <t>CH2</t>
        </is>
      </c>
    </row>
    <row r="4713">
      <c r="A4713" s="33" t="n">
        <v>46030</v>
      </c>
      <c r="B4713" t="inlineStr">
        <is>
          <t>2026-01</t>
        </is>
      </c>
      <c r="C4713" t="inlineStr">
        <is>
          <t>Sin cliente</t>
        </is>
      </c>
      <c r="D4713" t="inlineStr">
        <is>
          <t>Rellenos</t>
        </is>
      </c>
      <c r="E4713" s="34" t="n">
        <v>3500</v>
      </c>
      <c r="F4713" t="inlineStr">
        <is>
          <t>B</t>
        </is>
      </c>
      <c r="G4713" s="34" t="n">
        <v>559</v>
      </c>
      <c r="H4713" s="34" t="n">
        <v>2941</v>
      </c>
      <c r="I4713" t="inlineStr">
        <is>
          <t>3.2</t>
        </is>
      </c>
      <c r="J4713" t="inlineStr">
        <is>
          <t>Ventas Personas (B2C)</t>
        </is>
      </c>
      <c r="K4713" t="inlineStr">
        <is>
          <t>CH2</t>
        </is>
      </c>
    </row>
    <row r="4714">
      <c r="A4714" s="33" t="n">
        <v>46030</v>
      </c>
      <c r="B4714" t="inlineStr">
        <is>
          <t>2026-01</t>
        </is>
      </c>
      <c r="C4714" t="inlineStr">
        <is>
          <t>FERNANDA MAYO</t>
        </is>
      </c>
      <c r="D4714" t="inlineStr">
        <is>
          <t>Petit Crunchy</t>
        </is>
      </c>
      <c r="E4714" s="34" t="n">
        <v>32700</v>
      </c>
      <c r="F4714" t="inlineStr">
        <is>
          <t>B</t>
        </is>
      </c>
      <c r="G4714" s="34" t="n">
        <v>5221</v>
      </c>
      <c r="H4714" s="34" t="n">
        <v>27479</v>
      </c>
      <c r="I4714" t="inlineStr">
        <is>
          <t>3.2</t>
        </is>
      </c>
      <c r="J4714" t="inlineStr">
        <is>
          <t>Ventas Personas (B2C)</t>
        </is>
      </c>
      <c r="K4714" t="inlineStr">
        <is>
          <t>CH2</t>
        </is>
      </c>
    </row>
    <row r="4715">
      <c r="A4715" s="33" t="n">
        <v>46030</v>
      </c>
      <c r="B4715" t="inlineStr">
        <is>
          <t>2026-01</t>
        </is>
      </c>
      <c r="C4715" t="inlineStr">
        <is>
          <t>Francisco Escala</t>
        </is>
      </c>
      <c r="D4715" t="inlineStr">
        <is>
          <t>Petit Tradicional</t>
        </is>
      </c>
      <c r="E4715" s="34" t="n">
        <v>9800</v>
      </c>
      <c r="F4715" t="inlineStr">
        <is>
          <t>B</t>
        </is>
      </c>
      <c r="G4715" s="34" t="n">
        <v>1565</v>
      </c>
      <c r="H4715" s="34" t="n">
        <v>8235</v>
      </c>
      <c r="I4715" t="inlineStr">
        <is>
          <t>3.2</t>
        </is>
      </c>
      <c r="J4715" t="inlineStr">
        <is>
          <t>Ventas Personas (B2C)</t>
        </is>
      </c>
      <c r="K4715" t="inlineStr">
        <is>
          <t>CH2</t>
        </is>
      </c>
    </row>
    <row r="4716">
      <c r="A4716" s="33" t="n">
        <v>46030</v>
      </c>
      <c r="B4716" t="inlineStr">
        <is>
          <t>2026-01</t>
        </is>
      </c>
      <c r="C4716" t="inlineStr">
        <is>
          <t>Pamela Aguilera</t>
        </is>
      </c>
      <c r="D4716" t="inlineStr">
        <is>
          <t>Rellenos</t>
        </is>
      </c>
      <c r="E4716" s="34" t="n">
        <v>30390</v>
      </c>
      <c r="F4716" t="inlineStr">
        <is>
          <t>B</t>
        </is>
      </c>
      <c r="G4716" s="34" t="n">
        <v>4852</v>
      </c>
      <c r="H4716" s="34" t="n">
        <v>25538</v>
      </c>
      <c r="I4716" t="inlineStr">
        <is>
          <t>3.2</t>
        </is>
      </c>
      <c r="J4716" t="inlineStr">
        <is>
          <t>Ventas Personas (B2C)</t>
        </is>
      </c>
      <c r="K4716" t="inlineStr">
        <is>
          <t>CH2</t>
        </is>
      </c>
    </row>
    <row r="4717">
      <c r="A4717" s="33" t="n">
        <v>46030</v>
      </c>
      <c r="B4717" t="inlineStr">
        <is>
          <t>2026-01</t>
        </is>
      </c>
      <c r="C4717" t="inlineStr">
        <is>
          <t>Nelson Lopez</t>
        </is>
      </c>
      <c r="D4717" t="inlineStr">
        <is>
          <t>PACKAGING</t>
        </is>
      </c>
      <c r="E4717" s="34" t="n">
        <v>37400</v>
      </c>
      <c r="F4717" t="inlineStr">
        <is>
          <t>B</t>
        </is>
      </c>
      <c r="G4717" s="34" t="n">
        <v>5971</v>
      </c>
      <c r="H4717" s="34" t="n">
        <v>31429</v>
      </c>
      <c r="I4717" t="inlineStr">
        <is>
          <t>3.2</t>
        </is>
      </c>
      <c r="J4717" t="inlineStr">
        <is>
          <t>Ventas Personas (B2C)</t>
        </is>
      </c>
      <c r="K4717" t="inlineStr">
        <is>
          <t>CH2</t>
        </is>
      </c>
    </row>
    <row r="4718">
      <c r="A4718" s="33" t="n">
        <v>46030</v>
      </c>
      <c r="B4718" t="inlineStr">
        <is>
          <t>2026-01</t>
        </is>
      </c>
      <c r="C4718" t="inlineStr">
        <is>
          <t>Sin cliente</t>
        </is>
      </c>
      <c r="D4718" t="inlineStr">
        <is>
          <t>Rellenos</t>
        </is>
      </c>
      <c r="E4718" s="34" t="n">
        <v>18900</v>
      </c>
      <c r="F4718" t="inlineStr">
        <is>
          <t>B</t>
        </is>
      </c>
      <c r="G4718" s="34" t="n">
        <v>3018</v>
      </c>
      <c r="H4718" s="34" t="n">
        <v>15882</v>
      </c>
      <c r="I4718" t="inlineStr">
        <is>
          <t>3.2</t>
        </is>
      </c>
      <c r="J4718" t="inlineStr">
        <is>
          <t>Ventas Personas (B2C)</t>
        </is>
      </c>
      <c r="K4718" t="inlineStr">
        <is>
          <t>CH2</t>
        </is>
      </c>
    </row>
    <row r="4719">
      <c r="A4719" s="33" t="n">
        <v>46030</v>
      </c>
      <c r="B4719" t="inlineStr">
        <is>
          <t>2026-01</t>
        </is>
      </c>
      <c r="C4719" t="inlineStr">
        <is>
          <t>SOCIEDAD DE ASESORIAS PROFESIONALES KLGROUP LIMITA</t>
        </is>
      </c>
      <c r="D4719" t="inlineStr">
        <is>
          <t>Glosa Caja unitaria rellena de manjar blanco</t>
        </is>
      </c>
      <c r="E4719" s="34" t="n">
        <v>220000</v>
      </c>
      <c r="F4719" t="inlineStr">
        <is>
          <t>F</t>
        </is>
      </c>
      <c r="G4719" s="34" t="n">
        <v>35126</v>
      </c>
      <c r="H4719" s="34" t="n">
        <v>184874</v>
      </c>
      <c r="I4719" t="inlineStr">
        <is>
          <t>3.1</t>
        </is>
      </c>
      <c r="J4719" t="inlineStr">
        <is>
          <t>Ventas HoReCa</t>
        </is>
      </c>
      <c r="K4719" t="inlineStr">
        <is>
          <t>CH1</t>
        </is>
      </c>
    </row>
    <row r="4720">
      <c r="A4720" s="33" t="n">
        <v>46030</v>
      </c>
      <c r="B4720" t="inlineStr">
        <is>
          <t>2026-01</t>
        </is>
      </c>
      <c r="C4720" t="inlineStr">
        <is>
          <t>Pamela Buckley malla</t>
        </is>
      </c>
      <c r="D4720" t="inlineStr">
        <is>
          <t>Petit Crunchy</t>
        </is>
      </c>
      <c r="E4720" s="34" t="n">
        <v>14900</v>
      </c>
      <c r="F4720" t="inlineStr">
        <is>
          <t>B</t>
        </is>
      </c>
      <c r="G4720" s="34" t="n">
        <v>2379</v>
      </c>
      <c r="H4720" s="34" t="n">
        <v>12521</v>
      </c>
      <c r="I4720" t="inlineStr">
        <is>
          <t>3.2</t>
        </is>
      </c>
      <c r="J4720" t="inlineStr">
        <is>
          <t>Ventas Personas (B2C)</t>
        </is>
      </c>
      <c r="K4720" t="inlineStr">
        <is>
          <t>CH2</t>
        </is>
      </c>
    </row>
    <row r="4721">
      <c r="A4721" s="33" t="n">
        <v>46030</v>
      </c>
      <c r="B4721" t="inlineStr">
        <is>
          <t>2026-01</t>
        </is>
      </c>
      <c r="C4721" t="inlineStr">
        <is>
          <t>Sin cliente</t>
        </is>
      </c>
      <c r="D4721" t="inlineStr">
        <is>
          <t>Rellenos</t>
        </is>
      </c>
      <c r="E4721" s="34" t="n">
        <v>3500</v>
      </c>
      <c r="F4721" t="inlineStr">
        <is>
          <t>B</t>
        </is>
      </c>
      <c r="G4721" s="34" t="n">
        <v>559</v>
      </c>
      <c r="H4721" s="34" t="n">
        <v>2941</v>
      </c>
      <c r="I4721" t="inlineStr">
        <is>
          <t>3.2</t>
        </is>
      </c>
      <c r="J4721" t="inlineStr">
        <is>
          <t>Ventas Personas (B2C)</t>
        </is>
      </c>
      <c r="K4721" t="inlineStr">
        <is>
          <t>CH2</t>
        </is>
      </c>
    </row>
    <row r="4722">
      <c r="A4722" s="33" t="n">
        <v>46030</v>
      </c>
      <c r="B4722" t="inlineStr">
        <is>
          <t>2026-01</t>
        </is>
      </c>
      <c r="C4722" t="inlineStr">
        <is>
          <t>Sin cliente</t>
        </is>
      </c>
      <c r="D4722" t="inlineStr">
        <is>
          <t>Rellenos</t>
        </is>
      </c>
      <c r="E4722" s="34" t="n">
        <v>3500</v>
      </c>
      <c r="F4722" t="inlineStr">
        <is>
          <t>B</t>
        </is>
      </c>
      <c r="G4722" s="34" t="n">
        <v>559</v>
      </c>
      <c r="H4722" s="34" t="n">
        <v>2941</v>
      </c>
      <c r="I4722" t="inlineStr">
        <is>
          <t>3.2</t>
        </is>
      </c>
      <c r="J4722" t="inlineStr">
        <is>
          <t>Ventas Personas (B2C)</t>
        </is>
      </c>
      <c r="K4722" t="inlineStr">
        <is>
          <t>CH2</t>
        </is>
      </c>
    </row>
    <row r="4723">
      <c r="A4723" s="33" t="n">
        <v>46030</v>
      </c>
      <c r="B4723" t="inlineStr">
        <is>
          <t>2026-01</t>
        </is>
      </c>
      <c r="C4723" t="inlineStr">
        <is>
          <t>Sin cliente</t>
        </is>
      </c>
      <c r="D4723" t="inlineStr">
        <is>
          <t>Rellenos</t>
        </is>
      </c>
      <c r="E4723" s="34" t="n">
        <v>3500</v>
      </c>
      <c r="F4723" t="inlineStr">
        <is>
          <t>B</t>
        </is>
      </c>
      <c r="G4723" s="34" t="n">
        <v>559</v>
      </c>
      <c r="H4723" s="34" t="n">
        <v>2941</v>
      </c>
      <c r="I4723" t="inlineStr">
        <is>
          <t>3.2</t>
        </is>
      </c>
      <c r="J4723" t="inlineStr">
        <is>
          <t>Ventas Personas (B2C)</t>
        </is>
      </c>
      <c r="K4723" t="inlineStr">
        <is>
          <t>CH2</t>
        </is>
      </c>
    </row>
    <row r="4724">
      <c r="A4724" s="33" t="n">
        <v>46030</v>
      </c>
      <c r="B4724" t="inlineStr">
        <is>
          <t>2026-01</t>
        </is>
      </c>
      <c r="C4724" t="inlineStr">
        <is>
          <t>Sin cliente</t>
        </is>
      </c>
      <c r="D4724" t="inlineStr">
        <is>
          <t>Rellenos</t>
        </is>
      </c>
      <c r="E4724" s="34" t="n">
        <v>7000</v>
      </c>
      <c r="F4724" t="inlineStr">
        <is>
          <t>B</t>
        </is>
      </c>
      <c r="G4724" s="34" t="n">
        <v>1118</v>
      </c>
      <c r="H4724" s="34" t="n">
        <v>5882</v>
      </c>
      <c r="I4724" t="inlineStr">
        <is>
          <t>3.2</t>
        </is>
      </c>
      <c r="J4724" t="inlineStr">
        <is>
          <t>Ventas Personas (B2C)</t>
        </is>
      </c>
      <c r="K4724" t="inlineStr">
        <is>
          <t>CH2</t>
        </is>
      </c>
    </row>
    <row r="4725">
      <c r="A4725" s="33" t="n">
        <v>46030</v>
      </c>
      <c r="B4725" t="inlineStr">
        <is>
          <t>2026-01</t>
        </is>
      </c>
      <c r="C4725" t="inlineStr">
        <is>
          <t>Sin cliente</t>
        </is>
      </c>
      <c r="D4725" t="inlineStr">
        <is>
          <t>Rellenos</t>
        </is>
      </c>
      <c r="E4725" s="34" t="n">
        <v>18900</v>
      </c>
      <c r="F4725" t="inlineStr">
        <is>
          <t>B</t>
        </is>
      </c>
      <c r="G4725" s="34" t="n">
        <v>3018</v>
      </c>
      <c r="H4725" s="34" t="n">
        <v>15882</v>
      </c>
      <c r="I4725" t="inlineStr">
        <is>
          <t>3.2</t>
        </is>
      </c>
      <c r="J4725" t="inlineStr">
        <is>
          <t>Ventas Personas (B2C)</t>
        </is>
      </c>
      <c r="K4725" t="inlineStr">
        <is>
          <t>CH2</t>
        </is>
      </c>
    </row>
    <row r="4726">
      <c r="A4726" s="33" t="n">
        <v>46030</v>
      </c>
      <c r="B4726" t="inlineStr">
        <is>
          <t>2026-01</t>
        </is>
      </c>
      <c r="C4726" t="inlineStr">
        <is>
          <t>Sin cliente</t>
        </is>
      </c>
      <c r="D4726" t="inlineStr">
        <is>
          <t>Cafeteria Geronimo</t>
        </is>
      </c>
      <c r="E4726" s="34" t="n">
        <v>5500</v>
      </c>
      <c r="F4726" t="inlineStr">
        <is>
          <t>B</t>
        </is>
      </c>
      <c r="G4726" s="34" t="n">
        <v>878</v>
      </c>
      <c r="H4726" s="34" t="n">
        <v>4622</v>
      </c>
      <c r="I4726" t="inlineStr">
        <is>
          <t>3.2</t>
        </is>
      </c>
      <c r="J4726" t="inlineStr">
        <is>
          <t>Ventas Personas (B2C)</t>
        </is>
      </c>
      <c r="K4726" t="inlineStr">
        <is>
          <t>CH2</t>
        </is>
      </c>
    </row>
    <row r="4727">
      <c r="A4727" s="33" t="n">
        <v>46030</v>
      </c>
      <c r="B4727" t="inlineStr">
        <is>
          <t>2026-01</t>
        </is>
      </c>
      <c r="C4727" t="inlineStr">
        <is>
          <t>Sin cliente</t>
        </is>
      </c>
      <c r="D4727" t="inlineStr">
        <is>
          <t>Rellenos</t>
        </is>
      </c>
      <c r="E4727" s="34" t="n">
        <v>32900</v>
      </c>
      <c r="F4727" t="inlineStr">
        <is>
          <t>B</t>
        </is>
      </c>
      <c r="G4727" s="34" t="n">
        <v>5253</v>
      </c>
      <c r="H4727" s="34" t="n">
        <v>27647</v>
      </c>
      <c r="I4727" t="inlineStr">
        <is>
          <t>3.2</t>
        </is>
      </c>
      <c r="J4727" t="inlineStr">
        <is>
          <t>Ventas Personas (B2C)</t>
        </is>
      </c>
      <c r="K4727" t="inlineStr">
        <is>
          <t>CH2</t>
        </is>
      </c>
    </row>
    <row r="4728">
      <c r="A4728" s="33" t="n">
        <v>46030</v>
      </c>
      <c r="B4728" t="inlineStr">
        <is>
          <t>2026-01</t>
        </is>
      </c>
      <c r="C4728" t="inlineStr">
        <is>
          <t>Sin cliente</t>
        </is>
      </c>
      <c r="D4728" t="inlineStr">
        <is>
          <t>Rellenos</t>
        </is>
      </c>
      <c r="E4728" s="34" t="n">
        <v>32900</v>
      </c>
      <c r="F4728" t="inlineStr">
        <is>
          <t>B</t>
        </is>
      </c>
      <c r="G4728" s="34" t="n">
        <v>5253</v>
      </c>
      <c r="H4728" s="34" t="n">
        <v>27647</v>
      </c>
      <c r="I4728" t="inlineStr">
        <is>
          <t>3.2</t>
        </is>
      </c>
      <c r="J4728" t="inlineStr">
        <is>
          <t>Ventas Personas (B2C)</t>
        </is>
      </c>
      <c r="K4728" t="inlineStr">
        <is>
          <t>CH2</t>
        </is>
      </c>
    </row>
    <row r="4729">
      <c r="A4729" s="33" t="n">
        <v>46030</v>
      </c>
      <c r="B4729" t="inlineStr">
        <is>
          <t>2026-01</t>
        </is>
      </c>
      <c r="C4729" t="inlineStr">
        <is>
          <t>Aquiles Gomez y Compañia Lmtda</t>
        </is>
      </c>
      <c r="D4729" t="inlineStr">
        <is>
          <t>Petit Crunchy</t>
        </is>
      </c>
      <c r="E4729" s="34" t="n">
        <v>32700</v>
      </c>
      <c r="F4729" t="inlineStr">
        <is>
          <t>F</t>
        </is>
      </c>
      <c r="G4729" s="34" t="n">
        <v>5221</v>
      </c>
      <c r="H4729" s="34" t="n">
        <v>27479</v>
      </c>
      <c r="I4729" t="inlineStr">
        <is>
          <t>3.1</t>
        </is>
      </c>
      <c r="J4729" t="inlineStr">
        <is>
          <t>Ventas HoReCa</t>
        </is>
      </c>
      <c r="K4729" t="inlineStr">
        <is>
          <t>CH1</t>
        </is>
      </c>
    </row>
    <row r="4730">
      <c r="A4730" s="33" t="n">
        <v>46030</v>
      </c>
      <c r="B4730" t="inlineStr">
        <is>
          <t>2026-01</t>
        </is>
      </c>
      <c r="C4730" t="inlineStr">
        <is>
          <t>Sin cliente</t>
        </is>
      </c>
      <c r="D4730" t="inlineStr">
        <is>
          <t>PLATAFORMAS RAP-PEYA-UBER-GOOD</t>
        </is>
      </c>
      <c r="E4730" s="34" t="n">
        <v>20280</v>
      </c>
      <c r="F4730" t="inlineStr">
        <is>
          <t>B</t>
        </is>
      </c>
      <c r="G4730" s="34" t="n">
        <v>3238</v>
      </c>
      <c r="H4730" s="34" t="n">
        <v>17042</v>
      </c>
      <c r="I4730" t="inlineStr">
        <is>
          <t>3.6</t>
        </is>
      </c>
      <c r="J4730" t="inlineStr">
        <is>
          <t>Ventas Delivery Apps</t>
        </is>
      </c>
      <c r="K4730" t="inlineStr">
        <is>
          <t>CH3</t>
        </is>
      </c>
    </row>
    <row r="4731">
      <c r="A4731" s="33" t="n">
        <v>46030</v>
      </c>
      <c r="B4731" t="inlineStr">
        <is>
          <t>2026-01</t>
        </is>
      </c>
      <c r="C4731" t="inlineStr">
        <is>
          <t>Sin cliente</t>
        </is>
      </c>
      <c r="D4731" t="inlineStr">
        <is>
          <t>PLATAFORMAS RAP-PEYA-UBER-GOOD</t>
        </is>
      </c>
      <c r="E4731" s="34" t="n">
        <v>7740</v>
      </c>
      <c r="F4731" t="inlineStr">
        <is>
          <t>B</t>
        </is>
      </c>
      <c r="G4731" s="34" t="n">
        <v>1236</v>
      </c>
      <c r="H4731" s="34" t="n">
        <v>6504</v>
      </c>
      <c r="I4731" t="inlineStr">
        <is>
          <t>3.6</t>
        </is>
      </c>
      <c r="J4731" t="inlineStr">
        <is>
          <t>Ventas Delivery Apps</t>
        </is>
      </c>
      <c r="K4731" t="inlineStr">
        <is>
          <t>CH3</t>
        </is>
      </c>
    </row>
    <row r="4732">
      <c r="A4732" s="33" t="n">
        <v>46030</v>
      </c>
      <c r="B4732" t="inlineStr">
        <is>
          <t>2026-01</t>
        </is>
      </c>
      <c r="C4732" t="inlineStr">
        <is>
          <t>Sin cliente</t>
        </is>
      </c>
      <c r="D4732" t="inlineStr">
        <is>
          <t>Rellenos</t>
        </is>
      </c>
      <c r="E4732" s="34" t="n">
        <v>3600</v>
      </c>
      <c r="F4732" t="inlineStr">
        <is>
          <t>B</t>
        </is>
      </c>
      <c r="G4732" s="34" t="n">
        <v>575</v>
      </c>
      <c r="H4732" s="34" t="n">
        <v>3025</v>
      </c>
      <c r="I4732" t="inlineStr">
        <is>
          <t>3.2</t>
        </is>
      </c>
      <c r="J4732" t="inlineStr">
        <is>
          <t>Ventas Personas (B2C)</t>
        </is>
      </c>
      <c r="K4732" t="inlineStr">
        <is>
          <t>CH2</t>
        </is>
      </c>
    </row>
    <row r="4733">
      <c r="A4733" s="33" t="n">
        <v>46030</v>
      </c>
      <c r="B4733" t="inlineStr">
        <is>
          <t>2026-01</t>
        </is>
      </c>
      <c r="C4733" t="inlineStr">
        <is>
          <t>Sin cliente</t>
        </is>
      </c>
      <c r="D4733" t="inlineStr">
        <is>
          <t>Delicatessen</t>
        </is>
      </c>
      <c r="E4733" s="34" t="n">
        <v>21900</v>
      </c>
      <c r="F4733" t="inlineStr">
        <is>
          <t>B</t>
        </is>
      </c>
      <c r="G4733" s="34" t="n">
        <v>3497</v>
      </c>
      <c r="H4733" s="34" t="n">
        <v>18403</v>
      </c>
      <c r="I4733" t="inlineStr">
        <is>
          <t>3.2</t>
        </is>
      </c>
      <c r="J4733" t="inlineStr">
        <is>
          <t>Ventas Personas (B2C)</t>
        </is>
      </c>
      <c r="K4733" t="inlineStr">
        <is>
          <t>CH2</t>
        </is>
      </c>
    </row>
    <row r="4734">
      <c r="A4734" s="33" t="n">
        <v>46030</v>
      </c>
      <c r="B4734" t="inlineStr">
        <is>
          <t>2026-01</t>
        </is>
      </c>
      <c r="C4734" t="inlineStr">
        <is>
          <t>JENNIFFER PINCHEIRA</t>
        </is>
      </c>
      <c r="D4734" t="inlineStr">
        <is>
          <t>Rellenos</t>
        </is>
      </c>
      <c r="E4734" s="34" t="n">
        <v>41390</v>
      </c>
      <c r="F4734" t="inlineStr">
        <is>
          <t>B</t>
        </is>
      </c>
      <c r="G4734" s="34" t="n">
        <v>6608</v>
      </c>
      <c r="H4734" s="34" t="n">
        <v>34781</v>
      </c>
      <c r="I4734" t="inlineStr">
        <is>
          <t>3.2</t>
        </is>
      </c>
      <c r="J4734" t="inlineStr">
        <is>
          <t>Ventas Personas (B2C)</t>
        </is>
      </c>
      <c r="K4734" t="inlineStr">
        <is>
          <t>CH2</t>
        </is>
      </c>
    </row>
    <row r="4735">
      <c r="A4735" s="33" t="n">
        <v>46030</v>
      </c>
      <c r="B4735" t="inlineStr">
        <is>
          <t>2026-01</t>
        </is>
      </c>
      <c r="C4735" t="inlineStr">
        <is>
          <t>Maria Jose Grez</t>
        </is>
      </c>
      <c r="D4735" t="inlineStr">
        <is>
          <t>Rellenos</t>
        </is>
      </c>
      <c r="E4735" s="34" t="n">
        <v>-3500</v>
      </c>
      <c r="F4735" t="inlineStr">
        <is>
          <t>NC</t>
        </is>
      </c>
      <c r="G4735" s="34" t="n">
        <v>-559</v>
      </c>
      <c r="H4735" s="34" t="n">
        <v>-2941</v>
      </c>
      <c r="I4735" t="inlineStr">
        <is>
          <t>3.2</t>
        </is>
      </c>
      <c r="J4735" t="inlineStr">
        <is>
          <t>Ventas Personas (B2C)</t>
        </is>
      </c>
      <c r="K4735" t="inlineStr">
        <is>
          <t>CH2</t>
        </is>
      </c>
    </row>
    <row r="4736">
      <c r="A4736" s="33" t="n">
        <v>46030</v>
      </c>
      <c r="B4736" t="inlineStr">
        <is>
          <t>2026-01</t>
        </is>
      </c>
      <c r="C4736" t="inlineStr">
        <is>
          <t>Maria Jose Grez</t>
        </is>
      </c>
      <c r="D4736" t="inlineStr">
        <is>
          <t>Rellenos</t>
        </is>
      </c>
      <c r="E4736" s="34" t="n">
        <v>-18900</v>
      </c>
      <c r="F4736" t="inlineStr">
        <is>
          <t>NC</t>
        </is>
      </c>
      <c r="G4736" s="34" t="n">
        <v>-3018</v>
      </c>
      <c r="H4736" s="34" t="n">
        <v>-15882</v>
      </c>
      <c r="I4736" t="inlineStr">
        <is>
          <t>3.2</t>
        </is>
      </c>
      <c r="J4736" t="inlineStr">
        <is>
          <t>Ventas Personas (B2C)</t>
        </is>
      </c>
      <c r="K4736" t="inlineStr">
        <is>
          <t>CH2</t>
        </is>
      </c>
    </row>
    <row r="4737">
      <c r="A4737" s="33" t="n">
        <v>46031</v>
      </c>
      <c r="B4737" t="inlineStr">
        <is>
          <t>2026-01</t>
        </is>
      </c>
      <c r="C4737" t="inlineStr">
        <is>
          <t>Luis Felipe La Corte Castro</t>
        </is>
      </c>
      <c r="D4737" t="inlineStr">
        <is>
          <t>HORECA CAFETERIA</t>
        </is>
      </c>
      <c r="E4737" s="34" t="n">
        <v>103304</v>
      </c>
      <c r="F4737" t="inlineStr">
        <is>
          <t>F</t>
        </is>
      </c>
      <c r="G4737" s="34" t="n">
        <v>16494</v>
      </c>
      <c r="H4737" s="34" t="n">
        <v>86810</v>
      </c>
      <c r="I4737" t="inlineStr">
        <is>
          <t>3.1</t>
        </is>
      </c>
      <c r="J4737" t="inlineStr">
        <is>
          <t>Ventas HoReCa</t>
        </is>
      </c>
      <c r="K4737" t="inlineStr">
        <is>
          <t>CH1</t>
        </is>
      </c>
    </row>
    <row r="4738">
      <c r="A4738" s="33" t="n">
        <v>46031</v>
      </c>
      <c r="B4738" t="inlineStr">
        <is>
          <t>2026-01</t>
        </is>
      </c>
      <c r="C4738" t="inlineStr">
        <is>
          <t>HUERTO SUR LIMITADA</t>
        </is>
      </c>
      <c r="D4738" t="inlineStr">
        <is>
          <t>REGION METROPOLITANA</t>
        </is>
      </c>
      <c r="E4738" s="34" t="n">
        <v>330975</v>
      </c>
      <c r="F4738" t="inlineStr">
        <is>
          <t>F</t>
        </is>
      </c>
      <c r="G4738" s="34" t="n">
        <v>52845</v>
      </c>
      <c r="H4738" s="34" t="n">
        <v>278130</v>
      </c>
      <c r="I4738" t="inlineStr">
        <is>
          <t>3.1</t>
        </is>
      </c>
      <c r="J4738" t="inlineStr">
        <is>
          <t>Ventas HoReCa</t>
        </is>
      </c>
      <c r="K4738" t="inlineStr">
        <is>
          <t>CH1</t>
        </is>
      </c>
    </row>
    <row r="4739">
      <c r="A4739" s="33" t="n">
        <v>46031</v>
      </c>
      <c r="B4739" t="inlineStr">
        <is>
          <t>2026-01</t>
        </is>
      </c>
      <c r="C4739" t="inlineStr">
        <is>
          <t>CAFETERÍAS MISTER SPA</t>
        </is>
      </c>
      <c r="D4739" t="inlineStr">
        <is>
          <t>HORECA CAFETERIA</t>
        </is>
      </c>
      <c r="E4739" s="34" t="n">
        <v>39115</v>
      </c>
      <c r="F4739" t="inlineStr">
        <is>
          <t>F</t>
        </is>
      </c>
      <c r="G4739" s="34" t="n">
        <v>6245</v>
      </c>
      <c r="H4739" s="34" t="n">
        <v>32870</v>
      </c>
      <c r="I4739" t="inlineStr">
        <is>
          <t>3.1</t>
        </is>
      </c>
      <c r="J4739" t="inlineStr">
        <is>
          <t>Ventas HoReCa</t>
        </is>
      </c>
      <c r="K4739" t="inlineStr">
        <is>
          <t>CH1</t>
        </is>
      </c>
    </row>
    <row r="4740">
      <c r="A4740" s="33" t="n">
        <v>46031</v>
      </c>
      <c r="B4740" t="inlineStr">
        <is>
          <t>2026-01</t>
        </is>
      </c>
      <c r="C4740" t="inlineStr">
        <is>
          <t>Cocoshouse Spa</t>
        </is>
      </c>
      <c r="D4740" t="inlineStr">
        <is>
          <t>HORECA CAFETERIA</t>
        </is>
      </c>
      <c r="E4740" s="34" t="n">
        <v>71210</v>
      </c>
      <c r="F4740" t="inlineStr">
        <is>
          <t>F</t>
        </is>
      </c>
      <c r="G4740" s="34" t="n">
        <v>11370</v>
      </c>
      <c r="H4740" s="34" t="n">
        <v>59840</v>
      </c>
      <c r="I4740" t="inlineStr">
        <is>
          <t>3.1</t>
        </is>
      </c>
      <c r="J4740" t="inlineStr">
        <is>
          <t>Ventas HoReCa</t>
        </is>
      </c>
      <c r="K4740" t="inlineStr">
        <is>
          <t>CH1</t>
        </is>
      </c>
    </row>
    <row r="4741">
      <c r="A4741" s="33" t="n">
        <v>46031</v>
      </c>
      <c r="B4741" t="inlineStr">
        <is>
          <t>2026-01</t>
        </is>
      </c>
      <c r="C4741" t="inlineStr">
        <is>
          <t>Fernanda Roman</t>
        </is>
      </c>
      <c r="D4741" t="inlineStr">
        <is>
          <t>CANELE SIN AZUCAR</t>
        </is>
      </c>
      <c r="E4741" s="34" t="n">
        <v>40090</v>
      </c>
      <c r="F4741" t="inlineStr">
        <is>
          <t>B</t>
        </is>
      </c>
      <c r="G4741" s="34" t="n">
        <v>6401</v>
      </c>
      <c r="H4741" s="34" t="n">
        <v>33689</v>
      </c>
      <c r="I4741" t="inlineStr">
        <is>
          <t>3.2</t>
        </is>
      </c>
      <c r="J4741" t="inlineStr">
        <is>
          <t>Ventas Personas (B2C)</t>
        </is>
      </c>
      <c r="K4741" t="inlineStr">
        <is>
          <t>CH2</t>
        </is>
      </c>
    </row>
    <row r="4742">
      <c r="A4742" s="33" t="n">
        <v>46031</v>
      </c>
      <c r="B4742" t="inlineStr">
        <is>
          <t>2026-01</t>
        </is>
      </c>
      <c r="C4742" t="inlineStr">
        <is>
          <t>Catalina Bandera</t>
        </is>
      </c>
      <c r="D4742" t="inlineStr">
        <is>
          <t>Rellenos</t>
        </is>
      </c>
      <c r="E4742" s="34" t="n">
        <v>35390</v>
      </c>
      <c r="F4742" t="inlineStr">
        <is>
          <t>B</t>
        </is>
      </c>
      <c r="G4742" s="34" t="n">
        <v>5651</v>
      </c>
      <c r="H4742" s="34" t="n">
        <v>29739</v>
      </c>
      <c r="I4742" t="inlineStr">
        <is>
          <t>3.2</t>
        </is>
      </c>
      <c r="J4742" t="inlineStr">
        <is>
          <t>Ventas Personas (B2C)</t>
        </is>
      </c>
      <c r="K4742" t="inlineStr">
        <is>
          <t>CH2</t>
        </is>
      </c>
    </row>
    <row r="4743">
      <c r="A4743" s="33" t="n">
        <v>46031</v>
      </c>
      <c r="B4743" t="inlineStr">
        <is>
          <t>2026-01</t>
        </is>
      </c>
      <c r="C4743" t="inlineStr">
        <is>
          <t>Luis Guzman Vergara</t>
        </is>
      </c>
      <c r="D4743" t="inlineStr">
        <is>
          <t>SALSAS</t>
        </is>
      </c>
      <c r="E4743" s="34" t="n">
        <v>42370</v>
      </c>
      <c r="F4743" t="inlineStr">
        <is>
          <t>B</t>
        </is>
      </c>
      <c r="G4743" s="34" t="n">
        <v>6765</v>
      </c>
      <c r="H4743" s="34" t="n">
        <v>35604</v>
      </c>
      <c r="I4743" t="inlineStr">
        <is>
          <t>3.2</t>
        </is>
      </c>
      <c r="J4743" t="inlineStr">
        <is>
          <t>Ventas Personas (B2C)</t>
        </is>
      </c>
      <c r="K4743" t="inlineStr">
        <is>
          <t>CH2</t>
        </is>
      </c>
    </row>
    <row r="4744">
      <c r="A4744" s="33" t="n">
        <v>46031</v>
      </c>
      <c r="B4744" t="inlineStr">
        <is>
          <t>2026-01</t>
        </is>
      </c>
      <c r="C4744" t="inlineStr">
        <is>
          <t>Tren al Sur SpA</t>
        </is>
      </c>
      <c r="D4744" t="inlineStr">
        <is>
          <t>HORECA CAFETERIA</t>
        </is>
      </c>
      <c r="E4744" s="34" t="n">
        <v>103304</v>
      </c>
      <c r="F4744" t="inlineStr">
        <is>
          <t>B</t>
        </is>
      </c>
      <c r="G4744" s="34" t="n">
        <v>16494</v>
      </c>
      <c r="H4744" s="34" t="n">
        <v>86810</v>
      </c>
      <c r="I4744" t="inlineStr">
        <is>
          <t>3.1</t>
        </is>
      </c>
      <c r="J4744" t="inlineStr">
        <is>
          <t>Ventas HoReCa</t>
        </is>
      </c>
      <c r="K4744" t="inlineStr">
        <is>
          <t>CH1</t>
        </is>
      </c>
    </row>
    <row r="4745">
      <c r="A4745" s="33" t="n">
        <v>46031</v>
      </c>
      <c r="B4745" t="inlineStr">
        <is>
          <t>2026-01</t>
        </is>
      </c>
      <c r="C4745" t="inlineStr">
        <is>
          <t>Tren al Sur SpA</t>
        </is>
      </c>
      <c r="D4745" t="inlineStr">
        <is>
          <t>HORECA CAFETERIA</t>
        </is>
      </c>
      <c r="E4745" s="34" t="n">
        <v>-103304</v>
      </c>
      <c r="F4745" t="inlineStr">
        <is>
          <t>NC</t>
        </is>
      </c>
      <c r="G4745" s="34" t="n">
        <v>-16494</v>
      </c>
      <c r="H4745" s="34" t="n">
        <v>-86810</v>
      </c>
      <c r="I4745" t="inlineStr">
        <is>
          <t>3.1</t>
        </is>
      </c>
      <c r="J4745" t="inlineStr">
        <is>
          <t>Ventas HoReCa</t>
        </is>
      </c>
      <c r="K4745" t="inlineStr">
        <is>
          <t>CH1</t>
        </is>
      </c>
    </row>
    <row r="4746">
      <c r="A4746" s="33" t="n">
        <v>46031</v>
      </c>
      <c r="B4746" t="inlineStr">
        <is>
          <t>2026-01</t>
        </is>
      </c>
      <c r="C4746" t="inlineStr">
        <is>
          <t>Tren al Sur SpA</t>
        </is>
      </c>
      <c r="D4746" t="inlineStr">
        <is>
          <t>HORECA CAFETERIA</t>
        </is>
      </c>
      <c r="E4746" s="34" t="n">
        <v>103304</v>
      </c>
      <c r="F4746" t="inlineStr">
        <is>
          <t>F</t>
        </is>
      </c>
      <c r="G4746" s="34" t="n">
        <v>16494</v>
      </c>
      <c r="H4746" s="34" t="n">
        <v>86810</v>
      </c>
      <c r="I4746" t="inlineStr">
        <is>
          <t>3.1</t>
        </is>
      </c>
      <c r="J4746" t="inlineStr">
        <is>
          <t>Ventas HoReCa</t>
        </is>
      </c>
      <c r="K4746" t="inlineStr">
        <is>
          <t>CH1</t>
        </is>
      </c>
    </row>
    <row r="4747">
      <c r="A4747" s="33" t="n">
        <v>46031</v>
      </c>
      <c r="B4747" t="inlineStr">
        <is>
          <t>2026-01</t>
        </is>
      </c>
      <c r="C4747" t="inlineStr">
        <is>
          <t>Manuk Masseredjian</t>
        </is>
      </c>
      <c r="D4747" t="inlineStr">
        <is>
          <t>CANELÉ TRADICIONAL</t>
        </is>
      </c>
      <c r="E4747" s="34" t="n">
        <v>41800</v>
      </c>
      <c r="F4747" t="inlineStr">
        <is>
          <t>B</t>
        </is>
      </c>
      <c r="G4747" s="34" t="n">
        <v>6674</v>
      </c>
      <c r="H4747" s="34" t="n">
        <v>35126</v>
      </c>
      <c r="I4747" t="inlineStr">
        <is>
          <t>3.2</t>
        </is>
      </c>
      <c r="J4747" t="inlineStr">
        <is>
          <t>Ventas Personas (B2C)</t>
        </is>
      </c>
      <c r="K4747" t="inlineStr">
        <is>
          <t>CH2</t>
        </is>
      </c>
    </row>
    <row r="4748">
      <c r="A4748" s="33" t="n">
        <v>46031</v>
      </c>
      <c r="B4748" t="inlineStr">
        <is>
          <t>2026-01</t>
        </is>
      </c>
      <c r="C4748" t="inlineStr">
        <is>
          <t>Macarena Vallejos</t>
        </is>
      </c>
      <c r="D4748" t="inlineStr">
        <is>
          <t>CANELÉ TRADICIONAL</t>
        </is>
      </c>
      <c r="E4748" s="34" t="n">
        <v>19900</v>
      </c>
      <c r="F4748" t="inlineStr">
        <is>
          <t>B</t>
        </is>
      </c>
      <c r="G4748" s="34" t="n">
        <v>3177</v>
      </c>
      <c r="H4748" s="34" t="n">
        <v>16723</v>
      </c>
      <c r="I4748" t="inlineStr">
        <is>
          <t>3.2</t>
        </is>
      </c>
      <c r="J4748" t="inlineStr">
        <is>
          <t>Ventas Personas (B2C)</t>
        </is>
      </c>
      <c r="K4748" t="inlineStr">
        <is>
          <t>CH2</t>
        </is>
      </c>
    </row>
    <row r="4749">
      <c r="A4749" s="33" t="n">
        <v>46031</v>
      </c>
      <c r="B4749" t="inlineStr">
        <is>
          <t>2026-01</t>
        </is>
      </c>
      <c r="C4749" t="inlineStr">
        <is>
          <t>CAFETERIA THE ELEPHANT COFFEE LIMITADA</t>
        </is>
      </c>
      <c r="D4749" t="inlineStr">
        <is>
          <t>HORECA CAFETERIA</t>
        </is>
      </c>
      <c r="E4749" s="34" t="n">
        <v>189959</v>
      </c>
      <c r="F4749" t="inlineStr">
        <is>
          <t>F</t>
        </is>
      </c>
      <c r="G4749" s="34" t="n">
        <v>30330</v>
      </c>
      <c r="H4749" s="34" t="n">
        <v>159629</v>
      </c>
      <c r="I4749" t="inlineStr">
        <is>
          <t>3.1</t>
        </is>
      </c>
      <c r="J4749" t="inlineStr">
        <is>
          <t>Ventas HoReCa</t>
        </is>
      </c>
      <c r="K4749" t="inlineStr">
        <is>
          <t>CH1</t>
        </is>
      </c>
    </row>
    <row r="4750">
      <c r="A4750" s="33" t="n">
        <v>46031</v>
      </c>
      <c r="B4750" t="inlineStr">
        <is>
          <t>2026-01</t>
        </is>
      </c>
      <c r="C4750" t="inlineStr">
        <is>
          <t>Macarena Vallejos</t>
        </is>
      </c>
      <c r="D4750" t="inlineStr">
        <is>
          <t>Glosa Despacho providencia</t>
        </is>
      </c>
      <c r="E4750" s="34" t="n">
        <v>5490</v>
      </c>
      <c r="F4750" t="inlineStr">
        <is>
          <t>B</t>
        </is>
      </c>
      <c r="G4750" s="34" t="n">
        <v>877</v>
      </c>
      <c r="H4750" s="34" t="n">
        <v>4613</v>
      </c>
      <c r="I4750" t="inlineStr">
        <is>
          <t>3.2</t>
        </is>
      </c>
      <c r="J4750" t="inlineStr">
        <is>
          <t>Ventas Personas (B2C)</t>
        </is>
      </c>
      <c r="K4750" t="inlineStr">
        <is>
          <t>CH2</t>
        </is>
      </c>
    </row>
    <row r="4751">
      <c r="A4751" s="33" t="n">
        <v>46031</v>
      </c>
      <c r="B4751" t="inlineStr">
        <is>
          <t>2026-01</t>
        </is>
      </c>
      <c r="C4751" t="inlineStr">
        <is>
          <t>Paulina Andrea Romero Cabrera</t>
        </is>
      </c>
      <c r="D4751" t="inlineStr">
        <is>
          <t>Mix Sabores</t>
        </is>
      </c>
      <c r="E4751" s="34" t="n">
        <v>19390</v>
      </c>
      <c r="F4751" t="inlineStr">
        <is>
          <t>B</t>
        </is>
      </c>
      <c r="G4751" s="34" t="n">
        <v>3096</v>
      </c>
      <c r="H4751" s="34" t="n">
        <v>16294</v>
      </c>
      <c r="I4751" t="inlineStr">
        <is>
          <t>3.2</t>
        </is>
      </c>
      <c r="J4751" t="inlineStr">
        <is>
          <t>Ventas Personas (B2C)</t>
        </is>
      </c>
      <c r="K4751" t="inlineStr">
        <is>
          <t>CH2</t>
        </is>
      </c>
    </row>
    <row r="4752">
      <c r="A4752" s="33" t="n">
        <v>46031</v>
      </c>
      <c r="B4752" t="inlineStr">
        <is>
          <t>2026-01</t>
        </is>
      </c>
      <c r="C4752" t="inlineStr">
        <is>
          <t>Monica Dulovits Farcuh</t>
        </is>
      </c>
      <c r="D4752" t="inlineStr">
        <is>
          <t>Mix Sabores</t>
        </is>
      </c>
      <c r="E4752" s="34" t="n">
        <v>27290</v>
      </c>
      <c r="F4752" t="inlineStr">
        <is>
          <t>B</t>
        </is>
      </c>
      <c r="G4752" s="34" t="n">
        <v>4357</v>
      </c>
      <c r="H4752" s="34" t="n">
        <v>22933</v>
      </c>
      <c r="I4752" t="inlineStr">
        <is>
          <t>3.2</t>
        </is>
      </c>
      <c r="J4752" t="inlineStr">
        <is>
          <t>Ventas Personas (B2C)</t>
        </is>
      </c>
      <c r="K4752" t="inlineStr">
        <is>
          <t>CH2</t>
        </is>
      </c>
    </row>
    <row r="4753">
      <c r="A4753" s="33" t="n">
        <v>46031</v>
      </c>
      <c r="B4753" t="inlineStr">
        <is>
          <t>2026-01</t>
        </is>
      </c>
      <c r="C4753" t="inlineStr">
        <is>
          <t>Magdalena Alcaíno</t>
        </is>
      </c>
      <c r="D4753" t="inlineStr">
        <is>
          <t>Petit Tradicional</t>
        </is>
      </c>
      <c r="E4753" s="34" t="n">
        <v>25290</v>
      </c>
      <c r="F4753" t="inlineStr">
        <is>
          <t>B</t>
        </is>
      </c>
      <c r="G4753" s="34" t="n">
        <v>4038</v>
      </c>
      <c r="H4753" s="34" t="n">
        <v>21252</v>
      </c>
      <c r="I4753" t="inlineStr">
        <is>
          <t>3.2</t>
        </is>
      </c>
      <c r="J4753" t="inlineStr">
        <is>
          <t>Ventas Personas (B2C)</t>
        </is>
      </c>
      <c r="K4753" t="inlineStr">
        <is>
          <t>CH2</t>
        </is>
      </c>
    </row>
    <row r="4754">
      <c r="A4754" s="33" t="n">
        <v>46031</v>
      </c>
      <c r="B4754" t="inlineStr">
        <is>
          <t>2026-01</t>
        </is>
      </c>
      <c r="C4754" t="inlineStr">
        <is>
          <t>Ana Maria Montecinos</t>
        </is>
      </c>
      <c r="D4754" t="inlineStr">
        <is>
          <t>Rellenos</t>
        </is>
      </c>
      <c r="E4754" s="34" t="n">
        <v>14990</v>
      </c>
      <c r="F4754" t="inlineStr">
        <is>
          <t>B</t>
        </is>
      </c>
      <c r="G4754" s="34" t="n">
        <v>2393</v>
      </c>
      <c r="H4754" s="34" t="n">
        <v>12596</v>
      </c>
      <c r="I4754" t="inlineStr">
        <is>
          <t>3.2</t>
        </is>
      </c>
      <c r="J4754" t="inlineStr">
        <is>
          <t>Ventas Personas (B2C)</t>
        </is>
      </c>
      <c r="K4754" t="inlineStr">
        <is>
          <t>CH2</t>
        </is>
      </c>
    </row>
    <row r="4755">
      <c r="A4755" s="33" t="n">
        <v>46031</v>
      </c>
      <c r="B4755" t="inlineStr">
        <is>
          <t>2026-01</t>
        </is>
      </c>
      <c r="C4755" t="inlineStr">
        <is>
          <t>MARCELA ATIAS</t>
        </is>
      </c>
      <c r="D4755" t="inlineStr">
        <is>
          <t>Petit Crunchy</t>
        </is>
      </c>
      <c r="E4755" s="34" t="n">
        <v>35900</v>
      </c>
      <c r="F4755" t="inlineStr">
        <is>
          <t>B</t>
        </is>
      </c>
      <c r="G4755" s="34" t="n">
        <v>5732</v>
      </c>
      <c r="H4755" s="34" t="n">
        <v>30168</v>
      </c>
      <c r="I4755" t="inlineStr">
        <is>
          <t>3.2</t>
        </is>
      </c>
      <c r="J4755" t="inlineStr">
        <is>
          <t>Ventas Personas (B2C)</t>
        </is>
      </c>
      <c r="K4755" t="inlineStr">
        <is>
          <t>CH2</t>
        </is>
      </c>
    </row>
    <row r="4756">
      <c r="A4756" s="33" t="n">
        <v>46031</v>
      </c>
      <c r="B4756" t="inlineStr">
        <is>
          <t>2026-01</t>
        </is>
      </c>
      <c r="C4756" t="inlineStr">
        <is>
          <t>Monica Serrano Varela</t>
        </is>
      </c>
      <c r="D4756" t="inlineStr">
        <is>
          <t>Petit Tradicional</t>
        </is>
      </c>
      <c r="E4756" s="34" t="n">
        <v>13800</v>
      </c>
      <c r="F4756" t="inlineStr">
        <is>
          <t>B</t>
        </is>
      </c>
      <c r="G4756" s="34" t="n">
        <v>2203</v>
      </c>
      <c r="H4756" s="34" t="n">
        <v>11597</v>
      </c>
      <c r="I4756" t="inlineStr">
        <is>
          <t>3.2</t>
        </is>
      </c>
      <c r="J4756" t="inlineStr">
        <is>
          <t>Ventas Personas (B2C)</t>
        </is>
      </c>
      <c r="K4756" t="inlineStr">
        <is>
          <t>CH2</t>
        </is>
      </c>
    </row>
    <row r="4757">
      <c r="A4757" s="33" t="n">
        <v>46031</v>
      </c>
      <c r="B4757" t="inlineStr">
        <is>
          <t>2026-01</t>
        </is>
      </c>
      <c r="C4757" t="inlineStr">
        <is>
          <t>Maria Fernanda Saez Retamales</t>
        </is>
      </c>
      <c r="D4757" t="inlineStr">
        <is>
          <t>Rellenos</t>
        </is>
      </c>
      <c r="E4757" s="34" t="n">
        <v>24390</v>
      </c>
      <c r="F4757" t="inlineStr">
        <is>
          <t>B</t>
        </is>
      </c>
      <c r="G4757" s="34" t="n">
        <v>3894</v>
      </c>
      <c r="H4757" s="34" t="n">
        <v>20495</v>
      </c>
      <c r="I4757" t="inlineStr">
        <is>
          <t>3.2</t>
        </is>
      </c>
      <c r="J4757" t="inlineStr">
        <is>
          <t>Ventas Personas (B2C)</t>
        </is>
      </c>
      <c r="K4757" t="inlineStr">
        <is>
          <t>CH2</t>
        </is>
      </c>
    </row>
    <row r="4758">
      <c r="A4758" s="33" t="n">
        <v>46031</v>
      </c>
      <c r="B4758" t="inlineStr">
        <is>
          <t>2026-01</t>
        </is>
      </c>
      <c r="C4758" t="inlineStr">
        <is>
          <t>Sin cliente</t>
        </is>
      </c>
      <c r="D4758" t="inlineStr">
        <is>
          <t>CANELÉ TRADICIONAL</t>
        </is>
      </c>
      <c r="E4758" s="34" t="n">
        <v>15900</v>
      </c>
      <c r="F4758" t="inlineStr">
        <is>
          <t>B</t>
        </is>
      </c>
      <c r="G4758" s="34" t="n">
        <v>2539</v>
      </c>
      <c r="H4758" s="34" t="n">
        <v>13361</v>
      </c>
      <c r="I4758" t="inlineStr">
        <is>
          <t>3.2</t>
        </is>
      </c>
      <c r="J4758" t="inlineStr">
        <is>
          <t>Ventas Personas (B2C)</t>
        </is>
      </c>
      <c r="K4758" t="inlineStr">
        <is>
          <t>CH2</t>
        </is>
      </c>
    </row>
    <row r="4759">
      <c r="A4759" s="33" t="n">
        <v>46031</v>
      </c>
      <c r="B4759" t="inlineStr">
        <is>
          <t>2026-01</t>
        </is>
      </c>
      <c r="C4759" t="inlineStr">
        <is>
          <t>Sin cliente</t>
        </is>
      </c>
      <c r="D4759" t="inlineStr">
        <is>
          <t>CANELÉ TRADICIONAL</t>
        </is>
      </c>
      <c r="E4759" s="34" t="n">
        <v>18900</v>
      </c>
      <c r="F4759" t="inlineStr">
        <is>
          <t>B</t>
        </is>
      </c>
      <c r="G4759" s="34" t="n">
        <v>3018</v>
      </c>
      <c r="H4759" s="34" t="n">
        <v>15882</v>
      </c>
      <c r="I4759" t="inlineStr">
        <is>
          <t>3.2</t>
        </is>
      </c>
      <c r="J4759" t="inlineStr">
        <is>
          <t>Ventas Personas (B2C)</t>
        </is>
      </c>
      <c r="K4759" t="inlineStr">
        <is>
          <t>CH2</t>
        </is>
      </c>
    </row>
    <row r="4760">
      <c r="A4760" s="33" t="n">
        <v>46031</v>
      </c>
      <c r="B4760" t="inlineStr">
        <is>
          <t>2026-01</t>
        </is>
      </c>
      <c r="C4760" t="inlineStr">
        <is>
          <t>Sin cliente</t>
        </is>
      </c>
      <c r="D4760" t="inlineStr">
        <is>
          <t>Cafeteria Geronimo</t>
        </is>
      </c>
      <c r="E4760" s="34" t="n">
        <v>12000</v>
      </c>
      <c r="F4760" t="inlineStr">
        <is>
          <t>B</t>
        </is>
      </c>
      <c r="G4760" s="34" t="n">
        <v>1916</v>
      </c>
      <c r="H4760" s="34" t="n">
        <v>10084</v>
      </c>
      <c r="I4760" t="inlineStr">
        <is>
          <t>3.2</t>
        </is>
      </c>
      <c r="J4760" t="inlineStr">
        <is>
          <t>Ventas Personas (B2C)</t>
        </is>
      </c>
      <c r="K4760" t="inlineStr">
        <is>
          <t>CH2</t>
        </is>
      </c>
    </row>
    <row r="4761">
      <c r="A4761" s="33" t="n">
        <v>46031</v>
      </c>
      <c r="B4761" t="inlineStr">
        <is>
          <t>2026-01</t>
        </is>
      </c>
      <c r="C4761" t="inlineStr">
        <is>
          <t>Sin cliente</t>
        </is>
      </c>
      <c r="D4761" t="inlineStr">
        <is>
          <t>CANELE SIN AZUCAR</t>
        </is>
      </c>
      <c r="E4761" s="34" t="n">
        <v>10800</v>
      </c>
      <c r="F4761" t="inlineStr">
        <is>
          <t>B</t>
        </is>
      </c>
      <c r="G4761" s="34" t="n">
        <v>1724</v>
      </c>
      <c r="H4761" s="34" t="n">
        <v>9076</v>
      </c>
      <c r="I4761" t="inlineStr">
        <is>
          <t>3.2</t>
        </is>
      </c>
      <c r="J4761" t="inlineStr">
        <is>
          <t>Ventas Personas (B2C)</t>
        </is>
      </c>
      <c r="K4761" t="inlineStr">
        <is>
          <t>CH2</t>
        </is>
      </c>
    </row>
    <row r="4762">
      <c r="A4762" s="33" t="n">
        <v>46031</v>
      </c>
      <c r="B4762" t="inlineStr">
        <is>
          <t>2026-01</t>
        </is>
      </c>
      <c r="C4762" t="inlineStr">
        <is>
          <t>Sin cliente</t>
        </is>
      </c>
      <c r="D4762" t="inlineStr">
        <is>
          <t>CANELÉ TRADICIONAL</t>
        </is>
      </c>
      <c r="E4762" s="34" t="n">
        <v>48600</v>
      </c>
      <c r="F4762" t="inlineStr">
        <is>
          <t>B</t>
        </is>
      </c>
      <c r="G4762" s="34" t="n">
        <v>7760</v>
      </c>
      <c r="H4762" s="34" t="n">
        <v>40840</v>
      </c>
      <c r="I4762" t="inlineStr">
        <is>
          <t>3.2</t>
        </is>
      </c>
      <c r="J4762" t="inlineStr">
        <is>
          <t>Ventas Personas (B2C)</t>
        </is>
      </c>
      <c r="K4762" t="inlineStr">
        <is>
          <t>CH2</t>
        </is>
      </c>
    </row>
    <row r="4763">
      <c r="A4763" s="33" t="n">
        <v>46031</v>
      </c>
      <c r="B4763" t="inlineStr">
        <is>
          <t>2026-01</t>
        </is>
      </c>
      <c r="C4763" t="inlineStr">
        <is>
          <t>Sin cliente</t>
        </is>
      </c>
      <c r="D4763" t="inlineStr">
        <is>
          <t>Rellenos</t>
        </is>
      </c>
      <c r="E4763" s="34" t="n">
        <v>14000</v>
      </c>
      <c r="F4763" t="inlineStr">
        <is>
          <t>B</t>
        </is>
      </c>
      <c r="G4763" s="34" t="n">
        <v>2235</v>
      </c>
      <c r="H4763" s="34" t="n">
        <v>11765</v>
      </c>
      <c r="I4763" t="inlineStr">
        <is>
          <t>3.2</t>
        </is>
      </c>
      <c r="J4763" t="inlineStr">
        <is>
          <t>Ventas Personas (B2C)</t>
        </is>
      </c>
      <c r="K4763" t="inlineStr">
        <is>
          <t>CH2</t>
        </is>
      </c>
    </row>
    <row r="4764">
      <c r="A4764" s="33" t="n">
        <v>46031</v>
      </c>
      <c r="B4764" t="inlineStr">
        <is>
          <t>2026-01</t>
        </is>
      </c>
      <c r="C4764" t="inlineStr">
        <is>
          <t>Sin cliente</t>
        </is>
      </c>
      <c r="D4764" t="inlineStr">
        <is>
          <t>Petit Tradicional</t>
        </is>
      </c>
      <c r="E4764" s="34" t="n">
        <v>28700</v>
      </c>
      <c r="F4764" t="inlineStr">
        <is>
          <t>B</t>
        </is>
      </c>
      <c r="G4764" s="34" t="n">
        <v>4582</v>
      </c>
      <c r="H4764" s="34" t="n">
        <v>24118</v>
      </c>
      <c r="I4764" t="inlineStr">
        <is>
          <t>3.2</t>
        </is>
      </c>
      <c r="J4764" t="inlineStr">
        <is>
          <t>Ventas Personas (B2C)</t>
        </is>
      </c>
      <c r="K4764" t="inlineStr">
        <is>
          <t>CH2</t>
        </is>
      </c>
    </row>
    <row r="4765">
      <c r="A4765" s="33" t="n">
        <v>46031</v>
      </c>
      <c r="B4765" t="inlineStr">
        <is>
          <t>2026-01</t>
        </is>
      </c>
      <c r="C4765" t="inlineStr">
        <is>
          <t>Sin cliente</t>
        </is>
      </c>
      <c r="D4765" t="inlineStr">
        <is>
          <t>PLATAFORMAS RAP-PEYA-UBER-GOOD</t>
        </is>
      </c>
      <c r="E4765" s="34" t="n">
        <v>42960</v>
      </c>
      <c r="F4765" t="inlineStr">
        <is>
          <t>B</t>
        </is>
      </c>
      <c r="G4765" s="34" t="n">
        <v>6859</v>
      </c>
      <c r="H4765" s="34" t="n">
        <v>36101</v>
      </c>
      <c r="I4765" t="inlineStr">
        <is>
          <t>3.6</t>
        </is>
      </c>
      <c r="J4765" t="inlineStr">
        <is>
          <t>Ventas Delivery Apps</t>
        </is>
      </c>
      <c r="K4765" t="inlineStr">
        <is>
          <t>CH3</t>
        </is>
      </c>
    </row>
    <row r="4766">
      <c r="A4766" s="33" t="n">
        <v>46031</v>
      </c>
      <c r="B4766" t="inlineStr">
        <is>
          <t>2026-01</t>
        </is>
      </c>
      <c r="C4766" t="inlineStr">
        <is>
          <t>Sin cliente</t>
        </is>
      </c>
      <c r="D4766" t="inlineStr">
        <is>
          <t>PLATAFORMAS RAP-PEYA-UBER-GOOD</t>
        </is>
      </c>
      <c r="E4766" s="34" t="n">
        <v>18780</v>
      </c>
      <c r="F4766" t="inlineStr">
        <is>
          <t>B</t>
        </is>
      </c>
      <c r="G4766" s="34" t="n">
        <v>2998</v>
      </c>
      <c r="H4766" s="34" t="n">
        <v>15782</v>
      </c>
      <c r="I4766" t="inlineStr">
        <is>
          <t>3.6</t>
        </is>
      </c>
      <c r="J4766" t="inlineStr">
        <is>
          <t>Ventas Delivery Apps</t>
        </is>
      </c>
      <c r="K4766" t="inlineStr">
        <is>
          <t>CH3</t>
        </is>
      </c>
    </row>
    <row r="4767">
      <c r="A4767" s="33" t="n">
        <v>46031</v>
      </c>
      <c r="B4767" t="inlineStr">
        <is>
          <t>2026-01</t>
        </is>
      </c>
      <c r="C4767" t="inlineStr">
        <is>
          <t>Celia Cristaldo</t>
        </is>
      </c>
      <c r="D4767" t="inlineStr">
        <is>
          <t>Rellenos</t>
        </is>
      </c>
      <c r="E4767" s="34" t="n">
        <v>27990</v>
      </c>
      <c r="F4767" t="inlineStr">
        <is>
          <t>B</t>
        </is>
      </c>
      <c r="G4767" s="34" t="n">
        <v>4469</v>
      </c>
      <c r="H4767" s="34" t="n">
        <v>23520</v>
      </c>
      <c r="I4767" t="inlineStr">
        <is>
          <t>3.2</t>
        </is>
      </c>
      <c r="J4767" t="inlineStr">
        <is>
          <t>Ventas Personas (B2C)</t>
        </is>
      </c>
      <c r="K4767" t="inlineStr">
        <is>
          <t>CH2</t>
        </is>
      </c>
    </row>
    <row r="4768">
      <c r="A4768" s="33" t="n">
        <v>46031</v>
      </c>
      <c r="B4768" t="inlineStr">
        <is>
          <t>2026-01</t>
        </is>
      </c>
      <c r="C4768" t="inlineStr">
        <is>
          <t>Alexander Rivano Fuentes</t>
        </is>
      </c>
      <c r="D4768" t="inlineStr">
        <is>
          <t>Rellenos</t>
        </is>
      </c>
      <c r="E4768" s="34" t="n">
        <v>48790</v>
      </c>
      <c r="F4768" t="inlineStr">
        <is>
          <t>B</t>
        </is>
      </c>
      <c r="G4768" s="34" t="n">
        <v>7790</v>
      </c>
      <c r="H4768" s="34" t="n">
        <v>41000</v>
      </c>
      <c r="I4768" t="inlineStr">
        <is>
          <t>3.2</t>
        </is>
      </c>
      <c r="J4768" t="inlineStr">
        <is>
          <t>Ventas Personas (B2C)</t>
        </is>
      </c>
      <c r="K4768" t="inlineStr">
        <is>
          <t>CH2</t>
        </is>
      </c>
    </row>
    <row r="4769">
      <c r="A4769" s="33" t="n">
        <v>46032</v>
      </c>
      <c r="B4769" t="inlineStr">
        <is>
          <t>2026-01</t>
        </is>
      </c>
      <c r="C4769" t="inlineStr">
        <is>
          <t>Italo Jaque</t>
        </is>
      </c>
      <c r="D4769" t="inlineStr">
        <is>
          <t>Rellenos</t>
        </is>
      </c>
      <c r="E4769" s="34" t="n">
        <v>37390</v>
      </c>
      <c r="F4769" t="inlineStr">
        <is>
          <t>B</t>
        </is>
      </c>
      <c r="G4769" s="34" t="n">
        <v>5970</v>
      </c>
      <c r="H4769" s="34" t="n">
        <v>31420</v>
      </c>
      <c r="I4769" t="inlineStr">
        <is>
          <t>3.2</t>
        </is>
      </c>
      <c r="J4769" t="inlineStr">
        <is>
          <t>Ventas Personas (B2C)</t>
        </is>
      </c>
      <c r="K4769" t="inlineStr">
        <is>
          <t>CH2</t>
        </is>
      </c>
    </row>
    <row r="4770">
      <c r="A4770" s="33" t="n">
        <v>46032</v>
      </c>
      <c r="B4770" t="inlineStr">
        <is>
          <t>2026-01</t>
        </is>
      </c>
      <c r="C4770" t="inlineStr">
        <is>
          <t>Sin cliente</t>
        </is>
      </c>
      <c r="D4770" t="inlineStr">
        <is>
          <t>Petit Tradicional</t>
        </is>
      </c>
      <c r="E4770" s="34" t="n">
        <v>25440</v>
      </c>
      <c r="F4770" t="inlineStr">
        <is>
          <t>B</t>
        </is>
      </c>
      <c r="G4770" s="34" t="n">
        <v>4062</v>
      </c>
      <c r="H4770" s="34" t="n">
        <v>21378</v>
      </c>
      <c r="I4770" t="inlineStr">
        <is>
          <t>3.2</t>
        </is>
      </c>
      <c r="J4770" t="inlineStr">
        <is>
          <t>Ventas Personas (B2C)</t>
        </is>
      </c>
      <c r="K4770" t="inlineStr">
        <is>
          <t>CH2</t>
        </is>
      </c>
    </row>
    <row r="4771">
      <c r="A4771" s="33" t="n">
        <v>46032</v>
      </c>
      <c r="B4771" t="inlineStr">
        <is>
          <t>2026-01</t>
        </is>
      </c>
      <c r="C4771" t="inlineStr">
        <is>
          <t>Sin cliente</t>
        </is>
      </c>
      <c r="D4771" t="inlineStr">
        <is>
          <t>PLATAFORMAS RAP-PEYA-UBER-GOOD</t>
        </is>
      </c>
      <c r="E4771" s="34" t="n">
        <v>6000</v>
      </c>
      <c r="F4771" t="inlineStr">
        <is>
          <t>B</t>
        </is>
      </c>
      <c r="G4771" s="34" t="n">
        <v>958</v>
      </c>
      <c r="H4771" s="34" t="n">
        <v>5042</v>
      </c>
      <c r="I4771" t="inlineStr">
        <is>
          <t>3.6</t>
        </is>
      </c>
      <c r="J4771" t="inlineStr">
        <is>
          <t>Ventas Delivery Apps</t>
        </is>
      </c>
      <c r="K4771" t="inlineStr">
        <is>
          <t>CH3</t>
        </is>
      </c>
    </row>
    <row r="4772">
      <c r="A4772" s="33" t="n">
        <v>46032</v>
      </c>
      <c r="B4772" t="inlineStr">
        <is>
          <t>2026-01</t>
        </is>
      </c>
      <c r="C4772" t="inlineStr">
        <is>
          <t>Andrea Guzman</t>
        </is>
      </c>
      <c r="D4772" t="inlineStr">
        <is>
          <t>CANELÉ TRADICIONAL</t>
        </is>
      </c>
      <c r="E4772" s="34" t="n">
        <v>21390</v>
      </c>
      <c r="F4772" t="inlineStr">
        <is>
          <t>B</t>
        </is>
      </c>
      <c r="G4772" s="34" t="n">
        <v>3415</v>
      </c>
      <c r="H4772" s="34" t="n">
        <v>17974</v>
      </c>
      <c r="I4772" t="inlineStr">
        <is>
          <t>3.2</t>
        </is>
      </c>
      <c r="J4772" t="inlineStr">
        <is>
          <t>Ventas Personas (B2C)</t>
        </is>
      </c>
      <c r="K4772" t="inlineStr">
        <is>
          <t>CH2</t>
        </is>
      </c>
    </row>
    <row r="4773">
      <c r="A4773" s="33" t="n">
        <v>46032</v>
      </c>
      <c r="B4773" t="inlineStr">
        <is>
          <t>2026-01</t>
        </is>
      </c>
      <c r="C4773" t="inlineStr">
        <is>
          <t>Sin cliente</t>
        </is>
      </c>
      <c r="D4773" t="inlineStr">
        <is>
          <t>Rellenos</t>
        </is>
      </c>
      <c r="E4773" s="34" t="n">
        <v>6000</v>
      </c>
      <c r="F4773" t="inlineStr">
        <is>
          <t>B</t>
        </is>
      </c>
      <c r="G4773" s="34" t="n">
        <v>958</v>
      </c>
      <c r="H4773" s="34" t="n">
        <v>5042</v>
      </c>
      <c r="I4773" t="inlineStr">
        <is>
          <t>3.2</t>
        </is>
      </c>
      <c r="J4773" t="inlineStr">
        <is>
          <t>Ventas Personas (B2C)</t>
        </is>
      </c>
      <c r="K4773" t="inlineStr">
        <is>
          <t>CH2</t>
        </is>
      </c>
    </row>
    <row r="4774">
      <c r="A4774" s="33" t="n">
        <v>46032</v>
      </c>
      <c r="B4774" t="inlineStr">
        <is>
          <t>2026-01</t>
        </is>
      </c>
      <c r="C4774" t="inlineStr">
        <is>
          <t>Sin cliente</t>
        </is>
      </c>
      <c r="D4774" t="inlineStr">
        <is>
          <t>Rellenos</t>
        </is>
      </c>
      <c r="E4774" s="34" t="n">
        <v>18000</v>
      </c>
      <c r="F4774" t="inlineStr">
        <is>
          <t>B</t>
        </is>
      </c>
      <c r="G4774" s="34" t="n">
        <v>2874</v>
      </c>
      <c r="H4774" s="34" t="n">
        <v>15126</v>
      </c>
      <c r="I4774" t="inlineStr">
        <is>
          <t>3.2</t>
        </is>
      </c>
      <c r="J4774" t="inlineStr">
        <is>
          <t>Ventas Personas (B2C)</t>
        </is>
      </c>
      <c r="K4774" t="inlineStr">
        <is>
          <t>CH2</t>
        </is>
      </c>
    </row>
    <row r="4775">
      <c r="A4775" s="33" t="n">
        <v>46032</v>
      </c>
      <c r="B4775" t="inlineStr">
        <is>
          <t>2026-01</t>
        </is>
      </c>
      <c r="C4775" t="inlineStr">
        <is>
          <t>Sin cliente</t>
        </is>
      </c>
      <c r="D4775" t="inlineStr">
        <is>
          <t>CANELÉ TRADICIONAL</t>
        </is>
      </c>
      <c r="E4775" s="34" t="n">
        <v>15000</v>
      </c>
      <c r="F4775" t="inlineStr">
        <is>
          <t>B</t>
        </is>
      </c>
      <c r="G4775" s="34" t="n">
        <v>2395</v>
      </c>
      <c r="H4775" s="34" t="n">
        <v>12605</v>
      </c>
      <c r="I4775" t="inlineStr">
        <is>
          <t>3.2</t>
        </is>
      </c>
      <c r="J4775" t="inlineStr">
        <is>
          <t>Ventas Personas (B2C)</t>
        </is>
      </c>
      <c r="K4775" t="inlineStr">
        <is>
          <t>CH2</t>
        </is>
      </c>
    </row>
    <row r="4776">
      <c r="A4776" s="33" t="n">
        <v>46032</v>
      </c>
      <c r="B4776" t="inlineStr">
        <is>
          <t>2026-01</t>
        </is>
      </c>
      <c r="C4776" t="inlineStr">
        <is>
          <t>Sin cliente</t>
        </is>
      </c>
      <c r="D4776" t="inlineStr">
        <is>
          <t>Petit Crunchy</t>
        </is>
      </c>
      <c r="E4776" s="34" t="n">
        <v>14900</v>
      </c>
      <c r="F4776" t="inlineStr">
        <is>
          <t>B</t>
        </is>
      </c>
      <c r="G4776" s="34" t="n">
        <v>2379</v>
      </c>
      <c r="H4776" s="34" t="n">
        <v>12521</v>
      </c>
      <c r="I4776" t="inlineStr">
        <is>
          <t>3.2</t>
        </is>
      </c>
      <c r="J4776" t="inlineStr">
        <is>
          <t>Ventas Personas (B2C)</t>
        </is>
      </c>
      <c r="K4776" t="inlineStr">
        <is>
          <t>CH2</t>
        </is>
      </c>
    </row>
    <row r="4777">
      <c r="A4777" s="33" t="n">
        <v>46032</v>
      </c>
      <c r="B4777" t="inlineStr">
        <is>
          <t>2026-01</t>
        </is>
      </c>
      <c r="C4777" t="inlineStr">
        <is>
          <t>Sin cliente</t>
        </is>
      </c>
      <c r="D4777" t="inlineStr">
        <is>
          <t>Rellenos</t>
        </is>
      </c>
      <c r="E4777" s="34" t="n">
        <v>26400</v>
      </c>
      <c r="F4777" t="inlineStr">
        <is>
          <t>B</t>
        </is>
      </c>
      <c r="G4777" s="34" t="n">
        <v>4215</v>
      </c>
      <c r="H4777" s="34" t="n">
        <v>22185</v>
      </c>
      <c r="I4777" t="inlineStr">
        <is>
          <t>3.2</t>
        </is>
      </c>
      <c r="J4777" t="inlineStr">
        <is>
          <t>Ventas Personas (B2C)</t>
        </is>
      </c>
      <c r="K4777" t="inlineStr">
        <is>
          <t>CH2</t>
        </is>
      </c>
    </row>
    <row r="4778">
      <c r="A4778" s="33" t="n">
        <v>46032</v>
      </c>
      <c r="B4778" t="inlineStr">
        <is>
          <t>2026-01</t>
        </is>
      </c>
      <c r="C4778" t="inlineStr">
        <is>
          <t>Sin cliente</t>
        </is>
      </c>
      <c r="D4778" t="inlineStr">
        <is>
          <t>Petit Crunchy</t>
        </is>
      </c>
      <c r="E4778" s="34" t="n">
        <v>10900</v>
      </c>
      <c r="F4778" t="inlineStr">
        <is>
          <t>B</t>
        </is>
      </c>
      <c r="G4778" s="34" t="n">
        <v>1740</v>
      </c>
      <c r="H4778" s="34" t="n">
        <v>9160</v>
      </c>
      <c r="I4778" t="inlineStr">
        <is>
          <t>3.2</t>
        </is>
      </c>
      <c r="J4778" t="inlineStr">
        <is>
          <t>Ventas Personas (B2C)</t>
        </is>
      </c>
      <c r="K4778" t="inlineStr">
        <is>
          <t>CH2</t>
        </is>
      </c>
    </row>
    <row r="4779">
      <c r="A4779" s="33" t="n">
        <v>46032</v>
      </c>
      <c r="B4779" t="inlineStr">
        <is>
          <t>2026-01</t>
        </is>
      </c>
      <c r="C4779" t="inlineStr">
        <is>
          <t>Sin cliente</t>
        </is>
      </c>
      <c r="D4779" t="inlineStr">
        <is>
          <t>PACKAGING</t>
        </is>
      </c>
      <c r="E4779" s="34" t="n">
        <v>900</v>
      </c>
      <c r="F4779" t="inlineStr">
        <is>
          <t>B</t>
        </is>
      </c>
      <c r="G4779" s="34" t="n">
        <v>144</v>
      </c>
      <c r="H4779" s="34" t="n">
        <v>756</v>
      </c>
      <c r="I4779" t="inlineStr">
        <is>
          <t>3.2</t>
        </is>
      </c>
      <c r="J4779" t="inlineStr">
        <is>
          <t>Ventas Personas (B2C)</t>
        </is>
      </c>
      <c r="K4779" t="inlineStr">
        <is>
          <t>CH2</t>
        </is>
      </c>
    </row>
    <row r="4780">
      <c r="A4780" s="33" t="n">
        <v>46032</v>
      </c>
      <c r="B4780" t="inlineStr">
        <is>
          <t>2026-01</t>
        </is>
      </c>
      <c r="C4780" t="inlineStr">
        <is>
          <t>Maria Jose Grez</t>
        </is>
      </c>
      <c r="D4780" t="inlineStr">
        <is>
          <t>PLATAFORMAS RAP-PEYA-UBER-GOOD</t>
        </is>
      </c>
      <c r="E4780" s="34" t="n">
        <v>-6000</v>
      </c>
      <c r="F4780" t="inlineStr">
        <is>
          <t>NC</t>
        </is>
      </c>
      <c r="G4780" s="34" t="n">
        <v>-958</v>
      </c>
      <c r="H4780" s="34" t="n">
        <v>-5042</v>
      </c>
      <c r="I4780" t="inlineStr">
        <is>
          <t>3.6</t>
        </is>
      </c>
      <c r="J4780" t="inlineStr">
        <is>
          <t>Ventas Delivery Apps</t>
        </is>
      </c>
      <c r="K4780" t="inlineStr">
        <is>
          <t>CH3</t>
        </is>
      </c>
    </row>
    <row r="4781">
      <c r="A4781" s="33" t="n">
        <v>46033</v>
      </c>
      <c r="B4781" t="inlineStr">
        <is>
          <t>2026-01</t>
        </is>
      </c>
      <c r="C4781" t="inlineStr">
        <is>
          <t>Jose Leonardo Jimenez</t>
        </is>
      </c>
      <c r="D4781" t="inlineStr">
        <is>
          <t>Delicatessen</t>
        </is>
      </c>
      <c r="E4781" s="34" t="n">
        <v>50190</v>
      </c>
      <c r="F4781" t="inlineStr">
        <is>
          <t>B</t>
        </is>
      </c>
      <c r="G4781" s="34" t="n">
        <v>8014</v>
      </c>
      <c r="H4781" s="34" t="n">
        <v>42177</v>
      </c>
      <c r="I4781" t="inlineStr">
        <is>
          <t>3.2</t>
        </is>
      </c>
      <c r="J4781" t="inlineStr">
        <is>
          <t>Ventas Personas (B2C)</t>
        </is>
      </c>
      <c r="K4781" t="inlineStr">
        <is>
          <t>CH2</t>
        </is>
      </c>
    </row>
    <row r="4782">
      <c r="A4782" s="33" t="n">
        <v>46034</v>
      </c>
      <c r="B4782" t="inlineStr">
        <is>
          <t>2026-01</t>
        </is>
      </c>
      <c r="C4782" t="inlineStr">
        <is>
          <t>INVERSIONES Y COMERCIALIZADORA FED LIMITADA</t>
        </is>
      </c>
      <c r="D4782" t="inlineStr">
        <is>
          <t>HORECA CAFETERIA</t>
        </is>
      </c>
      <c r="E4782" s="34" t="n">
        <v>200363</v>
      </c>
      <c r="F4782" t="inlineStr">
        <is>
          <t>F</t>
        </is>
      </c>
      <c r="G4782" s="34" t="n">
        <v>31991</v>
      </c>
      <c r="H4782" s="34" t="n">
        <v>168372</v>
      </c>
      <c r="I4782" t="inlineStr">
        <is>
          <t>3.1</t>
        </is>
      </c>
      <c r="J4782" t="inlineStr">
        <is>
          <t>Ventas HoReCa</t>
        </is>
      </c>
      <c r="K4782" t="inlineStr">
        <is>
          <t>CH1</t>
        </is>
      </c>
    </row>
    <row r="4783">
      <c r="A4783" s="33" t="n">
        <v>46034</v>
      </c>
      <c r="B4783" t="inlineStr">
        <is>
          <t>2026-01</t>
        </is>
      </c>
      <c r="C4783" t="inlineStr">
        <is>
          <t>INVERSIONES Y COMERCIALIZADORA FED LIMITADA</t>
        </is>
      </c>
      <c r="D4783" t="inlineStr">
        <is>
          <t>HORECA CAFETERIA</t>
        </is>
      </c>
      <c r="E4783" s="34" t="n">
        <v>61581</v>
      </c>
      <c r="F4783" t="inlineStr">
        <is>
          <t>F</t>
        </is>
      </c>
      <c r="G4783" s="34" t="n">
        <v>9832</v>
      </c>
      <c r="H4783" s="34" t="n">
        <v>51749</v>
      </c>
      <c r="I4783" t="inlineStr">
        <is>
          <t>3.1</t>
        </is>
      </c>
      <c r="J4783" t="inlineStr">
        <is>
          <t>Ventas HoReCa</t>
        </is>
      </c>
      <c r="K4783" t="inlineStr">
        <is>
          <t>CH1</t>
        </is>
      </c>
    </row>
    <row r="4784">
      <c r="A4784" s="33" t="n">
        <v>46034</v>
      </c>
      <c r="B4784" t="inlineStr">
        <is>
          <t>2026-01</t>
        </is>
      </c>
      <c r="C4784" t="inlineStr">
        <is>
          <t>Andar Café SpA</t>
        </is>
      </c>
      <c r="D4784" t="inlineStr">
        <is>
          <t>HORECA CAFETERIA</t>
        </is>
      </c>
      <c r="E4784" s="34" t="n">
        <v>73494</v>
      </c>
      <c r="F4784" t="inlineStr">
        <is>
          <t>F</t>
        </is>
      </c>
      <c r="G4784" s="34" t="n">
        <v>11734</v>
      </c>
      <c r="H4784" s="34" t="n">
        <v>61760</v>
      </c>
      <c r="I4784" t="inlineStr">
        <is>
          <t>3.1</t>
        </is>
      </c>
      <c r="J4784" t="inlineStr">
        <is>
          <t>Ventas HoReCa</t>
        </is>
      </c>
      <c r="K4784" t="inlineStr">
        <is>
          <t>CH1</t>
        </is>
      </c>
    </row>
    <row r="4785">
      <c r="A4785" s="33" t="n">
        <v>46034</v>
      </c>
      <c r="B4785" t="inlineStr">
        <is>
          <t>2026-01</t>
        </is>
      </c>
      <c r="C4785" t="inlineStr">
        <is>
          <t>Inversiones Café Dominicos SpA</t>
        </is>
      </c>
      <c r="D4785" t="inlineStr">
        <is>
          <t xml:space="preserve">THE COFFEE STORE </t>
        </is>
      </c>
      <c r="E4785" s="34" t="n">
        <v>42325</v>
      </c>
      <c r="F4785" t="inlineStr">
        <is>
          <t>F</t>
        </is>
      </c>
      <c r="G4785" s="34" t="n">
        <v>6758</v>
      </c>
      <c r="H4785" s="34" t="n">
        <v>35567</v>
      </c>
      <c r="I4785" t="inlineStr">
        <is>
          <t>3.1</t>
        </is>
      </c>
      <c r="J4785" t="inlineStr">
        <is>
          <t>Ventas HoReCa</t>
        </is>
      </c>
      <c r="K4785" t="inlineStr">
        <is>
          <t>CH1</t>
        </is>
      </c>
    </row>
    <row r="4786">
      <c r="A4786" s="33" t="n">
        <v>46034</v>
      </c>
      <c r="B4786" t="inlineStr">
        <is>
          <t>2026-01</t>
        </is>
      </c>
      <c r="C4786" t="inlineStr">
        <is>
          <t>paula salas</t>
        </is>
      </c>
      <c r="D4786" t="inlineStr">
        <is>
          <t>Petit Tradicional</t>
        </is>
      </c>
      <c r="E4786" s="34" t="n">
        <v>52170</v>
      </c>
      <c r="F4786" t="inlineStr">
        <is>
          <t>B</t>
        </is>
      </c>
      <c r="G4786" s="34" t="n">
        <v>8330</v>
      </c>
      <c r="H4786" s="34" t="n">
        <v>43840</v>
      </c>
      <c r="I4786" t="inlineStr">
        <is>
          <t>3.2</t>
        </is>
      </c>
      <c r="J4786" t="inlineStr">
        <is>
          <t>Ventas Personas (B2C)</t>
        </is>
      </c>
      <c r="K4786" t="inlineStr">
        <is>
          <t>CH2</t>
        </is>
      </c>
    </row>
    <row r="4787">
      <c r="A4787" s="33" t="n">
        <v>46034</v>
      </c>
      <c r="B4787" t="inlineStr">
        <is>
          <t>2026-01</t>
        </is>
      </c>
      <c r="C4787" t="inlineStr">
        <is>
          <t>Sin cliente</t>
        </is>
      </c>
      <c r="D4787" t="inlineStr">
        <is>
          <t>Rellenos</t>
        </is>
      </c>
      <c r="E4787" s="34" t="n">
        <v>34240</v>
      </c>
      <c r="F4787" t="inlineStr">
        <is>
          <t>B</t>
        </is>
      </c>
      <c r="G4787" s="34" t="n">
        <v>5467</v>
      </c>
      <c r="H4787" s="34" t="n">
        <v>28773</v>
      </c>
      <c r="I4787" t="inlineStr">
        <is>
          <t>3.2</t>
        </is>
      </c>
      <c r="J4787" t="inlineStr">
        <is>
          <t>Ventas Personas (B2C)</t>
        </is>
      </c>
      <c r="K4787" t="inlineStr">
        <is>
          <t>CH2</t>
        </is>
      </c>
    </row>
    <row r="4788">
      <c r="A4788" s="33" t="n">
        <v>46034</v>
      </c>
      <c r="B4788" t="inlineStr">
        <is>
          <t>2026-01</t>
        </is>
      </c>
      <c r="C4788" t="inlineStr">
        <is>
          <t>Sin cliente</t>
        </is>
      </c>
      <c r="D4788" t="inlineStr">
        <is>
          <t>CANELÉ TRADICIONAL</t>
        </is>
      </c>
      <c r="E4788" s="34" t="n">
        <v>17100</v>
      </c>
      <c r="F4788" t="inlineStr">
        <is>
          <t>B</t>
        </is>
      </c>
      <c r="G4788" s="34" t="n">
        <v>2730</v>
      </c>
      <c r="H4788" s="34" t="n">
        <v>14370</v>
      </c>
      <c r="I4788" t="inlineStr">
        <is>
          <t>3.2</t>
        </is>
      </c>
      <c r="J4788" t="inlineStr">
        <is>
          <t>Ventas Personas (B2C)</t>
        </is>
      </c>
      <c r="K4788" t="inlineStr">
        <is>
          <t>CH2</t>
        </is>
      </c>
    </row>
    <row r="4789">
      <c r="A4789" s="33" t="n">
        <v>46034</v>
      </c>
      <c r="B4789" t="inlineStr">
        <is>
          <t>2026-01</t>
        </is>
      </c>
      <c r="C4789" t="inlineStr">
        <is>
          <t>Pamela Duarte</t>
        </is>
      </c>
      <c r="D4789" t="inlineStr">
        <is>
          <t>CANELÉ TRADICIONAL</t>
        </is>
      </c>
      <c r="E4789" s="34" t="n">
        <v>31890</v>
      </c>
      <c r="F4789" t="inlineStr">
        <is>
          <t>B</t>
        </is>
      </c>
      <c r="G4789" s="34" t="n">
        <v>5092</v>
      </c>
      <c r="H4789" s="34" t="n">
        <v>26799</v>
      </c>
      <c r="I4789" t="inlineStr">
        <is>
          <t>3.2</t>
        </is>
      </c>
      <c r="J4789" t="inlineStr">
        <is>
          <t>Ventas Personas (B2C)</t>
        </is>
      </c>
      <c r="K4789" t="inlineStr">
        <is>
          <t>CH2</t>
        </is>
      </c>
    </row>
    <row r="4790">
      <c r="A4790" s="33" t="n">
        <v>46034</v>
      </c>
      <c r="B4790" t="inlineStr">
        <is>
          <t>2026-01</t>
        </is>
      </c>
      <c r="C4790" t="inlineStr">
        <is>
          <t>Sin cliente</t>
        </is>
      </c>
      <c r="D4790" t="inlineStr">
        <is>
          <t>CANELÉ TRADICIONAL</t>
        </is>
      </c>
      <c r="E4790" s="34" t="n">
        <v>20000</v>
      </c>
      <c r="F4790" t="inlineStr">
        <is>
          <t>B</t>
        </is>
      </c>
      <c r="G4790" s="34" t="n">
        <v>3193</v>
      </c>
      <c r="H4790" s="34" t="n">
        <v>16807</v>
      </c>
      <c r="I4790" t="inlineStr">
        <is>
          <t>3.2</t>
        </is>
      </c>
      <c r="J4790" t="inlineStr">
        <is>
          <t>Ventas Personas (B2C)</t>
        </is>
      </c>
      <c r="K4790" t="inlineStr">
        <is>
          <t>CH2</t>
        </is>
      </c>
    </row>
    <row r="4791">
      <c r="A4791" s="33" t="n">
        <v>46034</v>
      </c>
      <c r="B4791" t="inlineStr">
        <is>
          <t>2026-01</t>
        </is>
      </c>
      <c r="C4791" t="inlineStr">
        <is>
          <t>Sin cliente</t>
        </is>
      </c>
      <c r="D4791" t="inlineStr">
        <is>
          <t>CANELÉ TRADICIONAL</t>
        </is>
      </c>
      <c r="E4791" s="34" t="n">
        <v>19400</v>
      </c>
      <c r="F4791" t="inlineStr">
        <is>
          <t>B</t>
        </is>
      </c>
      <c r="G4791" s="34" t="n">
        <v>3097</v>
      </c>
      <c r="H4791" s="34" t="n">
        <v>16303</v>
      </c>
      <c r="I4791" t="inlineStr">
        <is>
          <t>3.2</t>
        </is>
      </c>
      <c r="J4791" t="inlineStr">
        <is>
          <t>Ventas Personas (B2C)</t>
        </is>
      </c>
      <c r="K4791" t="inlineStr">
        <is>
          <t>CH2</t>
        </is>
      </c>
    </row>
    <row r="4792">
      <c r="A4792" s="33" t="n">
        <v>46034</v>
      </c>
      <c r="B4792" t="inlineStr">
        <is>
          <t>2026-01</t>
        </is>
      </c>
      <c r="C4792" t="inlineStr">
        <is>
          <t>Sin cliente</t>
        </is>
      </c>
      <c r="D4792" t="inlineStr">
        <is>
          <t>Rellenos</t>
        </is>
      </c>
      <c r="E4792" s="34" t="n">
        <v>20100</v>
      </c>
      <c r="F4792" t="inlineStr">
        <is>
          <t>B</t>
        </is>
      </c>
      <c r="G4792" s="34" t="n">
        <v>3209</v>
      </c>
      <c r="H4792" s="34" t="n">
        <v>16891</v>
      </c>
      <c r="I4792" t="inlineStr">
        <is>
          <t>3.2</t>
        </is>
      </c>
      <c r="J4792" t="inlineStr">
        <is>
          <t>Ventas Personas (B2C)</t>
        </is>
      </c>
      <c r="K4792" t="inlineStr">
        <is>
          <t>CH2</t>
        </is>
      </c>
    </row>
    <row r="4793">
      <c r="A4793" s="33" t="n">
        <v>46034</v>
      </c>
      <c r="B4793" t="inlineStr">
        <is>
          <t>2026-01</t>
        </is>
      </c>
      <c r="C4793" t="inlineStr">
        <is>
          <t>Sin cliente</t>
        </is>
      </c>
      <c r="D4793" t="inlineStr">
        <is>
          <t>Cafeteria Geronimo</t>
        </is>
      </c>
      <c r="E4793" s="34" t="n">
        <v>7000</v>
      </c>
      <c r="F4793" t="inlineStr">
        <is>
          <t>B</t>
        </is>
      </c>
      <c r="G4793" s="34" t="n">
        <v>1118</v>
      </c>
      <c r="H4793" s="34" t="n">
        <v>5882</v>
      </c>
      <c r="I4793" t="inlineStr">
        <is>
          <t>3.2</t>
        </is>
      </c>
      <c r="J4793" t="inlineStr">
        <is>
          <t>Ventas Personas (B2C)</t>
        </is>
      </c>
      <c r="K4793" t="inlineStr">
        <is>
          <t>CH2</t>
        </is>
      </c>
    </row>
    <row r="4794">
      <c r="A4794" s="33" t="n">
        <v>46034</v>
      </c>
      <c r="B4794" t="inlineStr">
        <is>
          <t>2026-01</t>
        </is>
      </c>
      <c r="C4794" t="inlineStr">
        <is>
          <t>Sin cliente</t>
        </is>
      </c>
      <c r="D4794" t="inlineStr">
        <is>
          <t>Petit Crunchy</t>
        </is>
      </c>
      <c r="E4794" s="34" t="n">
        <v>14900</v>
      </c>
      <c r="F4794" t="inlineStr">
        <is>
          <t>B</t>
        </is>
      </c>
      <c r="G4794" s="34" t="n">
        <v>2379</v>
      </c>
      <c r="H4794" s="34" t="n">
        <v>12521</v>
      </c>
      <c r="I4794" t="inlineStr">
        <is>
          <t>3.2</t>
        </is>
      </c>
      <c r="J4794" t="inlineStr">
        <is>
          <t>Ventas Personas (B2C)</t>
        </is>
      </c>
      <c r="K4794" t="inlineStr">
        <is>
          <t>CH2</t>
        </is>
      </c>
    </row>
    <row r="4795">
      <c r="A4795" s="33" t="n">
        <v>46034</v>
      </c>
      <c r="B4795" t="inlineStr">
        <is>
          <t>2026-01</t>
        </is>
      </c>
      <c r="C4795" t="inlineStr">
        <is>
          <t>Tatiana Zarate</t>
        </is>
      </c>
      <c r="D4795" t="inlineStr">
        <is>
          <t>Petit Tradicional</t>
        </is>
      </c>
      <c r="E4795" s="34" t="n">
        <v>29290</v>
      </c>
      <c r="F4795" t="inlineStr">
        <is>
          <t>B</t>
        </is>
      </c>
      <c r="G4795" s="34" t="n">
        <v>4677</v>
      </c>
      <c r="H4795" s="34" t="n">
        <v>24613</v>
      </c>
      <c r="I4795" t="inlineStr">
        <is>
          <t>3.2</t>
        </is>
      </c>
      <c r="J4795" t="inlineStr">
        <is>
          <t>Ventas Personas (B2C)</t>
        </is>
      </c>
      <c r="K4795" t="inlineStr">
        <is>
          <t>CH2</t>
        </is>
      </c>
    </row>
    <row r="4796">
      <c r="A4796" s="33" t="n">
        <v>46034</v>
      </c>
      <c r="B4796" t="inlineStr">
        <is>
          <t>2026-01</t>
        </is>
      </c>
      <c r="C4796" t="inlineStr">
        <is>
          <t>Sin cliente</t>
        </is>
      </c>
      <c r="D4796" t="inlineStr">
        <is>
          <t>PLATAFORMAS RAP-PEYA-UBER-GOOD</t>
        </is>
      </c>
      <c r="E4796" s="34" t="n">
        <v>15480</v>
      </c>
      <c r="F4796" t="inlineStr">
        <is>
          <t>B</t>
        </is>
      </c>
      <c r="G4796" s="34" t="n">
        <v>2472</v>
      </c>
      <c r="H4796" s="34" t="n">
        <v>13008</v>
      </c>
      <c r="I4796" t="inlineStr">
        <is>
          <t>3.6</t>
        </is>
      </c>
      <c r="J4796" t="inlineStr">
        <is>
          <t>Ventas Delivery Apps</t>
        </is>
      </c>
      <c r="K4796" t="inlineStr">
        <is>
          <t>CH3</t>
        </is>
      </c>
    </row>
    <row r="4797">
      <c r="A4797" s="33" t="n">
        <v>46034</v>
      </c>
      <c r="B4797" t="inlineStr">
        <is>
          <t>2026-01</t>
        </is>
      </c>
      <c r="C4797" t="inlineStr">
        <is>
          <t>Sin cliente</t>
        </is>
      </c>
      <c r="D4797" t="inlineStr">
        <is>
          <t>Cafeteria Geronimo</t>
        </is>
      </c>
      <c r="E4797" s="34" t="n">
        <v>2000</v>
      </c>
      <c r="F4797" t="inlineStr">
        <is>
          <t>B</t>
        </is>
      </c>
      <c r="G4797" s="34" t="n">
        <v>319</v>
      </c>
      <c r="H4797" s="34" t="n">
        <v>1681</v>
      </c>
      <c r="I4797" t="inlineStr">
        <is>
          <t>3.2</t>
        </is>
      </c>
      <c r="J4797" t="inlineStr">
        <is>
          <t>Ventas Personas (B2C)</t>
        </is>
      </c>
      <c r="K4797" t="inlineStr">
        <is>
          <t>CH2</t>
        </is>
      </c>
    </row>
    <row r="4798">
      <c r="A4798" s="33" t="n">
        <v>46034</v>
      </c>
      <c r="B4798" t="inlineStr">
        <is>
          <t>2026-01</t>
        </is>
      </c>
      <c r="C4798" t="inlineStr">
        <is>
          <t>Sin cliente</t>
        </is>
      </c>
      <c r="D4798" t="inlineStr">
        <is>
          <t>PLATAFORMAS RAP-PEYA-UBER-GOOD</t>
        </is>
      </c>
      <c r="E4798" s="34" t="n">
        <v>15480</v>
      </c>
      <c r="F4798" t="inlineStr">
        <is>
          <t>B</t>
        </is>
      </c>
      <c r="G4798" s="34" t="n">
        <v>2472</v>
      </c>
      <c r="H4798" s="34" t="n">
        <v>13008</v>
      </c>
      <c r="I4798" t="inlineStr">
        <is>
          <t>3.6</t>
        </is>
      </c>
      <c r="J4798" t="inlineStr">
        <is>
          <t>Ventas Delivery Apps</t>
        </is>
      </c>
      <c r="K4798" t="inlineStr">
        <is>
          <t>CH3</t>
        </is>
      </c>
    </row>
    <row r="4799">
      <c r="A4799" s="33" t="n">
        <v>46034</v>
      </c>
      <c r="B4799" t="inlineStr">
        <is>
          <t>2026-01</t>
        </is>
      </c>
      <c r="C4799" t="inlineStr">
        <is>
          <t>Maria Jose Grez</t>
        </is>
      </c>
      <c r="D4799" t="inlineStr">
        <is>
          <t>PLATAFORMAS RAP-PEYA-UBER-GOOD</t>
        </is>
      </c>
      <c r="E4799" s="34" t="n">
        <v>-15480</v>
      </c>
      <c r="F4799" t="inlineStr">
        <is>
          <t>NC</t>
        </is>
      </c>
      <c r="G4799" s="34" t="n">
        <v>-2472</v>
      </c>
      <c r="H4799" s="34" t="n">
        <v>-13008</v>
      </c>
      <c r="I4799" t="inlineStr">
        <is>
          <t>3.6</t>
        </is>
      </c>
      <c r="J4799" t="inlineStr">
        <is>
          <t>Ventas Delivery Apps</t>
        </is>
      </c>
      <c r="K4799" t="inlineStr">
        <is>
          <t>CH3</t>
        </is>
      </c>
    </row>
    <row r="4800">
      <c r="A4800" s="33" t="n">
        <v>46035</v>
      </c>
      <c r="B4800" t="inlineStr">
        <is>
          <t>2026-01</t>
        </is>
      </c>
      <c r="C4800" t="inlineStr">
        <is>
          <t>INVERSIONES Y ASESORIAS RAVAL LIMITADA</t>
        </is>
      </c>
      <c r="D4800" t="inlineStr">
        <is>
          <t>HORECA CAFETERIA</t>
        </is>
      </c>
      <c r="E4800" s="34" t="n">
        <v>75030</v>
      </c>
      <c r="F4800" t="inlineStr">
        <is>
          <t>F</t>
        </is>
      </c>
      <c r="G4800" s="34" t="n">
        <v>11980</v>
      </c>
      <c r="H4800" s="34" t="n">
        <v>63050</v>
      </c>
      <c r="I4800" t="inlineStr">
        <is>
          <t>3.1</t>
        </is>
      </c>
      <c r="J4800" t="inlineStr">
        <is>
          <t>Ventas HoReCa</t>
        </is>
      </c>
      <c r="K4800" t="inlineStr">
        <is>
          <t>CH1</t>
        </is>
      </c>
    </row>
    <row r="4801">
      <c r="A4801" s="33" t="n">
        <v>46035</v>
      </c>
      <c r="B4801" t="inlineStr">
        <is>
          <t>2026-01</t>
        </is>
      </c>
      <c r="C4801" t="inlineStr">
        <is>
          <t>CUATROTRESTRES CAFÉ SPA</t>
        </is>
      </c>
      <c r="D4801" t="inlineStr">
        <is>
          <t>HORECA CAFETERIA</t>
        </is>
      </c>
      <c r="E4801" s="34" t="n">
        <v>232693</v>
      </c>
      <c r="F4801" t="inlineStr">
        <is>
          <t>F</t>
        </is>
      </c>
      <c r="G4801" s="34" t="n">
        <v>37153</v>
      </c>
      <c r="H4801" s="34" t="n">
        <v>195540</v>
      </c>
      <c r="I4801" t="inlineStr">
        <is>
          <t>3.1</t>
        </is>
      </c>
      <c r="J4801" t="inlineStr">
        <is>
          <t>Ventas HoReCa</t>
        </is>
      </c>
      <c r="K4801" t="inlineStr">
        <is>
          <t>CH1</t>
        </is>
      </c>
    </row>
    <row r="4802">
      <c r="A4802" s="33" t="n">
        <v>46035</v>
      </c>
      <c r="B4802" t="inlineStr">
        <is>
          <t>2026-01</t>
        </is>
      </c>
      <c r="C4802" t="inlineStr">
        <is>
          <t>the capital coffee spa</t>
        </is>
      </c>
      <c r="D4802" t="inlineStr">
        <is>
          <t>HORECA CAFETERIA</t>
        </is>
      </c>
      <c r="E4802" s="34" t="n">
        <v>235069</v>
      </c>
      <c r="F4802" t="inlineStr">
        <is>
          <t>F</t>
        </is>
      </c>
      <c r="G4802" s="34" t="n">
        <v>37532</v>
      </c>
      <c r="H4802" s="34" t="n">
        <v>197537</v>
      </c>
      <c r="I4802" t="inlineStr">
        <is>
          <t>3.1</t>
        </is>
      </c>
      <c r="J4802" t="inlineStr">
        <is>
          <t>Ventas HoReCa</t>
        </is>
      </c>
      <c r="K4802" t="inlineStr">
        <is>
          <t>CH1</t>
        </is>
      </c>
    </row>
    <row r="4803">
      <c r="A4803" s="33" t="n">
        <v>46035</v>
      </c>
      <c r="B4803" t="inlineStr">
        <is>
          <t>2026-01</t>
        </is>
      </c>
      <c r="C4803" t="inlineStr">
        <is>
          <t>BACOLIO SPA</t>
        </is>
      </c>
      <c r="D4803" t="inlineStr">
        <is>
          <t>HORECA CAFETERIA</t>
        </is>
      </c>
      <c r="E4803" s="34" t="n">
        <v>137421</v>
      </c>
      <c r="F4803" t="inlineStr">
        <is>
          <t>F</t>
        </is>
      </c>
      <c r="G4803" s="34" t="n">
        <v>21941</v>
      </c>
      <c r="H4803" s="34" t="n">
        <v>115480</v>
      </c>
      <c r="I4803" t="inlineStr">
        <is>
          <t>3.1</t>
        </is>
      </c>
      <c r="J4803" t="inlineStr">
        <is>
          <t>Ventas HoReCa</t>
        </is>
      </c>
      <c r="K4803" t="inlineStr">
        <is>
          <t>CH1</t>
        </is>
      </c>
    </row>
    <row r="4804">
      <c r="A4804" s="33" t="n">
        <v>46035</v>
      </c>
      <c r="B4804" t="inlineStr">
        <is>
          <t>2026-01</t>
        </is>
      </c>
      <c r="C4804" t="inlineStr">
        <is>
          <t>BLUE OAK COFFE SPA</t>
        </is>
      </c>
      <c r="D4804" t="inlineStr">
        <is>
          <t>HORECA CAFETERIA</t>
        </is>
      </c>
      <c r="E4804" s="34" t="n">
        <v>103304</v>
      </c>
      <c r="F4804" t="inlineStr">
        <is>
          <t>F</t>
        </is>
      </c>
      <c r="G4804" s="34" t="n">
        <v>16494</v>
      </c>
      <c r="H4804" s="34" t="n">
        <v>86810</v>
      </c>
      <c r="I4804" t="inlineStr">
        <is>
          <t>3.1</t>
        </is>
      </c>
      <c r="J4804" t="inlineStr">
        <is>
          <t>Ventas HoReCa</t>
        </is>
      </c>
      <c r="K4804" t="inlineStr">
        <is>
          <t>CH1</t>
        </is>
      </c>
    </row>
    <row r="4805">
      <c r="A4805" s="33" t="n">
        <v>46035</v>
      </c>
      <c r="B4805" t="inlineStr">
        <is>
          <t>2026-01</t>
        </is>
      </c>
      <c r="C4805" t="inlineStr">
        <is>
          <t>CAFÉ ROCAMAR LIMITADA</t>
        </is>
      </c>
      <c r="D4805" t="inlineStr">
        <is>
          <t>HORECA CAFETERIA</t>
        </is>
      </c>
      <c r="E4805" s="34" t="n">
        <v>103304</v>
      </c>
      <c r="F4805" t="inlineStr">
        <is>
          <t>F</t>
        </is>
      </c>
      <c r="G4805" s="34" t="n">
        <v>16494</v>
      </c>
      <c r="H4805" s="34" t="n">
        <v>86810</v>
      </c>
      <c r="I4805" t="inlineStr">
        <is>
          <t>3.1</t>
        </is>
      </c>
      <c r="J4805" t="inlineStr">
        <is>
          <t>Ventas HoReCa</t>
        </is>
      </c>
      <c r="K4805" t="inlineStr">
        <is>
          <t>CH1</t>
        </is>
      </c>
    </row>
    <row r="4806">
      <c r="A4806" s="33" t="n">
        <v>46035</v>
      </c>
      <c r="B4806" t="inlineStr">
        <is>
          <t>2026-01</t>
        </is>
      </c>
      <c r="C4806" t="inlineStr">
        <is>
          <t>MIYUKI YUYA</t>
        </is>
      </c>
      <c r="D4806" t="inlineStr">
        <is>
          <t>CANELE SIN AZUCAR</t>
        </is>
      </c>
      <c r="E4806" s="34" t="n">
        <v>12330</v>
      </c>
      <c r="F4806" t="inlineStr">
        <is>
          <t>B</t>
        </is>
      </c>
      <c r="G4806" s="34" t="n">
        <v>1969</v>
      </c>
      <c r="H4806" s="34" t="n">
        <v>10362</v>
      </c>
      <c r="I4806" t="inlineStr">
        <is>
          <t>3.2</t>
        </is>
      </c>
      <c r="J4806" t="inlineStr">
        <is>
          <t>Ventas Personas (B2C)</t>
        </is>
      </c>
      <c r="K4806" t="inlineStr">
        <is>
          <t>CH2</t>
        </is>
      </c>
    </row>
    <row r="4807">
      <c r="A4807" s="33" t="n">
        <v>46035</v>
      </c>
      <c r="B4807" t="inlineStr">
        <is>
          <t>2026-01</t>
        </is>
      </c>
      <c r="C4807" t="inlineStr">
        <is>
          <t>NACIÓN CAFÉ SPA</t>
        </is>
      </c>
      <c r="D4807" t="inlineStr">
        <is>
          <t>HORECA CAFETERIA</t>
        </is>
      </c>
      <c r="E4807" s="34" t="n">
        <v>73494</v>
      </c>
      <c r="F4807" t="inlineStr">
        <is>
          <t>F</t>
        </is>
      </c>
      <c r="G4807" s="34" t="n">
        <v>11734</v>
      </c>
      <c r="H4807" s="34" t="n">
        <v>61760</v>
      </c>
      <c r="I4807" t="inlineStr">
        <is>
          <t>3.1</t>
        </is>
      </c>
      <c r="J4807" t="inlineStr">
        <is>
          <t>Ventas HoReCa</t>
        </is>
      </c>
      <c r="K4807" t="inlineStr">
        <is>
          <t>CH1</t>
        </is>
      </c>
    </row>
    <row r="4808">
      <c r="A4808" s="33" t="n">
        <v>46035</v>
      </c>
      <c r="B4808" t="inlineStr">
        <is>
          <t>2026-01</t>
        </is>
      </c>
      <c r="C4808" t="inlineStr">
        <is>
          <t>Sin cliente</t>
        </is>
      </c>
      <c r="D4808" t="inlineStr">
        <is>
          <t>Rellenos</t>
        </is>
      </c>
      <c r="E4808" s="34" t="n">
        <v>34100</v>
      </c>
      <c r="F4808" t="inlineStr">
        <is>
          <t>B</t>
        </is>
      </c>
      <c r="G4808" s="34" t="n">
        <v>5445</v>
      </c>
      <c r="H4808" s="34" t="n">
        <v>28655</v>
      </c>
      <c r="I4808" t="inlineStr">
        <is>
          <t>3.2</t>
        </is>
      </c>
      <c r="J4808" t="inlineStr">
        <is>
          <t>Ventas Personas (B2C)</t>
        </is>
      </c>
      <c r="K4808" t="inlineStr">
        <is>
          <t>CH2</t>
        </is>
      </c>
    </row>
    <row r="4809">
      <c r="A4809" s="33" t="n">
        <v>46035</v>
      </c>
      <c r="B4809" t="inlineStr">
        <is>
          <t>2026-01</t>
        </is>
      </c>
      <c r="C4809" t="inlineStr">
        <is>
          <t>Sin cliente</t>
        </is>
      </c>
      <c r="D4809" t="inlineStr">
        <is>
          <t>CANELÉ TRADICIONAL</t>
        </is>
      </c>
      <c r="E4809" s="34" t="n">
        <v>2500</v>
      </c>
      <c r="F4809" t="inlineStr">
        <is>
          <t>B</t>
        </is>
      </c>
      <c r="G4809" s="34" t="n">
        <v>399</v>
      </c>
      <c r="H4809" s="34" t="n">
        <v>2101</v>
      </c>
      <c r="I4809" t="inlineStr">
        <is>
          <t>3.2</t>
        </is>
      </c>
      <c r="J4809" t="inlineStr">
        <is>
          <t>Ventas Personas (B2C)</t>
        </is>
      </c>
      <c r="K4809" t="inlineStr">
        <is>
          <t>CH2</t>
        </is>
      </c>
    </row>
    <row r="4810">
      <c r="A4810" s="33" t="n">
        <v>46035</v>
      </c>
      <c r="B4810" t="inlineStr">
        <is>
          <t>2026-01</t>
        </is>
      </c>
      <c r="C4810" t="inlineStr">
        <is>
          <t>Miguel Angel Farias Torres</t>
        </is>
      </c>
      <c r="D4810" t="inlineStr">
        <is>
          <t>Rellenos</t>
        </is>
      </c>
      <c r="E4810" s="34" t="n">
        <v>30390</v>
      </c>
      <c r="F4810" t="inlineStr">
        <is>
          <t>B</t>
        </is>
      </c>
      <c r="G4810" s="34" t="n">
        <v>4852</v>
      </c>
      <c r="H4810" s="34" t="n">
        <v>25538</v>
      </c>
      <c r="I4810" t="inlineStr">
        <is>
          <t>3.2</t>
        </is>
      </c>
      <c r="J4810" t="inlineStr">
        <is>
          <t>Ventas Personas (B2C)</t>
        </is>
      </c>
      <c r="K4810" t="inlineStr">
        <is>
          <t>CH2</t>
        </is>
      </c>
    </row>
    <row r="4811">
      <c r="A4811" s="33" t="n">
        <v>46035</v>
      </c>
      <c r="B4811" t="inlineStr">
        <is>
          <t>2026-01</t>
        </is>
      </c>
      <c r="C4811" t="inlineStr">
        <is>
          <t>Sin cliente</t>
        </is>
      </c>
      <c r="D4811" t="inlineStr">
        <is>
          <t>CANELÉ TRADICIONAL</t>
        </is>
      </c>
      <c r="E4811" s="34" t="n">
        <v>7500</v>
      </c>
      <c r="F4811" t="inlineStr">
        <is>
          <t>B</t>
        </is>
      </c>
      <c r="G4811" s="34" t="n">
        <v>1197</v>
      </c>
      <c r="H4811" s="34" t="n">
        <v>6303</v>
      </c>
      <c r="I4811" t="inlineStr">
        <is>
          <t>3.2</t>
        </is>
      </c>
      <c r="J4811" t="inlineStr">
        <is>
          <t>Ventas Personas (B2C)</t>
        </is>
      </c>
      <c r="K4811" t="inlineStr">
        <is>
          <t>CH2</t>
        </is>
      </c>
    </row>
    <row r="4812">
      <c r="A4812" s="33" t="n">
        <v>46035</v>
      </c>
      <c r="B4812" t="inlineStr">
        <is>
          <t>2026-01</t>
        </is>
      </c>
      <c r="C4812" t="inlineStr">
        <is>
          <t>Importadora y comercializadora Origenes SPA</t>
        </is>
      </c>
      <c r="D4812" t="inlineStr">
        <is>
          <t>HORECA CAFETERIA</t>
        </is>
      </c>
      <c r="E4812" s="34" t="n">
        <v>103304</v>
      </c>
      <c r="F4812" t="inlineStr">
        <is>
          <t>F</t>
        </is>
      </c>
      <c r="G4812" s="34" t="n">
        <v>16494</v>
      </c>
      <c r="H4812" s="34" t="n">
        <v>86810</v>
      </c>
      <c r="I4812" t="inlineStr">
        <is>
          <t>3.1</t>
        </is>
      </c>
      <c r="J4812" t="inlineStr">
        <is>
          <t>Ventas HoReCa</t>
        </is>
      </c>
      <c r="K4812" t="inlineStr">
        <is>
          <t>CH1</t>
        </is>
      </c>
    </row>
    <row r="4813">
      <c r="A4813" s="33" t="n">
        <v>46035</v>
      </c>
      <c r="B4813" t="inlineStr">
        <is>
          <t>2026-01</t>
        </is>
      </c>
      <c r="C4813" t="inlineStr">
        <is>
          <t>Sin cliente</t>
        </is>
      </c>
      <c r="D4813" t="inlineStr">
        <is>
          <t>CANELÉ TRADICIONAL</t>
        </is>
      </c>
      <c r="E4813" s="34" t="n">
        <v>21500</v>
      </c>
      <c r="F4813" t="inlineStr">
        <is>
          <t>B</t>
        </is>
      </c>
      <c r="G4813" s="34" t="n">
        <v>3433</v>
      </c>
      <c r="H4813" s="34" t="n">
        <v>18067</v>
      </c>
      <c r="I4813" t="inlineStr">
        <is>
          <t>3.2</t>
        </is>
      </c>
      <c r="J4813" t="inlineStr">
        <is>
          <t>Ventas Personas (B2C)</t>
        </is>
      </c>
      <c r="K4813" t="inlineStr">
        <is>
          <t>CH2</t>
        </is>
      </c>
    </row>
    <row r="4814">
      <c r="A4814" s="33" t="n">
        <v>46035</v>
      </c>
      <c r="B4814" t="inlineStr">
        <is>
          <t>2026-01</t>
        </is>
      </c>
      <c r="C4814" t="inlineStr">
        <is>
          <t>Sin cliente</t>
        </is>
      </c>
      <c r="D4814" t="inlineStr">
        <is>
          <t>PLATAFORMAS RAP-PEYA-UBER-GOOD</t>
        </is>
      </c>
      <c r="E4814" s="34" t="n">
        <v>25080</v>
      </c>
      <c r="F4814" t="inlineStr">
        <is>
          <t>B</t>
        </is>
      </c>
      <c r="G4814" s="34" t="n">
        <v>4004</v>
      </c>
      <c r="H4814" s="34" t="n">
        <v>21076</v>
      </c>
      <c r="I4814" t="inlineStr">
        <is>
          <t>3.6</t>
        </is>
      </c>
      <c r="J4814" t="inlineStr">
        <is>
          <t>Ventas Delivery Apps</t>
        </is>
      </c>
      <c r="K4814" t="inlineStr">
        <is>
          <t>CH3</t>
        </is>
      </c>
    </row>
    <row r="4815">
      <c r="A4815" s="33" t="n">
        <v>46035</v>
      </c>
      <c r="B4815" t="inlineStr">
        <is>
          <t>2026-01</t>
        </is>
      </c>
      <c r="C4815" t="inlineStr">
        <is>
          <t>Sin cliente</t>
        </is>
      </c>
      <c r="D4815" t="inlineStr">
        <is>
          <t>PLATAFORMAS RAP-PEYA-UBER-GOOD</t>
        </is>
      </c>
      <c r="E4815" s="34" t="n">
        <v>42348</v>
      </c>
      <c r="F4815" t="inlineStr">
        <is>
          <t>B</t>
        </is>
      </c>
      <c r="G4815" s="34" t="n">
        <v>6761</v>
      </c>
      <c r="H4815" s="34" t="n">
        <v>35587</v>
      </c>
      <c r="I4815" t="inlineStr">
        <is>
          <t>3.6</t>
        </is>
      </c>
      <c r="J4815" t="inlineStr">
        <is>
          <t>Ventas Delivery Apps</t>
        </is>
      </c>
      <c r="K4815" t="inlineStr">
        <is>
          <t>CH3</t>
        </is>
      </c>
    </row>
    <row r="4816">
      <c r="A4816" s="33" t="n">
        <v>46035</v>
      </c>
      <c r="B4816" t="inlineStr">
        <is>
          <t>2026-01</t>
        </is>
      </c>
      <c r="C4816" t="inlineStr">
        <is>
          <t>Sin cliente</t>
        </is>
      </c>
      <c r="D4816" t="inlineStr">
        <is>
          <t>Delicatessen</t>
        </is>
      </c>
      <c r="E4816" s="34" t="n">
        <v>4900</v>
      </c>
      <c r="F4816" t="inlineStr">
        <is>
          <t>B</t>
        </is>
      </c>
      <c r="G4816" s="34" t="n">
        <v>782</v>
      </c>
      <c r="H4816" s="34" t="n">
        <v>4118</v>
      </c>
      <c r="I4816" t="inlineStr">
        <is>
          <t>3.2</t>
        </is>
      </c>
      <c r="J4816" t="inlineStr">
        <is>
          <t>Ventas Personas (B2C)</t>
        </is>
      </c>
      <c r="K4816" t="inlineStr">
        <is>
          <t>CH2</t>
        </is>
      </c>
    </row>
    <row r="4817">
      <c r="A4817" s="33" t="n">
        <v>46035</v>
      </c>
      <c r="B4817" t="inlineStr">
        <is>
          <t>2026-01</t>
        </is>
      </c>
      <c r="C4817" t="inlineStr">
        <is>
          <t>Constanza Lago Araneda</t>
        </is>
      </c>
      <c r="D4817" t="inlineStr">
        <is>
          <t>PACKAGING</t>
        </is>
      </c>
      <c r="E4817" s="34" t="n">
        <v>15800</v>
      </c>
      <c r="F4817" t="inlineStr">
        <is>
          <t>B</t>
        </is>
      </c>
      <c r="G4817" s="34" t="n">
        <v>2523</v>
      </c>
      <c r="H4817" s="34" t="n">
        <v>13277</v>
      </c>
      <c r="I4817" t="inlineStr">
        <is>
          <t>3.2</t>
        </is>
      </c>
      <c r="J4817" t="inlineStr">
        <is>
          <t>Ventas Personas (B2C)</t>
        </is>
      </c>
      <c r="K4817" t="inlineStr">
        <is>
          <t>CH2</t>
        </is>
      </c>
    </row>
    <row r="4818">
      <c r="A4818" s="33" t="n">
        <v>46035</v>
      </c>
      <c r="B4818" t="inlineStr">
        <is>
          <t>2026-01</t>
        </is>
      </c>
      <c r="C4818" t="inlineStr">
        <is>
          <t>Sin cliente</t>
        </is>
      </c>
      <c r="D4818" t="inlineStr">
        <is>
          <t>PLATAFORMAS RAP-PEYA-UBER-GOOD</t>
        </is>
      </c>
      <c r="E4818" s="34" t="n">
        <v>56028</v>
      </c>
      <c r="F4818" t="inlineStr">
        <is>
          <t>B</t>
        </is>
      </c>
      <c r="G4818" s="34" t="n">
        <v>8946</v>
      </c>
      <c r="H4818" s="34" t="n">
        <v>47082</v>
      </c>
      <c r="I4818" t="inlineStr">
        <is>
          <t>3.6</t>
        </is>
      </c>
      <c r="J4818" t="inlineStr">
        <is>
          <t>Ventas Delivery Apps</t>
        </is>
      </c>
      <c r="K4818" t="inlineStr">
        <is>
          <t>CH3</t>
        </is>
      </c>
    </row>
    <row r="4819">
      <c r="A4819" s="33" t="n">
        <v>46035</v>
      </c>
      <c r="B4819" t="inlineStr">
        <is>
          <t>2026-01</t>
        </is>
      </c>
      <c r="C4819" t="inlineStr">
        <is>
          <t>Loreto Massanes</t>
        </is>
      </c>
      <c r="D4819" t="inlineStr">
        <is>
          <t>Petit Tradicional</t>
        </is>
      </c>
      <c r="E4819" s="34" t="n">
        <v>36290</v>
      </c>
      <c r="F4819" t="inlineStr">
        <is>
          <t>B</t>
        </is>
      </c>
      <c r="G4819" s="34" t="n">
        <v>5794</v>
      </c>
      <c r="H4819" s="34" t="n">
        <v>30496</v>
      </c>
      <c r="I4819" t="inlineStr">
        <is>
          <t>3.2</t>
        </is>
      </c>
      <c r="J4819" t="inlineStr">
        <is>
          <t>Ventas Personas (B2C)</t>
        </is>
      </c>
      <c r="K4819" t="inlineStr">
        <is>
          <t>CH2</t>
        </is>
      </c>
    </row>
    <row r="4820">
      <c r="A4820" s="33" t="n">
        <v>46036</v>
      </c>
      <c r="B4820" t="inlineStr">
        <is>
          <t>2026-01</t>
        </is>
      </c>
      <c r="C4820" t="inlineStr">
        <is>
          <t>CAFE DIARIO ENCOMENDEROS SPA</t>
        </is>
      </c>
      <c r="D4820" t="inlineStr">
        <is>
          <t>HORECA CAFETERIA</t>
        </is>
      </c>
      <c r="E4820" s="34" t="n">
        <v>108380</v>
      </c>
      <c r="F4820" t="inlineStr">
        <is>
          <t>F</t>
        </is>
      </c>
      <c r="G4820" s="34" t="n">
        <v>17304</v>
      </c>
      <c r="H4820" s="34" t="n">
        <v>91076</v>
      </c>
      <c r="I4820" t="inlineStr">
        <is>
          <t>3.1</t>
        </is>
      </c>
      <c r="J4820" t="inlineStr">
        <is>
          <t>Ventas HoReCa</t>
        </is>
      </c>
      <c r="K4820" t="inlineStr">
        <is>
          <t>CH1</t>
        </is>
      </c>
    </row>
    <row r="4821">
      <c r="A4821" s="33" t="n">
        <v>46036</v>
      </c>
      <c r="B4821" t="inlineStr">
        <is>
          <t>2026-01</t>
        </is>
      </c>
      <c r="C4821" t="inlineStr">
        <is>
          <t>Inversiones Nagua SPA</t>
        </is>
      </c>
      <c r="D4821" t="inlineStr">
        <is>
          <t>HORECA CAFETERIA</t>
        </is>
      </c>
      <c r="E4821" s="34" t="n">
        <v>71210</v>
      </c>
      <c r="F4821" t="inlineStr">
        <is>
          <t>F</t>
        </is>
      </c>
      <c r="G4821" s="34" t="n">
        <v>11370</v>
      </c>
      <c r="H4821" s="34" t="n">
        <v>59840</v>
      </c>
      <c r="I4821" t="inlineStr">
        <is>
          <t>3.1</t>
        </is>
      </c>
      <c r="J4821" t="inlineStr">
        <is>
          <t>Ventas HoReCa</t>
        </is>
      </c>
      <c r="K4821" t="inlineStr">
        <is>
          <t>CH1</t>
        </is>
      </c>
    </row>
    <row r="4822">
      <c r="A4822" s="33" t="n">
        <v>46036</v>
      </c>
      <c r="B4822" t="inlineStr">
        <is>
          <t>2026-01</t>
        </is>
      </c>
      <c r="C4822" t="inlineStr">
        <is>
          <t>BLUE OAK COFFE SPA</t>
        </is>
      </c>
      <c r="D4822" t="inlineStr">
        <is>
          <t>HORECA CAFETERIA</t>
        </is>
      </c>
      <c r="E4822" s="34" t="n">
        <v>39115</v>
      </c>
      <c r="F4822" t="inlineStr">
        <is>
          <t>F</t>
        </is>
      </c>
      <c r="G4822" s="34" t="n">
        <v>6245</v>
      </c>
      <c r="H4822" s="34" t="n">
        <v>32870</v>
      </c>
      <c r="I4822" t="inlineStr">
        <is>
          <t>3.1</t>
        </is>
      </c>
      <c r="J4822" t="inlineStr">
        <is>
          <t>Ventas HoReCa</t>
        </is>
      </c>
      <c r="K4822" t="inlineStr">
        <is>
          <t>CH1</t>
        </is>
      </c>
    </row>
    <row r="4823">
      <c r="A4823" s="33" t="n">
        <v>46036</v>
      </c>
      <c r="B4823" t="inlineStr">
        <is>
          <t>2026-01</t>
        </is>
      </c>
      <c r="C4823" t="inlineStr">
        <is>
          <t>Sociedad de inversiones solari y acuña spa</t>
        </is>
      </c>
      <c r="D4823" t="inlineStr">
        <is>
          <t>HORECA CAFETERIA</t>
        </is>
      </c>
      <c r="E4823" s="34" t="n">
        <v>87763</v>
      </c>
      <c r="F4823" t="inlineStr">
        <is>
          <t>F</t>
        </is>
      </c>
      <c r="G4823" s="34" t="n">
        <v>14013</v>
      </c>
      <c r="H4823" s="34" t="n">
        <v>73750</v>
      </c>
      <c r="I4823" t="inlineStr">
        <is>
          <t>3.1</t>
        </is>
      </c>
      <c r="J4823" t="inlineStr">
        <is>
          <t>Ventas HoReCa</t>
        </is>
      </c>
      <c r="K4823" t="inlineStr">
        <is>
          <t>CH1</t>
        </is>
      </c>
    </row>
    <row r="4824">
      <c r="A4824" s="33" t="n">
        <v>46036</v>
      </c>
      <c r="B4824" t="inlineStr">
        <is>
          <t>2026-01</t>
        </is>
      </c>
      <c r="C4824" t="inlineStr">
        <is>
          <t>Sociedad de inversiones solari y acuña spa</t>
        </is>
      </c>
      <c r="D4824" t="inlineStr">
        <is>
          <t>HORECA CAFETERIA</t>
        </is>
      </c>
      <c r="E4824" s="34" t="n">
        <v>39115</v>
      </c>
      <c r="F4824" t="inlineStr">
        <is>
          <t>F</t>
        </is>
      </c>
      <c r="G4824" s="34" t="n">
        <v>6245</v>
      </c>
      <c r="H4824" s="34" t="n">
        <v>32870</v>
      </c>
      <c r="I4824" t="inlineStr">
        <is>
          <t>3.1</t>
        </is>
      </c>
      <c r="J4824" t="inlineStr">
        <is>
          <t>Ventas HoReCa</t>
        </is>
      </c>
      <c r="K4824" t="inlineStr">
        <is>
          <t>CH1</t>
        </is>
      </c>
    </row>
    <row r="4825">
      <c r="A4825" s="33" t="n">
        <v>46036</v>
      </c>
      <c r="B4825" t="inlineStr">
        <is>
          <t>2026-01</t>
        </is>
      </c>
      <c r="C4825" t="inlineStr">
        <is>
          <t>Maria Castillo</t>
        </is>
      </c>
      <c r="D4825" t="inlineStr">
        <is>
          <t>Petit Tradicional</t>
        </is>
      </c>
      <c r="E4825" s="34" t="n">
        <v>31800</v>
      </c>
      <c r="F4825" t="inlineStr">
        <is>
          <t>B</t>
        </is>
      </c>
      <c r="G4825" s="34" t="n">
        <v>5077</v>
      </c>
      <c r="H4825" s="34" t="n">
        <v>26723</v>
      </c>
      <c r="I4825" t="inlineStr">
        <is>
          <t>3.2</t>
        </is>
      </c>
      <c r="J4825" t="inlineStr">
        <is>
          <t>Ventas Personas (B2C)</t>
        </is>
      </c>
      <c r="K4825" t="inlineStr">
        <is>
          <t>CH2</t>
        </is>
      </c>
    </row>
    <row r="4826">
      <c r="A4826" s="33" t="n">
        <v>46036</v>
      </c>
      <c r="B4826" t="inlineStr">
        <is>
          <t>2026-01</t>
        </is>
      </c>
      <c r="C4826" t="inlineStr">
        <is>
          <t>Maria Toscano</t>
        </is>
      </c>
      <c r="D4826" t="inlineStr">
        <is>
          <t>CANELE SIN AZUCAR</t>
        </is>
      </c>
      <c r="E4826" s="34" t="n">
        <v>20290</v>
      </c>
      <c r="F4826" t="inlineStr">
        <is>
          <t>B</t>
        </is>
      </c>
      <c r="G4826" s="34" t="n">
        <v>3240</v>
      </c>
      <c r="H4826" s="34" t="n">
        <v>17050</v>
      </c>
      <c r="I4826" t="inlineStr">
        <is>
          <t>3.2</t>
        </is>
      </c>
      <c r="J4826" t="inlineStr">
        <is>
          <t>Ventas Personas (B2C)</t>
        </is>
      </c>
      <c r="K4826" t="inlineStr">
        <is>
          <t>CH2</t>
        </is>
      </c>
    </row>
    <row r="4827">
      <c r="A4827" s="33" t="n">
        <v>46036</v>
      </c>
      <c r="B4827" t="inlineStr">
        <is>
          <t>2026-01</t>
        </is>
      </c>
      <c r="C4827" t="inlineStr">
        <is>
          <t>BLUE OAK COFFE SPA</t>
        </is>
      </c>
      <c r="D4827" t="inlineStr">
        <is>
          <t>HORECA CAFETERIA</t>
        </is>
      </c>
      <c r="E4827" s="34" t="n">
        <v>16553</v>
      </c>
      <c r="F4827" t="inlineStr">
        <is>
          <t>F</t>
        </is>
      </c>
      <c r="G4827" s="34" t="n">
        <v>2643</v>
      </c>
      <c r="H4827" s="34" t="n">
        <v>13910</v>
      </c>
      <c r="I4827" t="inlineStr">
        <is>
          <t>3.1</t>
        </is>
      </c>
      <c r="J4827" t="inlineStr">
        <is>
          <t>Ventas HoReCa</t>
        </is>
      </c>
      <c r="K4827" t="inlineStr">
        <is>
          <t>CH1</t>
        </is>
      </c>
    </row>
    <row r="4828">
      <c r="A4828" s="33" t="n">
        <v>46036</v>
      </c>
      <c r="B4828" t="inlineStr">
        <is>
          <t>2026-01</t>
        </is>
      </c>
      <c r="C4828" t="inlineStr">
        <is>
          <t>Sin cliente</t>
        </is>
      </c>
      <c r="D4828" t="inlineStr">
        <is>
          <t>Rellenos</t>
        </is>
      </c>
      <c r="E4828" s="34" t="n">
        <v>36800</v>
      </c>
      <c r="F4828" t="inlineStr">
        <is>
          <t>B</t>
        </is>
      </c>
      <c r="G4828" s="34" t="n">
        <v>5876</v>
      </c>
      <c r="H4828" s="34" t="n">
        <v>30924</v>
      </c>
      <c r="I4828" t="inlineStr">
        <is>
          <t>3.2</t>
        </is>
      </c>
      <c r="J4828" t="inlineStr">
        <is>
          <t>Ventas Personas (B2C)</t>
        </is>
      </c>
      <c r="K4828" t="inlineStr">
        <is>
          <t>CH2</t>
        </is>
      </c>
    </row>
    <row r="4829">
      <c r="A4829" s="33" t="n">
        <v>46036</v>
      </c>
      <c r="B4829" t="inlineStr">
        <is>
          <t>2026-01</t>
        </is>
      </c>
      <c r="C4829" t="inlineStr">
        <is>
          <t>Sofia Aicairdi Guzman</t>
        </is>
      </c>
      <c r="D4829" t="inlineStr">
        <is>
          <t>Petit Tradicional</t>
        </is>
      </c>
      <c r="E4829" s="34" t="n">
        <v>31800</v>
      </c>
      <c r="F4829" t="inlineStr">
        <is>
          <t>B</t>
        </is>
      </c>
      <c r="G4829" s="34" t="n">
        <v>5077</v>
      </c>
      <c r="H4829" s="34" t="n">
        <v>26723</v>
      </c>
      <c r="I4829" t="inlineStr">
        <is>
          <t>3.2</t>
        </is>
      </c>
      <c r="J4829" t="inlineStr">
        <is>
          <t>Ventas Personas (B2C)</t>
        </is>
      </c>
      <c r="K4829" t="inlineStr">
        <is>
          <t>CH2</t>
        </is>
      </c>
    </row>
    <row r="4830">
      <c r="A4830" s="33" t="n">
        <v>46036</v>
      </c>
      <c r="B4830" t="inlineStr">
        <is>
          <t>2026-01</t>
        </is>
      </c>
      <c r="C4830" t="inlineStr">
        <is>
          <t>CONSTRUCTORA CUEVAS Y PURCELL S.A.</t>
        </is>
      </c>
      <c r="D4830" t="inlineStr">
        <is>
          <t>Petit Crunchy</t>
        </is>
      </c>
      <c r="E4830" s="34" t="n">
        <v>42921</v>
      </c>
      <c r="F4830" t="inlineStr">
        <is>
          <t>F</t>
        </is>
      </c>
      <c r="G4830" s="34" t="n">
        <v>6853</v>
      </c>
      <c r="H4830" s="34" t="n">
        <v>36068</v>
      </c>
      <c r="I4830" t="inlineStr">
        <is>
          <t>3.1</t>
        </is>
      </c>
      <c r="J4830" t="inlineStr">
        <is>
          <t>Ventas HoReCa</t>
        </is>
      </c>
      <c r="K4830" t="inlineStr">
        <is>
          <t>CH1</t>
        </is>
      </c>
    </row>
    <row r="4831">
      <c r="A4831" s="33" t="n">
        <v>46036</v>
      </c>
      <c r="B4831" t="inlineStr">
        <is>
          <t>2026-01</t>
        </is>
      </c>
      <c r="C4831" t="inlineStr">
        <is>
          <t>Sin cliente</t>
        </is>
      </c>
      <c r="D4831" t="inlineStr">
        <is>
          <t>PLATAFORMAS RAP-PEYA-UBER-GOOD</t>
        </is>
      </c>
      <c r="E4831" s="34" t="n">
        <v>38160</v>
      </c>
      <c r="F4831" t="inlineStr">
        <is>
          <t>B</t>
        </is>
      </c>
      <c r="G4831" s="34" t="n">
        <v>6093</v>
      </c>
      <c r="H4831" s="34" t="n">
        <v>32067</v>
      </c>
      <c r="I4831" t="inlineStr">
        <is>
          <t>3.6</t>
        </is>
      </c>
      <c r="J4831" t="inlineStr">
        <is>
          <t>Ventas Delivery Apps</t>
        </is>
      </c>
      <c r="K4831" t="inlineStr">
        <is>
          <t>CH3</t>
        </is>
      </c>
    </row>
    <row r="4832">
      <c r="A4832" s="33" t="n">
        <v>46036</v>
      </c>
      <c r="B4832" t="inlineStr">
        <is>
          <t>2026-01</t>
        </is>
      </c>
      <c r="C4832" t="inlineStr">
        <is>
          <t>Marisol Valencia Moya</t>
        </is>
      </c>
      <c r="D4832" t="inlineStr">
        <is>
          <t>Rellenos</t>
        </is>
      </c>
      <c r="E4832" s="34" t="n">
        <v>90690</v>
      </c>
      <c r="F4832" t="inlineStr">
        <is>
          <t>B</t>
        </is>
      </c>
      <c r="G4832" s="34" t="n">
        <v>14480</v>
      </c>
      <c r="H4832" s="34" t="n">
        <v>76211</v>
      </c>
      <c r="I4832" t="inlineStr">
        <is>
          <t>3.2</t>
        </is>
      </c>
      <c r="J4832" t="inlineStr">
        <is>
          <t>Ventas Personas (B2C)</t>
        </is>
      </c>
      <c r="K4832" t="inlineStr">
        <is>
          <t>CH2</t>
        </is>
      </c>
    </row>
    <row r="4833">
      <c r="A4833" s="33" t="n">
        <v>46036</v>
      </c>
      <c r="B4833" t="inlineStr">
        <is>
          <t>2026-01</t>
        </is>
      </c>
      <c r="C4833" t="inlineStr">
        <is>
          <t>Sergio Valdivieso Cifuentes</t>
        </is>
      </c>
      <c r="D4833" t="inlineStr">
        <is>
          <t>Rellenos</t>
        </is>
      </c>
      <c r="E4833" s="34" t="n">
        <v>38390</v>
      </c>
      <c r="F4833" t="inlineStr">
        <is>
          <t>B</t>
        </is>
      </c>
      <c r="G4833" s="34" t="n">
        <v>6129</v>
      </c>
      <c r="H4833" s="34" t="n">
        <v>32260</v>
      </c>
      <c r="I4833" t="inlineStr">
        <is>
          <t>3.2</t>
        </is>
      </c>
      <c r="J4833" t="inlineStr">
        <is>
          <t>Ventas Personas (B2C)</t>
        </is>
      </c>
      <c r="K4833" t="inlineStr">
        <is>
          <t>CH2</t>
        </is>
      </c>
    </row>
    <row r="4834">
      <c r="A4834" s="33" t="n">
        <v>46036</v>
      </c>
      <c r="B4834" t="inlineStr">
        <is>
          <t>2026-01</t>
        </is>
      </c>
      <c r="C4834" t="inlineStr">
        <is>
          <t>Sin cliente</t>
        </is>
      </c>
      <c r="D4834" t="inlineStr">
        <is>
          <t>PLATAFORMAS RAP-PEYA-UBER-GOOD</t>
        </is>
      </c>
      <c r="E4834" s="34" t="n">
        <v>16560</v>
      </c>
      <c r="F4834" t="inlineStr">
        <is>
          <t>B</t>
        </is>
      </c>
      <c r="G4834" s="34" t="n">
        <v>2644</v>
      </c>
      <c r="H4834" s="34" t="n">
        <v>13916</v>
      </c>
      <c r="I4834" t="inlineStr">
        <is>
          <t>3.6</t>
        </is>
      </c>
      <c r="J4834" t="inlineStr">
        <is>
          <t>Ventas Delivery Apps</t>
        </is>
      </c>
      <c r="K4834" t="inlineStr">
        <is>
          <t>CH3</t>
        </is>
      </c>
    </row>
    <row r="4835">
      <c r="A4835" s="33" t="n">
        <v>46036</v>
      </c>
      <c r="B4835" t="inlineStr">
        <is>
          <t>2026-01</t>
        </is>
      </c>
      <c r="C4835" t="inlineStr">
        <is>
          <t>Sin cliente</t>
        </is>
      </c>
      <c r="D4835" t="inlineStr">
        <is>
          <t>Rellenos</t>
        </is>
      </c>
      <c r="E4835" s="34" t="n">
        <v>36800</v>
      </c>
      <c r="F4835" t="inlineStr">
        <is>
          <t>B</t>
        </is>
      </c>
      <c r="G4835" s="34" t="n">
        <v>5876</v>
      </c>
      <c r="H4835" s="34" t="n">
        <v>30924</v>
      </c>
      <c r="I4835" t="inlineStr">
        <is>
          <t>3.2</t>
        </is>
      </c>
      <c r="J4835" t="inlineStr">
        <is>
          <t>Ventas Personas (B2C)</t>
        </is>
      </c>
      <c r="K4835" t="inlineStr">
        <is>
          <t>CH2</t>
        </is>
      </c>
    </row>
    <row r="4836">
      <c r="A4836" s="33" t="n">
        <v>46036</v>
      </c>
      <c r="B4836" t="inlineStr">
        <is>
          <t>2026-01</t>
        </is>
      </c>
      <c r="C4836" t="inlineStr">
        <is>
          <t>Guy cliente</t>
        </is>
      </c>
      <c r="D4836" t="inlineStr">
        <is>
          <t>Petit Crunchy</t>
        </is>
      </c>
      <c r="E4836" s="34" t="n">
        <v>10900</v>
      </c>
      <c r="F4836" t="inlineStr">
        <is>
          <t>B</t>
        </is>
      </c>
      <c r="G4836" s="34" t="n">
        <v>1740</v>
      </c>
      <c r="H4836" s="34" t="n">
        <v>9160</v>
      </c>
      <c r="I4836" t="inlineStr">
        <is>
          <t>3.2</t>
        </is>
      </c>
      <c r="J4836" t="inlineStr">
        <is>
          <t>Ventas Personas (B2C)</t>
        </is>
      </c>
      <c r="K4836" t="inlineStr">
        <is>
          <t>CH2</t>
        </is>
      </c>
    </row>
    <row r="4837">
      <c r="A4837" s="33" t="n">
        <v>46036</v>
      </c>
      <c r="B4837" t="inlineStr">
        <is>
          <t>2026-01</t>
        </is>
      </c>
      <c r="C4837" t="inlineStr">
        <is>
          <t>Sin cliente</t>
        </is>
      </c>
      <c r="D4837" t="inlineStr">
        <is>
          <t>Rellenos</t>
        </is>
      </c>
      <c r="E4837" s="34" t="n">
        <v>7000</v>
      </c>
      <c r="F4837" t="inlineStr">
        <is>
          <t>B</t>
        </is>
      </c>
      <c r="G4837" s="34" t="n">
        <v>1118</v>
      </c>
      <c r="H4837" s="34" t="n">
        <v>5882</v>
      </c>
      <c r="I4837" t="inlineStr">
        <is>
          <t>3.2</t>
        </is>
      </c>
      <c r="J4837" t="inlineStr">
        <is>
          <t>Ventas Personas (B2C)</t>
        </is>
      </c>
      <c r="K4837" t="inlineStr">
        <is>
          <t>CH2</t>
        </is>
      </c>
    </row>
    <row r="4838">
      <c r="A4838" s="33" t="n">
        <v>46036</v>
      </c>
      <c r="B4838" t="inlineStr">
        <is>
          <t>2026-01</t>
        </is>
      </c>
      <c r="C4838" t="inlineStr">
        <is>
          <t>Sin cliente</t>
        </is>
      </c>
      <c r="D4838" t="inlineStr">
        <is>
          <t>Cafeteria Geronimo</t>
        </is>
      </c>
      <c r="E4838" s="34" t="n">
        <v>2000</v>
      </c>
      <c r="F4838" t="inlineStr">
        <is>
          <t>B</t>
        </is>
      </c>
      <c r="G4838" s="34" t="n">
        <v>319</v>
      </c>
      <c r="H4838" s="34" t="n">
        <v>1681</v>
      </c>
      <c r="I4838" t="inlineStr">
        <is>
          <t>3.2</t>
        </is>
      </c>
      <c r="J4838" t="inlineStr">
        <is>
          <t>Ventas Personas (B2C)</t>
        </is>
      </c>
      <c r="K4838" t="inlineStr">
        <is>
          <t>CH2</t>
        </is>
      </c>
    </row>
    <row r="4839">
      <c r="A4839" s="33" t="n">
        <v>46036</v>
      </c>
      <c r="B4839" t="inlineStr">
        <is>
          <t>2026-01</t>
        </is>
      </c>
      <c r="C4839" t="inlineStr">
        <is>
          <t>Sin cliente</t>
        </is>
      </c>
      <c r="D4839" t="inlineStr">
        <is>
          <t>Cafeteria Geronimo</t>
        </is>
      </c>
      <c r="E4839" s="34" t="n">
        <v>2000</v>
      </c>
      <c r="F4839" t="inlineStr">
        <is>
          <t>B</t>
        </is>
      </c>
      <c r="G4839" s="34" t="n">
        <v>319</v>
      </c>
      <c r="H4839" s="34" t="n">
        <v>1681</v>
      </c>
      <c r="I4839" t="inlineStr">
        <is>
          <t>3.2</t>
        </is>
      </c>
      <c r="J4839" t="inlineStr">
        <is>
          <t>Ventas Personas (B2C)</t>
        </is>
      </c>
      <c r="K4839" t="inlineStr">
        <is>
          <t>CH2</t>
        </is>
      </c>
    </row>
    <row r="4840">
      <c r="A4840" s="33" t="n">
        <v>46036</v>
      </c>
      <c r="B4840" t="inlineStr">
        <is>
          <t>2026-01</t>
        </is>
      </c>
      <c r="C4840" t="inlineStr">
        <is>
          <t>Sin cliente</t>
        </is>
      </c>
      <c r="D4840" t="inlineStr">
        <is>
          <t>CANELÉ TRADICIONAL</t>
        </is>
      </c>
      <c r="E4840" s="34" t="n">
        <v>29300</v>
      </c>
      <c r="F4840" t="inlineStr">
        <is>
          <t>B</t>
        </is>
      </c>
      <c r="G4840" s="34" t="n">
        <v>4678</v>
      </c>
      <c r="H4840" s="34" t="n">
        <v>24622</v>
      </c>
      <c r="I4840" t="inlineStr">
        <is>
          <t>3.2</t>
        </is>
      </c>
      <c r="J4840" t="inlineStr">
        <is>
          <t>Ventas Personas (B2C)</t>
        </is>
      </c>
      <c r="K4840" t="inlineStr">
        <is>
          <t>CH2</t>
        </is>
      </c>
    </row>
    <row r="4841">
      <c r="A4841" s="33" t="n">
        <v>46036</v>
      </c>
      <c r="B4841" t="inlineStr">
        <is>
          <t>2026-01</t>
        </is>
      </c>
      <c r="C4841" t="inlineStr">
        <is>
          <t>Sin cliente</t>
        </is>
      </c>
      <c r="D4841" t="inlineStr">
        <is>
          <t>Glosa 12 petit crunchy - plataformas</t>
        </is>
      </c>
      <c r="E4841" s="34" t="n">
        <v>7740</v>
      </c>
      <c r="F4841" t="inlineStr">
        <is>
          <t>B</t>
        </is>
      </c>
      <c r="G4841" s="34" t="n">
        <v>1236</v>
      </c>
      <c r="H4841" s="34" t="n">
        <v>6504</v>
      </c>
      <c r="I4841" t="inlineStr">
        <is>
          <t>3.2</t>
        </is>
      </c>
      <c r="J4841" t="inlineStr">
        <is>
          <t>Ventas Personas (B2C)</t>
        </is>
      </c>
      <c r="K4841" t="inlineStr">
        <is>
          <t>CH2</t>
        </is>
      </c>
    </row>
    <row r="4842">
      <c r="A4842" s="33" t="n">
        <v>46037</v>
      </c>
      <c r="B4842" t="inlineStr">
        <is>
          <t>2026-01</t>
        </is>
      </c>
      <c r="C4842" t="inlineStr">
        <is>
          <t>Better Food Spa</t>
        </is>
      </c>
      <c r="D4842" t="inlineStr">
        <is>
          <t>HORECA CAFETERIA</t>
        </is>
      </c>
      <c r="E4842" s="34" t="n">
        <v>417226</v>
      </c>
      <c r="F4842" t="inlineStr">
        <is>
          <t>F</t>
        </is>
      </c>
      <c r="G4842" s="34" t="n">
        <v>66616</v>
      </c>
      <c r="H4842" s="34" t="n">
        <v>350610</v>
      </c>
      <c r="I4842" t="inlineStr">
        <is>
          <t>3.1</t>
        </is>
      </c>
      <c r="J4842" t="inlineStr">
        <is>
          <t>Ventas HoReCa</t>
        </is>
      </c>
      <c r="K4842" t="inlineStr">
        <is>
          <t>CH1</t>
        </is>
      </c>
    </row>
    <row r="4843">
      <c r="A4843" s="33" t="n">
        <v>46037</v>
      </c>
      <c r="B4843" t="inlineStr">
        <is>
          <t>2026-01</t>
        </is>
      </c>
      <c r="C4843" t="inlineStr">
        <is>
          <t>Better Food Spa</t>
        </is>
      </c>
      <c r="D4843" t="inlineStr">
        <is>
          <t>REGION METROPOLITANA</t>
        </is>
      </c>
      <c r="E4843" s="34" t="n">
        <v>9401</v>
      </c>
      <c r="F4843" t="inlineStr">
        <is>
          <t>F</t>
        </is>
      </c>
      <c r="G4843" s="34" t="n">
        <v>1501</v>
      </c>
      <c r="H4843" s="34" t="n">
        <v>7900</v>
      </c>
      <c r="I4843" t="inlineStr">
        <is>
          <t>3.1</t>
        </is>
      </c>
      <c r="J4843" t="inlineStr">
        <is>
          <t>Ventas HoReCa</t>
        </is>
      </c>
      <c r="K4843" t="inlineStr">
        <is>
          <t>CH1</t>
        </is>
      </c>
    </row>
    <row r="4844">
      <c r="A4844" s="33" t="n">
        <v>46037</v>
      </c>
      <c r="B4844" t="inlineStr">
        <is>
          <t>2026-01</t>
        </is>
      </c>
      <c r="C4844" t="inlineStr">
        <is>
          <t>VILAS BANQUETERIAS SPA</t>
        </is>
      </c>
      <c r="D4844" t="inlineStr">
        <is>
          <t>HORECA CATERING</t>
        </is>
      </c>
      <c r="E4844" s="34" t="n">
        <v>289765</v>
      </c>
      <c r="F4844" t="inlineStr">
        <is>
          <t>B</t>
        </is>
      </c>
      <c r="G4844" s="34" t="n">
        <v>46265</v>
      </c>
      <c r="H4844" s="34" t="n">
        <v>243500</v>
      </c>
      <c r="I4844" t="inlineStr">
        <is>
          <t>3.1</t>
        </is>
      </c>
      <c r="J4844" t="inlineStr">
        <is>
          <t>Ventas HoReCa</t>
        </is>
      </c>
      <c r="K4844" t="inlineStr">
        <is>
          <t>CH1</t>
        </is>
      </c>
    </row>
    <row r="4845">
      <c r="A4845" s="33" t="n">
        <v>46037</v>
      </c>
      <c r="B4845" t="inlineStr">
        <is>
          <t>2026-01</t>
        </is>
      </c>
      <c r="C4845" t="inlineStr">
        <is>
          <t>VILAS BANQUETERIAS SPA</t>
        </is>
      </c>
      <c r="D4845" t="inlineStr">
        <is>
          <t>HORECA CATERING</t>
        </is>
      </c>
      <c r="E4845" s="34" t="n">
        <v>-289765</v>
      </c>
      <c r="F4845" t="inlineStr">
        <is>
          <t>NC</t>
        </is>
      </c>
      <c r="G4845" s="34" t="n">
        <v>-46265</v>
      </c>
      <c r="H4845" s="34" t="n">
        <v>-243500</v>
      </c>
      <c r="I4845" t="inlineStr">
        <is>
          <t>3.1</t>
        </is>
      </c>
      <c r="J4845" t="inlineStr">
        <is>
          <t>Ventas HoReCa</t>
        </is>
      </c>
      <c r="K4845" t="inlineStr">
        <is>
          <t>CH1</t>
        </is>
      </c>
    </row>
    <row r="4846">
      <c r="A4846" s="33" t="n">
        <v>46037</v>
      </c>
      <c r="B4846" t="inlineStr">
        <is>
          <t>2026-01</t>
        </is>
      </c>
      <c r="C4846" t="inlineStr">
        <is>
          <t>TAVELLI S.A.</t>
        </is>
      </c>
      <c r="D4846" t="inlineStr">
        <is>
          <t>HORECA CAFETERIA</t>
        </is>
      </c>
      <c r="E4846" s="34" t="n">
        <v>818405</v>
      </c>
      <c r="F4846" t="inlineStr">
        <is>
          <t>F</t>
        </is>
      </c>
      <c r="G4846" s="34" t="n">
        <v>130670</v>
      </c>
      <c r="H4846" s="34" t="n">
        <v>687735</v>
      </c>
      <c r="I4846" t="inlineStr">
        <is>
          <t>3.1</t>
        </is>
      </c>
      <c r="J4846" t="inlineStr">
        <is>
          <t>Ventas HoReCa</t>
        </is>
      </c>
      <c r="K4846" t="inlineStr">
        <is>
          <t>CH1</t>
        </is>
      </c>
    </row>
    <row r="4847">
      <c r="A4847" s="33" t="n">
        <v>46037</v>
      </c>
      <c r="B4847" t="inlineStr">
        <is>
          <t>2026-01</t>
        </is>
      </c>
      <c r="C4847" t="inlineStr">
        <is>
          <t>TAVELLI S.A.</t>
        </is>
      </c>
      <c r="D4847" t="inlineStr">
        <is>
          <t>REGION METROPOLITANA</t>
        </is>
      </c>
      <c r="E4847" s="34" t="n">
        <v>35700</v>
      </c>
      <c r="F4847" t="inlineStr">
        <is>
          <t>F</t>
        </is>
      </c>
      <c r="G4847" s="34" t="n">
        <v>5700</v>
      </c>
      <c r="H4847" s="34" t="n">
        <v>30000</v>
      </c>
      <c r="I4847" t="inlineStr">
        <is>
          <t>3.1</t>
        </is>
      </c>
      <c r="J4847" t="inlineStr">
        <is>
          <t>Ventas HoReCa</t>
        </is>
      </c>
      <c r="K4847" t="inlineStr">
        <is>
          <t>CH1</t>
        </is>
      </c>
    </row>
    <row r="4848">
      <c r="A4848" s="33" t="n">
        <v>46037</v>
      </c>
      <c r="B4848" t="inlineStr">
        <is>
          <t>2026-01</t>
        </is>
      </c>
      <c r="C4848" t="inlineStr">
        <is>
          <t>VILAS BANQUETERIAS SPA</t>
        </is>
      </c>
      <c r="D4848" t="inlineStr">
        <is>
          <t>HORECA CATERING</t>
        </is>
      </c>
      <c r="E4848" s="34" t="n">
        <v>289765</v>
      </c>
      <c r="F4848" t="inlineStr">
        <is>
          <t>F</t>
        </is>
      </c>
      <c r="G4848" s="34" t="n">
        <v>46265</v>
      </c>
      <c r="H4848" s="34" t="n">
        <v>243500</v>
      </c>
      <c r="I4848" t="inlineStr">
        <is>
          <t>3.1</t>
        </is>
      </c>
      <c r="J4848" t="inlineStr">
        <is>
          <t>Ventas HoReCa</t>
        </is>
      </c>
      <c r="K4848" t="inlineStr">
        <is>
          <t>CH1</t>
        </is>
      </c>
    </row>
    <row r="4849">
      <c r="A4849" s="33" t="n">
        <v>46037</v>
      </c>
      <c r="B4849" t="inlineStr">
        <is>
          <t>2026-01</t>
        </is>
      </c>
      <c r="C4849" t="inlineStr">
        <is>
          <t>D&amp;S SERVICIOS DE ALIMENTACIÓN SpA</t>
        </is>
      </c>
      <c r="D4849" t="inlineStr">
        <is>
          <t xml:space="preserve">THE COFFEE STORE </t>
        </is>
      </c>
      <c r="E4849" s="34" t="n">
        <v>44705</v>
      </c>
      <c r="F4849" t="inlineStr">
        <is>
          <t>F</t>
        </is>
      </c>
      <c r="G4849" s="34" t="n">
        <v>7138</v>
      </c>
      <c r="H4849" s="34" t="n">
        <v>37567</v>
      </c>
      <c r="I4849" t="inlineStr">
        <is>
          <t>3.1</t>
        </is>
      </c>
      <c r="J4849" t="inlineStr">
        <is>
          <t>Ventas HoReCa</t>
        </is>
      </c>
      <c r="K4849" t="inlineStr">
        <is>
          <t>CH1</t>
        </is>
      </c>
    </row>
    <row r="4850">
      <c r="A4850" s="33" t="n">
        <v>46037</v>
      </c>
      <c r="B4850" t="inlineStr">
        <is>
          <t>2026-01</t>
        </is>
      </c>
      <c r="C4850" t="inlineStr">
        <is>
          <t>CLAUDIA Placencia</t>
        </is>
      </c>
      <c r="D4850" t="inlineStr">
        <is>
          <t>Petit Crunchy</t>
        </is>
      </c>
      <c r="E4850" s="34" t="n">
        <v>42290</v>
      </c>
      <c r="F4850" t="inlineStr">
        <is>
          <t>B</t>
        </is>
      </c>
      <c r="G4850" s="34" t="n">
        <v>6752</v>
      </c>
      <c r="H4850" s="34" t="n">
        <v>35538</v>
      </c>
      <c r="I4850" t="inlineStr">
        <is>
          <t>3.2</t>
        </is>
      </c>
      <c r="J4850" t="inlineStr">
        <is>
          <t>Ventas Personas (B2C)</t>
        </is>
      </c>
      <c r="K4850" t="inlineStr">
        <is>
          <t>CH2</t>
        </is>
      </c>
    </row>
    <row r="4851">
      <c r="A4851" s="33" t="n">
        <v>46037</v>
      </c>
      <c r="B4851" t="inlineStr">
        <is>
          <t>2026-01</t>
        </is>
      </c>
      <c r="C4851" t="inlineStr">
        <is>
          <t>Josefina Menz garcinuño</t>
        </is>
      </c>
      <c r="D4851" t="inlineStr">
        <is>
          <t>PACKS GOURMET</t>
        </is>
      </c>
      <c r="E4851" s="34" t="n">
        <v>50473</v>
      </c>
      <c r="F4851" t="inlineStr">
        <is>
          <t>B</t>
        </is>
      </c>
      <c r="G4851" s="34" t="n">
        <v>8059</v>
      </c>
      <c r="H4851" s="34" t="n">
        <v>42414</v>
      </c>
      <c r="I4851" t="inlineStr">
        <is>
          <t>3.2</t>
        </is>
      </c>
      <c r="J4851" t="inlineStr">
        <is>
          <t>Ventas Personas (B2C)</t>
        </is>
      </c>
      <c r="K4851" t="inlineStr">
        <is>
          <t>CH2</t>
        </is>
      </c>
    </row>
    <row r="4852">
      <c r="A4852" s="33" t="n">
        <v>46037</v>
      </c>
      <c r="B4852" t="inlineStr">
        <is>
          <t>2026-01</t>
        </is>
      </c>
      <c r="C4852" t="inlineStr">
        <is>
          <t>DIEGO VARGAS BANQUETERIA Y EVENTOS SPA</t>
        </is>
      </c>
      <c r="D4852" t="inlineStr">
        <is>
          <t>HORECA CATERING</t>
        </is>
      </c>
      <c r="E4852" s="34" t="n">
        <v>230860</v>
      </c>
      <c r="F4852" t="inlineStr">
        <is>
          <t>F</t>
        </is>
      </c>
      <c r="G4852" s="34" t="n">
        <v>36860</v>
      </c>
      <c r="H4852" s="34" t="n">
        <v>194000</v>
      </c>
      <c r="I4852" t="inlineStr">
        <is>
          <t>3.1</t>
        </is>
      </c>
      <c r="J4852" t="inlineStr">
        <is>
          <t>Ventas HoReCa</t>
        </is>
      </c>
      <c r="K4852" t="inlineStr">
        <is>
          <t>CH1</t>
        </is>
      </c>
    </row>
    <row r="4853">
      <c r="A4853" s="33" t="n">
        <v>46037</v>
      </c>
      <c r="B4853" t="inlineStr">
        <is>
          <t>2026-01</t>
        </is>
      </c>
      <c r="C4853" t="inlineStr">
        <is>
          <t>Sin cliente</t>
        </is>
      </c>
      <c r="D4853" t="inlineStr">
        <is>
          <t>PLATAFORMAS RAP-PEYA-UBER-GOOD</t>
        </is>
      </c>
      <c r="E4853" s="34" t="n">
        <v>27480</v>
      </c>
      <c r="F4853" t="inlineStr">
        <is>
          <t>B</t>
        </is>
      </c>
      <c r="G4853" s="34" t="n">
        <v>4388</v>
      </c>
      <c r="H4853" s="34" t="n">
        <v>23092</v>
      </c>
      <c r="I4853" t="inlineStr">
        <is>
          <t>3.6</t>
        </is>
      </c>
      <c r="J4853" t="inlineStr">
        <is>
          <t>Ventas Delivery Apps</t>
        </is>
      </c>
      <c r="K4853" t="inlineStr">
        <is>
          <t>CH3</t>
        </is>
      </c>
    </row>
    <row r="4854">
      <c r="A4854" s="33" t="n">
        <v>46037</v>
      </c>
      <c r="B4854" t="inlineStr">
        <is>
          <t>2026-01</t>
        </is>
      </c>
      <c r="C4854" t="inlineStr">
        <is>
          <t>Eyleen Araya</t>
        </is>
      </c>
      <c r="D4854" t="inlineStr">
        <is>
          <t>Petit Tradicional</t>
        </is>
      </c>
      <c r="E4854" s="34" t="n">
        <v>27290</v>
      </c>
      <c r="F4854" t="inlineStr">
        <is>
          <t>B</t>
        </is>
      </c>
      <c r="G4854" s="34" t="n">
        <v>4357</v>
      </c>
      <c r="H4854" s="34" t="n">
        <v>22932</v>
      </c>
      <c r="I4854" t="inlineStr">
        <is>
          <t>3.2</t>
        </is>
      </c>
      <c r="J4854" t="inlineStr">
        <is>
          <t>Ventas Personas (B2C)</t>
        </is>
      </c>
      <c r="K4854" t="inlineStr">
        <is>
          <t>CH2</t>
        </is>
      </c>
    </row>
    <row r="4855">
      <c r="A4855" s="33" t="n">
        <v>46037</v>
      </c>
      <c r="B4855" t="inlineStr">
        <is>
          <t>2026-01</t>
        </is>
      </c>
      <c r="C4855" t="inlineStr">
        <is>
          <t>Nataly Saavedra</t>
        </is>
      </c>
      <c r="D4855" t="inlineStr">
        <is>
          <t>SALSAS</t>
        </is>
      </c>
      <c r="E4855" s="34" t="n">
        <v>25280</v>
      </c>
      <c r="F4855" t="inlineStr">
        <is>
          <t>B</t>
        </is>
      </c>
      <c r="G4855" s="34" t="n">
        <v>4036</v>
      </c>
      <c r="H4855" s="34" t="n">
        <v>21244</v>
      </c>
      <c r="I4855" t="inlineStr">
        <is>
          <t>3.2</t>
        </is>
      </c>
      <c r="J4855" t="inlineStr">
        <is>
          <t>Ventas Personas (B2C)</t>
        </is>
      </c>
      <c r="K4855" t="inlineStr">
        <is>
          <t>CH2</t>
        </is>
      </c>
    </row>
    <row r="4856">
      <c r="A4856" s="33" t="n">
        <v>46037</v>
      </c>
      <c r="B4856" t="inlineStr">
        <is>
          <t>2026-01</t>
        </is>
      </c>
      <c r="C4856" t="inlineStr">
        <is>
          <t>Sin cliente</t>
        </is>
      </c>
      <c r="D4856" t="inlineStr">
        <is>
          <t>CANELÉ TRADICIONAL</t>
        </is>
      </c>
      <c r="E4856" s="34" t="n">
        <v>34890</v>
      </c>
      <c r="F4856" t="inlineStr">
        <is>
          <t>B</t>
        </is>
      </c>
      <c r="G4856" s="34" t="n">
        <v>5571</v>
      </c>
      <c r="H4856" s="34" t="n">
        <v>29319</v>
      </c>
      <c r="I4856" t="inlineStr">
        <is>
          <t>3.2</t>
        </is>
      </c>
      <c r="J4856" t="inlineStr">
        <is>
          <t>Ventas Personas (B2C)</t>
        </is>
      </c>
      <c r="K4856" t="inlineStr">
        <is>
          <t>CH2</t>
        </is>
      </c>
    </row>
    <row r="4857">
      <c r="A4857" s="33" t="n">
        <v>46037</v>
      </c>
      <c r="B4857" t="inlineStr">
        <is>
          <t>2026-01</t>
        </is>
      </c>
      <c r="C4857" t="inlineStr">
        <is>
          <t>Roberto Riquelme</t>
        </is>
      </c>
      <c r="D4857" t="inlineStr">
        <is>
          <t>Petit Tradicional</t>
        </is>
      </c>
      <c r="E4857" s="34" t="n">
        <v>25290</v>
      </c>
      <c r="F4857" t="inlineStr">
        <is>
          <t>B</t>
        </is>
      </c>
      <c r="G4857" s="34" t="n">
        <v>4038</v>
      </c>
      <c r="H4857" s="34" t="n">
        <v>21252</v>
      </c>
      <c r="I4857" t="inlineStr">
        <is>
          <t>3.2</t>
        </is>
      </c>
      <c r="J4857" t="inlineStr">
        <is>
          <t>Ventas Personas (B2C)</t>
        </is>
      </c>
      <c r="K4857" t="inlineStr">
        <is>
          <t>CH2</t>
        </is>
      </c>
    </row>
    <row r="4858">
      <c r="A4858" s="33" t="n">
        <v>46037</v>
      </c>
      <c r="B4858" t="inlineStr">
        <is>
          <t>2026-01</t>
        </is>
      </c>
      <c r="C4858" t="inlineStr">
        <is>
          <t>Jimmy Conforme</t>
        </is>
      </c>
      <c r="D4858" t="inlineStr">
        <is>
          <t>Rellenos</t>
        </is>
      </c>
      <c r="E4858" s="34" t="n">
        <v>15570</v>
      </c>
      <c r="F4858" t="inlineStr">
        <is>
          <t>B</t>
        </is>
      </c>
      <c r="G4858" s="34" t="n">
        <v>2486</v>
      </c>
      <c r="H4858" s="34" t="n">
        <v>13084</v>
      </c>
      <c r="I4858" t="inlineStr">
        <is>
          <t>3.2</t>
        </is>
      </c>
      <c r="J4858" t="inlineStr">
        <is>
          <t>Ventas Personas (B2C)</t>
        </is>
      </c>
      <c r="K4858" t="inlineStr">
        <is>
          <t>CH2</t>
        </is>
      </c>
    </row>
    <row r="4859">
      <c r="A4859" s="33" t="n">
        <v>46037</v>
      </c>
      <c r="B4859" t="inlineStr">
        <is>
          <t>2026-01</t>
        </is>
      </c>
      <c r="C4859" t="inlineStr">
        <is>
          <t>Sin cliente</t>
        </is>
      </c>
      <c r="D4859" t="inlineStr">
        <is>
          <t>CANELÉ TRADICIONAL</t>
        </is>
      </c>
      <c r="E4859" s="34" t="n">
        <v>26800</v>
      </c>
      <c r="F4859" t="inlineStr">
        <is>
          <t>B</t>
        </is>
      </c>
      <c r="G4859" s="34" t="n">
        <v>4279</v>
      </c>
      <c r="H4859" s="34" t="n">
        <v>22521</v>
      </c>
      <c r="I4859" t="inlineStr">
        <is>
          <t>3.2</t>
        </is>
      </c>
      <c r="J4859" t="inlineStr">
        <is>
          <t>Ventas Personas (B2C)</t>
        </is>
      </c>
      <c r="K4859" t="inlineStr">
        <is>
          <t>CH2</t>
        </is>
      </c>
    </row>
    <row r="4860">
      <c r="A4860" s="33" t="n">
        <v>46037</v>
      </c>
      <c r="B4860" t="inlineStr">
        <is>
          <t>2026-01</t>
        </is>
      </c>
      <c r="C4860" t="inlineStr">
        <is>
          <t>Maria Jose Grez</t>
        </is>
      </c>
      <c r="D4860" t="inlineStr">
        <is>
          <t>CANELÉ TRADICIONAL</t>
        </is>
      </c>
      <c r="E4860" s="34" t="n">
        <v>-34890</v>
      </c>
      <c r="F4860" t="inlineStr">
        <is>
          <t>NC</t>
        </is>
      </c>
      <c r="G4860" s="34" t="n">
        <v>-5571</v>
      </c>
      <c r="H4860" s="34" t="n">
        <v>-29319</v>
      </c>
      <c r="I4860" t="inlineStr">
        <is>
          <t>3.2</t>
        </is>
      </c>
      <c r="J4860" t="inlineStr">
        <is>
          <t>Ventas Personas (B2C)</t>
        </is>
      </c>
      <c r="K4860" t="inlineStr">
        <is>
          <t>CH2</t>
        </is>
      </c>
    </row>
    <row r="4861">
      <c r="A4861" s="33" t="n">
        <v>46037</v>
      </c>
      <c r="B4861" t="inlineStr">
        <is>
          <t>2026-01</t>
        </is>
      </c>
      <c r="C4861" t="inlineStr">
        <is>
          <t>Sin cliente</t>
        </is>
      </c>
      <c r="D4861" t="inlineStr">
        <is>
          <t>Mix Sabores</t>
        </is>
      </c>
      <c r="E4861" s="34" t="n">
        <v>34790</v>
      </c>
      <c r="F4861" t="inlineStr">
        <is>
          <t>B</t>
        </is>
      </c>
      <c r="G4861" s="34" t="n">
        <v>5555</v>
      </c>
      <c r="H4861" s="34" t="n">
        <v>29235</v>
      </c>
      <c r="I4861" t="inlineStr">
        <is>
          <t>3.2</t>
        </is>
      </c>
      <c r="J4861" t="inlineStr">
        <is>
          <t>Ventas Personas (B2C)</t>
        </is>
      </c>
      <c r="K4861" t="inlineStr">
        <is>
          <t>CH2</t>
        </is>
      </c>
    </row>
    <row r="4862">
      <c r="A4862" s="33" t="n">
        <v>46037</v>
      </c>
      <c r="B4862" t="inlineStr">
        <is>
          <t>2026-01</t>
        </is>
      </c>
      <c r="C4862" t="inlineStr">
        <is>
          <t>Sin cliente</t>
        </is>
      </c>
      <c r="D4862" t="inlineStr">
        <is>
          <t>CANELÉ TRADICIONAL</t>
        </is>
      </c>
      <c r="E4862" s="34" t="n">
        <v>15900</v>
      </c>
      <c r="F4862" t="inlineStr">
        <is>
          <t>B</t>
        </is>
      </c>
      <c r="G4862" s="34" t="n">
        <v>2539</v>
      </c>
      <c r="H4862" s="34" t="n">
        <v>13361</v>
      </c>
      <c r="I4862" t="inlineStr">
        <is>
          <t>3.2</t>
        </is>
      </c>
      <c r="J4862" t="inlineStr">
        <is>
          <t>Ventas Personas (B2C)</t>
        </is>
      </c>
      <c r="K4862" t="inlineStr">
        <is>
          <t>CH2</t>
        </is>
      </c>
    </row>
    <row r="4863">
      <c r="A4863" s="33" t="n">
        <v>46037</v>
      </c>
      <c r="B4863" t="inlineStr">
        <is>
          <t>2026-01</t>
        </is>
      </c>
      <c r="C4863" t="inlineStr">
        <is>
          <t>Paula Fernández Morandé</t>
        </is>
      </c>
      <c r="D4863" t="inlineStr">
        <is>
          <t>Rellenos</t>
        </is>
      </c>
      <c r="E4863" s="34" t="n">
        <v>30590</v>
      </c>
      <c r="F4863" t="inlineStr">
        <is>
          <t>B</t>
        </is>
      </c>
      <c r="G4863" s="34" t="n">
        <v>4884</v>
      </c>
      <c r="H4863" s="34" t="n">
        <v>25706</v>
      </c>
      <c r="I4863" t="inlineStr">
        <is>
          <t>3.2</t>
        </is>
      </c>
      <c r="J4863" t="inlineStr">
        <is>
          <t>Ventas Personas (B2C)</t>
        </is>
      </c>
      <c r="K4863" t="inlineStr">
        <is>
          <t>CH2</t>
        </is>
      </c>
    </row>
    <row r="4864">
      <c r="A4864" s="33" t="n">
        <v>46037</v>
      </c>
      <c r="B4864" t="inlineStr">
        <is>
          <t>2026-01</t>
        </is>
      </c>
      <c r="C4864" t="inlineStr">
        <is>
          <t>Sin cliente</t>
        </is>
      </c>
      <c r="D4864" t="inlineStr">
        <is>
          <t>PLATAFORMAS RAP-PEYA-UBER-GOOD</t>
        </is>
      </c>
      <c r="E4864" s="34" t="n">
        <v>10200</v>
      </c>
      <c r="F4864" t="inlineStr">
        <is>
          <t>B</t>
        </is>
      </c>
      <c r="G4864" s="34" t="n">
        <v>1629</v>
      </c>
      <c r="H4864" s="34" t="n">
        <v>8571</v>
      </c>
      <c r="I4864" t="inlineStr">
        <is>
          <t>3.6</t>
        </is>
      </c>
      <c r="J4864" t="inlineStr">
        <is>
          <t>Ventas Delivery Apps</t>
        </is>
      </c>
      <c r="K4864" t="inlineStr">
        <is>
          <t>CH3</t>
        </is>
      </c>
    </row>
    <row r="4865">
      <c r="A4865" s="33" t="n">
        <v>46038</v>
      </c>
      <c r="B4865" t="inlineStr">
        <is>
          <t>2026-01</t>
        </is>
      </c>
      <c r="C4865" t="inlineStr">
        <is>
          <t>Cocoshouse Spa</t>
        </is>
      </c>
      <c r="D4865" t="inlineStr">
        <is>
          <t>HORECA CAFETERIA</t>
        </is>
      </c>
      <c r="E4865" s="34" t="n">
        <v>71210</v>
      </c>
      <c r="F4865" t="inlineStr">
        <is>
          <t>F</t>
        </is>
      </c>
      <c r="G4865" s="34" t="n">
        <v>11370</v>
      </c>
      <c r="H4865" s="34" t="n">
        <v>59840</v>
      </c>
      <c r="I4865" t="inlineStr">
        <is>
          <t>3.1</t>
        </is>
      </c>
      <c r="J4865" t="inlineStr">
        <is>
          <t>Ventas HoReCa</t>
        </is>
      </c>
      <c r="K4865" t="inlineStr">
        <is>
          <t>CH1</t>
        </is>
      </c>
    </row>
    <row r="4866">
      <c r="A4866" s="33" t="n">
        <v>46038</v>
      </c>
      <c r="B4866" t="inlineStr">
        <is>
          <t>2026-01</t>
        </is>
      </c>
      <c r="C4866" t="inlineStr">
        <is>
          <t>GALO SPA</t>
        </is>
      </c>
      <c r="D4866" t="inlineStr">
        <is>
          <t>HORECA CAFETERIA</t>
        </is>
      </c>
      <c r="E4866" s="34" t="n">
        <v>39508</v>
      </c>
      <c r="F4866" t="inlineStr">
        <is>
          <t>F</t>
        </is>
      </c>
      <c r="G4866" s="34" t="n">
        <v>6308</v>
      </c>
      <c r="H4866" s="34" t="n">
        <v>33200</v>
      </c>
      <c r="I4866" t="inlineStr">
        <is>
          <t>3.1</t>
        </is>
      </c>
      <c r="J4866" t="inlineStr">
        <is>
          <t>Ventas HoReCa</t>
        </is>
      </c>
      <c r="K4866" t="inlineStr">
        <is>
          <t>CH1</t>
        </is>
      </c>
    </row>
    <row r="4867">
      <c r="A4867" s="33" t="n">
        <v>46038</v>
      </c>
      <c r="B4867" t="inlineStr">
        <is>
          <t>2026-01</t>
        </is>
      </c>
      <c r="C4867" t="inlineStr">
        <is>
          <t>Carlos Peña</t>
        </is>
      </c>
      <c r="D4867" t="inlineStr">
        <is>
          <t>SALSAS</t>
        </is>
      </c>
      <c r="E4867" s="34" t="n">
        <v>28790</v>
      </c>
      <c r="F4867" t="inlineStr">
        <is>
          <t>B</t>
        </is>
      </c>
      <c r="G4867" s="34" t="n">
        <v>4597</v>
      </c>
      <c r="H4867" s="34" t="n">
        <v>24193</v>
      </c>
      <c r="I4867" t="inlineStr">
        <is>
          <t>3.2</t>
        </is>
      </c>
      <c r="J4867" t="inlineStr">
        <is>
          <t>Ventas Personas (B2C)</t>
        </is>
      </c>
      <c r="K4867" t="inlineStr">
        <is>
          <t>CH2</t>
        </is>
      </c>
    </row>
    <row r="4868">
      <c r="A4868" s="33" t="n">
        <v>46038</v>
      </c>
      <c r="B4868" t="inlineStr">
        <is>
          <t>2026-01</t>
        </is>
      </c>
      <c r="C4868" t="inlineStr">
        <is>
          <t>Sin cliente</t>
        </is>
      </c>
      <c r="D4868" t="inlineStr">
        <is>
          <t>PLATAFORMAS RAP-PEYA-UBER-GOOD</t>
        </is>
      </c>
      <c r="E4868" s="34" t="n">
        <v>9000</v>
      </c>
      <c r="F4868" t="inlineStr">
        <is>
          <t>B</t>
        </is>
      </c>
      <c r="G4868" s="34" t="n">
        <v>1437</v>
      </c>
      <c r="H4868" s="34" t="n">
        <v>7563</v>
      </c>
      <c r="I4868" t="inlineStr">
        <is>
          <t>3.6</t>
        </is>
      </c>
      <c r="J4868" t="inlineStr">
        <is>
          <t>Ventas Delivery Apps</t>
        </is>
      </c>
      <c r="K4868" t="inlineStr">
        <is>
          <t>CH3</t>
        </is>
      </c>
    </row>
    <row r="4869">
      <c r="A4869" s="33" t="n">
        <v>46038</v>
      </c>
      <c r="B4869" t="inlineStr">
        <is>
          <t>2026-01</t>
        </is>
      </c>
      <c r="C4869" t="inlineStr">
        <is>
          <t>Sin cliente</t>
        </is>
      </c>
      <c r="D4869" t="inlineStr">
        <is>
          <t>PLATAFORMAS RAP-PEYA-UBER-GOOD</t>
        </is>
      </c>
      <c r="E4869" s="34" t="n">
        <v>22680</v>
      </c>
      <c r="F4869" t="inlineStr">
        <is>
          <t>B</t>
        </is>
      </c>
      <c r="G4869" s="34" t="n">
        <v>3621</v>
      </c>
      <c r="H4869" s="34" t="n">
        <v>19059</v>
      </c>
      <c r="I4869" t="inlineStr">
        <is>
          <t>3.6</t>
        </is>
      </c>
      <c r="J4869" t="inlineStr">
        <is>
          <t>Ventas Delivery Apps</t>
        </is>
      </c>
      <c r="K4869" t="inlineStr">
        <is>
          <t>CH3</t>
        </is>
      </c>
    </row>
    <row r="4870">
      <c r="A4870" s="33" t="n">
        <v>46038</v>
      </c>
      <c r="B4870" t="inlineStr">
        <is>
          <t>2026-01</t>
        </is>
      </c>
      <c r="C4870" t="inlineStr">
        <is>
          <t>Sin cliente</t>
        </is>
      </c>
      <c r="D4870" t="inlineStr">
        <is>
          <t>PLATAFORMAS RAP-PEYA-UBER-GOOD</t>
        </is>
      </c>
      <c r="E4870" s="34" t="n">
        <v>44160</v>
      </c>
      <c r="F4870" t="inlineStr">
        <is>
          <t>B</t>
        </is>
      </c>
      <c r="G4870" s="34" t="n">
        <v>7051</v>
      </c>
      <c r="H4870" s="34" t="n">
        <v>37109</v>
      </c>
      <c r="I4870" t="inlineStr">
        <is>
          <t>3.6</t>
        </is>
      </c>
      <c r="J4870" t="inlineStr">
        <is>
          <t>Ventas Delivery Apps</t>
        </is>
      </c>
      <c r="K4870" t="inlineStr">
        <is>
          <t>CH3</t>
        </is>
      </c>
    </row>
    <row r="4871">
      <c r="A4871" s="33" t="n">
        <v>46038</v>
      </c>
      <c r="B4871" t="inlineStr">
        <is>
          <t>2026-01</t>
        </is>
      </c>
      <c r="C4871" t="inlineStr">
        <is>
          <t>Sin cliente</t>
        </is>
      </c>
      <c r="D4871" t="inlineStr">
        <is>
          <t>Rellenos</t>
        </is>
      </c>
      <c r="E4871" s="34" t="n">
        <v>61500</v>
      </c>
      <c r="F4871" t="inlineStr">
        <is>
          <t>B</t>
        </is>
      </c>
      <c r="G4871" s="34" t="n">
        <v>9819</v>
      </c>
      <c r="H4871" s="34" t="n">
        <v>51681</v>
      </c>
      <c r="I4871" t="inlineStr">
        <is>
          <t>3.2</t>
        </is>
      </c>
      <c r="J4871" t="inlineStr">
        <is>
          <t>Ventas Personas (B2C)</t>
        </is>
      </c>
      <c r="K4871" t="inlineStr">
        <is>
          <t>CH2</t>
        </is>
      </c>
    </row>
    <row r="4872">
      <c r="A4872" s="33" t="n">
        <v>46038</v>
      </c>
      <c r="B4872" t="inlineStr">
        <is>
          <t>2026-01</t>
        </is>
      </c>
      <c r="C4872" t="inlineStr">
        <is>
          <t>Sin cliente</t>
        </is>
      </c>
      <c r="D4872" t="inlineStr">
        <is>
          <t>MERENGUITOS</t>
        </is>
      </c>
      <c r="E4872" s="34" t="n">
        <v>8800</v>
      </c>
      <c r="F4872" t="inlineStr">
        <is>
          <t>B</t>
        </is>
      </c>
      <c r="G4872" s="34" t="n">
        <v>1405</v>
      </c>
      <c r="H4872" s="34" t="n">
        <v>7395</v>
      </c>
      <c r="I4872" t="inlineStr">
        <is>
          <t>3.2</t>
        </is>
      </c>
      <c r="J4872" t="inlineStr">
        <is>
          <t>Ventas Personas (B2C)</t>
        </is>
      </c>
      <c r="K4872" t="inlineStr">
        <is>
          <t>CH2</t>
        </is>
      </c>
    </row>
    <row r="4873">
      <c r="A4873" s="33" t="n">
        <v>46038</v>
      </c>
      <c r="B4873" t="inlineStr">
        <is>
          <t>2026-01</t>
        </is>
      </c>
      <c r="C4873" t="inlineStr">
        <is>
          <t>maria elisa grez</t>
        </is>
      </c>
      <c r="D4873" t="inlineStr">
        <is>
          <t>Petit Crunchy</t>
        </is>
      </c>
      <c r="E4873" s="34" t="n">
        <v>22865</v>
      </c>
      <c r="F4873" t="inlineStr">
        <is>
          <t>B</t>
        </is>
      </c>
      <c r="G4873" s="34" t="n">
        <v>3651</v>
      </c>
      <c r="H4873" s="34" t="n">
        <v>19214</v>
      </c>
      <c r="I4873" t="inlineStr">
        <is>
          <t>3.2</t>
        </is>
      </c>
      <c r="J4873" t="inlineStr">
        <is>
          <t>Ventas Personas (B2C)</t>
        </is>
      </c>
      <c r="K4873" t="inlineStr">
        <is>
          <t>CH2</t>
        </is>
      </c>
    </row>
    <row r="4874">
      <c r="A4874" s="33" t="n">
        <v>46038</v>
      </c>
      <c r="B4874" t="inlineStr">
        <is>
          <t>2026-01</t>
        </is>
      </c>
      <c r="C4874" t="inlineStr">
        <is>
          <t>Nayda Villalba</t>
        </is>
      </c>
      <c r="D4874" t="inlineStr">
        <is>
          <t>Petit Tradicional</t>
        </is>
      </c>
      <c r="E4874" s="34" t="n">
        <v>19290</v>
      </c>
      <c r="F4874" t="inlineStr">
        <is>
          <t>B</t>
        </is>
      </c>
      <c r="G4874" s="34" t="n">
        <v>3080</v>
      </c>
      <c r="H4874" s="34" t="n">
        <v>16210</v>
      </c>
      <c r="I4874" t="inlineStr">
        <is>
          <t>3.2</t>
        </is>
      </c>
      <c r="J4874" t="inlineStr">
        <is>
          <t>Ventas Personas (B2C)</t>
        </is>
      </c>
      <c r="K4874" t="inlineStr">
        <is>
          <t>CH2</t>
        </is>
      </c>
    </row>
    <row r="4875">
      <c r="A4875" s="33" t="n">
        <v>46038</v>
      </c>
      <c r="B4875" t="inlineStr">
        <is>
          <t>2026-01</t>
        </is>
      </c>
      <c r="C4875" t="inlineStr">
        <is>
          <t>Garbiñe Pizarro</t>
        </is>
      </c>
      <c r="D4875" t="inlineStr">
        <is>
          <t>Petit Crunchy</t>
        </is>
      </c>
      <c r="E4875" s="34" t="n">
        <v>32310</v>
      </c>
      <c r="F4875" t="inlineStr">
        <is>
          <t>B</t>
        </is>
      </c>
      <c r="G4875" s="34" t="n">
        <v>5159</v>
      </c>
      <c r="H4875" s="34" t="n">
        <v>27151</v>
      </c>
      <c r="I4875" t="inlineStr">
        <is>
          <t>3.2</t>
        </is>
      </c>
      <c r="J4875" t="inlineStr">
        <is>
          <t>Ventas Personas (B2C)</t>
        </is>
      </c>
      <c r="K4875" t="inlineStr">
        <is>
          <t>CH2</t>
        </is>
      </c>
    </row>
    <row r="4876">
      <c r="A4876" s="33" t="n">
        <v>46038</v>
      </c>
      <c r="B4876" t="inlineStr">
        <is>
          <t>2026-01</t>
        </is>
      </c>
      <c r="C4876" t="inlineStr">
        <is>
          <t>OPA SPA</t>
        </is>
      </c>
      <c r="D4876" t="inlineStr">
        <is>
          <t>REGION METROPOLITANA</t>
        </is>
      </c>
      <c r="E4876" s="34" t="n">
        <v>7021</v>
      </c>
      <c r="F4876" t="inlineStr">
        <is>
          <t>F</t>
        </is>
      </c>
      <c r="G4876" s="34" t="n">
        <v>1121</v>
      </c>
      <c r="H4876" s="34" t="n">
        <v>5900</v>
      </c>
      <c r="I4876" t="inlineStr">
        <is>
          <t>3.1</t>
        </is>
      </c>
      <c r="J4876" t="inlineStr">
        <is>
          <t>Ventas HoReCa</t>
        </is>
      </c>
      <c r="K4876" t="inlineStr">
        <is>
          <t>CH1</t>
        </is>
      </c>
    </row>
    <row r="4877">
      <c r="A4877" s="33" t="n">
        <v>46038</v>
      </c>
      <c r="B4877" t="inlineStr">
        <is>
          <t>2026-01</t>
        </is>
      </c>
      <c r="C4877" t="inlineStr">
        <is>
          <t>Sin cliente</t>
        </is>
      </c>
      <c r="D4877" t="inlineStr">
        <is>
          <t>Delicatessen</t>
        </is>
      </c>
      <c r="E4877" s="34" t="n">
        <v>8800</v>
      </c>
      <c r="F4877" t="inlineStr">
        <is>
          <t>B</t>
        </is>
      </c>
      <c r="G4877" s="34" t="n">
        <v>1405</v>
      </c>
      <c r="H4877" s="34" t="n">
        <v>7395</v>
      </c>
      <c r="I4877" t="inlineStr">
        <is>
          <t>3.2</t>
        </is>
      </c>
      <c r="J4877" t="inlineStr">
        <is>
          <t>Ventas Personas (B2C)</t>
        </is>
      </c>
      <c r="K4877" t="inlineStr">
        <is>
          <t>CH2</t>
        </is>
      </c>
    </row>
    <row r="4878">
      <c r="A4878" s="33" t="n">
        <v>46038</v>
      </c>
      <c r="B4878" t="inlineStr">
        <is>
          <t>2026-01</t>
        </is>
      </c>
      <c r="C4878" t="inlineStr">
        <is>
          <t>Sin cliente</t>
        </is>
      </c>
      <c r="D4878" t="inlineStr">
        <is>
          <t>SALSAS</t>
        </is>
      </c>
      <c r="E4878" s="34" t="n">
        <v>26590</v>
      </c>
      <c r="F4878" t="inlineStr">
        <is>
          <t>B</t>
        </is>
      </c>
      <c r="G4878" s="34" t="n">
        <v>4245</v>
      </c>
      <c r="H4878" s="34" t="n">
        <v>22345</v>
      </c>
      <c r="I4878" t="inlineStr">
        <is>
          <t>3.2</t>
        </is>
      </c>
      <c r="J4878" t="inlineStr">
        <is>
          <t>Ventas Personas (B2C)</t>
        </is>
      </c>
      <c r="K4878" t="inlineStr">
        <is>
          <t>CH2</t>
        </is>
      </c>
    </row>
    <row r="4879">
      <c r="A4879" s="33" t="n">
        <v>46038</v>
      </c>
      <c r="B4879" t="inlineStr">
        <is>
          <t>2026-01</t>
        </is>
      </c>
      <c r="C4879" t="inlineStr">
        <is>
          <t>Sin cliente</t>
        </is>
      </c>
      <c r="D4879" t="inlineStr">
        <is>
          <t>Rellenos</t>
        </is>
      </c>
      <c r="E4879" s="34" t="n">
        <v>15800</v>
      </c>
      <c r="F4879" t="inlineStr">
        <is>
          <t>B</t>
        </is>
      </c>
      <c r="G4879" s="34" t="n">
        <v>2523</v>
      </c>
      <c r="H4879" s="34" t="n">
        <v>13277</v>
      </c>
      <c r="I4879" t="inlineStr">
        <is>
          <t>3.2</t>
        </is>
      </c>
      <c r="J4879" t="inlineStr">
        <is>
          <t>Ventas Personas (B2C)</t>
        </is>
      </c>
      <c r="K4879" t="inlineStr">
        <is>
          <t>CH2</t>
        </is>
      </c>
    </row>
    <row r="4880">
      <c r="A4880" s="33" t="n">
        <v>46038</v>
      </c>
      <c r="B4880" t="inlineStr">
        <is>
          <t>2026-01</t>
        </is>
      </c>
      <c r="C4880" t="inlineStr">
        <is>
          <t>Sin cliente</t>
        </is>
      </c>
      <c r="D4880" t="inlineStr">
        <is>
          <t>CANELÉ TRADICIONAL</t>
        </is>
      </c>
      <c r="E4880" s="34" t="n">
        <v>15900</v>
      </c>
      <c r="F4880" t="inlineStr">
        <is>
          <t>B</t>
        </is>
      </c>
      <c r="G4880" s="34" t="n">
        <v>2539</v>
      </c>
      <c r="H4880" s="34" t="n">
        <v>13361</v>
      </c>
      <c r="I4880" t="inlineStr">
        <is>
          <t>3.2</t>
        </is>
      </c>
      <c r="J4880" t="inlineStr">
        <is>
          <t>Ventas Personas (B2C)</t>
        </is>
      </c>
      <c r="K4880" t="inlineStr">
        <is>
          <t>CH2</t>
        </is>
      </c>
    </row>
    <row r="4881">
      <c r="A4881" s="33" t="n">
        <v>46038</v>
      </c>
      <c r="B4881" t="inlineStr">
        <is>
          <t>2026-01</t>
        </is>
      </c>
      <c r="C4881" t="inlineStr">
        <is>
          <t>maria elisa grez</t>
        </is>
      </c>
      <c r="D4881" t="inlineStr">
        <is>
          <t>PACKAGING</t>
        </is>
      </c>
      <c r="E4881" s="34" t="n">
        <v>11965</v>
      </c>
      <c r="F4881" t="inlineStr">
        <is>
          <t>B</t>
        </is>
      </c>
      <c r="G4881" s="34" t="n">
        <v>1910</v>
      </c>
      <c r="H4881" s="34" t="n">
        <v>10055</v>
      </c>
      <c r="I4881" t="inlineStr">
        <is>
          <t>3.2</t>
        </is>
      </c>
      <c r="J4881" t="inlineStr">
        <is>
          <t>Ventas Personas (B2C)</t>
        </is>
      </c>
      <c r="K4881" t="inlineStr">
        <is>
          <t>CH2</t>
        </is>
      </c>
    </row>
    <row r="4882">
      <c r="A4882" s="33" t="n">
        <v>46038</v>
      </c>
      <c r="B4882" t="inlineStr">
        <is>
          <t>2026-01</t>
        </is>
      </c>
      <c r="C4882" t="inlineStr">
        <is>
          <t>Rocio Mendoza</t>
        </is>
      </c>
      <c r="D4882" t="inlineStr">
        <is>
          <t>Mix Sabores</t>
        </is>
      </c>
      <c r="E4882" s="34" t="n">
        <v>20390</v>
      </c>
      <c r="F4882" t="inlineStr">
        <is>
          <t>B</t>
        </is>
      </c>
      <c r="G4882" s="34" t="n">
        <v>3256</v>
      </c>
      <c r="H4882" s="34" t="n">
        <v>17134</v>
      </c>
      <c r="I4882" t="inlineStr">
        <is>
          <t>3.2</t>
        </is>
      </c>
      <c r="J4882" t="inlineStr">
        <is>
          <t>Ventas Personas (B2C)</t>
        </is>
      </c>
      <c r="K4882" t="inlineStr">
        <is>
          <t>CH2</t>
        </is>
      </c>
    </row>
    <row r="4883">
      <c r="A4883" s="33" t="n">
        <v>46038</v>
      </c>
      <c r="B4883" t="inlineStr">
        <is>
          <t>2026-01</t>
        </is>
      </c>
      <c r="C4883" t="inlineStr">
        <is>
          <t>Sofia Mereles</t>
        </is>
      </c>
      <c r="D4883" t="inlineStr">
        <is>
          <t>Rellenos</t>
        </is>
      </c>
      <c r="E4883" s="34" t="n">
        <v>33390</v>
      </c>
      <c r="F4883" t="inlineStr">
        <is>
          <t>B</t>
        </is>
      </c>
      <c r="G4883" s="34" t="n">
        <v>5331</v>
      </c>
      <c r="H4883" s="34" t="n">
        <v>28059</v>
      </c>
      <c r="I4883" t="inlineStr">
        <is>
          <t>3.2</t>
        </is>
      </c>
      <c r="J4883" t="inlineStr">
        <is>
          <t>Ventas Personas (B2C)</t>
        </is>
      </c>
      <c r="K4883" t="inlineStr">
        <is>
          <t>CH2</t>
        </is>
      </c>
    </row>
    <row r="4884">
      <c r="A4884" s="33" t="n">
        <v>46038</v>
      </c>
      <c r="B4884" t="inlineStr">
        <is>
          <t>2026-01</t>
        </is>
      </c>
      <c r="C4884" t="inlineStr">
        <is>
          <t>Maria Jose Grez</t>
        </is>
      </c>
      <c r="D4884" t="inlineStr">
        <is>
          <t>Delicatessen</t>
        </is>
      </c>
      <c r="E4884" s="34" t="n">
        <v>-8800</v>
      </c>
      <c r="F4884" t="inlineStr">
        <is>
          <t>NC</t>
        </is>
      </c>
      <c r="G4884" s="34" t="n">
        <v>-1405</v>
      </c>
      <c r="H4884" s="34" t="n">
        <v>-7395</v>
      </c>
      <c r="I4884" t="inlineStr">
        <is>
          <t>3.2</t>
        </is>
      </c>
      <c r="J4884" t="inlineStr">
        <is>
          <t>Ventas Personas (B2C)</t>
        </is>
      </c>
      <c r="K4884" t="inlineStr">
        <is>
          <t>CH2</t>
        </is>
      </c>
    </row>
    <row r="4885">
      <c r="A4885" s="33" t="n">
        <v>46038</v>
      </c>
      <c r="B4885" t="inlineStr">
        <is>
          <t>2026-01</t>
        </is>
      </c>
      <c r="C4885" t="inlineStr">
        <is>
          <t>Sin cliente</t>
        </is>
      </c>
      <c r="D4885" t="inlineStr">
        <is>
          <t>PLATAFORMAS RAP-PEYA-UBER-GOOD</t>
        </is>
      </c>
      <c r="E4885" s="34" t="n">
        <v>20280</v>
      </c>
      <c r="F4885" t="inlineStr">
        <is>
          <t>B</t>
        </is>
      </c>
      <c r="G4885" s="34" t="n">
        <v>3238</v>
      </c>
      <c r="H4885" s="34" t="n">
        <v>17042</v>
      </c>
      <c r="I4885" t="inlineStr">
        <is>
          <t>3.6</t>
        </is>
      </c>
      <c r="J4885" t="inlineStr">
        <is>
          <t>Ventas Delivery Apps</t>
        </is>
      </c>
      <c r="K4885" t="inlineStr">
        <is>
          <t>CH3</t>
        </is>
      </c>
    </row>
    <row r="4886">
      <c r="A4886" s="33" t="n">
        <v>46038</v>
      </c>
      <c r="B4886" t="inlineStr">
        <is>
          <t>2026-01</t>
        </is>
      </c>
      <c r="C4886" t="inlineStr">
        <is>
          <t>Sin cliente</t>
        </is>
      </c>
      <c r="D4886" t="inlineStr">
        <is>
          <t>PLATAFORMAS RAP-PEYA-UBER-GOOD</t>
        </is>
      </c>
      <c r="E4886" s="34" t="n">
        <v>33120</v>
      </c>
      <c r="F4886" t="inlineStr">
        <is>
          <t>B</t>
        </is>
      </c>
      <c r="G4886" s="34" t="n">
        <v>5288</v>
      </c>
      <c r="H4886" s="34" t="n">
        <v>27832</v>
      </c>
      <c r="I4886" t="inlineStr">
        <is>
          <t>3.6</t>
        </is>
      </c>
      <c r="J4886" t="inlineStr">
        <is>
          <t>Ventas Delivery Apps</t>
        </is>
      </c>
      <c r="K4886" t="inlineStr">
        <is>
          <t>CH3</t>
        </is>
      </c>
    </row>
    <row r="4887">
      <c r="A4887" s="33" t="n">
        <v>46038</v>
      </c>
      <c r="B4887" t="inlineStr">
        <is>
          <t>2026-01</t>
        </is>
      </c>
      <c r="C4887" t="inlineStr">
        <is>
          <t>Sin cliente</t>
        </is>
      </c>
      <c r="D4887" t="inlineStr">
        <is>
          <t>Rellenos</t>
        </is>
      </c>
      <c r="E4887" s="34" t="n">
        <v>16800</v>
      </c>
      <c r="F4887" t="inlineStr">
        <is>
          <t>B</t>
        </is>
      </c>
      <c r="G4887" s="34" t="n">
        <v>2682</v>
      </c>
      <c r="H4887" s="34" t="n">
        <v>14118</v>
      </c>
      <c r="I4887" t="inlineStr">
        <is>
          <t>3.6</t>
        </is>
      </c>
      <c r="J4887" t="inlineStr">
        <is>
          <t>Ventas Delivery Apps</t>
        </is>
      </c>
      <c r="K4887" t="inlineStr">
        <is>
          <t>CH3</t>
        </is>
      </c>
    </row>
    <row r="4888">
      <c r="A4888" s="33" t="n">
        <v>46038</v>
      </c>
      <c r="B4888" t="inlineStr">
        <is>
          <t>2026-01</t>
        </is>
      </c>
      <c r="C4888" t="inlineStr">
        <is>
          <t>Sin cliente</t>
        </is>
      </c>
      <c r="D4888" t="inlineStr">
        <is>
          <t>PLATAFORMAS RAP-PEYA-UBER-GOOD</t>
        </is>
      </c>
      <c r="E4888" s="34" t="n">
        <v>15600</v>
      </c>
      <c r="F4888" t="inlineStr">
        <is>
          <t>B</t>
        </is>
      </c>
      <c r="G4888" s="34" t="n">
        <v>2491</v>
      </c>
      <c r="H4888" s="34" t="n">
        <v>13109</v>
      </c>
      <c r="I4888" t="inlineStr">
        <is>
          <t>3.6</t>
        </is>
      </c>
      <c r="J4888" t="inlineStr">
        <is>
          <t>Ventas Delivery Apps</t>
        </is>
      </c>
      <c r="K4888" t="inlineStr">
        <is>
          <t>CH3</t>
        </is>
      </c>
    </row>
    <row r="4889">
      <c r="A4889" s="33" t="n">
        <v>46038</v>
      </c>
      <c r="B4889" t="inlineStr">
        <is>
          <t>2026-01</t>
        </is>
      </c>
      <c r="C4889" t="inlineStr">
        <is>
          <t>María José Flores Henríquez</t>
        </is>
      </c>
      <c r="D4889" t="inlineStr">
        <is>
          <t>CANELE SIN AZUCAR</t>
        </is>
      </c>
      <c r="E4889" s="34" t="n">
        <v>21290</v>
      </c>
      <c r="F4889" t="inlineStr">
        <is>
          <t>B</t>
        </is>
      </c>
      <c r="G4889" s="34" t="n">
        <v>3399</v>
      </c>
      <c r="H4889" s="34" t="n">
        <v>17890</v>
      </c>
      <c r="I4889" t="inlineStr">
        <is>
          <t>3.2</t>
        </is>
      </c>
      <c r="J4889" t="inlineStr">
        <is>
          <t>Ventas Personas (B2C)</t>
        </is>
      </c>
      <c r="K4889" t="inlineStr">
        <is>
          <t>CH2</t>
        </is>
      </c>
    </row>
    <row r="4890">
      <c r="A4890" s="33" t="n">
        <v>46039</v>
      </c>
      <c r="B4890" t="inlineStr">
        <is>
          <t>2026-01</t>
        </is>
      </c>
      <c r="C4890" t="inlineStr">
        <is>
          <t>Marisol Urrutia</t>
        </is>
      </c>
      <c r="D4890" t="inlineStr">
        <is>
          <t>Rellenos</t>
        </is>
      </c>
      <c r="E4890" s="34" t="n">
        <v>31390</v>
      </c>
      <c r="F4890" t="inlineStr">
        <is>
          <t>B</t>
        </is>
      </c>
      <c r="G4890" s="34" t="n">
        <v>5012</v>
      </c>
      <c r="H4890" s="34" t="n">
        <v>26378</v>
      </c>
      <c r="I4890" t="inlineStr">
        <is>
          <t>3.2</t>
        </is>
      </c>
      <c r="J4890" t="inlineStr">
        <is>
          <t>Ventas Personas (B2C)</t>
        </is>
      </c>
      <c r="K4890" t="inlineStr">
        <is>
          <t>CH2</t>
        </is>
      </c>
    </row>
    <row r="4891">
      <c r="A4891" s="33" t="n">
        <v>46039</v>
      </c>
      <c r="B4891" t="inlineStr">
        <is>
          <t>2026-01</t>
        </is>
      </c>
      <c r="C4891" t="inlineStr">
        <is>
          <t>Sin cliente</t>
        </is>
      </c>
      <c r="D4891" t="inlineStr">
        <is>
          <t>CANELÉ TRADICIONAL</t>
        </is>
      </c>
      <c r="E4891" s="34" t="n">
        <v>22900</v>
      </c>
      <c r="F4891" t="inlineStr">
        <is>
          <t>B</t>
        </is>
      </c>
      <c r="G4891" s="34" t="n">
        <v>3656</v>
      </c>
      <c r="H4891" s="34" t="n">
        <v>19244</v>
      </c>
      <c r="I4891" t="inlineStr">
        <is>
          <t>3.2</t>
        </is>
      </c>
      <c r="J4891" t="inlineStr">
        <is>
          <t>Ventas Personas (B2C)</t>
        </is>
      </c>
      <c r="K4891" t="inlineStr">
        <is>
          <t>CH2</t>
        </is>
      </c>
    </row>
    <row r="4892">
      <c r="A4892" s="33" t="n">
        <v>46039</v>
      </c>
      <c r="B4892" t="inlineStr">
        <is>
          <t>2026-01</t>
        </is>
      </c>
      <c r="C4892" t="inlineStr">
        <is>
          <t>Sin cliente</t>
        </is>
      </c>
      <c r="D4892" t="inlineStr">
        <is>
          <t>Delicatessen</t>
        </is>
      </c>
      <c r="E4892" s="34" t="n">
        <v>16700</v>
      </c>
      <c r="F4892" t="inlineStr">
        <is>
          <t>B</t>
        </is>
      </c>
      <c r="G4892" s="34" t="n">
        <v>2666</v>
      </c>
      <c r="H4892" s="34" t="n">
        <v>14034</v>
      </c>
      <c r="I4892" t="inlineStr">
        <is>
          <t>3.2</t>
        </is>
      </c>
      <c r="J4892" t="inlineStr">
        <is>
          <t>Ventas Personas (B2C)</t>
        </is>
      </c>
      <c r="K4892" t="inlineStr">
        <is>
          <t>CH2</t>
        </is>
      </c>
    </row>
    <row r="4893">
      <c r="A4893" s="33" t="n">
        <v>46039</v>
      </c>
      <c r="B4893" t="inlineStr">
        <is>
          <t>2026-01</t>
        </is>
      </c>
      <c r="C4893" t="inlineStr">
        <is>
          <t>Sin cliente</t>
        </is>
      </c>
      <c r="D4893" t="inlineStr">
        <is>
          <t>Rellenos</t>
        </is>
      </c>
      <c r="E4893" s="34" t="n">
        <v>32900</v>
      </c>
      <c r="F4893" t="inlineStr">
        <is>
          <t>B</t>
        </is>
      </c>
      <c r="G4893" s="34" t="n">
        <v>5253</v>
      </c>
      <c r="H4893" s="34" t="n">
        <v>27647</v>
      </c>
      <c r="I4893" t="inlineStr">
        <is>
          <t>3.2</t>
        </is>
      </c>
      <c r="J4893" t="inlineStr">
        <is>
          <t>Ventas Personas (B2C)</t>
        </is>
      </c>
      <c r="K4893" t="inlineStr">
        <is>
          <t>CH2</t>
        </is>
      </c>
    </row>
    <row r="4894">
      <c r="A4894" s="33" t="n">
        <v>46039</v>
      </c>
      <c r="B4894" t="inlineStr">
        <is>
          <t>2026-01</t>
        </is>
      </c>
      <c r="C4894" t="inlineStr">
        <is>
          <t>Sin cliente</t>
        </is>
      </c>
      <c r="D4894" t="inlineStr">
        <is>
          <t>Rellenos</t>
        </is>
      </c>
      <c r="E4894" s="34" t="n">
        <v>51800</v>
      </c>
      <c r="F4894" t="inlineStr">
        <is>
          <t>B</t>
        </is>
      </c>
      <c r="G4894" s="34" t="n">
        <v>8271</v>
      </c>
      <c r="H4894" s="34" t="n">
        <v>43529</v>
      </c>
      <c r="I4894" t="inlineStr">
        <is>
          <t>3.2</t>
        </is>
      </c>
      <c r="J4894" t="inlineStr">
        <is>
          <t>Ventas Personas (B2C)</t>
        </is>
      </c>
      <c r="K4894" t="inlineStr">
        <is>
          <t>CH2</t>
        </is>
      </c>
    </row>
    <row r="4895">
      <c r="A4895" s="33" t="n">
        <v>46039</v>
      </c>
      <c r="B4895" t="inlineStr">
        <is>
          <t>2026-01</t>
        </is>
      </c>
      <c r="C4895" t="inlineStr">
        <is>
          <t>Sin cliente</t>
        </is>
      </c>
      <c r="D4895" t="inlineStr">
        <is>
          <t>Cafeteria Geronimo</t>
        </is>
      </c>
      <c r="E4895" s="34" t="n">
        <v>3000</v>
      </c>
      <c r="F4895" t="inlineStr">
        <is>
          <t>B</t>
        </is>
      </c>
      <c r="G4895" s="34" t="n">
        <v>479</v>
      </c>
      <c r="H4895" s="34" t="n">
        <v>2521</v>
      </c>
      <c r="I4895" t="inlineStr">
        <is>
          <t>3.2</t>
        </is>
      </c>
      <c r="J4895" t="inlineStr">
        <is>
          <t>Ventas Personas (B2C)</t>
        </is>
      </c>
      <c r="K4895" t="inlineStr">
        <is>
          <t>CH2</t>
        </is>
      </c>
    </row>
    <row r="4896">
      <c r="A4896" s="33" t="n">
        <v>46039</v>
      </c>
      <c r="B4896" t="inlineStr">
        <is>
          <t>2026-01</t>
        </is>
      </c>
      <c r="C4896" t="inlineStr">
        <is>
          <t>Sin cliente</t>
        </is>
      </c>
      <c r="D4896" t="inlineStr">
        <is>
          <t>Mix Sabores</t>
        </is>
      </c>
      <c r="E4896" s="34" t="n">
        <v>22800</v>
      </c>
      <c r="F4896" t="inlineStr">
        <is>
          <t>B</t>
        </is>
      </c>
      <c r="G4896" s="34" t="n">
        <v>3640</v>
      </c>
      <c r="H4896" s="34" t="n">
        <v>19160</v>
      </c>
      <c r="I4896" t="inlineStr">
        <is>
          <t>3.2</t>
        </is>
      </c>
      <c r="J4896" t="inlineStr">
        <is>
          <t>Ventas Personas (B2C)</t>
        </is>
      </c>
      <c r="K4896" t="inlineStr">
        <is>
          <t>CH2</t>
        </is>
      </c>
    </row>
    <row r="4897">
      <c r="A4897" s="33" t="n">
        <v>46039</v>
      </c>
      <c r="B4897" t="inlineStr">
        <is>
          <t>2026-01</t>
        </is>
      </c>
      <c r="C4897" t="inlineStr">
        <is>
          <t>Sin cliente</t>
        </is>
      </c>
      <c r="D4897" t="inlineStr">
        <is>
          <t>CANELÉ TRADICIONAL</t>
        </is>
      </c>
      <c r="E4897" s="34" t="n">
        <v>12000</v>
      </c>
      <c r="F4897" t="inlineStr">
        <is>
          <t>B</t>
        </is>
      </c>
      <c r="G4897" s="34" t="n">
        <v>1916</v>
      </c>
      <c r="H4897" s="34" t="n">
        <v>10084</v>
      </c>
      <c r="I4897" t="inlineStr">
        <is>
          <t>3.2</t>
        </is>
      </c>
      <c r="J4897" t="inlineStr">
        <is>
          <t>Ventas Personas (B2C)</t>
        </is>
      </c>
      <c r="K4897" t="inlineStr">
        <is>
          <t>CH2</t>
        </is>
      </c>
    </row>
    <row r="4898">
      <c r="A4898" s="33" t="n">
        <v>46039</v>
      </c>
      <c r="B4898" t="inlineStr">
        <is>
          <t>2026-01</t>
        </is>
      </c>
      <c r="C4898" t="inlineStr">
        <is>
          <t>Sin cliente</t>
        </is>
      </c>
      <c r="D4898" t="inlineStr">
        <is>
          <t>CANELÉ TRADICIONAL</t>
        </is>
      </c>
      <c r="E4898" s="34" t="n">
        <v>2500</v>
      </c>
      <c r="F4898" t="inlineStr">
        <is>
          <t>B</t>
        </is>
      </c>
      <c r="G4898" s="34" t="n">
        <v>399</v>
      </c>
      <c r="H4898" s="34" t="n">
        <v>2101</v>
      </c>
      <c r="I4898" t="inlineStr">
        <is>
          <t>3.2</t>
        </is>
      </c>
      <c r="J4898" t="inlineStr">
        <is>
          <t>Ventas Personas (B2C)</t>
        </is>
      </c>
      <c r="K4898" t="inlineStr">
        <is>
          <t>CH2</t>
        </is>
      </c>
    </row>
    <row r="4899">
      <c r="A4899" s="33" t="n">
        <v>46039</v>
      </c>
      <c r="B4899" t="inlineStr">
        <is>
          <t>2026-01</t>
        </is>
      </c>
      <c r="C4899" t="inlineStr">
        <is>
          <t>Sin cliente</t>
        </is>
      </c>
      <c r="D4899" t="inlineStr">
        <is>
          <t>Cafeteria Geronimo</t>
        </is>
      </c>
      <c r="E4899" s="34" t="n">
        <v>2500</v>
      </c>
      <c r="F4899" t="inlineStr">
        <is>
          <t>B</t>
        </is>
      </c>
      <c r="G4899" s="34" t="n">
        <v>399</v>
      </c>
      <c r="H4899" s="34" t="n">
        <v>2101</v>
      </c>
      <c r="I4899" t="inlineStr">
        <is>
          <t>3.2</t>
        </is>
      </c>
      <c r="J4899" t="inlineStr">
        <is>
          <t>Ventas Personas (B2C)</t>
        </is>
      </c>
      <c r="K4899" t="inlineStr">
        <is>
          <t>CH2</t>
        </is>
      </c>
    </row>
    <row r="4900">
      <c r="A4900" s="33" t="n">
        <v>46039</v>
      </c>
      <c r="B4900" t="inlineStr">
        <is>
          <t>2026-01</t>
        </is>
      </c>
      <c r="C4900" t="inlineStr">
        <is>
          <t>Sin cliente</t>
        </is>
      </c>
      <c r="D4900" t="inlineStr">
        <is>
          <t>CANELÉ TRADICIONAL</t>
        </is>
      </c>
      <c r="E4900" s="34" t="n">
        <v>13515</v>
      </c>
      <c r="F4900" t="inlineStr">
        <is>
          <t>B</t>
        </is>
      </c>
      <c r="G4900" s="34" t="n">
        <v>2158</v>
      </c>
      <c r="H4900" s="34" t="n">
        <v>11357</v>
      </c>
      <c r="I4900" t="inlineStr">
        <is>
          <t>3.2</t>
        </is>
      </c>
      <c r="J4900" t="inlineStr">
        <is>
          <t>Ventas Personas (B2C)</t>
        </is>
      </c>
      <c r="K4900" t="inlineStr">
        <is>
          <t>CH2</t>
        </is>
      </c>
    </row>
    <row r="4901">
      <c r="A4901" s="33" t="n">
        <v>46039</v>
      </c>
      <c r="B4901" t="inlineStr">
        <is>
          <t>2026-01</t>
        </is>
      </c>
      <c r="C4901" t="inlineStr">
        <is>
          <t>Sin cliente</t>
        </is>
      </c>
      <c r="D4901" t="inlineStr">
        <is>
          <t>Cafeteria Geronimo</t>
        </is>
      </c>
      <c r="E4901" s="34" t="n">
        <v>3000</v>
      </c>
      <c r="F4901" t="inlineStr">
        <is>
          <t>B</t>
        </is>
      </c>
      <c r="G4901" s="34" t="n">
        <v>479</v>
      </c>
      <c r="H4901" s="34" t="n">
        <v>2521</v>
      </c>
      <c r="I4901" t="inlineStr">
        <is>
          <t>3.2</t>
        </is>
      </c>
      <c r="J4901" t="inlineStr">
        <is>
          <t>Ventas Personas (B2C)</t>
        </is>
      </c>
      <c r="K4901" t="inlineStr">
        <is>
          <t>CH2</t>
        </is>
      </c>
    </row>
    <row r="4902">
      <c r="A4902" s="33" t="n">
        <v>46039</v>
      </c>
      <c r="B4902" t="inlineStr">
        <is>
          <t>2026-01</t>
        </is>
      </c>
      <c r="C4902" t="inlineStr">
        <is>
          <t>Sin cliente</t>
        </is>
      </c>
      <c r="D4902" t="inlineStr">
        <is>
          <t>Rellenos</t>
        </is>
      </c>
      <c r="E4902" s="34" t="n">
        <v>21600</v>
      </c>
      <c r="F4902" t="inlineStr">
        <is>
          <t>B</t>
        </is>
      </c>
      <c r="G4902" s="34" t="n">
        <v>3449</v>
      </c>
      <c r="H4902" s="34" t="n">
        <v>18151</v>
      </c>
      <c r="I4902" t="inlineStr">
        <is>
          <t>3.2</t>
        </is>
      </c>
      <c r="J4902" t="inlineStr">
        <is>
          <t>Ventas Personas (B2C)</t>
        </is>
      </c>
      <c r="K4902" t="inlineStr">
        <is>
          <t>CH2</t>
        </is>
      </c>
    </row>
    <row r="4903">
      <c r="A4903" s="33" t="n">
        <v>46039</v>
      </c>
      <c r="B4903" t="inlineStr">
        <is>
          <t>2026-01</t>
        </is>
      </c>
      <c r="C4903" t="inlineStr">
        <is>
          <t>Sin cliente</t>
        </is>
      </c>
      <c r="D4903" t="inlineStr">
        <is>
          <t>Rellenos</t>
        </is>
      </c>
      <c r="E4903" s="34" t="n">
        <v>39480</v>
      </c>
      <c r="F4903" t="inlineStr">
        <is>
          <t>B</t>
        </is>
      </c>
      <c r="G4903" s="34" t="n">
        <v>6304</v>
      </c>
      <c r="H4903" s="34" t="n">
        <v>33176</v>
      </c>
      <c r="I4903" t="inlineStr">
        <is>
          <t>3.2</t>
        </is>
      </c>
      <c r="J4903" t="inlineStr">
        <is>
          <t>Ventas Personas (B2C)</t>
        </is>
      </c>
      <c r="K4903" t="inlineStr">
        <is>
          <t>CH2</t>
        </is>
      </c>
    </row>
    <row r="4904">
      <c r="A4904" s="33" t="n">
        <v>46039</v>
      </c>
      <c r="B4904" t="inlineStr">
        <is>
          <t>2026-01</t>
        </is>
      </c>
      <c r="C4904" t="inlineStr">
        <is>
          <t>Daniela Gomez</t>
        </is>
      </c>
      <c r="D4904" t="inlineStr">
        <is>
          <t>CANELÉ TRADICIONAL</t>
        </is>
      </c>
      <c r="E4904" s="34" t="n">
        <v>15900</v>
      </c>
      <c r="F4904" t="inlineStr">
        <is>
          <t>B</t>
        </is>
      </c>
      <c r="G4904" s="34" t="n">
        <v>2539</v>
      </c>
      <c r="H4904" s="34" t="n">
        <v>13361</v>
      </c>
      <c r="I4904" t="inlineStr">
        <is>
          <t>3.2</t>
        </is>
      </c>
      <c r="J4904" t="inlineStr">
        <is>
          <t>Ventas Personas (B2C)</t>
        </is>
      </c>
      <c r="K4904" t="inlineStr">
        <is>
          <t>CH2</t>
        </is>
      </c>
    </row>
    <row r="4905">
      <c r="A4905" s="33" t="n">
        <v>46040</v>
      </c>
      <c r="B4905" t="inlineStr">
        <is>
          <t>2026-01</t>
        </is>
      </c>
      <c r="C4905" t="inlineStr">
        <is>
          <t>Cecilia Gallardo</t>
        </is>
      </c>
      <c r="D4905" t="inlineStr">
        <is>
          <t>CANELE SIN AZUCAR</t>
        </is>
      </c>
      <c r="E4905" s="34" t="n">
        <v>21590</v>
      </c>
      <c r="F4905" t="inlineStr">
        <is>
          <t>B</t>
        </is>
      </c>
      <c r="G4905" s="34" t="n">
        <v>3447</v>
      </c>
      <c r="H4905" s="34" t="n">
        <v>18142</v>
      </c>
      <c r="I4905" t="inlineStr">
        <is>
          <t>3.2</t>
        </is>
      </c>
      <c r="J4905" t="inlineStr">
        <is>
          <t>Ventas Personas (B2C)</t>
        </is>
      </c>
      <c r="K4905" t="inlineStr">
        <is>
          <t>CH2</t>
        </is>
      </c>
    </row>
    <row r="4906">
      <c r="A4906" s="33" t="n">
        <v>46040</v>
      </c>
      <c r="B4906" t="inlineStr">
        <is>
          <t>2026-01</t>
        </is>
      </c>
      <c r="C4906" t="inlineStr">
        <is>
          <t>Verónica Correa</t>
        </is>
      </c>
      <c r="D4906" t="inlineStr">
        <is>
          <t>Petit Tradicional</t>
        </is>
      </c>
      <c r="E4906" s="34" t="n">
        <v>31800</v>
      </c>
      <c r="F4906" t="inlineStr">
        <is>
          <t>B</t>
        </is>
      </c>
      <c r="G4906" s="34" t="n">
        <v>5077</v>
      </c>
      <c r="H4906" s="34" t="n">
        <v>26723</v>
      </c>
      <c r="I4906" t="inlineStr">
        <is>
          <t>3.2</t>
        </is>
      </c>
      <c r="J4906" t="inlineStr">
        <is>
          <t>Ventas Personas (B2C)</t>
        </is>
      </c>
      <c r="K4906" t="inlineStr">
        <is>
          <t>CH2</t>
        </is>
      </c>
    </row>
    <row r="4907">
      <c r="A4907" s="33" t="n">
        <v>46041</v>
      </c>
      <c r="B4907" t="inlineStr">
        <is>
          <t>2026-01</t>
        </is>
      </c>
      <c r="C4907" t="inlineStr">
        <is>
          <t>INVERSIONES Y ASESORIAS RAVAL LIMITADA</t>
        </is>
      </c>
      <c r="D4907" t="inlineStr">
        <is>
          <t>HORECA CAFETERIA</t>
        </is>
      </c>
      <c r="E4907" s="34" t="n">
        <v>75030</v>
      </c>
      <c r="F4907" t="inlineStr">
        <is>
          <t>F</t>
        </is>
      </c>
      <c r="G4907" s="34" t="n">
        <v>11980</v>
      </c>
      <c r="H4907" s="34" t="n">
        <v>63050</v>
      </c>
      <c r="I4907" t="inlineStr">
        <is>
          <t>3.1</t>
        </is>
      </c>
      <c r="J4907" t="inlineStr">
        <is>
          <t>Ventas HoReCa</t>
        </is>
      </c>
      <c r="K4907" t="inlineStr">
        <is>
          <t>CH1</t>
        </is>
      </c>
    </row>
    <row r="4908">
      <c r="A4908" s="33" t="n">
        <v>46041</v>
      </c>
      <c r="B4908" t="inlineStr">
        <is>
          <t>2026-01</t>
        </is>
      </c>
      <c r="C4908" t="inlineStr">
        <is>
          <t>INVERSIONES Y COMERCIALIZADORA FED LIMITADA</t>
        </is>
      </c>
      <c r="D4908" t="inlineStr">
        <is>
          <t>HORECA CAFETERIA</t>
        </is>
      </c>
      <c r="E4908" s="34" t="n">
        <v>61581</v>
      </c>
      <c r="F4908" t="inlineStr">
        <is>
          <t>F</t>
        </is>
      </c>
      <c r="G4908" s="34" t="n">
        <v>9832</v>
      </c>
      <c r="H4908" s="34" t="n">
        <v>51749</v>
      </c>
      <c r="I4908" t="inlineStr">
        <is>
          <t>3.1</t>
        </is>
      </c>
      <c r="J4908" t="inlineStr">
        <is>
          <t>Ventas HoReCa</t>
        </is>
      </c>
      <c r="K4908" t="inlineStr">
        <is>
          <t>CH1</t>
        </is>
      </c>
    </row>
    <row r="4909">
      <c r="A4909" s="33" t="n">
        <v>46041</v>
      </c>
      <c r="B4909" t="inlineStr">
        <is>
          <t>2026-01</t>
        </is>
      </c>
      <c r="C4909" t="inlineStr">
        <is>
          <t>INVERSIONES Y COMERCIALIZADORA FED LIMITADA</t>
        </is>
      </c>
      <c r="D4909" t="inlineStr">
        <is>
          <t>HORECA CAFETERIA</t>
        </is>
      </c>
      <c r="E4909" s="34" t="n">
        <v>282203</v>
      </c>
      <c r="F4909" t="inlineStr">
        <is>
          <t>F</t>
        </is>
      </c>
      <c r="G4909" s="34" t="n">
        <v>45058</v>
      </c>
      <c r="H4909" s="34" t="n">
        <v>237145</v>
      </c>
      <c r="I4909" t="inlineStr">
        <is>
          <t>3.1</t>
        </is>
      </c>
      <c r="J4909" t="inlineStr">
        <is>
          <t>Ventas HoReCa</t>
        </is>
      </c>
      <c r="K4909" t="inlineStr">
        <is>
          <t>CH1</t>
        </is>
      </c>
    </row>
    <row r="4910">
      <c r="A4910" s="33" t="n">
        <v>46041</v>
      </c>
      <c r="B4910" t="inlineStr">
        <is>
          <t>2026-01</t>
        </is>
      </c>
      <c r="C4910" t="inlineStr">
        <is>
          <t>Comercial Aromo LTDA</t>
        </is>
      </c>
      <c r="D4910" t="inlineStr">
        <is>
          <t>HORECA CAFETERIA</t>
        </is>
      </c>
      <c r="E4910" s="34" t="n">
        <v>95026</v>
      </c>
      <c r="F4910" t="inlineStr">
        <is>
          <t>F</t>
        </is>
      </c>
      <c r="G4910" s="34" t="n">
        <v>15172</v>
      </c>
      <c r="H4910" s="34" t="n">
        <v>79854</v>
      </c>
      <c r="I4910" t="inlineStr">
        <is>
          <t>3.1</t>
        </is>
      </c>
      <c r="J4910" t="inlineStr">
        <is>
          <t>Ventas HoReCa</t>
        </is>
      </c>
      <c r="K4910" t="inlineStr">
        <is>
          <t>CH1</t>
        </is>
      </c>
    </row>
    <row r="4911">
      <c r="A4911" s="33" t="n">
        <v>46041</v>
      </c>
      <c r="B4911" t="inlineStr">
        <is>
          <t>2026-01</t>
        </is>
      </c>
      <c r="C4911" t="inlineStr">
        <is>
          <t>Andrés Espinoza</t>
        </is>
      </c>
      <c r="D4911" t="inlineStr">
        <is>
          <t>Mix Sabores</t>
        </is>
      </c>
      <c r="E4911" s="34" t="n">
        <v>52690</v>
      </c>
      <c r="F4911" t="inlineStr">
        <is>
          <t>B</t>
        </is>
      </c>
      <c r="G4911" s="34" t="n">
        <v>8413</v>
      </c>
      <c r="H4911" s="34" t="n">
        <v>44277</v>
      </c>
      <c r="I4911" t="inlineStr">
        <is>
          <t>3.2</t>
        </is>
      </c>
      <c r="J4911" t="inlineStr">
        <is>
          <t>Ventas Personas (B2C)</t>
        </is>
      </c>
      <c r="K4911" t="inlineStr">
        <is>
          <t>CH2</t>
        </is>
      </c>
    </row>
    <row r="4912">
      <c r="A4912" s="33" t="n">
        <v>46041</v>
      </c>
      <c r="B4912" t="inlineStr">
        <is>
          <t>2026-01</t>
        </is>
      </c>
      <c r="C4912" t="inlineStr">
        <is>
          <t>Gabriela Santos</t>
        </is>
      </c>
      <c r="D4912" t="inlineStr">
        <is>
          <t>CANELÉ TRADICIONAL</t>
        </is>
      </c>
      <c r="E4912" s="34" t="n">
        <v>22900</v>
      </c>
      <c r="F4912" t="inlineStr">
        <is>
          <t>B</t>
        </is>
      </c>
      <c r="G4912" s="34" t="n">
        <v>3656</v>
      </c>
      <c r="H4912" s="34" t="n">
        <v>19244</v>
      </c>
      <c r="I4912" t="inlineStr">
        <is>
          <t>3.2</t>
        </is>
      </c>
      <c r="J4912" t="inlineStr">
        <is>
          <t>Ventas Personas (B2C)</t>
        </is>
      </c>
      <c r="K4912" t="inlineStr">
        <is>
          <t>CH2</t>
        </is>
      </c>
    </row>
    <row r="4913">
      <c r="A4913" s="33" t="n">
        <v>46041</v>
      </c>
      <c r="B4913" t="inlineStr">
        <is>
          <t>2026-01</t>
        </is>
      </c>
      <c r="C4913" t="inlineStr">
        <is>
          <t>Ignacio Perez</t>
        </is>
      </c>
      <c r="D4913" t="inlineStr">
        <is>
          <t>SALSAS</t>
        </is>
      </c>
      <c r="E4913" s="34" t="n">
        <v>40401</v>
      </c>
      <c r="F4913" t="inlineStr">
        <is>
          <t>B</t>
        </is>
      </c>
      <c r="G4913" s="34" t="n">
        <v>6451</v>
      </c>
      <c r="H4913" s="34" t="n">
        <v>33950</v>
      </c>
      <c r="I4913" t="inlineStr">
        <is>
          <t>3.2</t>
        </is>
      </c>
      <c r="J4913" t="inlineStr">
        <is>
          <t>Ventas Personas (B2C)</t>
        </is>
      </c>
      <c r="K4913" t="inlineStr">
        <is>
          <t>CH2</t>
        </is>
      </c>
    </row>
    <row r="4914">
      <c r="A4914" s="33" t="n">
        <v>46041</v>
      </c>
      <c r="B4914" t="inlineStr">
        <is>
          <t>2026-01</t>
        </is>
      </c>
      <c r="C4914" t="inlineStr">
        <is>
          <t>Maria jesus salvatierra</t>
        </is>
      </c>
      <c r="D4914" t="inlineStr">
        <is>
          <t>CANELE SIN AZUCAR</t>
        </is>
      </c>
      <c r="E4914" s="34" t="n">
        <v>34290</v>
      </c>
      <c r="F4914" t="inlineStr">
        <is>
          <t>B</t>
        </is>
      </c>
      <c r="G4914" s="34" t="n">
        <v>5475</v>
      </c>
      <c r="H4914" s="34" t="n">
        <v>28815</v>
      </c>
      <c r="I4914" t="inlineStr">
        <is>
          <t>3.2</t>
        </is>
      </c>
      <c r="J4914" t="inlineStr">
        <is>
          <t>Ventas Personas (B2C)</t>
        </is>
      </c>
      <c r="K4914" t="inlineStr">
        <is>
          <t>CH2</t>
        </is>
      </c>
    </row>
    <row r="4915">
      <c r="A4915" s="33" t="n">
        <v>46041</v>
      </c>
      <c r="B4915" t="inlineStr">
        <is>
          <t>2026-01</t>
        </is>
      </c>
      <c r="C4915" t="inlineStr">
        <is>
          <t>Sin cliente</t>
        </is>
      </c>
      <c r="D4915" t="inlineStr">
        <is>
          <t>CANELÉ TRADICIONAL</t>
        </is>
      </c>
      <c r="E4915" s="34" t="n">
        <v>7500</v>
      </c>
      <c r="F4915" t="inlineStr">
        <is>
          <t>B</t>
        </is>
      </c>
      <c r="G4915" s="34" t="n">
        <v>1197</v>
      </c>
      <c r="H4915" s="34" t="n">
        <v>6303</v>
      </c>
      <c r="I4915" t="inlineStr">
        <is>
          <t>3.2</t>
        </is>
      </c>
      <c r="J4915" t="inlineStr">
        <is>
          <t>Ventas Personas (B2C)</t>
        </is>
      </c>
      <c r="K4915" t="inlineStr">
        <is>
          <t>CH2</t>
        </is>
      </c>
    </row>
    <row r="4916">
      <c r="A4916" s="33" t="n">
        <v>46041</v>
      </c>
      <c r="B4916" t="inlineStr">
        <is>
          <t>2026-01</t>
        </is>
      </c>
      <c r="C4916" t="inlineStr">
        <is>
          <t>Sin cliente</t>
        </is>
      </c>
      <c r="D4916" t="inlineStr">
        <is>
          <t>PLATAFORMAS RAP-PEYA-UBER-GOOD</t>
        </is>
      </c>
      <c r="E4916" s="34" t="n">
        <v>20280</v>
      </c>
      <c r="F4916" t="inlineStr">
        <is>
          <t>B</t>
        </is>
      </c>
      <c r="G4916" s="34" t="n">
        <v>3238</v>
      </c>
      <c r="H4916" s="34" t="n">
        <v>17042</v>
      </c>
      <c r="I4916" t="inlineStr">
        <is>
          <t>3.6</t>
        </is>
      </c>
      <c r="J4916" t="inlineStr">
        <is>
          <t>Ventas Delivery Apps</t>
        </is>
      </c>
      <c r="K4916" t="inlineStr">
        <is>
          <t>CH3</t>
        </is>
      </c>
    </row>
    <row r="4917">
      <c r="A4917" s="33" t="n">
        <v>46041</v>
      </c>
      <c r="B4917" t="inlineStr">
        <is>
          <t>2026-01</t>
        </is>
      </c>
      <c r="C4917" t="inlineStr">
        <is>
          <t>Sin cliente</t>
        </is>
      </c>
      <c r="D4917" t="inlineStr">
        <is>
          <t>PLATAFORMAS RAP-PEYA-UBER-GOOD</t>
        </is>
      </c>
      <c r="E4917" s="34" t="n">
        <v>19080</v>
      </c>
      <c r="F4917" t="inlineStr">
        <is>
          <t>B</t>
        </is>
      </c>
      <c r="G4917" s="34" t="n">
        <v>3046</v>
      </c>
      <c r="H4917" s="34" t="n">
        <v>16034</v>
      </c>
      <c r="I4917" t="inlineStr">
        <is>
          <t>3.6</t>
        </is>
      </c>
      <c r="J4917" t="inlineStr">
        <is>
          <t>Ventas Delivery Apps</t>
        </is>
      </c>
      <c r="K4917" t="inlineStr">
        <is>
          <t>CH3</t>
        </is>
      </c>
    </row>
    <row r="4918">
      <c r="A4918" s="33" t="n">
        <v>46041</v>
      </c>
      <c r="B4918" t="inlineStr">
        <is>
          <t>2026-01</t>
        </is>
      </c>
      <c r="C4918" t="inlineStr">
        <is>
          <t>Yuleidis Luis Carrazana</t>
        </is>
      </c>
      <c r="D4918" t="inlineStr">
        <is>
          <t>CANELE SIN AZUCAR</t>
        </is>
      </c>
      <c r="E4918" s="34" t="n">
        <v>38190</v>
      </c>
      <c r="F4918" t="inlineStr">
        <is>
          <t>B</t>
        </is>
      </c>
      <c r="G4918" s="34" t="n">
        <v>6098</v>
      </c>
      <c r="H4918" s="34" t="n">
        <v>32093</v>
      </c>
      <c r="I4918" t="inlineStr">
        <is>
          <t>3.2</t>
        </is>
      </c>
      <c r="J4918" t="inlineStr">
        <is>
          <t>Ventas Personas (B2C)</t>
        </is>
      </c>
      <c r="K4918" t="inlineStr">
        <is>
          <t>CH2</t>
        </is>
      </c>
    </row>
    <row r="4919">
      <c r="A4919" s="33" t="n">
        <v>46041</v>
      </c>
      <c r="B4919" t="inlineStr">
        <is>
          <t>2026-01</t>
        </is>
      </c>
      <c r="C4919" t="inlineStr">
        <is>
          <t>Sin cliente</t>
        </is>
      </c>
      <c r="D4919" t="inlineStr">
        <is>
          <t>PLATAFORMAS RAP-PEYA-UBER-GOOD</t>
        </is>
      </c>
      <c r="E4919" s="34" t="n">
        <v>24960</v>
      </c>
      <c r="F4919" t="inlineStr">
        <is>
          <t>B</t>
        </is>
      </c>
      <c r="G4919" s="34" t="n">
        <v>3985</v>
      </c>
      <c r="H4919" s="34" t="n">
        <v>20975</v>
      </c>
      <c r="I4919" t="inlineStr">
        <is>
          <t>3.6</t>
        </is>
      </c>
      <c r="J4919" t="inlineStr">
        <is>
          <t>Ventas Delivery Apps</t>
        </is>
      </c>
      <c r="K4919" t="inlineStr">
        <is>
          <t>CH3</t>
        </is>
      </c>
    </row>
    <row r="4920">
      <c r="A4920" s="33" t="n">
        <v>46041</v>
      </c>
      <c r="B4920" t="inlineStr">
        <is>
          <t>2026-01</t>
        </is>
      </c>
      <c r="C4920" t="inlineStr">
        <is>
          <t>Matias Toloza</t>
        </is>
      </c>
      <c r="D4920" t="inlineStr">
        <is>
          <t>PACKAGING</t>
        </is>
      </c>
      <c r="E4920" s="34" t="n">
        <v>25380</v>
      </c>
      <c r="F4920" t="inlineStr">
        <is>
          <t>B</t>
        </is>
      </c>
      <c r="G4920" s="34" t="n">
        <v>4052</v>
      </c>
      <c r="H4920" s="34" t="n">
        <v>21328</v>
      </c>
      <c r="I4920" t="inlineStr">
        <is>
          <t>3.2</t>
        </is>
      </c>
      <c r="J4920" t="inlineStr">
        <is>
          <t>Ventas Personas (B2C)</t>
        </is>
      </c>
      <c r="K4920" t="inlineStr">
        <is>
          <t>CH2</t>
        </is>
      </c>
    </row>
    <row r="4921">
      <c r="A4921" s="33" t="n">
        <v>46041</v>
      </c>
      <c r="B4921" t="inlineStr">
        <is>
          <t>2026-01</t>
        </is>
      </c>
      <c r="C4921" t="inlineStr">
        <is>
          <t>Sin cliente</t>
        </is>
      </c>
      <c r="D4921" t="inlineStr">
        <is>
          <t>CANELÉ TRADICIONAL</t>
        </is>
      </c>
      <c r="E4921" s="34" t="n">
        <v>18400</v>
      </c>
      <c r="F4921" t="inlineStr">
        <is>
          <t>B</t>
        </is>
      </c>
      <c r="G4921" s="34" t="n">
        <v>2938</v>
      </c>
      <c r="H4921" s="34" t="n">
        <v>15462</v>
      </c>
      <c r="I4921" t="inlineStr">
        <is>
          <t>3.2</t>
        </is>
      </c>
      <c r="J4921" t="inlineStr">
        <is>
          <t>Ventas Personas (B2C)</t>
        </is>
      </c>
      <c r="K4921" t="inlineStr">
        <is>
          <t>CH2</t>
        </is>
      </c>
    </row>
    <row r="4922">
      <c r="A4922" s="33" t="n">
        <v>46042</v>
      </c>
      <c r="B4922" t="inlineStr">
        <is>
          <t>2026-01</t>
        </is>
      </c>
      <c r="C4922" t="inlineStr">
        <is>
          <t>BLUE OAK COFFE SPA</t>
        </is>
      </c>
      <c r="D4922" t="inlineStr">
        <is>
          <t>HORECA CAFETERIA</t>
        </is>
      </c>
      <c r="E4922" s="34" t="n">
        <v>201610</v>
      </c>
      <c r="F4922" t="inlineStr">
        <is>
          <t>F</t>
        </is>
      </c>
      <c r="G4922" s="34" t="n">
        <v>32190</v>
      </c>
      <c r="H4922" s="34" t="n">
        <v>169420</v>
      </c>
      <c r="I4922" t="inlineStr">
        <is>
          <t>3.1</t>
        </is>
      </c>
      <c r="J4922" t="inlineStr">
        <is>
          <t>Ventas HoReCa</t>
        </is>
      </c>
      <c r="K4922" t="inlineStr">
        <is>
          <t>CH1</t>
        </is>
      </c>
    </row>
    <row r="4923">
      <c r="A4923" s="33" t="n">
        <v>46042</v>
      </c>
      <c r="B4923" t="inlineStr">
        <is>
          <t>2026-01</t>
        </is>
      </c>
      <c r="C4923" t="inlineStr">
        <is>
          <t>BLUE OAK COFFE SPA</t>
        </is>
      </c>
      <c r="D4923" t="inlineStr">
        <is>
          <t>HORECA CAFETERIA</t>
        </is>
      </c>
      <c r="E4923" s="34" t="n">
        <v>72221</v>
      </c>
      <c r="F4923" t="inlineStr">
        <is>
          <t>F</t>
        </is>
      </c>
      <c r="G4923" s="34" t="n">
        <v>11531</v>
      </c>
      <c r="H4923" s="34" t="n">
        <v>60690</v>
      </c>
      <c r="I4923" t="inlineStr">
        <is>
          <t>3.1</t>
        </is>
      </c>
      <c r="J4923" t="inlineStr">
        <is>
          <t>Ventas HoReCa</t>
        </is>
      </c>
      <c r="K4923" t="inlineStr">
        <is>
          <t>CH1</t>
        </is>
      </c>
    </row>
    <row r="4924">
      <c r="A4924" s="33" t="n">
        <v>46042</v>
      </c>
      <c r="B4924" t="inlineStr">
        <is>
          <t>2026-01</t>
        </is>
      </c>
      <c r="C4924" t="inlineStr">
        <is>
          <t>Inversiones Café Dominicos SpA</t>
        </is>
      </c>
      <c r="D4924" t="inlineStr">
        <is>
          <t xml:space="preserve">THE COFFEE STORE </t>
        </is>
      </c>
      <c r="E4924" s="34" t="n">
        <v>42325</v>
      </c>
      <c r="F4924" t="inlineStr">
        <is>
          <t>F</t>
        </is>
      </c>
      <c r="G4924" s="34" t="n">
        <v>6758</v>
      </c>
      <c r="H4924" s="34" t="n">
        <v>35567</v>
      </c>
      <c r="I4924" t="inlineStr">
        <is>
          <t>3.1</t>
        </is>
      </c>
      <c r="J4924" t="inlineStr">
        <is>
          <t>Ventas HoReCa</t>
        </is>
      </c>
      <c r="K4924" t="inlineStr">
        <is>
          <t>CH1</t>
        </is>
      </c>
    </row>
    <row r="4925">
      <c r="A4925" s="33" t="n">
        <v>46042</v>
      </c>
      <c r="B4925" t="inlineStr">
        <is>
          <t>2026-01</t>
        </is>
      </c>
      <c r="C4925" t="inlineStr">
        <is>
          <t>Catalina Bustos</t>
        </is>
      </c>
      <c r="D4925" t="inlineStr">
        <is>
          <t>Petit Tradicional</t>
        </is>
      </c>
      <c r="E4925" s="34" t="n">
        <v>30190</v>
      </c>
      <c r="F4925" t="inlineStr">
        <is>
          <t>B</t>
        </is>
      </c>
      <c r="G4925" s="34" t="n">
        <v>4820</v>
      </c>
      <c r="H4925" s="34" t="n">
        <v>25370</v>
      </c>
      <c r="I4925" t="inlineStr">
        <is>
          <t>3.2</t>
        </is>
      </c>
      <c r="J4925" t="inlineStr">
        <is>
          <t>Ventas Personas (B2C)</t>
        </is>
      </c>
      <c r="K4925" t="inlineStr">
        <is>
          <t>CH2</t>
        </is>
      </c>
    </row>
    <row r="4926">
      <c r="A4926" s="33" t="n">
        <v>46042</v>
      </c>
      <c r="B4926" t="inlineStr">
        <is>
          <t>2026-01</t>
        </is>
      </c>
      <c r="C4926" t="inlineStr">
        <is>
          <t>Sin cliente</t>
        </is>
      </c>
      <c r="D4926" t="inlineStr">
        <is>
          <t>Rellenos</t>
        </is>
      </c>
      <c r="E4926" s="34" t="n">
        <v>10000</v>
      </c>
      <c r="F4926" t="inlineStr">
        <is>
          <t>B</t>
        </is>
      </c>
      <c r="G4926" s="34" t="n">
        <v>1597</v>
      </c>
      <c r="H4926" s="34" t="n">
        <v>8403</v>
      </c>
      <c r="I4926" t="inlineStr">
        <is>
          <t>3.2</t>
        </is>
      </c>
      <c r="J4926" t="inlineStr">
        <is>
          <t>Ventas Personas (B2C)</t>
        </is>
      </c>
      <c r="K4926" t="inlineStr">
        <is>
          <t>CH2</t>
        </is>
      </c>
    </row>
    <row r="4927">
      <c r="A4927" s="33" t="n">
        <v>46042</v>
      </c>
      <c r="B4927" t="inlineStr">
        <is>
          <t>2026-01</t>
        </is>
      </c>
      <c r="C4927" t="inlineStr">
        <is>
          <t>Cecilia Gallardo</t>
        </is>
      </c>
      <c r="D4927" t="inlineStr">
        <is>
          <t>CANELE SIN AZUCAR</t>
        </is>
      </c>
      <c r="E4927" s="34" t="n">
        <v>36790</v>
      </c>
      <c r="F4927" t="inlineStr">
        <is>
          <t>B</t>
        </is>
      </c>
      <c r="G4927" s="34" t="n">
        <v>5874</v>
      </c>
      <c r="H4927" s="34" t="n">
        <v>30916</v>
      </c>
      <c r="I4927" t="inlineStr">
        <is>
          <t>3.2</t>
        </is>
      </c>
      <c r="J4927" t="inlineStr">
        <is>
          <t>Ventas Personas (B2C)</t>
        </is>
      </c>
      <c r="K4927" t="inlineStr">
        <is>
          <t>CH2</t>
        </is>
      </c>
    </row>
    <row r="4928">
      <c r="A4928" s="33" t="n">
        <v>46042</v>
      </c>
      <c r="B4928" t="inlineStr">
        <is>
          <t>2026-01</t>
        </is>
      </c>
      <c r="C4928" t="inlineStr">
        <is>
          <t>Sin cliente</t>
        </is>
      </c>
      <c r="D4928" t="inlineStr">
        <is>
          <t>Cafeteria Geronimo</t>
        </is>
      </c>
      <c r="E4928" s="34" t="n">
        <v>10000</v>
      </c>
      <c r="F4928" t="inlineStr">
        <is>
          <t>B</t>
        </is>
      </c>
      <c r="G4928" s="34" t="n">
        <v>1597</v>
      </c>
      <c r="H4928" s="34" t="n">
        <v>8403</v>
      </c>
      <c r="I4928" t="inlineStr">
        <is>
          <t>3.2</t>
        </is>
      </c>
      <c r="J4928" t="inlineStr">
        <is>
          <t>Ventas Personas (B2C)</t>
        </is>
      </c>
      <c r="K4928" t="inlineStr">
        <is>
          <t>CH2</t>
        </is>
      </c>
    </row>
    <row r="4929">
      <c r="A4929" s="33" t="n">
        <v>46042</v>
      </c>
      <c r="B4929" t="inlineStr">
        <is>
          <t>2026-01</t>
        </is>
      </c>
      <c r="C4929" t="inlineStr">
        <is>
          <t>Sin cliente</t>
        </is>
      </c>
      <c r="D4929" t="inlineStr">
        <is>
          <t>PACKAGING</t>
        </is>
      </c>
      <c r="E4929" s="34" t="n">
        <v>900</v>
      </c>
      <c r="F4929" t="inlineStr">
        <is>
          <t>B</t>
        </is>
      </c>
      <c r="G4929" s="34" t="n">
        <v>144</v>
      </c>
      <c r="H4929" s="34" t="n">
        <v>756</v>
      </c>
      <c r="I4929" t="inlineStr">
        <is>
          <t>3.2</t>
        </is>
      </c>
      <c r="J4929" t="inlineStr">
        <is>
          <t>Ventas Personas (B2C)</t>
        </is>
      </c>
      <c r="K4929" t="inlineStr">
        <is>
          <t>CH2</t>
        </is>
      </c>
    </row>
    <row r="4930">
      <c r="A4930" s="33" t="n">
        <v>46042</v>
      </c>
      <c r="B4930" t="inlineStr">
        <is>
          <t>2026-01</t>
        </is>
      </c>
      <c r="C4930" t="inlineStr">
        <is>
          <t>Sin cliente</t>
        </is>
      </c>
      <c r="D4930" t="inlineStr">
        <is>
          <t>Cafeteria Geronimo</t>
        </is>
      </c>
      <c r="E4930" s="34" t="n">
        <v>5200</v>
      </c>
      <c r="F4930" t="inlineStr">
        <is>
          <t>B</t>
        </is>
      </c>
      <c r="G4930" s="34" t="n">
        <v>830</v>
      </c>
      <c r="H4930" s="34" t="n">
        <v>4370</v>
      </c>
      <c r="I4930" t="inlineStr">
        <is>
          <t>3.2</t>
        </is>
      </c>
      <c r="J4930" t="inlineStr">
        <is>
          <t>Ventas Personas (B2C)</t>
        </is>
      </c>
      <c r="K4930" t="inlineStr">
        <is>
          <t>CH2</t>
        </is>
      </c>
    </row>
    <row r="4931">
      <c r="A4931" s="33" t="n">
        <v>46042</v>
      </c>
      <c r="B4931" t="inlineStr">
        <is>
          <t>2026-01</t>
        </is>
      </c>
      <c r="C4931" t="inlineStr">
        <is>
          <t>Francisca Rosas romo</t>
        </is>
      </c>
      <c r="D4931" t="inlineStr">
        <is>
          <t>CANELE SIN AZUCAR</t>
        </is>
      </c>
      <c r="E4931" s="34" t="n">
        <v>28790</v>
      </c>
      <c r="F4931" t="inlineStr">
        <is>
          <t>B</t>
        </is>
      </c>
      <c r="G4931" s="34" t="n">
        <v>4597</v>
      </c>
      <c r="H4931" s="34" t="n">
        <v>24193</v>
      </c>
      <c r="I4931" t="inlineStr">
        <is>
          <t>3.2</t>
        </is>
      </c>
      <c r="J4931" t="inlineStr">
        <is>
          <t>Ventas Personas (B2C)</t>
        </is>
      </c>
      <c r="K4931" t="inlineStr">
        <is>
          <t>CH2</t>
        </is>
      </c>
    </row>
    <row r="4932">
      <c r="A4932" s="33" t="n">
        <v>46042</v>
      </c>
      <c r="B4932" t="inlineStr">
        <is>
          <t>2026-01</t>
        </is>
      </c>
      <c r="C4932" t="inlineStr">
        <is>
          <t>Claudio Antezana Barraza</t>
        </is>
      </c>
      <c r="D4932" t="inlineStr">
        <is>
          <t>Rellenos</t>
        </is>
      </c>
      <c r="E4932" s="34" t="n">
        <v>29390</v>
      </c>
      <c r="F4932" t="inlineStr">
        <is>
          <t>B</t>
        </is>
      </c>
      <c r="G4932" s="34" t="n">
        <v>4693</v>
      </c>
      <c r="H4932" s="34" t="n">
        <v>24698</v>
      </c>
      <c r="I4932" t="inlineStr">
        <is>
          <t>3.2</t>
        </is>
      </c>
      <c r="J4932" t="inlineStr">
        <is>
          <t>Ventas Personas (B2C)</t>
        </is>
      </c>
      <c r="K4932" t="inlineStr">
        <is>
          <t>CH2</t>
        </is>
      </c>
    </row>
    <row r="4933">
      <c r="A4933" s="33" t="n">
        <v>46042</v>
      </c>
      <c r="B4933" t="inlineStr">
        <is>
          <t>2026-01</t>
        </is>
      </c>
      <c r="C4933" t="inlineStr">
        <is>
          <t>Francisco Rey</t>
        </is>
      </c>
      <c r="D4933" t="inlineStr">
        <is>
          <t>Petit Tradicional</t>
        </is>
      </c>
      <c r="E4933" s="34" t="n">
        <v>17290</v>
      </c>
      <c r="F4933" t="inlineStr">
        <is>
          <t>B</t>
        </is>
      </c>
      <c r="G4933" s="34" t="n">
        <v>2761</v>
      </c>
      <c r="H4933" s="34" t="n">
        <v>14530</v>
      </c>
      <c r="I4933" t="inlineStr">
        <is>
          <t>3.2</t>
        </is>
      </c>
      <c r="J4933" t="inlineStr">
        <is>
          <t>Ventas Personas (B2C)</t>
        </is>
      </c>
      <c r="K4933" t="inlineStr">
        <is>
          <t>CH2</t>
        </is>
      </c>
    </row>
    <row r="4934">
      <c r="A4934" s="33" t="n">
        <v>46042</v>
      </c>
      <c r="B4934" t="inlineStr">
        <is>
          <t>2026-01</t>
        </is>
      </c>
      <c r="C4934" t="inlineStr">
        <is>
          <t>Danae Sandoval Molina</t>
        </is>
      </c>
      <c r="D4934" t="inlineStr">
        <is>
          <t>CANELÉ TRADICIONAL</t>
        </is>
      </c>
      <c r="E4934" s="34" t="n">
        <v>25390</v>
      </c>
      <c r="F4934" t="inlineStr">
        <is>
          <t>B</t>
        </is>
      </c>
      <c r="G4934" s="34" t="n">
        <v>4054</v>
      </c>
      <c r="H4934" s="34" t="n">
        <v>21336</v>
      </c>
      <c r="I4934" t="inlineStr">
        <is>
          <t>3.2</t>
        </is>
      </c>
      <c r="J4934" t="inlineStr">
        <is>
          <t>Ventas Personas (B2C)</t>
        </is>
      </c>
      <c r="K4934" t="inlineStr">
        <is>
          <t>CH2</t>
        </is>
      </c>
    </row>
    <row r="4935">
      <c r="A4935" s="33" t="n">
        <v>46042</v>
      </c>
      <c r="B4935" t="inlineStr">
        <is>
          <t>2026-01</t>
        </is>
      </c>
      <c r="C4935" t="inlineStr">
        <is>
          <t>Comercial e inv. ChileEmporio Lda.</t>
        </is>
      </c>
      <c r="D4935" t="inlineStr">
        <is>
          <t>CANELÉ TRADICIONAL</t>
        </is>
      </c>
      <c r="E4935" s="34" t="n">
        <v>65201</v>
      </c>
      <c r="F4935" t="inlineStr">
        <is>
          <t>F</t>
        </is>
      </c>
      <c r="G4935" s="34" t="n">
        <v>10410</v>
      </c>
      <c r="H4935" s="34" t="n">
        <v>54791</v>
      </c>
      <c r="I4935" t="inlineStr">
        <is>
          <t>3.1</t>
        </is>
      </c>
      <c r="J4935" t="inlineStr">
        <is>
          <t>Ventas HoReCa</t>
        </is>
      </c>
      <c r="K4935" t="inlineStr">
        <is>
          <t>CH1</t>
        </is>
      </c>
    </row>
    <row r="4936">
      <c r="A4936" s="33" t="n">
        <v>46042</v>
      </c>
      <c r="B4936" t="inlineStr">
        <is>
          <t>2026-01</t>
        </is>
      </c>
      <c r="C4936" t="inlineStr">
        <is>
          <t>Sin cliente</t>
        </is>
      </c>
      <c r="D4936" t="inlineStr">
        <is>
          <t>Rellenos</t>
        </is>
      </c>
      <c r="E4936" s="34" t="n">
        <v>7000</v>
      </c>
      <c r="F4936" t="inlineStr">
        <is>
          <t>B</t>
        </is>
      </c>
      <c r="G4936" s="34" t="n">
        <v>1118</v>
      </c>
      <c r="H4936" s="34" t="n">
        <v>5882</v>
      </c>
      <c r="I4936" t="inlineStr">
        <is>
          <t>3.2</t>
        </is>
      </c>
      <c r="J4936" t="inlineStr">
        <is>
          <t>Ventas Personas (B2C)</t>
        </is>
      </c>
      <c r="K4936" t="inlineStr">
        <is>
          <t>CH2</t>
        </is>
      </c>
    </row>
    <row r="4937">
      <c r="A4937" s="33" t="n">
        <v>46042</v>
      </c>
      <c r="B4937" t="inlineStr">
        <is>
          <t>2026-01</t>
        </is>
      </c>
      <c r="C4937" t="inlineStr">
        <is>
          <t>Sin cliente</t>
        </is>
      </c>
      <c r="D4937" t="inlineStr">
        <is>
          <t>PLATAFORMAS RAP-PEYA-UBER-GOOD</t>
        </is>
      </c>
      <c r="E4937" s="34" t="n">
        <v>29640</v>
      </c>
      <c r="F4937" t="inlineStr">
        <is>
          <t>B</t>
        </is>
      </c>
      <c r="G4937" s="34" t="n">
        <v>4732</v>
      </c>
      <c r="H4937" s="34" t="n">
        <v>24908</v>
      </c>
      <c r="I4937" t="inlineStr">
        <is>
          <t>3.6</t>
        </is>
      </c>
      <c r="J4937" t="inlineStr">
        <is>
          <t>Ventas Delivery Apps</t>
        </is>
      </c>
      <c r="K4937" t="inlineStr">
        <is>
          <t>CH3</t>
        </is>
      </c>
    </row>
    <row r="4938">
      <c r="A4938" s="33" t="n">
        <v>46042</v>
      </c>
      <c r="B4938" t="inlineStr">
        <is>
          <t>2026-01</t>
        </is>
      </c>
      <c r="C4938" t="inlineStr">
        <is>
          <t>Sin cliente</t>
        </is>
      </c>
      <c r="D4938" t="inlineStr">
        <is>
          <t>Rellenos</t>
        </is>
      </c>
      <c r="E4938" s="34" t="n">
        <v>18900</v>
      </c>
      <c r="F4938" t="inlineStr">
        <is>
          <t>B</t>
        </is>
      </c>
      <c r="G4938" s="34" t="n">
        <v>3018</v>
      </c>
      <c r="H4938" s="34" t="n">
        <v>15882</v>
      </c>
      <c r="I4938" t="inlineStr">
        <is>
          <t>3.2</t>
        </is>
      </c>
      <c r="J4938" t="inlineStr">
        <is>
          <t>Ventas Personas (B2C)</t>
        </is>
      </c>
      <c r="K4938" t="inlineStr">
        <is>
          <t>CH2</t>
        </is>
      </c>
    </row>
    <row r="4939">
      <c r="A4939" s="33" t="n">
        <v>46042</v>
      </c>
      <c r="B4939" t="inlineStr">
        <is>
          <t>2026-01</t>
        </is>
      </c>
      <c r="C4939" t="inlineStr">
        <is>
          <t>Sin cliente</t>
        </is>
      </c>
      <c r="D4939" t="inlineStr">
        <is>
          <t>Delicatessen</t>
        </is>
      </c>
      <c r="E4939" s="34" t="n">
        <v>34510</v>
      </c>
      <c r="F4939" t="inlineStr">
        <is>
          <t>B</t>
        </is>
      </c>
      <c r="G4939" s="34" t="n">
        <v>5510</v>
      </c>
      <c r="H4939" s="34" t="n">
        <v>29000</v>
      </c>
      <c r="I4939" t="inlineStr">
        <is>
          <t>3.2</t>
        </is>
      </c>
      <c r="J4939" t="inlineStr">
        <is>
          <t>Ventas Personas (B2C)</t>
        </is>
      </c>
      <c r="K4939" t="inlineStr">
        <is>
          <t>CH2</t>
        </is>
      </c>
    </row>
    <row r="4940">
      <c r="A4940" s="33" t="n">
        <v>46042</v>
      </c>
      <c r="B4940" t="inlineStr">
        <is>
          <t>2026-01</t>
        </is>
      </c>
      <c r="C4940" t="inlineStr">
        <is>
          <t>Sin cliente</t>
        </is>
      </c>
      <c r="D4940" t="inlineStr">
        <is>
          <t>Rellenos</t>
        </is>
      </c>
      <c r="E4940" s="34" t="n">
        <v>33800</v>
      </c>
      <c r="F4940" t="inlineStr">
        <is>
          <t>B</t>
        </is>
      </c>
      <c r="G4940" s="34" t="n">
        <v>5397</v>
      </c>
      <c r="H4940" s="34" t="n">
        <v>28403</v>
      </c>
      <c r="I4940" t="inlineStr">
        <is>
          <t>3.2</t>
        </is>
      </c>
      <c r="J4940" t="inlineStr">
        <is>
          <t>Ventas Personas (B2C)</t>
        </is>
      </c>
      <c r="K4940" t="inlineStr">
        <is>
          <t>CH2</t>
        </is>
      </c>
    </row>
    <row r="4941">
      <c r="A4941" s="33" t="n">
        <v>46043</v>
      </c>
      <c r="B4941" t="inlineStr">
        <is>
          <t>2026-01</t>
        </is>
      </c>
      <c r="C4941" t="inlineStr">
        <is>
          <t xml:space="preserve">Café lucerna spa </t>
        </is>
      </c>
      <c r="D4941" t="inlineStr">
        <is>
          <t>HORECA CAFETERIA</t>
        </is>
      </c>
      <c r="E4941" s="34" t="n">
        <v>71210</v>
      </c>
      <c r="F4941" t="inlineStr">
        <is>
          <t>F</t>
        </is>
      </c>
      <c r="G4941" s="34" t="n">
        <v>11370</v>
      </c>
      <c r="H4941" s="34" t="n">
        <v>59840</v>
      </c>
      <c r="I4941" t="inlineStr">
        <is>
          <t>3.1</t>
        </is>
      </c>
      <c r="J4941" t="inlineStr">
        <is>
          <t>Ventas HoReCa</t>
        </is>
      </c>
      <c r="K4941" t="inlineStr">
        <is>
          <t>CH1</t>
        </is>
      </c>
    </row>
    <row r="4942">
      <c r="A4942" s="33" t="n">
        <v>46043</v>
      </c>
      <c r="B4942" t="inlineStr">
        <is>
          <t>2026-01</t>
        </is>
      </c>
      <c r="C4942" t="inlineStr">
        <is>
          <t>Inversiones Nagua SPA</t>
        </is>
      </c>
      <c r="D4942" t="inlineStr">
        <is>
          <t>HORECA CAFETERIA</t>
        </is>
      </c>
      <c r="E4942" s="34" t="n">
        <v>71210</v>
      </c>
      <c r="F4942" t="inlineStr">
        <is>
          <t>F</t>
        </is>
      </c>
      <c r="G4942" s="34" t="n">
        <v>11370</v>
      </c>
      <c r="H4942" s="34" t="n">
        <v>59840</v>
      </c>
      <c r="I4942" t="inlineStr">
        <is>
          <t>3.1</t>
        </is>
      </c>
      <c r="J4942" t="inlineStr">
        <is>
          <t>Ventas HoReCa</t>
        </is>
      </c>
      <c r="K4942" t="inlineStr">
        <is>
          <t>CH1</t>
        </is>
      </c>
    </row>
    <row r="4943">
      <c r="A4943" s="33" t="n">
        <v>46043</v>
      </c>
      <c r="B4943" t="inlineStr">
        <is>
          <t>2026-01</t>
        </is>
      </c>
      <c r="C4943" t="inlineStr">
        <is>
          <t>CAFE DIARIO ENCOMENDEROS SPA</t>
        </is>
      </c>
      <c r="D4943" t="inlineStr">
        <is>
          <t>HORECA CAFETERIA</t>
        </is>
      </c>
      <c r="E4943" s="34" t="n">
        <v>108380</v>
      </c>
      <c r="F4943" t="inlineStr">
        <is>
          <t>F</t>
        </is>
      </c>
      <c r="G4943" s="34" t="n">
        <v>17304</v>
      </c>
      <c r="H4943" s="34" t="n">
        <v>91076</v>
      </c>
      <c r="I4943" t="inlineStr">
        <is>
          <t>3.1</t>
        </is>
      </c>
      <c r="J4943" t="inlineStr">
        <is>
          <t>Ventas HoReCa</t>
        </is>
      </c>
      <c r="K4943" t="inlineStr">
        <is>
          <t>CH1</t>
        </is>
      </c>
    </row>
    <row r="4944">
      <c r="A4944" s="33" t="n">
        <v>46043</v>
      </c>
      <c r="B4944" t="inlineStr">
        <is>
          <t>2026-01</t>
        </is>
      </c>
      <c r="C4944" t="inlineStr">
        <is>
          <t>Sin cliente</t>
        </is>
      </c>
      <c r="D4944" t="inlineStr">
        <is>
          <t>Cafeteria Geronimo</t>
        </is>
      </c>
      <c r="E4944" s="34" t="n">
        <v>9000</v>
      </c>
      <c r="F4944" t="inlineStr">
        <is>
          <t>B</t>
        </is>
      </c>
      <c r="G4944" s="34" t="n">
        <v>1437</v>
      </c>
      <c r="H4944" s="34" t="n">
        <v>7563</v>
      </c>
      <c r="I4944" t="inlineStr">
        <is>
          <t>3.2</t>
        </is>
      </c>
      <c r="J4944" t="inlineStr">
        <is>
          <t>Ventas Personas (B2C)</t>
        </is>
      </c>
      <c r="K4944" t="inlineStr">
        <is>
          <t>CH2</t>
        </is>
      </c>
    </row>
    <row r="4945">
      <c r="A4945" s="33" t="n">
        <v>46043</v>
      </c>
      <c r="B4945" t="inlineStr">
        <is>
          <t>2026-01</t>
        </is>
      </c>
      <c r="C4945" t="inlineStr">
        <is>
          <t>Sin cliente</t>
        </is>
      </c>
      <c r="D4945" t="inlineStr">
        <is>
          <t>Delicatessen</t>
        </is>
      </c>
      <c r="E4945" s="34" t="n">
        <v>3400</v>
      </c>
      <c r="F4945" t="inlineStr">
        <is>
          <t>B</t>
        </is>
      </c>
      <c r="G4945" s="34" t="n">
        <v>543</v>
      </c>
      <c r="H4945" s="34" t="n">
        <v>2857</v>
      </c>
      <c r="I4945" t="inlineStr">
        <is>
          <t>3.2</t>
        </is>
      </c>
      <c r="J4945" t="inlineStr">
        <is>
          <t>Ventas Personas (B2C)</t>
        </is>
      </c>
      <c r="K4945" t="inlineStr">
        <is>
          <t>CH2</t>
        </is>
      </c>
    </row>
    <row r="4946">
      <c r="A4946" s="33" t="n">
        <v>46043</v>
      </c>
      <c r="B4946" t="inlineStr">
        <is>
          <t>2026-01</t>
        </is>
      </c>
      <c r="C4946" t="inlineStr">
        <is>
          <t>Josefina Bravo Iñiguez</t>
        </is>
      </c>
      <c r="D4946" t="inlineStr">
        <is>
          <t>Petit Tradicional</t>
        </is>
      </c>
      <c r="E4946" s="34" t="n">
        <v>17290</v>
      </c>
      <c r="F4946" t="inlineStr">
        <is>
          <t>B</t>
        </is>
      </c>
      <c r="G4946" s="34" t="n">
        <v>2761</v>
      </c>
      <c r="H4946" s="34" t="n">
        <v>14530</v>
      </c>
      <c r="I4946" t="inlineStr">
        <is>
          <t>3.2</t>
        </is>
      </c>
      <c r="J4946" t="inlineStr">
        <is>
          <t>Ventas Personas (B2C)</t>
        </is>
      </c>
      <c r="K4946" t="inlineStr">
        <is>
          <t>CH2</t>
        </is>
      </c>
    </row>
    <row r="4947">
      <c r="A4947" s="33" t="n">
        <v>46043</v>
      </c>
      <c r="B4947" t="inlineStr">
        <is>
          <t>2026-01</t>
        </is>
      </c>
      <c r="C4947" t="inlineStr">
        <is>
          <t>Martin Araya</t>
        </is>
      </c>
      <c r="D4947" t="inlineStr">
        <is>
          <t>CANELE SIN AZUCAR</t>
        </is>
      </c>
      <c r="E4947" s="34" t="n">
        <v>29790</v>
      </c>
      <c r="F4947" t="inlineStr">
        <is>
          <t>B</t>
        </is>
      </c>
      <c r="G4947" s="34" t="n">
        <v>4756</v>
      </c>
      <c r="H4947" s="34" t="n">
        <v>25033</v>
      </c>
      <c r="I4947" t="inlineStr">
        <is>
          <t>3.2</t>
        </is>
      </c>
      <c r="J4947" t="inlineStr">
        <is>
          <t>Ventas Personas (B2C)</t>
        </is>
      </c>
      <c r="K4947" t="inlineStr">
        <is>
          <t>CH2</t>
        </is>
      </c>
    </row>
    <row r="4948">
      <c r="A4948" s="33" t="n">
        <v>46043</v>
      </c>
      <c r="B4948" t="inlineStr">
        <is>
          <t>2026-01</t>
        </is>
      </c>
      <c r="C4948" t="inlineStr">
        <is>
          <t>Sin cliente</t>
        </is>
      </c>
      <c r="D4948" t="inlineStr">
        <is>
          <t>Rellenos</t>
        </is>
      </c>
      <c r="E4948" s="34" t="n">
        <v>24300</v>
      </c>
      <c r="F4948" t="inlineStr">
        <is>
          <t>B</t>
        </is>
      </c>
      <c r="G4948" s="34" t="n">
        <v>3880</v>
      </c>
      <c r="H4948" s="34" t="n">
        <v>20420</v>
      </c>
      <c r="I4948" t="inlineStr">
        <is>
          <t>3.2</t>
        </is>
      </c>
      <c r="J4948" t="inlineStr">
        <is>
          <t>Ventas Personas (B2C)</t>
        </is>
      </c>
      <c r="K4948" t="inlineStr">
        <is>
          <t>CH2</t>
        </is>
      </c>
    </row>
    <row r="4949">
      <c r="A4949" s="33" t="n">
        <v>46043</v>
      </c>
      <c r="B4949" t="inlineStr">
        <is>
          <t>2026-01</t>
        </is>
      </c>
      <c r="C4949" t="inlineStr">
        <is>
          <t>Paula Soto Molina</t>
        </is>
      </c>
      <c r="D4949" t="inlineStr">
        <is>
          <t>Petit Crunchy</t>
        </is>
      </c>
      <c r="E4949" s="34" t="n">
        <v>82090</v>
      </c>
      <c r="F4949" t="inlineStr">
        <is>
          <t>B</t>
        </is>
      </c>
      <c r="G4949" s="34" t="n">
        <v>13107</v>
      </c>
      <c r="H4949" s="34" t="n">
        <v>68983</v>
      </c>
      <c r="I4949" t="inlineStr">
        <is>
          <t>3.2</t>
        </is>
      </c>
      <c r="J4949" t="inlineStr">
        <is>
          <t>Ventas Personas (B2C)</t>
        </is>
      </c>
      <c r="K4949" t="inlineStr">
        <is>
          <t>CH2</t>
        </is>
      </c>
    </row>
    <row r="4950">
      <c r="A4950" s="33" t="n">
        <v>46044</v>
      </c>
      <c r="B4950" t="inlineStr">
        <is>
          <t>2026-01</t>
        </is>
      </c>
      <c r="C4950" t="inlineStr">
        <is>
          <t>DIEGO VARGAS BANQUETERIA Y EVENTOS SPA</t>
        </is>
      </c>
      <c r="D4950" t="inlineStr">
        <is>
          <t>HORECA CATERING</t>
        </is>
      </c>
      <c r="E4950" s="34" t="n">
        <v>292145</v>
      </c>
      <c r="F4950" t="inlineStr">
        <is>
          <t>F</t>
        </is>
      </c>
      <c r="G4950" s="34" t="n">
        <v>46645</v>
      </c>
      <c r="H4950" s="34" t="n">
        <v>245500</v>
      </c>
      <c r="I4950" t="inlineStr">
        <is>
          <t>3.1</t>
        </is>
      </c>
      <c r="J4950" t="inlineStr">
        <is>
          <t>Ventas HoReCa</t>
        </is>
      </c>
      <c r="K4950" t="inlineStr">
        <is>
          <t>CH1</t>
        </is>
      </c>
    </row>
    <row r="4951">
      <c r="A4951" s="33" t="n">
        <v>46044</v>
      </c>
      <c r="B4951" t="inlineStr">
        <is>
          <t>2026-01</t>
        </is>
      </c>
      <c r="C4951" t="inlineStr">
        <is>
          <t>Better Food Spa</t>
        </is>
      </c>
      <c r="D4951" t="inlineStr">
        <is>
          <t>HORECA CAFETERIA</t>
        </is>
      </c>
      <c r="E4951" s="34" t="n">
        <v>128377</v>
      </c>
      <c r="F4951" t="inlineStr">
        <is>
          <t>F</t>
        </is>
      </c>
      <c r="G4951" s="34" t="n">
        <v>20497</v>
      </c>
      <c r="H4951" s="34" t="n">
        <v>107880</v>
      </c>
      <c r="I4951" t="inlineStr">
        <is>
          <t>3.1</t>
        </is>
      </c>
      <c r="J4951" t="inlineStr">
        <is>
          <t>Ventas HoReCa</t>
        </is>
      </c>
      <c r="K4951" t="inlineStr">
        <is>
          <t>CH1</t>
        </is>
      </c>
    </row>
    <row r="4952">
      <c r="A4952" s="33" t="n">
        <v>46044</v>
      </c>
      <c r="B4952" t="inlineStr">
        <is>
          <t>2026-01</t>
        </is>
      </c>
      <c r="C4952" t="inlineStr">
        <is>
          <t>Better Food Spa</t>
        </is>
      </c>
      <c r="D4952" t="inlineStr">
        <is>
          <t>REGION METROPOLITANA</t>
        </is>
      </c>
      <c r="E4952" s="34" t="n">
        <v>9401</v>
      </c>
      <c r="F4952" t="inlineStr">
        <is>
          <t>F</t>
        </is>
      </c>
      <c r="G4952" s="34" t="n">
        <v>1501</v>
      </c>
      <c r="H4952" s="34" t="n">
        <v>7900</v>
      </c>
      <c r="I4952" t="inlineStr">
        <is>
          <t>3.1</t>
        </is>
      </c>
      <c r="J4952" t="inlineStr">
        <is>
          <t>Ventas HoReCa</t>
        </is>
      </c>
      <c r="K4952" t="inlineStr">
        <is>
          <t>CH1</t>
        </is>
      </c>
    </row>
    <row r="4953">
      <c r="A4953" s="33" t="n">
        <v>46044</v>
      </c>
      <c r="B4953" t="inlineStr">
        <is>
          <t>2026-01</t>
        </is>
      </c>
      <c r="C4953" t="inlineStr">
        <is>
          <t>VILAS BANQUETERIAS SPA</t>
        </is>
      </c>
      <c r="D4953" t="inlineStr">
        <is>
          <t>HORECA CATERING</t>
        </is>
      </c>
      <c r="E4953" s="34" t="n">
        <v>77707</v>
      </c>
      <c r="F4953" t="inlineStr">
        <is>
          <t>F</t>
        </is>
      </c>
      <c r="G4953" s="34" t="n">
        <v>12407</v>
      </c>
      <c r="H4953" s="34" t="n">
        <v>65300</v>
      </c>
      <c r="I4953" t="inlineStr">
        <is>
          <t>3.1</t>
        </is>
      </c>
      <c r="J4953" t="inlineStr">
        <is>
          <t>Ventas HoReCa</t>
        </is>
      </c>
      <c r="K4953" t="inlineStr">
        <is>
          <t>CH1</t>
        </is>
      </c>
    </row>
    <row r="4954">
      <c r="A4954" s="33" t="n">
        <v>46044</v>
      </c>
      <c r="B4954" t="inlineStr">
        <is>
          <t>2026-01</t>
        </is>
      </c>
      <c r="C4954" t="inlineStr">
        <is>
          <t>Bruno Frigoli</t>
        </is>
      </c>
      <c r="D4954" t="inlineStr">
        <is>
          <t>CANELE SIN AZUCAR</t>
        </is>
      </c>
      <c r="E4954" s="34" t="n">
        <v>34690</v>
      </c>
      <c r="F4954" t="inlineStr">
        <is>
          <t>B</t>
        </is>
      </c>
      <c r="G4954" s="34" t="n">
        <v>5539</v>
      </c>
      <c r="H4954" s="34" t="n">
        <v>29151</v>
      </c>
      <c r="I4954" t="inlineStr">
        <is>
          <t>3.2</t>
        </is>
      </c>
      <c r="J4954" t="inlineStr">
        <is>
          <t>Ventas Personas (B2C)</t>
        </is>
      </c>
      <c r="K4954" t="inlineStr">
        <is>
          <t>CH2</t>
        </is>
      </c>
    </row>
    <row r="4955">
      <c r="A4955" s="33" t="n">
        <v>46044</v>
      </c>
      <c r="B4955" t="inlineStr">
        <is>
          <t>2026-01</t>
        </is>
      </c>
      <c r="C4955" t="inlineStr">
        <is>
          <t>Sin cliente</t>
        </is>
      </c>
      <c r="D4955" t="inlineStr">
        <is>
          <t>Mix Sabores</t>
        </is>
      </c>
      <c r="E4955" s="34" t="n">
        <v>15900</v>
      </c>
      <c r="F4955" t="inlineStr">
        <is>
          <t>B</t>
        </is>
      </c>
      <c r="G4955" s="34" t="n">
        <v>2539</v>
      </c>
      <c r="H4955" s="34" t="n">
        <v>13361</v>
      </c>
      <c r="I4955" t="inlineStr">
        <is>
          <t>3.2</t>
        </is>
      </c>
      <c r="J4955" t="inlineStr">
        <is>
          <t>Ventas Personas (B2C)</t>
        </is>
      </c>
      <c r="K4955" t="inlineStr">
        <is>
          <t>CH2</t>
        </is>
      </c>
    </row>
    <row r="4956">
      <c r="A4956" s="33" t="n">
        <v>46044</v>
      </c>
      <c r="B4956" t="inlineStr">
        <is>
          <t>2026-01</t>
        </is>
      </c>
      <c r="C4956" t="inlineStr">
        <is>
          <t>Sin cliente</t>
        </is>
      </c>
      <c r="D4956" t="inlineStr">
        <is>
          <t>PLATAFORMAS RAP-PEYA-UBER-GOOD</t>
        </is>
      </c>
      <c r="E4956" s="34" t="n">
        <v>27470</v>
      </c>
      <c r="F4956" t="inlineStr">
        <is>
          <t>B</t>
        </is>
      </c>
      <c r="G4956" s="34" t="n">
        <v>4386</v>
      </c>
      <c r="H4956" s="34" t="n">
        <v>23084</v>
      </c>
      <c r="I4956" t="inlineStr">
        <is>
          <t>3.6</t>
        </is>
      </c>
      <c r="J4956" t="inlineStr">
        <is>
          <t>Ventas Delivery Apps</t>
        </is>
      </c>
      <c r="K4956" t="inlineStr">
        <is>
          <t>CH3</t>
        </is>
      </c>
    </row>
    <row r="4957">
      <c r="A4957" s="33" t="n">
        <v>46044</v>
      </c>
      <c r="B4957" t="inlineStr">
        <is>
          <t>2026-01</t>
        </is>
      </c>
      <c r="C4957" t="inlineStr">
        <is>
          <t>Sin cliente</t>
        </is>
      </c>
      <c r="D4957" t="inlineStr">
        <is>
          <t>Rellenos</t>
        </is>
      </c>
      <c r="E4957" s="34" t="n">
        <v>29280</v>
      </c>
      <c r="F4957" t="inlineStr">
        <is>
          <t>B</t>
        </is>
      </c>
      <c r="G4957" s="34" t="n">
        <v>4675</v>
      </c>
      <c r="H4957" s="34" t="n">
        <v>24605</v>
      </c>
      <c r="I4957" t="inlineStr">
        <is>
          <t>3.6</t>
        </is>
      </c>
      <c r="J4957" t="inlineStr">
        <is>
          <t>Ventas Delivery Apps</t>
        </is>
      </c>
      <c r="K4957" t="inlineStr">
        <is>
          <t>CH3</t>
        </is>
      </c>
    </row>
    <row r="4958">
      <c r="A4958" s="33" t="n">
        <v>46044</v>
      </c>
      <c r="B4958" t="inlineStr">
        <is>
          <t>2026-01</t>
        </is>
      </c>
      <c r="C4958" t="inlineStr">
        <is>
          <t>VILAS BANQUETERIAS SPA</t>
        </is>
      </c>
      <c r="D4958" t="inlineStr">
        <is>
          <t>HORECA CATERING</t>
        </is>
      </c>
      <c r="E4958" s="34" t="n">
        <v>70686</v>
      </c>
      <c r="F4958" t="inlineStr">
        <is>
          <t>F</t>
        </is>
      </c>
      <c r="G4958" s="34" t="n">
        <v>11286</v>
      </c>
      <c r="H4958" s="34" t="n">
        <v>59400</v>
      </c>
      <c r="I4958" t="inlineStr">
        <is>
          <t>3.1</t>
        </is>
      </c>
      <c r="J4958" t="inlineStr">
        <is>
          <t>Ventas HoReCa</t>
        </is>
      </c>
      <c r="K4958" t="inlineStr">
        <is>
          <t>CH1</t>
        </is>
      </c>
    </row>
    <row r="4959">
      <c r="A4959" s="33" t="n">
        <v>46044</v>
      </c>
      <c r="B4959" t="inlineStr">
        <is>
          <t>2026-01</t>
        </is>
      </c>
      <c r="C4959" t="inlineStr">
        <is>
          <t>Christopher Banfield</t>
        </is>
      </c>
      <c r="D4959" t="inlineStr">
        <is>
          <t>Rellenos</t>
        </is>
      </c>
      <c r="E4959" s="34" t="n">
        <v>45790</v>
      </c>
      <c r="F4959" t="inlineStr">
        <is>
          <t>B</t>
        </is>
      </c>
      <c r="G4959" s="34" t="n">
        <v>7311</v>
      </c>
      <c r="H4959" s="34" t="n">
        <v>38479</v>
      </c>
      <c r="I4959" t="inlineStr">
        <is>
          <t>3.2</t>
        </is>
      </c>
      <c r="J4959" t="inlineStr">
        <is>
          <t>Ventas Personas (B2C)</t>
        </is>
      </c>
      <c r="K4959" t="inlineStr">
        <is>
          <t>CH2</t>
        </is>
      </c>
    </row>
    <row r="4960">
      <c r="A4960" s="33" t="n">
        <v>46044</v>
      </c>
      <c r="B4960" t="inlineStr">
        <is>
          <t>2026-01</t>
        </is>
      </c>
      <c r="C4960" t="inlineStr">
        <is>
          <t>Jesus antonio Villavicencio viena</t>
        </is>
      </c>
      <c r="D4960" t="inlineStr">
        <is>
          <t>Rellenos</t>
        </is>
      </c>
      <c r="E4960" s="34" t="n">
        <v>37390</v>
      </c>
      <c r="F4960" t="inlineStr">
        <is>
          <t>B</t>
        </is>
      </c>
      <c r="G4960" s="34" t="n">
        <v>5970</v>
      </c>
      <c r="H4960" s="34" t="n">
        <v>31420</v>
      </c>
      <c r="I4960" t="inlineStr">
        <is>
          <t>3.2</t>
        </is>
      </c>
      <c r="J4960" t="inlineStr">
        <is>
          <t>Ventas Personas (B2C)</t>
        </is>
      </c>
      <c r="K4960" t="inlineStr">
        <is>
          <t>CH2</t>
        </is>
      </c>
    </row>
    <row r="4961">
      <c r="A4961" s="33" t="n">
        <v>46044</v>
      </c>
      <c r="B4961" t="inlineStr">
        <is>
          <t>2026-01</t>
        </is>
      </c>
      <c r="C4961" t="inlineStr">
        <is>
          <t>Sin cliente</t>
        </is>
      </c>
      <c r="D4961" t="inlineStr">
        <is>
          <t>Glosa Caja de 6 canelés rellenos lemon curd -plataformas</t>
        </is>
      </c>
      <c r="E4961" s="34" t="n">
        <v>22680</v>
      </c>
      <c r="F4961" t="inlineStr">
        <is>
          <t>B</t>
        </is>
      </c>
      <c r="G4961" s="34" t="n">
        <v>3621</v>
      </c>
      <c r="H4961" s="34" t="n">
        <v>19059</v>
      </c>
      <c r="I4961" t="inlineStr">
        <is>
          <t>3.2</t>
        </is>
      </c>
      <c r="J4961" t="inlineStr">
        <is>
          <t>Ventas Personas (B2C)</t>
        </is>
      </c>
      <c r="K4961" t="inlineStr">
        <is>
          <t>CH2</t>
        </is>
      </c>
    </row>
    <row r="4962">
      <c r="A4962" s="33" t="n">
        <v>46044</v>
      </c>
      <c r="B4962" t="inlineStr">
        <is>
          <t>2026-01</t>
        </is>
      </c>
      <c r="C4962" t="inlineStr">
        <is>
          <t>Antonella Vespa</t>
        </is>
      </c>
      <c r="D4962" t="inlineStr">
        <is>
          <t>CANELÉ TRADICIONAL</t>
        </is>
      </c>
      <c r="E4962" s="34" t="n">
        <v>25390</v>
      </c>
      <c r="F4962" t="inlineStr">
        <is>
          <t>B</t>
        </is>
      </c>
      <c r="G4962" s="34" t="n">
        <v>4054</v>
      </c>
      <c r="H4962" s="34" t="n">
        <v>21336</v>
      </c>
      <c r="I4962" t="inlineStr">
        <is>
          <t>3.2</t>
        </is>
      </c>
      <c r="J4962" t="inlineStr">
        <is>
          <t>Ventas Personas (B2C)</t>
        </is>
      </c>
      <c r="K4962" t="inlineStr">
        <is>
          <t>CH2</t>
        </is>
      </c>
    </row>
    <row r="4963">
      <c r="A4963" s="33" t="n">
        <v>46044</v>
      </c>
      <c r="B4963" t="inlineStr">
        <is>
          <t>2026-01</t>
        </is>
      </c>
      <c r="C4963" t="inlineStr">
        <is>
          <t>Sin cliente</t>
        </is>
      </c>
      <c r="D4963" t="inlineStr">
        <is>
          <t>Mix Sabores</t>
        </is>
      </c>
      <c r="E4963" s="34" t="n">
        <v>15900</v>
      </c>
      <c r="F4963" t="inlineStr">
        <is>
          <t>B</t>
        </is>
      </c>
      <c r="G4963" s="34" t="n">
        <v>2539</v>
      </c>
      <c r="H4963" s="34" t="n">
        <v>13361</v>
      </c>
      <c r="I4963" t="inlineStr">
        <is>
          <t>3.2</t>
        </is>
      </c>
      <c r="J4963" t="inlineStr">
        <is>
          <t>Ventas Personas (B2C)</t>
        </is>
      </c>
      <c r="K4963" t="inlineStr">
        <is>
          <t>CH2</t>
        </is>
      </c>
    </row>
    <row r="4964">
      <c r="A4964" s="33" t="n">
        <v>46044</v>
      </c>
      <c r="B4964" t="inlineStr">
        <is>
          <t>2026-01</t>
        </is>
      </c>
      <c r="C4964" t="inlineStr">
        <is>
          <t>Nicolas Waissbluth</t>
        </is>
      </c>
      <c r="D4964" t="inlineStr">
        <is>
          <t>Rellenos</t>
        </is>
      </c>
      <c r="E4964" s="34" t="n">
        <v>42110</v>
      </c>
      <c r="F4964" t="inlineStr">
        <is>
          <t>B</t>
        </is>
      </c>
      <c r="G4964" s="34" t="n">
        <v>6723</v>
      </c>
      <c r="H4964" s="34" t="n">
        <v>35387</v>
      </c>
      <c r="I4964" t="inlineStr">
        <is>
          <t>3.2</t>
        </is>
      </c>
      <c r="J4964" t="inlineStr">
        <is>
          <t>Ventas Personas (B2C)</t>
        </is>
      </c>
      <c r="K4964" t="inlineStr">
        <is>
          <t>CH2</t>
        </is>
      </c>
    </row>
    <row r="4965">
      <c r="A4965" s="33" t="n">
        <v>46045</v>
      </c>
      <c r="B4965" t="inlineStr">
        <is>
          <t>2026-01</t>
        </is>
      </c>
      <c r="C4965" t="inlineStr">
        <is>
          <t>CAFÉ UNDER SPA</t>
        </is>
      </c>
      <c r="D4965" t="inlineStr">
        <is>
          <t>HORECA CAFETERIA</t>
        </is>
      </c>
      <c r="E4965" s="34" t="n">
        <v>71210</v>
      </c>
      <c r="F4965" t="inlineStr">
        <is>
          <t>F</t>
        </is>
      </c>
      <c r="G4965" s="34" t="n">
        <v>11370</v>
      </c>
      <c r="H4965" s="34" t="n">
        <v>59840</v>
      </c>
      <c r="I4965" t="inlineStr">
        <is>
          <t>3.1</t>
        </is>
      </c>
      <c r="J4965" t="inlineStr">
        <is>
          <t>Ventas HoReCa</t>
        </is>
      </c>
      <c r="K4965" t="inlineStr">
        <is>
          <t>CH1</t>
        </is>
      </c>
    </row>
    <row r="4966">
      <c r="A4966" s="33" t="n">
        <v>46045</v>
      </c>
      <c r="B4966" t="inlineStr">
        <is>
          <t>2026-01</t>
        </is>
      </c>
      <c r="C4966" t="inlineStr">
        <is>
          <t>Sociedad de inversiones solari y acuña spa</t>
        </is>
      </c>
      <c r="D4966" t="inlineStr">
        <is>
          <t>HORECA CAFETERIA</t>
        </is>
      </c>
      <c r="E4966" s="34" t="n">
        <v>40127</v>
      </c>
      <c r="F4966" t="inlineStr">
        <is>
          <t>F</t>
        </is>
      </c>
      <c r="G4966" s="34" t="n">
        <v>6407</v>
      </c>
      <c r="H4966" s="34" t="n">
        <v>33720</v>
      </c>
      <c r="I4966" t="inlineStr">
        <is>
          <t>3.1</t>
        </is>
      </c>
      <c r="J4966" t="inlineStr">
        <is>
          <t>Ventas HoReCa</t>
        </is>
      </c>
      <c r="K4966" t="inlineStr">
        <is>
          <t>CH1</t>
        </is>
      </c>
    </row>
    <row r="4967">
      <c r="A4967" s="33" t="n">
        <v>46045</v>
      </c>
      <c r="B4967" t="inlineStr">
        <is>
          <t>2026-01</t>
        </is>
      </c>
      <c r="C4967" t="inlineStr">
        <is>
          <t>Sin cliente</t>
        </is>
      </c>
      <c r="D4967" t="inlineStr">
        <is>
          <t>Rellenos</t>
        </is>
      </c>
      <c r="E4967" s="34" t="n">
        <v>12000</v>
      </c>
      <c r="F4967" t="inlineStr">
        <is>
          <t>B</t>
        </is>
      </c>
      <c r="G4967" s="34" t="n">
        <v>1916</v>
      </c>
      <c r="H4967" s="34" t="n">
        <v>10084</v>
      </c>
      <c r="I4967" t="inlineStr">
        <is>
          <t>3.2</t>
        </is>
      </c>
      <c r="J4967" t="inlineStr">
        <is>
          <t>Ventas Personas (B2C)</t>
        </is>
      </c>
      <c r="K4967" t="inlineStr">
        <is>
          <t>CH2</t>
        </is>
      </c>
    </row>
    <row r="4968">
      <c r="A4968" s="33" t="n">
        <v>46045</v>
      </c>
      <c r="B4968" t="inlineStr">
        <is>
          <t>2026-01</t>
        </is>
      </c>
      <c r="C4968" t="inlineStr">
        <is>
          <t>Sin cliente</t>
        </is>
      </c>
      <c r="D4968" t="inlineStr">
        <is>
          <t>CANELÉ TRADICIONAL</t>
        </is>
      </c>
      <c r="E4968" s="34" t="n">
        <v>2500</v>
      </c>
      <c r="F4968" t="inlineStr">
        <is>
          <t>B</t>
        </is>
      </c>
      <c r="G4968" s="34" t="n">
        <v>399</v>
      </c>
      <c r="H4968" s="34" t="n">
        <v>2101</v>
      </c>
      <c r="I4968" t="inlineStr">
        <is>
          <t>3.2</t>
        </is>
      </c>
      <c r="J4968" t="inlineStr">
        <is>
          <t>Ventas Personas (B2C)</t>
        </is>
      </c>
      <c r="K4968" t="inlineStr">
        <is>
          <t>CH2</t>
        </is>
      </c>
    </row>
    <row r="4969">
      <c r="A4969" s="33" t="n">
        <v>46045</v>
      </c>
      <c r="B4969" t="inlineStr">
        <is>
          <t>2026-01</t>
        </is>
      </c>
      <c r="C4969" t="inlineStr">
        <is>
          <t>Sin cliente</t>
        </is>
      </c>
      <c r="D4969" t="inlineStr">
        <is>
          <t>Delicatessen</t>
        </is>
      </c>
      <c r="E4969" s="34" t="n">
        <v>9800</v>
      </c>
      <c r="F4969" t="inlineStr">
        <is>
          <t>B</t>
        </is>
      </c>
      <c r="G4969" s="34" t="n">
        <v>1565</v>
      </c>
      <c r="H4969" s="34" t="n">
        <v>8235</v>
      </c>
      <c r="I4969" t="inlineStr">
        <is>
          <t>3.2</t>
        </is>
      </c>
      <c r="J4969" t="inlineStr">
        <is>
          <t>Ventas Personas (B2C)</t>
        </is>
      </c>
      <c r="K4969" t="inlineStr">
        <is>
          <t>CH2</t>
        </is>
      </c>
    </row>
    <row r="4970">
      <c r="A4970" s="33" t="n">
        <v>46045</v>
      </c>
      <c r="B4970" t="inlineStr">
        <is>
          <t>2026-01</t>
        </is>
      </c>
      <c r="C4970" t="inlineStr">
        <is>
          <t>CAROLINA SOTO</t>
        </is>
      </c>
      <c r="D4970" t="inlineStr">
        <is>
          <t>Petit Tradicional</t>
        </is>
      </c>
      <c r="E4970" s="34" t="n">
        <v>34110</v>
      </c>
      <c r="F4970" t="inlineStr">
        <is>
          <t>B</t>
        </is>
      </c>
      <c r="G4970" s="34" t="n">
        <v>5446</v>
      </c>
      <c r="H4970" s="34" t="n">
        <v>28664</v>
      </c>
      <c r="I4970" t="inlineStr">
        <is>
          <t>3.2</t>
        </is>
      </c>
      <c r="J4970" t="inlineStr">
        <is>
          <t>Ventas Personas (B2C)</t>
        </is>
      </c>
      <c r="K4970" t="inlineStr">
        <is>
          <t>CH2</t>
        </is>
      </c>
    </row>
    <row r="4971">
      <c r="A4971" s="33" t="n">
        <v>46045</v>
      </c>
      <c r="B4971" t="inlineStr">
        <is>
          <t>2026-01</t>
        </is>
      </c>
      <c r="C4971" t="inlineStr">
        <is>
          <t>Sin cliente</t>
        </is>
      </c>
      <c r="D4971" t="inlineStr">
        <is>
          <t>Cafeteria Geronimo</t>
        </is>
      </c>
      <c r="E4971" s="34" t="n">
        <v>3200</v>
      </c>
      <c r="F4971" t="inlineStr">
        <is>
          <t>B</t>
        </is>
      </c>
      <c r="G4971" s="34" t="n">
        <v>511</v>
      </c>
      <c r="H4971" s="34" t="n">
        <v>2689</v>
      </c>
      <c r="I4971" t="inlineStr">
        <is>
          <t>3.2</t>
        </is>
      </c>
      <c r="J4971" t="inlineStr">
        <is>
          <t>Ventas Personas (B2C)</t>
        </is>
      </c>
      <c r="K4971" t="inlineStr">
        <is>
          <t>CH2</t>
        </is>
      </c>
    </row>
    <row r="4972">
      <c r="A4972" s="33" t="n">
        <v>46045</v>
      </c>
      <c r="B4972" t="inlineStr">
        <is>
          <t>2026-01</t>
        </is>
      </c>
      <c r="C4972" t="inlineStr">
        <is>
          <t>Sin cliente</t>
        </is>
      </c>
      <c r="D4972" t="inlineStr">
        <is>
          <t>CANELÉ TRADICIONAL</t>
        </is>
      </c>
      <c r="E4972" s="34" t="n">
        <v>5700</v>
      </c>
      <c r="F4972" t="inlineStr">
        <is>
          <t>B</t>
        </is>
      </c>
      <c r="G4972" s="34" t="n">
        <v>910</v>
      </c>
      <c r="H4972" s="34" t="n">
        <v>4790</v>
      </c>
      <c r="I4972" t="inlineStr">
        <is>
          <t>3.2</t>
        </is>
      </c>
      <c r="J4972" t="inlineStr">
        <is>
          <t>Ventas Personas (B2C)</t>
        </is>
      </c>
      <c r="K4972" t="inlineStr">
        <is>
          <t>CH2</t>
        </is>
      </c>
    </row>
    <row r="4973">
      <c r="A4973" s="33" t="n">
        <v>46045</v>
      </c>
      <c r="B4973" t="inlineStr">
        <is>
          <t>2026-01</t>
        </is>
      </c>
      <c r="C4973" t="inlineStr">
        <is>
          <t>Sin cliente</t>
        </is>
      </c>
      <c r="D4973" t="inlineStr">
        <is>
          <t>CANELÉ TRADICIONAL</t>
        </is>
      </c>
      <c r="E4973" s="34" t="n">
        <v>6000</v>
      </c>
      <c r="F4973" t="inlineStr">
        <is>
          <t>B</t>
        </is>
      </c>
      <c r="G4973" s="34" t="n">
        <v>958</v>
      </c>
      <c r="H4973" s="34" t="n">
        <v>5042</v>
      </c>
      <c r="I4973" t="inlineStr">
        <is>
          <t>3.2</t>
        </is>
      </c>
      <c r="J4973" t="inlineStr">
        <is>
          <t>Ventas Personas (B2C)</t>
        </is>
      </c>
      <c r="K4973" t="inlineStr">
        <is>
          <t>CH2</t>
        </is>
      </c>
    </row>
    <row r="4974">
      <c r="A4974" s="33" t="n">
        <v>46045</v>
      </c>
      <c r="B4974" t="inlineStr">
        <is>
          <t>2026-01</t>
        </is>
      </c>
      <c r="C4974" t="inlineStr">
        <is>
          <t>Katherine Cabello reyes</t>
        </is>
      </c>
      <c r="D4974" t="inlineStr">
        <is>
          <t>Petit Tradicional</t>
        </is>
      </c>
      <c r="E4974" s="34" t="n">
        <v>37290</v>
      </c>
      <c r="F4974" t="inlineStr">
        <is>
          <t>B</t>
        </is>
      </c>
      <c r="G4974" s="34" t="n">
        <v>5954</v>
      </c>
      <c r="H4974" s="34" t="n">
        <v>31336</v>
      </c>
      <c r="I4974" t="inlineStr">
        <is>
          <t>3.2</t>
        </is>
      </c>
      <c r="J4974" t="inlineStr">
        <is>
          <t>Ventas Personas (B2C)</t>
        </is>
      </c>
      <c r="K4974" t="inlineStr">
        <is>
          <t>CH2</t>
        </is>
      </c>
    </row>
    <row r="4975">
      <c r="A4975" s="33" t="n">
        <v>46045</v>
      </c>
      <c r="B4975" t="inlineStr">
        <is>
          <t>2026-01</t>
        </is>
      </c>
      <c r="C4975" t="inlineStr">
        <is>
          <t>Camila Paredes Saieg</t>
        </is>
      </c>
      <c r="D4975" t="inlineStr">
        <is>
          <t>Rellenos</t>
        </is>
      </c>
      <c r="E4975" s="34" t="n">
        <v>31390</v>
      </c>
      <c r="F4975" t="inlineStr">
        <is>
          <t>B</t>
        </is>
      </c>
      <c r="G4975" s="34" t="n">
        <v>5012</v>
      </c>
      <c r="H4975" s="34" t="n">
        <v>26378</v>
      </c>
      <c r="I4975" t="inlineStr">
        <is>
          <t>3.2</t>
        </is>
      </c>
      <c r="J4975" t="inlineStr">
        <is>
          <t>Ventas Personas (B2C)</t>
        </is>
      </c>
      <c r="K4975" t="inlineStr">
        <is>
          <t>CH2</t>
        </is>
      </c>
    </row>
    <row r="4976">
      <c r="A4976" s="33" t="n">
        <v>46045</v>
      </c>
      <c r="B4976" t="inlineStr">
        <is>
          <t>2026-01</t>
        </is>
      </c>
      <c r="C4976" t="inlineStr">
        <is>
          <t>Sin cliente</t>
        </is>
      </c>
      <c r="D4976" t="inlineStr">
        <is>
          <t>Delicatessen</t>
        </is>
      </c>
      <c r="E4976" s="34" t="n">
        <v>1700</v>
      </c>
      <c r="F4976" t="inlineStr">
        <is>
          <t>B</t>
        </is>
      </c>
      <c r="G4976" s="34" t="n">
        <v>271</v>
      </c>
      <c r="H4976" s="34" t="n">
        <v>1429</v>
      </c>
      <c r="I4976" t="inlineStr">
        <is>
          <t>3.2</t>
        </is>
      </c>
      <c r="J4976" t="inlineStr">
        <is>
          <t>Ventas Personas (B2C)</t>
        </is>
      </c>
      <c r="K4976" t="inlineStr">
        <is>
          <t>CH2</t>
        </is>
      </c>
    </row>
    <row r="4977">
      <c r="A4977" s="33" t="n">
        <v>46045</v>
      </c>
      <c r="B4977" t="inlineStr">
        <is>
          <t>2026-01</t>
        </is>
      </c>
      <c r="C4977" t="inlineStr">
        <is>
          <t>Sin cliente</t>
        </is>
      </c>
      <c r="D4977" t="inlineStr">
        <is>
          <t>Delicatessen</t>
        </is>
      </c>
      <c r="E4977" s="34" t="n">
        <v>3400</v>
      </c>
      <c r="F4977" t="inlineStr">
        <is>
          <t>B</t>
        </is>
      </c>
      <c r="G4977" s="34" t="n">
        <v>543</v>
      </c>
      <c r="H4977" s="34" t="n">
        <v>2857</v>
      </c>
      <c r="I4977" t="inlineStr">
        <is>
          <t>3.2</t>
        </is>
      </c>
      <c r="J4977" t="inlineStr">
        <is>
          <t>Ventas Personas (B2C)</t>
        </is>
      </c>
      <c r="K4977" t="inlineStr">
        <is>
          <t>CH2</t>
        </is>
      </c>
    </row>
    <row r="4978">
      <c r="A4978" s="33" t="n">
        <v>46045</v>
      </c>
      <c r="B4978" t="inlineStr">
        <is>
          <t>2026-01</t>
        </is>
      </c>
      <c r="C4978" t="inlineStr">
        <is>
          <t>Sin cliente</t>
        </is>
      </c>
      <c r="D4978" t="inlineStr">
        <is>
          <t>Delicatessen</t>
        </is>
      </c>
      <c r="E4978" s="34" t="n">
        <v>1700</v>
      </c>
      <c r="F4978" t="inlineStr">
        <is>
          <t>B</t>
        </is>
      </c>
      <c r="G4978" s="34" t="n">
        <v>271</v>
      </c>
      <c r="H4978" s="34" t="n">
        <v>1429</v>
      </c>
      <c r="I4978" t="inlineStr">
        <is>
          <t>3.2</t>
        </is>
      </c>
      <c r="J4978" t="inlineStr">
        <is>
          <t>Ventas Personas (B2C)</t>
        </is>
      </c>
      <c r="K4978" t="inlineStr">
        <is>
          <t>CH2</t>
        </is>
      </c>
    </row>
    <row r="4979">
      <c r="A4979" s="33" t="n">
        <v>46045</v>
      </c>
      <c r="B4979" t="inlineStr">
        <is>
          <t>2026-01</t>
        </is>
      </c>
      <c r="C4979" t="inlineStr">
        <is>
          <t>Sin cliente</t>
        </is>
      </c>
      <c r="D4979" t="inlineStr">
        <is>
          <t>PLATAFORMAS RAP-PEYA-UBER-GOOD</t>
        </is>
      </c>
      <c r="E4979" s="34" t="n">
        <v>6675</v>
      </c>
      <c r="F4979" t="inlineStr">
        <is>
          <t>B</t>
        </is>
      </c>
      <c r="G4979" s="34" t="n">
        <v>1066</v>
      </c>
      <c r="H4979" s="34" t="n">
        <v>5609</v>
      </c>
      <c r="I4979" t="inlineStr">
        <is>
          <t>3.6</t>
        </is>
      </c>
      <c r="J4979" t="inlineStr">
        <is>
          <t>Ventas Delivery Apps</t>
        </is>
      </c>
      <c r="K4979" t="inlineStr">
        <is>
          <t>CH3</t>
        </is>
      </c>
    </row>
    <row r="4980">
      <c r="A4980" s="33" t="n">
        <v>46045</v>
      </c>
      <c r="B4980" t="inlineStr">
        <is>
          <t>2026-01</t>
        </is>
      </c>
      <c r="C4980" t="inlineStr">
        <is>
          <t>Sin cliente</t>
        </is>
      </c>
      <c r="D4980" t="inlineStr">
        <is>
          <t>PLATAFORMAS RAP-PEYA-UBER-GOOD</t>
        </is>
      </c>
      <c r="E4980" s="34" t="n">
        <v>33480</v>
      </c>
      <c r="F4980" t="inlineStr">
        <is>
          <t>B</t>
        </is>
      </c>
      <c r="G4980" s="34" t="n">
        <v>5346</v>
      </c>
      <c r="H4980" s="34" t="n">
        <v>28134</v>
      </c>
      <c r="I4980" t="inlineStr">
        <is>
          <t>3.6</t>
        </is>
      </c>
      <c r="J4980" t="inlineStr">
        <is>
          <t>Ventas Delivery Apps</t>
        </is>
      </c>
      <c r="K4980" t="inlineStr">
        <is>
          <t>CH3</t>
        </is>
      </c>
    </row>
    <row r="4981">
      <c r="A4981" s="33" t="n">
        <v>46045</v>
      </c>
      <c r="B4981" t="inlineStr">
        <is>
          <t>2026-01</t>
        </is>
      </c>
      <c r="C4981" t="inlineStr">
        <is>
          <t>Sin cliente</t>
        </is>
      </c>
      <c r="D4981" t="inlineStr">
        <is>
          <t>Cafeteria Geronimo</t>
        </is>
      </c>
      <c r="E4981" s="34" t="n">
        <v>7000</v>
      </c>
      <c r="F4981" t="inlineStr">
        <is>
          <t>B</t>
        </is>
      </c>
      <c r="G4981" s="34" t="n">
        <v>1118</v>
      </c>
      <c r="H4981" s="34" t="n">
        <v>5882</v>
      </c>
      <c r="I4981" t="inlineStr">
        <is>
          <t>3.2</t>
        </is>
      </c>
      <c r="J4981" t="inlineStr">
        <is>
          <t>Ventas Personas (B2C)</t>
        </is>
      </c>
      <c r="K4981" t="inlineStr">
        <is>
          <t>CH2</t>
        </is>
      </c>
    </row>
    <row r="4982">
      <c r="A4982" s="33" t="n">
        <v>46045</v>
      </c>
      <c r="B4982" t="inlineStr">
        <is>
          <t>2026-01</t>
        </is>
      </c>
      <c r="C4982" t="inlineStr">
        <is>
          <t>Sin cliente</t>
        </is>
      </c>
      <c r="D4982" t="inlineStr">
        <is>
          <t>Cafeteria Geronimo</t>
        </is>
      </c>
      <c r="E4982" s="34" t="n">
        <v>6500</v>
      </c>
      <c r="F4982" t="inlineStr">
        <is>
          <t>B</t>
        </is>
      </c>
      <c r="G4982" s="34" t="n">
        <v>1038</v>
      </c>
      <c r="H4982" s="34" t="n">
        <v>5462</v>
      </c>
      <c r="I4982" t="inlineStr">
        <is>
          <t>3.2</t>
        </is>
      </c>
      <c r="J4982" t="inlineStr">
        <is>
          <t>Ventas Personas (B2C)</t>
        </is>
      </c>
      <c r="K4982" t="inlineStr">
        <is>
          <t>CH2</t>
        </is>
      </c>
    </row>
    <row r="4983">
      <c r="A4983" s="33" t="n">
        <v>46045</v>
      </c>
      <c r="B4983" t="inlineStr">
        <is>
          <t>2026-01</t>
        </is>
      </c>
      <c r="C4983" t="inlineStr">
        <is>
          <t>Carolina Armijo Mella</t>
        </is>
      </c>
      <c r="D4983" t="inlineStr">
        <is>
          <t>CANELÉ TRADICIONAL</t>
        </is>
      </c>
      <c r="E4983" s="34" t="n">
        <v>22900</v>
      </c>
      <c r="F4983" t="inlineStr">
        <is>
          <t>B</t>
        </is>
      </c>
      <c r="G4983" s="34" t="n">
        <v>3656</v>
      </c>
      <c r="H4983" s="34" t="n">
        <v>19244</v>
      </c>
      <c r="I4983" t="inlineStr">
        <is>
          <t>3.2</t>
        </is>
      </c>
      <c r="J4983" t="inlineStr">
        <is>
          <t>Ventas Personas (B2C)</t>
        </is>
      </c>
      <c r="K4983" t="inlineStr">
        <is>
          <t>CH2</t>
        </is>
      </c>
    </row>
    <row r="4984">
      <c r="A4984" s="33" t="n">
        <v>46045</v>
      </c>
      <c r="B4984" t="inlineStr">
        <is>
          <t>2026-01</t>
        </is>
      </c>
      <c r="C4984" t="inlineStr">
        <is>
          <t>Sin cliente</t>
        </is>
      </c>
      <c r="D4984" t="inlineStr">
        <is>
          <t>CANELÉ TRADICIONAL</t>
        </is>
      </c>
      <c r="E4984" s="34" t="n">
        <v>5000</v>
      </c>
      <c r="F4984" t="inlineStr">
        <is>
          <t>B</t>
        </is>
      </c>
      <c r="G4984" s="34" t="n">
        <v>798</v>
      </c>
      <c r="H4984" s="34" t="n">
        <v>4202</v>
      </c>
      <c r="I4984" t="inlineStr">
        <is>
          <t>3.2</t>
        </is>
      </c>
      <c r="J4984" t="inlineStr">
        <is>
          <t>Ventas Personas (B2C)</t>
        </is>
      </c>
      <c r="K4984" t="inlineStr">
        <is>
          <t>CH2</t>
        </is>
      </c>
    </row>
    <row r="4985">
      <c r="A4985" s="33" t="n">
        <v>46045</v>
      </c>
      <c r="B4985" t="inlineStr">
        <is>
          <t>2026-01</t>
        </is>
      </c>
      <c r="C4985" t="inlineStr">
        <is>
          <t>Sin cliente</t>
        </is>
      </c>
      <c r="D4985" t="inlineStr">
        <is>
          <t>PLATAFORMAS RAP-PEYA-UBER-GOOD</t>
        </is>
      </c>
      <c r="E4985" s="34" t="n">
        <v>16560</v>
      </c>
      <c r="F4985" t="inlineStr">
        <is>
          <t>B</t>
        </is>
      </c>
      <c r="G4985" s="34" t="n">
        <v>2644</v>
      </c>
      <c r="H4985" s="34" t="n">
        <v>13916</v>
      </c>
      <c r="I4985" t="inlineStr">
        <is>
          <t>3.6</t>
        </is>
      </c>
      <c r="J4985" t="inlineStr">
        <is>
          <t>Ventas Delivery Apps</t>
        </is>
      </c>
      <c r="K4985" t="inlineStr">
        <is>
          <t>CH3</t>
        </is>
      </c>
    </row>
    <row r="4986">
      <c r="A4986" s="33" t="n">
        <v>46045</v>
      </c>
      <c r="B4986" t="inlineStr">
        <is>
          <t>2026-01</t>
        </is>
      </c>
      <c r="C4986" t="inlineStr">
        <is>
          <t>Eyleen Araya</t>
        </is>
      </c>
      <c r="D4986" t="inlineStr">
        <is>
          <t>Petit Tradicional</t>
        </is>
      </c>
      <c r="E4986" s="34" t="n">
        <v>27290</v>
      </c>
      <c r="F4986" t="inlineStr">
        <is>
          <t>B</t>
        </is>
      </c>
      <c r="G4986" s="34" t="n">
        <v>4357</v>
      </c>
      <c r="H4986" s="34" t="n">
        <v>22933</v>
      </c>
      <c r="I4986" t="inlineStr">
        <is>
          <t>3.2</t>
        </is>
      </c>
      <c r="J4986" t="inlineStr">
        <is>
          <t>Ventas Personas (B2C)</t>
        </is>
      </c>
      <c r="K4986" t="inlineStr">
        <is>
          <t>CH2</t>
        </is>
      </c>
    </row>
    <row r="4987">
      <c r="A4987" s="33" t="n">
        <v>46045</v>
      </c>
      <c r="B4987" t="inlineStr">
        <is>
          <t>2026-01</t>
        </is>
      </c>
      <c r="C4987" t="inlineStr">
        <is>
          <t>Sin cliente</t>
        </is>
      </c>
      <c r="D4987" t="inlineStr">
        <is>
          <t>Delicatessen</t>
        </is>
      </c>
      <c r="E4987" s="34" t="n">
        <v>3400</v>
      </c>
      <c r="F4987" t="inlineStr">
        <is>
          <t>B</t>
        </is>
      </c>
      <c r="G4987" s="34" t="n">
        <v>543</v>
      </c>
      <c r="H4987" s="34" t="n">
        <v>2857</v>
      </c>
      <c r="I4987" t="inlineStr">
        <is>
          <t>3.2</t>
        </is>
      </c>
      <c r="J4987" t="inlineStr">
        <is>
          <t>Ventas Personas (B2C)</t>
        </is>
      </c>
      <c r="K4987" t="inlineStr">
        <is>
          <t>CH2</t>
        </is>
      </c>
    </row>
    <row r="4988">
      <c r="A4988" s="33" t="n">
        <v>46045</v>
      </c>
      <c r="B4988" t="inlineStr">
        <is>
          <t>2026-01</t>
        </is>
      </c>
      <c r="C4988" t="inlineStr">
        <is>
          <t>Sin cliente</t>
        </is>
      </c>
      <c r="D4988" t="inlineStr">
        <is>
          <t>PLATAFORMAS RAP-PEYA-UBER-GOOD</t>
        </is>
      </c>
      <c r="E4988" s="34" t="n">
        <v>33480</v>
      </c>
      <c r="F4988" t="inlineStr">
        <is>
          <t>B</t>
        </is>
      </c>
      <c r="G4988" s="34" t="n">
        <v>5346</v>
      </c>
      <c r="H4988" s="34" t="n">
        <v>28134</v>
      </c>
      <c r="I4988" t="inlineStr">
        <is>
          <t>3.6</t>
        </is>
      </c>
      <c r="J4988" t="inlineStr">
        <is>
          <t>Ventas Delivery Apps</t>
        </is>
      </c>
      <c r="K4988" t="inlineStr">
        <is>
          <t>CH3</t>
        </is>
      </c>
    </row>
    <row r="4989">
      <c r="A4989" s="33" t="n">
        <v>46045</v>
      </c>
      <c r="B4989" t="inlineStr">
        <is>
          <t>2026-01</t>
        </is>
      </c>
      <c r="C4989" t="inlineStr">
        <is>
          <t>Sin cliente</t>
        </is>
      </c>
      <c r="D4989" t="inlineStr">
        <is>
          <t>PLATAFORMAS RAP-PEYA-UBER-GOOD</t>
        </is>
      </c>
      <c r="E4989" s="34" t="n">
        <v>18000</v>
      </c>
      <c r="F4989" t="inlineStr">
        <is>
          <t>B</t>
        </is>
      </c>
      <c r="G4989" s="34" t="n">
        <v>2874</v>
      </c>
      <c r="H4989" s="34" t="n">
        <v>15126</v>
      </c>
      <c r="I4989" t="inlineStr">
        <is>
          <t>3.6</t>
        </is>
      </c>
      <c r="J4989" t="inlineStr">
        <is>
          <t>Ventas Delivery Apps</t>
        </is>
      </c>
      <c r="K4989" t="inlineStr">
        <is>
          <t>CH3</t>
        </is>
      </c>
    </row>
    <row r="4990">
      <c r="A4990" s="33" t="n">
        <v>46045</v>
      </c>
      <c r="B4990" t="inlineStr">
        <is>
          <t>2026-01</t>
        </is>
      </c>
      <c r="C4990" t="inlineStr">
        <is>
          <t>Sin cliente</t>
        </is>
      </c>
      <c r="D4990" t="inlineStr">
        <is>
          <t>PLATAFORMAS RAP-PEYA-UBER-GOOD</t>
        </is>
      </c>
      <c r="E4990" s="34" t="n">
        <v>12000</v>
      </c>
      <c r="F4990" t="inlineStr">
        <is>
          <t>B</t>
        </is>
      </c>
      <c r="G4990" s="34" t="n">
        <v>1916</v>
      </c>
      <c r="H4990" s="34" t="n">
        <v>10084</v>
      </c>
      <c r="I4990" t="inlineStr">
        <is>
          <t>3.6</t>
        </is>
      </c>
      <c r="J4990" t="inlineStr">
        <is>
          <t>Ventas Delivery Apps</t>
        </is>
      </c>
      <c r="K4990" t="inlineStr">
        <is>
          <t>CH3</t>
        </is>
      </c>
    </row>
    <row r="4991">
      <c r="A4991" s="33" t="n">
        <v>46045</v>
      </c>
      <c r="B4991" t="inlineStr">
        <is>
          <t>2026-01</t>
        </is>
      </c>
      <c r="C4991" t="inlineStr">
        <is>
          <t>Sin cliente</t>
        </is>
      </c>
      <c r="D4991" t="inlineStr">
        <is>
          <t>Petit Tradicional</t>
        </is>
      </c>
      <c r="E4991" s="34" t="n">
        <v>9800</v>
      </c>
      <c r="F4991" t="inlineStr">
        <is>
          <t>B</t>
        </is>
      </c>
      <c r="G4991" s="34" t="n">
        <v>1565</v>
      </c>
      <c r="H4991" s="34" t="n">
        <v>8235</v>
      </c>
      <c r="I4991" t="inlineStr">
        <is>
          <t>3.2</t>
        </is>
      </c>
      <c r="J4991" t="inlineStr">
        <is>
          <t>Ventas Personas (B2C)</t>
        </is>
      </c>
      <c r="K4991" t="inlineStr">
        <is>
          <t>CH2</t>
        </is>
      </c>
    </row>
    <row r="4992">
      <c r="A4992" s="33" t="n">
        <v>46045</v>
      </c>
      <c r="B4992" t="inlineStr">
        <is>
          <t>2026-01</t>
        </is>
      </c>
      <c r="C4992" t="inlineStr">
        <is>
          <t>Sin cliente</t>
        </is>
      </c>
      <c r="D4992" t="inlineStr">
        <is>
          <t>Petit Tradicional</t>
        </is>
      </c>
      <c r="E4992" s="34" t="n">
        <v>13800</v>
      </c>
      <c r="F4992" t="inlineStr">
        <is>
          <t>B</t>
        </is>
      </c>
      <c r="G4992" s="34" t="n">
        <v>2203</v>
      </c>
      <c r="H4992" s="34" t="n">
        <v>11597</v>
      </c>
      <c r="I4992" t="inlineStr">
        <is>
          <t>3.2</t>
        </is>
      </c>
      <c r="J4992" t="inlineStr">
        <is>
          <t>Ventas Personas (B2C)</t>
        </is>
      </c>
      <c r="K4992" t="inlineStr">
        <is>
          <t>CH2</t>
        </is>
      </c>
    </row>
    <row r="4993">
      <c r="A4993" s="33" t="n">
        <v>46045</v>
      </c>
      <c r="B4993" t="inlineStr">
        <is>
          <t>2026-01</t>
        </is>
      </c>
      <c r="C4993" t="inlineStr">
        <is>
          <t>Sin cliente</t>
        </is>
      </c>
      <c r="D4993" t="inlineStr">
        <is>
          <t>CANELÉ TRADICIONAL</t>
        </is>
      </c>
      <c r="E4993" s="34" t="n">
        <v>19800</v>
      </c>
      <c r="F4993" t="inlineStr">
        <is>
          <t>B</t>
        </is>
      </c>
      <c r="G4993" s="34" t="n">
        <v>3161</v>
      </c>
      <c r="H4993" s="34" t="n">
        <v>16639</v>
      </c>
      <c r="I4993" t="inlineStr">
        <is>
          <t>3.2</t>
        </is>
      </c>
      <c r="J4993" t="inlineStr">
        <is>
          <t>Ventas Personas (B2C)</t>
        </is>
      </c>
      <c r="K4993" t="inlineStr">
        <is>
          <t>CH2</t>
        </is>
      </c>
    </row>
    <row r="4994">
      <c r="A4994" s="33" t="n">
        <v>46046</v>
      </c>
      <c r="B4994" t="inlineStr">
        <is>
          <t>2026-01</t>
        </is>
      </c>
      <c r="C4994" t="inlineStr">
        <is>
          <t>chantal dussaillant</t>
        </is>
      </c>
      <c r="D4994" t="inlineStr">
        <is>
          <t>Mix Sabores</t>
        </is>
      </c>
      <c r="E4994" s="34" t="n">
        <v>21390</v>
      </c>
      <c r="F4994" t="inlineStr">
        <is>
          <t>B</t>
        </is>
      </c>
      <c r="G4994" s="34" t="n">
        <v>3415</v>
      </c>
      <c r="H4994" s="34" t="n">
        <v>17975</v>
      </c>
      <c r="I4994" t="inlineStr">
        <is>
          <t>3.2</t>
        </is>
      </c>
      <c r="J4994" t="inlineStr">
        <is>
          <t>Ventas Personas (B2C)</t>
        </is>
      </c>
      <c r="K4994" t="inlineStr">
        <is>
          <t>CH2</t>
        </is>
      </c>
    </row>
    <row r="4995">
      <c r="A4995" s="33" t="n">
        <v>46046</v>
      </c>
      <c r="B4995" t="inlineStr">
        <is>
          <t>2026-01</t>
        </is>
      </c>
      <c r="C4995" t="inlineStr">
        <is>
          <t>paula de la cruz aravena</t>
        </is>
      </c>
      <c r="D4995" t="inlineStr">
        <is>
          <t>Rellenos</t>
        </is>
      </c>
      <c r="E4995" s="34" t="n">
        <v>25900</v>
      </c>
      <c r="F4995" t="inlineStr">
        <is>
          <t>B</t>
        </is>
      </c>
      <c r="G4995" s="34" t="n">
        <v>4135</v>
      </c>
      <c r="H4995" s="34" t="n">
        <v>21765</v>
      </c>
      <c r="I4995" t="inlineStr">
        <is>
          <t>3.2</t>
        </is>
      </c>
      <c r="J4995" t="inlineStr">
        <is>
          <t>Ventas Personas (B2C)</t>
        </is>
      </c>
      <c r="K4995" t="inlineStr">
        <is>
          <t>CH2</t>
        </is>
      </c>
    </row>
    <row r="4996">
      <c r="A4996" s="33" t="n">
        <v>46046</v>
      </c>
      <c r="B4996" t="inlineStr">
        <is>
          <t>2026-01</t>
        </is>
      </c>
      <c r="C4996" t="inlineStr">
        <is>
          <t>Sofia Mereles</t>
        </is>
      </c>
      <c r="D4996" t="inlineStr">
        <is>
          <t>Rellenos</t>
        </is>
      </c>
      <c r="E4996" s="34" t="n">
        <v>33390</v>
      </c>
      <c r="F4996" t="inlineStr">
        <is>
          <t>B</t>
        </is>
      </c>
      <c r="G4996" s="34" t="n">
        <v>5331</v>
      </c>
      <c r="H4996" s="34" t="n">
        <v>28059</v>
      </c>
      <c r="I4996" t="inlineStr">
        <is>
          <t>3.2</t>
        </is>
      </c>
      <c r="J4996" t="inlineStr">
        <is>
          <t>Ventas Personas (B2C)</t>
        </is>
      </c>
      <c r="K4996" t="inlineStr">
        <is>
          <t>CH2</t>
        </is>
      </c>
    </row>
    <row r="4997">
      <c r="A4997" s="33" t="n">
        <v>46046</v>
      </c>
      <c r="B4997" t="inlineStr">
        <is>
          <t>2026-01</t>
        </is>
      </c>
      <c r="C4997" t="inlineStr">
        <is>
          <t>Josefina Bunster</t>
        </is>
      </c>
      <c r="D4997" t="inlineStr">
        <is>
          <t>Petit Crunchy</t>
        </is>
      </c>
      <c r="E4997" s="34" t="n">
        <v>24210</v>
      </c>
      <c r="F4997" t="inlineStr">
        <is>
          <t>B</t>
        </is>
      </c>
      <c r="G4997" s="34" t="n">
        <v>3865</v>
      </c>
      <c r="H4997" s="34" t="n">
        <v>20345</v>
      </c>
      <c r="I4997" t="inlineStr">
        <is>
          <t>3.2</t>
        </is>
      </c>
      <c r="J4997" t="inlineStr">
        <is>
          <t>Ventas Personas (B2C)</t>
        </is>
      </c>
      <c r="K4997" t="inlineStr">
        <is>
          <t>CH2</t>
        </is>
      </c>
    </row>
    <row r="4998">
      <c r="A4998" s="33" t="n">
        <v>46046</v>
      </c>
      <c r="B4998" t="inlineStr">
        <is>
          <t>2026-01</t>
        </is>
      </c>
      <c r="C4998" t="inlineStr">
        <is>
          <t>Eduardo Benedetto</t>
        </is>
      </c>
      <c r="D4998" t="inlineStr">
        <is>
          <t>CANELÉ TRADICIONAL</t>
        </is>
      </c>
      <c r="E4998" s="34" t="n">
        <v>64090</v>
      </c>
      <c r="F4998" t="inlineStr">
        <is>
          <t>B</t>
        </is>
      </c>
      <c r="G4998" s="34" t="n">
        <v>10233</v>
      </c>
      <c r="H4998" s="34" t="n">
        <v>53857</v>
      </c>
      <c r="I4998" t="inlineStr">
        <is>
          <t>3.2</t>
        </is>
      </c>
      <c r="J4998" t="inlineStr">
        <is>
          <t>Ventas Personas (B2C)</t>
        </is>
      </c>
      <c r="K4998" t="inlineStr">
        <is>
          <t>CH2</t>
        </is>
      </c>
    </row>
    <row r="4999">
      <c r="A4999" s="33" t="n">
        <v>46046</v>
      </c>
      <c r="B4999" t="inlineStr">
        <is>
          <t>2026-01</t>
        </is>
      </c>
      <c r="C4999" t="inlineStr">
        <is>
          <t>Marcela Millán Méndez</t>
        </is>
      </c>
      <c r="D4999" t="inlineStr">
        <is>
          <t>Mix Sabores</t>
        </is>
      </c>
      <c r="E4999" s="34" t="n">
        <v>24890</v>
      </c>
      <c r="F4999" t="inlineStr">
        <is>
          <t>B</t>
        </is>
      </c>
      <c r="G4999" s="34" t="n">
        <v>3974</v>
      </c>
      <c r="H4999" s="34" t="n">
        <v>20916</v>
      </c>
      <c r="I4999" t="inlineStr">
        <is>
          <t>3.2</t>
        </is>
      </c>
      <c r="J4999" t="inlineStr">
        <is>
          <t>Ventas Personas (B2C)</t>
        </is>
      </c>
      <c r="K4999" t="inlineStr">
        <is>
          <t>CH2</t>
        </is>
      </c>
    </row>
    <row r="5000">
      <c r="A5000" s="33" t="n">
        <v>46046</v>
      </c>
      <c r="B5000" t="inlineStr">
        <is>
          <t>2026-01</t>
        </is>
      </c>
      <c r="C5000" t="inlineStr">
        <is>
          <t>Sin cliente</t>
        </is>
      </c>
      <c r="D5000" t="inlineStr">
        <is>
          <t>Delicatessen</t>
        </is>
      </c>
      <c r="E5000" s="34" t="n">
        <v>4900</v>
      </c>
      <c r="F5000" t="inlineStr">
        <is>
          <t>B</t>
        </is>
      </c>
      <c r="G5000" s="34" t="n">
        <v>782</v>
      </c>
      <c r="H5000" s="34" t="n">
        <v>4118</v>
      </c>
      <c r="I5000" t="inlineStr">
        <is>
          <t>3.2</t>
        </is>
      </c>
      <c r="J5000" t="inlineStr">
        <is>
          <t>Ventas Personas (B2C)</t>
        </is>
      </c>
      <c r="K5000" t="inlineStr">
        <is>
          <t>CH2</t>
        </is>
      </c>
    </row>
    <row r="5001">
      <c r="A5001" s="33" t="n">
        <v>46046</v>
      </c>
      <c r="B5001" t="inlineStr">
        <is>
          <t>2026-01</t>
        </is>
      </c>
      <c r="C5001" t="inlineStr">
        <is>
          <t>Sin cliente</t>
        </is>
      </c>
      <c r="D5001" t="inlineStr">
        <is>
          <t>CANELÉ TRADICIONAL</t>
        </is>
      </c>
      <c r="E5001" s="34" t="n">
        <v>34800</v>
      </c>
      <c r="F5001" t="inlineStr">
        <is>
          <t>B</t>
        </is>
      </c>
      <c r="G5001" s="34" t="n">
        <v>5556</v>
      </c>
      <c r="H5001" s="34" t="n">
        <v>29244</v>
      </c>
      <c r="I5001" t="inlineStr">
        <is>
          <t>3.2</t>
        </is>
      </c>
      <c r="J5001" t="inlineStr">
        <is>
          <t>Ventas Personas (B2C)</t>
        </is>
      </c>
      <c r="K5001" t="inlineStr">
        <is>
          <t>CH2</t>
        </is>
      </c>
    </row>
    <row r="5002">
      <c r="A5002" s="33" t="n">
        <v>46046</v>
      </c>
      <c r="B5002" t="inlineStr">
        <is>
          <t>2026-01</t>
        </is>
      </c>
      <c r="C5002" t="inlineStr">
        <is>
          <t>Sin cliente</t>
        </is>
      </c>
      <c r="D5002" t="inlineStr">
        <is>
          <t>PLATAFORMAS RAP-PEYA-UBER-GOOD</t>
        </is>
      </c>
      <c r="E5002" s="34" t="n">
        <v>31680</v>
      </c>
      <c r="F5002" t="inlineStr">
        <is>
          <t>B</t>
        </is>
      </c>
      <c r="G5002" s="34" t="n">
        <v>5058</v>
      </c>
      <c r="H5002" s="34" t="n">
        <v>26622</v>
      </c>
      <c r="I5002" t="inlineStr">
        <is>
          <t>3.6</t>
        </is>
      </c>
      <c r="J5002" t="inlineStr">
        <is>
          <t>Ventas Delivery Apps</t>
        </is>
      </c>
      <c r="K5002" t="inlineStr">
        <is>
          <t>CH3</t>
        </is>
      </c>
    </row>
    <row r="5003">
      <c r="A5003" s="33" t="n">
        <v>46047</v>
      </c>
      <c r="B5003" t="inlineStr">
        <is>
          <t>2026-01</t>
        </is>
      </c>
      <c r="C5003" t="inlineStr">
        <is>
          <t>Marisol Urrutia</t>
        </is>
      </c>
      <c r="D5003" t="inlineStr">
        <is>
          <t>Petit Tradicional</t>
        </is>
      </c>
      <c r="E5003" s="34" t="n">
        <v>27290</v>
      </c>
      <c r="F5003" t="inlineStr">
        <is>
          <t>B</t>
        </is>
      </c>
      <c r="G5003" s="34" t="n">
        <v>4357</v>
      </c>
      <c r="H5003" s="34" t="n">
        <v>22933</v>
      </c>
      <c r="I5003" t="inlineStr">
        <is>
          <t>3.2</t>
        </is>
      </c>
      <c r="J5003" t="inlineStr">
        <is>
          <t>Ventas Personas (B2C)</t>
        </is>
      </c>
      <c r="K5003" t="inlineStr">
        <is>
          <t>CH2</t>
        </is>
      </c>
    </row>
    <row r="5004">
      <c r="A5004" s="33" t="n">
        <v>46048</v>
      </c>
      <c r="B5004" t="inlineStr">
        <is>
          <t>2026-01</t>
        </is>
      </c>
      <c r="C5004" t="inlineStr">
        <is>
          <t>Sin cliente</t>
        </is>
      </c>
      <c r="D5004" t="inlineStr">
        <is>
          <t>Petit Tradicional</t>
        </is>
      </c>
      <c r="E5004" s="34" t="n">
        <v>13800</v>
      </c>
      <c r="F5004" t="inlineStr">
        <is>
          <t>B</t>
        </is>
      </c>
      <c r="G5004" s="34" t="n">
        <v>2203</v>
      </c>
      <c r="H5004" s="34" t="n">
        <v>11597</v>
      </c>
      <c r="I5004" t="inlineStr">
        <is>
          <t>3.2</t>
        </is>
      </c>
      <c r="J5004" t="inlineStr">
        <is>
          <t>Ventas Personas (B2C)</t>
        </is>
      </c>
      <c r="K5004" t="inlineStr">
        <is>
          <t>CH2</t>
        </is>
      </c>
    </row>
    <row r="5005">
      <c r="A5005" s="33" t="n">
        <v>46048</v>
      </c>
      <c r="B5005" t="inlineStr">
        <is>
          <t>2026-01</t>
        </is>
      </c>
      <c r="C5005" t="inlineStr">
        <is>
          <t>Sin cliente</t>
        </is>
      </c>
      <c r="D5005" t="inlineStr">
        <is>
          <t>Delicatessen</t>
        </is>
      </c>
      <c r="E5005" s="34" t="n">
        <v>22465</v>
      </c>
      <c r="F5005" t="inlineStr">
        <is>
          <t>B</t>
        </is>
      </c>
      <c r="G5005" s="34" t="n">
        <v>3587</v>
      </c>
      <c r="H5005" s="34" t="n">
        <v>18878</v>
      </c>
      <c r="I5005" t="inlineStr">
        <is>
          <t>3.2</t>
        </is>
      </c>
      <c r="J5005" t="inlineStr">
        <is>
          <t>Ventas Personas (B2C)</t>
        </is>
      </c>
      <c r="K5005" t="inlineStr">
        <is>
          <t>CH2</t>
        </is>
      </c>
    </row>
    <row r="5006">
      <c r="A5006" s="33" t="n">
        <v>46048</v>
      </c>
      <c r="B5006" t="inlineStr">
        <is>
          <t>2026-01</t>
        </is>
      </c>
      <c r="C5006" t="inlineStr">
        <is>
          <t>Sin cliente</t>
        </is>
      </c>
      <c r="D5006" t="inlineStr">
        <is>
          <t>Rellenos</t>
        </is>
      </c>
      <c r="E5006" s="34" t="n">
        <v>39610</v>
      </c>
      <c r="F5006" t="inlineStr">
        <is>
          <t>B</t>
        </is>
      </c>
      <c r="G5006" s="34" t="n">
        <v>6324</v>
      </c>
      <c r="H5006" s="34" t="n">
        <v>33286</v>
      </c>
      <c r="I5006" t="inlineStr">
        <is>
          <t>3.2</t>
        </is>
      </c>
      <c r="J5006" t="inlineStr">
        <is>
          <t>Ventas Personas (B2C)</t>
        </is>
      </c>
      <c r="K5006" t="inlineStr">
        <is>
          <t>CH2</t>
        </is>
      </c>
    </row>
    <row r="5007">
      <c r="A5007" s="33" t="n">
        <v>46048</v>
      </c>
      <c r="B5007" t="inlineStr">
        <is>
          <t>2026-01</t>
        </is>
      </c>
      <c r="C5007" t="inlineStr">
        <is>
          <t>Silvana Herrera</t>
        </is>
      </c>
      <c r="D5007" t="inlineStr">
        <is>
          <t>Rellenos</t>
        </is>
      </c>
      <c r="E5007" s="34" t="n">
        <v>51690</v>
      </c>
      <c r="F5007" t="inlineStr">
        <is>
          <t>B</t>
        </is>
      </c>
      <c r="G5007" s="34" t="n">
        <v>8253</v>
      </c>
      <c r="H5007" s="34" t="n">
        <v>43437</v>
      </c>
      <c r="I5007" t="inlineStr">
        <is>
          <t>3.2</t>
        </is>
      </c>
      <c r="J5007" t="inlineStr">
        <is>
          <t>Ventas Personas (B2C)</t>
        </is>
      </c>
      <c r="K5007" t="inlineStr">
        <is>
          <t>CH2</t>
        </is>
      </c>
    </row>
    <row r="5008">
      <c r="A5008" s="33" t="n">
        <v>46048</v>
      </c>
      <c r="B5008" t="inlineStr">
        <is>
          <t>2026-01</t>
        </is>
      </c>
      <c r="C5008" t="inlineStr">
        <is>
          <t>Bruno Frigoli</t>
        </is>
      </c>
      <c r="D5008" t="inlineStr">
        <is>
          <t>CANELE SIN AZUCAR</t>
        </is>
      </c>
      <c r="E5008" s="34" t="n">
        <v>44790</v>
      </c>
      <c r="F5008" t="inlineStr">
        <is>
          <t>B</t>
        </is>
      </c>
      <c r="G5008" s="34" t="n">
        <v>7151</v>
      </c>
      <c r="H5008" s="34" t="n">
        <v>37639</v>
      </c>
      <c r="I5008" t="inlineStr">
        <is>
          <t>3.2</t>
        </is>
      </c>
      <c r="J5008" t="inlineStr">
        <is>
          <t>Ventas Personas (B2C)</t>
        </is>
      </c>
      <c r="K5008" t="inlineStr">
        <is>
          <t>CH2</t>
        </is>
      </c>
    </row>
    <row r="5009">
      <c r="A5009" s="33" t="n">
        <v>46048</v>
      </c>
      <c r="B5009" t="inlineStr">
        <is>
          <t>2026-01</t>
        </is>
      </c>
      <c r="C5009" t="inlineStr">
        <is>
          <t>Pamela Iglesias</t>
        </is>
      </c>
      <c r="D5009" t="inlineStr">
        <is>
          <t>CANELÉ TRADICIONAL</t>
        </is>
      </c>
      <c r="E5009" s="34" t="n">
        <v>24100</v>
      </c>
      <c r="F5009" t="inlineStr">
        <is>
          <t>B</t>
        </is>
      </c>
      <c r="G5009" s="34" t="n">
        <v>3848</v>
      </c>
      <c r="H5009" s="34" t="n">
        <v>20252</v>
      </c>
      <c r="I5009" t="inlineStr">
        <is>
          <t>3.2</t>
        </is>
      </c>
      <c r="J5009" t="inlineStr">
        <is>
          <t>Ventas Personas (B2C)</t>
        </is>
      </c>
      <c r="K5009" t="inlineStr">
        <is>
          <t>CH2</t>
        </is>
      </c>
    </row>
    <row r="5010">
      <c r="A5010" s="33" t="n">
        <v>46048</v>
      </c>
      <c r="B5010" t="inlineStr">
        <is>
          <t>2026-01</t>
        </is>
      </c>
      <c r="C5010" t="inlineStr">
        <is>
          <t>Sin cliente</t>
        </is>
      </c>
      <c r="D5010" t="inlineStr">
        <is>
          <t>Rellenos</t>
        </is>
      </c>
      <c r="E5010" s="34" t="n">
        <v>9500</v>
      </c>
      <c r="F5010" t="inlineStr">
        <is>
          <t>B</t>
        </is>
      </c>
      <c r="G5010" s="34" t="n">
        <v>1517</v>
      </c>
      <c r="H5010" s="34" t="n">
        <v>7983</v>
      </c>
      <c r="I5010" t="inlineStr">
        <is>
          <t>3.2</t>
        </is>
      </c>
      <c r="J5010" t="inlineStr">
        <is>
          <t>Ventas Personas (B2C)</t>
        </is>
      </c>
      <c r="K5010" t="inlineStr">
        <is>
          <t>CH2</t>
        </is>
      </c>
    </row>
    <row r="5011">
      <c r="A5011" s="33" t="n">
        <v>46048</v>
      </c>
      <c r="B5011" t="inlineStr">
        <is>
          <t>2026-01</t>
        </is>
      </c>
      <c r="C5011" t="inlineStr">
        <is>
          <t>Sin cliente</t>
        </is>
      </c>
      <c r="D5011" t="inlineStr">
        <is>
          <t>CANELÉ TRADICIONAL</t>
        </is>
      </c>
      <c r="E5011" s="34" t="n">
        <v>5000</v>
      </c>
      <c r="F5011" t="inlineStr">
        <is>
          <t>B</t>
        </is>
      </c>
      <c r="G5011" s="34" t="n">
        <v>798</v>
      </c>
      <c r="H5011" s="34" t="n">
        <v>4202</v>
      </c>
      <c r="I5011" t="inlineStr">
        <is>
          <t>3.2</t>
        </is>
      </c>
      <c r="J5011" t="inlineStr">
        <is>
          <t>Ventas Personas (B2C)</t>
        </is>
      </c>
      <c r="K5011" t="inlineStr">
        <is>
          <t>CH2</t>
        </is>
      </c>
    </row>
    <row r="5012">
      <c r="A5012" s="33" t="n">
        <v>46048</v>
      </c>
      <c r="B5012" t="inlineStr">
        <is>
          <t>2026-01</t>
        </is>
      </c>
      <c r="C5012" t="inlineStr">
        <is>
          <t>Sin cliente</t>
        </is>
      </c>
      <c r="D5012" t="inlineStr">
        <is>
          <t>Cafeteria Geronimo</t>
        </is>
      </c>
      <c r="E5012" s="34" t="n">
        <v>2720</v>
      </c>
      <c r="F5012" t="inlineStr">
        <is>
          <t>B</t>
        </is>
      </c>
      <c r="G5012" s="34" t="n">
        <v>434</v>
      </c>
      <c r="H5012" s="34" t="n">
        <v>2286</v>
      </c>
      <c r="I5012" t="inlineStr">
        <is>
          <t>3.2</t>
        </is>
      </c>
      <c r="J5012" t="inlineStr">
        <is>
          <t>Ventas Personas (B2C)</t>
        </is>
      </c>
      <c r="K5012" t="inlineStr">
        <is>
          <t>CH2</t>
        </is>
      </c>
    </row>
    <row r="5013">
      <c r="A5013" s="33" t="n">
        <v>46048</v>
      </c>
      <c r="B5013" t="inlineStr">
        <is>
          <t>2026-01</t>
        </is>
      </c>
      <c r="C5013" t="inlineStr">
        <is>
          <t>Sin cliente</t>
        </is>
      </c>
      <c r="D5013" t="inlineStr">
        <is>
          <t>CANELÉ TRADICIONAL</t>
        </is>
      </c>
      <c r="E5013" s="34" t="n">
        <v>27900</v>
      </c>
      <c r="F5013" t="inlineStr">
        <is>
          <t>B</t>
        </is>
      </c>
      <c r="G5013" s="34" t="n">
        <v>4455</v>
      </c>
      <c r="H5013" s="34" t="n">
        <v>23445</v>
      </c>
      <c r="I5013" t="inlineStr">
        <is>
          <t>3.2</t>
        </is>
      </c>
      <c r="J5013" t="inlineStr">
        <is>
          <t>Ventas Personas (B2C)</t>
        </is>
      </c>
      <c r="K5013" t="inlineStr">
        <is>
          <t>CH2</t>
        </is>
      </c>
    </row>
    <row r="5014">
      <c r="A5014" s="33" t="n">
        <v>46048</v>
      </c>
      <c r="B5014" t="inlineStr">
        <is>
          <t>2026-01</t>
        </is>
      </c>
      <c r="C5014" t="inlineStr">
        <is>
          <t>Yuleidis Luis Carrazana</t>
        </is>
      </c>
      <c r="D5014" t="inlineStr">
        <is>
          <t>Mix Sabores</t>
        </is>
      </c>
      <c r="E5014" s="34" t="n">
        <v>26290</v>
      </c>
      <c r="F5014" t="inlineStr">
        <is>
          <t>B</t>
        </is>
      </c>
      <c r="G5014" s="34" t="n">
        <v>4198</v>
      </c>
      <c r="H5014" s="34" t="n">
        <v>22092</v>
      </c>
      <c r="I5014" t="inlineStr">
        <is>
          <t>3.2</t>
        </is>
      </c>
      <c r="J5014" t="inlineStr">
        <is>
          <t>Ventas Personas (B2C)</t>
        </is>
      </c>
      <c r="K5014" t="inlineStr">
        <is>
          <t>CH2</t>
        </is>
      </c>
    </row>
    <row r="5015">
      <c r="A5015" s="33" t="n">
        <v>46048</v>
      </c>
      <c r="B5015" t="inlineStr">
        <is>
          <t>2026-01</t>
        </is>
      </c>
      <c r="C5015" t="inlineStr">
        <is>
          <t>Sin cliente</t>
        </is>
      </c>
      <c r="D5015" t="inlineStr">
        <is>
          <t>PLATAFORMAS RAP-PEYA-UBER-GOOD</t>
        </is>
      </c>
      <c r="E5015" s="34" t="n">
        <v>27480</v>
      </c>
      <c r="F5015" t="inlineStr">
        <is>
          <t>B</t>
        </is>
      </c>
      <c r="G5015" s="34" t="n">
        <v>4388</v>
      </c>
      <c r="H5015" s="34" t="n">
        <v>23092</v>
      </c>
      <c r="I5015" t="inlineStr">
        <is>
          <t>3.6</t>
        </is>
      </c>
      <c r="J5015" t="inlineStr">
        <is>
          <t>Ventas Delivery Apps</t>
        </is>
      </c>
      <c r="K5015" t="inlineStr">
        <is>
          <t>CH3</t>
        </is>
      </c>
    </row>
    <row r="5016">
      <c r="A5016" s="33" t="n">
        <v>46048</v>
      </c>
      <c r="B5016" t="inlineStr">
        <is>
          <t>2026-01</t>
        </is>
      </c>
      <c r="C5016" t="inlineStr">
        <is>
          <t>Sin cliente</t>
        </is>
      </c>
      <c r="D5016" t="inlineStr">
        <is>
          <t>PLATAFORMAS RAP-PEYA-UBER-GOOD</t>
        </is>
      </c>
      <c r="E5016" s="34" t="n">
        <v>16560</v>
      </c>
      <c r="F5016" t="inlineStr">
        <is>
          <t>B</t>
        </is>
      </c>
      <c r="G5016" s="34" t="n">
        <v>2644</v>
      </c>
      <c r="H5016" s="34" t="n">
        <v>13916</v>
      </c>
      <c r="I5016" t="inlineStr">
        <is>
          <t>3.6</t>
        </is>
      </c>
      <c r="J5016" t="inlineStr">
        <is>
          <t>Ventas Delivery Apps</t>
        </is>
      </c>
      <c r="K5016" t="inlineStr">
        <is>
          <t>CH3</t>
        </is>
      </c>
    </row>
    <row r="5017">
      <c r="A5017" s="33" t="n">
        <v>46048</v>
      </c>
      <c r="B5017" t="inlineStr">
        <is>
          <t>2026-01</t>
        </is>
      </c>
      <c r="C5017" t="inlineStr">
        <is>
          <t>Carlos Reusser</t>
        </is>
      </c>
      <c r="D5017" t="inlineStr">
        <is>
          <t>CANELÉ TRADICIONAL</t>
        </is>
      </c>
      <c r="E5017" s="34" t="n">
        <v>21390</v>
      </c>
      <c r="F5017" t="inlineStr">
        <is>
          <t>B</t>
        </is>
      </c>
      <c r="G5017" s="34" t="n">
        <v>3415</v>
      </c>
      <c r="H5017" s="34" t="n">
        <v>17975</v>
      </c>
      <c r="I5017" t="inlineStr">
        <is>
          <t>3.2</t>
        </is>
      </c>
      <c r="J5017" t="inlineStr">
        <is>
          <t>Ventas Personas (B2C)</t>
        </is>
      </c>
      <c r="K5017" t="inlineStr">
        <is>
          <t>CH2</t>
        </is>
      </c>
    </row>
    <row r="5018">
      <c r="A5018" s="33" t="n">
        <v>46049</v>
      </c>
      <c r="B5018" t="inlineStr">
        <is>
          <t>2026-01</t>
        </is>
      </c>
      <c r="C5018" t="inlineStr">
        <is>
          <t>INVERSIONES Y COMERCIALIZADORA FED LIMITADA</t>
        </is>
      </c>
      <c r="D5018" t="inlineStr">
        <is>
          <t>HORECA CAFETERIA</t>
        </is>
      </c>
      <c r="E5018" s="34" t="n">
        <v>61581</v>
      </c>
      <c r="F5018" t="inlineStr">
        <is>
          <t>F</t>
        </is>
      </c>
      <c r="G5018" s="34" t="n">
        <v>9832</v>
      </c>
      <c r="H5018" s="34" t="n">
        <v>51749</v>
      </c>
      <c r="I5018" t="inlineStr">
        <is>
          <t>3.1</t>
        </is>
      </c>
      <c r="J5018" t="inlineStr">
        <is>
          <t>Ventas HoReCa</t>
        </is>
      </c>
      <c r="K5018" t="inlineStr">
        <is>
          <t>CH1</t>
        </is>
      </c>
    </row>
    <row r="5019">
      <c r="A5019" s="33" t="n">
        <v>46049</v>
      </c>
      <c r="B5019" t="inlineStr">
        <is>
          <t>2026-01</t>
        </is>
      </c>
      <c r="C5019" t="inlineStr">
        <is>
          <t>INVERSIONES Y COMERCIALIZADORA FED LIMITADA</t>
        </is>
      </c>
      <c r="D5019" t="inlineStr">
        <is>
          <t>HORECA CAFETERIA</t>
        </is>
      </c>
      <c r="E5019" s="34" t="n">
        <v>336763</v>
      </c>
      <c r="F5019" t="inlineStr">
        <is>
          <t>F</t>
        </is>
      </c>
      <c r="G5019" s="34" t="n">
        <v>53769</v>
      </c>
      <c r="H5019" s="34" t="n">
        <v>282994</v>
      </c>
      <c r="I5019" t="inlineStr">
        <is>
          <t>3.1</t>
        </is>
      </c>
      <c r="J5019" t="inlineStr">
        <is>
          <t>Ventas HoReCa</t>
        </is>
      </c>
      <c r="K5019" t="inlineStr">
        <is>
          <t>CH1</t>
        </is>
      </c>
    </row>
    <row r="5020">
      <c r="A5020" s="33" t="n">
        <v>46049</v>
      </c>
      <c r="B5020" t="inlineStr">
        <is>
          <t>2026-01</t>
        </is>
      </c>
      <c r="C5020" t="inlineStr">
        <is>
          <t>CAFETERÍAS MISTER SPA</t>
        </is>
      </c>
      <c r="D5020" t="inlineStr">
        <is>
          <t>HORECA CAFETERIA</t>
        </is>
      </c>
      <c r="E5020" s="34" t="n">
        <v>39115</v>
      </c>
      <c r="F5020" t="inlineStr">
        <is>
          <t>F</t>
        </is>
      </c>
      <c r="G5020" s="34" t="n">
        <v>6245</v>
      </c>
      <c r="H5020" s="34" t="n">
        <v>32870</v>
      </c>
      <c r="I5020" t="inlineStr">
        <is>
          <t>3.1</t>
        </is>
      </c>
      <c r="J5020" t="inlineStr">
        <is>
          <t>Ventas HoReCa</t>
        </is>
      </c>
      <c r="K5020" t="inlineStr">
        <is>
          <t>CH1</t>
        </is>
      </c>
    </row>
    <row r="5021">
      <c r="A5021" s="33" t="n">
        <v>46049</v>
      </c>
      <c r="B5021" t="inlineStr">
        <is>
          <t>2026-01</t>
        </is>
      </c>
      <c r="C5021" t="inlineStr">
        <is>
          <t>Nikita Pompei</t>
        </is>
      </c>
      <c r="D5021" t="inlineStr">
        <is>
          <t>PACKAGING</t>
        </is>
      </c>
      <c r="E5021" s="34" t="n">
        <v>20590</v>
      </c>
      <c r="F5021" t="inlineStr">
        <is>
          <t>B</t>
        </is>
      </c>
      <c r="G5021" s="34" t="n">
        <v>3287</v>
      </c>
      <c r="H5021" s="34" t="n">
        <v>17303</v>
      </c>
      <c r="I5021" t="inlineStr">
        <is>
          <t>3.2</t>
        </is>
      </c>
      <c r="J5021" t="inlineStr">
        <is>
          <t>Ventas Personas (B2C)</t>
        </is>
      </c>
      <c r="K5021" t="inlineStr">
        <is>
          <t>CH2</t>
        </is>
      </c>
    </row>
    <row r="5022">
      <c r="A5022" s="33" t="n">
        <v>46049</v>
      </c>
      <c r="B5022" t="inlineStr">
        <is>
          <t>2026-01</t>
        </is>
      </c>
      <c r="C5022" t="inlineStr">
        <is>
          <t>Camila Paredes Saieg</t>
        </is>
      </c>
      <c r="D5022" t="inlineStr">
        <is>
          <t>CANELÉ TRADICIONAL</t>
        </is>
      </c>
      <c r="E5022" s="34" t="n">
        <v>41290</v>
      </c>
      <c r="F5022" t="inlineStr">
        <is>
          <t>B</t>
        </is>
      </c>
      <c r="G5022" s="34" t="n">
        <v>6593</v>
      </c>
      <c r="H5022" s="34" t="n">
        <v>34697</v>
      </c>
      <c r="I5022" t="inlineStr">
        <is>
          <t>3.2</t>
        </is>
      </c>
      <c r="J5022" t="inlineStr">
        <is>
          <t>Ventas Personas (B2C)</t>
        </is>
      </c>
      <c r="K5022" t="inlineStr">
        <is>
          <t>CH2</t>
        </is>
      </c>
    </row>
    <row r="5023">
      <c r="A5023" s="33" t="n">
        <v>46049</v>
      </c>
      <c r="B5023" t="inlineStr">
        <is>
          <t>2026-01</t>
        </is>
      </c>
      <c r="C5023" t="inlineStr">
        <is>
          <t>Vicente Pinto Bravo</t>
        </is>
      </c>
      <c r="D5023" t="inlineStr">
        <is>
          <t>Rellenos</t>
        </is>
      </c>
      <c r="E5023" s="34" t="n">
        <v>18440</v>
      </c>
      <c r="F5023" t="inlineStr">
        <is>
          <t>B</t>
        </is>
      </c>
      <c r="G5023" s="34" t="n">
        <v>2944</v>
      </c>
      <c r="H5023" s="34" t="n">
        <v>15496</v>
      </c>
      <c r="I5023" t="inlineStr">
        <is>
          <t>3.2</t>
        </is>
      </c>
      <c r="J5023" t="inlineStr">
        <is>
          <t>Ventas Personas (B2C)</t>
        </is>
      </c>
      <c r="K5023" t="inlineStr">
        <is>
          <t>CH2</t>
        </is>
      </c>
    </row>
    <row r="5024">
      <c r="A5024" s="33" t="n">
        <v>46049</v>
      </c>
      <c r="B5024" t="inlineStr">
        <is>
          <t>2026-01</t>
        </is>
      </c>
      <c r="C5024" t="inlineStr">
        <is>
          <t>Franchesca Andrea Muñoz Araneda</t>
        </is>
      </c>
      <c r="D5024" t="inlineStr">
        <is>
          <t>Petit Tradicional</t>
        </is>
      </c>
      <c r="E5024" s="34" t="n">
        <v>19290</v>
      </c>
      <c r="F5024" t="inlineStr">
        <is>
          <t>B</t>
        </is>
      </c>
      <c r="G5024" s="34" t="n">
        <v>3080</v>
      </c>
      <c r="H5024" s="34" t="n">
        <v>16210</v>
      </c>
      <c r="I5024" t="inlineStr">
        <is>
          <t>3.2</t>
        </is>
      </c>
      <c r="J5024" t="inlineStr">
        <is>
          <t>Ventas Personas (B2C)</t>
        </is>
      </c>
      <c r="K5024" t="inlineStr">
        <is>
          <t>CH2</t>
        </is>
      </c>
    </row>
    <row r="5025">
      <c r="A5025" s="33" t="n">
        <v>46049</v>
      </c>
      <c r="B5025" t="inlineStr">
        <is>
          <t>2026-01</t>
        </is>
      </c>
      <c r="C5025" t="inlineStr">
        <is>
          <t>Sin cliente</t>
        </is>
      </c>
      <c r="D5025" t="inlineStr">
        <is>
          <t>Glosa Envío a Ovalle</t>
        </is>
      </c>
      <c r="E5025" s="34" t="n">
        <v>19432</v>
      </c>
      <c r="F5025" t="inlineStr">
        <is>
          <t>B</t>
        </is>
      </c>
      <c r="G5025" s="34" t="n">
        <v>3103</v>
      </c>
      <c r="H5025" s="34" t="n">
        <v>16329</v>
      </c>
      <c r="I5025" t="inlineStr">
        <is>
          <t>3.2</t>
        </is>
      </c>
      <c r="J5025" t="inlineStr">
        <is>
          <t>Ventas Personas (B2C)</t>
        </is>
      </c>
      <c r="K5025" t="inlineStr">
        <is>
          <t>CH2</t>
        </is>
      </c>
    </row>
    <row r="5026">
      <c r="A5026" s="33" t="n">
        <v>46049</v>
      </c>
      <c r="B5026" t="inlineStr">
        <is>
          <t>2026-01</t>
        </is>
      </c>
      <c r="C5026" t="inlineStr">
        <is>
          <t>Cristian Silva</t>
        </is>
      </c>
      <c r="D5026" t="inlineStr">
        <is>
          <t>CANELÉ TRADICIONAL</t>
        </is>
      </c>
      <c r="E5026" s="34" t="n">
        <v>24390</v>
      </c>
      <c r="F5026" t="inlineStr">
        <is>
          <t>B</t>
        </is>
      </c>
      <c r="G5026" s="34" t="n">
        <v>3894</v>
      </c>
      <c r="H5026" s="34" t="n">
        <v>20496</v>
      </c>
      <c r="I5026" t="inlineStr">
        <is>
          <t>3.2</t>
        </is>
      </c>
      <c r="J5026" t="inlineStr">
        <is>
          <t>Ventas Personas (B2C)</t>
        </is>
      </c>
      <c r="K5026" t="inlineStr">
        <is>
          <t>CH2</t>
        </is>
      </c>
    </row>
    <row r="5027">
      <c r="A5027" s="33" t="n">
        <v>46049</v>
      </c>
      <c r="B5027" t="inlineStr">
        <is>
          <t>2026-01</t>
        </is>
      </c>
      <c r="C5027" t="inlineStr">
        <is>
          <t>Sin cliente</t>
        </is>
      </c>
      <c r="D5027" t="inlineStr">
        <is>
          <t>PLATAFORMAS RAP-PEYA-UBER-GOOD</t>
        </is>
      </c>
      <c r="E5027" s="34" t="n">
        <v>9000</v>
      </c>
      <c r="F5027" t="inlineStr">
        <is>
          <t>B</t>
        </is>
      </c>
      <c r="G5027" s="34" t="n">
        <v>1437</v>
      </c>
      <c r="H5027" s="34" t="n">
        <v>7563</v>
      </c>
      <c r="I5027" t="inlineStr">
        <is>
          <t>3.6</t>
        </is>
      </c>
      <c r="J5027" t="inlineStr">
        <is>
          <t>Ventas Delivery Apps</t>
        </is>
      </c>
      <c r="K5027" t="inlineStr">
        <is>
          <t>CH3</t>
        </is>
      </c>
    </row>
    <row r="5028">
      <c r="A5028" s="33" t="n">
        <v>46049</v>
      </c>
      <c r="B5028" t="inlineStr">
        <is>
          <t>2026-01</t>
        </is>
      </c>
      <c r="C5028" t="inlineStr">
        <is>
          <t>Better Food Spa</t>
        </is>
      </c>
      <c r="D5028" t="inlineStr">
        <is>
          <t>REGION METROPOLITANA</t>
        </is>
      </c>
      <c r="E5028" s="34" t="n">
        <v>9401</v>
      </c>
      <c r="F5028" t="inlineStr">
        <is>
          <t>F</t>
        </is>
      </c>
      <c r="G5028" s="34" t="n">
        <v>1501</v>
      </c>
      <c r="H5028" s="34" t="n">
        <v>7900</v>
      </c>
      <c r="I5028" t="inlineStr">
        <is>
          <t>3.1</t>
        </is>
      </c>
      <c r="J5028" t="inlineStr">
        <is>
          <t>Ventas HoReCa</t>
        </is>
      </c>
      <c r="K5028" t="inlineStr">
        <is>
          <t>CH1</t>
        </is>
      </c>
    </row>
    <row r="5029">
      <c r="A5029" s="33" t="n">
        <v>46049</v>
      </c>
      <c r="B5029" t="inlineStr">
        <is>
          <t>2026-01</t>
        </is>
      </c>
      <c r="C5029" t="inlineStr">
        <is>
          <t>Natalia Toso barsby</t>
        </is>
      </c>
      <c r="D5029" t="inlineStr">
        <is>
          <t>Rellenos</t>
        </is>
      </c>
      <c r="E5029" s="34" t="n">
        <v>33750</v>
      </c>
      <c r="F5029" t="inlineStr">
        <is>
          <t>B</t>
        </is>
      </c>
      <c r="G5029" s="34" t="n">
        <v>5389</v>
      </c>
      <c r="H5029" s="34" t="n">
        <v>28361</v>
      </c>
      <c r="I5029" t="inlineStr">
        <is>
          <t>3.2</t>
        </is>
      </c>
      <c r="J5029" t="inlineStr">
        <is>
          <t>Ventas Personas (B2C)</t>
        </is>
      </c>
      <c r="K5029" t="inlineStr">
        <is>
          <t>CH2</t>
        </is>
      </c>
    </row>
    <row r="5030">
      <c r="A5030" s="33" t="n">
        <v>46049</v>
      </c>
      <c r="B5030" t="inlineStr">
        <is>
          <t>2026-01</t>
        </is>
      </c>
      <c r="C5030" t="inlineStr">
        <is>
          <t>Sin cliente</t>
        </is>
      </c>
      <c r="D5030" t="inlineStr">
        <is>
          <t>Rellenos</t>
        </is>
      </c>
      <c r="E5030" s="34" t="n">
        <v>10500</v>
      </c>
      <c r="F5030" t="inlineStr">
        <is>
          <t>B</t>
        </is>
      </c>
      <c r="G5030" s="34" t="n">
        <v>1676</v>
      </c>
      <c r="H5030" s="34" t="n">
        <v>8824</v>
      </c>
      <c r="I5030" t="inlineStr">
        <is>
          <t>3.2</t>
        </is>
      </c>
      <c r="J5030" t="inlineStr">
        <is>
          <t>Ventas Personas (B2C)</t>
        </is>
      </c>
      <c r="K5030" t="inlineStr">
        <is>
          <t>CH2</t>
        </is>
      </c>
    </row>
    <row r="5031">
      <c r="A5031" s="33" t="n">
        <v>46049</v>
      </c>
      <c r="B5031" t="inlineStr">
        <is>
          <t>2026-01</t>
        </is>
      </c>
      <c r="C5031" t="inlineStr">
        <is>
          <t>Sin cliente</t>
        </is>
      </c>
      <c r="D5031" t="inlineStr">
        <is>
          <t>Petit Crunchy</t>
        </is>
      </c>
      <c r="E5031" s="34" t="n">
        <v>15900</v>
      </c>
      <c r="F5031" t="inlineStr">
        <is>
          <t>B</t>
        </is>
      </c>
      <c r="G5031" s="34" t="n">
        <v>2539</v>
      </c>
      <c r="H5031" s="34" t="n">
        <v>13361</v>
      </c>
      <c r="I5031" t="inlineStr">
        <is>
          <t>3.2</t>
        </is>
      </c>
      <c r="J5031" t="inlineStr">
        <is>
          <t>Ventas Personas (B2C)</t>
        </is>
      </c>
      <c r="K5031" t="inlineStr">
        <is>
          <t>CH2</t>
        </is>
      </c>
    </row>
    <row r="5032">
      <c r="A5032" s="33" t="n">
        <v>46049</v>
      </c>
      <c r="B5032" t="inlineStr">
        <is>
          <t>2026-01</t>
        </is>
      </c>
      <c r="C5032" t="inlineStr">
        <is>
          <t>Sin cliente</t>
        </is>
      </c>
      <c r="D5032" t="inlineStr">
        <is>
          <t>Delicatessen</t>
        </is>
      </c>
      <c r="E5032" s="34" t="n">
        <v>3400</v>
      </c>
      <c r="F5032" t="inlineStr">
        <is>
          <t>B</t>
        </is>
      </c>
      <c r="G5032" s="34" t="n">
        <v>543</v>
      </c>
      <c r="H5032" s="34" t="n">
        <v>2857</v>
      </c>
      <c r="I5032" t="inlineStr">
        <is>
          <t>3.2</t>
        </is>
      </c>
      <c r="J5032" t="inlineStr">
        <is>
          <t>Ventas Personas (B2C)</t>
        </is>
      </c>
      <c r="K5032" t="inlineStr">
        <is>
          <t>CH2</t>
        </is>
      </c>
    </row>
    <row r="5033">
      <c r="A5033" s="33" t="n">
        <v>46049</v>
      </c>
      <c r="B5033" t="inlineStr">
        <is>
          <t>2026-01</t>
        </is>
      </c>
      <c r="C5033" t="inlineStr">
        <is>
          <t>Sin cliente</t>
        </is>
      </c>
      <c r="D5033" t="inlineStr">
        <is>
          <t>Delicatessen</t>
        </is>
      </c>
      <c r="E5033" s="34" t="n">
        <v>3400</v>
      </c>
      <c r="F5033" t="inlineStr">
        <is>
          <t>B</t>
        </is>
      </c>
      <c r="G5033" s="34" t="n">
        <v>543</v>
      </c>
      <c r="H5033" s="34" t="n">
        <v>2857</v>
      </c>
      <c r="I5033" t="inlineStr">
        <is>
          <t>3.2</t>
        </is>
      </c>
      <c r="J5033" t="inlineStr">
        <is>
          <t>Ventas Personas (B2C)</t>
        </is>
      </c>
      <c r="K5033" t="inlineStr">
        <is>
          <t>CH2</t>
        </is>
      </c>
    </row>
    <row r="5034">
      <c r="A5034" s="33" t="n">
        <v>46050</v>
      </c>
      <c r="B5034" t="inlineStr">
        <is>
          <t>2026-01</t>
        </is>
      </c>
      <c r="C5034" t="inlineStr">
        <is>
          <t>TAVELLI S.A.</t>
        </is>
      </c>
      <c r="D5034" t="inlineStr">
        <is>
          <t>HORECA CAFETERIA</t>
        </is>
      </c>
      <c r="E5034" s="34" t="n">
        <v>818405</v>
      </c>
      <c r="F5034" t="inlineStr">
        <is>
          <t>F</t>
        </is>
      </c>
      <c r="G5034" s="34" t="n">
        <v>130670</v>
      </c>
      <c r="H5034" s="34" t="n">
        <v>687735</v>
      </c>
      <c r="I5034" t="inlineStr">
        <is>
          <t>3.1</t>
        </is>
      </c>
      <c r="J5034" t="inlineStr">
        <is>
          <t>Ventas HoReCa</t>
        </is>
      </c>
      <c r="K5034" t="inlineStr">
        <is>
          <t>CH1</t>
        </is>
      </c>
    </row>
    <row r="5035">
      <c r="A5035" s="33" t="n">
        <v>46050</v>
      </c>
      <c r="B5035" t="inlineStr">
        <is>
          <t>2026-01</t>
        </is>
      </c>
      <c r="C5035" t="inlineStr">
        <is>
          <t>TAVELLI S.A.</t>
        </is>
      </c>
      <c r="D5035" t="inlineStr">
        <is>
          <t>REGION METROPOLITANA</t>
        </is>
      </c>
      <c r="E5035" s="34" t="n">
        <v>35700</v>
      </c>
      <c r="F5035" t="inlineStr">
        <is>
          <t>F</t>
        </is>
      </c>
      <c r="G5035" s="34" t="n">
        <v>5700</v>
      </c>
      <c r="H5035" s="34" t="n">
        <v>30000</v>
      </c>
      <c r="I5035" t="inlineStr">
        <is>
          <t>3.1</t>
        </is>
      </c>
      <c r="J5035" t="inlineStr">
        <is>
          <t>Ventas HoReCa</t>
        </is>
      </c>
      <c r="K5035" t="inlineStr">
        <is>
          <t>CH1</t>
        </is>
      </c>
    </row>
    <row r="5036">
      <c r="A5036" s="33" t="n">
        <v>46050</v>
      </c>
      <c r="B5036" t="inlineStr">
        <is>
          <t>2026-01</t>
        </is>
      </c>
      <c r="C5036" t="inlineStr">
        <is>
          <t>Cocoshouse Spa</t>
        </is>
      </c>
      <c r="D5036" t="inlineStr">
        <is>
          <t>HORECA CAFETERIA</t>
        </is>
      </c>
      <c r="E5036" s="34" t="n">
        <v>96283</v>
      </c>
      <c r="F5036" t="inlineStr">
        <is>
          <t>F</t>
        </is>
      </c>
      <c r="G5036" s="34" t="n">
        <v>15373</v>
      </c>
      <c r="H5036" s="34" t="n">
        <v>80910</v>
      </c>
      <c r="I5036" t="inlineStr">
        <is>
          <t>3.1</t>
        </is>
      </c>
      <c r="J5036" t="inlineStr">
        <is>
          <t>Ventas HoReCa</t>
        </is>
      </c>
      <c r="K5036" t="inlineStr">
        <is>
          <t>CH1</t>
        </is>
      </c>
    </row>
    <row r="5037">
      <c r="A5037" s="33" t="n">
        <v>46050</v>
      </c>
      <c r="B5037" t="inlineStr">
        <is>
          <t>2026-01</t>
        </is>
      </c>
      <c r="C5037" t="inlineStr">
        <is>
          <t>CAFETERIA THE ELEPHANT COFFEE LIMITADA</t>
        </is>
      </c>
      <c r="D5037" t="inlineStr">
        <is>
          <t>HORECA CAFETERIA</t>
        </is>
      </c>
      <c r="E5037" s="34" t="n">
        <v>189959</v>
      </c>
      <c r="F5037" t="inlineStr">
        <is>
          <t>F</t>
        </is>
      </c>
      <c r="G5037" s="34" t="n">
        <v>30330</v>
      </c>
      <c r="H5037" s="34" t="n">
        <v>159629</v>
      </c>
      <c r="I5037" t="inlineStr">
        <is>
          <t>3.1</t>
        </is>
      </c>
      <c r="J5037" t="inlineStr">
        <is>
          <t>Ventas HoReCa</t>
        </is>
      </c>
      <c r="K5037" t="inlineStr">
        <is>
          <t>CH1</t>
        </is>
      </c>
    </row>
    <row r="5038">
      <c r="A5038" s="33" t="n">
        <v>46050</v>
      </c>
      <c r="B5038" t="inlineStr">
        <is>
          <t>2026-01</t>
        </is>
      </c>
      <c r="C5038" t="inlineStr">
        <is>
          <t>Better Food Spa</t>
        </is>
      </c>
      <c r="D5038" t="inlineStr">
        <is>
          <t>HORECA CAFETERIA</t>
        </is>
      </c>
      <c r="E5038" s="34" t="n">
        <v>192566</v>
      </c>
      <c r="F5038" t="inlineStr">
        <is>
          <t>F</t>
        </is>
      </c>
      <c r="G5038" s="34" t="n">
        <v>30746</v>
      </c>
      <c r="H5038" s="34" t="n">
        <v>161820</v>
      </c>
      <c r="I5038" t="inlineStr">
        <is>
          <t>3.1</t>
        </is>
      </c>
      <c r="J5038" t="inlineStr">
        <is>
          <t>Ventas HoReCa</t>
        </is>
      </c>
      <c r="K5038" t="inlineStr">
        <is>
          <t>CH1</t>
        </is>
      </c>
    </row>
    <row r="5039">
      <c r="A5039" s="33" t="n">
        <v>46050</v>
      </c>
      <c r="B5039" t="inlineStr">
        <is>
          <t>2026-01</t>
        </is>
      </c>
      <c r="C5039" t="inlineStr">
        <is>
          <t>Ximena Rojas</t>
        </is>
      </c>
      <c r="D5039" t="inlineStr">
        <is>
          <t>SALSAS</t>
        </is>
      </c>
      <c r="E5039" s="34" t="n">
        <v>63280</v>
      </c>
      <c r="F5039" t="inlineStr">
        <is>
          <t>B</t>
        </is>
      </c>
      <c r="G5039" s="34" t="n">
        <v>10104</v>
      </c>
      <c r="H5039" s="34" t="n">
        <v>53176</v>
      </c>
      <c r="I5039" t="inlineStr">
        <is>
          <t>3.2</t>
        </is>
      </c>
      <c r="J5039" t="inlineStr">
        <is>
          <t>Ventas Personas (B2C)</t>
        </is>
      </c>
      <c r="K5039" t="inlineStr">
        <is>
          <t>CH2</t>
        </is>
      </c>
    </row>
    <row r="5040">
      <c r="A5040" s="33" t="n">
        <v>46050</v>
      </c>
      <c r="B5040" t="inlineStr">
        <is>
          <t>2026-01</t>
        </is>
      </c>
      <c r="C5040" t="inlineStr">
        <is>
          <t>Sin cliente</t>
        </is>
      </c>
      <c r="D5040" t="inlineStr">
        <is>
          <t>PLATAFORMAS RAP-PEYA-UBER-GOOD</t>
        </is>
      </c>
      <c r="E5040" s="34" t="n">
        <v>12500</v>
      </c>
      <c r="F5040" t="inlineStr">
        <is>
          <t>B</t>
        </is>
      </c>
      <c r="G5040" s="34" t="n">
        <v>1996</v>
      </c>
      <c r="H5040" s="34" t="n">
        <v>10504</v>
      </c>
      <c r="I5040" t="inlineStr">
        <is>
          <t>3.6</t>
        </is>
      </c>
      <c r="J5040" t="inlineStr">
        <is>
          <t>Ventas Delivery Apps</t>
        </is>
      </c>
      <c r="K5040" t="inlineStr">
        <is>
          <t>CH3</t>
        </is>
      </c>
    </row>
    <row r="5041">
      <c r="A5041" s="33" t="n">
        <v>46050</v>
      </c>
      <c r="B5041" t="inlineStr">
        <is>
          <t>2026-01</t>
        </is>
      </c>
      <c r="C5041" t="inlineStr">
        <is>
          <t>Carolina Duarte</t>
        </is>
      </c>
      <c r="D5041" t="inlineStr">
        <is>
          <t>CANELÉ TRADICIONAL</t>
        </is>
      </c>
      <c r="E5041" s="34" t="n">
        <v>30600</v>
      </c>
      <c r="F5041" t="inlineStr">
        <is>
          <t>B</t>
        </is>
      </c>
      <c r="G5041" s="34" t="n">
        <v>4886</v>
      </c>
      <c r="H5041" s="34" t="n">
        <v>25714</v>
      </c>
      <c r="I5041" t="inlineStr">
        <is>
          <t>3.2</t>
        </is>
      </c>
      <c r="J5041" t="inlineStr">
        <is>
          <t>Ventas Personas (B2C)</t>
        </is>
      </c>
      <c r="K5041" t="inlineStr">
        <is>
          <t>CH2</t>
        </is>
      </c>
    </row>
    <row r="5042">
      <c r="A5042" s="33" t="n">
        <v>46050</v>
      </c>
      <c r="B5042" t="inlineStr">
        <is>
          <t>2026-01</t>
        </is>
      </c>
      <c r="C5042" t="inlineStr">
        <is>
          <t>BLUE OAK COFFE SPA</t>
        </is>
      </c>
      <c r="D5042" t="inlineStr">
        <is>
          <t>HORECA CAFETERIA</t>
        </is>
      </c>
      <c r="E5042" s="34" t="n">
        <v>55668</v>
      </c>
      <c r="F5042" t="inlineStr">
        <is>
          <t>F</t>
        </is>
      </c>
      <c r="G5042" s="34" t="n">
        <v>8888</v>
      </c>
      <c r="H5042" s="34" t="n">
        <v>46780</v>
      </c>
      <c r="I5042" t="inlineStr">
        <is>
          <t>3.1</t>
        </is>
      </c>
      <c r="J5042" t="inlineStr">
        <is>
          <t>Ventas HoReCa</t>
        </is>
      </c>
      <c r="K5042" t="inlineStr">
        <is>
          <t>CH1</t>
        </is>
      </c>
    </row>
    <row r="5043">
      <c r="A5043" s="33" t="n">
        <v>46050</v>
      </c>
      <c r="B5043" t="inlineStr">
        <is>
          <t>2026-01</t>
        </is>
      </c>
      <c r="C5043" t="inlineStr">
        <is>
          <t>Sin cliente</t>
        </is>
      </c>
      <c r="D5043" t="inlineStr">
        <is>
          <t>Petit Tradicional</t>
        </is>
      </c>
      <c r="E5043" s="34" t="n">
        <v>9800</v>
      </c>
      <c r="F5043" t="inlineStr">
        <is>
          <t>B</t>
        </is>
      </c>
      <c r="G5043" s="34" t="n">
        <v>1565</v>
      </c>
      <c r="H5043" s="34" t="n">
        <v>8235</v>
      </c>
      <c r="I5043" t="inlineStr">
        <is>
          <t>3.2</t>
        </is>
      </c>
      <c r="J5043" t="inlineStr">
        <is>
          <t>Ventas Personas (B2C)</t>
        </is>
      </c>
      <c r="K5043" t="inlineStr">
        <is>
          <t>CH2</t>
        </is>
      </c>
    </row>
    <row r="5044">
      <c r="A5044" s="33" t="n">
        <v>46050</v>
      </c>
      <c r="B5044" t="inlineStr">
        <is>
          <t>2026-01</t>
        </is>
      </c>
      <c r="C5044" t="inlineStr">
        <is>
          <t>Ximena Rojas</t>
        </is>
      </c>
      <c r="D5044" t="inlineStr">
        <is>
          <t>SALSAS</t>
        </is>
      </c>
      <c r="E5044" s="34" t="n">
        <v>43780</v>
      </c>
      <c r="F5044" t="inlineStr">
        <is>
          <t>B</t>
        </is>
      </c>
      <c r="G5044" s="34" t="n">
        <v>6990</v>
      </c>
      <c r="H5044" s="34" t="n">
        <v>36790</v>
      </c>
      <c r="I5044" t="inlineStr">
        <is>
          <t>3.2</t>
        </is>
      </c>
      <c r="J5044" t="inlineStr">
        <is>
          <t>Ventas Personas (B2C)</t>
        </is>
      </c>
      <c r="K5044" t="inlineStr">
        <is>
          <t>CH2</t>
        </is>
      </c>
    </row>
    <row r="5045">
      <c r="A5045" s="33" t="n">
        <v>46050</v>
      </c>
      <c r="B5045" t="inlineStr">
        <is>
          <t>2026-01</t>
        </is>
      </c>
      <c r="C5045" t="inlineStr">
        <is>
          <t>Sin cliente</t>
        </is>
      </c>
      <c r="D5045" t="inlineStr">
        <is>
          <t>PLATAFORMAS RAP-PEYA-UBER-GOOD</t>
        </is>
      </c>
      <c r="E5045" s="34" t="n">
        <v>11760</v>
      </c>
      <c r="F5045" t="inlineStr">
        <is>
          <t>B</t>
        </is>
      </c>
      <c r="G5045" s="34" t="n">
        <v>1878</v>
      </c>
      <c r="H5045" s="34" t="n">
        <v>9882</v>
      </c>
      <c r="I5045" t="inlineStr">
        <is>
          <t>3.6</t>
        </is>
      </c>
      <c r="J5045" t="inlineStr">
        <is>
          <t>Ventas Delivery Apps</t>
        </is>
      </c>
      <c r="K5045" t="inlineStr">
        <is>
          <t>CH3</t>
        </is>
      </c>
    </row>
    <row r="5046">
      <c r="A5046" s="33" t="n">
        <v>46050</v>
      </c>
      <c r="B5046" t="inlineStr">
        <is>
          <t>2026-01</t>
        </is>
      </c>
      <c r="C5046" t="inlineStr">
        <is>
          <t>Sin cliente</t>
        </is>
      </c>
      <c r="D5046" t="inlineStr">
        <is>
          <t>Rellenos</t>
        </is>
      </c>
      <c r="E5046" s="34" t="n">
        <v>10500</v>
      </c>
      <c r="F5046" t="inlineStr">
        <is>
          <t>B</t>
        </is>
      </c>
      <c r="G5046" s="34" t="n">
        <v>1676</v>
      </c>
      <c r="H5046" s="34" t="n">
        <v>8824</v>
      </c>
      <c r="I5046" t="inlineStr">
        <is>
          <t>3.2</t>
        </is>
      </c>
      <c r="J5046" t="inlineStr">
        <is>
          <t>Ventas Personas (B2C)</t>
        </is>
      </c>
      <c r="K5046" t="inlineStr">
        <is>
          <t>CH2</t>
        </is>
      </c>
    </row>
    <row r="5047">
      <c r="A5047" s="33" t="n">
        <v>46050</v>
      </c>
      <c r="B5047" t="inlineStr">
        <is>
          <t>2026-01</t>
        </is>
      </c>
      <c r="C5047" t="inlineStr">
        <is>
          <t>Sin cliente</t>
        </is>
      </c>
      <c r="D5047" t="inlineStr">
        <is>
          <t>CANELÉ TRADICIONAL</t>
        </is>
      </c>
      <c r="E5047" s="34" t="n">
        <v>9900</v>
      </c>
      <c r="F5047" t="inlineStr">
        <is>
          <t>B</t>
        </is>
      </c>
      <c r="G5047" s="34" t="n">
        <v>1581</v>
      </c>
      <c r="H5047" s="34" t="n">
        <v>8319</v>
      </c>
      <c r="I5047" t="inlineStr">
        <is>
          <t>3.2</t>
        </is>
      </c>
      <c r="J5047" t="inlineStr">
        <is>
          <t>Ventas Personas (B2C)</t>
        </is>
      </c>
      <c r="K5047" t="inlineStr">
        <is>
          <t>CH2</t>
        </is>
      </c>
    </row>
    <row r="5048">
      <c r="A5048" s="33" t="n">
        <v>46050</v>
      </c>
      <c r="B5048" t="inlineStr">
        <is>
          <t>2026-01</t>
        </is>
      </c>
      <c r="C5048" t="inlineStr">
        <is>
          <t>Sin cliente</t>
        </is>
      </c>
      <c r="D5048" t="inlineStr">
        <is>
          <t>CANELÉ TRADICIONAL</t>
        </is>
      </c>
      <c r="E5048" s="34" t="n">
        <v>22900</v>
      </c>
      <c r="F5048" t="inlineStr">
        <is>
          <t>B</t>
        </is>
      </c>
      <c r="G5048" s="34" t="n">
        <v>3656</v>
      </c>
      <c r="H5048" s="34" t="n">
        <v>19244</v>
      </c>
      <c r="I5048" t="inlineStr">
        <is>
          <t>3.2</t>
        </is>
      </c>
      <c r="J5048" t="inlineStr">
        <is>
          <t>Ventas Personas (B2C)</t>
        </is>
      </c>
      <c r="K5048" t="inlineStr">
        <is>
          <t>CH2</t>
        </is>
      </c>
    </row>
    <row r="5049">
      <c r="A5049" s="33" t="n">
        <v>46050</v>
      </c>
      <c r="B5049" t="inlineStr">
        <is>
          <t>2026-01</t>
        </is>
      </c>
      <c r="C5049" t="inlineStr">
        <is>
          <t>Sin cliente</t>
        </is>
      </c>
      <c r="D5049" t="inlineStr">
        <is>
          <t>Delicatessen</t>
        </is>
      </c>
      <c r="E5049" s="34" t="n">
        <v>14900</v>
      </c>
      <c r="F5049" t="inlineStr">
        <is>
          <t>B</t>
        </is>
      </c>
      <c r="G5049" s="34" t="n">
        <v>2379</v>
      </c>
      <c r="H5049" s="34" t="n">
        <v>12521</v>
      </c>
      <c r="I5049" t="inlineStr">
        <is>
          <t>3.2</t>
        </is>
      </c>
      <c r="J5049" t="inlineStr">
        <is>
          <t>Ventas Personas (B2C)</t>
        </is>
      </c>
      <c r="K5049" t="inlineStr">
        <is>
          <t>CH2</t>
        </is>
      </c>
    </row>
    <row r="5050">
      <c r="A5050" s="33" t="n">
        <v>46051</v>
      </c>
      <c r="B5050" t="inlineStr">
        <is>
          <t>2026-01</t>
        </is>
      </c>
      <c r="C5050" t="inlineStr">
        <is>
          <t>GOOD LIFE SPA</t>
        </is>
      </c>
      <c r="D5050" t="inlineStr">
        <is>
          <t>HORECA CAFETERIA</t>
        </is>
      </c>
      <c r="E5050" s="34" t="n">
        <v>258777</v>
      </c>
      <c r="F5050" t="inlineStr">
        <is>
          <t>F</t>
        </is>
      </c>
      <c r="G5050" s="34" t="n">
        <v>41317</v>
      </c>
      <c r="H5050" s="34" t="n">
        <v>217460</v>
      </c>
      <c r="I5050" t="inlineStr">
        <is>
          <t>3.1</t>
        </is>
      </c>
      <c r="J5050" t="inlineStr">
        <is>
          <t>Ventas HoReCa</t>
        </is>
      </c>
      <c r="K5050" t="inlineStr">
        <is>
          <t>CH1</t>
        </is>
      </c>
    </row>
    <row r="5051">
      <c r="A5051" s="33" t="n">
        <v>46051</v>
      </c>
      <c r="B5051" t="inlineStr">
        <is>
          <t>2026-01</t>
        </is>
      </c>
      <c r="C5051" t="inlineStr">
        <is>
          <t>Sociedad de inversiones solari y acuña spa</t>
        </is>
      </c>
      <c r="D5051" t="inlineStr">
        <is>
          <t>HORECA CAFETERIA</t>
        </is>
      </c>
      <c r="E5051" s="34" t="n">
        <v>104315</v>
      </c>
      <c r="F5051" t="inlineStr">
        <is>
          <t>F</t>
        </is>
      </c>
      <c r="G5051" s="34" t="n">
        <v>16655</v>
      </c>
      <c r="H5051" s="34" t="n">
        <v>87660</v>
      </c>
      <c r="I5051" t="inlineStr">
        <is>
          <t>3.1</t>
        </is>
      </c>
      <c r="J5051" t="inlineStr">
        <is>
          <t>Ventas HoReCa</t>
        </is>
      </c>
      <c r="K5051" t="inlineStr">
        <is>
          <t>CH1</t>
        </is>
      </c>
    </row>
    <row r="5052">
      <c r="A5052" s="33" t="n">
        <v>46051</v>
      </c>
      <c r="B5052" t="inlineStr">
        <is>
          <t>2026-01</t>
        </is>
      </c>
      <c r="C5052" t="inlineStr">
        <is>
          <t>Sociedad de inversiones solari y acuña spa</t>
        </is>
      </c>
      <c r="D5052" t="inlineStr">
        <is>
          <t>HORECA CAFETERIA</t>
        </is>
      </c>
      <c r="E5052" s="34" t="n">
        <v>104315</v>
      </c>
      <c r="F5052" t="inlineStr">
        <is>
          <t>F</t>
        </is>
      </c>
      <c r="G5052" s="34" t="n">
        <v>16655</v>
      </c>
      <c r="H5052" s="34" t="n">
        <v>87660</v>
      </c>
      <c r="I5052" t="inlineStr">
        <is>
          <t>3.1</t>
        </is>
      </c>
      <c r="J5052" t="inlineStr">
        <is>
          <t>Ventas HoReCa</t>
        </is>
      </c>
      <c r="K5052" t="inlineStr">
        <is>
          <t>CH1</t>
        </is>
      </c>
    </row>
    <row r="5053">
      <c r="A5053" s="33" t="n">
        <v>46051</v>
      </c>
      <c r="B5053" t="inlineStr">
        <is>
          <t>2026-01</t>
        </is>
      </c>
      <c r="C5053" t="inlineStr">
        <is>
          <t>Café del Parque SpA</t>
        </is>
      </c>
      <c r="D5053" t="inlineStr">
        <is>
          <t>HORECA CAFETERIA</t>
        </is>
      </c>
      <c r="E5053" s="34" t="n">
        <v>111693</v>
      </c>
      <c r="F5053" t="inlineStr">
        <is>
          <t>F</t>
        </is>
      </c>
      <c r="G5053" s="34" t="n">
        <v>17833</v>
      </c>
      <c r="H5053" s="34" t="n">
        <v>93860</v>
      </c>
      <c r="I5053" t="inlineStr">
        <is>
          <t>3.1</t>
        </is>
      </c>
      <c r="J5053" t="inlineStr">
        <is>
          <t>Ventas HoReCa</t>
        </is>
      </c>
      <c r="K5053" t="inlineStr">
        <is>
          <t>CH1</t>
        </is>
      </c>
    </row>
    <row r="5054">
      <c r="A5054" s="33" t="n">
        <v>46051</v>
      </c>
      <c r="B5054" t="inlineStr">
        <is>
          <t>2026-01</t>
        </is>
      </c>
      <c r="C5054" t="inlineStr">
        <is>
          <t>Café del Parque SpA</t>
        </is>
      </c>
      <c r="D5054" t="inlineStr">
        <is>
          <t>HORECA CAFETERIA</t>
        </is>
      </c>
      <c r="E5054" s="34" t="n">
        <v>-111693</v>
      </c>
      <c r="F5054" t="inlineStr">
        <is>
          <t>NC</t>
        </is>
      </c>
      <c r="G5054" s="34" t="n">
        <v>-17833</v>
      </c>
      <c r="H5054" s="34" t="n">
        <v>-93860</v>
      </c>
      <c r="I5054" t="inlineStr">
        <is>
          <t>3.1</t>
        </is>
      </c>
      <c r="J5054" t="inlineStr">
        <is>
          <t>Ventas HoReCa</t>
        </is>
      </c>
      <c r="K5054" t="inlineStr">
        <is>
          <t>CH1</t>
        </is>
      </c>
    </row>
    <row r="5055">
      <c r="A5055" s="33" t="n">
        <v>46051</v>
      </c>
      <c r="B5055" t="inlineStr">
        <is>
          <t>2026-01</t>
        </is>
      </c>
      <c r="C5055" t="inlineStr">
        <is>
          <t>Café del Parque SpA</t>
        </is>
      </c>
      <c r="D5055" t="inlineStr">
        <is>
          <t>HORECA CAFETERIA</t>
        </is>
      </c>
      <c r="E5055" s="34" t="n">
        <v>107124</v>
      </c>
      <c r="F5055" t="inlineStr">
        <is>
          <t>F</t>
        </is>
      </c>
      <c r="G5055" s="34" t="n">
        <v>17104</v>
      </c>
      <c r="H5055" s="34" t="n">
        <v>90020</v>
      </c>
      <c r="I5055" t="inlineStr">
        <is>
          <t>3.1</t>
        </is>
      </c>
      <c r="J5055" t="inlineStr">
        <is>
          <t>Ventas HoReCa</t>
        </is>
      </c>
      <c r="K5055" t="inlineStr">
        <is>
          <t>CH1</t>
        </is>
      </c>
    </row>
    <row r="5056">
      <c r="A5056" s="33" t="n">
        <v>46051</v>
      </c>
      <c r="B5056" t="inlineStr">
        <is>
          <t>2026-01</t>
        </is>
      </c>
      <c r="C5056" t="inlineStr">
        <is>
          <t>Martin Araya</t>
        </is>
      </c>
      <c r="D5056" t="inlineStr">
        <is>
          <t>CANELE SIN AZUCAR</t>
        </is>
      </c>
      <c r="E5056" s="34" t="n">
        <v>36790</v>
      </c>
      <c r="F5056" t="inlineStr">
        <is>
          <t>B</t>
        </is>
      </c>
      <c r="G5056" s="34" t="n">
        <v>5874</v>
      </c>
      <c r="H5056" s="34" t="n">
        <v>30916</v>
      </c>
      <c r="I5056" t="inlineStr">
        <is>
          <t>3.2</t>
        </is>
      </c>
      <c r="J5056" t="inlineStr">
        <is>
          <t>Ventas Personas (B2C)</t>
        </is>
      </c>
      <c r="K5056" t="inlineStr">
        <is>
          <t>CH2</t>
        </is>
      </c>
    </row>
    <row r="5057">
      <c r="A5057" s="33" t="n">
        <v>46051</v>
      </c>
      <c r="B5057" t="inlineStr">
        <is>
          <t>2026-01</t>
        </is>
      </c>
      <c r="C5057" t="inlineStr">
        <is>
          <t>Pedro Philippi</t>
        </is>
      </c>
      <c r="D5057" t="inlineStr">
        <is>
          <t>Canelé Petit Relleno</t>
        </is>
      </c>
      <c r="E5057" s="34" t="n">
        <v>29900</v>
      </c>
      <c r="F5057" t="inlineStr">
        <is>
          <t>B</t>
        </is>
      </c>
      <c r="G5057" s="34" t="n">
        <v>4774</v>
      </c>
      <c r="H5057" s="34" t="n">
        <v>25126</v>
      </c>
      <c r="I5057" t="inlineStr">
        <is>
          <t>3.2</t>
        </is>
      </c>
      <c r="J5057" t="inlineStr">
        <is>
          <t>Ventas Personas (B2C)</t>
        </is>
      </c>
      <c r="K5057" t="inlineStr">
        <is>
          <t>CH2</t>
        </is>
      </c>
    </row>
    <row r="5058">
      <c r="A5058" s="33" t="n">
        <v>46051</v>
      </c>
      <c r="B5058" t="inlineStr">
        <is>
          <t>2026-01</t>
        </is>
      </c>
      <c r="C5058" t="inlineStr">
        <is>
          <t>Sin cliente</t>
        </is>
      </c>
      <c r="D5058" t="inlineStr">
        <is>
          <t>SALSAS</t>
        </is>
      </c>
      <c r="E5058" s="34" t="n">
        <v>42880</v>
      </c>
      <c r="F5058" t="inlineStr">
        <is>
          <t>B</t>
        </is>
      </c>
      <c r="G5058" s="34" t="n">
        <v>6846</v>
      </c>
      <c r="H5058" s="34" t="n">
        <v>36034</v>
      </c>
      <c r="I5058" t="inlineStr">
        <is>
          <t>3.2</t>
        </is>
      </c>
      <c r="J5058" t="inlineStr">
        <is>
          <t>Ventas Personas (B2C)</t>
        </is>
      </c>
      <c r="K5058" t="inlineStr">
        <is>
          <t>CH2</t>
        </is>
      </c>
    </row>
    <row r="5059">
      <c r="A5059" s="33" t="n">
        <v>46051</v>
      </c>
      <c r="B5059" t="inlineStr">
        <is>
          <t>2026-01</t>
        </is>
      </c>
      <c r="C5059" t="inlineStr">
        <is>
          <t>Sin cliente</t>
        </is>
      </c>
      <c r="D5059" t="inlineStr">
        <is>
          <t>Rellenos</t>
        </is>
      </c>
      <c r="E5059" s="34" t="n">
        <v>8925</v>
      </c>
      <c r="F5059" t="inlineStr">
        <is>
          <t>B</t>
        </is>
      </c>
      <c r="G5059" s="34" t="n">
        <v>1425</v>
      </c>
      <c r="H5059" s="34" t="n">
        <v>7500</v>
      </c>
      <c r="I5059" t="inlineStr">
        <is>
          <t>3.2</t>
        </is>
      </c>
      <c r="J5059" t="inlineStr">
        <is>
          <t>Ventas Personas (B2C)</t>
        </is>
      </c>
      <c r="K5059" t="inlineStr">
        <is>
          <t>CH2</t>
        </is>
      </c>
    </row>
    <row r="5060">
      <c r="A5060" s="33" t="n">
        <v>46051</v>
      </c>
      <c r="B5060" t="inlineStr">
        <is>
          <t>2026-01</t>
        </is>
      </c>
      <c r="C5060" t="inlineStr">
        <is>
          <t>Sin cliente</t>
        </is>
      </c>
      <c r="D5060" t="inlineStr">
        <is>
          <t>Rellenos</t>
        </is>
      </c>
      <c r="E5060" s="34" t="n">
        <v>18900</v>
      </c>
      <c r="F5060" t="inlineStr">
        <is>
          <t>B</t>
        </is>
      </c>
      <c r="G5060" s="34" t="n">
        <v>3018</v>
      </c>
      <c r="H5060" s="34" t="n">
        <v>15882</v>
      </c>
      <c r="I5060" t="inlineStr">
        <is>
          <t>3.2</t>
        </is>
      </c>
      <c r="J5060" t="inlineStr">
        <is>
          <t>Ventas Personas (B2C)</t>
        </is>
      </c>
      <c r="K5060" t="inlineStr">
        <is>
          <t>CH2</t>
        </is>
      </c>
    </row>
    <row r="5061">
      <c r="A5061" s="33" t="n">
        <v>46051</v>
      </c>
      <c r="B5061" t="inlineStr">
        <is>
          <t>2026-01</t>
        </is>
      </c>
      <c r="C5061" t="inlineStr">
        <is>
          <t>Daniel Ogalde</t>
        </is>
      </c>
      <c r="D5061" t="inlineStr">
        <is>
          <t>Canelé Petit Relleno</t>
        </is>
      </c>
      <c r="E5061" s="34" t="n">
        <v>20100</v>
      </c>
      <c r="F5061" t="inlineStr">
        <is>
          <t>B</t>
        </is>
      </c>
      <c r="G5061" s="34" t="n">
        <v>3209</v>
      </c>
      <c r="H5061" s="34" t="n">
        <v>16891</v>
      </c>
      <c r="I5061" t="inlineStr">
        <is>
          <t>3.2</t>
        </is>
      </c>
      <c r="J5061" t="inlineStr">
        <is>
          <t>Ventas Personas (B2C)</t>
        </is>
      </c>
      <c r="K5061" t="inlineStr">
        <is>
          <t>CH2</t>
        </is>
      </c>
    </row>
    <row r="5062">
      <c r="A5062" s="33" t="n">
        <v>46051</v>
      </c>
      <c r="B5062" t="inlineStr">
        <is>
          <t>2026-01</t>
        </is>
      </c>
      <c r="C5062" t="inlineStr">
        <is>
          <t>Cecilia Gallardo</t>
        </is>
      </c>
      <c r="D5062" t="inlineStr">
        <is>
          <t>CANELE SIN AZUCAR</t>
        </is>
      </c>
      <c r="E5062" s="34" t="n">
        <v>30290</v>
      </c>
      <c r="F5062" t="inlineStr">
        <is>
          <t>B</t>
        </is>
      </c>
      <c r="G5062" s="34" t="n">
        <v>4836</v>
      </c>
      <c r="H5062" s="34" t="n">
        <v>25454</v>
      </c>
      <c r="I5062" t="inlineStr">
        <is>
          <t>3.2</t>
        </is>
      </c>
      <c r="J5062" t="inlineStr">
        <is>
          <t>Ventas Personas (B2C)</t>
        </is>
      </c>
      <c r="K5062" t="inlineStr">
        <is>
          <t>CH2</t>
        </is>
      </c>
    </row>
    <row r="5063">
      <c r="A5063" s="33" t="n">
        <v>46051</v>
      </c>
      <c r="B5063" t="inlineStr">
        <is>
          <t>2026-01</t>
        </is>
      </c>
      <c r="C5063" t="inlineStr">
        <is>
          <t>Sin cliente</t>
        </is>
      </c>
      <c r="D5063" t="inlineStr">
        <is>
          <t>Canelé Petit Relleno</t>
        </is>
      </c>
      <c r="E5063" s="34" t="n">
        <v>29900</v>
      </c>
      <c r="F5063" t="inlineStr">
        <is>
          <t>B</t>
        </is>
      </c>
      <c r="G5063" s="34" t="n">
        <v>4774</v>
      </c>
      <c r="H5063" s="34" t="n">
        <v>25126</v>
      </c>
      <c r="I5063" t="inlineStr">
        <is>
          <t>3.2</t>
        </is>
      </c>
      <c r="J5063" t="inlineStr">
        <is>
          <t>Ventas Personas (B2C)</t>
        </is>
      </c>
      <c r="K5063" t="inlineStr">
        <is>
          <t>CH2</t>
        </is>
      </c>
    </row>
    <row r="5064">
      <c r="A5064" s="33" t="n">
        <v>46051</v>
      </c>
      <c r="B5064" t="inlineStr">
        <is>
          <t>2026-01</t>
        </is>
      </c>
      <c r="C5064" t="inlineStr">
        <is>
          <t>Sin cliente</t>
        </is>
      </c>
      <c r="D5064" t="inlineStr">
        <is>
          <t>Petit Crunchy</t>
        </is>
      </c>
      <c r="E5064" s="34" t="n">
        <v>23300</v>
      </c>
      <c r="F5064" t="inlineStr">
        <is>
          <t>B</t>
        </is>
      </c>
      <c r="G5064" s="34" t="n">
        <v>3720</v>
      </c>
      <c r="H5064" s="34" t="n">
        <v>19580</v>
      </c>
      <c r="I5064" t="inlineStr">
        <is>
          <t>3.2</t>
        </is>
      </c>
      <c r="J5064" t="inlineStr">
        <is>
          <t>Ventas Personas (B2C)</t>
        </is>
      </c>
      <c r="K5064" t="inlineStr">
        <is>
          <t>CH2</t>
        </is>
      </c>
    </row>
    <row r="5065">
      <c r="A5065" s="33" t="n">
        <v>46051</v>
      </c>
      <c r="B5065" t="inlineStr">
        <is>
          <t>2026-01</t>
        </is>
      </c>
      <c r="C5065" t="inlineStr">
        <is>
          <t>Daniela Olivares Duque</t>
        </is>
      </c>
      <c r="D5065" t="inlineStr">
        <is>
          <t>SALSAS</t>
        </is>
      </c>
      <c r="E5065" s="34" t="n">
        <v>35380</v>
      </c>
      <c r="F5065" t="inlineStr">
        <is>
          <t>B</t>
        </is>
      </c>
      <c r="G5065" s="34" t="n">
        <v>5649</v>
      </c>
      <c r="H5065" s="34" t="n">
        <v>29731</v>
      </c>
      <c r="I5065" t="inlineStr">
        <is>
          <t>3.2</t>
        </is>
      </c>
      <c r="J5065" t="inlineStr">
        <is>
          <t>Ventas Personas (B2C)</t>
        </is>
      </c>
      <c r="K5065" t="inlineStr">
        <is>
          <t>CH2</t>
        </is>
      </c>
    </row>
    <row r="5066">
      <c r="A5066" s="33" t="n">
        <v>46051</v>
      </c>
      <c r="B5066" t="inlineStr">
        <is>
          <t>2026-01</t>
        </is>
      </c>
      <c r="C5066" t="inlineStr">
        <is>
          <t>Camila Pamplona</t>
        </is>
      </c>
      <c r="D5066" t="inlineStr">
        <is>
          <t>CANELÉ TRADICIONAL</t>
        </is>
      </c>
      <c r="E5066" s="34" t="n">
        <v>33390</v>
      </c>
      <c r="F5066" t="inlineStr">
        <is>
          <t>B</t>
        </is>
      </c>
      <c r="G5066" s="34" t="n">
        <v>5331</v>
      </c>
      <c r="H5066" s="34" t="n">
        <v>28059</v>
      </c>
      <c r="I5066" t="inlineStr">
        <is>
          <t>3.2</t>
        </is>
      </c>
      <c r="J5066" t="inlineStr">
        <is>
          <t>Ventas Personas (B2C)</t>
        </is>
      </c>
      <c r="K5066" t="inlineStr">
        <is>
          <t>CH2</t>
        </is>
      </c>
    </row>
    <row r="5067">
      <c r="A5067" s="33" t="n">
        <v>46051</v>
      </c>
      <c r="B5067" t="inlineStr">
        <is>
          <t>2026-01</t>
        </is>
      </c>
      <c r="C5067" t="inlineStr">
        <is>
          <t>Pamela Iglesias</t>
        </is>
      </c>
      <c r="D5067" t="inlineStr">
        <is>
          <t>CANELÉ TRADICIONAL</t>
        </is>
      </c>
      <c r="E5067" s="34" t="n">
        <v>24100</v>
      </c>
      <c r="F5067" t="inlineStr">
        <is>
          <t>B</t>
        </is>
      </c>
      <c r="G5067" s="34" t="n">
        <v>3848</v>
      </c>
      <c r="H5067" s="34" t="n">
        <v>20252</v>
      </c>
      <c r="I5067" t="inlineStr">
        <is>
          <t>3.2</t>
        </is>
      </c>
      <c r="J5067" t="inlineStr">
        <is>
          <t>Ventas Personas (B2C)</t>
        </is>
      </c>
      <c r="K5067" t="inlineStr">
        <is>
          <t>CH2</t>
        </is>
      </c>
    </row>
    <row r="5068">
      <c r="A5068" s="33" t="n">
        <v>46051</v>
      </c>
      <c r="B5068" t="inlineStr">
        <is>
          <t>2026-01</t>
        </is>
      </c>
      <c r="C5068" t="inlineStr">
        <is>
          <t>Sin cliente</t>
        </is>
      </c>
      <c r="D5068" t="inlineStr">
        <is>
          <t>CANELÉ TRADICIONAL</t>
        </is>
      </c>
      <c r="E5068" s="34" t="n">
        <v>31900</v>
      </c>
      <c r="F5068" t="inlineStr">
        <is>
          <t>B</t>
        </is>
      </c>
      <c r="G5068" s="34" t="n">
        <v>5093</v>
      </c>
      <c r="H5068" s="34" t="n">
        <v>26807</v>
      </c>
      <c r="I5068" t="inlineStr">
        <is>
          <t>3.2</t>
        </is>
      </c>
      <c r="J5068" t="inlineStr">
        <is>
          <t>Ventas Personas (B2C)</t>
        </is>
      </c>
      <c r="K5068" t="inlineStr">
        <is>
          <t>CH2</t>
        </is>
      </c>
    </row>
    <row r="5069">
      <c r="A5069" s="33" t="n">
        <v>46051</v>
      </c>
      <c r="B5069" t="inlineStr">
        <is>
          <t>2026-01</t>
        </is>
      </c>
      <c r="C5069" t="inlineStr">
        <is>
          <t>Sin cliente</t>
        </is>
      </c>
      <c r="D5069" t="inlineStr">
        <is>
          <t>PLATAFORMAS RAP-PEYA-UBER-GOOD</t>
        </is>
      </c>
      <c r="E5069" s="34" t="n">
        <v>31080</v>
      </c>
      <c r="F5069" t="inlineStr">
        <is>
          <t>B</t>
        </is>
      </c>
      <c r="G5069" s="34" t="n">
        <v>4962</v>
      </c>
      <c r="H5069" s="34" t="n">
        <v>26118</v>
      </c>
      <c r="I5069" t="inlineStr">
        <is>
          <t>3.6</t>
        </is>
      </c>
      <c r="J5069" t="inlineStr">
        <is>
          <t>Ventas Delivery Apps</t>
        </is>
      </c>
      <c r="K5069" t="inlineStr">
        <is>
          <t>CH3</t>
        </is>
      </c>
    </row>
    <row r="5070">
      <c r="A5070" s="33" t="n">
        <v>46051</v>
      </c>
      <c r="B5070" t="inlineStr">
        <is>
          <t>2026-01</t>
        </is>
      </c>
      <c r="C5070" t="inlineStr">
        <is>
          <t>Sin cliente</t>
        </is>
      </c>
      <c r="D5070" t="inlineStr">
        <is>
          <t>Cafeteria Geronimo</t>
        </is>
      </c>
      <c r="E5070" s="34" t="n">
        <v>16900</v>
      </c>
      <c r="F5070" t="inlineStr">
        <is>
          <t>B</t>
        </is>
      </c>
      <c r="G5070" s="34" t="n">
        <v>2698</v>
      </c>
      <c r="H5070" s="34" t="n">
        <v>14202</v>
      </c>
      <c r="I5070" t="inlineStr">
        <is>
          <t>3.2</t>
        </is>
      </c>
      <c r="J5070" t="inlineStr">
        <is>
          <t>Ventas Personas (B2C)</t>
        </is>
      </c>
      <c r="K5070" t="inlineStr">
        <is>
          <t>CH2</t>
        </is>
      </c>
    </row>
    <row r="5071">
      <c r="A5071" s="33" t="n">
        <v>46051</v>
      </c>
      <c r="B5071" t="inlineStr">
        <is>
          <t>2026-01</t>
        </is>
      </c>
      <c r="C5071" t="inlineStr">
        <is>
          <t>Sin cliente</t>
        </is>
      </c>
      <c r="D5071" t="inlineStr">
        <is>
          <t>Delicatessen</t>
        </is>
      </c>
      <c r="E5071" s="34" t="n">
        <v>1700</v>
      </c>
      <c r="F5071" t="inlineStr">
        <is>
          <t>B</t>
        </is>
      </c>
      <c r="G5071" s="34" t="n">
        <v>271</v>
      </c>
      <c r="H5071" s="34" t="n">
        <v>1429</v>
      </c>
      <c r="I5071" t="inlineStr">
        <is>
          <t>3.2</t>
        </is>
      </c>
      <c r="J5071" t="inlineStr">
        <is>
          <t>Ventas Personas (B2C)</t>
        </is>
      </c>
      <c r="K5071" t="inlineStr">
        <is>
          <t>CH2</t>
        </is>
      </c>
    </row>
    <row r="5072">
      <c r="A5072" s="33" t="n">
        <v>46051</v>
      </c>
      <c r="B5072" t="inlineStr">
        <is>
          <t>2026-01</t>
        </is>
      </c>
      <c r="C5072" t="inlineStr">
        <is>
          <t>RESTAURANT LA COSECHA SPA</t>
        </is>
      </c>
      <c r="D5072" t="inlineStr">
        <is>
          <t>Glosa Horeca pack 30 unidades</t>
        </is>
      </c>
      <c r="E5072" s="34" t="n">
        <v>171067</v>
      </c>
      <c r="F5072" t="inlineStr">
        <is>
          <t>F</t>
        </is>
      </c>
      <c r="G5072" s="34" t="n">
        <v>27313</v>
      </c>
      <c r="H5072" s="34" t="n">
        <v>143754</v>
      </c>
      <c r="I5072" t="inlineStr">
        <is>
          <t>3.1</t>
        </is>
      </c>
      <c r="J5072" t="inlineStr">
        <is>
          <t>Ventas HoReCa</t>
        </is>
      </c>
      <c r="K5072" t="inlineStr">
        <is>
          <t>CH1</t>
        </is>
      </c>
    </row>
    <row r="5073">
      <c r="A5073" s="33" t="n">
        <v>46051</v>
      </c>
      <c r="B5073" t="inlineStr">
        <is>
          <t>2026-01</t>
        </is>
      </c>
      <c r="C5073" t="inlineStr">
        <is>
          <t>Sin cliente</t>
        </is>
      </c>
      <c r="D5073" t="inlineStr">
        <is>
          <t>Petit Crunchy</t>
        </is>
      </c>
      <c r="E5073" s="34" t="n">
        <v>14900</v>
      </c>
      <c r="F5073" t="inlineStr">
        <is>
          <t>B</t>
        </is>
      </c>
      <c r="G5073" s="34" t="n">
        <v>2379</v>
      </c>
      <c r="H5073" s="34" t="n">
        <v>12521</v>
      </c>
      <c r="I5073" t="inlineStr">
        <is>
          <t>3.2</t>
        </is>
      </c>
      <c r="J5073" t="inlineStr">
        <is>
          <t>Ventas Personas (B2C)</t>
        </is>
      </c>
      <c r="K5073" t="inlineStr">
        <is>
          <t>CH2</t>
        </is>
      </c>
    </row>
    <row r="5074">
      <c r="A5074" s="33" t="n">
        <v>46052</v>
      </c>
      <c r="B5074" t="inlineStr">
        <is>
          <t>2026-01</t>
        </is>
      </c>
      <c r="C5074" t="inlineStr">
        <is>
          <t>CAFE DIARIO ENCOMENDEROS SPA</t>
        </is>
      </c>
      <c r="D5074" t="inlineStr">
        <is>
          <t>HORECA CAFETERIA</t>
        </is>
      </c>
      <c r="E5074" s="34" t="n">
        <v>108380</v>
      </c>
      <c r="F5074" t="inlineStr">
        <is>
          <t>F</t>
        </is>
      </c>
      <c r="G5074" s="34" t="n">
        <v>17304</v>
      </c>
      <c r="H5074" s="34" t="n">
        <v>91076</v>
      </c>
      <c r="I5074" t="inlineStr">
        <is>
          <t>3.1</t>
        </is>
      </c>
      <c r="J5074" t="inlineStr">
        <is>
          <t>Ventas HoReCa</t>
        </is>
      </c>
      <c r="K5074" t="inlineStr">
        <is>
          <t>CH1</t>
        </is>
      </c>
    </row>
    <row r="5075">
      <c r="A5075" s="33" t="n">
        <v>46052</v>
      </c>
      <c r="B5075" t="inlineStr">
        <is>
          <t>2026-01</t>
        </is>
      </c>
      <c r="C5075" t="inlineStr">
        <is>
          <t>Tren al Sur SpA</t>
        </is>
      </c>
      <c r="D5075" t="inlineStr">
        <is>
          <t>HORECA CAFETERIA</t>
        </is>
      </c>
      <c r="E5075" s="34" t="n">
        <v>71210</v>
      </c>
      <c r="F5075" t="inlineStr">
        <is>
          <t>F</t>
        </is>
      </c>
      <c r="G5075" s="34" t="n">
        <v>11370</v>
      </c>
      <c r="H5075" s="34" t="n">
        <v>59840</v>
      </c>
      <c r="I5075" t="inlineStr">
        <is>
          <t>3.1</t>
        </is>
      </c>
      <c r="J5075" t="inlineStr">
        <is>
          <t>Ventas HoReCa</t>
        </is>
      </c>
      <c r="K5075" t="inlineStr">
        <is>
          <t>CH1</t>
        </is>
      </c>
    </row>
    <row r="5076">
      <c r="A5076" s="33" t="n">
        <v>46052</v>
      </c>
      <c r="B5076" t="inlineStr">
        <is>
          <t>2026-01</t>
        </is>
      </c>
      <c r="C5076" t="inlineStr">
        <is>
          <t>VILAS BANQUETERIAS SPA</t>
        </is>
      </c>
      <c r="D5076" t="inlineStr">
        <is>
          <t>HORECA CATERING</t>
        </is>
      </c>
      <c r="E5076" s="34" t="n">
        <v>77707</v>
      </c>
      <c r="F5076" t="inlineStr">
        <is>
          <t>F</t>
        </is>
      </c>
      <c r="G5076" s="34" t="n">
        <v>12407</v>
      </c>
      <c r="H5076" s="34" t="n">
        <v>65300</v>
      </c>
      <c r="I5076" t="inlineStr">
        <is>
          <t>3.1</t>
        </is>
      </c>
      <c r="J5076" t="inlineStr">
        <is>
          <t>Ventas HoReCa</t>
        </is>
      </c>
      <c r="K5076" t="inlineStr">
        <is>
          <t>CH1</t>
        </is>
      </c>
    </row>
    <row r="5077">
      <c r="A5077" s="33" t="n">
        <v>46052</v>
      </c>
      <c r="B5077" t="inlineStr">
        <is>
          <t>2026-01</t>
        </is>
      </c>
      <c r="C5077" t="inlineStr">
        <is>
          <t>MOI'S SPA</t>
        </is>
      </c>
      <c r="D5077" t="inlineStr">
        <is>
          <t>HORECA CAFETERIA</t>
        </is>
      </c>
      <c r="E5077" s="34" t="n">
        <v>73590</v>
      </c>
      <c r="F5077" t="inlineStr">
        <is>
          <t>F</t>
        </is>
      </c>
      <c r="G5077" s="34" t="n">
        <v>11750</v>
      </c>
      <c r="H5077" s="34" t="n">
        <v>61840</v>
      </c>
      <c r="I5077" t="inlineStr">
        <is>
          <t>3.1</t>
        </is>
      </c>
      <c r="J5077" t="inlineStr">
        <is>
          <t>Ventas HoReCa</t>
        </is>
      </c>
      <c r="K5077" t="inlineStr">
        <is>
          <t>CH1</t>
        </is>
      </c>
    </row>
    <row r="5078">
      <c r="A5078" s="33" t="n">
        <v>46052</v>
      </c>
      <c r="B5078" t="inlineStr">
        <is>
          <t>2026-01</t>
        </is>
      </c>
      <c r="C5078" t="inlineStr">
        <is>
          <t>Inversiones Fofoca SpA</t>
        </is>
      </c>
      <c r="D5078" t="inlineStr">
        <is>
          <t>HORECA CAFETERIA</t>
        </is>
      </c>
      <c r="E5078" s="34" t="n">
        <v>39115</v>
      </c>
      <c r="F5078" t="inlineStr">
        <is>
          <t>F</t>
        </is>
      </c>
      <c r="G5078" s="34" t="n">
        <v>6245</v>
      </c>
      <c r="H5078" s="34" t="n">
        <v>32870</v>
      </c>
      <c r="I5078" t="inlineStr">
        <is>
          <t>3.1</t>
        </is>
      </c>
      <c r="J5078" t="inlineStr">
        <is>
          <t>Ventas HoReCa</t>
        </is>
      </c>
      <c r="K5078" t="inlineStr">
        <is>
          <t>CH1</t>
        </is>
      </c>
    </row>
    <row r="5079">
      <c r="A5079" s="33" t="n">
        <v>46052</v>
      </c>
      <c r="B5079" t="inlineStr">
        <is>
          <t>2026-01</t>
        </is>
      </c>
      <c r="C5079" t="inlineStr">
        <is>
          <t>CAFÉ ROCAMAR LIMITADA</t>
        </is>
      </c>
      <c r="D5079" t="inlineStr">
        <is>
          <t>HORECA CAFETERIA</t>
        </is>
      </c>
      <c r="E5079" s="34" t="n">
        <v>96283</v>
      </c>
      <c r="F5079" t="inlineStr">
        <is>
          <t>F</t>
        </is>
      </c>
      <c r="G5079" s="34" t="n">
        <v>15373</v>
      </c>
      <c r="H5079" s="34" t="n">
        <v>80910</v>
      </c>
      <c r="I5079" t="inlineStr">
        <is>
          <t>3.1</t>
        </is>
      </c>
      <c r="J5079" t="inlineStr">
        <is>
          <t>Ventas HoReCa</t>
        </is>
      </c>
      <c r="K5079" t="inlineStr">
        <is>
          <t>CH1</t>
        </is>
      </c>
    </row>
    <row r="5080">
      <c r="A5080" s="33" t="n">
        <v>46052</v>
      </c>
      <c r="B5080" t="inlineStr">
        <is>
          <t>2026-01</t>
        </is>
      </c>
      <c r="C5080" t="inlineStr">
        <is>
          <t>Vicente Brand</t>
        </is>
      </c>
      <c r="D5080" t="inlineStr">
        <is>
          <t>CANELÉ TRADICIONAL</t>
        </is>
      </c>
      <c r="E5080" s="34" t="n">
        <v>25110</v>
      </c>
      <c r="F5080" t="inlineStr">
        <is>
          <t>B</t>
        </is>
      </c>
      <c r="G5080" s="34" t="n">
        <v>4009</v>
      </c>
      <c r="H5080" s="34" t="n">
        <v>21101</v>
      </c>
      <c r="I5080" t="inlineStr">
        <is>
          <t>3.2</t>
        </is>
      </c>
      <c r="J5080" t="inlineStr">
        <is>
          <t>Ventas Personas (B2C)</t>
        </is>
      </c>
      <c r="K5080" t="inlineStr">
        <is>
          <t>CH2</t>
        </is>
      </c>
    </row>
    <row r="5081">
      <c r="A5081" s="33" t="n">
        <v>46052</v>
      </c>
      <c r="B5081" t="inlineStr">
        <is>
          <t>2026-01</t>
        </is>
      </c>
      <c r="C5081" t="inlineStr">
        <is>
          <t>Cecilia Gallardo</t>
        </is>
      </c>
      <c r="D5081" t="inlineStr">
        <is>
          <t>CANELE SIN AZUCAR</t>
        </is>
      </c>
      <c r="E5081" s="34" t="n">
        <v>36790</v>
      </c>
      <c r="F5081" t="inlineStr">
        <is>
          <t>B</t>
        </is>
      </c>
      <c r="G5081" s="34" t="n">
        <v>5874</v>
      </c>
      <c r="H5081" s="34" t="n">
        <v>30916</v>
      </c>
      <c r="I5081" t="inlineStr">
        <is>
          <t>3.2</t>
        </is>
      </c>
      <c r="J5081" t="inlineStr">
        <is>
          <t>Ventas Personas (B2C)</t>
        </is>
      </c>
      <c r="K5081" t="inlineStr">
        <is>
          <t>CH2</t>
        </is>
      </c>
    </row>
    <row r="5082">
      <c r="A5082" s="33" t="n">
        <v>46052</v>
      </c>
      <c r="B5082" t="inlineStr">
        <is>
          <t>2026-01</t>
        </is>
      </c>
      <c r="C5082" t="inlineStr">
        <is>
          <t>Panduz panaderia y cafeteria SPA</t>
        </is>
      </c>
      <c r="D5082" t="inlineStr">
        <is>
          <t>HORECA CAFETERIA</t>
        </is>
      </c>
      <c r="E5082" s="34" t="n">
        <v>96283</v>
      </c>
      <c r="F5082" t="inlineStr">
        <is>
          <t>F</t>
        </is>
      </c>
      <c r="G5082" s="34" t="n">
        <v>15373</v>
      </c>
      <c r="H5082" s="34" t="n">
        <v>80910</v>
      </c>
      <c r="I5082" t="inlineStr">
        <is>
          <t>3.1</t>
        </is>
      </c>
      <c r="J5082" t="inlineStr">
        <is>
          <t>Ventas HoReCa</t>
        </is>
      </c>
      <c r="K5082" t="inlineStr">
        <is>
          <t>CH1</t>
        </is>
      </c>
    </row>
    <row r="5083">
      <c r="A5083" s="33" t="n">
        <v>46052</v>
      </c>
      <c r="B5083" t="inlineStr">
        <is>
          <t>2026-01</t>
        </is>
      </c>
      <c r="C5083" t="inlineStr">
        <is>
          <t>Laura Cañete</t>
        </is>
      </c>
      <c r="D5083" t="inlineStr">
        <is>
          <t>Rellenos</t>
        </is>
      </c>
      <c r="E5083" s="34" t="n">
        <v>26100</v>
      </c>
      <c r="F5083" t="inlineStr">
        <is>
          <t>B</t>
        </is>
      </c>
      <c r="G5083" s="34" t="n">
        <v>4167</v>
      </c>
      <c r="H5083" s="34" t="n">
        <v>21933</v>
      </c>
      <c r="I5083" t="inlineStr">
        <is>
          <t>3.2</t>
        </is>
      </c>
      <c r="J5083" t="inlineStr">
        <is>
          <t>Ventas Personas (B2C)</t>
        </is>
      </c>
      <c r="K5083" t="inlineStr">
        <is>
          <t>CH2</t>
        </is>
      </c>
    </row>
    <row r="5084">
      <c r="A5084" s="33" t="n">
        <v>46052</v>
      </c>
      <c r="B5084" t="inlineStr">
        <is>
          <t>2026-01</t>
        </is>
      </c>
      <c r="C5084" t="inlineStr">
        <is>
          <t>Constanza Molina</t>
        </is>
      </c>
      <c r="D5084" t="inlineStr">
        <is>
          <t>Rellenos</t>
        </is>
      </c>
      <c r="E5084" s="34" t="n">
        <v>34290</v>
      </c>
      <c r="F5084" t="inlineStr">
        <is>
          <t>B</t>
        </is>
      </c>
      <c r="G5084" s="34" t="n">
        <v>5475</v>
      </c>
      <c r="H5084" s="34" t="n">
        <v>28815</v>
      </c>
      <c r="I5084" t="inlineStr">
        <is>
          <t>3.2</t>
        </is>
      </c>
      <c r="J5084" t="inlineStr">
        <is>
          <t>Ventas Personas (B2C)</t>
        </is>
      </c>
      <c r="K5084" t="inlineStr">
        <is>
          <t>CH2</t>
        </is>
      </c>
    </row>
    <row r="5085">
      <c r="A5085" s="33" t="n">
        <v>46052</v>
      </c>
      <c r="B5085" t="inlineStr">
        <is>
          <t>2026-01</t>
        </is>
      </c>
      <c r="C5085" t="inlineStr">
        <is>
          <t>Sin cliente</t>
        </is>
      </c>
      <c r="D5085" t="inlineStr">
        <is>
          <t>CANELÉ TRADICIONAL</t>
        </is>
      </c>
      <c r="E5085" s="34" t="n">
        <v>2500</v>
      </c>
      <c r="F5085" t="inlineStr">
        <is>
          <t>B</t>
        </is>
      </c>
      <c r="G5085" s="34" t="n">
        <v>399</v>
      </c>
      <c r="H5085" s="34" t="n">
        <v>2101</v>
      </c>
      <c r="I5085" t="inlineStr">
        <is>
          <t>3.2</t>
        </is>
      </c>
      <c r="J5085" t="inlineStr">
        <is>
          <t>Ventas Personas (B2C)</t>
        </is>
      </c>
      <c r="K5085" t="inlineStr">
        <is>
          <t>CH2</t>
        </is>
      </c>
    </row>
    <row r="5086">
      <c r="A5086" s="33" t="n">
        <v>46052</v>
      </c>
      <c r="B5086" t="inlineStr">
        <is>
          <t>2026-01</t>
        </is>
      </c>
      <c r="C5086" t="inlineStr">
        <is>
          <t>Sin cliente</t>
        </is>
      </c>
      <c r="D5086" t="inlineStr">
        <is>
          <t>Delicatessen</t>
        </is>
      </c>
      <c r="E5086" s="34" t="n">
        <v>2000</v>
      </c>
      <c r="F5086" t="inlineStr">
        <is>
          <t>B</t>
        </is>
      </c>
      <c r="G5086" s="34" t="n">
        <v>319</v>
      </c>
      <c r="H5086" s="34" t="n">
        <v>1681</v>
      </c>
      <c r="I5086" t="inlineStr">
        <is>
          <t>3.2</t>
        </is>
      </c>
      <c r="J5086" t="inlineStr">
        <is>
          <t>Ventas Personas (B2C)</t>
        </is>
      </c>
      <c r="K5086" t="inlineStr">
        <is>
          <t>CH2</t>
        </is>
      </c>
    </row>
    <row r="5087">
      <c r="A5087" s="33" t="n">
        <v>46052</v>
      </c>
      <c r="B5087" t="inlineStr">
        <is>
          <t>2026-01</t>
        </is>
      </c>
      <c r="C5087" t="inlineStr">
        <is>
          <t>Sin cliente</t>
        </is>
      </c>
      <c r="D5087" t="inlineStr">
        <is>
          <t>CANELE SIN AZUCAR</t>
        </is>
      </c>
      <c r="E5087" s="34" t="n">
        <v>15800</v>
      </c>
      <c r="F5087" t="inlineStr">
        <is>
          <t>B</t>
        </is>
      </c>
      <c r="G5087" s="34" t="n">
        <v>2523</v>
      </c>
      <c r="H5087" s="34" t="n">
        <v>13277</v>
      </c>
      <c r="I5087" t="inlineStr">
        <is>
          <t>3.2</t>
        </is>
      </c>
      <c r="J5087" t="inlineStr">
        <is>
          <t>Ventas Personas (B2C)</t>
        </is>
      </c>
      <c r="K5087" t="inlineStr">
        <is>
          <t>CH2</t>
        </is>
      </c>
    </row>
    <row r="5088">
      <c r="A5088" s="33" t="n">
        <v>46052</v>
      </c>
      <c r="B5088" t="inlineStr">
        <is>
          <t>2026-01</t>
        </is>
      </c>
      <c r="C5088" t="inlineStr">
        <is>
          <t>Sin cliente</t>
        </is>
      </c>
      <c r="D5088" t="inlineStr">
        <is>
          <t>CANELÉ TRADICIONAL</t>
        </is>
      </c>
      <c r="E5088" s="34" t="n">
        <v>5000</v>
      </c>
      <c r="F5088" t="inlineStr">
        <is>
          <t>B</t>
        </is>
      </c>
      <c r="G5088" s="34" t="n">
        <v>798</v>
      </c>
      <c r="H5088" s="34" t="n">
        <v>4202</v>
      </c>
      <c r="I5088" t="inlineStr">
        <is>
          <t>3.2</t>
        </is>
      </c>
      <c r="J5088" t="inlineStr">
        <is>
          <t>Ventas Personas (B2C)</t>
        </is>
      </c>
      <c r="K5088" t="inlineStr">
        <is>
          <t>CH2</t>
        </is>
      </c>
    </row>
    <row r="5089">
      <c r="A5089" s="33" t="n">
        <v>46052</v>
      </c>
      <c r="B5089" t="inlineStr">
        <is>
          <t>2026-01</t>
        </is>
      </c>
      <c r="C5089" t="inlineStr">
        <is>
          <t>Sin cliente</t>
        </is>
      </c>
      <c r="D5089" t="inlineStr">
        <is>
          <t>CANELÉ TRADICIONAL</t>
        </is>
      </c>
      <c r="E5089" s="34" t="n">
        <v>18000</v>
      </c>
      <c r="F5089" t="inlineStr">
        <is>
          <t>B</t>
        </is>
      </c>
      <c r="G5089" s="34" t="n">
        <v>2874</v>
      </c>
      <c r="H5089" s="34" t="n">
        <v>15126</v>
      </c>
      <c r="I5089" t="inlineStr">
        <is>
          <t>3.2</t>
        </is>
      </c>
      <c r="J5089" t="inlineStr">
        <is>
          <t>Ventas Personas (B2C)</t>
        </is>
      </c>
      <c r="K5089" t="inlineStr">
        <is>
          <t>CH2</t>
        </is>
      </c>
    </row>
    <row r="5090">
      <c r="A5090" s="33" t="n">
        <v>46052</v>
      </c>
      <c r="B5090" t="inlineStr">
        <is>
          <t>2026-01</t>
        </is>
      </c>
      <c r="C5090" t="inlineStr">
        <is>
          <t>Sin cliente</t>
        </is>
      </c>
      <c r="D5090" t="inlineStr">
        <is>
          <t>CANELÉ TRADICIONAL</t>
        </is>
      </c>
      <c r="E5090" s="34" t="n">
        <v>10000</v>
      </c>
      <c r="F5090" t="inlineStr">
        <is>
          <t>B</t>
        </is>
      </c>
      <c r="G5090" s="34" t="n">
        <v>1597</v>
      </c>
      <c r="H5090" s="34" t="n">
        <v>8403</v>
      </c>
      <c r="I5090" t="inlineStr">
        <is>
          <t>3.2</t>
        </is>
      </c>
      <c r="J5090" t="inlineStr">
        <is>
          <t>Ventas Personas (B2C)</t>
        </is>
      </c>
      <c r="K5090" t="inlineStr">
        <is>
          <t>CH2</t>
        </is>
      </c>
    </row>
    <row r="5091">
      <c r="A5091" s="33" t="n">
        <v>46052</v>
      </c>
      <c r="B5091" t="inlineStr">
        <is>
          <t>2026-01</t>
        </is>
      </c>
      <c r="C5091" t="inlineStr">
        <is>
          <t>Sin cliente</t>
        </is>
      </c>
      <c r="D5091" t="inlineStr">
        <is>
          <t>CANELÉ TRADICIONAL</t>
        </is>
      </c>
      <c r="E5091" s="34" t="n">
        <v>2500</v>
      </c>
      <c r="F5091" t="inlineStr">
        <is>
          <t>B</t>
        </is>
      </c>
      <c r="G5091" s="34" t="n">
        <v>399</v>
      </c>
      <c r="H5091" s="34" t="n">
        <v>2101</v>
      </c>
      <c r="I5091" t="inlineStr">
        <is>
          <t>3.2</t>
        </is>
      </c>
      <c r="J5091" t="inlineStr">
        <is>
          <t>Ventas Personas (B2C)</t>
        </is>
      </c>
      <c r="K5091" t="inlineStr">
        <is>
          <t>CH2</t>
        </is>
      </c>
    </row>
    <row r="5092">
      <c r="A5092" s="33" t="n">
        <v>46052</v>
      </c>
      <c r="B5092" t="inlineStr">
        <is>
          <t>2026-01</t>
        </is>
      </c>
      <c r="C5092" t="inlineStr">
        <is>
          <t>Sin cliente</t>
        </is>
      </c>
      <c r="D5092" t="inlineStr">
        <is>
          <t>Petit Tradicional</t>
        </is>
      </c>
      <c r="E5092" s="34" t="n">
        <v>13800</v>
      </c>
      <c r="F5092" t="inlineStr">
        <is>
          <t>B</t>
        </is>
      </c>
      <c r="G5092" s="34" t="n">
        <v>2203</v>
      </c>
      <c r="H5092" s="34" t="n">
        <v>11597</v>
      </c>
      <c r="I5092" t="inlineStr">
        <is>
          <t>3.2</t>
        </is>
      </c>
      <c r="J5092" t="inlineStr">
        <is>
          <t>Ventas Personas (B2C)</t>
        </is>
      </c>
      <c r="K5092" t="inlineStr">
        <is>
          <t>CH2</t>
        </is>
      </c>
    </row>
    <row r="5093">
      <c r="A5093" s="33" t="n">
        <v>46052</v>
      </c>
      <c r="B5093" t="inlineStr">
        <is>
          <t>2026-01</t>
        </is>
      </c>
      <c r="C5093" t="inlineStr">
        <is>
          <t>Sin cliente</t>
        </is>
      </c>
      <c r="D5093" t="inlineStr">
        <is>
          <t>Canelé Petit Relleno</t>
        </is>
      </c>
      <c r="E5093" s="34" t="n">
        <v>31100</v>
      </c>
      <c r="F5093" t="inlineStr">
        <is>
          <t>B</t>
        </is>
      </c>
      <c r="G5093" s="34" t="n">
        <v>4966</v>
      </c>
      <c r="H5093" s="34" t="n">
        <v>26134</v>
      </c>
      <c r="I5093" t="inlineStr">
        <is>
          <t>3.2</t>
        </is>
      </c>
      <c r="J5093" t="inlineStr">
        <is>
          <t>Ventas Personas (B2C)</t>
        </is>
      </c>
      <c r="K5093" t="inlineStr">
        <is>
          <t>CH2</t>
        </is>
      </c>
    </row>
    <row r="5094">
      <c r="A5094" s="33" t="n">
        <v>46052</v>
      </c>
      <c r="B5094" t="inlineStr">
        <is>
          <t>2026-01</t>
        </is>
      </c>
      <c r="C5094" t="inlineStr">
        <is>
          <t>Marisol Valencia Moya</t>
        </is>
      </c>
      <c r="D5094" t="inlineStr">
        <is>
          <t>Mix Sabores</t>
        </is>
      </c>
      <c r="E5094" s="34" t="n">
        <v>41790</v>
      </c>
      <c r="F5094" t="inlineStr">
        <is>
          <t>B</t>
        </is>
      </c>
      <c r="G5094" s="34" t="n">
        <v>6672</v>
      </c>
      <c r="H5094" s="34" t="n">
        <v>35118</v>
      </c>
      <c r="I5094" t="inlineStr">
        <is>
          <t>3.2</t>
        </is>
      </c>
      <c r="J5094" t="inlineStr">
        <is>
          <t>Ventas Personas (B2C)</t>
        </is>
      </c>
      <c r="K5094" t="inlineStr">
        <is>
          <t>CH2</t>
        </is>
      </c>
    </row>
    <row r="5095">
      <c r="A5095" s="33" t="n">
        <v>46052</v>
      </c>
      <c r="B5095" t="inlineStr">
        <is>
          <t>2026-01</t>
        </is>
      </c>
      <c r="C5095" t="inlineStr">
        <is>
          <t>Sin cliente</t>
        </is>
      </c>
      <c r="D5095" t="inlineStr">
        <is>
          <t>Petit Crunchy</t>
        </is>
      </c>
      <c r="E5095" s="34" t="n">
        <v>29800</v>
      </c>
      <c r="F5095" t="inlineStr">
        <is>
          <t>B</t>
        </is>
      </c>
      <c r="G5095" s="34" t="n">
        <v>4758</v>
      </c>
      <c r="H5095" s="34" t="n">
        <v>25042</v>
      </c>
      <c r="I5095" t="inlineStr">
        <is>
          <t>3.2</t>
        </is>
      </c>
      <c r="J5095" t="inlineStr">
        <is>
          <t>Ventas Personas (B2C)</t>
        </is>
      </c>
      <c r="K5095" t="inlineStr">
        <is>
          <t>CH2</t>
        </is>
      </c>
    </row>
    <row r="5096">
      <c r="A5096" s="33" t="n">
        <v>46052</v>
      </c>
      <c r="B5096" t="inlineStr">
        <is>
          <t>2026-01</t>
        </is>
      </c>
      <c r="C5096" t="inlineStr">
        <is>
          <t>Sin cliente</t>
        </is>
      </c>
      <c r="D5096" t="inlineStr">
        <is>
          <t>Delicatessen</t>
        </is>
      </c>
      <c r="E5096" s="34" t="n">
        <v>10900</v>
      </c>
      <c r="F5096" t="inlineStr">
        <is>
          <t>B</t>
        </is>
      </c>
      <c r="G5096" s="34" t="n">
        <v>1740</v>
      </c>
      <c r="H5096" s="34" t="n">
        <v>9160</v>
      </c>
      <c r="I5096" t="inlineStr">
        <is>
          <t>3.2</t>
        </is>
      </c>
      <c r="J5096" t="inlineStr">
        <is>
          <t>Ventas Personas (B2C)</t>
        </is>
      </c>
      <c r="K5096" t="inlineStr">
        <is>
          <t>CH2</t>
        </is>
      </c>
    </row>
    <row r="5097">
      <c r="A5097" s="33" t="n">
        <v>46052</v>
      </c>
      <c r="B5097" t="inlineStr">
        <is>
          <t>2026-01</t>
        </is>
      </c>
      <c r="C5097" t="inlineStr">
        <is>
          <t>Sin cliente</t>
        </is>
      </c>
      <c r="D5097" t="inlineStr">
        <is>
          <t>PLATAFORMAS RAP-PEYA-UBER-GOOD</t>
        </is>
      </c>
      <c r="E5097" s="34" t="n">
        <v>24948</v>
      </c>
      <c r="F5097" t="inlineStr">
        <is>
          <t>B</t>
        </is>
      </c>
      <c r="G5097" s="34" t="n">
        <v>3983</v>
      </c>
      <c r="H5097" s="34" t="n">
        <v>20965</v>
      </c>
      <c r="I5097" t="inlineStr">
        <is>
          <t>3.6</t>
        </is>
      </c>
      <c r="J5097" t="inlineStr">
        <is>
          <t>Ventas Delivery Apps</t>
        </is>
      </c>
      <c r="K5097" t="inlineStr">
        <is>
          <t>CH3</t>
        </is>
      </c>
    </row>
    <row r="5098">
      <c r="A5098" s="33" t="n">
        <v>46052</v>
      </c>
      <c r="B5098" t="inlineStr">
        <is>
          <t>2026-01</t>
        </is>
      </c>
      <c r="C5098" t="inlineStr">
        <is>
          <t>Pamela Iglesias</t>
        </is>
      </c>
      <c r="D5098" t="inlineStr">
        <is>
          <t>CANELÉ TRADICIONAL</t>
        </is>
      </c>
      <c r="E5098" s="34" t="n">
        <v>24100</v>
      </c>
      <c r="F5098" t="inlineStr">
        <is>
          <t>B</t>
        </is>
      </c>
      <c r="G5098" s="34" t="n">
        <v>3848</v>
      </c>
      <c r="H5098" s="34" t="n">
        <v>20252</v>
      </c>
      <c r="I5098" t="inlineStr">
        <is>
          <t>3.2</t>
        </is>
      </c>
      <c r="J5098" t="inlineStr">
        <is>
          <t>Ventas Personas (B2C)</t>
        </is>
      </c>
      <c r="K5098" t="inlineStr">
        <is>
          <t>CH2</t>
        </is>
      </c>
    </row>
    <row r="5099">
      <c r="A5099" s="33" t="n">
        <v>46052</v>
      </c>
      <c r="B5099" t="inlineStr">
        <is>
          <t>2026-01</t>
        </is>
      </c>
      <c r="C5099" t="inlineStr">
        <is>
          <t>Sin cliente</t>
        </is>
      </c>
      <c r="D5099" t="inlineStr">
        <is>
          <t>PLATAFORMAS RAP-PEYA-UBER-GOOD</t>
        </is>
      </c>
      <c r="E5099" s="34" t="n">
        <v>82164</v>
      </c>
      <c r="F5099" t="inlineStr">
        <is>
          <t>B</t>
        </is>
      </c>
      <c r="G5099" s="34" t="n">
        <v>13119</v>
      </c>
      <c r="H5099" s="34" t="n">
        <v>69045</v>
      </c>
      <c r="I5099" t="inlineStr">
        <is>
          <t>3.6</t>
        </is>
      </c>
      <c r="J5099" t="inlineStr">
        <is>
          <t>Ventas Delivery Apps</t>
        </is>
      </c>
      <c r="K5099" t="inlineStr">
        <is>
          <t>CH3</t>
        </is>
      </c>
    </row>
    <row r="5100">
      <c r="A5100" s="33" t="n">
        <v>46052</v>
      </c>
      <c r="B5100" t="inlineStr">
        <is>
          <t>2026-01</t>
        </is>
      </c>
      <c r="C5100" t="inlineStr">
        <is>
          <t>Sin cliente</t>
        </is>
      </c>
      <c r="D5100" t="inlineStr">
        <is>
          <t>CANELÉ TRADICIONAL</t>
        </is>
      </c>
      <c r="E5100" s="34" t="n">
        <v>11100</v>
      </c>
      <c r="F5100" t="inlineStr">
        <is>
          <t>B</t>
        </is>
      </c>
      <c r="G5100" s="34" t="n">
        <v>1772</v>
      </c>
      <c r="H5100" s="34" t="n">
        <v>9328</v>
      </c>
      <c r="I5100" t="inlineStr">
        <is>
          <t>3.2</t>
        </is>
      </c>
      <c r="J5100" t="inlineStr">
        <is>
          <t>Ventas Personas (B2C)</t>
        </is>
      </c>
      <c r="K5100" t="inlineStr">
        <is>
          <t>CH2</t>
        </is>
      </c>
    </row>
    <row r="5101">
      <c r="A5101" s="33" t="n">
        <v>46052</v>
      </c>
      <c r="B5101" t="inlineStr">
        <is>
          <t>2026-01</t>
        </is>
      </c>
      <c r="C5101" t="inlineStr">
        <is>
          <t>Sin cliente</t>
        </is>
      </c>
      <c r="D5101" t="inlineStr">
        <is>
          <t>PLATAFORMAS RAP-PEYA-UBER-GOOD</t>
        </is>
      </c>
      <c r="E5101" s="34" t="n">
        <v>8400</v>
      </c>
      <c r="F5101" t="inlineStr">
        <is>
          <t>B</t>
        </is>
      </c>
      <c r="G5101" s="34" t="n">
        <v>1341</v>
      </c>
      <c r="H5101" s="34" t="n">
        <v>7059</v>
      </c>
      <c r="I5101" t="inlineStr">
        <is>
          <t>3.6</t>
        </is>
      </c>
      <c r="J5101" t="inlineStr">
        <is>
          <t>Ventas Delivery Apps</t>
        </is>
      </c>
      <c r="K5101" t="inlineStr">
        <is>
          <t>CH3</t>
        </is>
      </c>
    </row>
    <row r="5102">
      <c r="A5102" s="33" t="n">
        <v>46052</v>
      </c>
      <c r="B5102" t="inlineStr">
        <is>
          <t>2026-01</t>
        </is>
      </c>
      <c r="C5102" t="inlineStr">
        <is>
          <t>Loreto Torres</t>
        </is>
      </c>
      <c r="D5102" t="inlineStr">
        <is>
          <t>SALSAS</t>
        </is>
      </c>
      <c r="E5102" s="34" t="n">
        <v>34380</v>
      </c>
      <c r="F5102" t="inlineStr">
        <is>
          <t>B</t>
        </is>
      </c>
      <c r="G5102" s="34" t="n">
        <v>5489</v>
      </c>
      <c r="H5102" s="34" t="n">
        <v>28891</v>
      </c>
      <c r="I5102" t="inlineStr">
        <is>
          <t>3.2</t>
        </is>
      </c>
      <c r="J5102" t="inlineStr">
        <is>
          <t>Ventas Personas (B2C)</t>
        </is>
      </c>
      <c r="K5102" t="inlineStr">
        <is>
          <t>CH2</t>
        </is>
      </c>
    </row>
    <row r="5103">
      <c r="A5103" s="33" t="n">
        <v>46052</v>
      </c>
      <c r="B5103" t="inlineStr">
        <is>
          <t>2026-01</t>
        </is>
      </c>
      <c r="C5103" t="inlineStr">
        <is>
          <t>Sin cliente</t>
        </is>
      </c>
      <c r="D5103" t="inlineStr">
        <is>
          <t>CANELÉ TRADICIONAL</t>
        </is>
      </c>
      <c r="E5103" s="34" t="n">
        <v>2500</v>
      </c>
      <c r="F5103" t="inlineStr">
        <is>
          <t>B</t>
        </is>
      </c>
      <c r="G5103" s="34" t="n">
        <v>399</v>
      </c>
      <c r="H5103" s="34" t="n">
        <v>2101</v>
      </c>
      <c r="I5103" t="inlineStr">
        <is>
          <t>3.2</t>
        </is>
      </c>
      <c r="J5103" t="inlineStr">
        <is>
          <t>Ventas Personas (B2C)</t>
        </is>
      </c>
      <c r="K5103" t="inlineStr">
        <is>
          <t>CH2</t>
        </is>
      </c>
    </row>
    <row r="5104">
      <c r="A5104" s="33" t="n">
        <v>46052</v>
      </c>
      <c r="B5104" t="inlineStr">
        <is>
          <t>2026-01</t>
        </is>
      </c>
      <c r="C5104" t="inlineStr">
        <is>
          <t>Sin cliente</t>
        </is>
      </c>
      <c r="D5104" t="inlineStr">
        <is>
          <t>CANELÉ TRADICIONAL</t>
        </is>
      </c>
      <c r="E5104" s="34" t="n">
        <v>2500</v>
      </c>
      <c r="F5104" t="inlineStr">
        <is>
          <t>B</t>
        </is>
      </c>
      <c r="G5104" s="34" t="n">
        <v>399</v>
      </c>
      <c r="H5104" s="34" t="n">
        <v>2101</v>
      </c>
      <c r="I5104" t="inlineStr">
        <is>
          <t>3.2</t>
        </is>
      </c>
      <c r="J5104" t="inlineStr">
        <is>
          <t>Ventas Personas (B2C)</t>
        </is>
      </c>
      <c r="K5104" t="inlineStr">
        <is>
          <t>CH2</t>
        </is>
      </c>
    </row>
    <row r="5105">
      <c r="A5105" s="33" t="n">
        <v>46052</v>
      </c>
      <c r="B5105" t="inlineStr">
        <is>
          <t>2026-01</t>
        </is>
      </c>
      <c r="C5105" t="inlineStr">
        <is>
          <t>Sin cliente</t>
        </is>
      </c>
      <c r="D5105" t="inlineStr">
        <is>
          <t>Cafeteria Geronimo</t>
        </is>
      </c>
      <c r="E5105" s="34" t="n">
        <v>2000</v>
      </c>
      <c r="F5105" t="inlineStr">
        <is>
          <t>B</t>
        </is>
      </c>
      <c r="G5105" s="34" t="n">
        <v>319</v>
      </c>
      <c r="H5105" s="34" t="n">
        <v>1681</v>
      </c>
      <c r="I5105" t="inlineStr">
        <is>
          <t>3.2</t>
        </is>
      </c>
      <c r="J5105" t="inlineStr">
        <is>
          <t>Ventas Personas (B2C)</t>
        </is>
      </c>
      <c r="K5105" t="inlineStr">
        <is>
          <t>CH2</t>
        </is>
      </c>
    </row>
    <row r="5106">
      <c r="A5106" s="33" t="n">
        <v>46053</v>
      </c>
      <c r="B5106" t="inlineStr">
        <is>
          <t>2026-01</t>
        </is>
      </c>
      <c r="C5106" t="inlineStr">
        <is>
          <t>JEONG WOO HONG</t>
        </is>
      </c>
      <c r="D5106" t="inlineStr">
        <is>
          <t>PACKAGING</t>
        </is>
      </c>
      <c r="E5106" s="34" t="n">
        <v>39490</v>
      </c>
      <c r="F5106" t="inlineStr">
        <is>
          <t>B</t>
        </is>
      </c>
      <c r="G5106" s="34" t="n">
        <v>6305</v>
      </c>
      <c r="H5106" s="34" t="n">
        <v>33185</v>
      </c>
      <c r="I5106" t="inlineStr">
        <is>
          <t>3.2</t>
        </is>
      </c>
      <c r="J5106" t="inlineStr">
        <is>
          <t>Ventas Personas (B2C)</t>
        </is>
      </c>
      <c r="K5106" t="inlineStr">
        <is>
          <t>CH2</t>
        </is>
      </c>
    </row>
    <row r="5107">
      <c r="A5107" s="33" t="n">
        <v>46053</v>
      </c>
      <c r="B5107" t="inlineStr">
        <is>
          <t>2026-01</t>
        </is>
      </c>
      <c r="C5107" t="inlineStr">
        <is>
          <t>Leslie Arnaez</t>
        </is>
      </c>
      <c r="D5107" t="inlineStr">
        <is>
          <t>Petit Tradicional</t>
        </is>
      </c>
      <c r="E5107" s="34" t="n">
        <v>32790</v>
      </c>
      <c r="F5107" t="inlineStr">
        <is>
          <t>B</t>
        </is>
      </c>
      <c r="G5107" s="34" t="n">
        <v>5235</v>
      </c>
      <c r="H5107" s="34" t="n">
        <v>27555</v>
      </c>
      <c r="I5107" t="inlineStr">
        <is>
          <t>3.2</t>
        </is>
      </c>
      <c r="J5107" t="inlineStr">
        <is>
          <t>Ventas Personas (B2C)</t>
        </is>
      </c>
      <c r="K5107" t="inlineStr">
        <is>
          <t>CH2</t>
        </is>
      </c>
    </row>
    <row r="5108">
      <c r="A5108" s="33" t="n">
        <v>46053</v>
      </c>
      <c r="B5108" t="inlineStr">
        <is>
          <t>2026-01</t>
        </is>
      </c>
      <c r="C5108" t="inlineStr">
        <is>
          <t>Karin Acevedo Lizana</t>
        </is>
      </c>
      <c r="D5108" t="inlineStr">
        <is>
          <t>Rellenos</t>
        </is>
      </c>
      <c r="E5108" s="34" t="n">
        <v>49290</v>
      </c>
      <c r="F5108" t="inlineStr">
        <is>
          <t>B</t>
        </is>
      </c>
      <c r="G5108" s="34" t="n">
        <v>7870</v>
      </c>
      <c r="H5108" s="34" t="n">
        <v>41420</v>
      </c>
      <c r="I5108" t="inlineStr">
        <is>
          <t>3.2</t>
        </is>
      </c>
      <c r="J5108" t="inlineStr">
        <is>
          <t>Ventas Personas (B2C)</t>
        </is>
      </c>
      <c r="K5108" t="inlineStr">
        <is>
          <t>CH2</t>
        </is>
      </c>
    </row>
    <row r="5109">
      <c r="A5109" s="33" t="n">
        <v>46053</v>
      </c>
      <c r="B5109" t="inlineStr">
        <is>
          <t>2026-01</t>
        </is>
      </c>
      <c r="C5109" t="inlineStr">
        <is>
          <t>Paula Rivera carrillo</t>
        </is>
      </c>
      <c r="D5109" t="inlineStr">
        <is>
          <t>Mix Sabores</t>
        </is>
      </c>
      <c r="E5109" s="34" t="n">
        <v>34290</v>
      </c>
      <c r="F5109" t="inlineStr">
        <is>
          <t>B</t>
        </is>
      </c>
      <c r="G5109" s="34" t="n">
        <v>5475</v>
      </c>
      <c r="H5109" s="34" t="n">
        <v>28815</v>
      </c>
      <c r="I5109" t="inlineStr">
        <is>
          <t>3.2</t>
        </is>
      </c>
      <c r="J5109" t="inlineStr">
        <is>
          <t>Ventas Personas (B2C)</t>
        </is>
      </c>
      <c r="K5109" t="inlineStr">
        <is>
          <t>CH2</t>
        </is>
      </c>
    </row>
    <row r="5110">
      <c r="A5110" s="33" t="n">
        <v>46054</v>
      </c>
      <c r="B5110" t="inlineStr">
        <is>
          <t>2026-02</t>
        </is>
      </c>
      <c r="C5110" t="inlineStr">
        <is>
          <t>PAOLA BUSTAMANTE FUICA</t>
        </is>
      </c>
      <c r="D5110" t="inlineStr">
        <is>
          <t>PACKS GOURMET</t>
        </is>
      </c>
      <c r="E5110" s="34" t="n">
        <v>71680</v>
      </c>
      <c r="F5110" t="inlineStr">
        <is>
          <t>B</t>
        </is>
      </c>
      <c r="G5110" s="34" t="n">
        <v>11445</v>
      </c>
      <c r="H5110" s="34" t="n">
        <v>60235</v>
      </c>
      <c r="I5110" t="inlineStr">
        <is>
          <t>3.2</t>
        </is>
      </c>
      <c r="J5110" t="inlineStr">
        <is>
          <t>Ventas Personas (B2C)</t>
        </is>
      </c>
      <c r="K5110" t="inlineStr">
        <is>
          <t>CH2</t>
        </is>
      </c>
    </row>
    <row r="5111">
      <c r="A5111" s="33" t="n">
        <v>46054</v>
      </c>
      <c r="B5111" t="inlineStr">
        <is>
          <t>2026-02</t>
        </is>
      </c>
      <c r="C5111" t="inlineStr">
        <is>
          <t>Estefanía Chacón Jara</t>
        </is>
      </c>
      <c r="D5111" t="inlineStr">
        <is>
          <t>PACKAGING</t>
        </is>
      </c>
      <c r="E5111" s="34" t="n">
        <v>22490</v>
      </c>
      <c r="F5111" t="inlineStr">
        <is>
          <t>B</t>
        </is>
      </c>
      <c r="G5111" s="34" t="n">
        <v>3591</v>
      </c>
      <c r="H5111" s="34" t="n">
        <v>18899</v>
      </c>
      <c r="I5111" t="inlineStr">
        <is>
          <t>3.2</t>
        </is>
      </c>
      <c r="J5111" t="inlineStr">
        <is>
          <t>Ventas Personas (B2C)</t>
        </is>
      </c>
      <c r="K5111" t="inlineStr">
        <is>
          <t>CH2</t>
        </is>
      </c>
    </row>
    <row r="5112">
      <c r="A5112" s="33" t="n">
        <v>46055</v>
      </c>
      <c r="B5112" t="inlineStr">
        <is>
          <t>2026-02</t>
        </is>
      </c>
      <c r="C5112" t="inlineStr">
        <is>
          <t>BACOLIO SPA</t>
        </is>
      </c>
      <c r="D5112" t="inlineStr">
        <is>
          <t>HORECA CAFETERIA</t>
        </is>
      </c>
      <c r="E5112" s="34" t="n">
        <v>104315</v>
      </c>
      <c r="F5112" t="inlineStr">
        <is>
          <t>F</t>
        </is>
      </c>
      <c r="G5112" s="34" t="n">
        <v>16655</v>
      </c>
      <c r="H5112" s="34" t="n">
        <v>87660</v>
      </c>
      <c r="I5112" t="inlineStr">
        <is>
          <t>3.1</t>
        </is>
      </c>
      <c r="J5112" t="inlineStr">
        <is>
          <t>Ventas HoReCa</t>
        </is>
      </c>
      <c r="K5112" t="inlineStr">
        <is>
          <t>CH1</t>
        </is>
      </c>
    </row>
    <row r="5113">
      <c r="A5113" s="33" t="n">
        <v>46055</v>
      </c>
      <c r="B5113" t="inlineStr">
        <is>
          <t>2026-02</t>
        </is>
      </c>
      <c r="C5113" t="inlineStr">
        <is>
          <t>INVERSIONES Y COMERCIALIZADORA FED LIMITADA</t>
        </is>
      </c>
      <c r="D5113" t="inlineStr">
        <is>
          <t>HORECA CAFETERIA</t>
        </is>
      </c>
      <c r="E5113" s="34" t="n">
        <v>135398</v>
      </c>
      <c r="F5113" t="inlineStr">
        <is>
          <t>F</t>
        </is>
      </c>
      <c r="G5113" s="34" t="n">
        <v>21618</v>
      </c>
      <c r="H5113" s="34" t="n">
        <v>113780</v>
      </c>
      <c r="I5113" t="inlineStr">
        <is>
          <t>3.1</t>
        </is>
      </c>
      <c r="J5113" t="inlineStr">
        <is>
          <t>Ventas HoReCa</t>
        </is>
      </c>
      <c r="K5113" t="inlineStr">
        <is>
          <t>CH1</t>
        </is>
      </c>
    </row>
    <row r="5114">
      <c r="A5114" s="33" t="n">
        <v>46055</v>
      </c>
      <c r="B5114" t="inlineStr">
        <is>
          <t>2026-02</t>
        </is>
      </c>
      <c r="C5114" t="inlineStr">
        <is>
          <t>INVERSIONES Y COMERCIALIZADORA FED LIMITADA</t>
        </is>
      </c>
      <c r="D5114" t="inlineStr">
        <is>
          <t>HORECA CAFETERIA</t>
        </is>
      </c>
      <c r="E5114" s="34" t="n">
        <v>282203</v>
      </c>
      <c r="F5114" t="inlineStr">
        <is>
          <t>F</t>
        </is>
      </c>
      <c r="G5114" s="34" t="n">
        <v>45058</v>
      </c>
      <c r="H5114" s="34" t="n">
        <v>237145</v>
      </c>
      <c r="I5114" t="inlineStr">
        <is>
          <t>3.1</t>
        </is>
      </c>
      <c r="J5114" t="inlineStr">
        <is>
          <t>Ventas HoReCa</t>
        </is>
      </c>
      <c r="K5114" t="inlineStr">
        <is>
          <t>CH1</t>
        </is>
      </c>
    </row>
    <row r="5115">
      <c r="A5115" s="33" t="n">
        <v>46055</v>
      </c>
      <c r="B5115" t="inlineStr">
        <is>
          <t>2026-02</t>
        </is>
      </c>
      <c r="C5115" t="inlineStr">
        <is>
          <t>Sin cliente</t>
        </is>
      </c>
      <c r="D5115" t="inlineStr">
        <is>
          <t>PLATAFORMAS RAP-PEYA-UBER-GOOD</t>
        </is>
      </c>
      <c r="E5115" s="34" t="n">
        <v>8400</v>
      </c>
      <c r="F5115" t="inlineStr">
        <is>
          <t>B</t>
        </is>
      </c>
      <c r="G5115" s="34" t="n">
        <v>1341</v>
      </c>
      <c r="H5115" s="34" t="n">
        <v>7059</v>
      </c>
      <c r="I5115" t="inlineStr">
        <is>
          <t>3.6</t>
        </is>
      </c>
      <c r="J5115" t="inlineStr">
        <is>
          <t>Ventas Delivery Apps</t>
        </is>
      </c>
      <c r="K5115" t="inlineStr">
        <is>
          <t>CH3</t>
        </is>
      </c>
    </row>
    <row r="5116">
      <c r="A5116" s="33" t="n">
        <v>46055</v>
      </c>
      <c r="B5116" t="inlineStr">
        <is>
          <t>2026-02</t>
        </is>
      </c>
      <c r="C5116" t="inlineStr">
        <is>
          <t>Sin cliente</t>
        </is>
      </c>
      <c r="D5116" t="inlineStr">
        <is>
          <t>Mix Sabores</t>
        </is>
      </c>
      <c r="E5116" s="34" t="n">
        <v>21900</v>
      </c>
      <c r="F5116" t="inlineStr">
        <is>
          <t>B</t>
        </is>
      </c>
      <c r="G5116" s="34" t="n">
        <v>3497</v>
      </c>
      <c r="H5116" s="34" t="n">
        <v>18403</v>
      </c>
      <c r="I5116" t="inlineStr">
        <is>
          <t>3.2</t>
        </is>
      </c>
      <c r="J5116" t="inlineStr">
        <is>
          <t>Ventas Personas (B2C)</t>
        </is>
      </c>
      <c r="K5116" t="inlineStr">
        <is>
          <t>CH2</t>
        </is>
      </c>
    </row>
    <row r="5117">
      <c r="A5117" s="33" t="n">
        <v>46055</v>
      </c>
      <c r="B5117" t="inlineStr">
        <is>
          <t>2026-02</t>
        </is>
      </c>
      <c r="C5117" t="inlineStr">
        <is>
          <t>Sin cliente</t>
        </is>
      </c>
      <c r="D5117" t="inlineStr">
        <is>
          <t>Rellenos</t>
        </is>
      </c>
      <c r="E5117" s="34" t="n">
        <v>22400</v>
      </c>
      <c r="F5117" t="inlineStr">
        <is>
          <t>B</t>
        </is>
      </c>
      <c r="G5117" s="34" t="n">
        <v>3576</v>
      </c>
      <c r="H5117" s="34" t="n">
        <v>18824</v>
      </c>
      <c r="I5117" t="inlineStr">
        <is>
          <t>3.2</t>
        </is>
      </c>
      <c r="J5117" t="inlineStr">
        <is>
          <t>Ventas Personas (B2C)</t>
        </is>
      </c>
      <c r="K5117" t="inlineStr">
        <is>
          <t>CH2</t>
        </is>
      </c>
    </row>
    <row r="5118">
      <c r="A5118" s="33" t="n">
        <v>46055</v>
      </c>
      <c r="B5118" t="inlineStr">
        <is>
          <t>2026-02</t>
        </is>
      </c>
      <c r="C5118" t="inlineStr">
        <is>
          <t>Sin cliente</t>
        </is>
      </c>
      <c r="D5118" t="inlineStr">
        <is>
          <t>Petit Crunchy</t>
        </is>
      </c>
      <c r="E5118" s="34" t="n">
        <v>20700</v>
      </c>
      <c r="F5118" t="inlineStr">
        <is>
          <t>B</t>
        </is>
      </c>
      <c r="G5118" s="34" t="n">
        <v>3305</v>
      </c>
      <c r="H5118" s="34" t="n">
        <v>17395</v>
      </c>
      <c r="I5118" t="inlineStr">
        <is>
          <t>3.2</t>
        </is>
      </c>
      <c r="J5118" t="inlineStr">
        <is>
          <t>Ventas Personas (B2C)</t>
        </is>
      </c>
      <c r="K5118" t="inlineStr">
        <is>
          <t>CH2</t>
        </is>
      </c>
    </row>
    <row r="5119">
      <c r="A5119" s="33" t="n">
        <v>46055</v>
      </c>
      <c r="B5119" t="inlineStr">
        <is>
          <t>2026-02</t>
        </is>
      </c>
      <c r="C5119" t="inlineStr">
        <is>
          <t>Sin cliente</t>
        </is>
      </c>
      <c r="D5119" t="inlineStr">
        <is>
          <t>PLATAFORMAS RAP-PEYA-UBER-GOOD</t>
        </is>
      </c>
      <c r="E5119" s="34" t="n">
        <v>26160</v>
      </c>
      <c r="F5119" t="inlineStr">
        <is>
          <t>B</t>
        </is>
      </c>
      <c r="G5119" s="34" t="n">
        <v>4177</v>
      </c>
      <c r="H5119" s="34" t="n">
        <v>21983</v>
      </c>
      <c r="I5119" t="inlineStr">
        <is>
          <t>3.6</t>
        </is>
      </c>
      <c r="J5119" t="inlineStr">
        <is>
          <t>Ventas Delivery Apps</t>
        </is>
      </c>
      <c r="K5119" t="inlineStr">
        <is>
          <t>CH3</t>
        </is>
      </c>
    </row>
    <row r="5120">
      <c r="A5120" s="33" t="n">
        <v>46055</v>
      </c>
      <c r="B5120" t="inlineStr">
        <is>
          <t>2026-02</t>
        </is>
      </c>
      <c r="C5120" t="inlineStr">
        <is>
          <t>Sin cliente</t>
        </is>
      </c>
      <c r="D5120" t="inlineStr">
        <is>
          <t>Petit Crunchy</t>
        </is>
      </c>
      <c r="E5120" s="34" t="n">
        <v>10900</v>
      </c>
      <c r="F5120" t="inlineStr">
        <is>
          <t>B</t>
        </is>
      </c>
      <c r="G5120" s="34" t="n">
        <v>1740</v>
      </c>
      <c r="H5120" s="34" t="n">
        <v>9160</v>
      </c>
      <c r="I5120" t="inlineStr">
        <is>
          <t>3.2</t>
        </is>
      </c>
      <c r="J5120" t="inlineStr">
        <is>
          <t>Ventas Personas (B2C)</t>
        </is>
      </c>
      <c r="K5120" t="inlineStr">
        <is>
          <t>CH2</t>
        </is>
      </c>
    </row>
    <row r="5121">
      <c r="A5121" s="33" t="n">
        <v>46055</v>
      </c>
      <c r="B5121" t="inlineStr">
        <is>
          <t>2026-02</t>
        </is>
      </c>
      <c r="C5121" t="inlineStr">
        <is>
          <t>Sin cliente</t>
        </is>
      </c>
      <c r="D5121" t="inlineStr">
        <is>
          <t>Delicatessen</t>
        </is>
      </c>
      <c r="E5121" s="34" t="n">
        <v>1700</v>
      </c>
      <c r="F5121" t="inlineStr">
        <is>
          <t>B</t>
        </is>
      </c>
      <c r="G5121" s="34" t="n">
        <v>271</v>
      </c>
      <c r="H5121" s="34" t="n">
        <v>1429</v>
      </c>
      <c r="I5121" t="inlineStr">
        <is>
          <t>3.2</t>
        </is>
      </c>
      <c r="J5121" t="inlineStr">
        <is>
          <t>Ventas Personas (B2C)</t>
        </is>
      </c>
      <c r="K5121" t="inlineStr">
        <is>
          <t>CH2</t>
        </is>
      </c>
    </row>
    <row r="5122">
      <c r="A5122" s="33" t="n">
        <v>46055</v>
      </c>
      <c r="B5122" t="inlineStr">
        <is>
          <t>2026-02</t>
        </is>
      </c>
      <c r="C5122" t="inlineStr">
        <is>
          <t>Sin cliente</t>
        </is>
      </c>
      <c r="D5122" t="inlineStr">
        <is>
          <t>Delicatessen</t>
        </is>
      </c>
      <c r="E5122" s="34" t="n">
        <v>1700</v>
      </c>
      <c r="F5122" t="inlineStr">
        <is>
          <t>B</t>
        </is>
      </c>
      <c r="G5122" s="34" t="n">
        <v>271</v>
      </c>
      <c r="H5122" s="34" t="n">
        <v>1429</v>
      </c>
      <c r="I5122" t="inlineStr">
        <is>
          <t>3.2</t>
        </is>
      </c>
      <c r="J5122" t="inlineStr">
        <is>
          <t>Ventas Personas (B2C)</t>
        </is>
      </c>
      <c r="K5122" t="inlineStr">
        <is>
          <t>CH2</t>
        </is>
      </c>
    </row>
    <row r="5123">
      <c r="A5123" s="33" t="n">
        <v>46055</v>
      </c>
      <c r="B5123" t="inlineStr">
        <is>
          <t>2026-02</t>
        </is>
      </c>
      <c r="C5123" t="inlineStr">
        <is>
          <t>Sin cliente</t>
        </is>
      </c>
      <c r="D5123" t="inlineStr">
        <is>
          <t>PLATAFORMAS RAP-PEYA-UBER-GOOD</t>
        </is>
      </c>
      <c r="E5123" s="34" t="n">
        <v>26160</v>
      </c>
      <c r="F5123" t="inlineStr">
        <is>
          <t>B</t>
        </is>
      </c>
      <c r="G5123" s="34" t="n">
        <v>4177</v>
      </c>
      <c r="H5123" s="34" t="n">
        <v>21983</v>
      </c>
      <c r="I5123" t="inlineStr">
        <is>
          <t>3.6</t>
        </is>
      </c>
      <c r="J5123" t="inlineStr">
        <is>
          <t>Ventas Delivery Apps</t>
        </is>
      </c>
      <c r="K5123" t="inlineStr">
        <is>
          <t>CH3</t>
        </is>
      </c>
    </row>
    <row r="5124">
      <c r="A5124" s="33" t="n">
        <v>46055</v>
      </c>
      <c r="B5124" t="inlineStr">
        <is>
          <t>2026-02</t>
        </is>
      </c>
      <c r="C5124" t="inlineStr">
        <is>
          <t>Sin cliente</t>
        </is>
      </c>
      <c r="D5124" t="inlineStr">
        <is>
          <t>Mix Sabores</t>
        </is>
      </c>
      <c r="E5124" s="34" t="n">
        <v>18500</v>
      </c>
      <c r="F5124" t="inlineStr">
        <is>
          <t>B</t>
        </is>
      </c>
      <c r="G5124" s="34" t="n">
        <v>2954</v>
      </c>
      <c r="H5124" s="34" t="n">
        <v>15546</v>
      </c>
      <c r="I5124" t="inlineStr">
        <is>
          <t>3.2</t>
        </is>
      </c>
      <c r="J5124" t="inlineStr">
        <is>
          <t>Ventas Personas (B2C)</t>
        </is>
      </c>
      <c r="K5124" t="inlineStr">
        <is>
          <t>CH2</t>
        </is>
      </c>
    </row>
    <row r="5125">
      <c r="A5125" s="33" t="n">
        <v>46055</v>
      </c>
      <c r="B5125" t="inlineStr">
        <is>
          <t>2026-02</t>
        </is>
      </c>
      <c r="C5125" t="inlineStr">
        <is>
          <t>María Bühler</t>
        </is>
      </c>
      <c r="D5125" t="inlineStr">
        <is>
          <t>Rellenos</t>
        </is>
      </c>
      <c r="E5125" s="34" t="n">
        <v>29880</v>
      </c>
      <c r="F5125" t="inlineStr">
        <is>
          <t>B</t>
        </is>
      </c>
      <c r="G5125" s="34" t="n">
        <v>4771</v>
      </c>
      <c r="H5125" s="34" t="n">
        <v>25109</v>
      </c>
      <c r="I5125" t="inlineStr">
        <is>
          <t>3.2</t>
        </is>
      </c>
      <c r="J5125" t="inlineStr">
        <is>
          <t>Ventas Personas (B2C)</t>
        </is>
      </c>
      <c r="K5125" t="inlineStr">
        <is>
          <t>CH2</t>
        </is>
      </c>
    </row>
    <row r="5126">
      <c r="A5126" s="33" t="n">
        <v>46055</v>
      </c>
      <c r="B5126" t="inlineStr">
        <is>
          <t>2026-02</t>
        </is>
      </c>
      <c r="C5126" t="inlineStr">
        <is>
          <t>CAFETERÍAS MISTER SPA</t>
        </is>
      </c>
      <c r="D5126" t="inlineStr">
        <is>
          <t>HORECA CAFETERIA</t>
        </is>
      </c>
      <c r="E5126" s="34" t="n">
        <v>32094</v>
      </c>
      <c r="F5126" t="inlineStr">
        <is>
          <t>F</t>
        </is>
      </c>
      <c r="G5126" s="34" t="n">
        <v>5124</v>
      </c>
      <c r="H5126" s="34" t="n">
        <v>26970</v>
      </c>
      <c r="I5126" t="inlineStr">
        <is>
          <t>3.1</t>
        </is>
      </c>
      <c r="J5126" t="inlineStr">
        <is>
          <t>Ventas HoReCa</t>
        </is>
      </c>
      <c r="K5126" t="inlineStr">
        <is>
          <t>CH1</t>
        </is>
      </c>
    </row>
    <row r="5127">
      <c r="A5127" s="33" t="n">
        <v>46055</v>
      </c>
      <c r="B5127" t="inlineStr">
        <is>
          <t>2026-02</t>
        </is>
      </c>
      <c r="C5127" t="inlineStr">
        <is>
          <t>Luis Leon</t>
        </is>
      </c>
      <c r="D5127" t="inlineStr">
        <is>
          <t>CANELÉ TRADICIONAL</t>
        </is>
      </c>
      <c r="E5127" s="34" t="n">
        <v>20390</v>
      </c>
      <c r="F5127" t="inlineStr">
        <is>
          <t>B</t>
        </is>
      </c>
      <c r="G5127" s="34" t="n">
        <v>3256</v>
      </c>
      <c r="H5127" s="34" t="n">
        <v>17134</v>
      </c>
      <c r="I5127" t="inlineStr">
        <is>
          <t>3.2</t>
        </is>
      </c>
      <c r="J5127" t="inlineStr">
        <is>
          <t>Ventas Personas (B2C)</t>
        </is>
      </c>
      <c r="K5127" t="inlineStr">
        <is>
          <t>CH2</t>
        </is>
      </c>
    </row>
    <row r="5128">
      <c r="A5128" s="33" t="n">
        <v>46055</v>
      </c>
      <c r="B5128" t="inlineStr">
        <is>
          <t>2026-02</t>
        </is>
      </c>
      <c r="C5128" t="inlineStr">
        <is>
          <t>Sin cliente</t>
        </is>
      </c>
      <c r="D5128" t="inlineStr">
        <is>
          <t>PLATAFORMAS RAP-PEYA-UBER-GOOD</t>
        </is>
      </c>
      <c r="E5128" s="34" t="n">
        <v>38160</v>
      </c>
      <c r="F5128" t="inlineStr">
        <is>
          <t>B</t>
        </is>
      </c>
      <c r="G5128" s="34" t="n">
        <v>6093</v>
      </c>
      <c r="H5128" s="34" t="n">
        <v>32067</v>
      </c>
      <c r="I5128" t="inlineStr">
        <is>
          <t>3.6</t>
        </is>
      </c>
      <c r="J5128" t="inlineStr">
        <is>
          <t>Ventas Delivery Apps</t>
        </is>
      </c>
      <c r="K5128" t="inlineStr">
        <is>
          <t>CH3</t>
        </is>
      </c>
    </row>
    <row r="5129">
      <c r="A5129" s="33" t="n">
        <v>46055</v>
      </c>
      <c r="B5129" t="inlineStr">
        <is>
          <t>2026-02</t>
        </is>
      </c>
      <c r="C5129" t="inlineStr">
        <is>
          <t>Rodrigo Azolas</t>
        </is>
      </c>
      <c r="D5129" t="inlineStr">
        <is>
          <t>Petit Tradicional</t>
        </is>
      </c>
      <c r="E5129" s="34" t="n">
        <v>37290</v>
      </c>
      <c r="F5129" t="inlineStr">
        <is>
          <t>B</t>
        </is>
      </c>
      <c r="G5129" s="34" t="n">
        <v>5954</v>
      </c>
      <c r="H5129" s="34" t="n">
        <v>31336</v>
      </c>
      <c r="I5129" t="inlineStr">
        <is>
          <t>3.2</t>
        </is>
      </c>
      <c r="J5129" t="inlineStr">
        <is>
          <t>Ventas Personas (B2C)</t>
        </is>
      </c>
      <c r="K5129" t="inlineStr">
        <is>
          <t>CH2</t>
        </is>
      </c>
    </row>
    <row r="5130">
      <c r="A5130" s="33" t="n">
        <v>46055</v>
      </c>
      <c r="B5130" t="inlineStr">
        <is>
          <t>2026-02</t>
        </is>
      </c>
      <c r="C5130" t="inlineStr">
        <is>
          <t>Sin cliente</t>
        </is>
      </c>
      <c r="D5130" t="inlineStr">
        <is>
          <t>CANELÉ TRADICIONAL</t>
        </is>
      </c>
      <c r="E5130" s="34" t="n">
        <v>73300</v>
      </c>
      <c r="F5130" t="inlineStr">
        <is>
          <t>B</t>
        </is>
      </c>
      <c r="G5130" s="34" t="n">
        <v>11703</v>
      </c>
      <c r="H5130" s="34" t="n">
        <v>61597</v>
      </c>
      <c r="I5130" t="inlineStr">
        <is>
          <t>3.2</t>
        </is>
      </c>
      <c r="J5130" t="inlineStr">
        <is>
          <t>Ventas Personas (B2C)</t>
        </is>
      </c>
      <c r="K5130" t="inlineStr">
        <is>
          <t>CH2</t>
        </is>
      </c>
    </row>
    <row r="5131">
      <c r="A5131" s="33" t="n">
        <v>46055</v>
      </c>
      <c r="B5131" t="inlineStr">
        <is>
          <t>2026-02</t>
        </is>
      </c>
      <c r="C5131" t="inlineStr">
        <is>
          <t>Sin cliente</t>
        </is>
      </c>
      <c r="D5131" t="inlineStr">
        <is>
          <t>Rellenos</t>
        </is>
      </c>
      <c r="E5131" s="34" t="n">
        <v>58790</v>
      </c>
      <c r="F5131" t="inlineStr">
        <is>
          <t>B</t>
        </is>
      </c>
      <c r="G5131" s="34" t="n">
        <v>9387</v>
      </c>
      <c r="H5131" s="34" t="n">
        <v>49403</v>
      </c>
      <c r="I5131" t="inlineStr">
        <is>
          <t>3.2</t>
        </is>
      </c>
      <c r="J5131" t="inlineStr">
        <is>
          <t>Ventas Personas (B2C)</t>
        </is>
      </c>
      <c r="K5131" t="inlineStr">
        <is>
          <t>CH2</t>
        </is>
      </c>
    </row>
    <row r="5132">
      <c r="A5132" s="33" t="n">
        <v>46055</v>
      </c>
      <c r="B5132" t="inlineStr">
        <is>
          <t>2026-02</t>
        </is>
      </c>
      <c r="C5132" t="inlineStr">
        <is>
          <t>Sin cliente</t>
        </is>
      </c>
      <c r="D5132" t="inlineStr">
        <is>
          <t>Rellenos</t>
        </is>
      </c>
      <c r="E5132" s="34" t="n">
        <v>10500</v>
      </c>
      <c r="F5132" t="inlineStr">
        <is>
          <t>B</t>
        </is>
      </c>
      <c r="G5132" s="34" t="n">
        <v>1676</v>
      </c>
      <c r="H5132" s="34" t="n">
        <v>8824</v>
      </c>
      <c r="I5132" t="inlineStr">
        <is>
          <t>3.2</t>
        </is>
      </c>
      <c r="J5132" t="inlineStr">
        <is>
          <t>Ventas Personas (B2C)</t>
        </is>
      </c>
      <c r="K5132" t="inlineStr">
        <is>
          <t>CH2</t>
        </is>
      </c>
    </row>
    <row r="5133">
      <c r="A5133" s="33" t="n">
        <v>46055</v>
      </c>
      <c r="B5133" t="inlineStr">
        <is>
          <t>2026-02</t>
        </is>
      </c>
      <c r="C5133" t="inlineStr">
        <is>
          <t>Sin cliente</t>
        </is>
      </c>
      <c r="D5133" t="inlineStr">
        <is>
          <t>Cafeteria Geronimo</t>
        </is>
      </c>
      <c r="E5133" s="34" t="n">
        <v>5000</v>
      </c>
      <c r="F5133" t="inlineStr">
        <is>
          <t>B</t>
        </is>
      </c>
      <c r="G5133" s="34" t="n">
        <v>798</v>
      </c>
      <c r="H5133" s="34" t="n">
        <v>4202</v>
      </c>
      <c r="I5133" t="inlineStr">
        <is>
          <t>3.2</t>
        </is>
      </c>
      <c r="J5133" t="inlineStr">
        <is>
          <t>Ventas Personas (B2C)</t>
        </is>
      </c>
      <c r="K5133" t="inlineStr">
        <is>
          <t>CH2</t>
        </is>
      </c>
    </row>
    <row r="5134">
      <c r="A5134" s="33" t="n">
        <v>46055</v>
      </c>
      <c r="B5134" t="inlineStr">
        <is>
          <t>2026-02</t>
        </is>
      </c>
      <c r="C5134" t="inlineStr">
        <is>
          <t>Sin cliente</t>
        </is>
      </c>
      <c r="D5134" t="inlineStr">
        <is>
          <t>CANELÉ TRADICIONAL</t>
        </is>
      </c>
      <c r="E5134" s="34" t="n">
        <v>15900</v>
      </c>
      <c r="F5134" t="inlineStr">
        <is>
          <t>B</t>
        </is>
      </c>
      <c r="G5134" s="34" t="n">
        <v>2539</v>
      </c>
      <c r="H5134" s="34" t="n">
        <v>13361</v>
      </c>
      <c r="I5134" t="inlineStr">
        <is>
          <t>3.2</t>
        </is>
      </c>
      <c r="J5134" t="inlineStr">
        <is>
          <t>Ventas Personas (B2C)</t>
        </is>
      </c>
      <c r="K5134" t="inlineStr">
        <is>
          <t>CH2</t>
        </is>
      </c>
    </row>
    <row r="5135">
      <c r="A5135" s="33" t="n">
        <v>46055</v>
      </c>
      <c r="B5135" t="inlineStr">
        <is>
          <t>2026-02</t>
        </is>
      </c>
      <c r="C5135" t="inlineStr">
        <is>
          <t>Sin cliente</t>
        </is>
      </c>
      <c r="D5135" t="inlineStr">
        <is>
          <t>Mix Sabores</t>
        </is>
      </c>
      <c r="E5135" s="34" t="n">
        <v>15900</v>
      </c>
      <c r="F5135" t="inlineStr">
        <is>
          <t>B</t>
        </is>
      </c>
      <c r="G5135" s="34" t="n">
        <v>2539</v>
      </c>
      <c r="H5135" s="34" t="n">
        <v>13361</v>
      </c>
      <c r="I5135" t="inlineStr">
        <is>
          <t>3.2</t>
        </is>
      </c>
      <c r="J5135" t="inlineStr">
        <is>
          <t>Ventas Personas (B2C)</t>
        </is>
      </c>
      <c r="K5135" t="inlineStr">
        <is>
          <t>CH2</t>
        </is>
      </c>
    </row>
    <row r="5136">
      <c r="A5136" s="33" t="n">
        <v>46055</v>
      </c>
      <c r="B5136" t="inlineStr">
        <is>
          <t>2026-02</t>
        </is>
      </c>
      <c r="C5136" t="inlineStr">
        <is>
          <t>Nicolas Soto Nenadovich</t>
        </is>
      </c>
      <c r="D5136" t="inlineStr">
        <is>
          <t>CANELÉ TRADICIONAL</t>
        </is>
      </c>
      <c r="E5136" s="34" t="n">
        <v>26390</v>
      </c>
      <c r="F5136" t="inlineStr">
        <is>
          <t>B</t>
        </is>
      </c>
      <c r="G5136" s="34" t="n">
        <v>4214</v>
      </c>
      <c r="H5136" s="34" t="n">
        <v>22176</v>
      </c>
      <c r="I5136" t="inlineStr">
        <is>
          <t>3.2</t>
        </is>
      </c>
      <c r="J5136" t="inlineStr">
        <is>
          <t>Ventas Personas (B2C)</t>
        </is>
      </c>
      <c r="K5136" t="inlineStr">
        <is>
          <t>CH2</t>
        </is>
      </c>
    </row>
    <row r="5137">
      <c r="A5137" s="33" t="n">
        <v>46056</v>
      </c>
      <c r="B5137" t="inlineStr">
        <is>
          <t>2026-02</t>
        </is>
      </c>
      <c r="C5137" t="inlineStr">
        <is>
          <t>Andar Café SpA</t>
        </is>
      </c>
      <c r="D5137" t="inlineStr">
        <is>
          <t>HORECA CAFETERIA</t>
        </is>
      </c>
      <c r="E5137" s="34" t="n">
        <v>109880</v>
      </c>
      <c r="F5137" t="inlineStr">
        <is>
          <t>F</t>
        </is>
      </c>
      <c r="G5137" s="34" t="n">
        <v>17544</v>
      </c>
      <c r="H5137" s="34" t="n">
        <v>92336</v>
      </c>
      <c r="I5137" t="inlineStr">
        <is>
          <t>3.1</t>
        </is>
      </c>
      <c r="J5137" t="inlineStr">
        <is>
          <t>Ventas HoReCa</t>
        </is>
      </c>
      <c r="K5137" t="inlineStr">
        <is>
          <t>CH1</t>
        </is>
      </c>
    </row>
    <row r="5138">
      <c r="A5138" s="33" t="n">
        <v>46056</v>
      </c>
      <c r="B5138" t="inlineStr">
        <is>
          <t>2026-02</t>
        </is>
      </c>
      <c r="C5138" t="inlineStr">
        <is>
          <t>BLUE OAK COFFE SPA</t>
        </is>
      </c>
      <c r="D5138" t="inlineStr">
        <is>
          <t>HORECA CAFETERIA</t>
        </is>
      </c>
      <c r="E5138" s="34" t="n">
        <v>217151</v>
      </c>
      <c r="F5138" t="inlineStr">
        <is>
          <t>F</t>
        </is>
      </c>
      <c r="G5138" s="34" t="n">
        <v>34671</v>
      </c>
      <c r="H5138" s="34" t="n">
        <v>182480</v>
      </c>
      <c r="I5138" t="inlineStr">
        <is>
          <t>3.1</t>
        </is>
      </c>
      <c r="J5138" t="inlineStr">
        <is>
          <t>Ventas HoReCa</t>
        </is>
      </c>
      <c r="K5138" t="inlineStr">
        <is>
          <t>CH1</t>
        </is>
      </c>
    </row>
    <row r="5139">
      <c r="A5139" s="33" t="n">
        <v>46056</v>
      </c>
      <c r="B5139" t="inlineStr">
        <is>
          <t>2026-02</t>
        </is>
      </c>
      <c r="C5139" t="inlineStr">
        <is>
          <t>BLUE OAK COFFE SPA</t>
        </is>
      </c>
      <c r="D5139" t="inlineStr">
        <is>
          <t>HORECA CAFETERIA</t>
        </is>
      </c>
      <c r="E5139" s="34" t="n">
        <v>39115</v>
      </c>
      <c r="F5139" t="inlineStr">
        <is>
          <t>F</t>
        </is>
      </c>
      <c r="G5139" s="34" t="n">
        <v>6245</v>
      </c>
      <c r="H5139" s="34" t="n">
        <v>32870</v>
      </c>
      <c r="I5139" t="inlineStr">
        <is>
          <t>3.1</t>
        </is>
      </c>
      <c r="J5139" t="inlineStr">
        <is>
          <t>Ventas HoReCa</t>
        </is>
      </c>
      <c r="K5139" t="inlineStr">
        <is>
          <t>CH1</t>
        </is>
      </c>
    </row>
    <row r="5140">
      <c r="A5140" s="33" t="n">
        <v>46056</v>
      </c>
      <c r="B5140" t="inlineStr">
        <is>
          <t>2026-02</t>
        </is>
      </c>
      <c r="C5140" t="inlineStr">
        <is>
          <t>BLUE OAK COFFE SPA</t>
        </is>
      </c>
      <c r="D5140" t="inlineStr">
        <is>
          <t>HORECA CAFETERIA</t>
        </is>
      </c>
      <c r="E5140" s="34" t="n">
        <v>185057</v>
      </c>
      <c r="F5140" t="inlineStr">
        <is>
          <t>F</t>
        </is>
      </c>
      <c r="G5140" s="34" t="n">
        <v>29547</v>
      </c>
      <c r="H5140" s="34" t="n">
        <v>155510</v>
      </c>
      <c r="I5140" t="inlineStr">
        <is>
          <t>3.1</t>
        </is>
      </c>
      <c r="J5140" t="inlineStr">
        <is>
          <t>Ventas HoReCa</t>
        </is>
      </c>
      <c r="K5140" t="inlineStr">
        <is>
          <t>CH1</t>
        </is>
      </c>
    </row>
    <row r="5141">
      <c r="A5141" s="33" t="n">
        <v>46056</v>
      </c>
      <c r="B5141" t="inlineStr">
        <is>
          <t>2026-02</t>
        </is>
      </c>
      <c r="C5141" t="inlineStr">
        <is>
          <t>Sin cliente</t>
        </is>
      </c>
      <c r="D5141" t="inlineStr">
        <is>
          <t>PLATAFORMAS RAP-PEYA-UBER-GOOD</t>
        </is>
      </c>
      <c r="E5141" s="34" t="n">
        <v>20760</v>
      </c>
      <c r="F5141" t="inlineStr">
        <is>
          <t>B</t>
        </is>
      </c>
      <c r="G5141" s="34" t="n">
        <v>3315</v>
      </c>
      <c r="H5141" s="34" t="n">
        <v>17445</v>
      </c>
      <c r="I5141" t="inlineStr">
        <is>
          <t>3.6</t>
        </is>
      </c>
      <c r="J5141" t="inlineStr">
        <is>
          <t>Ventas Delivery Apps</t>
        </is>
      </c>
      <c r="K5141" t="inlineStr">
        <is>
          <t>CH3</t>
        </is>
      </c>
    </row>
    <row r="5142">
      <c r="A5142" s="33" t="n">
        <v>46056</v>
      </c>
      <c r="B5142" t="inlineStr">
        <is>
          <t>2026-02</t>
        </is>
      </c>
      <c r="C5142" t="inlineStr">
        <is>
          <t>Sin cliente</t>
        </is>
      </c>
      <c r="D5142" t="inlineStr">
        <is>
          <t>CANELÉ TRADICIONAL</t>
        </is>
      </c>
      <c r="E5142" s="34" t="n">
        <v>24100</v>
      </c>
      <c r="F5142" t="inlineStr">
        <is>
          <t>B</t>
        </is>
      </c>
      <c r="G5142" s="34" t="n">
        <v>3848</v>
      </c>
      <c r="H5142" s="34" t="n">
        <v>20252</v>
      </c>
      <c r="I5142" t="inlineStr">
        <is>
          <t>3.2</t>
        </is>
      </c>
      <c r="J5142" t="inlineStr">
        <is>
          <t>Ventas Personas (B2C)</t>
        </is>
      </c>
      <c r="K5142" t="inlineStr">
        <is>
          <t>CH2</t>
        </is>
      </c>
    </row>
    <row r="5143">
      <c r="A5143" s="33" t="n">
        <v>46056</v>
      </c>
      <c r="B5143" t="inlineStr">
        <is>
          <t>2026-02</t>
        </is>
      </c>
      <c r="C5143" t="inlineStr">
        <is>
          <t>Javiera Inostroza</t>
        </is>
      </c>
      <c r="D5143" t="inlineStr">
        <is>
          <t>Petit Crunchy</t>
        </is>
      </c>
      <c r="E5143" s="34" t="n">
        <v>29610</v>
      </c>
      <c r="F5143" t="inlineStr">
        <is>
          <t>B</t>
        </is>
      </c>
      <c r="G5143" s="34" t="n">
        <v>4728</v>
      </c>
      <c r="H5143" s="34" t="n">
        <v>24882</v>
      </c>
      <c r="I5143" t="inlineStr">
        <is>
          <t>3.2</t>
        </is>
      </c>
      <c r="J5143" t="inlineStr">
        <is>
          <t>Ventas Personas (B2C)</t>
        </is>
      </c>
      <c r="K5143" t="inlineStr">
        <is>
          <t>CH2</t>
        </is>
      </c>
    </row>
    <row r="5144">
      <c r="A5144" s="33" t="n">
        <v>46056</v>
      </c>
      <c r="B5144" t="inlineStr">
        <is>
          <t>2026-02</t>
        </is>
      </c>
      <c r="C5144" t="inlineStr">
        <is>
          <t>Sin cliente</t>
        </is>
      </c>
      <c r="D5144" t="inlineStr">
        <is>
          <t>Delicatessen</t>
        </is>
      </c>
      <c r="E5144" s="34" t="n">
        <v>1700</v>
      </c>
      <c r="F5144" t="inlineStr">
        <is>
          <t>B</t>
        </is>
      </c>
      <c r="G5144" s="34" t="n">
        <v>271</v>
      </c>
      <c r="H5144" s="34" t="n">
        <v>1429</v>
      </c>
      <c r="I5144" t="inlineStr">
        <is>
          <t>3.2</t>
        </is>
      </c>
      <c r="J5144" t="inlineStr">
        <is>
          <t>Ventas Personas (B2C)</t>
        </is>
      </c>
      <c r="K5144" t="inlineStr">
        <is>
          <t>CH2</t>
        </is>
      </c>
    </row>
    <row r="5145">
      <c r="A5145" s="33" t="n">
        <v>46056</v>
      </c>
      <c r="B5145" t="inlineStr">
        <is>
          <t>2026-02</t>
        </is>
      </c>
      <c r="C5145" t="inlineStr">
        <is>
          <t>marisol Urrutia</t>
        </is>
      </c>
      <c r="D5145" t="inlineStr">
        <is>
          <t>Petit Tradicional</t>
        </is>
      </c>
      <c r="E5145" s="34" t="n">
        <v>52190</v>
      </c>
      <c r="F5145" t="inlineStr">
        <is>
          <t>B</t>
        </is>
      </c>
      <c r="G5145" s="34" t="n">
        <v>8333</v>
      </c>
      <c r="H5145" s="34" t="n">
        <v>43857</v>
      </c>
      <c r="I5145" t="inlineStr">
        <is>
          <t>3.2</t>
        </is>
      </c>
      <c r="J5145" t="inlineStr">
        <is>
          <t>Ventas Personas (B2C)</t>
        </is>
      </c>
      <c r="K5145" t="inlineStr">
        <is>
          <t>CH2</t>
        </is>
      </c>
    </row>
    <row r="5146">
      <c r="A5146" s="33" t="n">
        <v>46056</v>
      </c>
      <c r="B5146" t="inlineStr">
        <is>
          <t>2026-02</t>
        </is>
      </c>
      <c r="C5146" t="inlineStr">
        <is>
          <t>Silvana Oliva</t>
        </is>
      </c>
      <c r="D5146" t="inlineStr">
        <is>
          <t>Rellenos</t>
        </is>
      </c>
      <c r="E5146" s="34" t="n">
        <v>31390</v>
      </c>
      <c r="F5146" t="inlineStr">
        <is>
          <t>B</t>
        </is>
      </c>
      <c r="G5146" s="34" t="n">
        <v>5012</v>
      </c>
      <c r="H5146" s="34" t="n">
        <v>26378</v>
      </c>
      <c r="I5146" t="inlineStr">
        <is>
          <t>3.2</t>
        </is>
      </c>
      <c r="J5146" t="inlineStr">
        <is>
          <t>Ventas Personas (B2C)</t>
        </is>
      </c>
      <c r="K5146" t="inlineStr">
        <is>
          <t>CH2</t>
        </is>
      </c>
    </row>
    <row r="5147">
      <c r="A5147" s="33" t="n">
        <v>46056</v>
      </c>
      <c r="B5147" t="inlineStr">
        <is>
          <t>2026-02</t>
        </is>
      </c>
      <c r="C5147" t="inlineStr">
        <is>
          <t>Sin cliente</t>
        </is>
      </c>
      <c r="D5147" t="inlineStr">
        <is>
          <t>Rellenos</t>
        </is>
      </c>
      <c r="E5147" s="34" t="n">
        <v>17500</v>
      </c>
      <c r="F5147" t="inlineStr">
        <is>
          <t>B</t>
        </is>
      </c>
      <c r="G5147" s="34" t="n">
        <v>2794</v>
      </c>
      <c r="H5147" s="34" t="n">
        <v>14706</v>
      </c>
      <c r="I5147" t="inlineStr">
        <is>
          <t>3.2</t>
        </is>
      </c>
      <c r="J5147" t="inlineStr">
        <is>
          <t>Ventas Personas (B2C)</t>
        </is>
      </c>
      <c r="K5147" t="inlineStr">
        <is>
          <t>CH2</t>
        </is>
      </c>
    </row>
    <row r="5148">
      <c r="A5148" s="33" t="n">
        <v>46056</v>
      </c>
      <c r="B5148" t="inlineStr">
        <is>
          <t>2026-02</t>
        </is>
      </c>
      <c r="C5148" t="inlineStr">
        <is>
          <t>Francesca Cullacciati</t>
        </is>
      </c>
      <c r="D5148" t="inlineStr">
        <is>
          <t>Petit Tradicional</t>
        </is>
      </c>
      <c r="E5148" s="34" t="n">
        <v>19620</v>
      </c>
      <c r="F5148" t="inlineStr">
        <is>
          <t>B</t>
        </is>
      </c>
      <c r="G5148" s="34" t="n">
        <v>3133</v>
      </c>
      <c r="H5148" s="34" t="n">
        <v>16487</v>
      </c>
      <c r="I5148" t="inlineStr">
        <is>
          <t>3.2</t>
        </is>
      </c>
      <c r="J5148" t="inlineStr">
        <is>
          <t>Ventas Personas (B2C)</t>
        </is>
      </c>
      <c r="K5148" t="inlineStr">
        <is>
          <t>CH2</t>
        </is>
      </c>
    </row>
    <row r="5149">
      <c r="A5149" s="33" t="n">
        <v>46056</v>
      </c>
      <c r="B5149" t="inlineStr">
        <is>
          <t>2026-02</t>
        </is>
      </c>
      <c r="C5149" t="inlineStr">
        <is>
          <t>CAFÉ UNDER SPA</t>
        </is>
      </c>
      <c r="D5149" t="inlineStr">
        <is>
          <t>HORECA CAFETERIA</t>
        </is>
      </c>
      <c r="E5149" s="34" t="n">
        <v>71210</v>
      </c>
      <c r="F5149" t="inlineStr">
        <is>
          <t>F</t>
        </is>
      </c>
      <c r="G5149" s="34" t="n">
        <v>11370</v>
      </c>
      <c r="H5149" s="34" t="n">
        <v>59840</v>
      </c>
      <c r="I5149" t="inlineStr">
        <is>
          <t>3.1</t>
        </is>
      </c>
      <c r="J5149" t="inlineStr">
        <is>
          <t>Ventas HoReCa</t>
        </is>
      </c>
      <c r="K5149" t="inlineStr">
        <is>
          <t>CH1</t>
        </is>
      </c>
    </row>
    <row r="5150">
      <c r="A5150" s="33" t="n">
        <v>46056</v>
      </c>
      <c r="B5150" t="inlineStr">
        <is>
          <t>2026-02</t>
        </is>
      </c>
      <c r="C5150" t="inlineStr">
        <is>
          <t>Sin cliente</t>
        </is>
      </c>
      <c r="D5150" t="inlineStr">
        <is>
          <t>Rellenos</t>
        </is>
      </c>
      <c r="E5150" s="34" t="n">
        <v>5500</v>
      </c>
      <c r="F5150" t="inlineStr">
        <is>
          <t>B</t>
        </is>
      </c>
      <c r="G5150" s="34" t="n">
        <v>878</v>
      </c>
      <c r="H5150" s="34" t="n">
        <v>4622</v>
      </c>
      <c r="I5150" t="inlineStr">
        <is>
          <t>3.2</t>
        </is>
      </c>
      <c r="J5150" t="inlineStr">
        <is>
          <t>Ventas Personas (B2C)</t>
        </is>
      </c>
      <c r="K5150" t="inlineStr">
        <is>
          <t>CH2</t>
        </is>
      </c>
    </row>
    <row r="5151">
      <c r="A5151" s="33" t="n">
        <v>46056</v>
      </c>
      <c r="B5151" t="inlineStr">
        <is>
          <t>2026-02</t>
        </is>
      </c>
      <c r="C5151" t="inlineStr">
        <is>
          <t>Sin cliente</t>
        </is>
      </c>
      <c r="D5151" t="inlineStr">
        <is>
          <t>PLATAFORMAS RAP-PEYA-UBER-GOOD</t>
        </is>
      </c>
      <c r="E5151" s="34" t="n">
        <v>39228</v>
      </c>
      <c r="F5151" t="inlineStr">
        <is>
          <t>B</t>
        </is>
      </c>
      <c r="G5151" s="34" t="n">
        <v>6263</v>
      </c>
      <c r="H5151" s="34" t="n">
        <v>32965</v>
      </c>
      <c r="I5151" t="inlineStr">
        <is>
          <t>3.6</t>
        </is>
      </c>
      <c r="J5151" t="inlineStr">
        <is>
          <t>Ventas Delivery Apps</t>
        </is>
      </c>
      <c r="K5151" t="inlineStr">
        <is>
          <t>CH3</t>
        </is>
      </c>
    </row>
    <row r="5152">
      <c r="A5152" s="33" t="n">
        <v>46056</v>
      </c>
      <c r="B5152" t="inlineStr">
        <is>
          <t>2026-02</t>
        </is>
      </c>
      <c r="C5152" t="inlineStr">
        <is>
          <t>Sin cliente</t>
        </is>
      </c>
      <c r="D5152" t="inlineStr">
        <is>
          <t>PLATAFORMAS RAP-PEYA-UBER-GOOD</t>
        </is>
      </c>
      <c r="E5152" s="34" t="n">
        <v>8400</v>
      </c>
      <c r="F5152" t="inlineStr">
        <is>
          <t>B</t>
        </is>
      </c>
      <c r="G5152" s="34" t="n">
        <v>1341</v>
      </c>
      <c r="H5152" s="34" t="n">
        <v>7059</v>
      </c>
      <c r="I5152" t="inlineStr">
        <is>
          <t>3.6</t>
        </is>
      </c>
      <c r="J5152" t="inlineStr">
        <is>
          <t>Ventas Delivery Apps</t>
        </is>
      </c>
      <c r="K5152" t="inlineStr">
        <is>
          <t>CH3</t>
        </is>
      </c>
    </row>
    <row r="5153">
      <c r="A5153" s="33" t="n">
        <v>46057</v>
      </c>
      <c r="B5153" t="inlineStr">
        <is>
          <t>2026-02</t>
        </is>
      </c>
      <c r="C5153" t="inlineStr">
        <is>
          <t>Okinawa Spa</t>
        </is>
      </c>
      <c r="D5153" t="inlineStr">
        <is>
          <t>HORECA CAFETERIA</t>
        </is>
      </c>
      <c r="E5153" s="34" t="n">
        <v>119857</v>
      </c>
      <c r="F5153" t="inlineStr">
        <is>
          <t>F</t>
        </is>
      </c>
      <c r="G5153" s="34" t="n">
        <v>19137</v>
      </c>
      <c r="H5153" s="34" t="n">
        <v>100720</v>
      </c>
      <c r="I5153" t="inlineStr">
        <is>
          <t>3.1</t>
        </is>
      </c>
      <c r="J5153" t="inlineStr">
        <is>
          <t>Ventas HoReCa</t>
        </is>
      </c>
      <c r="K5153" t="inlineStr">
        <is>
          <t>CH1</t>
        </is>
      </c>
    </row>
    <row r="5154">
      <c r="A5154" s="33" t="n">
        <v>46057</v>
      </c>
      <c r="B5154" t="inlineStr">
        <is>
          <t>2026-02</t>
        </is>
      </c>
      <c r="C5154" t="inlineStr">
        <is>
          <t>INVERSIONES Y ASESORIAS RAVAL LIMITADA</t>
        </is>
      </c>
      <c r="D5154" t="inlineStr">
        <is>
          <t>HORECA CAFETERIA</t>
        </is>
      </c>
      <c r="E5154" s="34" t="n">
        <v>75030</v>
      </c>
      <c r="F5154" t="inlineStr">
        <is>
          <t>F</t>
        </is>
      </c>
      <c r="G5154" s="34" t="n">
        <v>11980</v>
      </c>
      <c r="H5154" s="34" t="n">
        <v>63050</v>
      </c>
      <c r="I5154" t="inlineStr">
        <is>
          <t>3.1</t>
        </is>
      </c>
      <c r="J5154" t="inlineStr">
        <is>
          <t>Ventas HoReCa</t>
        </is>
      </c>
      <c r="K5154" t="inlineStr">
        <is>
          <t>CH1</t>
        </is>
      </c>
    </row>
    <row r="5155">
      <c r="A5155" s="33" t="n">
        <v>46057</v>
      </c>
      <c r="B5155" t="inlineStr">
        <is>
          <t>2026-02</t>
        </is>
      </c>
      <c r="C5155" t="inlineStr">
        <is>
          <t>BLUE OAK COFFE SPA</t>
        </is>
      </c>
      <c r="D5155" t="inlineStr">
        <is>
          <t>HORECA CAFETERIA</t>
        </is>
      </c>
      <c r="E5155" s="34" t="n">
        <v>87763</v>
      </c>
      <c r="F5155" t="inlineStr">
        <is>
          <t>F</t>
        </is>
      </c>
      <c r="G5155" s="34" t="n">
        <v>14013</v>
      </c>
      <c r="H5155" s="34" t="n">
        <v>73750</v>
      </c>
      <c r="I5155" t="inlineStr">
        <is>
          <t>3.1</t>
        </is>
      </c>
      <c r="J5155" t="inlineStr">
        <is>
          <t>Ventas HoReCa</t>
        </is>
      </c>
      <c r="K5155" t="inlineStr">
        <is>
          <t>CH1</t>
        </is>
      </c>
    </row>
    <row r="5156">
      <c r="A5156" s="33" t="n">
        <v>46057</v>
      </c>
      <c r="B5156" t="inlineStr">
        <is>
          <t>2026-02</t>
        </is>
      </c>
      <c r="C5156" t="inlineStr">
        <is>
          <t>Carmen Contardo</t>
        </is>
      </c>
      <c r="D5156" t="inlineStr">
        <is>
          <t>CANELE SIN AZUCAR</t>
        </is>
      </c>
      <c r="E5156" s="34" t="n">
        <v>23090</v>
      </c>
      <c r="F5156" t="inlineStr">
        <is>
          <t>B</t>
        </is>
      </c>
      <c r="G5156" s="34" t="n">
        <v>3687</v>
      </c>
      <c r="H5156" s="34" t="n">
        <v>19403</v>
      </c>
      <c r="I5156" t="inlineStr">
        <is>
          <t>3.2</t>
        </is>
      </c>
      <c r="J5156" t="inlineStr">
        <is>
          <t>Ventas Personas (B2C)</t>
        </is>
      </c>
      <c r="K5156" t="inlineStr">
        <is>
          <t>CH2</t>
        </is>
      </c>
    </row>
    <row r="5157">
      <c r="A5157" s="33" t="n">
        <v>46057</v>
      </c>
      <c r="B5157" t="inlineStr">
        <is>
          <t>2026-02</t>
        </is>
      </c>
      <c r="C5157" t="inlineStr">
        <is>
          <t>Claudia Gomez</t>
        </is>
      </c>
      <c r="D5157" t="inlineStr">
        <is>
          <t>Petit Tradicional</t>
        </is>
      </c>
      <c r="E5157" s="34" t="n">
        <v>19290</v>
      </c>
      <c r="F5157" t="inlineStr">
        <is>
          <t>B</t>
        </is>
      </c>
      <c r="G5157" s="34" t="n">
        <v>3080</v>
      </c>
      <c r="H5157" s="34" t="n">
        <v>16210</v>
      </c>
      <c r="I5157" t="inlineStr">
        <is>
          <t>3.2</t>
        </is>
      </c>
      <c r="J5157" t="inlineStr">
        <is>
          <t>Ventas Personas (B2C)</t>
        </is>
      </c>
      <c r="K5157" t="inlineStr">
        <is>
          <t>CH2</t>
        </is>
      </c>
    </row>
    <row r="5158">
      <c r="A5158" s="33" t="n">
        <v>46057</v>
      </c>
      <c r="B5158" t="inlineStr">
        <is>
          <t>2026-02</t>
        </is>
      </c>
      <c r="C5158" t="inlineStr">
        <is>
          <t>Sin cliente</t>
        </is>
      </c>
      <c r="D5158" t="inlineStr">
        <is>
          <t>Delicatessen</t>
        </is>
      </c>
      <c r="E5158" s="34" t="n">
        <v>81100</v>
      </c>
      <c r="F5158" t="inlineStr">
        <is>
          <t>B</t>
        </is>
      </c>
      <c r="G5158" s="34" t="n">
        <v>12949</v>
      </c>
      <c r="H5158" s="34" t="n">
        <v>68151</v>
      </c>
      <c r="I5158" t="inlineStr">
        <is>
          <t>3.2</t>
        </is>
      </c>
      <c r="J5158" t="inlineStr">
        <is>
          <t>Ventas Personas (B2C)</t>
        </is>
      </c>
      <c r="K5158" t="inlineStr">
        <is>
          <t>CH2</t>
        </is>
      </c>
    </row>
    <row r="5159">
      <c r="A5159" s="33" t="n">
        <v>46057</v>
      </c>
      <c r="B5159" t="inlineStr">
        <is>
          <t>2026-02</t>
        </is>
      </c>
      <c r="C5159" t="inlineStr">
        <is>
          <t>Sin cliente</t>
        </is>
      </c>
      <c r="D5159" t="inlineStr">
        <is>
          <t>CANELÉ TRADICIONAL</t>
        </is>
      </c>
      <c r="E5159" s="34" t="n">
        <v>10000</v>
      </c>
      <c r="F5159" t="inlineStr">
        <is>
          <t>B</t>
        </is>
      </c>
      <c r="G5159" s="34" t="n">
        <v>1597</v>
      </c>
      <c r="H5159" s="34" t="n">
        <v>8403</v>
      </c>
      <c r="I5159" t="inlineStr">
        <is>
          <t>3.2</t>
        </is>
      </c>
      <c r="J5159" t="inlineStr">
        <is>
          <t>Ventas Personas (B2C)</t>
        </is>
      </c>
      <c r="K5159" t="inlineStr">
        <is>
          <t>CH2</t>
        </is>
      </c>
    </row>
    <row r="5160">
      <c r="A5160" s="33" t="n">
        <v>46057</v>
      </c>
      <c r="B5160" t="inlineStr">
        <is>
          <t>2026-02</t>
        </is>
      </c>
      <c r="C5160" t="inlineStr">
        <is>
          <t>Sin cliente</t>
        </is>
      </c>
      <c r="D5160" t="inlineStr">
        <is>
          <t>PLATAFORMAS RAP-PEYA-UBER-GOOD</t>
        </is>
      </c>
      <c r="E5160" s="34" t="n">
        <v>8067</v>
      </c>
      <c r="F5160" t="inlineStr">
        <is>
          <t>B</t>
        </is>
      </c>
      <c r="G5160" s="34" t="n">
        <v>1288</v>
      </c>
      <c r="H5160" s="34" t="n">
        <v>6779</v>
      </c>
      <c r="I5160" t="inlineStr">
        <is>
          <t>3.6</t>
        </is>
      </c>
      <c r="J5160" t="inlineStr">
        <is>
          <t>Ventas Delivery Apps</t>
        </is>
      </c>
      <c r="K5160" t="inlineStr">
        <is>
          <t>CH3</t>
        </is>
      </c>
    </row>
    <row r="5161">
      <c r="A5161" s="33" t="n">
        <v>46057</v>
      </c>
      <c r="B5161" t="inlineStr">
        <is>
          <t>2026-02</t>
        </is>
      </c>
      <c r="C5161" t="inlineStr">
        <is>
          <t>Vicente Badilla Arroyo</t>
        </is>
      </c>
      <c r="D5161" t="inlineStr">
        <is>
          <t>PACKAGING</t>
        </is>
      </c>
      <c r="E5161" s="34" t="n">
        <v>35660</v>
      </c>
      <c r="F5161" t="inlineStr">
        <is>
          <t>B</t>
        </is>
      </c>
      <c r="G5161" s="34" t="n">
        <v>5694</v>
      </c>
      <c r="H5161" s="34" t="n">
        <v>29966</v>
      </c>
      <c r="I5161" t="inlineStr">
        <is>
          <t>3.2</t>
        </is>
      </c>
      <c r="J5161" t="inlineStr">
        <is>
          <t>Ventas Personas (B2C)</t>
        </is>
      </c>
      <c r="K5161" t="inlineStr">
        <is>
          <t>CH2</t>
        </is>
      </c>
    </row>
    <row r="5162">
      <c r="A5162" s="33" t="n">
        <v>46057</v>
      </c>
      <c r="B5162" t="inlineStr">
        <is>
          <t>2026-02</t>
        </is>
      </c>
      <c r="C5162" t="inlineStr">
        <is>
          <t>Sin cliente</t>
        </is>
      </c>
      <c r="D5162" t="inlineStr">
        <is>
          <t>Rellenos</t>
        </is>
      </c>
      <c r="E5162" s="34" t="n">
        <v>13500</v>
      </c>
      <c r="F5162" t="inlineStr">
        <is>
          <t>B</t>
        </is>
      </c>
      <c r="G5162" s="34" t="n">
        <v>2155</v>
      </c>
      <c r="H5162" s="34" t="n">
        <v>11345</v>
      </c>
      <c r="I5162" t="inlineStr">
        <is>
          <t>3.2</t>
        </is>
      </c>
      <c r="J5162" t="inlineStr">
        <is>
          <t>Ventas Personas (B2C)</t>
        </is>
      </c>
      <c r="K5162" t="inlineStr">
        <is>
          <t>CH2</t>
        </is>
      </c>
    </row>
    <row r="5163">
      <c r="A5163" s="33" t="n">
        <v>46057</v>
      </c>
      <c r="B5163" t="inlineStr">
        <is>
          <t>2026-02</t>
        </is>
      </c>
      <c r="C5163" t="inlineStr">
        <is>
          <t>Sin cliente</t>
        </is>
      </c>
      <c r="D5163" t="inlineStr">
        <is>
          <t>PLATAFORMAS RAP-PEYA-UBER-GOOD</t>
        </is>
      </c>
      <c r="E5163" s="34" t="n">
        <v>49680</v>
      </c>
      <c r="F5163" t="inlineStr">
        <is>
          <t>B</t>
        </is>
      </c>
      <c r="G5163" s="34" t="n">
        <v>7932</v>
      </c>
      <c r="H5163" s="34" t="n">
        <v>41748</v>
      </c>
      <c r="I5163" t="inlineStr">
        <is>
          <t>3.6</t>
        </is>
      </c>
      <c r="J5163" t="inlineStr">
        <is>
          <t>Ventas Delivery Apps</t>
        </is>
      </c>
      <c r="K5163" t="inlineStr">
        <is>
          <t>CH3</t>
        </is>
      </c>
    </row>
    <row r="5164">
      <c r="A5164" s="33" t="n">
        <v>46057</v>
      </c>
      <c r="B5164" t="inlineStr">
        <is>
          <t>2026-02</t>
        </is>
      </c>
      <c r="C5164" t="inlineStr">
        <is>
          <t>Sin cliente</t>
        </is>
      </c>
      <c r="D5164" t="inlineStr">
        <is>
          <t>PLATAFORMAS RAP-PEYA-UBER-GOOD</t>
        </is>
      </c>
      <c r="E5164" s="34" t="n">
        <v>26160</v>
      </c>
      <c r="F5164" t="inlineStr">
        <is>
          <t>B</t>
        </is>
      </c>
      <c r="G5164" s="34" t="n">
        <v>4177</v>
      </c>
      <c r="H5164" s="34" t="n">
        <v>21983</v>
      </c>
      <c r="I5164" t="inlineStr">
        <is>
          <t>3.6</t>
        </is>
      </c>
      <c r="J5164" t="inlineStr">
        <is>
          <t>Ventas Delivery Apps</t>
        </is>
      </c>
      <c r="K5164" t="inlineStr">
        <is>
          <t>CH3</t>
        </is>
      </c>
    </row>
    <row r="5165">
      <c r="A5165" s="33" t="n">
        <v>46057</v>
      </c>
      <c r="B5165" t="inlineStr">
        <is>
          <t>2026-02</t>
        </is>
      </c>
      <c r="C5165" t="inlineStr">
        <is>
          <t>Graciela Manriquez</t>
        </is>
      </c>
      <c r="D5165" t="inlineStr">
        <is>
          <t>Petit Crunchy</t>
        </is>
      </c>
      <c r="E5165" s="34" t="n">
        <v>32390</v>
      </c>
      <c r="F5165" t="inlineStr">
        <is>
          <t>B</t>
        </is>
      </c>
      <c r="G5165" s="34" t="n">
        <v>5172</v>
      </c>
      <c r="H5165" s="34" t="n">
        <v>27218</v>
      </c>
      <c r="I5165" t="inlineStr">
        <is>
          <t>3.2</t>
        </is>
      </c>
      <c r="J5165" t="inlineStr">
        <is>
          <t>Ventas Personas (B2C)</t>
        </is>
      </c>
      <c r="K5165" t="inlineStr">
        <is>
          <t>CH2</t>
        </is>
      </c>
    </row>
    <row r="5166">
      <c r="A5166" s="33" t="n">
        <v>46057</v>
      </c>
      <c r="B5166" t="inlineStr">
        <is>
          <t>2026-02</t>
        </is>
      </c>
      <c r="C5166" t="inlineStr">
        <is>
          <t>Nicolás Meza Standen</t>
        </is>
      </c>
      <c r="D5166" t="inlineStr">
        <is>
          <t>Canelé Petit Relleno</t>
        </is>
      </c>
      <c r="E5166" s="34" t="n">
        <v>22500</v>
      </c>
      <c r="F5166" t="inlineStr">
        <is>
          <t>B</t>
        </is>
      </c>
      <c r="G5166" s="34" t="n">
        <v>3592</v>
      </c>
      <c r="H5166" s="34" t="n">
        <v>18908</v>
      </c>
      <c r="I5166" t="inlineStr">
        <is>
          <t>3.2</t>
        </is>
      </c>
      <c r="J5166" t="inlineStr">
        <is>
          <t>Ventas Personas (B2C)</t>
        </is>
      </c>
      <c r="K5166" t="inlineStr">
        <is>
          <t>CH2</t>
        </is>
      </c>
    </row>
    <row r="5167">
      <c r="A5167" s="33" t="n">
        <v>46058</v>
      </c>
      <c r="B5167" t="inlineStr">
        <is>
          <t>2026-02</t>
        </is>
      </c>
      <c r="C5167" t="inlineStr">
        <is>
          <t>Better Food Spa</t>
        </is>
      </c>
      <c r="D5167" t="inlineStr">
        <is>
          <t>HORECA CAFETERIA</t>
        </is>
      </c>
      <c r="E5167" s="34" t="n">
        <v>641886</v>
      </c>
      <c r="F5167" t="inlineStr">
        <is>
          <t>F</t>
        </is>
      </c>
      <c r="G5167" s="34" t="n">
        <v>102486</v>
      </c>
      <c r="H5167" s="34" t="n">
        <v>539400</v>
      </c>
      <c r="I5167" t="inlineStr">
        <is>
          <t>3.1</t>
        </is>
      </c>
      <c r="J5167" t="inlineStr">
        <is>
          <t>Ventas HoReCa</t>
        </is>
      </c>
      <c r="K5167" t="inlineStr">
        <is>
          <t>CH1</t>
        </is>
      </c>
    </row>
    <row r="5168">
      <c r="A5168" s="33" t="n">
        <v>46058</v>
      </c>
      <c r="B5168" t="inlineStr">
        <is>
          <t>2026-02</t>
        </is>
      </c>
      <c r="C5168" t="inlineStr">
        <is>
          <t>Better Food Spa</t>
        </is>
      </c>
      <c r="D5168" t="inlineStr">
        <is>
          <t>REGION METROPOLITANA</t>
        </is>
      </c>
      <c r="E5168" s="34" t="n">
        <v>9401</v>
      </c>
      <c r="F5168" t="inlineStr">
        <is>
          <t>F</t>
        </is>
      </c>
      <c r="G5168" s="34" t="n">
        <v>1501</v>
      </c>
      <c r="H5168" s="34" t="n">
        <v>7900</v>
      </c>
      <c r="I5168" t="inlineStr">
        <is>
          <t>3.1</t>
        </is>
      </c>
      <c r="J5168" t="inlineStr">
        <is>
          <t>Ventas HoReCa</t>
        </is>
      </c>
      <c r="K5168" t="inlineStr">
        <is>
          <t>CH1</t>
        </is>
      </c>
    </row>
    <row r="5169">
      <c r="A5169" s="33" t="n">
        <v>46058</v>
      </c>
      <c r="B5169" t="inlineStr">
        <is>
          <t>2026-02</t>
        </is>
      </c>
      <c r="C5169" t="inlineStr">
        <is>
          <t>TAVELLI S.A.</t>
        </is>
      </c>
      <c r="D5169" t="inlineStr">
        <is>
          <t>HORECA CAFETERIA</t>
        </is>
      </c>
      <c r="E5169" s="34" t="n">
        <v>818405</v>
      </c>
      <c r="F5169" t="inlineStr">
        <is>
          <t>F</t>
        </is>
      </c>
      <c r="G5169" s="34" t="n">
        <v>130670</v>
      </c>
      <c r="H5169" s="34" t="n">
        <v>687735</v>
      </c>
      <c r="I5169" t="inlineStr">
        <is>
          <t>3.1</t>
        </is>
      </c>
      <c r="J5169" t="inlineStr">
        <is>
          <t>Ventas HoReCa</t>
        </is>
      </c>
      <c r="K5169" t="inlineStr">
        <is>
          <t>CH1</t>
        </is>
      </c>
    </row>
    <row r="5170">
      <c r="A5170" s="33" t="n">
        <v>46058</v>
      </c>
      <c r="B5170" t="inlineStr">
        <is>
          <t>2026-02</t>
        </is>
      </c>
      <c r="C5170" t="inlineStr">
        <is>
          <t>TAVELLI S.A.</t>
        </is>
      </c>
      <c r="D5170" t="inlineStr">
        <is>
          <t>REGION METROPOLITANA</t>
        </is>
      </c>
      <c r="E5170" s="34" t="n">
        <v>35700</v>
      </c>
      <c r="F5170" t="inlineStr">
        <is>
          <t>F</t>
        </is>
      </c>
      <c r="G5170" s="34" t="n">
        <v>5700</v>
      </c>
      <c r="H5170" s="34" t="n">
        <v>30000</v>
      </c>
      <c r="I5170" t="inlineStr">
        <is>
          <t>3.1</t>
        </is>
      </c>
      <c r="J5170" t="inlineStr">
        <is>
          <t>Ventas HoReCa</t>
        </is>
      </c>
      <c r="K5170" t="inlineStr">
        <is>
          <t>CH1</t>
        </is>
      </c>
    </row>
    <row r="5171">
      <c r="A5171" s="33" t="n">
        <v>46058</v>
      </c>
      <c r="B5171" t="inlineStr">
        <is>
          <t>2026-02</t>
        </is>
      </c>
      <c r="C5171" t="inlineStr">
        <is>
          <t>Inversiones Nagua SPA</t>
        </is>
      </c>
      <c r="D5171" t="inlineStr">
        <is>
          <t>HORECA CAFETERIA</t>
        </is>
      </c>
      <c r="E5171" s="34" t="n">
        <v>71210</v>
      </c>
      <c r="F5171" t="inlineStr">
        <is>
          <t>F</t>
        </is>
      </c>
      <c r="G5171" s="34" t="n">
        <v>11370</v>
      </c>
      <c r="H5171" s="34" t="n">
        <v>59840</v>
      </c>
      <c r="I5171" t="inlineStr">
        <is>
          <t>3.1</t>
        </is>
      </c>
      <c r="J5171" t="inlineStr">
        <is>
          <t>Ventas HoReCa</t>
        </is>
      </c>
      <c r="K5171" t="inlineStr">
        <is>
          <t>CH1</t>
        </is>
      </c>
    </row>
    <row r="5172">
      <c r="A5172" s="33" t="n">
        <v>46058</v>
      </c>
      <c r="B5172" t="inlineStr">
        <is>
          <t>2026-02</t>
        </is>
      </c>
      <c r="C5172" t="inlineStr">
        <is>
          <t>MOI'S SPA</t>
        </is>
      </c>
      <c r="D5172" t="inlineStr">
        <is>
          <t>HORECA CAFETERIA</t>
        </is>
      </c>
      <c r="E5172" s="34" t="n">
        <v>73590</v>
      </c>
      <c r="F5172" t="inlineStr">
        <is>
          <t>F</t>
        </is>
      </c>
      <c r="G5172" s="34" t="n">
        <v>11750</v>
      </c>
      <c r="H5172" s="34" t="n">
        <v>61840</v>
      </c>
      <c r="I5172" t="inlineStr">
        <is>
          <t>3.1</t>
        </is>
      </c>
      <c r="J5172" t="inlineStr">
        <is>
          <t>Ventas HoReCa</t>
        </is>
      </c>
      <c r="K5172" t="inlineStr">
        <is>
          <t>CH1</t>
        </is>
      </c>
    </row>
    <row r="5173">
      <c r="A5173" s="33" t="n">
        <v>46058</v>
      </c>
      <c r="B5173" t="inlineStr">
        <is>
          <t>2026-02</t>
        </is>
      </c>
      <c r="C5173" t="inlineStr">
        <is>
          <t>nicole boettcher</t>
        </is>
      </c>
      <c r="D5173" t="inlineStr">
        <is>
          <t>Petit Crunchy</t>
        </is>
      </c>
      <c r="E5173" s="34" t="n">
        <v>39390</v>
      </c>
      <c r="F5173" t="inlineStr">
        <is>
          <t>B</t>
        </is>
      </c>
      <c r="G5173" s="34" t="n">
        <v>6289</v>
      </c>
      <c r="H5173" s="34" t="n">
        <v>33101</v>
      </c>
      <c r="I5173" t="inlineStr">
        <is>
          <t>3.2</t>
        </is>
      </c>
      <c r="J5173" t="inlineStr">
        <is>
          <t>Ventas Personas (B2C)</t>
        </is>
      </c>
      <c r="K5173" t="inlineStr">
        <is>
          <t>CH2</t>
        </is>
      </c>
    </row>
    <row r="5174">
      <c r="A5174" s="33" t="n">
        <v>46058</v>
      </c>
      <c r="B5174" t="inlineStr">
        <is>
          <t>2026-02</t>
        </is>
      </c>
      <c r="C5174" t="inlineStr">
        <is>
          <t>Sin cliente</t>
        </is>
      </c>
      <c r="D5174" t="inlineStr">
        <is>
          <t>CANELÉ TRADICIONAL</t>
        </is>
      </c>
      <c r="E5174" s="34" t="n">
        <v>5000</v>
      </c>
      <c r="F5174" t="inlineStr">
        <is>
          <t>B</t>
        </is>
      </c>
      <c r="G5174" s="34" t="n">
        <v>798</v>
      </c>
      <c r="H5174" s="34" t="n">
        <v>4202</v>
      </c>
      <c r="I5174" t="inlineStr">
        <is>
          <t>3.2</t>
        </is>
      </c>
      <c r="J5174" t="inlineStr">
        <is>
          <t>Ventas Personas (B2C)</t>
        </is>
      </c>
      <c r="K5174" t="inlineStr">
        <is>
          <t>CH2</t>
        </is>
      </c>
    </row>
    <row r="5175">
      <c r="A5175" s="33" t="n">
        <v>46058</v>
      </c>
      <c r="B5175" t="inlineStr">
        <is>
          <t>2026-02</t>
        </is>
      </c>
      <c r="C5175" t="inlineStr">
        <is>
          <t>Sin cliente</t>
        </is>
      </c>
      <c r="D5175" t="inlineStr">
        <is>
          <t>Rellenos</t>
        </is>
      </c>
      <c r="E5175" s="34" t="n">
        <v>6000</v>
      </c>
      <c r="F5175" t="inlineStr">
        <is>
          <t>B</t>
        </is>
      </c>
      <c r="G5175" s="34" t="n">
        <v>958</v>
      </c>
      <c r="H5175" s="34" t="n">
        <v>5042</v>
      </c>
      <c r="I5175" t="inlineStr">
        <is>
          <t>3.2</t>
        </is>
      </c>
      <c r="J5175" t="inlineStr">
        <is>
          <t>Ventas Personas (B2C)</t>
        </is>
      </c>
      <c r="K5175" t="inlineStr">
        <is>
          <t>CH2</t>
        </is>
      </c>
    </row>
    <row r="5176">
      <c r="A5176" s="33" t="n">
        <v>46058</v>
      </c>
      <c r="B5176" t="inlineStr">
        <is>
          <t>2026-02</t>
        </is>
      </c>
      <c r="C5176" t="inlineStr">
        <is>
          <t>GOOD LIFE SPA</t>
        </is>
      </c>
      <c r="D5176" t="inlineStr">
        <is>
          <t>HORECA CAFETERIA</t>
        </is>
      </c>
      <c r="E5176" s="34" t="n">
        <v>-258777</v>
      </c>
      <c r="F5176" t="inlineStr">
        <is>
          <t>NC</t>
        </is>
      </c>
      <c r="G5176" s="34" t="n">
        <v>-41317</v>
      </c>
      <c r="H5176" s="34" t="n">
        <v>-217460</v>
      </c>
      <c r="I5176" t="inlineStr">
        <is>
          <t>3.1</t>
        </is>
      </c>
      <c r="J5176" t="inlineStr">
        <is>
          <t>Ventas HoReCa</t>
        </is>
      </c>
      <c r="K5176" t="inlineStr">
        <is>
          <t>CH1</t>
        </is>
      </c>
    </row>
    <row r="5177">
      <c r="A5177" s="33" t="n">
        <v>46058</v>
      </c>
      <c r="B5177" t="inlineStr">
        <is>
          <t>2026-02</t>
        </is>
      </c>
      <c r="C5177" t="inlineStr">
        <is>
          <t>GOOD LIFE SPA</t>
        </is>
      </c>
      <c r="D5177" t="inlineStr">
        <is>
          <t>HORECA CAFETERIA</t>
        </is>
      </c>
      <c r="E5177" s="34" t="n">
        <v>229893</v>
      </c>
      <c r="F5177" t="inlineStr">
        <is>
          <t>F</t>
        </is>
      </c>
      <c r="G5177" s="34" t="n">
        <v>36706</v>
      </c>
      <c r="H5177" s="34" t="n">
        <v>193187</v>
      </c>
      <c r="I5177" t="inlineStr">
        <is>
          <t>3.1</t>
        </is>
      </c>
      <c r="J5177" t="inlineStr">
        <is>
          <t>Ventas HoReCa</t>
        </is>
      </c>
      <c r="K5177" t="inlineStr">
        <is>
          <t>CH1</t>
        </is>
      </c>
    </row>
    <row r="5178">
      <c r="A5178" s="33" t="n">
        <v>46058</v>
      </c>
      <c r="B5178" t="inlineStr">
        <is>
          <t>2026-02</t>
        </is>
      </c>
      <c r="C5178" t="inlineStr">
        <is>
          <t>Miriam Bastidas</t>
        </is>
      </c>
      <c r="D5178" t="inlineStr">
        <is>
          <t>SALSAS</t>
        </is>
      </c>
      <c r="E5178" s="34" t="n">
        <v>26280</v>
      </c>
      <c r="F5178" t="inlineStr">
        <is>
          <t>B</t>
        </is>
      </c>
      <c r="G5178" s="34" t="n">
        <v>4196</v>
      </c>
      <c r="H5178" s="34" t="n">
        <v>22084</v>
      </c>
      <c r="I5178" t="inlineStr">
        <is>
          <t>3.2</t>
        </is>
      </c>
      <c r="J5178" t="inlineStr">
        <is>
          <t>Ventas Personas (B2C)</t>
        </is>
      </c>
      <c r="K5178" t="inlineStr">
        <is>
          <t>CH2</t>
        </is>
      </c>
    </row>
    <row r="5179">
      <c r="A5179" s="33" t="n">
        <v>46058</v>
      </c>
      <c r="B5179" t="inlineStr">
        <is>
          <t>2026-02</t>
        </is>
      </c>
      <c r="C5179" t="inlineStr">
        <is>
          <t>Sin cliente</t>
        </is>
      </c>
      <c r="D5179" t="inlineStr">
        <is>
          <t>Delicatessen</t>
        </is>
      </c>
      <c r="E5179" s="34" t="n">
        <v>1700</v>
      </c>
      <c r="F5179" t="inlineStr">
        <is>
          <t>B</t>
        </is>
      </c>
      <c r="G5179" s="34" t="n">
        <v>271</v>
      </c>
      <c r="H5179" s="34" t="n">
        <v>1429</v>
      </c>
      <c r="I5179" t="inlineStr">
        <is>
          <t>3.2</t>
        </is>
      </c>
      <c r="J5179" t="inlineStr">
        <is>
          <t>Ventas Personas (B2C)</t>
        </is>
      </c>
      <c r="K5179" t="inlineStr">
        <is>
          <t>CH2</t>
        </is>
      </c>
    </row>
    <row r="5180">
      <c r="A5180" s="33" t="n">
        <v>46058</v>
      </c>
      <c r="B5180" t="inlineStr">
        <is>
          <t>2026-02</t>
        </is>
      </c>
      <c r="C5180" t="inlineStr">
        <is>
          <t>Sin cliente</t>
        </is>
      </c>
      <c r="D5180" t="inlineStr">
        <is>
          <t>Petit Crunchy</t>
        </is>
      </c>
      <c r="E5180" s="34" t="n">
        <v>37100</v>
      </c>
      <c r="F5180" t="inlineStr">
        <is>
          <t>B</t>
        </is>
      </c>
      <c r="G5180" s="34" t="n">
        <v>5924</v>
      </c>
      <c r="H5180" s="34" t="n">
        <v>31176</v>
      </c>
      <c r="I5180" t="inlineStr">
        <is>
          <t>3.2</t>
        </is>
      </c>
      <c r="J5180" t="inlineStr">
        <is>
          <t>Ventas Personas (B2C)</t>
        </is>
      </c>
      <c r="K5180" t="inlineStr">
        <is>
          <t>CH2</t>
        </is>
      </c>
    </row>
    <row r="5181">
      <c r="A5181" s="33" t="n">
        <v>46058</v>
      </c>
      <c r="B5181" t="inlineStr">
        <is>
          <t>2026-02</t>
        </is>
      </c>
      <c r="C5181" t="inlineStr">
        <is>
          <t>Sin cliente</t>
        </is>
      </c>
      <c r="D5181" t="inlineStr">
        <is>
          <t>CANELÉ TRADICIONAL</t>
        </is>
      </c>
      <c r="E5181" s="34" t="n">
        <v>2125</v>
      </c>
      <c r="F5181" t="inlineStr">
        <is>
          <t>B</t>
        </is>
      </c>
      <c r="G5181" s="34" t="n">
        <v>339</v>
      </c>
      <c r="H5181" s="34" t="n">
        <v>1786</v>
      </c>
      <c r="I5181" t="inlineStr">
        <is>
          <t>3.2</t>
        </is>
      </c>
      <c r="J5181" t="inlineStr">
        <is>
          <t>Ventas Personas (B2C)</t>
        </is>
      </c>
      <c r="K5181" t="inlineStr">
        <is>
          <t>CH2</t>
        </is>
      </c>
    </row>
    <row r="5182">
      <c r="A5182" s="33" t="n">
        <v>46058</v>
      </c>
      <c r="B5182" t="inlineStr">
        <is>
          <t>2026-02</t>
        </is>
      </c>
      <c r="C5182" t="inlineStr">
        <is>
          <t>Sin cliente</t>
        </is>
      </c>
      <c r="D5182" t="inlineStr">
        <is>
          <t>PLATAFORMAS RAP-PEYA-UBER-GOOD</t>
        </is>
      </c>
      <c r="E5182" s="34" t="n">
        <v>27360</v>
      </c>
      <c r="F5182" t="inlineStr">
        <is>
          <t>B</t>
        </is>
      </c>
      <c r="G5182" s="34" t="n">
        <v>4368</v>
      </c>
      <c r="H5182" s="34" t="n">
        <v>22992</v>
      </c>
      <c r="I5182" t="inlineStr">
        <is>
          <t>3.6</t>
        </is>
      </c>
      <c r="J5182" t="inlineStr">
        <is>
          <t>Ventas Delivery Apps</t>
        </is>
      </c>
      <c r="K5182" t="inlineStr">
        <is>
          <t>CH3</t>
        </is>
      </c>
    </row>
    <row r="5183">
      <c r="A5183" s="33" t="n">
        <v>46059</v>
      </c>
      <c r="B5183" t="inlineStr">
        <is>
          <t>2026-02</t>
        </is>
      </c>
      <c r="C5183" t="inlineStr">
        <is>
          <t>NATALIA JOHANNA SALGADO COFRE</t>
        </is>
      </c>
      <c r="D5183" t="inlineStr">
        <is>
          <t>HORECA CAFETERIA</t>
        </is>
      </c>
      <c r="E5183" s="34" t="n">
        <v>373346</v>
      </c>
      <c r="F5183" t="inlineStr">
        <is>
          <t>F</t>
        </is>
      </c>
      <c r="G5183" s="34" t="n">
        <v>59610</v>
      </c>
      <c r="H5183" s="34" t="n">
        <v>313736</v>
      </c>
      <c r="I5183" t="inlineStr">
        <is>
          <t>3.1</t>
        </is>
      </c>
      <c r="J5183" t="inlineStr">
        <is>
          <t>Ventas HoReCa</t>
        </is>
      </c>
      <c r="K5183" t="inlineStr">
        <is>
          <t>CH1</t>
        </is>
      </c>
    </row>
    <row r="5184">
      <c r="A5184" s="33" t="n">
        <v>46059</v>
      </c>
      <c r="B5184" t="inlineStr">
        <is>
          <t>2026-02</t>
        </is>
      </c>
      <c r="C5184" t="inlineStr">
        <is>
          <t>Cocoshouse Spa</t>
        </is>
      </c>
      <c r="D5184" t="inlineStr">
        <is>
          <t>HORECA CAFETERIA</t>
        </is>
      </c>
      <c r="E5184" s="34" t="n">
        <v>103304</v>
      </c>
      <c r="F5184" t="inlineStr">
        <is>
          <t>F</t>
        </is>
      </c>
      <c r="G5184" s="34" t="n">
        <v>16494</v>
      </c>
      <c r="H5184" s="34" t="n">
        <v>86810</v>
      </c>
      <c r="I5184" t="inlineStr">
        <is>
          <t>3.1</t>
        </is>
      </c>
      <c r="J5184" t="inlineStr">
        <is>
          <t>Ventas HoReCa</t>
        </is>
      </c>
      <c r="K5184" t="inlineStr">
        <is>
          <t>CH1</t>
        </is>
      </c>
    </row>
    <row r="5185">
      <c r="A5185" s="33" t="n">
        <v>46059</v>
      </c>
      <c r="B5185" t="inlineStr">
        <is>
          <t>2026-02</t>
        </is>
      </c>
      <c r="C5185" t="inlineStr">
        <is>
          <t>Francisca Richard</t>
        </is>
      </c>
      <c r="D5185" t="inlineStr">
        <is>
          <t>Petit Tradicional</t>
        </is>
      </c>
      <c r="E5185" s="34" t="n">
        <v>18290</v>
      </c>
      <c r="F5185" t="inlineStr">
        <is>
          <t>B</t>
        </is>
      </c>
      <c r="G5185" s="34" t="n">
        <v>2920</v>
      </c>
      <c r="H5185" s="34" t="n">
        <v>15370</v>
      </c>
      <c r="I5185" t="inlineStr">
        <is>
          <t>3.2</t>
        </is>
      </c>
      <c r="J5185" t="inlineStr">
        <is>
          <t>Ventas Personas (B2C)</t>
        </is>
      </c>
      <c r="K5185" t="inlineStr">
        <is>
          <t>CH2</t>
        </is>
      </c>
    </row>
    <row r="5186">
      <c r="A5186" s="33" t="n">
        <v>46059</v>
      </c>
      <c r="B5186" t="inlineStr">
        <is>
          <t>2026-02</t>
        </is>
      </c>
      <c r="C5186" t="inlineStr">
        <is>
          <t>Sin cliente</t>
        </is>
      </c>
      <c r="D5186" t="inlineStr">
        <is>
          <t>Petit Crunchy</t>
        </is>
      </c>
      <c r="E5186" s="34" t="n">
        <v>21930</v>
      </c>
      <c r="F5186" t="inlineStr">
        <is>
          <t>B</t>
        </is>
      </c>
      <c r="G5186" s="34" t="n">
        <v>3501</v>
      </c>
      <c r="H5186" s="34" t="n">
        <v>18429</v>
      </c>
      <c r="I5186" t="inlineStr">
        <is>
          <t>3.2</t>
        </is>
      </c>
      <c r="J5186" t="inlineStr">
        <is>
          <t>Ventas Personas (B2C)</t>
        </is>
      </c>
      <c r="K5186" t="inlineStr">
        <is>
          <t>CH2</t>
        </is>
      </c>
    </row>
    <row r="5187">
      <c r="A5187" s="33" t="n">
        <v>46059</v>
      </c>
      <c r="B5187" t="inlineStr">
        <is>
          <t>2026-02</t>
        </is>
      </c>
      <c r="C5187" t="inlineStr">
        <is>
          <t>Sin cliente</t>
        </is>
      </c>
      <c r="D5187" t="inlineStr">
        <is>
          <t>PLATAFORMAS RAP-PEYA-UBER-GOOD</t>
        </is>
      </c>
      <c r="E5187" s="34" t="n">
        <v>11760</v>
      </c>
      <c r="F5187" t="inlineStr">
        <is>
          <t>B</t>
        </is>
      </c>
      <c r="G5187" s="34" t="n">
        <v>1878</v>
      </c>
      <c r="H5187" s="34" t="n">
        <v>9882</v>
      </c>
      <c r="I5187" t="inlineStr">
        <is>
          <t>3.6</t>
        </is>
      </c>
      <c r="J5187" t="inlineStr">
        <is>
          <t>Ventas Delivery Apps</t>
        </is>
      </c>
      <c r="K5187" t="inlineStr">
        <is>
          <t>CH3</t>
        </is>
      </c>
    </row>
    <row r="5188">
      <c r="A5188" s="33" t="n">
        <v>46059</v>
      </c>
      <c r="B5188" t="inlineStr">
        <is>
          <t>2026-02</t>
        </is>
      </c>
      <c r="C5188" t="inlineStr">
        <is>
          <t>Sin cliente</t>
        </is>
      </c>
      <c r="D5188" t="inlineStr">
        <is>
          <t>SALSAS</t>
        </is>
      </c>
      <c r="E5188" s="34" t="n">
        <v>47780</v>
      </c>
      <c r="F5188" t="inlineStr">
        <is>
          <t>B</t>
        </is>
      </c>
      <c r="G5188" s="34" t="n">
        <v>7629</v>
      </c>
      <c r="H5188" s="34" t="n">
        <v>40151</v>
      </c>
      <c r="I5188" t="inlineStr">
        <is>
          <t>3.2</t>
        </is>
      </c>
      <c r="J5188" t="inlineStr">
        <is>
          <t>Ventas Personas (B2C)</t>
        </is>
      </c>
      <c r="K5188" t="inlineStr">
        <is>
          <t>CH2</t>
        </is>
      </c>
    </row>
    <row r="5189">
      <c r="A5189" s="33" t="n">
        <v>46059</v>
      </c>
      <c r="B5189" t="inlineStr">
        <is>
          <t>2026-02</t>
        </is>
      </c>
      <c r="C5189" t="inlineStr">
        <is>
          <t>Sin cliente</t>
        </is>
      </c>
      <c r="D5189" t="inlineStr">
        <is>
          <t>Rellenos</t>
        </is>
      </c>
      <c r="E5189" s="34" t="n">
        <v>8500</v>
      </c>
      <c r="F5189" t="inlineStr">
        <is>
          <t>B</t>
        </is>
      </c>
      <c r="G5189" s="34" t="n">
        <v>1357</v>
      </c>
      <c r="H5189" s="34" t="n">
        <v>7143</v>
      </c>
      <c r="I5189" t="inlineStr">
        <is>
          <t>3.2</t>
        </is>
      </c>
      <c r="J5189" t="inlineStr">
        <is>
          <t>Ventas Personas (B2C)</t>
        </is>
      </c>
      <c r="K5189" t="inlineStr">
        <is>
          <t>CH2</t>
        </is>
      </c>
    </row>
    <row r="5190">
      <c r="A5190" s="33" t="n">
        <v>46059</v>
      </c>
      <c r="B5190" t="inlineStr">
        <is>
          <t>2026-02</t>
        </is>
      </c>
      <c r="C5190" t="inlineStr">
        <is>
          <t>Yemima Kilman</t>
        </is>
      </c>
      <c r="D5190" t="inlineStr">
        <is>
          <t>CANELÉ TRADICIONAL</t>
        </is>
      </c>
      <c r="E5190" s="34" t="n">
        <v>20390</v>
      </c>
      <c r="F5190" t="inlineStr">
        <is>
          <t>B</t>
        </is>
      </c>
      <c r="G5190" s="34" t="n">
        <v>3256</v>
      </c>
      <c r="H5190" s="34" t="n">
        <v>17134</v>
      </c>
      <c r="I5190" t="inlineStr">
        <is>
          <t>3.2</t>
        </is>
      </c>
      <c r="J5190" t="inlineStr">
        <is>
          <t>Ventas Personas (B2C)</t>
        </is>
      </c>
      <c r="K5190" t="inlineStr">
        <is>
          <t>CH2</t>
        </is>
      </c>
    </row>
    <row r="5191">
      <c r="A5191" s="33" t="n">
        <v>46059</v>
      </c>
      <c r="B5191" t="inlineStr">
        <is>
          <t>2026-02</t>
        </is>
      </c>
      <c r="C5191" t="inlineStr">
        <is>
          <t>Alejandrina Vergara rivera</t>
        </is>
      </c>
      <c r="D5191" t="inlineStr">
        <is>
          <t>Petit Tradicional</t>
        </is>
      </c>
      <c r="E5191" s="34" t="n">
        <v>25790</v>
      </c>
      <c r="F5191" t="inlineStr">
        <is>
          <t>B</t>
        </is>
      </c>
      <c r="G5191" s="34" t="n">
        <v>4118</v>
      </c>
      <c r="H5191" s="34" t="n">
        <v>21672</v>
      </c>
      <c r="I5191" t="inlineStr">
        <is>
          <t>3.2</t>
        </is>
      </c>
      <c r="J5191" t="inlineStr">
        <is>
          <t>Ventas Personas (B2C)</t>
        </is>
      </c>
      <c r="K5191" t="inlineStr">
        <is>
          <t>CH2</t>
        </is>
      </c>
    </row>
    <row r="5192">
      <c r="A5192" s="33" t="n">
        <v>46059</v>
      </c>
      <c r="B5192" t="inlineStr">
        <is>
          <t>2026-02</t>
        </is>
      </c>
      <c r="C5192" t="inlineStr">
        <is>
          <t>Fernanda Gomez Segovia</t>
        </is>
      </c>
      <c r="D5192" t="inlineStr">
        <is>
          <t>Rellenos</t>
        </is>
      </c>
      <c r="E5192" s="34" t="n">
        <v>9500</v>
      </c>
      <c r="F5192" t="inlineStr">
        <is>
          <t>B</t>
        </is>
      </c>
      <c r="G5192" s="34" t="n">
        <v>1517</v>
      </c>
      <c r="H5192" s="34" t="n">
        <v>7983</v>
      </c>
      <c r="I5192" t="inlineStr">
        <is>
          <t>3.2</t>
        </is>
      </c>
      <c r="J5192" t="inlineStr">
        <is>
          <t>Ventas Personas (B2C)</t>
        </is>
      </c>
      <c r="K5192" t="inlineStr">
        <is>
          <t>CH2</t>
        </is>
      </c>
    </row>
    <row r="5193">
      <c r="A5193" s="33" t="n">
        <v>46059</v>
      </c>
      <c r="B5193" t="inlineStr">
        <is>
          <t>2026-02</t>
        </is>
      </c>
      <c r="C5193" t="inlineStr">
        <is>
          <t>Felipe Maturana</t>
        </is>
      </c>
      <c r="D5193" t="inlineStr">
        <is>
          <t>Petit Crunchy</t>
        </is>
      </c>
      <c r="E5193" s="34" t="n">
        <v>20390</v>
      </c>
      <c r="F5193" t="inlineStr">
        <is>
          <t>B</t>
        </is>
      </c>
      <c r="G5193" s="34" t="n">
        <v>3256</v>
      </c>
      <c r="H5193" s="34" t="n">
        <v>17134</v>
      </c>
      <c r="I5193" t="inlineStr">
        <is>
          <t>3.2</t>
        </is>
      </c>
      <c r="J5193" t="inlineStr">
        <is>
          <t>Ventas Personas (B2C)</t>
        </is>
      </c>
      <c r="K5193" t="inlineStr">
        <is>
          <t>CH2</t>
        </is>
      </c>
    </row>
    <row r="5194">
      <c r="A5194" s="33" t="n">
        <v>46059</v>
      </c>
      <c r="B5194" t="inlineStr">
        <is>
          <t>2026-02</t>
        </is>
      </c>
      <c r="C5194" t="inlineStr">
        <is>
          <t>Sin cliente</t>
        </is>
      </c>
      <c r="D5194" t="inlineStr">
        <is>
          <t>Rellenos</t>
        </is>
      </c>
      <c r="E5194" s="34" t="n">
        <v>18900</v>
      </c>
      <c r="F5194" t="inlineStr">
        <is>
          <t>B</t>
        </is>
      </c>
      <c r="G5194" s="34" t="n">
        <v>3018</v>
      </c>
      <c r="H5194" s="34" t="n">
        <v>15882</v>
      </c>
      <c r="I5194" t="inlineStr">
        <is>
          <t>3.2</t>
        </is>
      </c>
      <c r="J5194" t="inlineStr">
        <is>
          <t>Ventas Personas (B2C)</t>
        </is>
      </c>
      <c r="K5194" t="inlineStr">
        <is>
          <t>CH2</t>
        </is>
      </c>
    </row>
    <row r="5195">
      <c r="A5195" s="33" t="n">
        <v>46059</v>
      </c>
      <c r="B5195" t="inlineStr">
        <is>
          <t>2026-02</t>
        </is>
      </c>
      <c r="C5195" t="inlineStr">
        <is>
          <t>Sin cliente</t>
        </is>
      </c>
      <c r="D5195" t="inlineStr">
        <is>
          <t>Rellenos</t>
        </is>
      </c>
      <c r="E5195" s="34" t="n">
        <v>16065</v>
      </c>
      <c r="F5195" t="inlineStr">
        <is>
          <t>B</t>
        </is>
      </c>
      <c r="G5195" s="34" t="n">
        <v>2565</v>
      </c>
      <c r="H5195" s="34" t="n">
        <v>13500</v>
      </c>
      <c r="I5195" t="inlineStr">
        <is>
          <t>3.2</t>
        </is>
      </c>
      <c r="J5195" t="inlineStr">
        <is>
          <t>Ventas Personas (B2C)</t>
        </is>
      </c>
      <c r="K5195" t="inlineStr">
        <is>
          <t>CH2</t>
        </is>
      </c>
    </row>
    <row r="5196">
      <c r="A5196" s="33" t="n">
        <v>46059</v>
      </c>
      <c r="B5196" t="inlineStr">
        <is>
          <t>2026-02</t>
        </is>
      </c>
      <c r="C5196" t="inlineStr">
        <is>
          <t>Sin cliente</t>
        </is>
      </c>
      <c r="D5196" t="inlineStr">
        <is>
          <t>Mix Sabores</t>
        </is>
      </c>
      <c r="E5196" s="34" t="n">
        <v>5200</v>
      </c>
      <c r="F5196" t="inlineStr">
        <is>
          <t>B</t>
        </is>
      </c>
      <c r="G5196" s="34" t="n">
        <v>830</v>
      </c>
      <c r="H5196" s="34" t="n">
        <v>4370</v>
      </c>
      <c r="I5196" t="inlineStr">
        <is>
          <t>3.2</t>
        </is>
      </c>
      <c r="J5196" t="inlineStr">
        <is>
          <t>Ventas Personas (B2C)</t>
        </is>
      </c>
      <c r="K5196" t="inlineStr">
        <is>
          <t>CH2</t>
        </is>
      </c>
    </row>
    <row r="5197">
      <c r="A5197" s="33" t="n">
        <v>46059</v>
      </c>
      <c r="B5197" t="inlineStr">
        <is>
          <t>2026-02</t>
        </is>
      </c>
      <c r="C5197" t="inlineStr">
        <is>
          <t>Sin cliente</t>
        </is>
      </c>
      <c r="D5197" t="inlineStr">
        <is>
          <t>Cafeteria Geronimo</t>
        </is>
      </c>
      <c r="E5197" s="34" t="n">
        <v>6400</v>
      </c>
      <c r="F5197" t="inlineStr">
        <is>
          <t>B</t>
        </is>
      </c>
      <c r="G5197" s="34" t="n">
        <v>1022</v>
      </c>
      <c r="H5197" s="34" t="n">
        <v>5378</v>
      </c>
      <c r="I5197" t="inlineStr">
        <is>
          <t>3.2</t>
        </is>
      </c>
      <c r="J5197" t="inlineStr">
        <is>
          <t>Ventas Personas (B2C)</t>
        </is>
      </c>
      <c r="K5197" t="inlineStr">
        <is>
          <t>CH2</t>
        </is>
      </c>
    </row>
    <row r="5198">
      <c r="A5198" s="33" t="n">
        <v>46059</v>
      </c>
      <c r="B5198" t="inlineStr">
        <is>
          <t>2026-02</t>
        </is>
      </c>
      <c r="C5198" t="inlineStr">
        <is>
          <t>Sin cliente</t>
        </is>
      </c>
      <c r="D5198" t="inlineStr">
        <is>
          <t>Cafeteria Geronimo</t>
        </is>
      </c>
      <c r="E5198" s="34" t="n">
        <v>8000</v>
      </c>
      <c r="F5198" t="inlineStr">
        <is>
          <t>B</t>
        </is>
      </c>
      <c r="G5198" s="34" t="n">
        <v>1277</v>
      </c>
      <c r="H5198" s="34" t="n">
        <v>6723</v>
      </c>
      <c r="I5198" t="inlineStr">
        <is>
          <t>3.2</t>
        </is>
      </c>
      <c r="J5198" t="inlineStr">
        <is>
          <t>Ventas Personas (B2C)</t>
        </is>
      </c>
      <c r="K5198" t="inlineStr">
        <is>
          <t>CH2</t>
        </is>
      </c>
    </row>
    <row r="5199">
      <c r="A5199" s="33" t="n">
        <v>46059</v>
      </c>
      <c r="B5199" t="inlineStr">
        <is>
          <t>2026-02</t>
        </is>
      </c>
      <c r="C5199" t="inlineStr">
        <is>
          <t>Sin cliente</t>
        </is>
      </c>
      <c r="D5199" t="inlineStr">
        <is>
          <t>Cafeteria Geronimo</t>
        </is>
      </c>
      <c r="E5199" s="34" t="n">
        <v>3000</v>
      </c>
      <c r="F5199" t="inlineStr">
        <is>
          <t>B</t>
        </is>
      </c>
      <c r="G5199" s="34" t="n">
        <v>479</v>
      </c>
      <c r="H5199" s="34" t="n">
        <v>2521</v>
      </c>
      <c r="I5199" t="inlineStr">
        <is>
          <t>3.2</t>
        </is>
      </c>
      <c r="J5199" t="inlineStr">
        <is>
          <t>Ventas Personas (B2C)</t>
        </is>
      </c>
      <c r="K5199" t="inlineStr">
        <is>
          <t>CH2</t>
        </is>
      </c>
    </row>
    <row r="5200">
      <c r="A5200" s="33" t="n">
        <v>46059</v>
      </c>
      <c r="B5200" t="inlineStr">
        <is>
          <t>2026-02</t>
        </is>
      </c>
      <c r="C5200" t="inlineStr">
        <is>
          <t>Sin cliente</t>
        </is>
      </c>
      <c r="D5200" t="inlineStr">
        <is>
          <t>Glosa Caja navidad (packaging)</t>
        </is>
      </c>
      <c r="E5200" s="34" t="n">
        <v>2990</v>
      </c>
      <c r="F5200" t="inlineStr">
        <is>
          <t>B</t>
        </is>
      </c>
      <c r="G5200" s="34" t="n">
        <v>477</v>
      </c>
      <c r="H5200" s="34" t="n">
        <v>2513</v>
      </c>
      <c r="I5200" t="inlineStr">
        <is>
          <t>3.2</t>
        </is>
      </c>
      <c r="J5200" t="inlineStr">
        <is>
          <t>Ventas Personas (B2C)</t>
        </is>
      </c>
      <c r="K5200" t="inlineStr">
        <is>
          <t>CH2</t>
        </is>
      </c>
    </row>
    <row r="5201">
      <c r="A5201" s="33" t="n">
        <v>46059</v>
      </c>
      <c r="B5201" t="inlineStr">
        <is>
          <t>2026-02</t>
        </is>
      </c>
      <c r="C5201" t="inlineStr">
        <is>
          <t>Sin cliente</t>
        </is>
      </c>
      <c r="D5201" t="inlineStr">
        <is>
          <t>PLATAFORMAS RAP-PEYA-UBER-GOOD</t>
        </is>
      </c>
      <c r="E5201" s="34" t="n">
        <v>22680</v>
      </c>
      <c r="F5201" t="inlineStr">
        <is>
          <t>B</t>
        </is>
      </c>
      <c r="G5201" s="34" t="n">
        <v>3621</v>
      </c>
      <c r="H5201" s="34" t="n">
        <v>19059</v>
      </c>
      <c r="I5201" t="inlineStr">
        <is>
          <t>3.6</t>
        </is>
      </c>
      <c r="J5201" t="inlineStr">
        <is>
          <t>Ventas Delivery Apps</t>
        </is>
      </c>
      <c r="K5201" t="inlineStr">
        <is>
          <t>CH3</t>
        </is>
      </c>
    </row>
    <row r="5202">
      <c r="A5202" s="33" t="n">
        <v>46059</v>
      </c>
      <c r="B5202" t="inlineStr">
        <is>
          <t>2026-02</t>
        </is>
      </c>
      <c r="C5202" t="inlineStr">
        <is>
          <t>Sin cliente</t>
        </is>
      </c>
      <c r="D5202" t="inlineStr">
        <is>
          <t>PACKAGING</t>
        </is>
      </c>
      <c r="E5202" s="34" t="n">
        <v>1020</v>
      </c>
      <c r="F5202" t="inlineStr">
        <is>
          <t>B</t>
        </is>
      </c>
      <c r="G5202" s="34" t="n">
        <v>163</v>
      </c>
      <c r="H5202" s="34" t="n">
        <v>857</v>
      </c>
      <c r="I5202" t="inlineStr">
        <is>
          <t>3.2</t>
        </is>
      </c>
      <c r="J5202" t="inlineStr">
        <is>
          <t>Ventas Personas (B2C)</t>
        </is>
      </c>
      <c r="K5202" t="inlineStr">
        <is>
          <t>CH2</t>
        </is>
      </c>
    </row>
    <row r="5203">
      <c r="A5203" s="33" t="n">
        <v>46059</v>
      </c>
      <c r="B5203" t="inlineStr">
        <is>
          <t>2026-02</t>
        </is>
      </c>
      <c r="C5203" t="inlineStr">
        <is>
          <t>Sin cliente</t>
        </is>
      </c>
      <c r="D5203" t="inlineStr">
        <is>
          <t>CANELÉ TRADICIONAL</t>
        </is>
      </c>
      <c r="E5203" s="34" t="n">
        <v>15900</v>
      </c>
      <c r="F5203" t="inlineStr">
        <is>
          <t>B</t>
        </is>
      </c>
      <c r="G5203" s="34" t="n">
        <v>2539</v>
      </c>
      <c r="H5203" s="34" t="n">
        <v>13361</v>
      </c>
      <c r="I5203" t="inlineStr">
        <is>
          <t>3.2</t>
        </is>
      </c>
      <c r="J5203" t="inlineStr">
        <is>
          <t>Ventas Personas (B2C)</t>
        </is>
      </c>
      <c r="K5203" t="inlineStr">
        <is>
          <t>CH2</t>
        </is>
      </c>
    </row>
    <row r="5204">
      <c r="A5204" s="33" t="n">
        <v>46059</v>
      </c>
      <c r="B5204" t="inlineStr">
        <is>
          <t>2026-02</t>
        </is>
      </c>
      <c r="C5204" t="inlineStr">
        <is>
          <t>Mami Sone</t>
        </is>
      </c>
      <c r="D5204" t="inlineStr">
        <is>
          <t>PACKAGING</t>
        </is>
      </c>
      <c r="E5204" s="34" t="n">
        <v>29970</v>
      </c>
      <c r="F5204" t="inlineStr">
        <is>
          <t>B</t>
        </is>
      </c>
      <c r="G5204" s="34" t="n">
        <v>4785</v>
      </c>
      <c r="H5204" s="34" t="n">
        <v>25185</v>
      </c>
      <c r="I5204" t="inlineStr">
        <is>
          <t>3.2</t>
        </is>
      </c>
      <c r="J5204" t="inlineStr">
        <is>
          <t>Ventas Personas (B2C)</t>
        </is>
      </c>
      <c r="K5204" t="inlineStr">
        <is>
          <t>CH2</t>
        </is>
      </c>
    </row>
    <row r="5205">
      <c r="A5205" s="33" t="n">
        <v>46059</v>
      </c>
      <c r="B5205" t="inlineStr">
        <is>
          <t>2026-02</t>
        </is>
      </c>
      <c r="C5205" t="inlineStr">
        <is>
          <t>Sin cliente</t>
        </is>
      </c>
      <c r="D5205" t="inlineStr">
        <is>
          <t>Rellenos</t>
        </is>
      </c>
      <c r="E5205" s="34" t="n">
        <v>18900</v>
      </c>
      <c r="F5205" t="inlineStr">
        <is>
          <t>B</t>
        </is>
      </c>
      <c r="G5205" s="34" t="n">
        <v>3018</v>
      </c>
      <c r="H5205" s="34" t="n">
        <v>15882</v>
      </c>
      <c r="I5205" t="inlineStr">
        <is>
          <t>3.2</t>
        </is>
      </c>
      <c r="J5205" t="inlineStr">
        <is>
          <t>Ventas Personas (B2C)</t>
        </is>
      </c>
      <c r="K5205" t="inlineStr">
        <is>
          <t>CH2</t>
        </is>
      </c>
    </row>
    <row r="5206">
      <c r="A5206" s="33" t="n">
        <v>46060</v>
      </c>
      <c r="B5206" t="inlineStr">
        <is>
          <t>2026-02</t>
        </is>
      </c>
      <c r="C5206" t="inlineStr">
        <is>
          <t>Luz Pastrián</t>
        </is>
      </c>
      <c r="D5206" t="inlineStr">
        <is>
          <t>Petit Tradicional</t>
        </is>
      </c>
      <c r="E5206" s="34" t="n">
        <v>28620</v>
      </c>
      <c r="F5206" t="inlineStr">
        <is>
          <t>B</t>
        </is>
      </c>
      <c r="G5206" s="34" t="n">
        <v>4570</v>
      </c>
      <c r="H5206" s="34" t="n">
        <v>24050</v>
      </c>
      <c r="I5206" t="inlineStr">
        <is>
          <t>3.2</t>
        </is>
      </c>
      <c r="J5206" t="inlineStr">
        <is>
          <t>Ventas Personas (B2C)</t>
        </is>
      </c>
      <c r="K5206" t="inlineStr">
        <is>
          <t>CH2</t>
        </is>
      </c>
    </row>
    <row r="5207">
      <c r="A5207" s="33" t="n">
        <v>46060</v>
      </c>
      <c r="B5207" t="inlineStr">
        <is>
          <t>2026-02</t>
        </is>
      </c>
      <c r="C5207" t="inlineStr">
        <is>
          <t>María Victoria Vera Monroy</t>
        </is>
      </c>
      <c r="D5207" t="inlineStr">
        <is>
          <t>Rellenos</t>
        </is>
      </c>
      <c r="E5207" s="34" t="n">
        <v>23310</v>
      </c>
      <c r="F5207" t="inlineStr">
        <is>
          <t>B</t>
        </is>
      </c>
      <c r="G5207" s="34" t="n">
        <v>3722</v>
      </c>
      <c r="H5207" s="34" t="n">
        <v>19588</v>
      </c>
      <c r="I5207" t="inlineStr">
        <is>
          <t>3.2</t>
        </is>
      </c>
      <c r="J5207" t="inlineStr">
        <is>
          <t>Ventas Personas (B2C)</t>
        </is>
      </c>
      <c r="K5207" t="inlineStr">
        <is>
          <t>CH2</t>
        </is>
      </c>
    </row>
    <row r="5208">
      <c r="A5208" s="33" t="n">
        <v>46060</v>
      </c>
      <c r="B5208" t="inlineStr">
        <is>
          <t>2026-02</t>
        </is>
      </c>
      <c r="C5208" t="inlineStr">
        <is>
          <t>Sin cliente</t>
        </is>
      </c>
      <c r="D5208" t="inlineStr">
        <is>
          <t>Rellenos</t>
        </is>
      </c>
      <c r="E5208" s="34" t="n">
        <v>7000</v>
      </c>
      <c r="F5208" t="inlineStr">
        <is>
          <t>B</t>
        </is>
      </c>
      <c r="G5208" s="34" t="n">
        <v>1118</v>
      </c>
      <c r="H5208" s="34" t="n">
        <v>5882</v>
      </c>
      <c r="I5208" t="inlineStr">
        <is>
          <t>3.2</t>
        </is>
      </c>
      <c r="J5208" t="inlineStr">
        <is>
          <t>Ventas Personas (B2C)</t>
        </is>
      </c>
      <c r="K5208" t="inlineStr">
        <is>
          <t>CH2</t>
        </is>
      </c>
    </row>
    <row r="5209">
      <c r="A5209" s="33" t="n">
        <v>46060</v>
      </c>
      <c r="B5209" t="inlineStr">
        <is>
          <t>2026-02</t>
        </is>
      </c>
      <c r="C5209" t="inlineStr">
        <is>
          <t>Sin cliente</t>
        </is>
      </c>
      <c r="D5209" t="inlineStr">
        <is>
          <t>CANELÉ TRADICIONAL</t>
        </is>
      </c>
      <c r="E5209" s="34" t="n">
        <v>19500</v>
      </c>
      <c r="F5209" t="inlineStr">
        <is>
          <t>B</t>
        </is>
      </c>
      <c r="G5209" s="34" t="n">
        <v>3113</v>
      </c>
      <c r="H5209" s="34" t="n">
        <v>16387</v>
      </c>
      <c r="I5209" t="inlineStr">
        <is>
          <t>3.2</t>
        </is>
      </c>
      <c r="J5209" t="inlineStr">
        <is>
          <t>Ventas Personas (B2C)</t>
        </is>
      </c>
      <c r="K5209" t="inlineStr">
        <is>
          <t>CH2</t>
        </is>
      </c>
    </row>
    <row r="5210">
      <c r="A5210" s="33" t="n">
        <v>46061</v>
      </c>
      <c r="B5210" t="inlineStr">
        <is>
          <t>2026-02</t>
        </is>
      </c>
      <c r="C5210" t="inlineStr">
        <is>
          <t>Océane Vigné</t>
        </is>
      </c>
      <c r="D5210" t="inlineStr">
        <is>
          <t>Rellenos</t>
        </is>
      </c>
      <c r="E5210" s="34" t="n">
        <v>27800</v>
      </c>
      <c r="F5210" t="inlineStr">
        <is>
          <t>B</t>
        </is>
      </c>
      <c r="G5210" s="34" t="n">
        <v>4439</v>
      </c>
      <c r="H5210" s="34" t="n">
        <v>23361</v>
      </c>
      <c r="I5210" t="inlineStr">
        <is>
          <t>3.2</t>
        </is>
      </c>
      <c r="J5210" t="inlineStr">
        <is>
          <t>Ventas Personas (B2C)</t>
        </is>
      </c>
      <c r="K5210" t="inlineStr">
        <is>
          <t>CH2</t>
        </is>
      </c>
    </row>
    <row r="5211">
      <c r="A5211" s="33" t="n">
        <v>46061</v>
      </c>
      <c r="B5211" t="inlineStr">
        <is>
          <t>2026-02</t>
        </is>
      </c>
      <c r="C5211" t="inlineStr">
        <is>
          <t>YIKANG DENG</t>
        </is>
      </c>
      <c r="D5211" t="inlineStr">
        <is>
          <t>Mix Sabores</t>
        </is>
      </c>
      <c r="E5211" s="34" t="n">
        <v>25700</v>
      </c>
      <c r="F5211" t="inlineStr">
        <is>
          <t>B</t>
        </is>
      </c>
      <c r="G5211" s="34" t="n">
        <v>4103</v>
      </c>
      <c r="H5211" s="34" t="n">
        <v>21597</v>
      </c>
      <c r="I5211" t="inlineStr">
        <is>
          <t>3.2</t>
        </is>
      </c>
      <c r="J5211" t="inlineStr">
        <is>
          <t>Ventas Personas (B2C)</t>
        </is>
      </c>
      <c r="K5211" t="inlineStr">
        <is>
          <t>CH2</t>
        </is>
      </c>
    </row>
    <row r="5212">
      <c r="A5212" s="33" t="n">
        <v>46062</v>
      </c>
      <c r="B5212" t="inlineStr">
        <is>
          <t>2026-02</t>
        </is>
      </c>
      <c r="C5212" t="inlineStr">
        <is>
          <t>INVERSIONES Y COMERCIALIZADORA FED LIMITADA</t>
        </is>
      </c>
      <c r="D5212" t="inlineStr">
        <is>
          <t>HORECA CAFETERIA</t>
        </is>
      </c>
      <c r="E5212" s="34" t="n">
        <v>116142</v>
      </c>
      <c r="F5212" t="inlineStr">
        <is>
          <t>F</t>
        </is>
      </c>
      <c r="G5212" s="34" t="n">
        <v>18544</v>
      </c>
      <c r="H5212" s="34" t="n">
        <v>97598</v>
      </c>
      <c r="I5212" t="inlineStr">
        <is>
          <t>3.1</t>
        </is>
      </c>
      <c r="J5212" t="inlineStr">
        <is>
          <t>Ventas HoReCa</t>
        </is>
      </c>
      <c r="K5212" t="inlineStr">
        <is>
          <t>CH1</t>
        </is>
      </c>
    </row>
    <row r="5213">
      <c r="A5213" s="33" t="n">
        <v>46062</v>
      </c>
      <c r="B5213" t="inlineStr">
        <is>
          <t>2026-02</t>
        </is>
      </c>
      <c r="C5213" t="inlineStr">
        <is>
          <t>INVERSIONES Y COMERCIALIZADORA FED LIMITADA</t>
        </is>
      </c>
      <c r="D5213" t="inlineStr">
        <is>
          <t>HORECA CAFETERIA</t>
        </is>
      </c>
      <c r="E5213" s="34" t="n">
        <v>282203</v>
      </c>
      <c r="F5213" t="inlineStr">
        <is>
          <t>F</t>
        </is>
      </c>
      <c r="G5213" s="34" t="n">
        <v>45058</v>
      </c>
      <c r="H5213" s="34" t="n">
        <v>237145</v>
      </c>
      <c r="I5213" t="inlineStr">
        <is>
          <t>3.1</t>
        </is>
      </c>
      <c r="J5213" t="inlineStr">
        <is>
          <t>Ventas HoReCa</t>
        </is>
      </c>
      <c r="K5213" t="inlineStr">
        <is>
          <t>CH1</t>
        </is>
      </c>
    </row>
    <row r="5214">
      <c r="A5214" s="33" t="n">
        <v>46062</v>
      </c>
      <c r="B5214" t="inlineStr">
        <is>
          <t>2026-02</t>
        </is>
      </c>
      <c r="C5214" t="inlineStr">
        <is>
          <t>CAFE DIARIO ENCOMENDEROS SPA</t>
        </is>
      </c>
      <c r="D5214" t="inlineStr">
        <is>
          <t>HORECA CAFETERIA</t>
        </is>
      </c>
      <c r="E5214" s="34" t="n">
        <v>71995</v>
      </c>
      <c r="F5214" t="inlineStr">
        <is>
          <t>F</t>
        </is>
      </c>
      <c r="G5214" s="34" t="n">
        <v>11495</v>
      </c>
      <c r="H5214" s="34" t="n">
        <v>60500</v>
      </c>
      <c r="I5214" t="inlineStr">
        <is>
          <t>3.1</t>
        </is>
      </c>
      <c r="J5214" t="inlineStr">
        <is>
          <t>Ventas HoReCa</t>
        </is>
      </c>
      <c r="K5214" t="inlineStr">
        <is>
          <t>CH1</t>
        </is>
      </c>
    </row>
    <row r="5215">
      <c r="A5215" s="33" t="n">
        <v>46062</v>
      </c>
      <c r="B5215" t="inlineStr">
        <is>
          <t>2026-02</t>
        </is>
      </c>
      <c r="C5215" t="inlineStr">
        <is>
          <t>INVERSIONES Y ASESORIAS RAVAL LIMITADA</t>
        </is>
      </c>
      <c r="D5215" t="inlineStr">
        <is>
          <t>HORECA CAFETERIA</t>
        </is>
      </c>
      <c r="E5215" s="34" t="n">
        <v>75030</v>
      </c>
      <c r="F5215" t="inlineStr">
        <is>
          <t>F</t>
        </is>
      </c>
      <c r="G5215" s="34" t="n">
        <v>11980</v>
      </c>
      <c r="H5215" s="34" t="n">
        <v>63050</v>
      </c>
      <c r="I5215" t="inlineStr">
        <is>
          <t>3.1</t>
        </is>
      </c>
      <c r="J5215" t="inlineStr">
        <is>
          <t>Ventas HoReCa</t>
        </is>
      </c>
      <c r="K5215" t="inlineStr">
        <is>
          <t>CH1</t>
        </is>
      </c>
    </row>
    <row r="5216">
      <c r="A5216" s="33" t="n">
        <v>46062</v>
      </c>
      <c r="B5216" t="inlineStr">
        <is>
          <t>2026-02</t>
        </is>
      </c>
      <c r="C5216" t="inlineStr">
        <is>
          <t>Sin cliente</t>
        </is>
      </c>
      <c r="D5216" t="inlineStr">
        <is>
          <t>PLATAFORMAS RAP-PEYA-UBER-GOOD</t>
        </is>
      </c>
      <c r="E5216" s="34" t="n">
        <v>17400</v>
      </c>
      <c r="F5216" t="inlineStr">
        <is>
          <t>B</t>
        </is>
      </c>
      <c r="G5216" s="34" t="n">
        <v>2778</v>
      </c>
      <c r="H5216" s="34" t="n">
        <v>14622</v>
      </c>
      <c r="I5216" t="inlineStr">
        <is>
          <t>3.6</t>
        </is>
      </c>
      <c r="J5216" t="inlineStr">
        <is>
          <t>Ventas Delivery Apps</t>
        </is>
      </c>
      <c r="K5216" t="inlineStr">
        <is>
          <t>CH3</t>
        </is>
      </c>
    </row>
    <row r="5217">
      <c r="A5217" s="33" t="n">
        <v>46062</v>
      </c>
      <c r="B5217" t="inlineStr">
        <is>
          <t>2026-02</t>
        </is>
      </c>
      <c r="C5217" t="inlineStr">
        <is>
          <t>Lily Gunther</t>
        </is>
      </c>
      <c r="D5217" t="inlineStr">
        <is>
          <t>Rellenos</t>
        </is>
      </c>
      <c r="E5217" s="34" t="n">
        <v>29390</v>
      </c>
      <c r="F5217" t="inlineStr">
        <is>
          <t>B</t>
        </is>
      </c>
      <c r="G5217" s="34" t="n">
        <v>4693</v>
      </c>
      <c r="H5217" s="34" t="n">
        <v>24697</v>
      </c>
      <c r="I5217" t="inlineStr">
        <is>
          <t>3.2</t>
        </is>
      </c>
      <c r="J5217" t="inlineStr">
        <is>
          <t>Ventas Personas (B2C)</t>
        </is>
      </c>
      <c r="K5217" t="inlineStr">
        <is>
          <t>CH2</t>
        </is>
      </c>
    </row>
    <row r="5218">
      <c r="A5218" s="33" t="n">
        <v>46062</v>
      </c>
      <c r="B5218" t="inlineStr">
        <is>
          <t>2026-02</t>
        </is>
      </c>
      <c r="C5218" t="inlineStr">
        <is>
          <t>Sin cliente</t>
        </is>
      </c>
      <c r="D5218" t="inlineStr">
        <is>
          <t>Rellenos</t>
        </is>
      </c>
      <c r="E5218" s="34" t="n">
        <v>21500</v>
      </c>
      <c r="F5218" t="inlineStr">
        <is>
          <t>B</t>
        </is>
      </c>
      <c r="G5218" s="34" t="n">
        <v>3433</v>
      </c>
      <c r="H5218" s="34" t="n">
        <v>18067</v>
      </c>
      <c r="I5218" t="inlineStr">
        <is>
          <t>3.2</t>
        </is>
      </c>
      <c r="J5218" t="inlineStr">
        <is>
          <t>Ventas Personas (B2C)</t>
        </is>
      </c>
      <c r="K5218" t="inlineStr">
        <is>
          <t>CH2</t>
        </is>
      </c>
    </row>
    <row r="5219">
      <c r="A5219" s="33" t="n">
        <v>46062</v>
      </c>
      <c r="B5219" t="inlineStr">
        <is>
          <t>2026-02</t>
        </is>
      </c>
      <c r="C5219" t="inlineStr">
        <is>
          <t>Sin cliente</t>
        </is>
      </c>
      <c r="D5219" t="inlineStr">
        <is>
          <t>Rellenos</t>
        </is>
      </c>
      <c r="E5219" s="34" t="n">
        <v>29100</v>
      </c>
      <c r="F5219" t="inlineStr">
        <is>
          <t>B</t>
        </is>
      </c>
      <c r="G5219" s="34" t="n">
        <v>4646</v>
      </c>
      <c r="H5219" s="34" t="n">
        <v>24454</v>
      </c>
      <c r="I5219" t="inlineStr">
        <is>
          <t>3.2</t>
        </is>
      </c>
      <c r="J5219" t="inlineStr">
        <is>
          <t>Ventas Personas (B2C)</t>
        </is>
      </c>
      <c r="K5219" t="inlineStr">
        <is>
          <t>CH2</t>
        </is>
      </c>
    </row>
    <row r="5220">
      <c r="A5220" s="33" t="n">
        <v>46062</v>
      </c>
      <c r="B5220" t="inlineStr">
        <is>
          <t>2026-02</t>
        </is>
      </c>
      <c r="C5220" t="inlineStr">
        <is>
          <t>Sin cliente</t>
        </is>
      </c>
      <c r="D5220" t="inlineStr">
        <is>
          <t>Petit Crunchy</t>
        </is>
      </c>
      <c r="E5220" s="34" t="n">
        <v>15800</v>
      </c>
      <c r="F5220" t="inlineStr">
        <is>
          <t>B</t>
        </is>
      </c>
      <c r="G5220" s="34" t="n">
        <v>2523</v>
      </c>
      <c r="H5220" s="34" t="n">
        <v>13277</v>
      </c>
      <c r="I5220" t="inlineStr">
        <is>
          <t>3.2</t>
        </is>
      </c>
      <c r="J5220" t="inlineStr">
        <is>
          <t>Ventas Personas (B2C)</t>
        </is>
      </c>
      <c r="K5220" t="inlineStr">
        <is>
          <t>CH2</t>
        </is>
      </c>
    </row>
    <row r="5221">
      <c r="A5221" s="33" t="n">
        <v>46062</v>
      </c>
      <c r="B5221" t="inlineStr">
        <is>
          <t>2026-02</t>
        </is>
      </c>
      <c r="C5221" t="inlineStr">
        <is>
          <t>Sin cliente</t>
        </is>
      </c>
      <c r="D5221" t="inlineStr">
        <is>
          <t>Rellenos</t>
        </is>
      </c>
      <c r="E5221" s="34" t="n">
        <v>17280</v>
      </c>
      <c r="F5221" t="inlineStr">
        <is>
          <t>B</t>
        </is>
      </c>
      <c r="G5221" s="34" t="n">
        <v>2759</v>
      </c>
      <c r="H5221" s="34" t="n">
        <v>14521</v>
      </c>
      <c r="I5221" t="inlineStr">
        <is>
          <t>3.6</t>
        </is>
      </c>
      <c r="J5221" t="inlineStr">
        <is>
          <t>Ventas Delivery Apps</t>
        </is>
      </c>
      <c r="K5221" t="inlineStr">
        <is>
          <t>CH3</t>
        </is>
      </c>
    </row>
    <row r="5222">
      <c r="A5222" s="33" t="n">
        <v>46062</v>
      </c>
      <c r="B5222" t="inlineStr">
        <is>
          <t>2026-02</t>
        </is>
      </c>
      <c r="C5222" t="inlineStr">
        <is>
          <t>Sin cliente</t>
        </is>
      </c>
      <c r="D5222" t="inlineStr">
        <is>
          <t>Cafeteria Geronimo</t>
        </is>
      </c>
      <c r="E5222" s="34" t="n">
        <v>25400</v>
      </c>
      <c r="F5222" t="inlineStr">
        <is>
          <t>B</t>
        </is>
      </c>
      <c r="G5222" s="34" t="n">
        <v>4055</v>
      </c>
      <c r="H5222" s="34" t="n">
        <v>21345</v>
      </c>
      <c r="I5222" t="inlineStr">
        <is>
          <t>3.2</t>
        </is>
      </c>
      <c r="J5222" t="inlineStr">
        <is>
          <t>Ventas Personas (B2C)</t>
        </is>
      </c>
      <c r="K5222" t="inlineStr">
        <is>
          <t>CH2</t>
        </is>
      </c>
    </row>
    <row r="5223">
      <c r="A5223" s="33" t="n">
        <v>46062</v>
      </c>
      <c r="B5223" t="inlineStr">
        <is>
          <t>2026-02</t>
        </is>
      </c>
      <c r="C5223" t="inlineStr">
        <is>
          <t>Sin cliente</t>
        </is>
      </c>
      <c r="D5223" t="inlineStr">
        <is>
          <t>Mix Sabores</t>
        </is>
      </c>
      <c r="E5223" s="34" t="n">
        <v>6100</v>
      </c>
      <c r="F5223" t="inlineStr">
        <is>
          <t>B</t>
        </is>
      </c>
      <c r="G5223" s="34" t="n">
        <v>974</v>
      </c>
      <c r="H5223" s="34" t="n">
        <v>5126</v>
      </c>
      <c r="I5223" t="inlineStr">
        <is>
          <t>3.2</t>
        </is>
      </c>
      <c r="J5223" t="inlineStr">
        <is>
          <t>Ventas Personas (B2C)</t>
        </is>
      </c>
      <c r="K5223" t="inlineStr">
        <is>
          <t>CH2</t>
        </is>
      </c>
    </row>
    <row r="5224">
      <c r="A5224" s="33" t="n">
        <v>46062</v>
      </c>
      <c r="B5224" t="inlineStr">
        <is>
          <t>2026-02</t>
        </is>
      </c>
      <c r="C5224" t="inlineStr">
        <is>
          <t>Sin cliente</t>
        </is>
      </c>
      <c r="D5224" t="inlineStr">
        <is>
          <t>CANELÉ TRADICIONAL</t>
        </is>
      </c>
      <c r="E5224" s="34" t="n">
        <v>29855</v>
      </c>
      <c r="F5224" t="inlineStr">
        <is>
          <t>B</t>
        </is>
      </c>
      <c r="G5224" s="34" t="n">
        <v>4767</v>
      </c>
      <c r="H5224" s="34" t="n">
        <v>25088</v>
      </c>
      <c r="I5224" t="inlineStr">
        <is>
          <t>3.2</t>
        </is>
      </c>
      <c r="J5224" t="inlineStr">
        <is>
          <t>Ventas Personas (B2C)</t>
        </is>
      </c>
      <c r="K5224" t="inlineStr">
        <is>
          <t>CH2</t>
        </is>
      </c>
    </row>
    <row r="5225">
      <c r="A5225" s="33" t="n">
        <v>46062</v>
      </c>
      <c r="B5225" t="inlineStr">
        <is>
          <t>2026-02</t>
        </is>
      </c>
      <c r="C5225" t="inlineStr">
        <is>
          <t>Sin cliente</t>
        </is>
      </c>
      <c r="D5225" t="inlineStr">
        <is>
          <t>Mix Sabores</t>
        </is>
      </c>
      <c r="E5225" s="34" t="n">
        <v>31080</v>
      </c>
      <c r="F5225" t="inlineStr">
        <is>
          <t>B</t>
        </is>
      </c>
      <c r="G5225" s="34" t="n">
        <v>4962</v>
      </c>
      <c r="H5225" s="34" t="n">
        <v>26118</v>
      </c>
      <c r="I5225" t="inlineStr">
        <is>
          <t>3.2</t>
        </is>
      </c>
      <c r="J5225" t="inlineStr">
        <is>
          <t>Ventas Personas (B2C)</t>
        </is>
      </c>
      <c r="K5225" t="inlineStr">
        <is>
          <t>CH2</t>
        </is>
      </c>
    </row>
    <row r="5226">
      <c r="A5226" s="33" t="n">
        <v>46062</v>
      </c>
      <c r="B5226" t="inlineStr">
        <is>
          <t>2026-02</t>
        </is>
      </c>
      <c r="C5226" t="inlineStr">
        <is>
          <t>Sin cliente</t>
        </is>
      </c>
      <c r="D5226" t="inlineStr">
        <is>
          <t>Mix Sabores</t>
        </is>
      </c>
      <c r="E5226" s="34" t="n">
        <v>32600</v>
      </c>
      <c r="F5226" t="inlineStr">
        <is>
          <t>B</t>
        </is>
      </c>
      <c r="G5226" s="34" t="n">
        <v>5205</v>
      </c>
      <c r="H5226" s="34" t="n">
        <v>27395</v>
      </c>
      <c r="I5226" t="inlineStr">
        <is>
          <t>3.2</t>
        </is>
      </c>
      <c r="J5226" t="inlineStr">
        <is>
          <t>Ventas Personas (B2C)</t>
        </is>
      </c>
      <c r="K5226" t="inlineStr">
        <is>
          <t>CH2</t>
        </is>
      </c>
    </row>
    <row r="5227">
      <c r="A5227" s="33" t="n">
        <v>46062</v>
      </c>
      <c r="B5227" t="inlineStr">
        <is>
          <t>2026-02</t>
        </is>
      </c>
      <c r="C5227" t="inlineStr">
        <is>
          <t>Sin cliente</t>
        </is>
      </c>
      <c r="D5227" t="inlineStr">
        <is>
          <t>CANELÉ TRADICIONAL</t>
        </is>
      </c>
      <c r="E5227" s="34" t="n">
        <v>15900</v>
      </c>
      <c r="F5227" t="inlineStr">
        <is>
          <t>B</t>
        </is>
      </c>
      <c r="G5227" s="34" t="n">
        <v>2539</v>
      </c>
      <c r="H5227" s="34" t="n">
        <v>13361</v>
      </c>
      <c r="I5227" t="inlineStr">
        <is>
          <t>3.2</t>
        </is>
      </c>
      <c r="J5227" t="inlineStr">
        <is>
          <t>Ventas Personas (B2C)</t>
        </is>
      </c>
      <c r="K5227" t="inlineStr">
        <is>
          <t>CH2</t>
        </is>
      </c>
    </row>
    <row r="5228">
      <c r="A5228" s="33" t="n">
        <v>46062</v>
      </c>
      <c r="B5228" t="inlineStr">
        <is>
          <t>2026-02</t>
        </is>
      </c>
      <c r="C5228" t="inlineStr">
        <is>
          <t>Sin cliente</t>
        </is>
      </c>
      <c r="D5228" t="inlineStr">
        <is>
          <t>PLATAFORMAS RAP-PEYA-UBER-GOOD</t>
        </is>
      </c>
      <c r="E5228" s="34" t="n">
        <v>16560</v>
      </c>
      <c r="F5228" t="inlineStr">
        <is>
          <t>B</t>
        </is>
      </c>
      <c r="G5228" s="34" t="n">
        <v>2644</v>
      </c>
      <c r="H5228" s="34" t="n">
        <v>13916</v>
      </c>
      <c r="I5228" t="inlineStr">
        <is>
          <t>3.6</t>
        </is>
      </c>
      <c r="J5228" t="inlineStr">
        <is>
          <t>Ventas Delivery Apps</t>
        </is>
      </c>
      <c r="K5228" t="inlineStr">
        <is>
          <t>CH3</t>
        </is>
      </c>
    </row>
    <row r="5229">
      <c r="A5229" s="33" t="n">
        <v>46062</v>
      </c>
      <c r="B5229" t="inlineStr">
        <is>
          <t>2026-02</t>
        </is>
      </c>
      <c r="C5229" t="inlineStr">
        <is>
          <t>Sin cliente</t>
        </is>
      </c>
      <c r="D5229" t="inlineStr">
        <is>
          <t>Rellenos</t>
        </is>
      </c>
      <c r="E5229" s="34" t="n">
        <v>13000</v>
      </c>
      <c r="F5229" t="inlineStr">
        <is>
          <t>B</t>
        </is>
      </c>
      <c r="G5229" s="34" t="n">
        <v>2076</v>
      </c>
      <c r="H5229" s="34" t="n">
        <v>10924</v>
      </c>
      <c r="I5229" t="inlineStr">
        <is>
          <t>3.2</t>
        </is>
      </c>
      <c r="J5229" t="inlineStr">
        <is>
          <t>Ventas Personas (B2C)</t>
        </is>
      </c>
      <c r="K5229" t="inlineStr">
        <is>
          <t>CH2</t>
        </is>
      </c>
    </row>
    <row r="5230">
      <c r="A5230" s="33" t="n">
        <v>46062</v>
      </c>
      <c r="B5230" t="inlineStr">
        <is>
          <t>2026-02</t>
        </is>
      </c>
      <c r="C5230" t="inlineStr">
        <is>
          <t>Sin cliente</t>
        </is>
      </c>
      <c r="D5230" t="inlineStr">
        <is>
          <t>Petit Tradicional</t>
        </is>
      </c>
      <c r="E5230" s="34" t="n">
        <v>19990</v>
      </c>
      <c r="F5230" t="inlineStr">
        <is>
          <t>B</t>
        </is>
      </c>
      <c r="G5230" s="34" t="n">
        <v>3192</v>
      </c>
      <c r="H5230" s="34" t="n">
        <v>16798</v>
      </c>
      <c r="I5230" t="inlineStr">
        <is>
          <t>3.2</t>
        </is>
      </c>
      <c r="J5230" t="inlineStr">
        <is>
          <t>Ventas Personas (B2C)</t>
        </is>
      </c>
      <c r="K5230" t="inlineStr">
        <is>
          <t>CH2</t>
        </is>
      </c>
    </row>
    <row r="5231">
      <c r="A5231" s="33" t="n">
        <v>46062</v>
      </c>
      <c r="B5231" t="inlineStr">
        <is>
          <t>2026-02</t>
        </is>
      </c>
      <c r="C5231" t="inlineStr">
        <is>
          <t>Sin cliente</t>
        </is>
      </c>
      <c r="D5231" t="inlineStr">
        <is>
          <t>Cafeteria Geronimo</t>
        </is>
      </c>
      <c r="E5231" s="34" t="n">
        <v>9200</v>
      </c>
      <c r="F5231" t="inlineStr">
        <is>
          <t>B</t>
        </is>
      </c>
      <c r="G5231" s="34" t="n">
        <v>1469</v>
      </c>
      <c r="H5231" s="34" t="n">
        <v>7731</v>
      </c>
      <c r="I5231" t="inlineStr">
        <is>
          <t>3.2</t>
        </is>
      </c>
      <c r="J5231" t="inlineStr">
        <is>
          <t>Ventas Personas (B2C)</t>
        </is>
      </c>
      <c r="K5231" t="inlineStr">
        <is>
          <t>CH2</t>
        </is>
      </c>
    </row>
    <row r="5232">
      <c r="A5232" s="33" t="n">
        <v>46062</v>
      </c>
      <c r="B5232" t="inlineStr">
        <is>
          <t>2026-02</t>
        </is>
      </c>
      <c r="C5232" t="inlineStr">
        <is>
          <t>Sin cliente</t>
        </is>
      </c>
      <c r="D5232" t="inlineStr">
        <is>
          <t>Rellenos</t>
        </is>
      </c>
      <c r="E5232" s="34" t="n">
        <v>18900</v>
      </c>
      <c r="F5232" t="inlineStr">
        <is>
          <t>B</t>
        </is>
      </c>
      <c r="G5232" s="34" t="n">
        <v>3018</v>
      </c>
      <c r="H5232" s="34" t="n">
        <v>15882</v>
      </c>
      <c r="I5232" t="inlineStr">
        <is>
          <t>3.2</t>
        </is>
      </c>
      <c r="J5232" t="inlineStr">
        <is>
          <t>Ventas Personas (B2C)</t>
        </is>
      </c>
      <c r="K5232" t="inlineStr">
        <is>
          <t>CH2</t>
        </is>
      </c>
    </row>
    <row r="5233">
      <c r="A5233" s="33" t="n">
        <v>46062</v>
      </c>
      <c r="B5233" t="inlineStr">
        <is>
          <t>2026-02</t>
        </is>
      </c>
      <c r="C5233" t="inlineStr">
        <is>
          <t>Sin cliente</t>
        </is>
      </c>
      <c r="D5233" t="inlineStr">
        <is>
          <t>CANELÉ TRADICIONAL</t>
        </is>
      </c>
      <c r="E5233" s="34" t="n">
        <v>2500</v>
      </c>
      <c r="F5233" t="inlineStr">
        <is>
          <t>B</t>
        </is>
      </c>
      <c r="G5233" s="34" t="n">
        <v>399</v>
      </c>
      <c r="H5233" s="34" t="n">
        <v>2101</v>
      </c>
      <c r="I5233" t="inlineStr">
        <is>
          <t>3.2</t>
        </is>
      </c>
      <c r="J5233" t="inlineStr">
        <is>
          <t>Ventas Personas (B2C)</t>
        </is>
      </c>
      <c r="K5233" t="inlineStr">
        <is>
          <t>CH2</t>
        </is>
      </c>
    </row>
    <row r="5234">
      <c r="A5234" s="33" t="n">
        <v>46062</v>
      </c>
      <c r="B5234" t="inlineStr">
        <is>
          <t>2026-02</t>
        </is>
      </c>
      <c r="C5234" t="inlineStr">
        <is>
          <t>Sin cliente</t>
        </is>
      </c>
      <c r="D5234" t="inlineStr">
        <is>
          <t>Rellenos</t>
        </is>
      </c>
      <c r="E5234" s="34" t="n">
        <v>17000</v>
      </c>
      <c r="F5234" t="inlineStr">
        <is>
          <t>B</t>
        </is>
      </c>
      <c r="G5234" s="34" t="n">
        <v>2714</v>
      </c>
      <c r="H5234" s="34" t="n">
        <v>14286</v>
      </c>
      <c r="I5234" t="inlineStr">
        <is>
          <t>3.2</t>
        </is>
      </c>
      <c r="J5234" t="inlineStr">
        <is>
          <t>Ventas Personas (B2C)</t>
        </is>
      </c>
      <c r="K5234" t="inlineStr">
        <is>
          <t>CH2</t>
        </is>
      </c>
    </row>
    <row r="5235">
      <c r="A5235" s="33" t="n">
        <v>46062</v>
      </c>
      <c r="B5235" t="inlineStr">
        <is>
          <t>2026-02</t>
        </is>
      </c>
      <c r="C5235" t="inlineStr">
        <is>
          <t>Sin cliente</t>
        </is>
      </c>
      <c r="D5235" t="inlineStr">
        <is>
          <t>PLATAFORMAS RAP-PEYA-UBER-GOOD</t>
        </is>
      </c>
      <c r="E5235" s="34" t="n">
        <v>10080</v>
      </c>
      <c r="F5235" t="inlineStr">
        <is>
          <t>B</t>
        </is>
      </c>
      <c r="G5235" s="34" t="n">
        <v>1609</v>
      </c>
      <c r="H5235" s="34" t="n">
        <v>8471</v>
      </c>
      <c r="I5235" t="inlineStr">
        <is>
          <t>3.6</t>
        </is>
      </c>
      <c r="J5235" t="inlineStr">
        <is>
          <t>Ventas Delivery Apps</t>
        </is>
      </c>
      <c r="K5235" t="inlineStr">
        <is>
          <t>CH3</t>
        </is>
      </c>
    </row>
    <row r="5236">
      <c r="A5236" s="33" t="n">
        <v>46062</v>
      </c>
      <c r="B5236" t="inlineStr">
        <is>
          <t>2026-02</t>
        </is>
      </c>
      <c r="C5236" t="inlineStr">
        <is>
          <t>Sin cliente</t>
        </is>
      </c>
      <c r="D5236" t="inlineStr">
        <is>
          <t>CANELÉ TRADICIONAL</t>
        </is>
      </c>
      <c r="E5236" s="34" t="n">
        <v>5400</v>
      </c>
      <c r="F5236" t="inlineStr">
        <is>
          <t>B</t>
        </is>
      </c>
      <c r="G5236" s="34" t="n">
        <v>862</v>
      </c>
      <c r="H5236" s="34" t="n">
        <v>4538</v>
      </c>
      <c r="I5236" t="inlineStr">
        <is>
          <t>3.2</t>
        </is>
      </c>
      <c r="J5236" t="inlineStr">
        <is>
          <t>Ventas Personas (B2C)</t>
        </is>
      </c>
      <c r="K5236" t="inlineStr">
        <is>
          <t>CH2</t>
        </is>
      </c>
    </row>
    <row r="5237">
      <c r="A5237" s="33" t="n">
        <v>46062</v>
      </c>
      <c r="B5237" t="inlineStr">
        <is>
          <t>2026-02</t>
        </is>
      </c>
      <c r="C5237" t="inlineStr">
        <is>
          <t>Sin cliente</t>
        </is>
      </c>
      <c r="D5237" t="inlineStr">
        <is>
          <t>PLATAFORMAS RAP-PEYA-UBER-GOOD</t>
        </is>
      </c>
      <c r="E5237" s="34" t="n">
        <v>19080</v>
      </c>
      <c r="F5237" t="inlineStr">
        <is>
          <t>B</t>
        </is>
      </c>
      <c r="G5237" s="34" t="n">
        <v>3046</v>
      </c>
      <c r="H5237" s="34" t="n">
        <v>16034</v>
      </c>
      <c r="I5237" t="inlineStr">
        <is>
          <t>3.6</t>
        </is>
      </c>
      <c r="J5237" t="inlineStr">
        <is>
          <t>Ventas Delivery Apps</t>
        </is>
      </c>
      <c r="K5237" t="inlineStr">
        <is>
          <t>CH3</t>
        </is>
      </c>
    </row>
    <row r="5238">
      <c r="A5238" s="33" t="n">
        <v>46062</v>
      </c>
      <c r="B5238" t="inlineStr">
        <is>
          <t>2026-02</t>
        </is>
      </c>
      <c r="C5238" t="inlineStr">
        <is>
          <t>Sin cliente</t>
        </is>
      </c>
      <c r="D5238" t="inlineStr">
        <is>
          <t>CANELÉ TRADICIONAL</t>
        </is>
      </c>
      <c r="E5238" s="34" t="n">
        <v>27900</v>
      </c>
      <c r="F5238" t="inlineStr">
        <is>
          <t>B</t>
        </is>
      </c>
      <c r="G5238" s="34" t="n">
        <v>4455</v>
      </c>
      <c r="H5238" s="34" t="n">
        <v>23445</v>
      </c>
      <c r="I5238" t="inlineStr">
        <is>
          <t>3.2</t>
        </is>
      </c>
      <c r="J5238" t="inlineStr">
        <is>
          <t>Ventas Personas (B2C)</t>
        </is>
      </c>
      <c r="K5238" t="inlineStr">
        <is>
          <t>CH2</t>
        </is>
      </c>
    </row>
    <row r="5239">
      <c r="A5239" s="33" t="n">
        <v>46062</v>
      </c>
      <c r="B5239" t="inlineStr">
        <is>
          <t>2026-02</t>
        </is>
      </c>
      <c r="C5239" t="inlineStr">
        <is>
          <t>Sin cliente</t>
        </is>
      </c>
      <c r="D5239" t="inlineStr">
        <is>
          <t>CANELÉ TRADICIONAL</t>
        </is>
      </c>
      <c r="E5239" s="34" t="n">
        <v>27215</v>
      </c>
      <c r="F5239" t="inlineStr">
        <is>
          <t>B</t>
        </is>
      </c>
      <c r="G5239" s="34" t="n">
        <v>4345</v>
      </c>
      <c r="H5239" s="34" t="n">
        <v>22870</v>
      </c>
      <c r="I5239" t="inlineStr">
        <is>
          <t>3.2</t>
        </is>
      </c>
      <c r="J5239" t="inlineStr">
        <is>
          <t>Ventas Personas (B2C)</t>
        </is>
      </c>
      <c r="K5239" t="inlineStr">
        <is>
          <t>CH2</t>
        </is>
      </c>
    </row>
    <row r="5240">
      <c r="A5240" s="33" t="n">
        <v>46062</v>
      </c>
      <c r="B5240" t="inlineStr">
        <is>
          <t>2026-02</t>
        </is>
      </c>
      <c r="C5240" t="inlineStr">
        <is>
          <t>Claudio Antezana Barraza</t>
        </is>
      </c>
      <c r="D5240" t="inlineStr">
        <is>
          <t>CANELÉ TRADICIONAL</t>
        </is>
      </c>
      <c r="E5240" s="34" t="n">
        <v>26390</v>
      </c>
      <c r="F5240" t="inlineStr">
        <is>
          <t>B</t>
        </is>
      </c>
      <c r="G5240" s="34" t="n">
        <v>4214</v>
      </c>
      <c r="H5240" s="34" t="n">
        <v>22176</v>
      </c>
      <c r="I5240" t="inlineStr">
        <is>
          <t>3.2</t>
        </is>
      </c>
      <c r="J5240" t="inlineStr">
        <is>
          <t>Ventas Personas (B2C)</t>
        </is>
      </c>
      <c r="K5240" t="inlineStr">
        <is>
          <t>CH2</t>
        </is>
      </c>
    </row>
    <row r="5241">
      <c r="A5241" s="33" t="n">
        <v>46062</v>
      </c>
      <c r="B5241" t="inlineStr">
        <is>
          <t>2026-02</t>
        </is>
      </c>
      <c r="C5241" t="inlineStr">
        <is>
          <t>Camilo Carvajal</t>
        </is>
      </c>
      <c r="D5241" t="inlineStr">
        <is>
          <t>Petit Crunchy</t>
        </is>
      </c>
      <c r="E5241" s="34" t="n">
        <v>41390</v>
      </c>
      <c r="F5241" t="inlineStr">
        <is>
          <t>B</t>
        </is>
      </c>
      <c r="G5241" s="34" t="n">
        <v>6608</v>
      </c>
      <c r="H5241" s="34" t="n">
        <v>34782</v>
      </c>
      <c r="I5241" t="inlineStr">
        <is>
          <t>3.2</t>
        </is>
      </c>
      <c r="J5241" t="inlineStr">
        <is>
          <t>Ventas Personas (B2C)</t>
        </is>
      </c>
      <c r="K5241" t="inlineStr">
        <is>
          <t>CH2</t>
        </is>
      </c>
    </row>
    <row r="5242">
      <c r="A5242" s="33" t="n">
        <v>46062</v>
      </c>
      <c r="B5242" t="inlineStr">
        <is>
          <t>2026-02</t>
        </is>
      </c>
      <c r="C5242" t="inlineStr">
        <is>
          <t>Osvaldo Osorio</t>
        </is>
      </c>
      <c r="D5242" t="inlineStr">
        <is>
          <t>SALSAS</t>
        </is>
      </c>
      <c r="E5242" s="34" t="n">
        <v>34091</v>
      </c>
      <c r="F5242" t="inlineStr">
        <is>
          <t>B</t>
        </is>
      </c>
      <c r="G5242" s="34" t="n">
        <v>5443</v>
      </c>
      <c r="H5242" s="34" t="n">
        <v>28648</v>
      </c>
      <c r="I5242" t="inlineStr">
        <is>
          <t>3.2</t>
        </is>
      </c>
      <c r="J5242" t="inlineStr">
        <is>
          <t>Ventas Personas (B2C)</t>
        </is>
      </c>
      <c r="K5242" t="inlineStr">
        <is>
          <t>CH2</t>
        </is>
      </c>
    </row>
    <row r="5243">
      <c r="A5243" s="33" t="n">
        <v>46062</v>
      </c>
      <c r="B5243" t="inlineStr">
        <is>
          <t>2026-02</t>
        </is>
      </c>
      <c r="C5243" t="inlineStr">
        <is>
          <t>Rubí Aranguiz Venegas</t>
        </is>
      </c>
      <c r="D5243" t="inlineStr">
        <is>
          <t>PACKAGING</t>
        </is>
      </c>
      <c r="E5243" s="34" t="n">
        <v>20190</v>
      </c>
      <c r="F5243" t="inlineStr">
        <is>
          <t>B</t>
        </is>
      </c>
      <c r="G5243" s="34" t="n">
        <v>3224</v>
      </c>
      <c r="H5243" s="34" t="n">
        <v>16966</v>
      </c>
      <c r="I5243" t="inlineStr">
        <is>
          <t>3.2</t>
        </is>
      </c>
      <c r="J5243" t="inlineStr">
        <is>
          <t>Ventas Personas (B2C)</t>
        </is>
      </c>
      <c r="K5243" t="inlineStr">
        <is>
          <t>CH2</t>
        </is>
      </c>
    </row>
    <row r="5244">
      <c r="A5244" s="33" t="n">
        <v>46062</v>
      </c>
      <c r="B5244" t="inlineStr">
        <is>
          <t>2026-02</t>
        </is>
      </c>
      <c r="C5244" t="inlineStr">
        <is>
          <t>Eugenia Prado</t>
        </is>
      </c>
      <c r="D5244" t="inlineStr">
        <is>
          <t>Canelé Petit Relleno</t>
        </is>
      </c>
      <c r="E5244" s="34" t="n">
        <v>35910</v>
      </c>
      <c r="F5244" t="inlineStr">
        <is>
          <t>B</t>
        </is>
      </c>
      <c r="G5244" s="34" t="n">
        <v>5734</v>
      </c>
      <c r="H5244" s="34" t="n">
        <v>30176</v>
      </c>
      <c r="I5244" t="inlineStr">
        <is>
          <t>3.2</t>
        </is>
      </c>
      <c r="J5244" t="inlineStr">
        <is>
          <t>Ventas Personas (B2C)</t>
        </is>
      </c>
      <c r="K5244" t="inlineStr">
        <is>
          <t>CH2</t>
        </is>
      </c>
    </row>
    <row r="5245">
      <c r="A5245" s="33" t="n">
        <v>46063</v>
      </c>
      <c r="B5245" t="inlineStr">
        <is>
          <t>2026-02</t>
        </is>
      </c>
      <c r="C5245" t="inlineStr">
        <is>
          <t>Sociedad gastronómica L&amp;A Limitada</t>
        </is>
      </c>
      <c r="D5245" t="inlineStr">
        <is>
          <t>HORECA CAFETERIA</t>
        </is>
      </c>
      <c r="E5245" s="34" t="n">
        <v>71210</v>
      </c>
      <c r="F5245" t="inlineStr">
        <is>
          <t>F</t>
        </is>
      </c>
      <c r="G5245" s="34" t="n">
        <v>11370</v>
      </c>
      <c r="H5245" s="34" t="n">
        <v>59840</v>
      </c>
      <c r="I5245" t="inlineStr">
        <is>
          <t>3.1</t>
        </is>
      </c>
      <c r="J5245" t="inlineStr">
        <is>
          <t>Ventas HoReCa</t>
        </is>
      </c>
      <c r="K5245" t="inlineStr">
        <is>
          <t>CH1</t>
        </is>
      </c>
    </row>
    <row r="5246">
      <c r="A5246" s="33" t="n">
        <v>46063</v>
      </c>
      <c r="B5246" t="inlineStr">
        <is>
          <t>2026-02</t>
        </is>
      </c>
      <c r="C5246" t="inlineStr">
        <is>
          <t>HUERTO SUR LIMITADA</t>
        </is>
      </c>
      <c r="D5246" t="inlineStr">
        <is>
          <t>HORECA CAFETERIA</t>
        </is>
      </c>
      <c r="E5246" s="34" t="n">
        <v>39115</v>
      </c>
      <c r="F5246" t="inlineStr">
        <is>
          <t>F</t>
        </is>
      </c>
      <c r="G5246" s="34" t="n">
        <v>6245</v>
      </c>
      <c r="H5246" s="34" t="n">
        <v>32870</v>
      </c>
      <c r="I5246" t="inlineStr">
        <is>
          <t>3.1</t>
        </is>
      </c>
      <c r="J5246" t="inlineStr">
        <is>
          <t>Ventas HoReCa</t>
        </is>
      </c>
      <c r="K5246" t="inlineStr">
        <is>
          <t>CH1</t>
        </is>
      </c>
    </row>
    <row r="5247">
      <c r="A5247" s="33" t="n">
        <v>46063</v>
      </c>
      <c r="B5247" t="inlineStr">
        <is>
          <t>2026-02</t>
        </is>
      </c>
      <c r="C5247" t="inlineStr">
        <is>
          <t>HUERTO SUR LIMITADA</t>
        </is>
      </c>
      <c r="D5247" t="inlineStr">
        <is>
          <t>HORECA CAFETERIA</t>
        </is>
      </c>
      <c r="E5247" s="34" t="n">
        <v>103304</v>
      </c>
      <c r="F5247" t="inlineStr">
        <is>
          <t>F</t>
        </is>
      </c>
      <c r="G5247" s="34" t="n">
        <v>16494</v>
      </c>
      <c r="H5247" s="34" t="n">
        <v>86810</v>
      </c>
      <c r="I5247" t="inlineStr">
        <is>
          <t>3.1</t>
        </is>
      </c>
      <c r="J5247" t="inlineStr">
        <is>
          <t>Ventas HoReCa</t>
        </is>
      </c>
      <c r="K5247" t="inlineStr">
        <is>
          <t>CH1</t>
        </is>
      </c>
    </row>
    <row r="5248">
      <c r="A5248" s="33" t="n">
        <v>46063</v>
      </c>
      <c r="B5248" t="inlineStr">
        <is>
          <t>2026-02</t>
        </is>
      </c>
      <c r="C5248" t="inlineStr">
        <is>
          <t>HUERTO SUR LIMITADA</t>
        </is>
      </c>
      <c r="D5248" t="inlineStr">
        <is>
          <t>HORECA CAFETERIA</t>
        </is>
      </c>
      <c r="E5248" s="34" t="n">
        <v>39115</v>
      </c>
      <c r="F5248" t="inlineStr">
        <is>
          <t>F</t>
        </is>
      </c>
      <c r="G5248" s="34" t="n">
        <v>6245</v>
      </c>
      <c r="H5248" s="34" t="n">
        <v>32870</v>
      </c>
      <c r="I5248" t="inlineStr">
        <is>
          <t>3.1</t>
        </is>
      </c>
      <c r="J5248" t="inlineStr">
        <is>
          <t>Ventas HoReCa</t>
        </is>
      </c>
      <c r="K5248" t="inlineStr">
        <is>
          <t>CH1</t>
        </is>
      </c>
    </row>
    <row r="5249">
      <c r="A5249" s="33" t="n">
        <v>46063</v>
      </c>
      <c r="B5249" t="inlineStr">
        <is>
          <t>2026-02</t>
        </is>
      </c>
      <c r="C5249" t="inlineStr">
        <is>
          <t>HUERTO SUR LIMITADA</t>
        </is>
      </c>
      <c r="D5249" t="inlineStr">
        <is>
          <t>HORECA CAFETERIA</t>
        </is>
      </c>
      <c r="E5249" s="34" t="n">
        <v>103304</v>
      </c>
      <c r="F5249" t="inlineStr">
        <is>
          <t>F</t>
        </is>
      </c>
      <c r="G5249" s="34" t="n">
        <v>16494</v>
      </c>
      <c r="H5249" s="34" t="n">
        <v>86810</v>
      </c>
      <c r="I5249" t="inlineStr">
        <is>
          <t>3.1</t>
        </is>
      </c>
      <c r="J5249" t="inlineStr">
        <is>
          <t>Ventas HoReCa</t>
        </is>
      </c>
      <c r="K5249" t="inlineStr">
        <is>
          <t>CH1</t>
        </is>
      </c>
    </row>
    <row r="5250">
      <c r="A5250" s="33" t="n">
        <v>46063</v>
      </c>
      <c r="B5250" t="inlineStr">
        <is>
          <t>2026-02</t>
        </is>
      </c>
      <c r="C5250" t="inlineStr">
        <is>
          <t>HUERTO SUR LIMITADA</t>
        </is>
      </c>
      <c r="D5250" t="inlineStr">
        <is>
          <t>HORECA CAFETERIA</t>
        </is>
      </c>
      <c r="E5250" s="34" t="n">
        <v>103304</v>
      </c>
      <c r="F5250" t="inlineStr">
        <is>
          <t>F</t>
        </is>
      </c>
      <c r="G5250" s="34" t="n">
        <v>16494</v>
      </c>
      <c r="H5250" s="34" t="n">
        <v>86810</v>
      </c>
      <c r="I5250" t="inlineStr">
        <is>
          <t>3.1</t>
        </is>
      </c>
      <c r="J5250" t="inlineStr">
        <is>
          <t>Ventas HoReCa</t>
        </is>
      </c>
      <c r="K5250" t="inlineStr">
        <is>
          <t>CH1</t>
        </is>
      </c>
    </row>
    <row r="5251">
      <c r="A5251" s="33" t="n">
        <v>46063</v>
      </c>
      <c r="B5251" t="inlineStr">
        <is>
          <t>2026-02</t>
        </is>
      </c>
      <c r="C5251" t="inlineStr">
        <is>
          <t>Natalia Camus</t>
        </is>
      </c>
      <c r="D5251" t="inlineStr">
        <is>
          <t>Canelé Petit Relleno</t>
        </is>
      </c>
      <c r="E5251" s="34" t="n">
        <v>26820</v>
      </c>
      <c r="F5251" t="inlineStr">
        <is>
          <t>B</t>
        </is>
      </c>
      <c r="G5251" s="34" t="n">
        <v>4282</v>
      </c>
      <c r="H5251" s="34" t="n">
        <v>22538</v>
      </c>
      <c r="I5251" t="inlineStr">
        <is>
          <t>3.2</t>
        </is>
      </c>
      <c r="J5251" t="inlineStr">
        <is>
          <t>Ventas Personas (B2C)</t>
        </is>
      </c>
      <c r="K5251" t="inlineStr">
        <is>
          <t>CH2</t>
        </is>
      </c>
    </row>
    <row r="5252">
      <c r="A5252" s="33" t="n">
        <v>46063</v>
      </c>
      <c r="B5252" t="inlineStr">
        <is>
          <t>2026-02</t>
        </is>
      </c>
      <c r="C5252" t="inlineStr">
        <is>
          <t>Cristóbal Mandiola</t>
        </is>
      </c>
      <c r="D5252" t="inlineStr">
        <is>
          <t>Petit Crunchy</t>
        </is>
      </c>
      <c r="E5252" s="34" t="n">
        <v>10900</v>
      </c>
      <c r="F5252" t="inlineStr">
        <is>
          <t>B</t>
        </is>
      </c>
      <c r="G5252" s="34" t="n">
        <v>1740</v>
      </c>
      <c r="H5252" s="34" t="n">
        <v>9160</v>
      </c>
      <c r="I5252" t="inlineStr">
        <is>
          <t>3.2</t>
        </is>
      </c>
      <c r="J5252" t="inlineStr">
        <is>
          <t>Ventas Personas (B2C)</t>
        </is>
      </c>
      <c r="K5252" t="inlineStr">
        <is>
          <t>CH2</t>
        </is>
      </c>
    </row>
    <row r="5253">
      <c r="A5253" s="33" t="n">
        <v>46063</v>
      </c>
      <c r="B5253" t="inlineStr">
        <is>
          <t>2026-02</t>
        </is>
      </c>
      <c r="C5253" t="inlineStr">
        <is>
          <t>Fran Aguilera</t>
        </is>
      </c>
      <c r="D5253" t="inlineStr">
        <is>
          <t>CANELÉ TRADICIONAL</t>
        </is>
      </c>
      <c r="E5253" s="34" t="n">
        <v>28590</v>
      </c>
      <c r="F5253" t="inlineStr">
        <is>
          <t>B</t>
        </is>
      </c>
      <c r="G5253" s="34" t="n">
        <v>4565</v>
      </c>
      <c r="H5253" s="34" t="n">
        <v>24025</v>
      </c>
      <c r="I5253" t="inlineStr">
        <is>
          <t>3.2</t>
        </is>
      </c>
      <c r="J5253" t="inlineStr">
        <is>
          <t>Ventas Personas (B2C)</t>
        </is>
      </c>
      <c r="K5253" t="inlineStr">
        <is>
          <t>CH2</t>
        </is>
      </c>
    </row>
    <row r="5254">
      <c r="A5254" s="33" t="n">
        <v>46063</v>
      </c>
      <c r="B5254" t="inlineStr">
        <is>
          <t>2026-02</t>
        </is>
      </c>
      <c r="C5254" t="inlineStr">
        <is>
          <t>Ma. Angela Gómez</t>
        </is>
      </c>
      <c r="D5254" t="inlineStr">
        <is>
          <t>Petit Crunchy</t>
        </is>
      </c>
      <c r="E5254" s="34" t="n">
        <v>54621</v>
      </c>
      <c r="F5254" t="inlineStr">
        <is>
          <t>B</t>
        </is>
      </c>
      <c r="G5254" s="34" t="n">
        <v>8721</v>
      </c>
      <c r="H5254" s="34" t="n">
        <v>45900</v>
      </c>
      <c r="I5254" t="inlineStr">
        <is>
          <t>3.2</t>
        </is>
      </c>
      <c r="J5254" t="inlineStr">
        <is>
          <t>Ventas Personas (B2C)</t>
        </is>
      </c>
      <c r="K5254" t="inlineStr">
        <is>
          <t>CH2</t>
        </is>
      </c>
    </row>
    <row r="5255">
      <c r="A5255" s="33" t="n">
        <v>46063</v>
      </c>
      <c r="B5255" t="inlineStr">
        <is>
          <t>2026-02</t>
        </is>
      </c>
      <c r="C5255" t="inlineStr">
        <is>
          <t>Sin cliente</t>
        </is>
      </c>
      <c r="D5255" t="inlineStr">
        <is>
          <t>Cafeteria Geronimo</t>
        </is>
      </c>
      <c r="E5255" s="34" t="n">
        <v>5800</v>
      </c>
      <c r="F5255" t="inlineStr">
        <is>
          <t>B</t>
        </is>
      </c>
      <c r="G5255" s="34" t="n">
        <v>926</v>
      </c>
      <c r="H5255" s="34" t="n">
        <v>4874</v>
      </c>
      <c r="I5255" t="inlineStr">
        <is>
          <t>3.2</t>
        </is>
      </c>
      <c r="J5255" t="inlineStr">
        <is>
          <t>Ventas Personas (B2C)</t>
        </is>
      </c>
      <c r="K5255" t="inlineStr">
        <is>
          <t>CH2</t>
        </is>
      </c>
    </row>
    <row r="5256">
      <c r="A5256" s="33" t="n">
        <v>46063</v>
      </c>
      <c r="B5256" t="inlineStr">
        <is>
          <t>2026-02</t>
        </is>
      </c>
      <c r="C5256" t="inlineStr">
        <is>
          <t>Sin cliente</t>
        </is>
      </c>
      <c r="D5256" t="inlineStr">
        <is>
          <t>CANELÉ TRADICIONAL</t>
        </is>
      </c>
      <c r="E5256" s="34" t="n">
        <v>5500</v>
      </c>
      <c r="F5256" t="inlineStr">
        <is>
          <t>B</t>
        </is>
      </c>
      <c r="G5256" s="34" t="n">
        <v>878</v>
      </c>
      <c r="H5256" s="34" t="n">
        <v>4622</v>
      </c>
      <c r="I5256" t="inlineStr">
        <is>
          <t>3.2</t>
        </is>
      </c>
      <c r="J5256" t="inlineStr">
        <is>
          <t>Ventas Personas (B2C)</t>
        </is>
      </c>
      <c r="K5256" t="inlineStr">
        <is>
          <t>CH2</t>
        </is>
      </c>
    </row>
    <row r="5257">
      <c r="A5257" s="33" t="n">
        <v>46063</v>
      </c>
      <c r="B5257" t="inlineStr">
        <is>
          <t>2026-02</t>
        </is>
      </c>
      <c r="C5257" t="inlineStr">
        <is>
          <t>Sin cliente</t>
        </is>
      </c>
      <c r="D5257" t="inlineStr">
        <is>
          <t>CANELÉ TRADICIONAL</t>
        </is>
      </c>
      <c r="E5257" s="34" t="n">
        <v>15900</v>
      </c>
      <c r="F5257" t="inlineStr">
        <is>
          <t>B</t>
        </is>
      </c>
      <c r="G5257" s="34" t="n">
        <v>2539</v>
      </c>
      <c r="H5257" s="34" t="n">
        <v>13361</v>
      </c>
      <c r="I5257" t="inlineStr">
        <is>
          <t>3.2</t>
        </is>
      </c>
      <c r="J5257" t="inlineStr">
        <is>
          <t>Ventas Personas (B2C)</t>
        </is>
      </c>
      <c r="K5257" t="inlineStr">
        <is>
          <t>CH2</t>
        </is>
      </c>
    </row>
    <row r="5258">
      <c r="A5258" s="33" t="n">
        <v>46063</v>
      </c>
      <c r="B5258" t="inlineStr">
        <is>
          <t>2026-02</t>
        </is>
      </c>
      <c r="C5258" t="inlineStr">
        <is>
          <t>Sin cliente</t>
        </is>
      </c>
      <c r="D5258" t="inlineStr">
        <is>
          <t>CANELÉ TRADICIONAL</t>
        </is>
      </c>
      <c r="E5258" s="34" t="n">
        <v>2500</v>
      </c>
      <c r="F5258" t="inlineStr">
        <is>
          <t>B</t>
        </is>
      </c>
      <c r="G5258" s="34" t="n">
        <v>399</v>
      </c>
      <c r="H5258" s="34" t="n">
        <v>2101</v>
      </c>
      <c r="I5258" t="inlineStr">
        <is>
          <t>3.2</t>
        </is>
      </c>
      <c r="J5258" t="inlineStr">
        <is>
          <t>Ventas Personas (B2C)</t>
        </is>
      </c>
      <c r="K5258" t="inlineStr">
        <is>
          <t>CH2</t>
        </is>
      </c>
    </row>
    <row r="5259">
      <c r="A5259" s="33" t="n">
        <v>46063</v>
      </c>
      <c r="B5259" t="inlineStr">
        <is>
          <t>2026-02</t>
        </is>
      </c>
      <c r="C5259" t="inlineStr">
        <is>
          <t>Sin cliente</t>
        </is>
      </c>
      <c r="D5259" t="inlineStr">
        <is>
          <t>CANELÉ TRADICIONAL</t>
        </is>
      </c>
      <c r="E5259" s="34" t="n">
        <v>18900</v>
      </c>
      <c r="F5259" t="inlineStr">
        <is>
          <t>B</t>
        </is>
      </c>
      <c r="G5259" s="34" t="n">
        <v>3018</v>
      </c>
      <c r="H5259" s="34" t="n">
        <v>15882</v>
      </c>
      <c r="I5259" t="inlineStr">
        <is>
          <t>3.2</t>
        </is>
      </c>
      <c r="J5259" t="inlineStr">
        <is>
          <t>Ventas Personas (B2C)</t>
        </is>
      </c>
      <c r="K5259" t="inlineStr">
        <is>
          <t>CH2</t>
        </is>
      </c>
    </row>
    <row r="5260">
      <c r="A5260" s="33" t="n">
        <v>46063</v>
      </c>
      <c r="B5260" t="inlineStr">
        <is>
          <t>2026-02</t>
        </is>
      </c>
      <c r="C5260" t="inlineStr">
        <is>
          <t>Sin cliente</t>
        </is>
      </c>
      <c r="D5260" t="inlineStr">
        <is>
          <t>PLATAFORMAS RAP-PEYA-UBER-GOOD</t>
        </is>
      </c>
      <c r="E5260" s="34" t="n">
        <v>27480</v>
      </c>
      <c r="F5260" t="inlineStr">
        <is>
          <t>B</t>
        </is>
      </c>
      <c r="G5260" s="34" t="n">
        <v>4388</v>
      </c>
      <c r="H5260" s="34" t="n">
        <v>23092</v>
      </c>
      <c r="I5260" t="inlineStr">
        <is>
          <t>3.6</t>
        </is>
      </c>
      <c r="J5260" t="inlineStr">
        <is>
          <t>Ventas Delivery Apps</t>
        </is>
      </c>
      <c r="K5260" t="inlineStr">
        <is>
          <t>CH3</t>
        </is>
      </c>
    </row>
    <row r="5261">
      <c r="A5261" s="33" t="n">
        <v>46063</v>
      </c>
      <c r="B5261" t="inlineStr">
        <is>
          <t>2026-02</t>
        </is>
      </c>
      <c r="C5261" t="inlineStr">
        <is>
          <t>Juan Antonio Gómez Simunovic</t>
        </is>
      </c>
      <c r="D5261" t="inlineStr">
        <is>
          <t>Petit Crunchy</t>
        </is>
      </c>
      <c r="E5261" s="34" t="n">
        <v>18390</v>
      </c>
      <c r="F5261" t="inlineStr">
        <is>
          <t>B</t>
        </is>
      </c>
      <c r="G5261" s="34" t="n">
        <v>2936</v>
      </c>
      <c r="H5261" s="34" t="n">
        <v>15454</v>
      </c>
      <c r="I5261" t="inlineStr">
        <is>
          <t>3.2</t>
        </is>
      </c>
      <c r="J5261" t="inlineStr">
        <is>
          <t>Ventas Personas (B2C)</t>
        </is>
      </c>
      <c r="K5261" t="inlineStr">
        <is>
          <t>CH2</t>
        </is>
      </c>
    </row>
    <row r="5262">
      <c r="A5262" s="33" t="n">
        <v>46063</v>
      </c>
      <c r="B5262" t="inlineStr">
        <is>
          <t>2026-02</t>
        </is>
      </c>
      <c r="C5262" t="inlineStr">
        <is>
          <t>Paul Calle alvarado</t>
        </is>
      </c>
      <c r="D5262" t="inlineStr">
        <is>
          <t>Mix Sabores</t>
        </is>
      </c>
      <c r="E5262" s="34" t="n">
        <v>28290</v>
      </c>
      <c r="F5262" t="inlineStr">
        <is>
          <t>B</t>
        </is>
      </c>
      <c r="G5262" s="34" t="n">
        <v>4517</v>
      </c>
      <c r="H5262" s="34" t="n">
        <v>23773</v>
      </c>
      <c r="I5262" t="inlineStr">
        <is>
          <t>3.2</t>
        </is>
      </c>
      <c r="J5262" t="inlineStr">
        <is>
          <t>Ventas Personas (B2C)</t>
        </is>
      </c>
      <c r="K5262" t="inlineStr">
        <is>
          <t>CH2</t>
        </is>
      </c>
    </row>
    <row r="5263">
      <c r="A5263" s="33" t="n">
        <v>46063</v>
      </c>
      <c r="B5263" t="inlineStr">
        <is>
          <t>2026-02</t>
        </is>
      </c>
      <c r="C5263" t="inlineStr">
        <is>
          <t>ROBERTO RUIZ SANTOS</t>
        </is>
      </c>
      <c r="D5263" t="inlineStr">
        <is>
          <t>Día de los Enamorados</t>
        </is>
      </c>
      <c r="E5263" s="34" t="n">
        <v>17910</v>
      </c>
      <c r="F5263" t="inlineStr">
        <is>
          <t>B</t>
        </is>
      </c>
      <c r="G5263" s="34" t="n">
        <v>2860</v>
      </c>
      <c r="H5263" s="34" t="n">
        <v>15050</v>
      </c>
      <c r="I5263" t="inlineStr">
        <is>
          <t>3.2</t>
        </is>
      </c>
      <c r="J5263" t="inlineStr">
        <is>
          <t>Ventas Personas (B2C)</t>
        </is>
      </c>
      <c r="K5263" t="inlineStr">
        <is>
          <t>CH2</t>
        </is>
      </c>
    </row>
    <row r="5264">
      <c r="A5264" s="33" t="n">
        <v>46063</v>
      </c>
      <c r="B5264" t="inlineStr">
        <is>
          <t>2026-02</t>
        </is>
      </c>
      <c r="C5264" t="inlineStr">
        <is>
          <t>Sin cliente</t>
        </is>
      </c>
      <c r="D5264" t="inlineStr">
        <is>
          <t>CANELÉ TRADICIONAL</t>
        </is>
      </c>
      <c r="E5264" s="34" t="n">
        <v>5000</v>
      </c>
      <c r="F5264" t="inlineStr">
        <is>
          <t>B</t>
        </is>
      </c>
      <c r="G5264" s="34" t="n">
        <v>798</v>
      </c>
      <c r="H5264" s="34" t="n">
        <v>4202</v>
      </c>
      <c r="I5264" t="inlineStr">
        <is>
          <t>3.2</t>
        </is>
      </c>
      <c r="J5264" t="inlineStr">
        <is>
          <t>Ventas Personas (B2C)</t>
        </is>
      </c>
      <c r="K5264" t="inlineStr">
        <is>
          <t>CH2</t>
        </is>
      </c>
    </row>
    <row r="5265">
      <c r="A5265" s="33" t="n">
        <v>46063</v>
      </c>
      <c r="B5265" t="inlineStr">
        <is>
          <t>2026-02</t>
        </is>
      </c>
      <c r="C5265" t="inlineStr">
        <is>
          <t>Sin cliente</t>
        </is>
      </c>
      <c r="D5265" t="inlineStr">
        <is>
          <t>Cafeteria Geronimo</t>
        </is>
      </c>
      <c r="E5265" s="34" t="n">
        <v>9600</v>
      </c>
      <c r="F5265" t="inlineStr">
        <is>
          <t>B</t>
        </is>
      </c>
      <c r="G5265" s="34" t="n">
        <v>1533</v>
      </c>
      <c r="H5265" s="34" t="n">
        <v>8067</v>
      </c>
      <c r="I5265" t="inlineStr">
        <is>
          <t>3.2</t>
        </is>
      </c>
      <c r="J5265" t="inlineStr">
        <is>
          <t>Ventas Personas (B2C)</t>
        </is>
      </c>
      <c r="K5265" t="inlineStr">
        <is>
          <t>CH2</t>
        </is>
      </c>
    </row>
    <row r="5266">
      <c r="A5266" s="33" t="n">
        <v>46063</v>
      </c>
      <c r="B5266" t="inlineStr">
        <is>
          <t>2026-02</t>
        </is>
      </c>
      <c r="C5266" t="inlineStr">
        <is>
          <t>Sin cliente</t>
        </is>
      </c>
      <c r="D5266" t="inlineStr">
        <is>
          <t>PLATAFORMAS RAP-PEYA-UBER-GOOD</t>
        </is>
      </c>
      <c r="E5266" s="34" t="n">
        <v>7200</v>
      </c>
      <c r="F5266" t="inlineStr">
        <is>
          <t>B</t>
        </is>
      </c>
      <c r="G5266" s="34" t="n">
        <v>1150</v>
      </c>
      <c r="H5266" s="34" t="n">
        <v>6050</v>
      </c>
      <c r="I5266" t="inlineStr">
        <is>
          <t>3.6</t>
        </is>
      </c>
      <c r="J5266" t="inlineStr">
        <is>
          <t>Ventas Delivery Apps</t>
        </is>
      </c>
      <c r="K5266" t="inlineStr">
        <is>
          <t>CH3</t>
        </is>
      </c>
    </row>
    <row r="5267">
      <c r="A5267" s="33" t="n">
        <v>46063</v>
      </c>
      <c r="B5267" t="inlineStr">
        <is>
          <t>2026-02</t>
        </is>
      </c>
      <c r="C5267" t="inlineStr">
        <is>
          <t>Sin cliente</t>
        </is>
      </c>
      <c r="D5267" t="inlineStr">
        <is>
          <t>PLATAFORMAS RAP-PEYA-UBER-GOOD</t>
        </is>
      </c>
      <c r="E5267" s="34" t="n">
        <v>44040</v>
      </c>
      <c r="F5267" t="inlineStr">
        <is>
          <t>B</t>
        </is>
      </c>
      <c r="G5267" s="34" t="n">
        <v>7032</v>
      </c>
      <c r="H5267" s="34" t="n">
        <v>37008</v>
      </c>
      <c r="I5267" t="inlineStr">
        <is>
          <t>3.6</t>
        </is>
      </c>
      <c r="J5267" t="inlineStr">
        <is>
          <t>Ventas Delivery Apps</t>
        </is>
      </c>
      <c r="K5267" t="inlineStr">
        <is>
          <t>CH3</t>
        </is>
      </c>
    </row>
    <row r="5268">
      <c r="A5268" s="33" t="n">
        <v>46063</v>
      </c>
      <c r="B5268" t="inlineStr">
        <is>
          <t>2026-02</t>
        </is>
      </c>
      <c r="C5268" t="inlineStr">
        <is>
          <t>Sin cliente</t>
        </is>
      </c>
      <c r="D5268" t="inlineStr">
        <is>
          <t>PLATAFORMAS RAP-PEYA-UBER-GOOD</t>
        </is>
      </c>
      <c r="E5268" s="34" t="n">
        <v>22680</v>
      </c>
      <c r="F5268" t="inlineStr">
        <is>
          <t>B</t>
        </is>
      </c>
      <c r="G5268" s="34" t="n">
        <v>3621</v>
      </c>
      <c r="H5268" s="34" t="n">
        <v>19059</v>
      </c>
      <c r="I5268" t="inlineStr">
        <is>
          <t>3.6</t>
        </is>
      </c>
      <c r="J5268" t="inlineStr">
        <is>
          <t>Ventas Delivery Apps</t>
        </is>
      </c>
      <c r="K5268" t="inlineStr">
        <is>
          <t>CH3</t>
        </is>
      </c>
    </row>
    <row r="5269">
      <c r="A5269" s="33" t="n">
        <v>46063</v>
      </c>
      <c r="B5269" t="inlineStr">
        <is>
          <t>2026-02</t>
        </is>
      </c>
      <c r="C5269" t="inlineStr">
        <is>
          <t>Hernán Arellano</t>
        </is>
      </c>
      <c r="D5269" t="inlineStr">
        <is>
          <t>Petit Crunchy</t>
        </is>
      </c>
      <c r="E5269" s="34" t="n">
        <v>40390</v>
      </c>
      <c r="F5269" t="inlineStr">
        <is>
          <t>B</t>
        </is>
      </c>
      <c r="G5269" s="34" t="n">
        <v>6449</v>
      </c>
      <c r="H5269" s="34" t="n">
        <v>33941</v>
      </c>
      <c r="I5269" t="inlineStr">
        <is>
          <t>3.2</t>
        </is>
      </c>
      <c r="J5269" t="inlineStr">
        <is>
          <t>Ventas Personas (B2C)</t>
        </is>
      </c>
      <c r="K5269" t="inlineStr">
        <is>
          <t>CH2</t>
        </is>
      </c>
    </row>
    <row r="5270">
      <c r="A5270" s="33" t="n">
        <v>46064</v>
      </c>
      <c r="B5270" t="inlineStr">
        <is>
          <t>2026-02</t>
        </is>
      </c>
      <c r="C5270" t="inlineStr">
        <is>
          <t>BUSTORF LARSEN Y COMPANIA LIMITADA</t>
        </is>
      </c>
      <c r="D5270" t="inlineStr">
        <is>
          <t>HORECA CAFETERIA</t>
        </is>
      </c>
      <c r="E5270" s="34" t="n">
        <v>71210</v>
      </c>
      <c r="F5270" t="inlineStr">
        <is>
          <t>F</t>
        </is>
      </c>
      <c r="G5270" s="34" t="n">
        <v>11370</v>
      </c>
      <c r="H5270" s="34" t="n">
        <v>59840</v>
      </c>
      <c r="I5270" t="inlineStr">
        <is>
          <t>3.1</t>
        </is>
      </c>
      <c r="J5270" t="inlineStr">
        <is>
          <t>Ventas HoReCa</t>
        </is>
      </c>
      <c r="K5270" t="inlineStr">
        <is>
          <t>CH1</t>
        </is>
      </c>
    </row>
    <row r="5271">
      <c r="A5271" s="33" t="n">
        <v>46064</v>
      </c>
      <c r="B5271" t="inlineStr">
        <is>
          <t>2026-02</t>
        </is>
      </c>
      <c r="C5271" t="inlineStr">
        <is>
          <t>BUSTORF LARSEN Y COMPANIA LIMITADA</t>
        </is>
      </c>
      <c r="D5271" t="inlineStr">
        <is>
          <t>HORECA CAFETERIA</t>
        </is>
      </c>
      <c r="E5271" s="34" t="n">
        <v>71210</v>
      </c>
      <c r="F5271" t="inlineStr">
        <is>
          <t>F</t>
        </is>
      </c>
      <c r="G5271" s="34" t="n">
        <v>11370</v>
      </c>
      <c r="H5271" s="34" t="n">
        <v>59840</v>
      </c>
      <c r="I5271" t="inlineStr">
        <is>
          <t>3.1</t>
        </is>
      </c>
      <c r="J5271" t="inlineStr">
        <is>
          <t>Ventas HoReCa</t>
        </is>
      </c>
      <c r="K5271" t="inlineStr">
        <is>
          <t>CH1</t>
        </is>
      </c>
    </row>
    <row r="5272">
      <c r="A5272" s="33" t="n">
        <v>46064</v>
      </c>
      <c r="B5272" t="inlineStr">
        <is>
          <t>2026-02</t>
        </is>
      </c>
      <c r="C5272" t="inlineStr">
        <is>
          <t>BUSTORF LARSEN Y COMPANIA LIMITADA</t>
        </is>
      </c>
      <c r="D5272" t="inlineStr">
        <is>
          <t>HORECA CAFETERIA</t>
        </is>
      </c>
      <c r="E5272" s="34" t="n">
        <v>71210</v>
      </c>
      <c r="F5272" t="inlineStr">
        <is>
          <t>F</t>
        </is>
      </c>
      <c r="G5272" s="34" t="n">
        <v>11370</v>
      </c>
      <c r="H5272" s="34" t="n">
        <v>59840</v>
      </c>
      <c r="I5272" t="inlineStr">
        <is>
          <t>3.1</t>
        </is>
      </c>
      <c r="J5272" t="inlineStr">
        <is>
          <t>Ventas HoReCa</t>
        </is>
      </c>
      <c r="K5272" t="inlineStr">
        <is>
          <t>CH1</t>
        </is>
      </c>
    </row>
    <row r="5273">
      <c r="A5273" s="33" t="n">
        <v>46064</v>
      </c>
      <c r="B5273" t="inlineStr">
        <is>
          <t>2026-02</t>
        </is>
      </c>
      <c r="C5273" t="inlineStr">
        <is>
          <t>BLUE OAK COFFE SPA</t>
        </is>
      </c>
      <c r="D5273" t="inlineStr">
        <is>
          <t>HORECA CAFETERIA</t>
        </is>
      </c>
      <c r="E5273" s="34" t="n">
        <v>39115</v>
      </c>
      <c r="F5273" t="inlineStr">
        <is>
          <t>F</t>
        </is>
      </c>
      <c r="G5273" s="34" t="n">
        <v>6245</v>
      </c>
      <c r="H5273" s="34" t="n">
        <v>32870</v>
      </c>
      <c r="I5273" t="inlineStr">
        <is>
          <t>3.1</t>
        </is>
      </c>
      <c r="J5273" t="inlineStr">
        <is>
          <t>Ventas HoReCa</t>
        </is>
      </c>
      <c r="K5273" t="inlineStr">
        <is>
          <t>CH1</t>
        </is>
      </c>
    </row>
    <row r="5274">
      <c r="A5274" s="33" t="n">
        <v>46064</v>
      </c>
      <c r="B5274" t="inlineStr">
        <is>
          <t>2026-02</t>
        </is>
      </c>
      <c r="C5274" t="inlineStr">
        <is>
          <t>NACIÓN CAFÉ SPA</t>
        </is>
      </c>
      <c r="D5274" t="inlineStr">
        <is>
          <t>HORECA CAFETERIA</t>
        </is>
      </c>
      <c r="E5274" s="34" t="n">
        <v>73494</v>
      </c>
      <c r="F5274" t="inlineStr">
        <is>
          <t>F</t>
        </is>
      </c>
      <c r="G5274" s="34" t="n">
        <v>11734</v>
      </c>
      <c r="H5274" s="34" t="n">
        <v>61760</v>
      </c>
      <c r="I5274" t="inlineStr">
        <is>
          <t>3.1</t>
        </is>
      </c>
      <c r="J5274" t="inlineStr">
        <is>
          <t>Ventas HoReCa</t>
        </is>
      </c>
      <c r="K5274" t="inlineStr">
        <is>
          <t>CH1</t>
        </is>
      </c>
    </row>
    <row r="5275">
      <c r="A5275" s="33" t="n">
        <v>46064</v>
      </c>
      <c r="B5275" t="inlineStr">
        <is>
          <t>2026-02</t>
        </is>
      </c>
      <c r="C5275" t="inlineStr">
        <is>
          <t>Ignacio Luna</t>
        </is>
      </c>
      <c r="D5275" t="inlineStr">
        <is>
          <t>Rellenos</t>
        </is>
      </c>
      <c r="E5275" s="34" t="n">
        <v>27390</v>
      </c>
      <c r="F5275" t="inlineStr">
        <is>
          <t>B</t>
        </is>
      </c>
      <c r="G5275" s="34" t="n">
        <v>4373</v>
      </c>
      <c r="H5275" s="34" t="n">
        <v>23017</v>
      </c>
      <c r="I5275" t="inlineStr">
        <is>
          <t>3.2</t>
        </is>
      </c>
      <c r="J5275" t="inlineStr">
        <is>
          <t>Ventas Personas (B2C)</t>
        </is>
      </c>
      <c r="K5275" t="inlineStr">
        <is>
          <t>CH2</t>
        </is>
      </c>
    </row>
    <row r="5276">
      <c r="A5276" s="33" t="n">
        <v>46064</v>
      </c>
      <c r="B5276" t="inlineStr">
        <is>
          <t>2026-02</t>
        </is>
      </c>
      <c r="C5276" t="inlineStr">
        <is>
          <t>Sociedad de inversiones solari y acuña spa</t>
        </is>
      </c>
      <c r="D5276" t="inlineStr">
        <is>
          <t>HORECA CAFETERIA</t>
        </is>
      </c>
      <c r="E5276" s="34" t="n">
        <v>39115</v>
      </c>
      <c r="F5276" t="inlineStr">
        <is>
          <t>F</t>
        </is>
      </c>
      <c r="G5276" s="34" t="n">
        <v>6245</v>
      </c>
      <c r="H5276" s="34" t="n">
        <v>32870</v>
      </c>
      <c r="I5276" t="inlineStr">
        <is>
          <t>3.1</t>
        </is>
      </c>
      <c r="J5276" t="inlineStr">
        <is>
          <t>Ventas HoReCa</t>
        </is>
      </c>
      <c r="K5276" t="inlineStr">
        <is>
          <t>CH1</t>
        </is>
      </c>
    </row>
    <row r="5277">
      <c r="A5277" s="33" t="n">
        <v>46064</v>
      </c>
      <c r="B5277" t="inlineStr">
        <is>
          <t>2026-02</t>
        </is>
      </c>
      <c r="C5277" t="inlineStr">
        <is>
          <t>Christopher Seitz</t>
        </is>
      </c>
      <c r="D5277" t="inlineStr">
        <is>
          <t>CANELÉ TRADICIONAL</t>
        </is>
      </c>
      <c r="E5277" s="34" t="n">
        <v>19900</v>
      </c>
      <c r="F5277" t="inlineStr">
        <is>
          <t>B</t>
        </is>
      </c>
      <c r="G5277" s="34" t="n">
        <v>3177</v>
      </c>
      <c r="H5277" s="34" t="n">
        <v>16723</v>
      </c>
      <c r="I5277" t="inlineStr">
        <is>
          <t>3.2</t>
        </is>
      </c>
      <c r="J5277" t="inlineStr">
        <is>
          <t>Ventas Personas (B2C)</t>
        </is>
      </c>
      <c r="K5277" t="inlineStr">
        <is>
          <t>CH2</t>
        </is>
      </c>
    </row>
    <row r="5278">
      <c r="A5278" s="33" t="n">
        <v>46064</v>
      </c>
      <c r="B5278" t="inlineStr">
        <is>
          <t>2026-02</t>
        </is>
      </c>
      <c r="C5278" t="inlineStr">
        <is>
          <t>Sociedad de inversiones solari y acuña spa</t>
        </is>
      </c>
      <c r="D5278" t="inlineStr">
        <is>
          <t>HORECA CAFETERIA</t>
        </is>
      </c>
      <c r="E5278" s="34" t="n">
        <v>39115</v>
      </c>
      <c r="F5278" t="inlineStr">
        <is>
          <t>F</t>
        </is>
      </c>
      <c r="G5278" s="34" t="n">
        <v>6245</v>
      </c>
      <c r="H5278" s="34" t="n">
        <v>32870</v>
      </c>
      <c r="I5278" t="inlineStr">
        <is>
          <t>3.1</t>
        </is>
      </c>
      <c r="J5278" t="inlineStr">
        <is>
          <t>Ventas HoReCa</t>
        </is>
      </c>
      <c r="K5278" t="inlineStr">
        <is>
          <t>CH1</t>
        </is>
      </c>
    </row>
    <row r="5279">
      <c r="A5279" s="33" t="n">
        <v>46064</v>
      </c>
      <c r="B5279" t="inlineStr">
        <is>
          <t>2026-02</t>
        </is>
      </c>
      <c r="C5279" t="inlineStr">
        <is>
          <t>Deyanira Contreras</t>
        </is>
      </c>
      <c r="D5279" t="inlineStr">
        <is>
          <t>Canelé Petit Relleno</t>
        </is>
      </c>
      <c r="E5279" s="34" t="n">
        <v>22500</v>
      </c>
      <c r="F5279" t="inlineStr">
        <is>
          <t>B</t>
        </is>
      </c>
      <c r="G5279" s="34" t="n">
        <v>3592</v>
      </c>
      <c r="H5279" s="34" t="n">
        <v>18908</v>
      </c>
      <c r="I5279" t="inlineStr">
        <is>
          <t>3.2</t>
        </is>
      </c>
      <c r="J5279" t="inlineStr">
        <is>
          <t>Ventas Personas (B2C)</t>
        </is>
      </c>
      <c r="K5279" t="inlineStr">
        <is>
          <t>CH2</t>
        </is>
      </c>
    </row>
    <row r="5280">
      <c r="A5280" s="33" t="n">
        <v>46064</v>
      </c>
      <c r="B5280" t="inlineStr">
        <is>
          <t>2026-02</t>
        </is>
      </c>
      <c r="C5280" t="inlineStr">
        <is>
          <t>viviana vergara</t>
        </is>
      </c>
      <c r="D5280" t="inlineStr">
        <is>
          <t>PACKAGING</t>
        </is>
      </c>
      <c r="E5280" s="34" t="n">
        <v>28080</v>
      </c>
      <c r="F5280" t="inlineStr">
        <is>
          <t>B</t>
        </is>
      </c>
      <c r="G5280" s="34" t="n">
        <v>4483</v>
      </c>
      <c r="H5280" s="34" t="n">
        <v>23597</v>
      </c>
      <c r="I5280" t="inlineStr">
        <is>
          <t>3.2</t>
        </is>
      </c>
      <c r="J5280" t="inlineStr">
        <is>
          <t>Ventas Personas (B2C)</t>
        </is>
      </c>
      <c r="K5280" t="inlineStr">
        <is>
          <t>CH2</t>
        </is>
      </c>
    </row>
    <row r="5281">
      <c r="A5281" s="33" t="n">
        <v>46064</v>
      </c>
      <c r="B5281" t="inlineStr">
        <is>
          <t>2026-02</t>
        </is>
      </c>
      <c r="C5281" t="inlineStr">
        <is>
          <t>Sin cliente</t>
        </is>
      </c>
      <c r="D5281" t="inlineStr">
        <is>
          <t>PLATAFORMAS RAP-PEYA-UBER-GOOD</t>
        </is>
      </c>
      <c r="E5281" s="34" t="n">
        <v>29640</v>
      </c>
      <c r="F5281" t="inlineStr">
        <is>
          <t>B</t>
        </is>
      </c>
      <c r="G5281" s="34" t="n">
        <v>4732</v>
      </c>
      <c r="H5281" s="34" t="n">
        <v>24908</v>
      </c>
      <c r="I5281" t="inlineStr">
        <is>
          <t>3.6</t>
        </is>
      </c>
      <c r="J5281" t="inlineStr">
        <is>
          <t>Ventas Delivery Apps</t>
        </is>
      </c>
      <c r="K5281" t="inlineStr">
        <is>
          <t>CH3</t>
        </is>
      </c>
    </row>
    <row r="5282">
      <c r="A5282" s="33" t="n">
        <v>46064</v>
      </c>
      <c r="B5282" t="inlineStr">
        <is>
          <t>2026-02</t>
        </is>
      </c>
      <c r="C5282" t="inlineStr">
        <is>
          <t>Sin cliente</t>
        </is>
      </c>
      <c r="D5282" t="inlineStr">
        <is>
          <t>Petit Crunchy</t>
        </is>
      </c>
      <c r="E5282" s="34" t="n">
        <v>9265</v>
      </c>
      <c r="F5282" t="inlineStr">
        <is>
          <t>B</t>
        </is>
      </c>
      <c r="G5282" s="34" t="n">
        <v>1479</v>
      </c>
      <c r="H5282" s="34" t="n">
        <v>7786</v>
      </c>
      <c r="I5282" t="inlineStr">
        <is>
          <t>3.2</t>
        </is>
      </c>
      <c r="J5282" t="inlineStr">
        <is>
          <t>Ventas Personas (B2C)</t>
        </is>
      </c>
      <c r="K5282" t="inlineStr">
        <is>
          <t>CH2</t>
        </is>
      </c>
    </row>
    <row r="5283">
      <c r="A5283" s="33" t="n">
        <v>46064</v>
      </c>
      <c r="B5283" t="inlineStr">
        <is>
          <t>2026-02</t>
        </is>
      </c>
      <c r="C5283" t="inlineStr">
        <is>
          <t>Sin cliente</t>
        </is>
      </c>
      <c r="D5283" t="inlineStr">
        <is>
          <t>CANELÉ TRADICIONAL</t>
        </is>
      </c>
      <c r="E5283" s="34" t="n">
        <v>2500</v>
      </c>
      <c r="F5283" t="inlineStr">
        <is>
          <t>B</t>
        </is>
      </c>
      <c r="G5283" s="34" t="n">
        <v>399</v>
      </c>
      <c r="H5283" s="34" t="n">
        <v>2101</v>
      </c>
      <c r="I5283" t="inlineStr">
        <is>
          <t>3.2</t>
        </is>
      </c>
      <c r="J5283" t="inlineStr">
        <is>
          <t>Ventas Personas (B2C)</t>
        </is>
      </c>
      <c r="K5283" t="inlineStr">
        <is>
          <t>CH2</t>
        </is>
      </c>
    </row>
    <row r="5284">
      <c r="A5284" s="33" t="n">
        <v>46064</v>
      </c>
      <c r="B5284" t="inlineStr">
        <is>
          <t>2026-02</t>
        </is>
      </c>
      <c r="C5284" t="inlineStr">
        <is>
          <t>Sin cliente</t>
        </is>
      </c>
      <c r="D5284" t="inlineStr">
        <is>
          <t>CANELÉ TRADICIONAL</t>
        </is>
      </c>
      <c r="E5284" s="34" t="n">
        <v>7500</v>
      </c>
      <c r="F5284" t="inlineStr">
        <is>
          <t>B</t>
        </is>
      </c>
      <c r="G5284" s="34" t="n">
        <v>1197</v>
      </c>
      <c r="H5284" s="34" t="n">
        <v>6303</v>
      </c>
      <c r="I5284" t="inlineStr">
        <is>
          <t>3.2</t>
        </is>
      </c>
      <c r="J5284" t="inlineStr">
        <is>
          <t>Ventas Personas (B2C)</t>
        </is>
      </c>
      <c r="K5284" t="inlineStr">
        <is>
          <t>CH2</t>
        </is>
      </c>
    </row>
    <row r="5285">
      <c r="A5285" s="33" t="n">
        <v>46064</v>
      </c>
      <c r="B5285" t="inlineStr">
        <is>
          <t>2026-02</t>
        </is>
      </c>
      <c r="C5285" t="inlineStr">
        <is>
          <t>Min Kwon</t>
        </is>
      </c>
      <c r="D5285" t="inlineStr">
        <is>
          <t>Rellenos</t>
        </is>
      </c>
      <c r="E5285" s="34" t="n">
        <v>32900</v>
      </c>
      <c r="F5285" t="inlineStr">
        <is>
          <t>B</t>
        </is>
      </c>
      <c r="G5285" s="34" t="n">
        <v>5253</v>
      </c>
      <c r="H5285" s="34" t="n">
        <v>27647</v>
      </c>
      <c r="I5285" t="inlineStr">
        <is>
          <t>3.2</t>
        </is>
      </c>
      <c r="J5285" t="inlineStr">
        <is>
          <t>Ventas Personas (B2C)</t>
        </is>
      </c>
      <c r="K5285" t="inlineStr">
        <is>
          <t>CH2</t>
        </is>
      </c>
    </row>
    <row r="5286">
      <c r="A5286" s="33" t="n">
        <v>46064</v>
      </c>
      <c r="B5286" t="inlineStr">
        <is>
          <t>2026-02</t>
        </is>
      </c>
      <c r="C5286" t="inlineStr">
        <is>
          <t>Clara Loyola Bilbao</t>
        </is>
      </c>
      <c r="D5286" t="inlineStr">
        <is>
          <t>SALSAS</t>
        </is>
      </c>
      <c r="E5286" s="34" t="n">
        <v>32890</v>
      </c>
      <c r="F5286" t="inlineStr">
        <is>
          <t>B</t>
        </is>
      </c>
      <c r="G5286" s="34" t="n">
        <v>5251</v>
      </c>
      <c r="H5286" s="34" t="n">
        <v>27639</v>
      </c>
      <c r="I5286" t="inlineStr">
        <is>
          <t>3.2</t>
        </is>
      </c>
      <c r="J5286" t="inlineStr">
        <is>
          <t>Ventas Personas (B2C)</t>
        </is>
      </c>
      <c r="K5286" t="inlineStr">
        <is>
          <t>CH2</t>
        </is>
      </c>
    </row>
    <row r="5287">
      <c r="A5287" s="33" t="n">
        <v>46064</v>
      </c>
      <c r="B5287" t="inlineStr">
        <is>
          <t>2026-02</t>
        </is>
      </c>
      <c r="C5287" t="inlineStr">
        <is>
          <t>Nili Gomberoff Lerner</t>
        </is>
      </c>
      <c r="D5287" t="inlineStr">
        <is>
          <t>Canelé Petit Relleno</t>
        </is>
      </c>
      <c r="E5287" s="34" t="n">
        <v>32400</v>
      </c>
      <c r="F5287" t="inlineStr">
        <is>
          <t>B</t>
        </is>
      </c>
      <c r="G5287" s="34" t="n">
        <v>5173</v>
      </c>
      <c r="H5287" s="34" t="n">
        <v>27227</v>
      </c>
      <c r="I5287" t="inlineStr">
        <is>
          <t>3.2</t>
        </is>
      </c>
      <c r="J5287" t="inlineStr">
        <is>
          <t>Ventas Personas (B2C)</t>
        </is>
      </c>
      <c r="K5287" t="inlineStr">
        <is>
          <t>CH2</t>
        </is>
      </c>
    </row>
    <row r="5288">
      <c r="A5288" s="33" t="n">
        <v>46064</v>
      </c>
      <c r="B5288" t="inlineStr">
        <is>
          <t>2026-02</t>
        </is>
      </c>
      <c r="C5288" t="inlineStr">
        <is>
          <t>Angie Morillo</t>
        </is>
      </c>
      <c r="D5288" t="inlineStr">
        <is>
          <t>Petit Crunchy</t>
        </is>
      </c>
      <c r="E5288" s="34" t="n">
        <v>19390</v>
      </c>
      <c r="F5288" t="inlineStr">
        <is>
          <t>B</t>
        </is>
      </c>
      <c r="G5288" s="34" t="n">
        <v>3096</v>
      </c>
      <c r="H5288" s="34" t="n">
        <v>16294</v>
      </c>
      <c r="I5288" t="inlineStr">
        <is>
          <t>3.2</t>
        </is>
      </c>
      <c r="J5288" t="inlineStr">
        <is>
          <t>Ventas Personas (B2C)</t>
        </is>
      </c>
      <c r="K5288" t="inlineStr">
        <is>
          <t>CH2</t>
        </is>
      </c>
    </row>
    <row r="5289">
      <c r="A5289" s="33" t="n">
        <v>46064</v>
      </c>
      <c r="B5289" t="inlineStr">
        <is>
          <t>2026-02</t>
        </is>
      </c>
      <c r="C5289" t="inlineStr">
        <is>
          <t>Sin cliente</t>
        </is>
      </c>
      <c r="D5289" t="inlineStr">
        <is>
          <t>Otras Regiones</t>
        </is>
      </c>
      <c r="E5289" s="34" t="n">
        <v>8990</v>
      </c>
      <c r="F5289" t="inlineStr">
        <is>
          <t>B</t>
        </is>
      </c>
      <c r="G5289" s="34" t="n">
        <v>1435</v>
      </c>
      <c r="H5289" s="34" t="n">
        <v>7555</v>
      </c>
      <c r="I5289" t="inlineStr">
        <is>
          <t>3.2</t>
        </is>
      </c>
      <c r="J5289" t="inlineStr">
        <is>
          <t>Ventas Personas (B2C)</t>
        </is>
      </c>
      <c r="K5289" t="inlineStr">
        <is>
          <t>CH2</t>
        </is>
      </c>
    </row>
    <row r="5290">
      <c r="A5290" s="33" t="n">
        <v>46064</v>
      </c>
      <c r="B5290" t="inlineStr">
        <is>
          <t>2026-02</t>
        </is>
      </c>
      <c r="C5290" t="inlineStr">
        <is>
          <t>Sin cliente</t>
        </is>
      </c>
      <c r="D5290" t="inlineStr">
        <is>
          <t>Petit Tradicional</t>
        </is>
      </c>
      <c r="E5290" s="34" t="n">
        <v>21800</v>
      </c>
      <c r="F5290" t="inlineStr">
        <is>
          <t>B</t>
        </is>
      </c>
      <c r="G5290" s="34" t="n">
        <v>3481</v>
      </c>
      <c r="H5290" s="34" t="n">
        <v>18319</v>
      </c>
      <c r="I5290" t="inlineStr">
        <is>
          <t>3.2</t>
        </is>
      </c>
      <c r="J5290" t="inlineStr">
        <is>
          <t>Ventas Personas (B2C)</t>
        </is>
      </c>
      <c r="K5290" t="inlineStr">
        <is>
          <t>CH2</t>
        </is>
      </c>
    </row>
    <row r="5291">
      <c r="A5291" s="33" t="n">
        <v>46064</v>
      </c>
      <c r="B5291" t="inlineStr">
        <is>
          <t>2026-02</t>
        </is>
      </c>
      <c r="C5291" t="inlineStr">
        <is>
          <t>Sin cliente</t>
        </is>
      </c>
      <c r="D5291" t="inlineStr">
        <is>
          <t>Rellenos</t>
        </is>
      </c>
      <c r="E5291" s="34" t="n">
        <v>7000</v>
      </c>
      <c r="F5291" t="inlineStr">
        <is>
          <t>B</t>
        </is>
      </c>
      <c r="G5291" s="34" t="n">
        <v>1118</v>
      </c>
      <c r="H5291" s="34" t="n">
        <v>5882</v>
      </c>
      <c r="I5291" t="inlineStr">
        <is>
          <t>3.2</t>
        </is>
      </c>
      <c r="J5291" t="inlineStr">
        <is>
          <t>Ventas Personas (B2C)</t>
        </is>
      </c>
      <c r="K5291" t="inlineStr">
        <is>
          <t>CH2</t>
        </is>
      </c>
    </row>
    <row r="5292">
      <c r="A5292" s="33" t="n">
        <v>46064</v>
      </c>
      <c r="B5292" t="inlineStr">
        <is>
          <t>2026-02</t>
        </is>
      </c>
      <c r="C5292" t="inlineStr">
        <is>
          <t>Katherine Candamil</t>
        </is>
      </c>
      <c r="D5292" t="inlineStr">
        <is>
          <t>Petit Crunchy</t>
        </is>
      </c>
      <c r="E5292" s="34" t="n">
        <v>31700</v>
      </c>
      <c r="F5292" t="inlineStr">
        <is>
          <t>B</t>
        </is>
      </c>
      <c r="G5292" s="34" t="n">
        <v>5061</v>
      </c>
      <c r="H5292" s="34" t="n">
        <v>26639</v>
      </c>
      <c r="I5292" t="inlineStr">
        <is>
          <t>3.2</t>
        </is>
      </c>
      <c r="J5292" t="inlineStr">
        <is>
          <t>Ventas Personas (B2C)</t>
        </is>
      </c>
      <c r="K5292" t="inlineStr">
        <is>
          <t>CH2</t>
        </is>
      </c>
    </row>
    <row r="5293">
      <c r="A5293" s="33" t="n">
        <v>46065</v>
      </c>
      <c r="B5293" t="inlineStr">
        <is>
          <t>2026-02</t>
        </is>
      </c>
      <c r="C5293" t="inlineStr">
        <is>
          <t>Better Food Spa</t>
        </is>
      </c>
      <c r="D5293" t="inlineStr">
        <is>
          <t>HORECA CAFETERIA</t>
        </is>
      </c>
      <c r="E5293" s="34" t="n">
        <v>320943</v>
      </c>
      <c r="F5293" t="inlineStr">
        <is>
          <t>F</t>
        </is>
      </c>
      <c r="G5293" s="34" t="n">
        <v>51243</v>
      </c>
      <c r="H5293" s="34" t="n">
        <v>269700</v>
      </c>
      <c r="I5293" t="inlineStr">
        <is>
          <t>3.1</t>
        </is>
      </c>
      <c r="J5293" t="inlineStr">
        <is>
          <t>Ventas HoReCa</t>
        </is>
      </c>
      <c r="K5293" t="inlineStr">
        <is>
          <t>CH1</t>
        </is>
      </c>
    </row>
    <row r="5294">
      <c r="A5294" s="33" t="n">
        <v>46065</v>
      </c>
      <c r="B5294" t="inlineStr">
        <is>
          <t>2026-02</t>
        </is>
      </c>
      <c r="C5294" t="inlineStr">
        <is>
          <t>Better Food Spa</t>
        </is>
      </c>
      <c r="D5294" t="inlineStr">
        <is>
          <t>REGION METROPOLITANA</t>
        </is>
      </c>
      <c r="E5294" s="34" t="n">
        <v>9401</v>
      </c>
      <c r="F5294" t="inlineStr">
        <is>
          <t>F</t>
        </is>
      </c>
      <c r="G5294" s="34" t="n">
        <v>1501</v>
      </c>
      <c r="H5294" s="34" t="n">
        <v>7900</v>
      </c>
      <c r="I5294" t="inlineStr">
        <is>
          <t>3.1</t>
        </is>
      </c>
      <c r="J5294" t="inlineStr">
        <is>
          <t>Ventas HoReCa</t>
        </is>
      </c>
      <c r="K5294" t="inlineStr">
        <is>
          <t>CH1</t>
        </is>
      </c>
    </row>
    <row r="5295">
      <c r="A5295" s="33" t="n">
        <v>46065</v>
      </c>
      <c r="B5295" t="inlineStr">
        <is>
          <t>2026-02</t>
        </is>
      </c>
      <c r="C5295" t="inlineStr">
        <is>
          <t>VILAS BANQUETERIAS SPA</t>
        </is>
      </c>
      <c r="D5295" t="inlineStr">
        <is>
          <t>HORECA CATERING</t>
        </is>
      </c>
      <c r="E5295" s="34" t="n">
        <v>77707</v>
      </c>
      <c r="F5295" t="inlineStr">
        <is>
          <t>F</t>
        </is>
      </c>
      <c r="G5295" s="34" t="n">
        <v>12407</v>
      </c>
      <c r="H5295" s="34" t="n">
        <v>65300</v>
      </c>
      <c r="I5295" t="inlineStr">
        <is>
          <t>3.1</t>
        </is>
      </c>
      <c r="J5295" t="inlineStr">
        <is>
          <t>Ventas HoReCa</t>
        </is>
      </c>
      <c r="K5295" t="inlineStr">
        <is>
          <t>CH1</t>
        </is>
      </c>
    </row>
    <row r="5296">
      <c r="A5296" s="33" t="n">
        <v>46065</v>
      </c>
      <c r="B5296" t="inlineStr">
        <is>
          <t>2026-02</t>
        </is>
      </c>
      <c r="C5296" t="inlineStr">
        <is>
          <t>DIEGO VARGAS BANQUETERIA Y EVENTOS SPA</t>
        </is>
      </c>
      <c r="D5296" t="inlineStr">
        <is>
          <t>HORECA CATERING</t>
        </is>
      </c>
      <c r="E5296" s="34" t="n">
        <v>150773</v>
      </c>
      <c r="F5296" t="inlineStr">
        <is>
          <t>F</t>
        </is>
      </c>
      <c r="G5296" s="34" t="n">
        <v>24073</v>
      </c>
      <c r="H5296" s="34" t="n">
        <v>126700</v>
      </c>
      <c r="I5296" t="inlineStr">
        <is>
          <t>3.1</t>
        </is>
      </c>
      <c r="J5296" t="inlineStr">
        <is>
          <t>Ventas HoReCa</t>
        </is>
      </c>
      <c r="K5296" t="inlineStr">
        <is>
          <t>CH1</t>
        </is>
      </c>
    </row>
    <row r="5297">
      <c r="A5297" s="33" t="n">
        <v>46065</v>
      </c>
      <c r="B5297" t="inlineStr">
        <is>
          <t>2026-02</t>
        </is>
      </c>
      <c r="C5297" t="inlineStr">
        <is>
          <t>BLUE OAK COFFE SPA</t>
        </is>
      </c>
      <c r="D5297" t="inlineStr">
        <is>
          <t>HORECA CAFETERIA</t>
        </is>
      </c>
      <c r="E5297" s="34" t="n">
        <v>168504</v>
      </c>
      <c r="F5297" t="inlineStr">
        <is>
          <t>F</t>
        </is>
      </c>
      <c r="G5297" s="34" t="n">
        <v>26904</v>
      </c>
      <c r="H5297" s="34" t="n">
        <v>141600</v>
      </c>
      <c r="I5297" t="inlineStr">
        <is>
          <t>3.1</t>
        </is>
      </c>
      <c r="J5297" t="inlineStr">
        <is>
          <t>Ventas HoReCa</t>
        </is>
      </c>
      <c r="K5297" t="inlineStr">
        <is>
          <t>CH1</t>
        </is>
      </c>
    </row>
    <row r="5298">
      <c r="A5298" s="33" t="n">
        <v>46065</v>
      </c>
      <c r="B5298" t="inlineStr">
        <is>
          <t>2026-02</t>
        </is>
      </c>
      <c r="C5298" t="inlineStr">
        <is>
          <t>D&amp;S SERVICIOS DE ALIMENTACIÓN SpA</t>
        </is>
      </c>
      <c r="D5298" t="inlineStr">
        <is>
          <t xml:space="preserve">THE COFFEE STORE </t>
        </is>
      </c>
      <c r="E5298" s="34" t="n">
        <v>44705</v>
      </c>
      <c r="F5298" t="inlineStr">
        <is>
          <t>F</t>
        </is>
      </c>
      <c r="G5298" s="34" t="n">
        <v>7138</v>
      </c>
      <c r="H5298" s="34" t="n">
        <v>37567</v>
      </c>
      <c r="I5298" t="inlineStr">
        <is>
          <t>3.1</t>
        </is>
      </c>
      <c r="J5298" t="inlineStr">
        <is>
          <t>Ventas HoReCa</t>
        </is>
      </c>
      <c r="K5298" t="inlineStr">
        <is>
          <t>CH1</t>
        </is>
      </c>
    </row>
    <row r="5299">
      <c r="A5299" s="33" t="n">
        <v>46065</v>
      </c>
      <c r="B5299" t="inlineStr">
        <is>
          <t>2026-02</t>
        </is>
      </c>
      <c r="C5299" t="inlineStr">
        <is>
          <t>TAVELLI S.A.</t>
        </is>
      </c>
      <c r="D5299" t="inlineStr">
        <is>
          <t>HORECA CAFETERIA</t>
        </is>
      </c>
      <c r="E5299" s="34" t="n">
        <v>818405</v>
      </c>
      <c r="F5299" t="inlineStr">
        <is>
          <t>F</t>
        </is>
      </c>
      <c r="G5299" s="34" t="n">
        <v>130670</v>
      </c>
      <c r="H5299" s="34" t="n">
        <v>687735</v>
      </c>
      <c r="I5299" t="inlineStr">
        <is>
          <t>3.1</t>
        </is>
      </c>
      <c r="J5299" t="inlineStr">
        <is>
          <t>Ventas HoReCa</t>
        </is>
      </c>
      <c r="K5299" t="inlineStr">
        <is>
          <t>CH1</t>
        </is>
      </c>
    </row>
    <row r="5300">
      <c r="A5300" s="33" t="n">
        <v>46065</v>
      </c>
      <c r="B5300" t="inlineStr">
        <is>
          <t>2026-02</t>
        </is>
      </c>
      <c r="C5300" t="inlineStr">
        <is>
          <t>TAVELLI S.A.</t>
        </is>
      </c>
      <c r="D5300" t="inlineStr">
        <is>
          <t>REGION METROPOLITANA</t>
        </is>
      </c>
      <c r="E5300" s="34" t="n">
        <v>35700</v>
      </c>
      <c r="F5300" t="inlineStr">
        <is>
          <t>F</t>
        </is>
      </c>
      <c r="G5300" s="34" t="n">
        <v>5700</v>
      </c>
      <c r="H5300" s="34" t="n">
        <v>30000</v>
      </c>
      <c r="I5300" t="inlineStr">
        <is>
          <t>3.1</t>
        </is>
      </c>
      <c r="J5300" t="inlineStr">
        <is>
          <t>Ventas HoReCa</t>
        </is>
      </c>
      <c r="K5300" t="inlineStr">
        <is>
          <t>CH1</t>
        </is>
      </c>
    </row>
    <row r="5301">
      <c r="A5301" s="33" t="n">
        <v>46065</v>
      </c>
      <c r="B5301" t="inlineStr">
        <is>
          <t>2026-02</t>
        </is>
      </c>
      <c r="C5301" t="inlineStr">
        <is>
          <t>Paulina Reich</t>
        </is>
      </c>
      <c r="D5301" t="inlineStr">
        <is>
          <t>Petit Crunchy</t>
        </is>
      </c>
      <c r="E5301" s="34" t="n">
        <v>10900</v>
      </c>
      <c r="F5301" t="inlineStr">
        <is>
          <t>B</t>
        </is>
      </c>
      <c r="G5301" s="34" t="n">
        <v>1740</v>
      </c>
      <c r="H5301" s="34" t="n">
        <v>9160</v>
      </c>
      <c r="I5301" t="inlineStr">
        <is>
          <t>3.2</t>
        </is>
      </c>
      <c r="J5301" t="inlineStr">
        <is>
          <t>Ventas Personas (B2C)</t>
        </is>
      </c>
      <c r="K5301" t="inlineStr">
        <is>
          <t>CH2</t>
        </is>
      </c>
    </row>
    <row r="5302">
      <c r="A5302" s="33" t="n">
        <v>46065</v>
      </c>
      <c r="B5302" t="inlineStr">
        <is>
          <t>2026-02</t>
        </is>
      </c>
      <c r="C5302" t="inlineStr">
        <is>
          <t>Javiera Alfaro</t>
        </is>
      </c>
      <c r="D5302" t="inlineStr">
        <is>
          <t>Petit Crunchy</t>
        </is>
      </c>
      <c r="E5302" s="34" t="n">
        <v>9810</v>
      </c>
      <c r="F5302" t="inlineStr">
        <is>
          <t>B</t>
        </is>
      </c>
      <c r="G5302" s="34" t="n">
        <v>1566</v>
      </c>
      <c r="H5302" s="34" t="n">
        <v>8244</v>
      </c>
      <c r="I5302" t="inlineStr">
        <is>
          <t>3.2</t>
        </is>
      </c>
      <c r="J5302" t="inlineStr">
        <is>
          <t>Ventas Personas (B2C)</t>
        </is>
      </c>
      <c r="K5302" t="inlineStr">
        <is>
          <t>CH2</t>
        </is>
      </c>
    </row>
    <row r="5303">
      <c r="A5303" s="33" t="n">
        <v>46065</v>
      </c>
      <c r="B5303" t="inlineStr">
        <is>
          <t>2026-02</t>
        </is>
      </c>
      <c r="C5303" t="inlineStr">
        <is>
          <t>Martín  Luna</t>
        </is>
      </c>
      <c r="D5303" t="inlineStr">
        <is>
          <t>Rellenos</t>
        </is>
      </c>
      <c r="E5303" s="34" t="n">
        <v>35780</v>
      </c>
      <c r="F5303" t="inlineStr">
        <is>
          <t>B</t>
        </is>
      </c>
      <c r="G5303" s="34" t="n">
        <v>5713</v>
      </c>
      <c r="H5303" s="34" t="n">
        <v>30067</v>
      </c>
      <c r="I5303" t="inlineStr">
        <is>
          <t>3.2</t>
        </is>
      </c>
      <c r="J5303" t="inlineStr">
        <is>
          <t>Ventas Personas (B2C)</t>
        </is>
      </c>
      <c r="K5303" t="inlineStr">
        <is>
          <t>CH2</t>
        </is>
      </c>
    </row>
    <row r="5304">
      <c r="A5304" s="33" t="n">
        <v>46065</v>
      </c>
      <c r="B5304" t="inlineStr">
        <is>
          <t>2026-02</t>
        </is>
      </c>
      <c r="C5304" t="inlineStr">
        <is>
          <t>Álvaro Cárcamo Lobos</t>
        </is>
      </c>
      <c r="D5304" t="inlineStr">
        <is>
          <t>Mix Sabores</t>
        </is>
      </c>
      <c r="E5304" s="34" t="n">
        <v>40701</v>
      </c>
      <c r="F5304" t="inlineStr">
        <is>
          <t>B</t>
        </is>
      </c>
      <c r="G5304" s="34" t="n">
        <v>6498</v>
      </c>
      <c r="H5304" s="34" t="n">
        <v>34203</v>
      </c>
      <c r="I5304" t="inlineStr">
        <is>
          <t>3.2</t>
        </is>
      </c>
      <c r="J5304" t="inlineStr">
        <is>
          <t>Ventas Personas (B2C)</t>
        </is>
      </c>
      <c r="K5304" t="inlineStr">
        <is>
          <t>CH2</t>
        </is>
      </c>
    </row>
    <row r="5305">
      <c r="A5305" s="33" t="n">
        <v>46065</v>
      </c>
      <c r="B5305" t="inlineStr">
        <is>
          <t>2026-02</t>
        </is>
      </c>
      <c r="C5305" t="inlineStr">
        <is>
          <t>Sin cliente</t>
        </is>
      </c>
      <c r="D5305" t="inlineStr">
        <is>
          <t>Petit Crunchy</t>
        </is>
      </c>
      <c r="E5305" s="34" t="n">
        <v>11800</v>
      </c>
      <c r="F5305" t="inlineStr">
        <is>
          <t>B</t>
        </is>
      </c>
      <c r="G5305" s="34" t="n">
        <v>1884</v>
      </c>
      <c r="H5305" s="34" t="n">
        <v>9916</v>
      </c>
      <c r="I5305" t="inlineStr">
        <is>
          <t>3.2</t>
        </is>
      </c>
      <c r="J5305" t="inlineStr">
        <is>
          <t>Ventas Personas (B2C)</t>
        </is>
      </c>
      <c r="K5305" t="inlineStr">
        <is>
          <t>CH2</t>
        </is>
      </c>
    </row>
    <row r="5306">
      <c r="A5306" s="33" t="n">
        <v>46065</v>
      </c>
      <c r="B5306" t="inlineStr">
        <is>
          <t>2026-02</t>
        </is>
      </c>
      <c r="C5306" t="inlineStr">
        <is>
          <t>Sin cliente</t>
        </is>
      </c>
      <c r="D5306" t="inlineStr">
        <is>
          <t>CANELÉ TRADICIONAL</t>
        </is>
      </c>
      <c r="E5306" s="34" t="n">
        <v>15900</v>
      </c>
      <c r="F5306" t="inlineStr">
        <is>
          <t>B</t>
        </is>
      </c>
      <c r="G5306" s="34" t="n">
        <v>2539</v>
      </c>
      <c r="H5306" s="34" t="n">
        <v>13361</v>
      </c>
      <c r="I5306" t="inlineStr">
        <is>
          <t>3.2</t>
        </is>
      </c>
      <c r="J5306" t="inlineStr">
        <is>
          <t>Ventas Personas (B2C)</t>
        </is>
      </c>
      <c r="K5306" t="inlineStr">
        <is>
          <t>CH2</t>
        </is>
      </c>
    </row>
    <row r="5307">
      <c r="A5307" s="33" t="n">
        <v>46065</v>
      </c>
      <c r="B5307" t="inlineStr">
        <is>
          <t>2026-02</t>
        </is>
      </c>
      <c r="C5307" t="inlineStr">
        <is>
          <t>Sin cliente</t>
        </is>
      </c>
      <c r="D5307" t="inlineStr">
        <is>
          <t>PLATAFORMAS RAP-PEYA-UBER-GOOD</t>
        </is>
      </c>
      <c r="E5307" s="34" t="n">
        <v>16560</v>
      </c>
      <c r="F5307" t="inlineStr">
        <is>
          <t>B</t>
        </is>
      </c>
      <c r="G5307" s="34" t="n">
        <v>2644</v>
      </c>
      <c r="H5307" s="34" t="n">
        <v>13916</v>
      </c>
      <c r="I5307" t="inlineStr">
        <is>
          <t>3.6</t>
        </is>
      </c>
      <c r="J5307" t="inlineStr">
        <is>
          <t>Ventas Delivery Apps</t>
        </is>
      </c>
      <c r="K5307" t="inlineStr">
        <is>
          <t>CH3</t>
        </is>
      </c>
    </row>
    <row r="5308">
      <c r="A5308" s="33" t="n">
        <v>46065</v>
      </c>
      <c r="B5308" t="inlineStr">
        <is>
          <t>2026-02</t>
        </is>
      </c>
      <c r="C5308" t="inlineStr">
        <is>
          <t>Sin cliente</t>
        </is>
      </c>
      <c r="D5308" t="inlineStr">
        <is>
          <t>Petit Tradicional</t>
        </is>
      </c>
      <c r="E5308" s="34" t="n">
        <v>27030</v>
      </c>
      <c r="F5308" t="inlineStr">
        <is>
          <t>B</t>
        </is>
      </c>
      <c r="G5308" s="34" t="n">
        <v>4316</v>
      </c>
      <c r="H5308" s="34" t="n">
        <v>22714</v>
      </c>
      <c r="I5308" t="inlineStr">
        <is>
          <t>3.2</t>
        </is>
      </c>
      <c r="J5308" t="inlineStr">
        <is>
          <t>Ventas Personas (B2C)</t>
        </is>
      </c>
      <c r="K5308" t="inlineStr">
        <is>
          <t>CH2</t>
        </is>
      </c>
    </row>
    <row r="5309">
      <c r="A5309" s="33" t="n">
        <v>46065</v>
      </c>
      <c r="B5309" t="inlineStr">
        <is>
          <t>2026-02</t>
        </is>
      </c>
      <c r="C5309" t="inlineStr">
        <is>
          <t>María Teresa Aránguiz Serrano</t>
        </is>
      </c>
      <c r="D5309" t="inlineStr">
        <is>
          <t>SALSAS</t>
        </is>
      </c>
      <c r="E5309" s="34" t="n">
        <v>42921</v>
      </c>
      <c r="F5309" t="inlineStr">
        <is>
          <t>B</t>
        </is>
      </c>
      <c r="G5309" s="34" t="n">
        <v>6853</v>
      </c>
      <c r="H5309" s="34" t="n">
        <v>36068</v>
      </c>
      <c r="I5309" t="inlineStr">
        <is>
          <t>3.2</t>
        </is>
      </c>
      <c r="J5309" t="inlineStr">
        <is>
          <t>Ventas Personas (B2C)</t>
        </is>
      </c>
      <c r="K5309" t="inlineStr">
        <is>
          <t>CH2</t>
        </is>
      </c>
    </row>
    <row r="5310">
      <c r="A5310" s="33" t="n">
        <v>46065</v>
      </c>
      <c r="B5310" t="inlineStr">
        <is>
          <t>2026-02</t>
        </is>
      </c>
      <c r="C5310" t="inlineStr">
        <is>
          <t>Genesis Gonzalez Novillo</t>
        </is>
      </c>
      <c r="D5310" t="inlineStr">
        <is>
          <t>Petit Crunchy</t>
        </is>
      </c>
      <c r="E5310" s="34" t="n">
        <v>32390</v>
      </c>
      <c r="F5310" t="inlineStr">
        <is>
          <t>B</t>
        </is>
      </c>
      <c r="G5310" s="34" t="n">
        <v>5172</v>
      </c>
      <c r="H5310" s="34" t="n">
        <v>27218</v>
      </c>
      <c r="I5310" t="inlineStr">
        <is>
          <t>3.2</t>
        </is>
      </c>
      <c r="J5310" t="inlineStr">
        <is>
          <t>Ventas Personas (B2C)</t>
        </is>
      </c>
      <c r="K5310" t="inlineStr">
        <is>
          <t>CH2</t>
        </is>
      </c>
    </row>
    <row r="5311">
      <c r="A5311" s="33" t="n">
        <v>46065</v>
      </c>
      <c r="B5311" t="inlineStr">
        <is>
          <t>2026-02</t>
        </is>
      </c>
      <c r="C5311" t="inlineStr">
        <is>
          <t>Valentina Barros</t>
        </is>
      </c>
      <c r="D5311" t="inlineStr">
        <is>
          <t>Canelé Petit Relleno</t>
        </is>
      </c>
      <c r="E5311" s="34" t="n">
        <v>18390</v>
      </c>
      <c r="F5311" t="inlineStr">
        <is>
          <t>B</t>
        </is>
      </c>
      <c r="G5311" s="34" t="n">
        <v>2936</v>
      </c>
      <c r="H5311" s="34" t="n">
        <v>15454</v>
      </c>
      <c r="I5311" t="inlineStr">
        <is>
          <t>3.2</t>
        </is>
      </c>
      <c r="J5311" t="inlineStr">
        <is>
          <t>Ventas Personas (B2C)</t>
        </is>
      </c>
      <c r="K5311" t="inlineStr">
        <is>
          <t>CH2</t>
        </is>
      </c>
    </row>
    <row r="5312">
      <c r="A5312" s="33" t="n">
        <v>46065</v>
      </c>
      <c r="B5312" t="inlineStr">
        <is>
          <t>2026-02</t>
        </is>
      </c>
      <c r="C5312" t="inlineStr">
        <is>
          <t>Nikita Pompei</t>
        </is>
      </c>
      <c r="D5312" t="inlineStr">
        <is>
          <t>PACKAGING</t>
        </is>
      </c>
      <c r="E5312" s="34" t="n">
        <v>34580</v>
      </c>
      <c r="F5312" t="inlineStr">
        <is>
          <t>B</t>
        </is>
      </c>
      <c r="G5312" s="34" t="n">
        <v>5521</v>
      </c>
      <c r="H5312" s="34" t="n">
        <v>29059</v>
      </c>
      <c r="I5312" t="inlineStr">
        <is>
          <t>3.2</t>
        </is>
      </c>
      <c r="J5312" t="inlineStr">
        <is>
          <t>Ventas Personas (B2C)</t>
        </is>
      </c>
      <c r="K5312" t="inlineStr">
        <is>
          <t>CH2</t>
        </is>
      </c>
    </row>
    <row r="5313">
      <c r="A5313" s="33" t="n">
        <v>46065</v>
      </c>
      <c r="B5313" t="inlineStr">
        <is>
          <t>2026-02</t>
        </is>
      </c>
      <c r="C5313" t="inlineStr">
        <is>
          <t>Sin cliente</t>
        </is>
      </c>
      <c r="D5313" t="inlineStr">
        <is>
          <t>Rellenos</t>
        </is>
      </c>
      <c r="E5313" s="34" t="n">
        <v>17200</v>
      </c>
      <c r="F5313" t="inlineStr">
        <is>
          <t>B</t>
        </is>
      </c>
      <c r="G5313" s="34" t="n">
        <v>2746</v>
      </c>
      <c r="H5313" s="34" t="n">
        <v>14454</v>
      </c>
      <c r="I5313" t="inlineStr">
        <is>
          <t>3.2</t>
        </is>
      </c>
      <c r="J5313" t="inlineStr">
        <is>
          <t>Ventas Personas (B2C)</t>
        </is>
      </c>
      <c r="K5313" t="inlineStr">
        <is>
          <t>CH2</t>
        </is>
      </c>
    </row>
    <row r="5314">
      <c r="A5314" s="33" t="n">
        <v>46065</v>
      </c>
      <c r="B5314" t="inlineStr">
        <is>
          <t>2026-02</t>
        </is>
      </c>
      <c r="C5314" t="inlineStr">
        <is>
          <t>Sin cliente</t>
        </is>
      </c>
      <c r="D5314" t="inlineStr">
        <is>
          <t>Rellenos</t>
        </is>
      </c>
      <c r="E5314" s="34" t="n">
        <v>9500</v>
      </c>
      <c r="F5314" t="inlineStr">
        <is>
          <t>B</t>
        </is>
      </c>
      <c r="G5314" s="34" t="n">
        <v>1517</v>
      </c>
      <c r="H5314" s="34" t="n">
        <v>7983</v>
      </c>
      <c r="I5314" t="inlineStr">
        <is>
          <t>3.2</t>
        </is>
      </c>
      <c r="J5314" t="inlineStr">
        <is>
          <t>Ventas Personas (B2C)</t>
        </is>
      </c>
      <c r="K5314" t="inlineStr">
        <is>
          <t>CH2</t>
        </is>
      </c>
    </row>
    <row r="5315">
      <c r="A5315" s="33" t="n">
        <v>46065</v>
      </c>
      <c r="B5315" t="inlineStr">
        <is>
          <t>2026-02</t>
        </is>
      </c>
      <c r="C5315" t="inlineStr">
        <is>
          <t>Sin cliente</t>
        </is>
      </c>
      <c r="D5315" t="inlineStr">
        <is>
          <t>Petit Tradicional</t>
        </is>
      </c>
      <c r="E5315" s="34" t="n">
        <v>9800</v>
      </c>
      <c r="F5315" t="inlineStr">
        <is>
          <t>B</t>
        </is>
      </c>
      <c r="G5315" s="34" t="n">
        <v>1565</v>
      </c>
      <c r="H5315" s="34" t="n">
        <v>8235</v>
      </c>
      <c r="I5315" t="inlineStr">
        <is>
          <t>3.2</t>
        </is>
      </c>
      <c r="J5315" t="inlineStr">
        <is>
          <t>Ventas Personas (B2C)</t>
        </is>
      </c>
      <c r="K5315" t="inlineStr">
        <is>
          <t>CH2</t>
        </is>
      </c>
    </row>
    <row r="5316">
      <c r="A5316" s="33" t="n">
        <v>46065</v>
      </c>
      <c r="B5316" t="inlineStr">
        <is>
          <t>2026-02</t>
        </is>
      </c>
      <c r="C5316" t="inlineStr">
        <is>
          <t>Sin cliente</t>
        </is>
      </c>
      <c r="D5316" t="inlineStr">
        <is>
          <t>Mix Sabores</t>
        </is>
      </c>
      <c r="E5316" s="34" t="n">
        <v>22015</v>
      </c>
      <c r="F5316" t="inlineStr">
        <is>
          <t>B</t>
        </is>
      </c>
      <c r="G5316" s="34" t="n">
        <v>3515</v>
      </c>
      <c r="H5316" s="34" t="n">
        <v>18500</v>
      </c>
      <c r="I5316" t="inlineStr">
        <is>
          <t>3.2</t>
        </is>
      </c>
      <c r="J5316" t="inlineStr">
        <is>
          <t>Ventas Personas (B2C)</t>
        </is>
      </c>
      <c r="K5316" t="inlineStr">
        <is>
          <t>CH2</t>
        </is>
      </c>
    </row>
    <row r="5317">
      <c r="A5317" s="33" t="n">
        <v>46065</v>
      </c>
      <c r="B5317" t="inlineStr">
        <is>
          <t>2026-02</t>
        </is>
      </c>
      <c r="C5317" t="inlineStr">
        <is>
          <t>Carolina Blake</t>
        </is>
      </c>
      <c r="D5317" t="inlineStr">
        <is>
          <t>PACKAGING</t>
        </is>
      </c>
      <c r="E5317" s="34" t="n">
        <v>23210</v>
      </c>
      <c r="F5317" t="inlineStr">
        <is>
          <t>B</t>
        </is>
      </c>
      <c r="G5317" s="34" t="n">
        <v>3706</v>
      </c>
      <c r="H5317" s="34" t="n">
        <v>19504</v>
      </c>
      <c r="I5317" t="inlineStr">
        <is>
          <t>3.2</t>
        </is>
      </c>
      <c r="J5317" t="inlineStr">
        <is>
          <t>Ventas Personas (B2C)</t>
        </is>
      </c>
      <c r="K5317" t="inlineStr">
        <is>
          <t>CH2</t>
        </is>
      </c>
    </row>
    <row r="5318">
      <c r="A5318" s="33" t="n">
        <v>46065</v>
      </c>
      <c r="B5318" t="inlineStr">
        <is>
          <t>2026-02</t>
        </is>
      </c>
      <c r="C5318" t="inlineStr">
        <is>
          <t>Caroline Bar</t>
        </is>
      </c>
      <c r="D5318" t="inlineStr">
        <is>
          <t>Petit Tradicional</t>
        </is>
      </c>
      <c r="E5318" s="34" t="n">
        <v>23120</v>
      </c>
      <c r="F5318" t="inlineStr">
        <is>
          <t>B</t>
        </is>
      </c>
      <c r="G5318" s="34" t="n">
        <v>3691</v>
      </c>
      <c r="H5318" s="34" t="n">
        <v>19429</v>
      </c>
      <c r="I5318" t="inlineStr">
        <is>
          <t>3.2</t>
        </is>
      </c>
      <c r="J5318" t="inlineStr">
        <is>
          <t>Ventas Personas (B2C)</t>
        </is>
      </c>
      <c r="K5318" t="inlineStr">
        <is>
          <t>CH2</t>
        </is>
      </c>
    </row>
    <row r="5319">
      <c r="A5319" s="33" t="n">
        <v>46065</v>
      </c>
      <c r="B5319" t="inlineStr">
        <is>
          <t>2026-02</t>
        </is>
      </c>
      <c r="C5319" t="inlineStr">
        <is>
          <t>Sin cliente</t>
        </is>
      </c>
      <c r="D5319" t="inlineStr">
        <is>
          <t>CANELÉ TRADICIONAL</t>
        </is>
      </c>
      <c r="E5319" s="34" t="n">
        <v>10740</v>
      </c>
      <c r="F5319" t="inlineStr">
        <is>
          <t>B</t>
        </is>
      </c>
      <c r="G5319" s="34" t="n">
        <v>1715</v>
      </c>
      <c r="H5319" s="34" t="n">
        <v>9025</v>
      </c>
      <c r="I5319" t="inlineStr">
        <is>
          <t>3.2</t>
        </is>
      </c>
      <c r="J5319" t="inlineStr">
        <is>
          <t>Ventas Personas (B2C)</t>
        </is>
      </c>
      <c r="K5319" t="inlineStr">
        <is>
          <t>CH2</t>
        </is>
      </c>
    </row>
    <row r="5320">
      <c r="A5320" s="33" t="n">
        <v>46065</v>
      </c>
      <c r="B5320" t="inlineStr">
        <is>
          <t>2026-02</t>
        </is>
      </c>
      <c r="C5320" t="inlineStr">
        <is>
          <t>Sin cliente</t>
        </is>
      </c>
      <c r="D5320" t="inlineStr">
        <is>
          <t>CANELÉ TRADICIONAL</t>
        </is>
      </c>
      <c r="E5320" s="34" t="n">
        <v>8740</v>
      </c>
      <c r="F5320" t="inlineStr">
        <is>
          <t>B</t>
        </is>
      </c>
      <c r="G5320" s="34" t="n">
        <v>1395</v>
      </c>
      <c r="H5320" s="34" t="n">
        <v>7345</v>
      </c>
      <c r="I5320" t="inlineStr">
        <is>
          <t>3.2</t>
        </is>
      </c>
      <c r="J5320" t="inlineStr">
        <is>
          <t>Ventas Personas (B2C)</t>
        </is>
      </c>
      <c r="K5320" t="inlineStr">
        <is>
          <t>CH2</t>
        </is>
      </c>
    </row>
    <row r="5321">
      <c r="A5321" s="33" t="n">
        <v>46065</v>
      </c>
      <c r="B5321" t="inlineStr">
        <is>
          <t>2026-02</t>
        </is>
      </c>
      <c r="C5321" t="inlineStr">
        <is>
          <t>Sin cliente</t>
        </is>
      </c>
      <c r="D5321" t="inlineStr">
        <is>
          <t>PLATAFORMAS RAP-PEYA-UBER-GOOD</t>
        </is>
      </c>
      <c r="E5321" s="34" t="n">
        <v>10200</v>
      </c>
      <c r="F5321" t="inlineStr">
        <is>
          <t>B</t>
        </is>
      </c>
      <c r="G5321" s="34" t="n">
        <v>1629</v>
      </c>
      <c r="H5321" s="34" t="n">
        <v>8571</v>
      </c>
      <c r="I5321" t="inlineStr">
        <is>
          <t>3.6</t>
        </is>
      </c>
      <c r="J5321" t="inlineStr">
        <is>
          <t>Ventas Delivery Apps</t>
        </is>
      </c>
      <c r="K5321" t="inlineStr">
        <is>
          <t>CH3</t>
        </is>
      </c>
    </row>
    <row r="5322">
      <c r="A5322" s="33" t="n">
        <v>46065</v>
      </c>
      <c r="B5322" t="inlineStr">
        <is>
          <t>2026-02</t>
        </is>
      </c>
      <c r="C5322" t="inlineStr">
        <is>
          <t>Sin cliente</t>
        </is>
      </c>
      <c r="D5322" t="inlineStr">
        <is>
          <t>Petit Crunchy</t>
        </is>
      </c>
      <c r="E5322" s="34" t="n">
        <v>14400</v>
      </c>
      <c r="F5322" t="inlineStr">
        <is>
          <t>B</t>
        </is>
      </c>
      <c r="G5322" s="34" t="n">
        <v>2299</v>
      </c>
      <c r="H5322" s="34" t="n">
        <v>12101</v>
      </c>
      <c r="I5322" t="inlineStr">
        <is>
          <t>3.2</t>
        </is>
      </c>
      <c r="J5322" t="inlineStr">
        <is>
          <t>Ventas Personas (B2C)</t>
        </is>
      </c>
      <c r="K5322" t="inlineStr">
        <is>
          <t>CH2</t>
        </is>
      </c>
    </row>
    <row r="5323">
      <c r="A5323" s="33" t="n">
        <v>46065</v>
      </c>
      <c r="B5323" t="inlineStr">
        <is>
          <t>2026-02</t>
        </is>
      </c>
      <c r="C5323" t="inlineStr">
        <is>
          <t>Sin cliente</t>
        </is>
      </c>
      <c r="D5323" t="inlineStr">
        <is>
          <t>PLATAFORMAS RAP-PEYA-UBER-GOOD</t>
        </is>
      </c>
      <c r="E5323" s="34" t="n">
        <v>22680</v>
      </c>
      <c r="F5323" t="inlineStr">
        <is>
          <t>B</t>
        </is>
      </c>
      <c r="G5323" s="34" t="n">
        <v>3621</v>
      </c>
      <c r="H5323" s="34" t="n">
        <v>19059</v>
      </c>
      <c r="I5323" t="inlineStr">
        <is>
          <t>3.6</t>
        </is>
      </c>
      <c r="J5323" t="inlineStr">
        <is>
          <t>Ventas Delivery Apps</t>
        </is>
      </c>
      <c r="K5323" t="inlineStr">
        <is>
          <t>CH3</t>
        </is>
      </c>
    </row>
    <row r="5324">
      <c r="A5324" s="33" t="n">
        <v>46065</v>
      </c>
      <c r="B5324" t="inlineStr">
        <is>
          <t>2026-02</t>
        </is>
      </c>
      <c r="C5324" t="inlineStr">
        <is>
          <t>Sin cliente</t>
        </is>
      </c>
      <c r="D5324" t="inlineStr">
        <is>
          <t>CANELÉ TRADICIONAL</t>
        </is>
      </c>
      <c r="E5324" s="34" t="n">
        <v>54300</v>
      </c>
      <c r="F5324" t="inlineStr">
        <is>
          <t>B</t>
        </is>
      </c>
      <c r="G5324" s="34" t="n">
        <v>8670</v>
      </c>
      <c r="H5324" s="34" t="n">
        <v>45630</v>
      </c>
      <c r="I5324" t="inlineStr">
        <is>
          <t>3.2</t>
        </is>
      </c>
      <c r="J5324" t="inlineStr">
        <is>
          <t>Ventas Personas (B2C)</t>
        </is>
      </c>
      <c r="K5324" t="inlineStr">
        <is>
          <t>CH2</t>
        </is>
      </c>
    </row>
    <row r="5325">
      <c r="A5325" s="33" t="n">
        <v>46065</v>
      </c>
      <c r="B5325" t="inlineStr">
        <is>
          <t>2026-02</t>
        </is>
      </c>
      <c r="C5325" t="inlineStr">
        <is>
          <t>Sebastian Valderrama</t>
        </is>
      </c>
      <c r="D5325" t="inlineStr">
        <is>
          <t>Petit Crunchy</t>
        </is>
      </c>
      <c r="E5325" s="34" t="n">
        <v>20390</v>
      </c>
      <c r="F5325" t="inlineStr">
        <is>
          <t>B</t>
        </is>
      </c>
      <c r="G5325" s="34" t="n">
        <v>3256</v>
      </c>
      <c r="H5325" s="34" t="n">
        <v>17134</v>
      </c>
      <c r="I5325" t="inlineStr">
        <is>
          <t>3.2</t>
        </is>
      </c>
      <c r="J5325" t="inlineStr">
        <is>
          <t>Ventas Personas (B2C)</t>
        </is>
      </c>
      <c r="K5325" t="inlineStr">
        <is>
          <t>CH2</t>
        </is>
      </c>
    </row>
    <row r="5326">
      <c r="A5326" s="33" t="n">
        <v>46065</v>
      </c>
      <c r="B5326" t="inlineStr">
        <is>
          <t>2026-02</t>
        </is>
      </c>
      <c r="C5326" t="inlineStr">
        <is>
          <t>Daniel López Barrera</t>
        </is>
      </c>
      <c r="D5326" t="inlineStr">
        <is>
          <t>Rellenos</t>
        </is>
      </c>
      <c r="E5326" s="34" t="n">
        <v>29100</v>
      </c>
      <c r="F5326" t="inlineStr">
        <is>
          <t>B</t>
        </is>
      </c>
      <c r="G5326" s="34" t="n">
        <v>4646</v>
      </c>
      <c r="H5326" s="34" t="n">
        <v>24454</v>
      </c>
      <c r="I5326" t="inlineStr">
        <is>
          <t>3.2</t>
        </is>
      </c>
      <c r="J5326" t="inlineStr">
        <is>
          <t>Ventas Personas (B2C)</t>
        </is>
      </c>
      <c r="K5326" t="inlineStr">
        <is>
          <t>CH2</t>
        </is>
      </c>
    </row>
    <row r="5327">
      <c r="A5327" s="33" t="n">
        <v>46066</v>
      </c>
      <c r="B5327" t="inlineStr">
        <is>
          <t>2026-02</t>
        </is>
      </c>
      <c r="C5327" t="inlineStr">
        <is>
          <t>Inversiones Café Dominicos SpA</t>
        </is>
      </c>
      <c r="D5327" t="inlineStr">
        <is>
          <t xml:space="preserve">THE COFFEE STORE </t>
        </is>
      </c>
      <c r="E5327" s="34" t="n">
        <v>42325</v>
      </c>
      <c r="F5327" t="inlineStr">
        <is>
          <t>F</t>
        </is>
      </c>
      <c r="G5327" s="34" t="n">
        <v>6758</v>
      </c>
      <c r="H5327" s="34" t="n">
        <v>35567</v>
      </c>
      <c r="I5327" t="inlineStr">
        <is>
          <t>3.1</t>
        </is>
      </c>
      <c r="J5327" t="inlineStr">
        <is>
          <t>Ventas HoReCa</t>
        </is>
      </c>
      <c r="K5327" t="inlineStr">
        <is>
          <t>CH1</t>
        </is>
      </c>
    </row>
    <row r="5328">
      <c r="A5328" s="33" t="n">
        <v>46066</v>
      </c>
      <c r="B5328" t="inlineStr">
        <is>
          <t>2026-02</t>
        </is>
      </c>
      <c r="C5328" t="inlineStr">
        <is>
          <t>CAFE DIARIO ENCOMENDEROS SPA</t>
        </is>
      </c>
      <c r="D5328" t="inlineStr">
        <is>
          <t>HORECA CAFETERIA</t>
        </is>
      </c>
      <c r="E5328" s="34" t="n">
        <v>71995</v>
      </c>
      <c r="F5328" t="inlineStr">
        <is>
          <t>F</t>
        </is>
      </c>
      <c r="G5328" s="34" t="n">
        <v>11495</v>
      </c>
      <c r="H5328" s="34" t="n">
        <v>60500</v>
      </c>
      <c r="I5328" t="inlineStr">
        <is>
          <t>3.1</t>
        </is>
      </c>
      <c r="J5328" t="inlineStr">
        <is>
          <t>Ventas HoReCa</t>
        </is>
      </c>
      <c r="K5328" t="inlineStr">
        <is>
          <t>CH1</t>
        </is>
      </c>
    </row>
    <row r="5329">
      <c r="A5329" s="33" t="n">
        <v>46066</v>
      </c>
      <c r="B5329" t="inlineStr">
        <is>
          <t>2026-02</t>
        </is>
      </c>
      <c r="C5329" t="inlineStr">
        <is>
          <t>Cocoshouse Spa</t>
        </is>
      </c>
      <c r="D5329" t="inlineStr">
        <is>
          <t>HORECA CAFETERIA</t>
        </is>
      </c>
      <c r="E5329" s="34" t="n">
        <v>39115</v>
      </c>
      <c r="F5329" t="inlineStr">
        <is>
          <t>F</t>
        </is>
      </c>
      <c r="G5329" s="34" t="n">
        <v>6245</v>
      </c>
      <c r="H5329" s="34" t="n">
        <v>32870</v>
      </c>
      <c r="I5329" t="inlineStr">
        <is>
          <t>3.1</t>
        </is>
      </c>
      <c r="J5329" t="inlineStr">
        <is>
          <t>Ventas HoReCa</t>
        </is>
      </c>
      <c r="K5329" t="inlineStr">
        <is>
          <t>CH1</t>
        </is>
      </c>
    </row>
    <row r="5330">
      <c r="A5330" s="33" t="n">
        <v>46066</v>
      </c>
      <c r="B5330" t="inlineStr">
        <is>
          <t>2026-02</t>
        </is>
      </c>
      <c r="C5330" t="inlineStr">
        <is>
          <t>Hernán Coronado Sarabia</t>
        </is>
      </c>
      <c r="D5330" t="inlineStr">
        <is>
          <t>Canelé Petit Relleno</t>
        </is>
      </c>
      <c r="E5330" s="34" t="n">
        <v>69290</v>
      </c>
      <c r="F5330" t="inlineStr">
        <is>
          <t>B</t>
        </is>
      </c>
      <c r="G5330" s="34" t="n">
        <v>11063</v>
      </c>
      <c r="H5330" s="34" t="n">
        <v>58227</v>
      </c>
      <c r="I5330" t="inlineStr">
        <is>
          <t>3.2</t>
        </is>
      </c>
      <c r="J5330" t="inlineStr">
        <is>
          <t>Ventas Personas (B2C)</t>
        </is>
      </c>
      <c r="K5330" t="inlineStr">
        <is>
          <t>CH2</t>
        </is>
      </c>
    </row>
    <row r="5331">
      <c r="A5331" s="33" t="n">
        <v>46066</v>
      </c>
      <c r="B5331" t="inlineStr">
        <is>
          <t>2026-02</t>
        </is>
      </c>
      <c r="C5331" t="inlineStr">
        <is>
          <t>Natalia Centeno</t>
        </is>
      </c>
      <c r="D5331" t="inlineStr">
        <is>
          <t>CANELÉ TRADICIONAL</t>
        </is>
      </c>
      <c r="E5331" s="34" t="n">
        <v>35810</v>
      </c>
      <c r="F5331" t="inlineStr">
        <is>
          <t>B</t>
        </is>
      </c>
      <c r="G5331" s="34" t="n">
        <v>5718</v>
      </c>
      <c r="H5331" s="34" t="n">
        <v>30092</v>
      </c>
      <c r="I5331" t="inlineStr">
        <is>
          <t>3.2</t>
        </is>
      </c>
      <c r="J5331" t="inlineStr">
        <is>
          <t>Ventas Personas (B2C)</t>
        </is>
      </c>
      <c r="K5331" t="inlineStr">
        <is>
          <t>CH2</t>
        </is>
      </c>
    </row>
    <row r="5332">
      <c r="A5332" s="33" t="n">
        <v>46066</v>
      </c>
      <c r="B5332" t="inlineStr">
        <is>
          <t>2026-02</t>
        </is>
      </c>
      <c r="C5332" t="inlineStr">
        <is>
          <t>Pablo Roa</t>
        </is>
      </c>
      <c r="D5332" t="inlineStr">
        <is>
          <t>Rellenos</t>
        </is>
      </c>
      <c r="E5332" s="34" t="n">
        <v>29610</v>
      </c>
      <c r="F5332" t="inlineStr">
        <is>
          <t>B</t>
        </is>
      </c>
      <c r="G5332" s="34" t="n">
        <v>4728</v>
      </c>
      <c r="H5332" s="34" t="n">
        <v>24882</v>
      </c>
      <c r="I5332" t="inlineStr">
        <is>
          <t>3.2</t>
        </is>
      </c>
      <c r="J5332" t="inlineStr">
        <is>
          <t>Ventas Personas (B2C)</t>
        </is>
      </c>
      <c r="K5332" t="inlineStr">
        <is>
          <t>CH2</t>
        </is>
      </c>
    </row>
    <row r="5333">
      <c r="A5333" s="33" t="n">
        <v>46066</v>
      </c>
      <c r="B5333" t="inlineStr">
        <is>
          <t>2026-02</t>
        </is>
      </c>
      <c r="C5333" t="inlineStr">
        <is>
          <t>Sin cliente</t>
        </is>
      </c>
      <c r="D5333" t="inlineStr">
        <is>
          <t>Petit Crunchy</t>
        </is>
      </c>
      <c r="E5333" s="34" t="n">
        <v>58700</v>
      </c>
      <c r="F5333" t="inlineStr">
        <is>
          <t>B</t>
        </is>
      </c>
      <c r="G5333" s="34" t="n">
        <v>9372</v>
      </c>
      <c r="H5333" s="34" t="n">
        <v>49328</v>
      </c>
      <c r="I5333" t="inlineStr">
        <is>
          <t>3.2</t>
        </is>
      </c>
      <c r="J5333" t="inlineStr">
        <is>
          <t>Ventas Personas (B2C)</t>
        </is>
      </c>
      <c r="K5333" t="inlineStr">
        <is>
          <t>CH2</t>
        </is>
      </c>
    </row>
    <row r="5334">
      <c r="A5334" s="33" t="n">
        <v>46066</v>
      </c>
      <c r="B5334" t="inlineStr">
        <is>
          <t>2026-02</t>
        </is>
      </c>
      <c r="C5334" t="inlineStr">
        <is>
          <t>Sin cliente</t>
        </is>
      </c>
      <c r="D5334" t="inlineStr">
        <is>
          <t>Rellenos</t>
        </is>
      </c>
      <c r="E5334" s="34" t="n">
        <v>18900</v>
      </c>
      <c r="F5334" t="inlineStr">
        <is>
          <t>B</t>
        </is>
      </c>
      <c r="G5334" s="34" t="n">
        <v>3018</v>
      </c>
      <c r="H5334" s="34" t="n">
        <v>15882</v>
      </c>
      <c r="I5334" t="inlineStr">
        <is>
          <t>3.2</t>
        </is>
      </c>
      <c r="J5334" t="inlineStr">
        <is>
          <t>Ventas Personas (B2C)</t>
        </is>
      </c>
      <c r="K5334" t="inlineStr">
        <is>
          <t>CH2</t>
        </is>
      </c>
    </row>
    <row r="5335">
      <c r="A5335" s="33" t="n">
        <v>46066</v>
      </c>
      <c r="B5335" t="inlineStr">
        <is>
          <t>2026-02</t>
        </is>
      </c>
      <c r="C5335" t="inlineStr">
        <is>
          <t>Sin cliente</t>
        </is>
      </c>
      <c r="D5335" t="inlineStr">
        <is>
          <t xml:space="preserve">Glosa Bolsa celeste - pedidos </t>
        </is>
      </c>
      <c r="E5335" s="34" t="n">
        <v>6970</v>
      </c>
      <c r="F5335" t="inlineStr">
        <is>
          <t>B</t>
        </is>
      </c>
      <c r="G5335" s="34" t="n">
        <v>1113</v>
      </c>
      <c r="H5335" s="34" t="n">
        <v>5857</v>
      </c>
      <c r="I5335" t="inlineStr">
        <is>
          <t>3.2</t>
        </is>
      </c>
      <c r="J5335" t="inlineStr">
        <is>
          <t>Ventas Personas (B2C)</t>
        </is>
      </c>
      <c r="K5335" t="inlineStr">
        <is>
          <t>CH2</t>
        </is>
      </c>
    </row>
    <row r="5336">
      <c r="A5336" s="33" t="n">
        <v>46066</v>
      </c>
      <c r="B5336" t="inlineStr">
        <is>
          <t>2026-02</t>
        </is>
      </c>
      <c r="C5336" t="inlineStr">
        <is>
          <t>Sin cliente</t>
        </is>
      </c>
      <c r="D5336" t="inlineStr">
        <is>
          <t>Rellenos</t>
        </is>
      </c>
      <c r="E5336" s="34" t="n">
        <v>18900</v>
      </c>
      <c r="F5336" t="inlineStr">
        <is>
          <t>B</t>
        </is>
      </c>
      <c r="G5336" s="34" t="n">
        <v>3018</v>
      </c>
      <c r="H5336" s="34" t="n">
        <v>15882</v>
      </c>
      <c r="I5336" t="inlineStr">
        <is>
          <t>3.2</t>
        </is>
      </c>
      <c r="J5336" t="inlineStr">
        <is>
          <t>Ventas Personas (B2C)</t>
        </is>
      </c>
      <c r="K5336" t="inlineStr">
        <is>
          <t>CH2</t>
        </is>
      </c>
    </row>
    <row r="5337">
      <c r="A5337" s="33" t="n">
        <v>46066</v>
      </c>
      <c r="B5337" t="inlineStr">
        <is>
          <t>2026-02</t>
        </is>
      </c>
      <c r="C5337" t="inlineStr">
        <is>
          <t>Marisol Valencia Moya</t>
        </is>
      </c>
      <c r="D5337" t="inlineStr">
        <is>
          <t>Rellenos</t>
        </is>
      </c>
      <c r="E5337" s="34" t="n">
        <v>63790</v>
      </c>
      <c r="F5337" t="inlineStr">
        <is>
          <t>B</t>
        </is>
      </c>
      <c r="G5337" s="34" t="n">
        <v>10185</v>
      </c>
      <c r="H5337" s="34" t="n">
        <v>53605</v>
      </c>
      <c r="I5337" t="inlineStr">
        <is>
          <t>3.2</t>
        </is>
      </c>
      <c r="J5337" t="inlineStr">
        <is>
          <t>Ventas Personas (B2C)</t>
        </is>
      </c>
      <c r="K5337" t="inlineStr">
        <is>
          <t>CH2</t>
        </is>
      </c>
    </row>
    <row r="5338">
      <c r="A5338" s="33" t="n">
        <v>46066</v>
      </c>
      <c r="B5338" t="inlineStr">
        <is>
          <t>2026-02</t>
        </is>
      </c>
      <c r="C5338" t="inlineStr">
        <is>
          <t>Misael Leyton</t>
        </is>
      </c>
      <c r="D5338" t="inlineStr">
        <is>
          <t>Mix Sabores</t>
        </is>
      </c>
      <c r="E5338" s="34" t="n">
        <v>54190</v>
      </c>
      <c r="F5338" t="inlineStr">
        <is>
          <t>B</t>
        </is>
      </c>
      <c r="G5338" s="34" t="n">
        <v>8652</v>
      </c>
      <c r="H5338" s="34" t="n">
        <v>45538</v>
      </c>
      <c r="I5338" t="inlineStr">
        <is>
          <t>3.2</t>
        </is>
      </c>
      <c r="J5338" t="inlineStr">
        <is>
          <t>Ventas Personas (B2C)</t>
        </is>
      </c>
      <c r="K5338" t="inlineStr">
        <is>
          <t>CH2</t>
        </is>
      </c>
    </row>
    <row r="5339">
      <c r="A5339" s="33" t="n">
        <v>46066</v>
      </c>
      <c r="B5339" t="inlineStr">
        <is>
          <t>2026-02</t>
        </is>
      </c>
      <c r="C5339" t="inlineStr">
        <is>
          <t>Sam Choi</t>
        </is>
      </c>
      <c r="D5339" t="inlineStr">
        <is>
          <t>Rellenos</t>
        </is>
      </c>
      <c r="E5339" s="34" t="n">
        <v>24490</v>
      </c>
      <c r="F5339" t="inlineStr">
        <is>
          <t>B</t>
        </is>
      </c>
      <c r="G5339" s="34" t="n">
        <v>3910</v>
      </c>
      <c r="H5339" s="34" t="n">
        <v>20580</v>
      </c>
      <c r="I5339" t="inlineStr">
        <is>
          <t>3.2</t>
        </is>
      </c>
      <c r="J5339" t="inlineStr">
        <is>
          <t>Ventas Personas (B2C)</t>
        </is>
      </c>
      <c r="K5339" t="inlineStr">
        <is>
          <t>CH2</t>
        </is>
      </c>
    </row>
    <row r="5340">
      <c r="A5340" s="33" t="n">
        <v>46066</v>
      </c>
      <c r="B5340" t="inlineStr">
        <is>
          <t>2026-02</t>
        </is>
      </c>
      <c r="C5340" t="inlineStr">
        <is>
          <t>Sin cliente</t>
        </is>
      </c>
      <c r="D5340" t="inlineStr">
        <is>
          <t>Rellenos</t>
        </is>
      </c>
      <c r="E5340" s="34" t="n">
        <v>22100</v>
      </c>
      <c r="F5340" t="inlineStr">
        <is>
          <t>B</t>
        </is>
      </c>
      <c r="G5340" s="34" t="n">
        <v>3529</v>
      </c>
      <c r="H5340" s="34" t="n">
        <v>18571</v>
      </c>
      <c r="I5340" t="inlineStr">
        <is>
          <t>3.2</t>
        </is>
      </c>
      <c r="J5340" t="inlineStr">
        <is>
          <t>Ventas Personas (B2C)</t>
        </is>
      </c>
      <c r="K5340" t="inlineStr">
        <is>
          <t>CH2</t>
        </is>
      </c>
    </row>
    <row r="5341">
      <c r="A5341" s="33" t="n">
        <v>46066</v>
      </c>
      <c r="B5341" t="inlineStr">
        <is>
          <t>2026-02</t>
        </is>
      </c>
      <c r="C5341" t="inlineStr">
        <is>
          <t>Sin cliente</t>
        </is>
      </c>
      <c r="D5341" t="inlineStr">
        <is>
          <t>Rellenos</t>
        </is>
      </c>
      <c r="E5341" s="34" t="n">
        <v>41800</v>
      </c>
      <c r="F5341" t="inlineStr">
        <is>
          <t>B</t>
        </is>
      </c>
      <c r="G5341" s="34" t="n">
        <v>6674</v>
      </c>
      <c r="H5341" s="34" t="n">
        <v>35126</v>
      </c>
      <c r="I5341" t="inlineStr">
        <is>
          <t>3.2</t>
        </is>
      </c>
      <c r="J5341" t="inlineStr">
        <is>
          <t>Ventas Personas (B2C)</t>
        </is>
      </c>
      <c r="K5341" t="inlineStr">
        <is>
          <t>CH2</t>
        </is>
      </c>
    </row>
    <row r="5342">
      <c r="A5342" s="33" t="n">
        <v>46066</v>
      </c>
      <c r="B5342" t="inlineStr">
        <is>
          <t>2026-02</t>
        </is>
      </c>
      <c r="C5342" t="inlineStr">
        <is>
          <t>Catalina Bandera</t>
        </is>
      </c>
      <c r="D5342" t="inlineStr">
        <is>
          <t>CANELÉ TRADICIONAL</t>
        </is>
      </c>
      <c r="E5342" s="34" t="n">
        <v>21390</v>
      </c>
      <c r="F5342" t="inlineStr">
        <is>
          <t>B</t>
        </is>
      </c>
      <c r="G5342" s="34" t="n">
        <v>3415</v>
      </c>
      <c r="H5342" s="34" t="n">
        <v>17975</v>
      </c>
      <c r="I5342" t="inlineStr">
        <is>
          <t>3.2</t>
        </is>
      </c>
      <c r="J5342" t="inlineStr">
        <is>
          <t>Ventas Personas (B2C)</t>
        </is>
      </c>
      <c r="K5342" t="inlineStr">
        <is>
          <t>CH2</t>
        </is>
      </c>
    </row>
    <row r="5343">
      <c r="A5343" s="33" t="n">
        <v>46066</v>
      </c>
      <c r="B5343" t="inlineStr">
        <is>
          <t>2026-02</t>
        </is>
      </c>
      <c r="C5343" t="inlineStr">
        <is>
          <t>Sin cliente</t>
        </is>
      </c>
      <c r="D5343" t="inlineStr">
        <is>
          <t>Rellenos</t>
        </is>
      </c>
      <c r="E5343" s="34" t="n">
        <v>18900</v>
      </c>
      <c r="F5343" t="inlineStr">
        <is>
          <t>B</t>
        </is>
      </c>
      <c r="G5343" s="34" t="n">
        <v>3018</v>
      </c>
      <c r="H5343" s="34" t="n">
        <v>15882</v>
      </c>
      <c r="I5343" t="inlineStr">
        <is>
          <t>3.2</t>
        </is>
      </c>
      <c r="J5343" t="inlineStr">
        <is>
          <t>Ventas Personas (B2C)</t>
        </is>
      </c>
      <c r="K5343" t="inlineStr">
        <is>
          <t>CH2</t>
        </is>
      </c>
    </row>
    <row r="5344">
      <c r="A5344" s="33" t="n">
        <v>46066</v>
      </c>
      <c r="B5344" t="inlineStr">
        <is>
          <t>2026-02</t>
        </is>
      </c>
      <c r="C5344" t="inlineStr">
        <is>
          <t>Sin cliente</t>
        </is>
      </c>
      <c r="D5344" t="inlineStr">
        <is>
          <t>Rellenos</t>
        </is>
      </c>
      <c r="E5344" s="34" t="n">
        <v>22400</v>
      </c>
      <c r="F5344" t="inlineStr">
        <is>
          <t>B</t>
        </is>
      </c>
      <c r="G5344" s="34" t="n">
        <v>3576</v>
      </c>
      <c r="H5344" s="34" t="n">
        <v>18824</v>
      </c>
      <c r="I5344" t="inlineStr">
        <is>
          <t>3.2</t>
        </is>
      </c>
      <c r="J5344" t="inlineStr">
        <is>
          <t>Ventas Personas (B2C)</t>
        </is>
      </c>
      <c r="K5344" t="inlineStr">
        <is>
          <t>CH2</t>
        </is>
      </c>
    </row>
    <row r="5345">
      <c r="A5345" s="33" t="n">
        <v>46066</v>
      </c>
      <c r="B5345" t="inlineStr">
        <is>
          <t>2026-02</t>
        </is>
      </c>
      <c r="C5345" t="inlineStr">
        <is>
          <t>Sin cliente</t>
        </is>
      </c>
      <c r="D5345" t="inlineStr">
        <is>
          <t>CANELÉ TRADICIONAL</t>
        </is>
      </c>
      <c r="E5345" s="34" t="n">
        <v>15900</v>
      </c>
      <c r="F5345" t="inlineStr">
        <is>
          <t>B</t>
        </is>
      </c>
      <c r="G5345" s="34" t="n">
        <v>2539</v>
      </c>
      <c r="H5345" s="34" t="n">
        <v>13361</v>
      </c>
      <c r="I5345" t="inlineStr">
        <is>
          <t>3.2</t>
        </is>
      </c>
      <c r="J5345" t="inlineStr">
        <is>
          <t>Ventas Personas (B2C)</t>
        </is>
      </c>
      <c r="K5345" t="inlineStr">
        <is>
          <t>CH2</t>
        </is>
      </c>
    </row>
    <row r="5346">
      <c r="A5346" s="33" t="n">
        <v>46066</v>
      </c>
      <c r="B5346" t="inlineStr">
        <is>
          <t>2026-02</t>
        </is>
      </c>
      <c r="C5346" t="inlineStr">
        <is>
          <t>Irene Del Corro</t>
        </is>
      </c>
      <c r="D5346" t="inlineStr">
        <is>
          <t>Petit Tradicional</t>
        </is>
      </c>
      <c r="E5346" s="34" t="n">
        <v>14290</v>
      </c>
      <c r="F5346" t="inlineStr">
        <is>
          <t>B</t>
        </is>
      </c>
      <c r="G5346" s="34" t="n">
        <v>2282</v>
      </c>
      <c r="H5346" s="34" t="n">
        <v>12008</v>
      </c>
      <c r="I5346" t="inlineStr">
        <is>
          <t>3.2</t>
        </is>
      </c>
      <c r="J5346" t="inlineStr">
        <is>
          <t>Ventas Personas (B2C)</t>
        </is>
      </c>
      <c r="K5346" t="inlineStr">
        <is>
          <t>CH2</t>
        </is>
      </c>
    </row>
    <row r="5347">
      <c r="A5347" s="33" t="n">
        <v>46066</v>
      </c>
      <c r="B5347" t="inlineStr">
        <is>
          <t>2026-02</t>
        </is>
      </c>
      <c r="C5347" t="inlineStr">
        <is>
          <t>Sin cliente</t>
        </is>
      </c>
      <c r="D5347" t="inlineStr">
        <is>
          <t>PLATAFORMAS RAP-PEYA-UBER-GOOD</t>
        </is>
      </c>
      <c r="E5347" s="34" t="n">
        <v>32040</v>
      </c>
      <c r="F5347" t="inlineStr">
        <is>
          <t>B</t>
        </is>
      </c>
      <c r="G5347" s="34" t="n">
        <v>5116</v>
      </c>
      <c r="H5347" s="34" t="n">
        <v>26924</v>
      </c>
      <c r="I5347" t="inlineStr">
        <is>
          <t>3.6</t>
        </is>
      </c>
      <c r="J5347" t="inlineStr">
        <is>
          <t>Ventas Delivery Apps</t>
        </is>
      </c>
      <c r="K5347" t="inlineStr">
        <is>
          <t>CH3</t>
        </is>
      </c>
    </row>
    <row r="5348">
      <c r="A5348" s="33" t="n">
        <v>46066</v>
      </c>
      <c r="B5348" t="inlineStr">
        <is>
          <t>2026-02</t>
        </is>
      </c>
      <c r="C5348" t="inlineStr">
        <is>
          <t>Sin cliente</t>
        </is>
      </c>
      <c r="D5348" t="inlineStr">
        <is>
          <t>Canelé Petit Relleno</t>
        </is>
      </c>
      <c r="E5348" s="34" t="n">
        <v>19800</v>
      </c>
      <c r="F5348" t="inlineStr">
        <is>
          <t>B</t>
        </is>
      </c>
      <c r="G5348" s="34" t="n">
        <v>3161</v>
      </c>
      <c r="H5348" s="34" t="n">
        <v>16639</v>
      </c>
      <c r="I5348" t="inlineStr">
        <is>
          <t>3.2</t>
        </is>
      </c>
      <c r="J5348" t="inlineStr">
        <is>
          <t>Ventas Personas (B2C)</t>
        </is>
      </c>
      <c r="K5348" t="inlineStr">
        <is>
          <t>CH2</t>
        </is>
      </c>
    </row>
    <row r="5349">
      <c r="A5349" s="33" t="n">
        <v>46066</v>
      </c>
      <c r="B5349" t="inlineStr">
        <is>
          <t>2026-02</t>
        </is>
      </c>
      <c r="C5349" t="inlineStr">
        <is>
          <t xml:space="preserve">Café lucerna spa </t>
        </is>
      </c>
      <c r="D5349" t="inlineStr">
        <is>
          <t>HORECA CAFETERIA</t>
        </is>
      </c>
      <c r="E5349" s="34" t="n">
        <v>71210</v>
      </c>
      <c r="F5349" t="inlineStr">
        <is>
          <t>F</t>
        </is>
      </c>
      <c r="G5349" s="34" t="n">
        <v>11370</v>
      </c>
      <c r="H5349" s="34" t="n">
        <v>59840</v>
      </c>
      <c r="I5349" t="inlineStr">
        <is>
          <t>3.1</t>
        </is>
      </c>
      <c r="J5349" t="inlineStr">
        <is>
          <t>Ventas HoReCa</t>
        </is>
      </c>
      <c r="K5349" t="inlineStr">
        <is>
          <t>CH1</t>
        </is>
      </c>
    </row>
    <row r="5350">
      <c r="A5350" s="33" t="n">
        <v>46066</v>
      </c>
      <c r="B5350" t="inlineStr">
        <is>
          <t>2026-02</t>
        </is>
      </c>
      <c r="C5350" t="inlineStr">
        <is>
          <t>Jenny Londoño</t>
        </is>
      </c>
      <c r="D5350" t="inlineStr">
        <is>
          <t>Petit Crunchy</t>
        </is>
      </c>
      <c r="E5350" s="34" t="n">
        <v>13410</v>
      </c>
      <c r="F5350" t="inlineStr">
        <is>
          <t>B</t>
        </is>
      </c>
      <c r="G5350" s="34" t="n">
        <v>2141</v>
      </c>
      <c r="H5350" s="34" t="n">
        <v>11269</v>
      </c>
      <c r="I5350" t="inlineStr">
        <is>
          <t>3.2</t>
        </is>
      </c>
      <c r="J5350" t="inlineStr">
        <is>
          <t>Ventas Personas (B2C)</t>
        </is>
      </c>
      <c r="K5350" t="inlineStr">
        <is>
          <t>CH2</t>
        </is>
      </c>
    </row>
    <row r="5351">
      <c r="A5351" s="33" t="n">
        <v>46066</v>
      </c>
      <c r="B5351" t="inlineStr">
        <is>
          <t>2026-02</t>
        </is>
      </c>
      <c r="C5351" t="inlineStr">
        <is>
          <t>Sang Hyuk Hong</t>
        </is>
      </c>
      <c r="D5351" t="inlineStr">
        <is>
          <t>Rellenos</t>
        </is>
      </c>
      <c r="E5351" s="34" t="n">
        <v>79090</v>
      </c>
      <c r="F5351" t="inlineStr">
        <is>
          <t>B</t>
        </is>
      </c>
      <c r="G5351" s="34" t="n">
        <v>12628</v>
      </c>
      <c r="H5351" s="34" t="n">
        <v>66462</v>
      </c>
      <c r="I5351" t="inlineStr">
        <is>
          <t>3.2</t>
        </is>
      </c>
      <c r="J5351" t="inlineStr">
        <is>
          <t>Ventas Personas (B2C)</t>
        </is>
      </c>
      <c r="K5351" t="inlineStr">
        <is>
          <t>CH2</t>
        </is>
      </c>
    </row>
    <row r="5352">
      <c r="A5352" s="33" t="n">
        <v>46066</v>
      </c>
      <c r="B5352" t="inlineStr">
        <is>
          <t>2026-02</t>
        </is>
      </c>
      <c r="C5352" t="inlineStr">
        <is>
          <t>Sin cliente</t>
        </is>
      </c>
      <c r="D5352" t="inlineStr">
        <is>
          <t>PLATAFORMAS RAP-PEYA-UBER-GOOD</t>
        </is>
      </c>
      <c r="E5352" s="34" t="n">
        <v>22680</v>
      </c>
      <c r="F5352" t="inlineStr">
        <is>
          <t>B</t>
        </is>
      </c>
      <c r="G5352" s="34" t="n">
        <v>3621</v>
      </c>
      <c r="H5352" s="34" t="n">
        <v>19059</v>
      </c>
      <c r="I5352" t="inlineStr">
        <is>
          <t>3.6</t>
        </is>
      </c>
      <c r="J5352" t="inlineStr">
        <is>
          <t>Ventas Delivery Apps</t>
        </is>
      </c>
      <c r="K5352" t="inlineStr">
        <is>
          <t>CH3</t>
        </is>
      </c>
    </row>
    <row r="5353">
      <c r="A5353" s="33" t="n">
        <v>46066</v>
      </c>
      <c r="B5353" t="inlineStr">
        <is>
          <t>2026-02</t>
        </is>
      </c>
      <c r="C5353" t="inlineStr">
        <is>
          <t>Sin cliente</t>
        </is>
      </c>
      <c r="D5353" t="inlineStr">
        <is>
          <t>PLATAFORMAS RAP-PEYA-UBER-GOOD</t>
        </is>
      </c>
      <c r="E5353" s="34" t="n">
        <v>36960</v>
      </c>
      <c r="F5353" t="inlineStr">
        <is>
          <t>B</t>
        </is>
      </c>
      <c r="G5353" s="34" t="n">
        <v>5901</v>
      </c>
      <c r="H5353" s="34" t="n">
        <v>31059</v>
      </c>
      <c r="I5353" t="inlineStr">
        <is>
          <t>3.6</t>
        </is>
      </c>
      <c r="J5353" t="inlineStr">
        <is>
          <t>Ventas Delivery Apps</t>
        </is>
      </c>
      <c r="K5353" t="inlineStr">
        <is>
          <t>CH3</t>
        </is>
      </c>
    </row>
    <row r="5354">
      <c r="A5354" s="33" t="n">
        <v>46066</v>
      </c>
      <c r="B5354" t="inlineStr">
        <is>
          <t>2026-02</t>
        </is>
      </c>
      <c r="C5354" t="inlineStr">
        <is>
          <t>Sin cliente</t>
        </is>
      </c>
      <c r="D5354" t="inlineStr">
        <is>
          <t>PLATAFORMAS RAP-PEYA-UBER-GOOD</t>
        </is>
      </c>
      <c r="E5354" s="34" t="n">
        <v>16776</v>
      </c>
      <c r="F5354" t="inlineStr">
        <is>
          <t>B</t>
        </is>
      </c>
      <c r="G5354" s="34" t="n">
        <v>2679</v>
      </c>
      <c r="H5354" s="34" t="n">
        <v>14097</v>
      </c>
      <c r="I5354" t="inlineStr">
        <is>
          <t>3.6</t>
        </is>
      </c>
      <c r="J5354" t="inlineStr">
        <is>
          <t>Ventas Delivery Apps</t>
        </is>
      </c>
      <c r="K5354" t="inlineStr">
        <is>
          <t>CH3</t>
        </is>
      </c>
    </row>
    <row r="5355">
      <c r="A5355" s="33" t="n">
        <v>46066</v>
      </c>
      <c r="B5355" t="inlineStr">
        <is>
          <t>2026-02</t>
        </is>
      </c>
      <c r="C5355" t="inlineStr">
        <is>
          <t>Sin cliente</t>
        </is>
      </c>
      <c r="D5355" t="inlineStr">
        <is>
          <t>PLATAFORMAS RAP-PEYA-UBER-GOOD</t>
        </is>
      </c>
      <c r="E5355" s="34" t="n">
        <v>30360</v>
      </c>
      <c r="F5355" t="inlineStr">
        <is>
          <t>B</t>
        </is>
      </c>
      <c r="G5355" s="34" t="n">
        <v>4847</v>
      </c>
      <c r="H5355" s="34" t="n">
        <v>25513</v>
      </c>
      <c r="I5355" t="inlineStr">
        <is>
          <t>3.6</t>
        </is>
      </c>
      <c r="J5355" t="inlineStr">
        <is>
          <t>Ventas Delivery Apps</t>
        </is>
      </c>
      <c r="K5355" t="inlineStr">
        <is>
          <t>CH3</t>
        </is>
      </c>
    </row>
    <row r="5356">
      <c r="A5356" s="33" t="n">
        <v>46066</v>
      </c>
      <c r="B5356" t="inlineStr">
        <is>
          <t>2026-02</t>
        </is>
      </c>
      <c r="C5356" t="inlineStr">
        <is>
          <t>Sin cliente</t>
        </is>
      </c>
      <c r="D5356" t="inlineStr">
        <is>
          <t>CANELÉ TRADICIONAL</t>
        </is>
      </c>
      <c r="E5356" s="34" t="n">
        <v>8940</v>
      </c>
      <c r="F5356" t="inlineStr">
        <is>
          <t>B</t>
        </is>
      </c>
      <c r="G5356" s="34" t="n">
        <v>1427</v>
      </c>
      <c r="H5356" s="34" t="n">
        <v>7513</v>
      </c>
      <c r="I5356" t="inlineStr">
        <is>
          <t>3.2</t>
        </is>
      </c>
      <c r="J5356" t="inlineStr">
        <is>
          <t>Ventas Personas (B2C)</t>
        </is>
      </c>
      <c r="K5356" t="inlineStr">
        <is>
          <t>CH2</t>
        </is>
      </c>
    </row>
    <row r="5357">
      <c r="A5357" s="33" t="n">
        <v>46066</v>
      </c>
      <c r="B5357" t="inlineStr">
        <is>
          <t>2026-02</t>
        </is>
      </c>
      <c r="C5357" t="inlineStr">
        <is>
          <t>Sin cliente</t>
        </is>
      </c>
      <c r="D5357" t="inlineStr">
        <is>
          <t>PLATAFORMAS RAP-PEYA-UBER-GOOD</t>
        </is>
      </c>
      <c r="E5357" s="34" t="n">
        <v>31080</v>
      </c>
      <c r="F5357" t="inlineStr">
        <is>
          <t>B</t>
        </is>
      </c>
      <c r="G5357" s="34" t="n">
        <v>4962</v>
      </c>
      <c r="H5357" s="34" t="n">
        <v>26118</v>
      </c>
      <c r="I5357" t="inlineStr">
        <is>
          <t>3.6</t>
        </is>
      </c>
      <c r="J5357" t="inlineStr">
        <is>
          <t>Ventas Delivery Apps</t>
        </is>
      </c>
      <c r="K5357" t="inlineStr">
        <is>
          <t>CH3</t>
        </is>
      </c>
    </row>
    <row r="5358">
      <c r="A5358" s="33" t="n">
        <v>46066</v>
      </c>
      <c r="B5358" t="inlineStr">
        <is>
          <t>2026-02</t>
        </is>
      </c>
      <c r="C5358" t="inlineStr">
        <is>
          <t>Sin cliente</t>
        </is>
      </c>
      <c r="D5358" t="inlineStr">
        <is>
          <t>PLATAFORMAS RAP-PEYA-UBER-GOOD</t>
        </is>
      </c>
      <c r="E5358" s="34" t="n">
        <v>19080</v>
      </c>
      <c r="F5358" t="inlineStr">
        <is>
          <t>B</t>
        </is>
      </c>
      <c r="G5358" s="34" t="n">
        <v>3046</v>
      </c>
      <c r="H5358" s="34" t="n">
        <v>16034</v>
      </c>
      <c r="I5358" t="inlineStr">
        <is>
          <t>3.6</t>
        </is>
      </c>
      <c r="J5358" t="inlineStr">
        <is>
          <t>Ventas Delivery Apps</t>
        </is>
      </c>
      <c r="K5358" t="inlineStr">
        <is>
          <t>CH3</t>
        </is>
      </c>
    </row>
    <row r="5359">
      <c r="A5359" s="33" t="n">
        <v>46066</v>
      </c>
      <c r="B5359" t="inlineStr">
        <is>
          <t>2026-02</t>
        </is>
      </c>
      <c r="C5359" t="inlineStr">
        <is>
          <t>Jose Hernandez</t>
        </is>
      </c>
      <c r="D5359" t="inlineStr">
        <is>
          <t>CANELÉ TRADICIONAL</t>
        </is>
      </c>
      <c r="E5359" s="34" t="n">
        <v>25110</v>
      </c>
      <c r="F5359" t="inlineStr">
        <is>
          <t>B</t>
        </is>
      </c>
      <c r="G5359" s="34" t="n">
        <v>4009</v>
      </c>
      <c r="H5359" s="34" t="n">
        <v>21101</v>
      </c>
      <c r="I5359" t="inlineStr">
        <is>
          <t>3.2</t>
        </is>
      </c>
      <c r="J5359" t="inlineStr">
        <is>
          <t>Ventas Personas (B2C)</t>
        </is>
      </c>
      <c r="K5359" t="inlineStr">
        <is>
          <t>CH2</t>
        </is>
      </c>
    </row>
    <row r="5360">
      <c r="A5360" s="33" t="n">
        <v>46066</v>
      </c>
      <c r="B5360" t="inlineStr">
        <is>
          <t>2026-02</t>
        </is>
      </c>
      <c r="C5360" t="inlineStr">
        <is>
          <t>Randy Zamora Valera</t>
        </is>
      </c>
      <c r="D5360" t="inlineStr">
        <is>
          <t>CANELÉ TRADICIONAL</t>
        </is>
      </c>
      <c r="E5360" s="34" t="n">
        <v>20610</v>
      </c>
      <c r="F5360" t="inlineStr">
        <is>
          <t>B</t>
        </is>
      </c>
      <c r="G5360" s="34" t="n">
        <v>3291</v>
      </c>
      <c r="H5360" s="34" t="n">
        <v>17319</v>
      </c>
      <c r="I5360" t="inlineStr">
        <is>
          <t>3.2</t>
        </is>
      </c>
      <c r="J5360" t="inlineStr">
        <is>
          <t>Ventas Personas (B2C)</t>
        </is>
      </c>
      <c r="K5360" t="inlineStr">
        <is>
          <t>CH2</t>
        </is>
      </c>
    </row>
    <row r="5361">
      <c r="A5361" s="33" t="n">
        <v>46066</v>
      </c>
      <c r="B5361" t="inlineStr">
        <is>
          <t>2026-02</t>
        </is>
      </c>
      <c r="C5361" t="inlineStr">
        <is>
          <t>Bárbara Martínez Vilinsky</t>
        </is>
      </c>
      <c r="D5361" t="inlineStr">
        <is>
          <t>Rellenos</t>
        </is>
      </c>
      <c r="E5361" s="34" t="n">
        <v>25900</v>
      </c>
      <c r="F5361" t="inlineStr">
        <is>
          <t>B</t>
        </is>
      </c>
      <c r="G5361" s="34" t="n">
        <v>4135</v>
      </c>
      <c r="H5361" s="34" t="n">
        <v>21765</v>
      </c>
      <c r="I5361" t="inlineStr">
        <is>
          <t>3.2</t>
        </is>
      </c>
      <c r="J5361" t="inlineStr">
        <is>
          <t>Ventas Personas (B2C)</t>
        </is>
      </c>
      <c r="K5361" t="inlineStr">
        <is>
          <t>CH2</t>
        </is>
      </c>
    </row>
    <row r="5362">
      <c r="A5362" s="33" t="n">
        <v>46066</v>
      </c>
      <c r="B5362" t="inlineStr">
        <is>
          <t>2026-02</t>
        </is>
      </c>
      <c r="C5362" t="inlineStr">
        <is>
          <t>camila arratia</t>
        </is>
      </c>
      <c r="D5362" t="inlineStr">
        <is>
          <t>PACKAGING</t>
        </is>
      </c>
      <c r="E5362" s="34" t="n">
        <v>21710</v>
      </c>
      <c r="F5362" t="inlineStr">
        <is>
          <t>B</t>
        </is>
      </c>
      <c r="G5362" s="34" t="n">
        <v>3466</v>
      </c>
      <c r="H5362" s="34" t="n">
        <v>18244</v>
      </c>
      <c r="I5362" t="inlineStr">
        <is>
          <t>3.2</t>
        </is>
      </c>
      <c r="J5362" t="inlineStr">
        <is>
          <t>Ventas Personas (B2C)</t>
        </is>
      </c>
      <c r="K5362" t="inlineStr">
        <is>
          <t>CH2</t>
        </is>
      </c>
    </row>
    <row r="5363">
      <c r="A5363" s="33" t="n">
        <v>46066</v>
      </c>
      <c r="B5363" t="inlineStr">
        <is>
          <t>2026-02</t>
        </is>
      </c>
      <c r="C5363" t="inlineStr">
        <is>
          <t>Sin cliente</t>
        </is>
      </c>
      <c r="D5363" t="inlineStr">
        <is>
          <t>CANELÉ TRADICIONAL</t>
        </is>
      </c>
      <c r="E5363" s="34" t="n">
        <v>30900</v>
      </c>
      <c r="F5363" t="inlineStr">
        <is>
          <t>B</t>
        </is>
      </c>
      <c r="G5363" s="34" t="n">
        <v>4934</v>
      </c>
      <c r="H5363" s="34" t="n">
        <v>25966</v>
      </c>
      <c r="I5363" t="inlineStr">
        <is>
          <t>3.2</t>
        </is>
      </c>
      <c r="J5363" t="inlineStr">
        <is>
          <t>Ventas Personas (B2C)</t>
        </is>
      </c>
      <c r="K5363" t="inlineStr">
        <is>
          <t>CH2</t>
        </is>
      </c>
    </row>
    <row r="5364">
      <c r="A5364" s="33" t="n">
        <v>46066</v>
      </c>
      <c r="B5364" t="inlineStr">
        <is>
          <t>2026-02</t>
        </is>
      </c>
      <c r="C5364" t="inlineStr">
        <is>
          <t>Sin cliente</t>
        </is>
      </c>
      <c r="D5364" t="inlineStr">
        <is>
          <t>Glosa Envio express las condes</t>
        </is>
      </c>
      <c r="E5364" s="34" t="n">
        <v>4490</v>
      </c>
      <c r="F5364" t="inlineStr">
        <is>
          <t>B</t>
        </is>
      </c>
      <c r="G5364" s="34" t="n">
        <v>717</v>
      </c>
      <c r="H5364" s="34" t="n">
        <v>3773</v>
      </c>
      <c r="I5364" t="inlineStr">
        <is>
          <t>3.2</t>
        </is>
      </c>
      <c r="J5364" t="inlineStr">
        <is>
          <t>Ventas Personas (B2C)</t>
        </is>
      </c>
      <c r="K5364" t="inlineStr">
        <is>
          <t>CH2</t>
        </is>
      </c>
    </row>
    <row r="5365">
      <c r="A5365" s="33" t="n">
        <v>46067</v>
      </c>
      <c r="B5365" t="inlineStr">
        <is>
          <t>2026-02</t>
        </is>
      </c>
      <c r="C5365" t="inlineStr">
        <is>
          <t>Jorge Bolelli Rabie</t>
        </is>
      </c>
      <c r="D5365" t="inlineStr">
        <is>
          <t>Delicatessen</t>
        </is>
      </c>
      <c r="E5365" s="34" t="n">
        <v>25190</v>
      </c>
      <c r="F5365" t="inlineStr">
        <is>
          <t>B</t>
        </is>
      </c>
      <c r="G5365" s="34" t="n">
        <v>4022</v>
      </c>
      <c r="H5365" s="34" t="n">
        <v>21168</v>
      </c>
      <c r="I5365" t="inlineStr">
        <is>
          <t>3.2</t>
        </is>
      </c>
      <c r="J5365" t="inlineStr">
        <is>
          <t>Ventas Personas (B2C)</t>
        </is>
      </c>
      <c r="K5365" t="inlineStr">
        <is>
          <t>CH2</t>
        </is>
      </c>
    </row>
    <row r="5366">
      <c r="A5366" s="33" t="n">
        <v>46067</v>
      </c>
      <c r="B5366" t="inlineStr">
        <is>
          <t>2026-02</t>
        </is>
      </c>
      <c r="C5366" t="inlineStr">
        <is>
          <t>Laura Canete</t>
        </is>
      </c>
      <c r="D5366" t="inlineStr">
        <is>
          <t>Rellenos</t>
        </is>
      </c>
      <c r="E5366" s="34" t="n">
        <v>19490</v>
      </c>
      <c r="F5366" t="inlineStr">
        <is>
          <t>B</t>
        </is>
      </c>
      <c r="G5366" s="34" t="n">
        <v>3112</v>
      </c>
      <c r="H5366" s="34" t="n">
        <v>16378</v>
      </c>
      <c r="I5366" t="inlineStr">
        <is>
          <t>3.2</t>
        </is>
      </c>
      <c r="J5366" t="inlineStr">
        <is>
          <t>Ventas Personas (B2C)</t>
        </is>
      </c>
      <c r="K5366" t="inlineStr">
        <is>
          <t>CH2</t>
        </is>
      </c>
    </row>
    <row r="5367">
      <c r="A5367" s="33" t="n">
        <v>46067</v>
      </c>
      <c r="B5367" t="inlineStr">
        <is>
          <t>2026-02</t>
        </is>
      </c>
      <c r="C5367" t="inlineStr">
        <is>
          <t>Axel Cortés Aguilar</t>
        </is>
      </c>
      <c r="D5367" t="inlineStr">
        <is>
          <t>Rellenos</t>
        </is>
      </c>
      <c r="E5367" s="34" t="n">
        <v>31390</v>
      </c>
      <c r="F5367" t="inlineStr">
        <is>
          <t>B</t>
        </is>
      </c>
      <c r="G5367" s="34" t="n">
        <v>5012</v>
      </c>
      <c r="H5367" s="34" t="n">
        <v>26378</v>
      </c>
      <c r="I5367" t="inlineStr">
        <is>
          <t>3.2</t>
        </is>
      </c>
      <c r="J5367" t="inlineStr">
        <is>
          <t>Ventas Personas (B2C)</t>
        </is>
      </c>
      <c r="K5367" t="inlineStr">
        <is>
          <t>CH2</t>
        </is>
      </c>
    </row>
    <row r="5368">
      <c r="A5368" s="33" t="n">
        <v>46067</v>
      </c>
      <c r="B5368" t="inlineStr">
        <is>
          <t>2026-02</t>
        </is>
      </c>
      <c r="C5368" t="inlineStr">
        <is>
          <t>Yuleidis Luis Carrazana</t>
        </is>
      </c>
      <c r="D5368" t="inlineStr">
        <is>
          <t>PACKAGING</t>
        </is>
      </c>
      <c r="E5368" s="34" t="n">
        <v>24400</v>
      </c>
      <c r="F5368" t="inlineStr">
        <is>
          <t>B</t>
        </is>
      </c>
      <c r="G5368" s="34" t="n">
        <v>3896</v>
      </c>
      <c r="H5368" s="34" t="n">
        <v>20504</v>
      </c>
      <c r="I5368" t="inlineStr">
        <is>
          <t>3.2</t>
        </is>
      </c>
      <c r="J5368" t="inlineStr">
        <is>
          <t>Ventas Personas (B2C)</t>
        </is>
      </c>
      <c r="K5368" t="inlineStr">
        <is>
          <t>CH2</t>
        </is>
      </c>
    </row>
    <row r="5369">
      <c r="A5369" s="33" t="n">
        <v>46067</v>
      </c>
      <c r="B5369" t="inlineStr">
        <is>
          <t>2026-02</t>
        </is>
      </c>
      <c r="C5369" t="inlineStr">
        <is>
          <t>Macarena Bascuñan</t>
        </is>
      </c>
      <c r="D5369" t="inlineStr">
        <is>
          <t>Petit Crunchy</t>
        </is>
      </c>
      <c r="E5369" s="34" t="n">
        <v>42010</v>
      </c>
      <c r="F5369" t="inlineStr">
        <is>
          <t>B</t>
        </is>
      </c>
      <c r="G5369" s="34" t="n">
        <v>6707</v>
      </c>
      <c r="H5369" s="34" t="n">
        <v>35303</v>
      </c>
      <c r="I5369" t="inlineStr">
        <is>
          <t>3.2</t>
        </is>
      </c>
      <c r="J5369" t="inlineStr">
        <is>
          <t>Ventas Personas (B2C)</t>
        </is>
      </c>
      <c r="K5369" t="inlineStr">
        <is>
          <t>CH2</t>
        </is>
      </c>
    </row>
    <row r="5370">
      <c r="A5370" s="33" t="n">
        <v>46067</v>
      </c>
      <c r="B5370" t="inlineStr">
        <is>
          <t>2026-02</t>
        </is>
      </c>
      <c r="C5370" t="inlineStr">
        <is>
          <t>Erick Lozano</t>
        </is>
      </c>
      <c r="D5370" t="inlineStr">
        <is>
          <t>Canelé Petit Relleno</t>
        </is>
      </c>
      <c r="E5370" s="34" t="n">
        <v>24390</v>
      </c>
      <c r="F5370" t="inlineStr">
        <is>
          <t>B</t>
        </is>
      </c>
      <c r="G5370" s="34" t="n">
        <v>3894</v>
      </c>
      <c r="H5370" s="34" t="n">
        <v>20496</v>
      </c>
      <c r="I5370" t="inlineStr">
        <is>
          <t>3.2</t>
        </is>
      </c>
      <c r="J5370" t="inlineStr">
        <is>
          <t>Ventas Personas (B2C)</t>
        </is>
      </c>
      <c r="K5370" t="inlineStr">
        <is>
          <t>CH2</t>
        </is>
      </c>
    </row>
    <row r="5371">
      <c r="A5371" s="33" t="n">
        <v>46067</v>
      </c>
      <c r="B5371" t="inlineStr">
        <is>
          <t>2026-02</t>
        </is>
      </c>
      <c r="C5371" t="inlineStr">
        <is>
          <t>Maria José Gondonneau</t>
        </is>
      </c>
      <c r="D5371" t="inlineStr">
        <is>
          <t>Rellenos</t>
        </is>
      </c>
      <c r="E5371" s="34" t="n">
        <v>16560</v>
      </c>
      <c r="F5371" t="inlineStr">
        <is>
          <t>B</t>
        </is>
      </c>
      <c r="G5371" s="34" t="n">
        <v>2644</v>
      </c>
      <c r="H5371" s="34" t="n">
        <v>13916</v>
      </c>
      <c r="I5371" t="inlineStr">
        <is>
          <t>3.2</t>
        </is>
      </c>
      <c r="J5371" t="inlineStr">
        <is>
          <t>Ventas Personas (B2C)</t>
        </is>
      </c>
      <c r="K5371" t="inlineStr">
        <is>
          <t>CH2</t>
        </is>
      </c>
    </row>
    <row r="5372">
      <c r="A5372" s="33" t="n">
        <v>46067</v>
      </c>
      <c r="B5372" t="inlineStr">
        <is>
          <t>2026-02</t>
        </is>
      </c>
      <c r="C5372" t="inlineStr">
        <is>
          <t>Pia Miljas</t>
        </is>
      </c>
      <c r="D5372" t="inlineStr">
        <is>
          <t>Rellenos</t>
        </is>
      </c>
      <c r="E5372" s="34" t="n">
        <v>37390</v>
      </c>
      <c r="F5372" t="inlineStr">
        <is>
          <t>B</t>
        </is>
      </c>
      <c r="G5372" s="34" t="n">
        <v>5970</v>
      </c>
      <c r="H5372" s="34" t="n">
        <v>31420</v>
      </c>
      <c r="I5372" t="inlineStr">
        <is>
          <t>3.2</t>
        </is>
      </c>
      <c r="J5372" t="inlineStr">
        <is>
          <t>Ventas Personas (B2C)</t>
        </is>
      </c>
      <c r="K5372" t="inlineStr">
        <is>
          <t>CH2</t>
        </is>
      </c>
    </row>
    <row r="5373">
      <c r="A5373" s="33" t="n">
        <v>46067</v>
      </c>
      <c r="B5373" t="inlineStr">
        <is>
          <t>2026-02</t>
        </is>
      </c>
      <c r="C5373" t="inlineStr">
        <is>
          <t>Nicolas Soto</t>
        </is>
      </c>
      <c r="D5373" t="inlineStr">
        <is>
          <t>Petit Tradicional</t>
        </is>
      </c>
      <c r="E5373" s="34" t="n">
        <v>17290</v>
      </c>
      <c r="F5373" t="inlineStr">
        <is>
          <t>B</t>
        </is>
      </c>
      <c r="G5373" s="34" t="n">
        <v>2761</v>
      </c>
      <c r="H5373" s="34" t="n">
        <v>14529</v>
      </c>
      <c r="I5373" t="inlineStr">
        <is>
          <t>3.2</t>
        </is>
      </c>
      <c r="J5373" t="inlineStr">
        <is>
          <t>Ventas Personas (B2C)</t>
        </is>
      </c>
      <c r="K5373" t="inlineStr">
        <is>
          <t>CH2</t>
        </is>
      </c>
    </row>
    <row r="5374">
      <c r="A5374" s="33" t="n">
        <v>46067</v>
      </c>
      <c r="B5374" t="inlineStr">
        <is>
          <t>2026-02</t>
        </is>
      </c>
      <c r="C5374" t="inlineStr">
        <is>
          <t>Francesca Notari</t>
        </is>
      </c>
      <c r="D5374" t="inlineStr">
        <is>
          <t>Rellenos</t>
        </is>
      </c>
      <c r="E5374" s="34" t="n">
        <v>20790</v>
      </c>
      <c r="F5374" t="inlineStr">
        <is>
          <t>B</t>
        </is>
      </c>
      <c r="G5374" s="34" t="n">
        <v>3319</v>
      </c>
      <c r="H5374" s="34" t="n">
        <v>17471</v>
      </c>
      <c r="I5374" t="inlineStr">
        <is>
          <t>3.2</t>
        </is>
      </c>
      <c r="J5374" t="inlineStr">
        <is>
          <t>Ventas Personas (B2C)</t>
        </is>
      </c>
      <c r="K5374" t="inlineStr">
        <is>
          <t>CH2</t>
        </is>
      </c>
    </row>
    <row r="5375">
      <c r="A5375" s="33" t="n">
        <v>46067</v>
      </c>
      <c r="B5375" t="inlineStr">
        <is>
          <t>2026-02</t>
        </is>
      </c>
      <c r="C5375" t="inlineStr">
        <is>
          <t>Marcela Lizana</t>
        </is>
      </c>
      <c r="D5375" t="inlineStr">
        <is>
          <t>CANELÉ TRADICIONAL</t>
        </is>
      </c>
      <c r="E5375" s="34" t="n">
        <v>31390</v>
      </c>
      <c r="F5375" t="inlineStr">
        <is>
          <t>B</t>
        </is>
      </c>
      <c r="G5375" s="34" t="n">
        <v>5012</v>
      </c>
      <c r="H5375" s="34" t="n">
        <v>26378</v>
      </c>
      <c r="I5375" t="inlineStr">
        <is>
          <t>3.2</t>
        </is>
      </c>
      <c r="J5375" t="inlineStr">
        <is>
          <t>Ventas Personas (B2C)</t>
        </is>
      </c>
      <c r="K5375" t="inlineStr">
        <is>
          <t>CH2</t>
        </is>
      </c>
    </row>
    <row r="5376">
      <c r="A5376" s="33" t="n">
        <v>46067</v>
      </c>
      <c r="B5376" t="inlineStr">
        <is>
          <t>2026-02</t>
        </is>
      </c>
      <c r="C5376" t="inlineStr">
        <is>
          <t>Leonidas Andrés Sebastián Torres Trujillo</t>
        </is>
      </c>
      <c r="D5376" t="inlineStr">
        <is>
          <t>Petit Crunchy</t>
        </is>
      </c>
      <c r="E5376" s="34" t="n">
        <v>18900</v>
      </c>
      <c r="F5376" t="inlineStr">
        <is>
          <t>B</t>
        </is>
      </c>
      <c r="G5376" s="34" t="n">
        <v>3018</v>
      </c>
      <c r="H5376" s="34" t="n">
        <v>15882</v>
      </c>
      <c r="I5376" t="inlineStr">
        <is>
          <t>3.2</t>
        </is>
      </c>
      <c r="J5376" t="inlineStr">
        <is>
          <t>Ventas Personas (B2C)</t>
        </is>
      </c>
      <c r="K5376" t="inlineStr">
        <is>
          <t>CH2</t>
        </is>
      </c>
    </row>
    <row r="5377">
      <c r="A5377" s="33" t="n">
        <v>46067</v>
      </c>
      <c r="B5377" t="inlineStr">
        <is>
          <t>2026-02</t>
        </is>
      </c>
      <c r="C5377" t="inlineStr">
        <is>
          <t>Angie Morillo</t>
        </is>
      </c>
      <c r="D5377" t="inlineStr">
        <is>
          <t>Petit Crunchy</t>
        </is>
      </c>
      <c r="E5377" s="34" t="n">
        <v>31390</v>
      </c>
      <c r="F5377" t="inlineStr">
        <is>
          <t>B</t>
        </is>
      </c>
      <c r="G5377" s="34" t="n">
        <v>5012</v>
      </c>
      <c r="H5377" s="34" t="n">
        <v>26378</v>
      </c>
      <c r="I5377" t="inlineStr">
        <is>
          <t>3.2</t>
        </is>
      </c>
      <c r="J5377" t="inlineStr">
        <is>
          <t>Ventas Personas (B2C)</t>
        </is>
      </c>
      <c r="K5377" t="inlineStr">
        <is>
          <t>CH2</t>
        </is>
      </c>
    </row>
    <row r="5378">
      <c r="A5378" s="33" t="n">
        <v>46069</v>
      </c>
      <c r="B5378" t="inlineStr">
        <is>
          <t>2026-02</t>
        </is>
      </c>
      <c r="C5378" t="inlineStr">
        <is>
          <t>INVERSIONES Y COMERCIALIZADORA FED LIMITADA</t>
        </is>
      </c>
      <c r="D5378" t="inlineStr">
        <is>
          <t>HORECA CAFETERIA</t>
        </is>
      </c>
      <c r="E5378" s="34" t="n">
        <v>88862</v>
      </c>
      <c r="F5378" t="inlineStr">
        <is>
          <t>F</t>
        </is>
      </c>
      <c r="G5378" s="34" t="n">
        <v>14188</v>
      </c>
      <c r="H5378" s="34" t="n">
        <v>74674</v>
      </c>
      <c r="I5378" t="inlineStr">
        <is>
          <t>3.1</t>
        </is>
      </c>
      <c r="J5378" t="inlineStr">
        <is>
          <t>Ventas HoReCa</t>
        </is>
      </c>
      <c r="K5378" t="inlineStr">
        <is>
          <t>CH1</t>
        </is>
      </c>
    </row>
    <row r="5379">
      <c r="A5379" s="33" t="n">
        <v>46069</v>
      </c>
      <c r="B5379" t="inlineStr">
        <is>
          <t>2026-02</t>
        </is>
      </c>
      <c r="C5379" t="inlineStr">
        <is>
          <t>INVERSIONES Y COMERCIALIZADORA FED LIMITADA</t>
        </is>
      </c>
      <c r="D5379" t="inlineStr">
        <is>
          <t>HORECA CAFETERIA</t>
        </is>
      </c>
      <c r="E5379" s="34" t="n">
        <v>330344</v>
      </c>
      <c r="F5379" t="inlineStr">
        <is>
          <t>F</t>
        </is>
      </c>
      <c r="G5379" s="34" t="n">
        <v>52744</v>
      </c>
      <c r="H5379" s="34" t="n">
        <v>277600</v>
      </c>
      <c r="I5379" t="inlineStr">
        <is>
          <t>3.1</t>
        </is>
      </c>
      <c r="J5379" t="inlineStr">
        <is>
          <t>Ventas HoReCa</t>
        </is>
      </c>
      <c r="K5379" t="inlineStr">
        <is>
          <t>CH1</t>
        </is>
      </c>
    </row>
    <row r="5380">
      <c r="A5380" s="33" t="n">
        <v>46069</v>
      </c>
      <c r="B5380" t="inlineStr">
        <is>
          <t>2026-02</t>
        </is>
      </c>
      <c r="C5380" t="inlineStr">
        <is>
          <t>INVERSIONES Y ASESORIAS RAVAL LIMITADA</t>
        </is>
      </c>
      <c r="D5380" t="inlineStr">
        <is>
          <t>HORECA CAFETERIA</t>
        </is>
      </c>
      <c r="E5380" s="34" t="n">
        <v>39115</v>
      </c>
      <c r="F5380" t="inlineStr">
        <is>
          <t>F</t>
        </is>
      </c>
      <c r="G5380" s="34" t="n">
        <v>6245</v>
      </c>
      <c r="H5380" s="34" t="n">
        <v>32870</v>
      </c>
      <c r="I5380" t="inlineStr">
        <is>
          <t>3.1</t>
        </is>
      </c>
      <c r="J5380" t="inlineStr">
        <is>
          <t>Ventas HoReCa</t>
        </is>
      </c>
      <c r="K5380" t="inlineStr">
        <is>
          <t>CH1</t>
        </is>
      </c>
    </row>
    <row r="5381">
      <c r="A5381" s="33" t="n">
        <v>46069</v>
      </c>
      <c r="B5381" t="inlineStr">
        <is>
          <t>2026-02</t>
        </is>
      </c>
      <c r="C5381" t="inlineStr">
        <is>
          <t>CAFETERIA THE ELEPHANT COFFEE LIMITADA</t>
        </is>
      </c>
      <c r="D5381" t="inlineStr">
        <is>
          <t>HORECA CAFETERIA</t>
        </is>
      </c>
      <c r="E5381" s="34" t="n">
        <v>199587</v>
      </c>
      <c r="F5381" t="inlineStr">
        <is>
          <t>F</t>
        </is>
      </c>
      <c r="G5381" s="34" t="n">
        <v>31867</v>
      </c>
      <c r="H5381" s="34" t="n">
        <v>167720</v>
      </c>
      <c r="I5381" t="inlineStr">
        <is>
          <t>3.1</t>
        </is>
      </c>
      <c r="J5381" t="inlineStr">
        <is>
          <t>Ventas HoReCa</t>
        </is>
      </c>
      <c r="K5381" t="inlineStr">
        <is>
          <t>CH1</t>
        </is>
      </c>
    </row>
    <row r="5382">
      <c r="A5382" s="33" t="n">
        <v>46069</v>
      </c>
      <c r="B5382" t="inlineStr">
        <is>
          <t>2026-02</t>
        </is>
      </c>
      <c r="C5382" t="inlineStr">
        <is>
          <t>Sin cliente</t>
        </is>
      </c>
      <c r="D5382" t="inlineStr">
        <is>
          <t>Rellenos</t>
        </is>
      </c>
      <c r="E5382" s="34" t="n">
        <v>18900</v>
      </c>
      <c r="F5382" t="inlineStr">
        <is>
          <t>B</t>
        </is>
      </c>
      <c r="G5382" s="34" t="n">
        <v>3018</v>
      </c>
      <c r="H5382" s="34" t="n">
        <v>15882</v>
      </c>
      <c r="I5382" t="inlineStr">
        <is>
          <t>3.2</t>
        </is>
      </c>
      <c r="J5382" t="inlineStr">
        <is>
          <t>Ventas Personas (B2C)</t>
        </is>
      </c>
      <c r="K5382" t="inlineStr">
        <is>
          <t>CH2</t>
        </is>
      </c>
    </row>
    <row r="5383">
      <c r="A5383" s="33" t="n">
        <v>46069</v>
      </c>
      <c r="B5383" t="inlineStr">
        <is>
          <t>2026-02</t>
        </is>
      </c>
      <c r="C5383" t="inlineStr">
        <is>
          <t>Sin cliente</t>
        </is>
      </c>
      <c r="D5383" t="inlineStr">
        <is>
          <t>CANELÉ TRADICIONAL</t>
        </is>
      </c>
      <c r="E5383" s="34" t="n">
        <v>15900</v>
      </c>
      <c r="F5383" t="inlineStr">
        <is>
          <t>B</t>
        </is>
      </c>
      <c r="G5383" s="34" t="n">
        <v>2539</v>
      </c>
      <c r="H5383" s="34" t="n">
        <v>13361</v>
      </c>
      <c r="I5383" t="inlineStr">
        <is>
          <t>3.2</t>
        </is>
      </c>
      <c r="J5383" t="inlineStr">
        <is>
          <t>Ventas Personas (B2C)</t>
        </is>
      </c>
      <c r="K5383" t="inlineStr">
        <is>
          <t>CH2</t>
        </is>
      </c>
    </row>
    <row r="5384">
      <c r="A5384" s="33" t="n">
        <v>46069</v>
      </c>
      <c r="B5384" t="inlineStr">
        <is>
          <t>2026-02</t>
        </is>
      </c>
      <c r="C5384" t="inlineStr">
        <is>
          <t>Sin cliente</t>
        </is>
      </c>
      <c r="D5384" t="inlineStr">
        <is>
          <t>CANELÉ TRADICIONAL</t>
        </is>
      </c>
      <c r="E5384" s="34" t="n">
        <v>6000</v>
      </c>
      <c r="F5384" t="inlineStr">
        <is>
          <t>B</t>
        </is>
      </c>
      <c r="G5384" s="34" t="n">
        <v>958</v>
      </c>
      <c r="H5384" s="34" t="n">
        <v>5042</v>
      </c>
      <c r="I5384" t="inlineStr">
        <is>
          <t>3.2</t>
        </is>
      </c>
      <c r="J5384" t="inlineStr">
        <is>
          <t>Ventas Personas (B2C)</t>
        </is>
      </c>
      <c r="K5384" t="inlineStr">
        <is>
          <t>CH2</t>
        </is>
      </c>
    </row>
    <row r="5385">
      <c r="A5385" s="33" t="n">
        <v>46069</v>
      </c>
      <c r="B5385" t="inlineStr">
        <is>
          <t>2026-02</t>
        </is>
      </c>
      <c r="C5385" t="inlineStr">
        <is>
          <t>Sin cliente</t>
        </is>
      </c>
      <c r="D5385" t="inlineStr">
        <is>
          <t>CANELÉ TRADICIONAL</t>
        </is>
      </c>
      <c r="E5385" s="34" t="n">
        <v>15900</v>
      </c>
      <c r="F5385" t="inlineStr">
        <is>
          <t>B</t>
        </is>
      </c>
      <c r="G5385" s="34" t="n">
        <v>2539</v>
      </c>
      <c r="H5385" s="34" t="n">
        <v>13361</v>
      </c>
      <c r="I5385" t="inlineStr">
        <is>
          <t>3.2</t>
        </is>
      </c>
      <c r="J5385" t="inlineStr">
        <is>
          <t>Ventas Personas (B2C)</t>
        </is>
      </c>
      <c r="K5385" t="inlineStr">
        <is>
          <t>CH2</t>
        </is>
      </c>
    </row>
    <row r="5386">
      <c r="A5386" s="33" t="n">
        <v>46069</v>
      </c>
      <c r="B5386" t="inlineStr">
        <is>
          <t>2026-02</t>
        </is>
      </c>
      <c r="C5386" t="inlineStr">
        <is>
          <t>Sin cliente</t>
        </is>
      </c>
      <c r="D5386" t="inlineStr">
        <is>
          <t>CANELÉ TRADICIONAL</t>
        </is>
      </c>
      <c r="E5386" s="34" t="n">
        <v>5000</v>
      </c>
      <c r="F5386" t="inlineStr">
        <is>
          <t>B</t>
        </is>
      </c>
      <c r="G5386" s="34" t="n">
        <v>798</v>
      </c>
      <c r="H5386" s="34" t="n">
        <v>4202</v>
      </c>
      <c r="I5386" t="inlineStr">
        <is>
          <t>3.2</t>
        </is>
      </c>
      <c r="J5386" t="inlineStr">
        <is>
          <t>Ventas Personas (B2C)</t>
        </is>
      </c>
      <c r="K5386" t="inlineStr">
        <is>
          <t>CH2</t>
        </is>
      </c>
    </row>
    <row r="5387">
      <c r="A5387" s="33" t="n">
        <v>46069</v>
      </c>
      <c r="B5387" t="inlineStr">
        <is>
          <t>2026-02</t>
        </is>
      </c>
      <c r="C5387" t="inlineStr">
        <is>
          <t>Sin cliente</t>
        </is>
      </c>
      <c r="D5387" t="inlineStr">
        <is>
          <t>CANELÉ TRADICIONAL</t>
        </is>
      </c>
      <c r="E5387" s="34" t="n">
        <v>22865</v>
      </c>
      <c r="F5387" t="inlineStr">
        <is>
          <t>B</t>
        </is>
      </c>
      <c r="G5387" s="34" t="n">
        <v>3651</v>
      </c>
      <c r="H5387" s="34" t="n">
        <v>19214</v>
      </c>
      <c r="I5387" t="inlineStr">
        <is>
          <t>3.2</t>
        </is>
      </c>
      <c r="J5387" t="inlineStr">
        <is>
          <t>Ventas Personas (B2C)</t>
        </is>
      </c>
      <c r="K5387" t="inlineStr">
        <is>
          <t>CH2</t>
        </is>
      </c>
    </row>
    <row r="5388">
      <c r="A5388" s="33" t="n">
        <v>46069</v>
      </c>
      <c r="B5388" t="inlineStr">
        <is>
          <t>2026-02</t>
        </is>
      </c>
      <c r="C5388" t="inlineStr">
        <is>
          <t>Sin cliente</t>
        </is>
      </c>
      <c r="D5388" t="inlineStr">
        <is>
          <t>CANELÉ TRADICIONAL</t>
        </is>
      </c>
      <c r="E5388" s="34" t="n">
        <v>22865</v>
      </c>
      <c r="F5388" t="inlineStr">
        <is>
          <t>B</t>
        </is>
      </c>
      <c r="G5388" s="34" t="n">
        <v>3651</v>
      </c>
      <c r="H5388" s="34" t="n">
        <v>19214</v>
      </c>
      <c r="I5388" t="inlineStr">
        <is>
          <t>3.2</t>
        </is>
      </c>
      <c r="J5388" t="inlineStr">
        <is>
          <t>Ventas Personas (B2C)</t>
        </is>
      </c>
      <c r="K5388" t="inlineStr">
        <is>
          <t>CH2</t>
        </is>
      </c>
    </row>
    <row r="5389">
      <c r="A5389" s="33" t="n">
        <v>46069</v>
      </c>
      <c r="B5389" t="inlineStr">
        <is>
          <t>2026-02</t>
        </is>
      </c>
      <c r="C5389" t="inlineStr">
        <is>
          <t>Sin cliente</t>
        </is>
      </c>
      <c r="D5389" t="inlineStr">
        <is>
          <t>PLATAFORMAS RAP-PEYA-UBER-GOOD</t>
        </is>
      </c>
      <c r="E5389" s="34" t="n">
        <v>31080</v>
      </c>
      <c r="F5389" t="inlineStr">
        <is>
          <t>B</t>
        </is>
      </c>
      <c r="G5389" s="34" t="n">
        <v>4962</v>
      </c>
      <c r="H5389" s="34" t="n">
        <v>26118</v>
      </c>
      <c r="I5389" t="inlineStr">
        <is>
          <t>3.6</t>
        </is>
      </c>
      <c r="J5389" t="inlineStr">
        <is>
          <t>Ventas Delivery Apps</t>
        </is>
      </c>
      <c r="K5389" t="inlineStr">
        <is>
          <t>CH3</t>
        </is>
      </c>
    </row>
    <row r="5390">
      <c r="A5390" s="33" t="n">
        <v>46069</v>
      </c>
      <c r="B5390" t="inlineStr">
        <is>
          <t>2026-02</t>
        </is>
      </c>
      <c r="C5390" t="inlineStr">
        <is>
          <t>Sin cliente</t>
        </is>
      </c>
      <c r="D5390" t="inlineStr">
        <is>
          <t>CANELÉ TRADICIONAL</t>
        </is>
      </c>
      <c r="E5390" s="34" t="n">
        <v>5000</v>
      </c>
      <c r="F5390" t="inlineStr">
        <is>
          <t>B</t>
        </is>
      </c>
      <c r="G5390" s="34" t="n">
        <v>798</v>
      </c>
      <c r="H5390" s="34" t="n">
        <v>4202</v>
      </c>
      <c r="I5390" t="inlineStr">
        <is>
          <t>3.2</t>
        </is>
      </c>
      <c r="J5390" t="inlineStr">
        <is>
          <t>Ventas Personas (B2C)</t>
        </is>
      </c>
      <c r="K5390" t="inlineStr">
        <is>
          <t>CH2</t>
        </is>
      </c>
    </row>
    <row r="5391">
      <c r="A5391" s="33" t="n">
        <v>46069</v>
      </c>
      <c r="B5391" t="inlineStr">
        <is>
          <t>2026-02</t>
        </is>
      </c>
      <c r="C5391" t="inlineStr">
        <is>
          <t>Sin cliente</t>
        </is>
      </c>
      <c r="D5391" t="inlineStr">
        <is>
          <t>CANELÉ TRADICIONAL</t>
        </is>
      </c>
      <c r="E5391" s="34" t="n">
        <v>10900</v>
      </c>
      <c r="F5391" t="inlineStr">
        <is>
          <t>B</t>
        </is>
      </c>
      <c r="G5391" s="34" t="n">
        <v>1740</v>
      </c>
      <c r="H5391" s="34" t="n">
        <v>9160</v>
      </c>
      <c r="I5391" t="inlineStr">
        <is>
          <t>3.2</t>
        </is>
      </c>
      <c r="J5391" t="inlineStr">
        <is>
          <t>Ventas Personas (B2C)</t>
        </is>
      </c>
      <c r="K5391" t="inlineStr">
        <is>
          <t>CH2</t>
        </is>
      </c>
    </row>
    <row r="5392">
      <c r="A5392" s="33" t="n">
        <v>46069</v>
      </c>
      <c r="B5392" t="inlineStr">
        <is>
          <t>2026-02</t>
        </is>
      </c>
      <c r="C5392" t="inlineStr">
        <is>
          <t>Sin cliente</t>
        </is>
      </c>
      <c r="D5392" t="inlineStr">
        <is>
          <t>Cafeteria Geronimo</t>
        </is>
      </c>
      <c r="E5392" s="34" t="n">
        <v>17100</v>
      </c>
      <c r="F5392" t="inlineStr">
        <is>
          <t>B</t>
        </is>
      </c>
      <c r="G5392" s="34" t="n">
        <v>2730</v>
      </c>
      <c r="H5392" s="34" t="n">
        <v>14370</v>
      </c>
      <c r="I5392" t="inlineStr">
        <is>
          <t>3.2</t>
        </is>
      </c>
      <c r="J5392" t="inlineStr">
        <is>
          <t>Ventas Personas (B2C)</t>
        </is>
      </c>
      <c r="K5392" t="inlineStr">
        <is>
          <t>CH2</t>
        </is>
      </c>
    </row>
    <row r="5393">
      <c r="A5393" s="33" t="n">
        <v>46069</v>
      </c>
      <c r="B5393" t="inlineStr">
        <is>
          <t>2026-02</t>
        </is>
      </c>
      <c r="C5393" t="inlineStr">
        <is>
          <t>Sin cliente</t>
        </is>
      </c>
      <c r="D5393" t="inlineStr">
        <is>
          <t>PLATAFORMAS RAP-PEYA-UBER-GOOD</t>
        </is>
      </c>
      <c r="E5393" s="34" t="n">
        <v>13080</v>
      </c>
      <c r="F5393" t="inlineStr">
        <is>
          <t>B</t>
        </is>
      </c>
      <c r="G5393" s="34" t="n">
        <v>2088</v>
      </c>
      <c r="H5393" s="34" t="n">
        <v>10992</v>
      </c>
      <c r="I5393" t="inlineStr">
        <is>
          <t>3.6</t>
        </is>
      </c>
      <c r="J5393" t="inlineStr">
        <is>
          <t>Ventas Delivery Apps</t>
        </is>
      </c>
      <c r="K5393" t="inlineStr">
        <is>
          <t>CH3</t>
        </is>
      </c>
    </row>
    <row r="5394">
      <c r="A5394" s="33" t="n">
        <v>46069</v>
      </c>
      <c r="B5394" t="inlineStr">
        <is>
          <t>2026-02</t>
        </is>
      </c>
      <c r="C5394" t="inlineStr">
        <is>
          <t>Sin cliente</t>
        </is>
      </c>
      <c r="D5394" t="inlineStr">
        <is>
          <t>PLATAFORMAS RAP-PEYA-UBER-GOOD</t>
        </is>
      </c>
      <c r="E5394" s="34" t="n">
        <v>91896</v>
      </c>
      <c r="F5394" t="inlineStr">
        <is>
          <t>B</t>
        </is>
      </c>
      <c r="G5394" s="34" t="n">
        <v>14672</v>
      </c>
      <c r="H5394" s="34" t="n">
        <v>77224</v>
      </c>
      <c r="I5394" t="inlineStr">
        <is>
          <t>3.6</t>
        </is>
      </c>
      <c r="J5394" t="inlineStr">
        <is>
          <t>Ventas Delivery Apps</t>
        </is>
      </c>
      <c r="K5394" t="inlineStr">
        <is>
          <t>CH3</t>
        </is>
      </c>
    </row>
    <row r="5395">
      <c r="A5395" s="33" t="n">
        <v>46069</v>
      </c>
      <c r="B5395" t="inlineStr">
        <is>
          <t>2026-02</t>
        </is>
      </c>
      <c r="C5395" t="inlineStr">
        <is>
          <t>Pamela Iglesias</t>
        </is>
      </c>
      <c r="D5395" t="inlineStr">
        <is>
          <t>CANELÉ TRADICIONAL</t>
        </is>
      </c>
      <c r="E5395" s="34" t="n">
        <v>27900</v>
      </c>
      <c r="F5395" t="inlineStr">
        <is>
          <t>B</t>
        </is>
      </c>
      <c r="G5395" s="34" t="n">
        <v>4455</v>
      </c>
      <c r="H5395" s="34" t="n">
        <v>23445</v>
      </c>
      <c r="I5395" t="inlineStr">
        <is>
          <t>3.2</t>
        </is>
      </c>
      <c r="J5395" t="inlineStr">
        <is>
          <t>Ventas Personas (B2C)</t>
        </is>
      </c>
      <c r="K5395" t="inlineStr">
        <is>
          <t>CH2</t>
        </is>
      </c>
    </row>
    <row r="5396">
      <c r="A5396" s="33" t="n">
        <v>46069</v>
      </c>
      <c r="B5396" t="inlineStr">
        <is>
          <t>2026-02</t>
        </is>
      </c>
      <c r="C5396" t="inlineStr">
        <is>
          <t>Sin cliente</t>
        </is>
      </c>
      <c r="D5396" t="inlineStr">
        <is>
          <t>PLATAFORMAS RAP-PEYA-UBER-GOOD</t>
        </is>
      </c>
      <c r="E5396" s="34" t="n">
        <v>21468</v>
      </c>
      <c r="F5396" t="inlineStr">
        <is>
          <t>B</t>
        </is>
      </c>
      <c r="G5396" s="34" t="n">
        <v>3428</v>
      </c>
      <c r="H5396" s="34" t="n">
        <v>18040</v>
      </c>
      <c r="I5396" t="inlineStr">
        <is>
          <t>3.6</t>
        </is>
      </c>
      <c r="J5396" t="inlineStr">
        <is>
          <t>Ventas Delivery Apps</t>
        </is>
      </c>
      <c r="K5396" t="inlineStr">
        <is>
          <t>CH3</t>
        </is>
      </c>
    </row>
    <row r="5397">
      <c r="A5397" s="33" t="n">
        <v>46069</v>
      </c>
      <c r="B5397" t="inlineStr">
        <is>
          <t>2026-02</t>
        </is>
      </c>
      <c r="C5397" t="inlineStr">
        <is>
          <t>Sin cliente</t>
        </is>
      </c>
      <c r="D5397" t="inlineStr">
        <is>
          <t>CANELÉ TRADICIONAL</t>
        </is>
      </c>
      <c r="E5397" s="34" t="n">
        <v>15900</v>
      </c>
      <c r="F5397" t="inlineStr">
        <is>
          <t>B</t>
        </is>
      </c>
      <c r="G5397" s="34" t="n">
        <v>2539</v>
      </c>
      <c r="H5397" s="34" t="n">
        <v>13361</v>
      </c>
      <c r="I5397" t="inlineStr">
        <is>
          <t>3.2</t>
        </is>
      </c>
      <c r="J5397" t="inlineStr">
        <is>
          <t>Ventas Personas (B2C)</t>
        </is>
      </c>
      <c r="K5397" t="inlineStr">
        <is>
          <t>CH2</t>
        </is>
      </c>
    </row>
    <row r="5398">
      <c r="A5398" s="33" t="n">
        <v>46069</v>
      </c>
      <c r="B5398" t="inlineStr">
        <is>
          <t>2026-02</t>
        </is>
      </c>
      <c r="C5398" t="inlineStr">
        <is>
          <t>Agustin Villegas</t>
        </is>
      </c>
      <c r="D5398" t="inlineStr">
        <is>
          <t>Rellenos</t>
        </is>
      </c>
      <c r="E5398" s="34" t="n">
        <v>59220</v>
      </c>
      <c r="F5398" t="inlineStr">
        <is>
          <t>B</t>
        </is>
      </c>
      <c r="G5398" s="34" t="n">
        <v>9455</v>
      </c>
      <c r="H5398" s="34" t="n">
        <v>49765</v>
      </c>
      <c r="I5398" t="inlineStr">
        <is>
          <t>3.2</t>
        </is>
      </c>
      <c r="J5398" t="inlineStr">
        <is>
          <t>Ventas Personas (B2C)</t>
        </is>
      </c>
      <c r="K5398" t="inlineStr">
        <is>
          <t>CH2</t>
        </is>
      </c>
    </row>
    <row r="5399">
      <c r="A5399" s="33" t="n">
        <v>46069</v>
      </c>
      <c r="B5399" t="inlineStr">
        <is>
          <t>2026-02</t>
        </is>
      </c>
      <c r="C5399" t="inlineStr">
        <is>
          <t>Sin cliente</t>
        </is>
      </c>
      <c r="D5399" t="inlineStr">
        <is>
          <t>Cafeteria Geronimo</t>
        </is>
      </c>
      <c r="E5399" s="34" t="n">
        <v>3200</v>
      </c>
      <c r="F5399" t="inlineStr">
        <is>
          <t>B</t>
        </is>
      </c>
      <c r="G5399" s="34" t="n">
        <v>511</v>
      </c>
      <c r="H5399" s="34" t="n">
        <v>2689</v>
      </c>
      <c r="I5399" t="inlineStr">
        <is>
          <t>3.2</t>
        </is>
      </c>
      <c r="J5399" t="inlineStr">
        <is>
          <t>Ventas Personas (B2C)</t>
        </is>
      </c>
      <c r="K5399" t="inlineStr">
        <is>
          <t>CH2</t>
        </is>
      </c>
    </row>
    <row r="5400">
      <c r="A5400" s="33" t="n">
        <v>46069</v>
      </c>
      <c r="B5400" t="inlineStr">
        <is>
          <t>2026-02</t>
        </is>
      </c>
      <c r="C5400" t="inlineStr">
        <is>
          <t>Sin cliente</t>
        </is>
      </c>
      <c r="D5400" t="inlineStr">
        <is>
          <t>Rellenos</t>
        </is>
      </c>
      <c r="E5400" s="34" t="n">
        <v>18900</v>
      </c>
      <c r="F5400" t="inlineStr">
        <is>
          <t>B</t>
        </is>
      </c>
      <c r="G5400" s="34" t="n">
        <v>3018</v>
      </c>
      <c r="H5400" s="34" t="n">
        <v>15882</v>
      </c>
      <c r="I5400" t="inlineStr">
        <is>
          <t>3.2</t>
        </is>
      </c>
      <c r="J5400" t="inlineStr">
        <is>
          <t>Ventas Personas (B2C)</t>
        </is>
      </c>
      <c r="K5400" t="inlineStr">
        <is>
          <t>CH2</t>
        </is>
      </c>
    </row>
    <row r="5401">
      <c r="A5401" s="33" t="n">
        <v>46069</v>
      </c>
      <c r="B5401" t="inlineStr">
        <is>
          <t>2026-02</t>
        </is>
      </c>
      <c r="C5401" t="inlineStr">
        <is>
          <t>Sin cliente</t>
        </is>
      </c>
      <c r="D5401" t="inlineStr">
        <is>
          <t>PLATAFORMAS RAP-PEYA-UBER-GOOD</t>
        </is>
      </c>
      <c r="E5401" s="34" t="n">
        <v>16560</v>
      </c>
      <c r="F5401" t="inlineStr">
        <is>
          <t>B</t>
        </is>
      </c>
      <c r="G5401" s="34" t="n">
        <v>2644</v>
      </c>
      <c r="H5401" s="34" t="n">
        <v>13916</v>
      </c>
      <c r="I5401" t="inlineStr">
        <is>
          <t>3.6</t>
        </is>
      </c>
      <c r="J5401" t="inlineStr">
        <is>
          <t>Ventas Delivery Apps</t>
        </is>
      </c>
      <c r="K5401" t="inlineStr">
        <is>
          <t>CH3</t>
        </is>
      </c>
    </row>
    <row r="5402">
      <c r="A5402" s="33" t="n">
        <v>46069</v>
      </c>
      <c r="B5402" t="inlineStr">
        <is>
          <t>2026-02</t>
        </is>
      </c>
      <c r="C5402" t="inlineStr">
        <is>
          <t>Sin cliente</t>
        </is>
      </c>
      <c r="D5402" t="inlineStr">
        <is>
          <t>CANELÉ TRADICIONAL</t>
        </is>
      </c>
      <c r="E5402" s="34" t="n">
        <v>15900</v>
      </c>
      <c r="F5402" t="inlineStr">
        <is>
          <t>B</t>
        </is>
      </c>
      <c r="G5402" s="34" t="n">
        <v>2539</v>
      </c>
      <c r="H5402" s="34" t="n">
        <v>13361</v>
      </c>
      <c r="I5402" t="inlineStr">
        <is>
          <t>3.2</t>
        </is>
      </c>
      <c r="J5402" t="inlineStr">
        <is>
          <t>Ventas Personas (B2C)</t>
        </is>
      </c>
      <c r="K5402" t="inlineStr">
        <is>
          <t>CH2</t>
        </is>
      </c>
    </row>
    <row r="5403">
      <c r="A5403" s="33" t="n">
        <v>46069</v>
      </c>
      <c r="B5403" t="inlineStr">
        <is>
          <t>2026-02</t>
        </is>
      </c>
      <c r="C5403" t="inlineStr">
        <is>
          <t>Sin cliente</t>
        </is>
      </c>
      <c r="D5403" t="inlineStr">
        <is>
          <t>Petit Tradicional</t>
        </is>
      </c>
      <c r="E5403" s="34" t="n">
        <v>21800</v>
      </c>
      <c r="F5403" t="inlineStr">
        <is>
          <t>B</t>
        </is>
      </c>
      <c r="G5403" s="34" t="n">
        <v>3481</v>
      </c>
      <c r="H5403" s="34" t="n">
        <v>18319</v>
      </c>
      <c r="I5403" t="inlineStr">
        <is>
          <t>3.2</t>
        </is>
      </c>
      <c r="J5403" t="inlineStr">
        <is>
          <t>Ventas Personas (B2C)</t>
        </is>
      </c>
      <c r="K5403" t="inlineStr">
        <is>
          <t>CH2</t>
        </is>
      </c>
    </row>
    <row r="5404">
      <c r="A5404" s="33" t="n">
        <v>46070</v>
      </c>
      <c r="B5404" t="inlineStr">
        <is>
          <t>2026-02</t>
        </is>
      </c>
      <c r="C5404" t="inlineStr">
        <is>
          <t>BLUE OAK COFFE SPA</t>
        </is>
      </c>
      <c r="D5404" t="inlineStr">
        <is>
          <t>HORECA CAFETERIA</t>
        </is>
      </c>
      <c r="E5404" s="34" t="n">
        <v>168504</v>
      </c>
      <c r="F5404" t="inlineStr">
        <is>
          <t>F</t>
        </is>
      </c>
      <c r="G5404" s="34" t="n">
        <v>26904</v>
      </c>
      <c r="H5404" s="34" t="n">
        <v>141600</v>
      </c>
      <c r="I5404" t="inlineStr">
        <is>
          <t>3.1</t>
        </is>
      </c>
      <c r="J5404" t="inlineStr">
        <is>
          <t>Ventas HoReCa</t>
        </is>
      </c>
      <c r="K5404" t="inlineStr">
        <is>
          <t>CH1</t>
        </is>
      </c>
    </row>
    <row r="5405">
      <c r="A5405" s="33" t="n">
        <v>46070</v>
      </c>
      <c r="B5405" t="inlineStr">
        <is>
          <t>2026-02</t>
        </is>
      </c>
      <c r="C5405" t="inlineStr">
        <is>
          <t>BLUE OAK COFFE SPA</t>
        </is>
      </c>
      <c r="D5405" t="inlineStr">
        <is>
          <t>HORECA CAFETERIA</t>
        </is>
      </c>
      <c r="E5405" s="34" t="n">
        <v>151951</v>
      </c>
      <c r="F5405" t="inlineStr">
        <is>
          <t>F</t>
        </is>
      </c>
      <c r="G5405" s="34" t="n">
        <v>24261</v>
      </c>
      <c r="H5405" s="34" t="n">
        <v>127690</v>
      </c>
      <c r="I5405" t="inlineStr">
        <is>
          <t>3.1</t>
        </is>
      </c>
      <c r="J5405" t="inlineStr">
        <is>
          <t>Ventas HoReCa</t>
        </is>
      </c>
      <c r="K5405" t="inlineStr">
        <is>
          <t>CH1</t>
        </is>
      </c>
    </row>
    <row r="5406">
      <c r="A5406" s="33" t="n">
        <v>46070</v>
      </c>
      <c r="B5406" t="inlineStr">
        <is>
          <t>2026-02</t>
        </is>
      </c>
      <c r="C5406" t="inlineStr">
        <is>
          <t>CUATROTRESTRES CAFÉ SPA</t>
        </is>
      </c>
      <c r="D5406" t="inlineStr">
        <is>
          <t>HORECA CAFETERIA</t>
        </is>
      </c>
      <c r="E5406" s="34" t="n">
        <v>216140</v>
      </c>
      <c r="F5406" t="inlineStr">
        <is>
          <t>F</t>
        </is>
      </c>
      <c r="G5406" s="34" t="n">
        <v>34510</v>
      </c>
      <c r="H5406" s="34" t="n">
        <v>181630</v>
      </c>
      <c r="I5406" t="inlineStr">
        <is>
          <t>3.1</t>
        </is>
      </c>
      <c r="J5406" t="inlineStr">
        <is>
          <t>Ventas HoReCa</t>
        </is>
      </c>
      <c r="K5406" t="inlineStr">
        <is>
          <t>CH1</t>
        </is>
      </c>
    </row>
    <row r="5407">
      <c r="A5407" s="33" t="n">
        <v>46070</v>
      </c>
      <c r="B5407" t="inlineStr">
        <is>
          <t>2026-02</t>
        </is>
      </c>
      <c r="C5407" t="inlineStr">
        <is>
          <t>Agustin Robles</t>
        </is>
      </c>
      <c r="D5407" t="inlineStr">
        <is>
          <t>Rellenos</t>
        </is>
      </c>
      <c r="E5407" s="34" t="n">
        <v>24390</v>
      </c>
      <c r="F5407" t="inlineStr">
        <is>
          <t>B</t>
        </is>
      </c>
      <c r="G5407" s="34" t="n">
        <v>3894</v>
      </c>
      <c r="H5407" s="34" t="n">
        <v>20496</v>
      </c>
      <c r="I5407" t="inlineStr">
        <is>
          <t>3.2</t>
        </is>
      </c>
      <c r="J5407" t="inlineStr">
        <is>
          <t>Ventas Personas (B2C)</t>
        </is>
      </c>
      <c r="K5407" t="inlineStr">
        <is>
          <t>CH2</t>
        </is>
      </c>
    </row>
    <row r="5408">
      <c r="A5408" s="33" t="n">
        <v>46070</v>
      </c>
      <c r="B5408" t="inlineStr">
        <is>
          <t>2026-02</t>
        </is>
      </c>
      <c r="C5408" t="inlineStr">
        <is>
          <t>Francisca Richard</t>
        </is>
      </c>
      <c r="D5408" t="inlineStr">
        <is>
          <t>CANELÉ TRADICIONAL</t>
        </is>
      </c>
      <c r="E5408" s="34" t="n">
        <v>6000</v>
      </c>
      <c r="F5408" t="inlineStr">
        <is>
          <t>B</t>
        </is>
      </c>
      <c r="G5408" s="34" t="n">
        <v>958</v>
      </c>
      <c r="H5408" s="34" t="n">
        <v>5042</v>
      </c>
      <c r="I5408" t="inlineStr">
        <is>
          <t>3.2</t>
        </is>
      </c>
      <c r="J5408" t="inlineStr">
        <is>
          <t>Ventas Personas (B2C)</t>
        </is>
      </c>
      <c r="K5408" t="inlineStr">
        <is>
          <t>CH2</t>
        </is>
      </c>
    </row>
    <row r="5409">
      <c r="A5409" s="33" t="n">
        <v>46070</v>
      </c>
      <c r="B5409" t="inlineStr">
        <is>
          <t>2026-02</t>
        </is>
      </c>
      <c r="C5409" t="inlineStr">
        <is>
          <t>Sin cliente</t>
        </is>
      </c>
      <c r="D5409" t="inlineStr">
        <is>
          <t>Cafeteria Geronimo</t>
        </is>
      </c>
      <c r="E5409" s="34" t="n">
        <v>16500</v>
      </c>
      <c r="F5409" t="inlineStr">
        <is>
          <t>B</t>
        </is>
      </c>
      <c r="G5409" s="34" t="n">
        <v>2634</v>
      </c>
      <c r="H5409" s="34" t="n">
        <v>13866</v>
      </c>
      <c r="I5409" t="inlineStr">
        <is>
          <t>3.2</t>
        </is>
      </c>
      <c r="J5409" t="inlineStr">
        <is>
          <t>Ventas Personas (B2C)</t>
        </is>
      </c>
      <c r="K5409" t="inlineStr">
        <is>
          <t>CH2</t>
        </is>
      </c>
    </row>
    <row r="5410">
      <c r="A5410" s="33" t="n">
        <v>46070</v>
      </c>
      <c r="B5410" t="inlineStr">
        <is>
          <t>2026-02</t>
        </is>
      </c>
      <c r="C5410" t="inlineStr">
        <is>
          <t>Sin cliente</t>
        </is>
      </c>
      <c r="D5410" t="inlineStr">
        <is>
          <t>CANELÉ TRADICIONAL</t>
        </is>
      </c>
      <c r="E5410" s="34" t="n">
        <v>31300</v>
      </c>
      <c r="F5410" t="inlineStr">
        <is>
          <t>B</t>
        </is>
      </c>
      <c r="G5410" s="34" t="n">
        <v>4997</v>
      </c>
      <c r="H5410" s="34" t="n">
        <v>26303</v>
      </c>
      <c r="I5410" t="inlineStr">
        <is>
          <t>3.2</t>
        </is>
      </c>
      <c r="J5410" t="inlineStr">
        <is>
          <t>Ventas Personas (B2C)</t>
        </is>
      </c>
      <c r="K5410" t="inlineStr">
        <is>
          <t>CH2</t>
        </is>
      </c>
    </row>
    <row r="5411">
      <c r="A5411" s="33" t="n">
        <v>46070</v>
      </c>
      <c r="B5411" t="inlineStr">
        <is>
          <t>2026-02</t>
        </is>
      </c>
      <c r="C5411" t="inlineStr">
        <is>
          <t>Sin cliente</t>
        </is>
      </c>
      <c r="D5411" t="inlineStr">
        <is>
          <t>Delicatessen</t>
        </is>
      </c>
      <c r="E5411" s="34" t="n">
        <v>2000</v>
      </c>
      <c r="F5411" t="inlineStr">
        <is>
          <t>B</t>
        </is>
      </c>
      <c r="G5411" s="34" t="n">
        <v>319</v>
      </c>
      <c r="H5411" s="34" t="n">
        <v>1681</v>
      </c>
      <c r="I5411" t="inlineStr">
        <is>
          <t>3.2</t>
        </is>
      </c>
      <c r="J5411" t="inlineStr">
        <is>
          <t>Ventas Personas (B2C)</t>
        </is>
      </c>
      <c r="K5411" t="inlineStr">
        <is>
          <t>CH2</t>
        </is>
      </c>
    </row>
    <row r="5412">
      <c r="A5412" s="33" t="n">
        <v>46070</v>
      </c>
      <c r="B5412" t="inlineStr">
        <is>
          <t>2026-02</t>
        </is>
      </c>
      <c r="C5412" t="inlineStr">
        <is>
          <t>Inversiones Las Urbinas SpA</t>
        </is>
      </c>
      <c r="D5412" t="inlineStr">
        <is>
          <t>HORECA CAFETERIA</t>
        </is>
      </c>
      <c r="E5412" s="34" t="n">
        <v>96283</v>
      </c>
      <c r="F5412" t="inlineStr">
        <is>
          <t>F</t>
        </is>
      </c>
      <c r="G5412" s="34" t="n">
        <v>15373</v>
      </c>
      <c r="H5412" s="34" t="n">
        <v>80910</v>
      </c>
      <c r="I5412" t="inlineStr">
        <is>
          <t>3.1</t>
        </is>
      </c>
      <c r="J5412" t="inlineStr">
        <is>
          <t>Ventas HoReCa</t>
        </is>
      </c>
      <c r="K5412" t="inlineStr">
        <is>
          <t>CH1</t>
        </is>
      </c>
    </row>
    <row r="5413">
      <c r="A5413" s="33" t="n">
        <v>46070</v>
      </c>
      <c r="B5413" t="inlineStr">
        <is>
          <t>2026-02</t>
        </is>
      </c>
      <c r="C5413" t="inlineStr">
        <is>
          <t>Sin cliente</t>
        </is>
      </c>
      <c r="D5413" t="inlineStr">
        <is>
          <t>Canelé Petit Relleno</t>
        </is>
      </c>
      <c r="E5413" s="34" t="n">
        <v>29900</v>
      </c>
      <c r="F5413" t="inlineStr">
        <is>
          <t>B</t>
        </is>
      </c>
      <c r="G5413" s="34" t="n">
        <v>4774</v>
      </c>
      <c r="H5413" s="34" t="n">
        <v>25126</v>
      </c>
      <c r="I5413" t="inlineStr">
        <is>
          <t>3.2</t>
        </is>
      </c>
      <c r="J5413" t="inlineStr">
        <is>
          <t>Ventas Personas (B2C)</t>
        </is>
      </c>
      <c r="K5413" t="inlineStr">
        <is>
          <t>CH2</t>
        </is>
      </c>
    </row>
    <row r="5414">
      <c r="A5414" s="33" t="n">
        <v>46070</v>
      </c>
      <c r="B5414" t="inlineStr">
        <is>
          <t>2026-02</t>
        </is>
      </c>
      <c r="C5414" t="inlineStr">
        <is>
          <t>Sin cliente</t>
        </is>
      </c>
      <c r="D5414" t="inlineStr">
        <is>
          <t>Rellenos</t>
        </is>
      </c>
      <c r="E5414" s="34" t="n">
        <v>18900</v>
      </c>
      <c r="F5414" t="inlineStr">
        <is>
          <t>B</t>
        </is>
      </c>
      <c r="G5414" s="34" t="n">
        <v>3018</v>
      </c>
      <c r="H5414" s="34" t="n">
        <v>15882</v>
      </c>
      <c r="I5414" t="inlineStr">
        <is>
          <t>3.2</t>
        </is>
      </c>
      <c r="J5414" t="inlineStr">
        <is>
          <t>Ventas Personas (B2C)</t>
        </is>
      </c>
      <c r="K5414" t="inlineStr">
        <is>
          <t>CH2</t>
        </is>
      </c>
    </row>
    <row r="5415">
      <c r="A5415" s="33" t="n">
        <v>46070</v>
      </c>
      <c r="B5415" t="inlineStr">
        <is>
          <t>2026-02</t>
        </is>
      </c>
      <c r="C5415" t="inlineStr">
        <is>
          <t>Sin cliente</t>
        </is>
      </c>
      <c r="D5415" t="inlineStr">
        <is>
          <t>PLATAFORMAS RAP-PEYA-UBER-GOOD</t>
        </is>
      </c>
      <c r="E5415" s="34" t="n">
        <v>22680</v>
      </c>
      <c r="F5415" t="inlineStr">
        <is>
          <t>B</t>
        </is>
      </c>
      <c r="G5415" s="34" t="n">
        <v>3621</v>
      </c>
      <c r="H5415" s="34" t="n">
        <v>19059</v>
      </c>
      <c r="I5415" t="inlineStr">
        <is>
          <t>3.6</t>
        </is>
      </c>
      <c r="J5415" t="inlineStr">
        <is>
          <t>Ventas Delivery Apps</t>
        </is>
      </c>
      <c r="K5415" t="inlineStr">
        <is>
          <t>CH3</t>
        </is>
      </c>
    </row>
    <row r="5416">
      <c r="A5416" s="33" t="n">
        <v>46070</v>
      </c>
      <c r="B5416" t="inlineStr">
        <is>
          <t>2026-02</t>
        </is>
      </c>
      <c r="C5416" t="inlineStr">
        <is>
          <t>Cecilia Gallardo Hidalgo</t>
        </is>
      </c>
      <c r="D5416" t="inlineStr">
        <is>
          <t>Rellenos</t>
        </is>
      </c>
      <c r="E5416" s="34" t="n">
        <v>38390</v>
      </c>
      <c r="F5416" t="inlineStr">
        <is>
          <t>B</t>
        </is>
      </c>
      <c r="G5416" s="34" t="n">
        <v>6129</v>
      </c>
      <c r="H5416" s="34" t="n">
        <v>32261</v>
      </c>
      <c r="I5416" t="inlineStr">
        <is>
          <t>3.2</t>
        </is>
      </c>
      <c r="J5416" t="inlineStr">
        <is>
          <t>Ventas Personas (B2C)</t>
        </is>
      </c>
      <c r="K5416" t="inlineStr">
        <is>
          <t>CH2</t>
        </is>
      </c>
    </row>
    <row r="5417">
      <c r="A5417" s="33" t="n">
        <v>46070</v>
      </c>
      <c r="B5417" t="inlineStr">
        <is>
          <t>2026-02</t>
        </is>
      </c>
      <c r="C5417" t="inlineStr">
        <is>
          <t>Pamela Iglesias</t>
        </is>
      </c>
      <c r="D5417" t="inlineStr">
        <is>
          <t>CANELÉ TRADICIONAL</t>
        </is>
      </c>
      <c r="E5417" s="34" t="n">
        <v>26390</v>
      </c>
      <c r="F5417" t="inlineStr">
        <is>
          <t>B</t>
        </is>
      </c>
      <c r="G5417" s="34" t="n">
        <v>4214</v>
      </c>
      <c r="H5417" s="34" t="n">
        <v>22176</v>
      </c>
      <c r="I5417" t="inlineStr">
        <is>
          <t>3.2</t>
        </is>
      </c>
      <c r="J5417" t="inlineStr">
        <is>
          <t>Ventas Personas (B2C)</t>
        </is>
      </c>
      <c r="K5417" t="inlineStr">
        <is>
          <t>CH2</t>
        </is>
      </c>
    </row>
    <row r="5418">
      <c r="A5418" s="33" t="n">
        <v>46070</v>
      </c>
      <c r="B5418" t="inlineStr">
        <is>
          <t>2026-02</t>
        </is>
      </c>
      <c r="C5418" t="inlineStr">
        <is>
          <t>Sin cliente</t>
        </is>
      </c>
      <c r="D5418" t="inlineStr">
        <is>
          <t>CANELÉ TRADICIONAL</t>
        </is>
      </c>
      <c r="E5418" s="34" t="n">
        <v>22890</v>
      </c>
      <c r="F5418" t="inlineStr">
        <is>
          <t>B</t>
        </is>
      </c>
      <c r="G5418" s="34" t="n">
        <v>3655</v>
      </c>
      <c r="H5418" s="34" t="n">
        <v>19235</v>
      </c>
      <c r="I5418" t="inlineStr">
        <is>
          <t>3.2</t>
        </is>
      </c>
      <c r="J5418" t="inlineStr">
        <is>
          <t>Ventas Personas (B2C)</t>
        </is>
      </c>
      <c r="K5418" t="inlineStr">
        <is>
          <t>CH2</t>
        </is>
      </c>
    </row>
    <row r="5419">
      <c r="A5419" s="33" t="n">
        <v>46071</v>
      </c>
      <c r="B5419" t="inlineStr">
        <is>
          <t>2026-02</t>
        </is>
      </c>
      <c r="C5419" t="inlineStr">
        <is>
          <t>Sociedad de inversiones solari y acuña spa</t>
        </is>
      </c>
      <c r="D5419" t="inlineStr">
        <is>
          <t>HORECA CAFETERIA</t>
        </is>
      </c>
      <c r="E5419" s="34" t="n">
        <v>72221</v>
      </c>
      <c r="F5419" t="inlineStr">
        <is>
          <t>F</t>
        </is>
      </c>
      <c r="G5419" s="34" t="n">
        <v>11531</v>
      </c>
      <c r="H5419" s="34" t="n">
        <v>60690</v>
      </c>
      <c r="I5419" t="inlineStr">
        <is>
          <t>3.1</t>
        </is>
      </c>
      <c r="J5419" t="inlineStr">
        <is>
          <t>Ventas HoReCa</t>
        </is>
      </c>
      <c r="K5419" t="inlineStr">
        <is>
          <t>CH1</t>
        </is>
      </c>
    </row>
    <row r="5420">
      <c r="A5420" s="33" t="n">
        <v>46071</v>
      </c>
      <c r="B5420" t="inlineStr">
        <is>
          <t>2026-02</t>
        </is>
      </c>
      <c r="C5420" t="inlineStr">
        <is>
          <t>Sociedad de inversiones solari y acuña spa</t>
        </is>
      </c>
      <c r="D5420" t="inlineStr">
        <is>
          <t>HORECA CAFETERIA</t>
        </is>
      </c>
      <c r="E5420" s="34" t="n">
        <v>72221</v>
      </c>
      <c r="F5420" t="inlineStr">
        <is>
          <t>F</t>
        </is>
      </c>
      <c r="G5420" s="34" t="n">
        <v>11531</v>
      </c>
      <c r="H5420" s="34" t="n">
        <v>60690</v>
      </c>
      <c r="I5420" t="inlineStr">
        <is>
          <t>3.1</t>
        </is>
      </c>
      <c r="J5420" t="inlineStr">
        <is>
          <t>Ventas HoReCa</t>
        </is>
      </c>
      <c r="K5420" t="inlineStr">
        <is>
          <t>CH1</t>
        </is>
      </c>
    </row>
    <row r="5421">
      <c r="A5421" s="33" t="n">
        <v>46071</v>
      </c>
      <c r="B5421" t="inlineStr">
        <is>
          <t>2026-02</t>
        </is>
      </c>
      <c r="C5421" t="inlineStr">
        <is>
          <t>Inversiones Fofoca SpA</t>
        </is>
      </c>
      <c r="D5421" t="inlineStr">
        <is>
          <t>HORECA CAFETERIA</t>
        </is>
      </c>
      <c r="E5421" s="34" t="n">
        <v>39115</v>
      </c>
      <c r="F5421" t="inlineStr">
        <is>
          <t>F</t>
        </is>
      </c>
      <c r="G5421" s="34" t="n">
        <v>6245</v>
      </c>
      <c r="H5421" s="34" t="n">
        <v>32870</v>
      </c>
      <c r="I5421" t="inlineStr">
        <is>
          <t>3.1</t>
        </is>
      </c>
      <c r="J5421" t="inlineStr">
        <is>
          <t>Ventas HoReCa</t>
        </is>
      </c>
      <c r="K5421" t="inlineStr">
        <is>
          <t>CH1</t>
        </is>
      </c>
    </row>
    <row r="5422">
      <c r="A5422" s="33" t="n">
        <v>46071</v>
      </c>
      <c r="B5422" t="inlineStr">
        <is>
          <t>2026-02</t>
        </is>
      </c>
      <c r="C5422" t="inlineStr">
        <is>
          <t>CAFÉ UNDER SPA</t>
        </is>
      </c>
      <c r="D5422" t="inlineStr">
        <is>
          <t>HORECA CAFETERIA</t>
        </is>
      </c>
      <c r="E5422" s="34" t="n">
        <v>71210</v>
      </c>
      <c r="F5422" t="inlineStr">
        <is>
          <t>F</t>
        </is>
      </c>
      <c r="G5422" s="34" t="n">
        <v>11370</v>
      </c>
      <c r="H5422" s="34" t="n">
        <v>59840</v>
      </c>
      <c r="I5422" t="inlineStr">
        <is>
          <t>3.1</t>
        </is>
      </c>
      <c r="J5422" t="inlineStr">
        <is>
          <t>Ventas HoReCa</t>
        </is>
      </c>
      <c r="K5422" t="inlineStr">
        <is>
          <t>CH1</t>
        </is>
      </c>
    </row>
    <row r="5423">
      <c r="A5423" s="33" t="n">
        <v>46071</v>
      </c>
      <c r="B5423" t="inlineStr">
        <is>
          <t>2026-02</t>
        </is>
      </c>
      <c r="C5423" t="inlineStr">
        <is>
          <t>Pilar Araya Bazan</t>
        </is>
      </c>
      <c r="D5423" t="inlineStr">
        <is>
          <t>Petit Tradicional</t>
        </is>
      </c>
      <c r="E5423" s="34" t="n">
        <v>25290</v>
      </c>
      <c r="F5423" t="inlineStr">
        <is>
          <t>B</t>
        </is>
      </c>
      <c r="G5423" s="34" t="n">
        <v>4038</v>
      </c>
      <c r="H5423" s="34" t="n">
        <v>21252</v>
      </c>
      <c r="I5423" t="inlineStr">
        <is>
          <t>3.2</t>
        </is>
      </c>
      <c r="J5423" t="inlineStr">
        <is>
          <t>Ventas Personas (B2C)</t>
        </is>
      </c>
      <c r="K5423" t="inlineStr">
        <is>
          <t>CH2</t>
        </is>
      </c>
    </row>
    <row r="5424">
      <c r="A5424" s="33" t="n">
        <v>46071</v>
      </c>
      <c r="B5424" t="inlineStr">
        <is>
          <t>2026-02</t>
        </is>
      </c>
      <c r="C5424" t="inlineStr">
        <is>
          <t>Sin cliente</t>
        </is>
      </c>
      <c r="D5424" t="inlineStr">
        <is>
          <t>Mix Sabores</t>
        </is>
      </c>
      <c r="E5424" s="34" t="n">
        <v>21000</v>
      </c>
      <c r="F5424" t="inlineStr">
        <is>
          <t>B</t>
        </is>
      </c>
      <c r="G5424" s="34" t="n">
        <v>3353</v>
      </c>
      <c r="H5424" s="34" t="n">
        <v>17647</v>
      </c>
      <c r="I5424" t="inlineStr">
        <is>
          <t>3.2</t>
        </is>
      </c>
      <c r="J5424" t="inlineStr">
        <is>
          <t>Ventas Personas (B2C)</t>
        </is>
      </c>
      <c r="K5424" t="inlineStr">
        <is>
          <t>CH2</t>
        </is>
      </c>
    </row>
    <row r="5425">
      <c r="A5425" s="33" t="n">
        <v>46071</v>
      </c>
      <c r="B5425" t="inlineStr">
        <is>
          <t>2026-02</t>
        </is>
      </c>
      <c r="C5425" t="inlineStr">
        <is>
          <t>Sin cliente</t>
        </is>
      </c>
      <c r="D5425" t="inlineStr">
        <is>
          <t>Cafeteria Geronimo</t>
        </is>
      </c>
      <c r="E5425" s="34" t="n">
        <v>11900</v>
      </c>
      <c r="F5425" t="inlineStr">
        <is>
          <t>B</t>
        </is>
      </c>
      <c r="G5425" s="34" t="n">
        <v>1900</v>
      </c>
      <c r="H5425" s="34" t="n">
        <v>10000</v>
      </c>
      <c r="I5425" t="inlineStr">
        <is>
          <t>3.2</t>
        </is>
      </c>
      <c r="J5425" t="inlineStr">
        <is>
          <t>Ventas Personas (B2C)</t>
        </is>
      </c>
      <c r="K5425" t="inlineStr">
        <is>
          <t>CH2</t>
        </is>
      </c>
    </row>
    <row r="5426">
      <c r="A5426" s="33" t="n">
        <v>46071</v>
      </c>
      <c r="B5426" t="inlineStr">
        <is>
          <t>2026-02</t>
        </is>
      </c>
      <c r="C5426" t="inlineStr">
        <is>
          <t>Sin cliente</t>
        </is>
      </c>
      <c r="D5426" t="inlineStr">
        <is>
          <t>Cafeteria Geronimo</t>
        </is>
      </c>
      <c r="E5426" s="34" t="n">
        <v>12900</v>
      </c>
      <c r="F5426" t="inlineStr">
        <is>
          <t>B</t>
        </is>
      </c>
      <c r="G5426" s="34" t="n">
        <v>2060</v>
      </c>
      <c r="H5426" s="34" t="n">
        <v>10840</v>
      </c>
      <c r="I5426" t="inlineStr">
        <is>
          <t>3.2</t>
        </is>
      </c>
      <c r="J5426" t="inlineStr">
        <is>
          <t>Ventas Personas (B2C)</t>
        </is>
      </c>
      <c r="K5426" t="inlineStr">
        <is>
          <t>CH2</t>
        </is>
      </c>
    </row>
    <row r="5427">
      <c r="A5427" s="33" t="n">
        <v>46071</v>
      </c>
      <c r="B5427" t="inlineStr">
        <is>
          <t>2026-02</t>
        </is>
      </c>
      <c r="C5427" t="inlineStr">
        <is>
          <t>Pamela Iglesias</t>
        </is>
      </c>
      <c r="D5427" t="inlineStr">
        <is>
          <t>CANELÉ TRADICIONAL</t>
        </is>
      </c>
      <c r="E5427" s="34" t="n">
        <v>31390</v>
      </c>
      <c r="F5427" t="inlineStr">
        <is>
          <t>B</t>
        </is>
      </c>
      <c r="G5427" s="34" t="n">
        <v>5012</v>
      </c>
      <c r="H5427" s="34" t="n">
        <v>26378</v>
      </c>
      <c r="I5427" t="inlineStr">
        <is>
          <t>3.2</t>
        </is>
      </c>
      <c r="J5427" t="inlineStr">
        <is>
          <t>Ventas Personas (B2C)</t>
        </is>
      </c>
      <c r="K5427" t="inlineStr">
        <is>
          <t>CH2</t>
        </is>
      </c>
    </row>
    <row r="5428">
      <c r="A5428" s="33" t="n">
        <v>46071</v>
      </c>
      <c r="B5428" t="inlineStr">
        <is>
          <t>2026-02</t>
        </is>
      </c>
      <c r="C5428" t="inlineStr">
        <is>
          <t>Sin cliente</t>
        </is>
      </c>
      <c r="D5428" t="inlineStr">
        <is>
          <t>CANELÉ TRADICIONAL</t>
        </is>
      </c>
      <c r="E5428" s="34" t="n">
        <v>15900</v>
      </c>
      <c r="F5428" t="inlineStr">
        <is>
          <t>B</t>
        </is>
      </c>
      <c r="G5428" s="34" t="n">
        <v>2539</v>
      </c>
      <c r="H5428" s="34" t="n">
        <v>13361</v>
      </c>
      <c r="I5428" t="inlineStr">
        <is>
          <t>3.2</t>
        </is>
      </c>
      <c r="J5428" t="inlineStr">
        <is>
          <t>Ventas Personas (B2C)</t>
        </is>
      </c>
      <c r="K5428" t="inlineStr">
        <is>
          <t>CH2</t>
        </is>
      </c>
    </row>
    <row r="5429">
      <c r="A5429" s="33" t="n">
        <v>46071</v>
      </c>
      <c r="B5429" t="inlineStr">
        <is>
          <t>2026-02</t>
        </is>
      </c>
      <c r="C5429" t="inlineStr">
        <is>
          <t>Isabel Adlerstein Lapostól</t>
        </is>
      </c>
      <c r="D5429" t="inlineStr">
        <is>
          <t>Mix Sabores</t>
        </is>
      </c>
      <c r="E5429" s="34" t="n">
        <v>28290</v>
      </c>
      <c r="F5429" t="inlineStr">
        <is>
          <t>B</t>
        </is>
      </c>
      <c r="G5429" s="34" t="n">
        <v>4517</v>
      </c>
      <c r="H5429" s="34" t="n">
        <v>23773</v>
      </c>
      <c r="I5429" t="inlineStr">
        <is>
          <t>3.2</t>
        </is>
      </c>
      <c r="J5429" t="inlineStr">
        <is>
          <t>Ventas Personas (B2C)</t>
        </is>
      </c>
      <c r="K5429" t="inlineStr">
        <is>
          <t>CH2</t>
        </is>
      </c>
    </row>
    <row r="5430">
      <c r="A5430" s="33" t="n">
        <v>46071</v>
      </c>
      <c r="B5430" t="inlineStr">
        <is>
          <t>2026-02</t>
        </is>
      </c>
      <c r="C5430" t="inlineStr">
        <is>
          <t>Sin cliente</t>
        </is>
      </c>
      <c r="D5430" t="inlineStr">
        <is>
          <t>CANELÉ TRADICIONAL</t>
        </is>
      </c>
      <c r="E5430" s="34" t="n">
        <v>34800</v>
      </c>
      <c r="F5430" t="inlineStr">
        <is>
          <t>B</t>
        </is>
      </c>
      <c r="G5430" s="34" t="n">
        <v>5556</v>
      </c>
      <c r="H5430" s="34" t="n">
        <v>29244</v>
      </c>
      <c r="I5430" t="inlineStr">
        <is>
          <t>3.2</t>
        </is>
      </c>
      <c r="J5430" t="inlineStr">
        <is>
          <t>Ventas Personas (B2C)</t>
        </is>
      </c>
      <c r="K5430" t="inlineStr">
        <is>
          <t>CH2</t>
        </is>
      </c>
    </row>
    <row r="5431">
      <c r="A5431" s="33" t="n">
        <v>46071</v>
      </c>
      <c r="B5431" t="inlineStr">
        <is>
          <t>2026-02</t>
        </is>
      </c>
      <c r="C5431" t="inlineStr">
        <is>
          <t>Sin cliente</t>
        </is>
      </c>
      <c r="D5431" t="inlineStr">
        <is>
          <t>CANELÉ TRADICIONAL</t>
        </is>
      </c>
      <c r="E5431" s="34" t="n">
        <v>5000</v>
      </c>
      <c r="F5431" t="inlineStr">
        <is>
          <t>B</t>
        </is>
      </c>
      <c r="G5431" s="34" t="n">
        <v>798</v>
      </c>
      <c r="H5431" s="34" t="n">
        <v>4202</v>
      </c>
      <c r="I5431" t="inlineStr">
        <is>
          <t>3.2</t>
        </is>
      </c>
      <c r="J5431" t="inlineStr">
        <is>
          <t>Ventas Personas (B2C)</t>
        </is>
      </c>
      <c r="K5431" t="inlineStr">
        <is>
          <t>CH2</t>
        </is>
      </c>
    </row>
    <row r="5432">
      <c r="A5432" s="33" t="n">
        <v>46072</v>
      </c>
      <c r="B5432" t="inlineStr">
        <is>
          <t>2026-02</t>
        </is>
      </c>
      <c r="C5432" t="inlineStr">
        <is>
          <t>Better Food Spa</t>
        </is>
      </c>
      <c r="D5432" t="inlineStr">
        <is>
          <t>HORECA CAFETERIA</t>
        </is>
      </c>
      <c r="E5432" s="34" t="n">
        <v>192566</v>
      </c>
      <c r="F5432" t="inlineStr">
        <is>
          <t>F</t>
        </is>
      </c>
      <c r="G5432" s="34" t="n">
        <v>30746</v>
      </c>
      <c r="H5432" s="34" t="n">
        <v>161820</v>
      </c>
      <c r="I5432" t="inlineStr">
        <is>
          <t>3.1</t>
        </is>
      </c>
      <c r="J5432" t="inlineStr">
        <is>
          <t>Ventas HoReCa</t>
        </is>
      </c>
      <c r="K5432" t="inlineStr">
        <is>
          <t>CH1</t>
        </is>
      </c>
    </row>
    <row r="5433">
      <c r="A5433" s="33" t="n">
        <v>46072</v>
      </c>
      <c r="B5433" t="inlineStr">
        <is>
          <t>2026-02</t>
        </is>
      </c>
      <c r="C5433" t="inlineStr">
        <is>
          <t>Better Food Spa</t>
        </is>
      </c>
      <c r="D5433" t="inlineStr">
        <is>
          <t>REGION METROPOLITANA</t>
        </is>
      </c>
      <c r="E5433" s="34" t="n">
        <v>9401</v>
      </c>
      <c r="F5433" t="inlineStr">
        <is>
          <t>F</t>
        </is>
      </c>
      <c r="G5433" s="34" t="n">
        <v>1501</v>
      </c>
      <c r="H5433" s="34" t="n">
        <v>7900</v>
      </c>
      <c r="I5433" t="inlineStr">
        <is>
          <t>3.1</t>
        </is>
      </c>
      <c r="J5433" t="inlineStr">
        <is>
          <t>Ventas HoReCa</t>
        </is>
      </c>
      <c r="K5433" t="inlineStr">
        <is>
          <t>CH1</t>
        </is>
      </c>
    </row>
    <row r="5434">
      <c r="A5434" s="33" t="n">
        <v>46072</v>
      </c>
      <c r="B5434" t="inlineStr">
        <is>
          <t>2026-02</t>
        </is>
      </c>
      <c r="C5434" t="inlineStr">
        <is>
          <t>VILAS BANQUETERIAS SPA</t>
        </is>
      </c>
      <c r="D5434" t="inlineStr">
        <is>
          <t>HORECA CATERING</t>
        </is>
      </c>
      <c r="E5434" s="34" t="n">
        <v>148393</v>
      </c>
      <c r="F5434" t="inlineStr">
        <is>
          <t>F</t>
        </is>
      </c>
      <c r="G5434" s="34" t="n">
        <v>23693</v>
      </c>
      <c r="H5434" s="34" t="n">
        <v>124700</v>
      </c>
      <c r="I5434" t="inlineStr">
        <is>
          <t>3.1</t>
        </is>
      </c>
      <c r="J5434" t="inlineStr">
        <is>
          <t>Ventas HoReCa</t>
        </is>
      </c>
      <c r="K5434" t="inlineStr">
        <is>
          <t>CH1</t>
        </is>
      </c>
    </row>
    <row r="5435">
      <c r="A5435" s="33" t="n">
        <v>46072</v>
      </c>
      <c r="B5435" t="inlineStr">
        <is>
          <t>2026-02</t>
        </is>
      </c>
      <c r="C5435" t="inlineStr">
        <is>
          <t>Andariego Coffee Spa</t>
        </is>
      </c>
      <c r="D5435" t="inlineStr">
        <is>
          <t>HORECA CAFETERIA</t>
        </is>
      </c>
      <c r="E5435" s="34" t="n">
        <v>355446</v>
      </c>
      <c r="F5435" t="inlineStr">
        <is>
          <t>F</t>
        </is>
      </c>
      <c r="G5435" s="34" t="n">
        <v>56752</v>
      </c>
      <c r="H5435" s="34" t="n">
        <v>298694</v>
      </c>
      <c r="I5435" t="inlineStr">
        <is>
          <t>3.1</t>
        </is>
      </c>
      <c r="J5435" t="inlineStr">
        <is>
          <t>Ventas HoReCa</t>
        </is>
      </c>
      <c r="K5435" t="inlineStr">
        <is>
          <t>CH1</t>
        </is>
      </c>
    </row>
    <row r="5436">
      <c r="A5436" s="33" t="n">
        <v>46072</v>
      </c>
      <c r="B5436" t="inlineStr">
        <is>
          <t>2026-02</t>
        </is>
      </c>
      <c r="C5436" t="inlineStr">
        <is>
          <t>Luis Felipe La Corte Castro</t>
        </is>
      </c>
      <c r="D5436" t="inlineStr">
        <is>
          <t>HORECA CAFETERIA</t>
        </is>
      </c>
      <c r="E5436" s="34" t="n">
        <v>103304</v>
      </c>
      <c r="F5436" t="inlineStr">
        <is>
          <t>F</t>
        </is>
      </c>
      <c r="G5436" s="34" t="n">
        <v>16494</v>
      </c>
      <c r="H5436" s="34" t="n">
        <v>86810</v>
      </c>
      <c r="I5436" t="inlineStr">
        <is>
          <t>3.1</t>
        </is>
      </c>
      <c r="J5436" t="inlineStr">
        <is>
          <t>Ventas HoReCa</t>
        </is>
      </c>
      <c r="K5436" t="inlineStr">
        <is>
          <t>CH1</t>
        </is>
      </c>
    </row>
    <row r="5437">
      <c r="A5437" s="33" t="n">
        <v>46072</v>
      </c>
      <c r="B5437" t="inlineStr">
        <is>
          <t>2026-02</t>
        </is>
      </c>
      <c r="C5437" t="inlineStr">
        <is>
          <t>Leonidas Torres Trujillo</t>
        </is>
      </c>
      <c r="D5437" t="inlineStr">
        <is>
          <t>Canelé Petit Relleno</t>
        </is>
      </c>
      <c r="E5437" s="34" t="n">
        <v>29900</v>
      </c>
      <c r="F5437" t="inlineStr">
        <is>
          <t>B</t>
        </is>
      </c>
      <c r="G5437" s="34" t="n">
        <v>4774</v>
      </c>
      <c r="H5437" s="34" t="n">
        <v>25126</v>
      </c>
      <c r="I5437" t="inlineStr">
        <is>
          <t>3.2</t>
        </is>
      </c>
      <c r="J5437" t="inlineStr">
        <is>
          <t>Ventas Personas (B2C)</t>
        </is>
      </c>
      <c r="K5437" t="inlineStr">
        <is>
          <t>CH2</t>
        </is>
      </c>
    </row>
    <row r="5438">
      <c r="A5438" s="33" t="n">
        <v>46072</v>
      </c>
      <c r="B5438" t="inlineStr">
        <is>
          <t>2026-02</t>
        </is>
      </c>
      <c r="C5438" t="inlineStr">
        <is>
          <t>Sin cliente</t>
        </is>
      </c>
      <c r="D5438" t="inlineStr">
        <is>
          <t>Delicatessen</t>
        </is>
      </c>
      <c r="E5438" s="34" t="n">
        <v>9800</v>
      </c>
      <c r="F5438" t="inlineStr">
        <is>
          <t>B</t>
        </is>
      </c>
      <c r="G5438" s="34" t="n">
        <v>1565</v>
      </c>
      <c r="H5438" s="34" t="n">
        <v>8235</v>
      </c>
      <c r="I5438" t="inlineStr">
        <is>
          <t>3.2</t>
        </is>
      </c>
      <c r="J5438" t="inlineStr">
        <is>
          <t>Ventas Personas (B2C)</t>
        </is>
      </c>
      <c r="K5438" t="inlineStr">
        <is>
          <t>CH2</t>
        </is>
      </c>
    </row>
    <row r="5439">
      <c r="A5439" s="33" t="n">
        <v>46072</v>
      </c>
      <c r="B5439" t="inlineStr">
        <is>
          <t>2026-02</t>
        </is>
      </c>
      <c r="C5439" t="inlineStr">
        <is>
          <t>Sin cliente</t>
        </is>
      </c>
      <c r="D5439" t="inlineStr">
        <is>
          <t>CANELÉ TRADICIONAL</t>
        </is>
      </c>
      <c r="E5439" s="34" t="n">
        <v>12400</v>
      </c>
      <c r="F5439" t="inlineStr">
        <is>
          <t>B</t>
        </is>
      </c>
      <c r="G5439" s="34" t="n">
        <v>1980</v>
      </c>
      <c r="H5439" s="34" t="n">
        <v>10420</v>
      </c>
      <c r="I5439" t="inlineStr">
        <is>
          <t>3.2</t>
        </is>
      </c>
      <c r="J5439" t="inlineStr">
        <is>
          <t>Ventas Personas (B2C)</t>
        </is>
      </c>
      <c r="K5439" t="inlineStr">
        <is>
          <t>CH2</t>
        </is>
      </c>
    </row>
    <row r="5440">
      <c r="A5440" s="33" t="n">
        <v>46072</v>
      </c>
      <c r="B5440" t="inlineStr">
        <is>
          <t>2026-02</t>
        </is>
      </c>
      <c r="C5440" t="inlineStr">
        <is>
          <t>Sin cliente</t>
        </is>
      </c>
      <c r="D5440" t="inlineStr">
        <is>
          <t>CANELÉ TRADICIONAL</t>
        </is>
      </c>
      <c r="E5440" s="34" t="n">
        <v>20000</v>
      </c>
      <c r="F5440" t="inlineStr">
        <is>
          <t>B</t>
        </is>
      </c>
      <c r="G5440" s="34" t="n">
        <v>3193</v>
      </c>
      <c r="H5440" s="34" t="n">
        <v>16807</v>
      </c>
      <c r="I5440" t="inlineStr">
        <is>
          <t>3.2</t>
        </is>
      </c>
      <c r="J5440" t="inlineStr">
        <is>
          <t>Ventas Personas (B2C)</t>
        </is>
      </c>
      <c r="K5440" t="inlineStr">
        <is>
          <t>CH2</t>
        </is>
      </c>
    </row>
    <row r="5441">
      <c r="A5441" s="33" t="n">
        <v>46072</v>
      </c>
      <c r="B5441" t="inlineStr">
        <is>
          <t>2026-02</t>
        </is>
      </c>
      <c r="C5441" t="inlineStr">
        <is>
          <t>Sin cliente</t>
        </is>
      </c>
      <c r="D5441" t="inlineStr">
        <is>
          <t>Petit Tradicional</t>
        </is>
      </c>
      <c r="E5441" s="34" t="n">
        <v>20790</v>
      </c>
      <c r="F5441" t="inlineStr">
        <is>
          <t>B</t>
        </is>
      </c>
      <c r="G5441" s="34" t="n">
        <v>3319</v>
      </c>
      <c r="H5441" s="34" t="n">
        <v>17471</v>
      </c>
      <c r="I5441" t="inlineStr">
        <is>
          <t>3.2</t>
        </is>
      </c>
      <c r="J5441" t="inlineStr">
        <is>
          <t>Ventas Personas (B2C)</t>
        </is>
      </c>
      <c r="K5441" t="inlineStr">
        <is>
          <t>CH2</t>
        </is>
      </c>
    </row>
    <row r="5442">
      <c r="A5442" s="33" t="n">
        <v>46072</v>
      </c>
      <c r="B5442" t="inlineStr">
        <is>
          <t>2026-02</t>
        </is>
      </c>
      <c r="C5442" t="inlineStr">
        <is>
          <t>Sin cliente</t>
        </is>
      </c>
      <c r="D5442" t="inlineStr">
        <is>
          <t>PLATAFORMAS RAP-PEYA-UBER-GOOD</t>
        </is>
      </c>
      <c r="E5442" s="34" t="n">
        <v>27480</v>
      </c>
      <c r="F5442" t="inlineStr">
        <is>
          <t>B</t>
        </is>
      </c>
      <c r="G5442" s="34" t="n">
        <v>4388</v>
      </c>
      <c r="H5442" s="34" t="n">
        <v>23092</v>
      </c>
      <c r="I5442" t="inlineStr">
        <is>
          <t>3.6</t>
        </is>
      </c>
      <c r="J5442" t="inlineStr">
        <is>
          <t>Ventas Delivery Apps</t>
        </is>
      </c>
      <c r="K5442" t="inlineStr">
        <is>
          <t>CH3</t>
        </is>
      </c>
    </row>
    <row r="5443">
      <c r="A5443" s="33" t="n">
        <v>46072</v>
      </c>
      <c r="B5443" t="inlineStr">
        <is>
          <t>2026-02</t>
        </is>
      </c>
      <c r="C5443" t="inlineStr">
        <is>
          <t>Sin cliente</t>
        </is>
      </c>
      <c r="D5443" t="inlineStr">
        <is>
          <t>Rellenos</t>
        </is>
      </c>
      <c r="E5443" s="34" t="n">
        <v>19400</v>
      </c>
      <c r="F5443" t="inlineStr">
        <is>
          <t>B</t>
        </is>
      </c>
      <c r="G5443" s="34" t="n">
        <v>3097</v>
      </c>
      <c r="H5443" s="34" t="n">
        <v>16303</v>
      </c>
      <c r="I5443" t="inlineStr">
        <is>
          <t>3.2</t>
        </is>
      </c>
      <c r="J5443" t="inlineStr">
        <is>
          <t>Ventas Personas (B2C)</t>
        </is>
      </c>
      <c r="K5443" t="inlineStr">
        <is>
          <t>CH2</t>
        </is>
      </c>
    </row>
    <row r="5444">
      <c r="A5444" s="33" t="n">
        <v>46072</v>
      </c>
      <c r="B5444" t="inlineStr">
        <is>
          <t>2026-02</t>
        </is>
      </c>
      <c r="C5444" t="inlineStr">
        <is>
          <t>Sin cliente</t>
        </is>
      </c>
      <c r="D5444" t="inlineStr">
        <is>
          <t>Cafeteria Geronimo</t>
        </is>
      </c>
      <c r="E5444" s="34" t="n">
        <v>12800</v>
      </c>
      <c r="F5444" t="inlineStr">
        <is>
          <t>B</t>
        </is>
      </c>
      <c r="G5444" s="34" t="n">
        <v>2044</v>
      </c>
      <c r="H5444" s="34" t="n">
        <v>10756</v>
      </c>
      <c r="I5444" t="inlineStr">
        <is>
          <t>3.2</t>
        </is>
      </c>
      <c r="J5444" t="inlineStr">
        <is>
          <t>Ventas Personas (B2C)</t>
        </is>
      </c>
      <c r="K5444" t="inlineStr">
        <is>
          <t>CH2</t>
        </is>
      </c>
    </row>
    <row r="5445">
      <c r="A5445" s="33" t="n">
        <v>46072</v>
      </c>
      <c r="B5445" t="inlineStr">
        <is>
          <t>2026-02</t>
        </is>
      </c>
      <c r="C5445" t="inlineStr">
        <is>
          <t>Paula Rodriguez</t>
        </is>
      </c>
      <c r="D5445" t="inlineStr">
        <is>
          <t>CANELE SIN AZUCAR</t>
        </is>
      </c>
      <c r="E5445" s="34" t="n">
        <v>39290</v>
      </c>
      <c r="F5445" t="inlineStr">
        <is>
          <t>B</t>
        </is>
      </c>
      <c r="G5445" s="34" t="n">
        <v>6273</v>
      </c>
      <c r="H5445" s="34" t="n">
        <v>33017</v>
      </c>
      <c r="I5445" t="inlineStr">
        <is>
          <t>3.2</t>
        </is>
      </c>
      <c r="J5445" t="inlineStr">
        <is>
          <t>Ventas Personas (B2C)</t>
        </is>
      </c>
      <c r="K5445" t="inlineStr">
        <is>
          <t>CH2</t>
        </is>
      </c>
    </row>
    <row r="5446">
      <c r="A5446" s="33" t="n">
        <v>46073</v>
      </c>
      <c r="B5446" t="inlineStr">
        <is>
          <t>2026-02</t>
        </is>
      </c>
      <c r="C5446" t="inlineStr">
        <is>
          <t>CAFE DIARIO ENCOMENDEROS SPA</t>
        </is>
      </c>
      <c r="D5446" t="inlineStr">
        <is>
          <t>HORECA CAFETERIA</t>
        </is>
      </c>
      <c r="E5446" s="34" t="n">
        <v>75893</v>
      </c>
      <c r="F5446" t="inlineStr">
        <is>
          <t>F</t>
        </is>
      </c>
      <c r="G5446" s="34" t="n">
        <v>12117</v>
      </c>
      <c r="H5446" s="34" t="n">
        <v>63776</v>
      </c>
      <c r="I5446" t="inlineStr">
        <is>
          <t>3.1</t>
        </is>
      </c>
      <c r="J5446" t="inlineStr">
        <is>
          <t>Ventas HoReCa</t>
        </is>
      </c>
      <c r="K5446" t="inlineStr">
        <is>
          <t>CH1</t>
        </is>
      </c>
    </row>
    <row r="5447">
      <c r="A5447" s="33" t="n">
        <v>46073</v>
      </c>
      <c r="B5447" t="inlineStr">
        <is>
          <t>2026-02</t>
        </is>
      </c>
      <c r="C5447" t="inlineStr">
        <is>
          <t>Café del Parque SpA</t>
        </is>
      </c>
      <c r="D5447" t="inlineStr">
        <is>
          <t>HORECA CAFETERIA</t>
        </is>
      </c>
      <c r="E5447" s="34" t="n">
        <v>78849</v>
      </c>
      <c r="F5447" t="inlineStr">
        <is>
          <t>F</t>
        </is>
      </c>
      <c r="G5447" s="34" t="n">
        <v>12589</v>
      </c>
      <c r="H5447" s="34" t="n">
        <v>66260</v>
      </c>
      <c r="I5447" t="inlineStr">
        <is>
          <t>3.1</t>
        </is>
      </c>
      <c r="J5447" t="inlineStr">
        <is>
          <t>Ventas HoReCa</t>
        </is>
      </c>
      <c r="K5447" t="inlineStr">
        <is>
          <t>CH1</t>
        </is>
      </c>
    </row>
    <row r="5448">
      <c r="A5448" s="33" t="n">
        <v>46073</v>
      </c>
      <c r="B5448" t="inlineStr">
        <is>
          <t>2026-02</t>
        </is>
      </c>
      <c r="C5448" t="inlineStr">
        <is>
          <t>CAFÉ ROCAMAR LIMITADA</t>
        </is>
      </c>
      <c r="D5448" t="inlineStr">
        <is>
          <t>HORECA CAFETERIA</t>
        </is>
      </c>
      <c r="E5448" s="34" t="n">
        <v>96283</v>
      </c>
      <c r="F5448" t="inlineStr">
        <is>
          <t>F</t>
        </is>
      </c>
      <c r="G5448" s="34" t="n">
        <v>15373</v>
      </c>
      <c r="H5448" s="34" t="n">
        <v>80910</v>
      </c>
      <c r="I5448" t="inlineStr">
        <is>
          <t>3.1</t>
        </is>
      </c>
      <c r="J5448" t="inlineStr">
        <is>
          <t>Ventas HoReCa</t>
        </is>
      </c>
      <c r="K5448" t="inlineStr">
        <is>
          <t>CH1</t>
        </is>
      </c>
    </row>
    <row r="5449">
      <c r="A5449" s="33" t="n">
        <v>46073</v>
      </c>
      <c r="B5449" t="inlineStr">
        <is>
          <t>2026-02</t>
        </is>
      </c>
      <c r="C5449" t="inlineStr">
        <is>
          <t>Maria Paz Sañudo</t>
        </is>
      </c>
      <c r="D5449" t="inlineStr">
        <is>
          <t>Petit Tradicional</t>
        </is>
      </c>
      <c r="E5449" s="34" t="n">
        <v>28620</v>
      </c>
      <c r="F5449" t="inlineStr">
        <is>
          <t>B</t>
        </is>
      </c>
      <c r="G5449" s="34" t="n">
        <v>4570</v>
      </c>
      <c r="H5449" s="34" t="n">
        <v>24050</v>
      </c>
      <c r="I5449" t="inlineStr">
        <is>
          <t>3.2</t>
        </is>
      </c>
      <c r="J5449" t="inlineStr">
        <is>
          <t>Ventas Personas (B2C)</t>
        </is>
      </c>
      <c r="K5449" t="inlineStr">
        <is>
          <t>CH2</t>
        </is>
      </c>
    </row>
    <row r="5450">
      <c r="A5450" s="33" t="n">
        <v>46073</v>
      </c>
      <c r="B5450" t="inlineStr">
        <is>
          <t>2026-02</t>
        </is>
      </c>
      <c r="C5450" t="inlineStr">
        <is>
          <t>Pamela Iglesias</t>
        </is>
      </c>
      <c r="D5450" t="inlineStr">
        <is>
          <t>CANELÉ TRADICIONAL</t>
        </is>
      </c>
      <c r="E5450" s="34" t="n">
        <v>25110</v>
      </c>
      <c r="F5450" t="inlineStr">
        <is>
          <t>B</t>
        </is>
      </c>
      <c r="G5450" s="34" t="n">
        <v>4009</v>
      </c>
      <c r="H5450" s="34" t="n">
        <v>21101</v>
      </c>
      <c r="I5450" t="inlineStr">
        <is>
          <t>3.2</t>
        </is>
      </c>
      <c r="J5450" t="inlineStr">
        <is>
          <t>Ventas Personas (B2C)</t>
        </is>
      </c>
      <c r="K5450" t="inlineStr">
        <is>
          <t>CH2</t>
        </is>
      </c>
    </row>
    <row r="5451">
      <c r="A5451" s="33" t="n">
        <v>46073</v>
      </c>
      <c r="B5451" t="inlineStr">
        <is>
          <t>2026-02</t>
        </is>
      </c>
      <c r="C5451" t="inlineStr">
        <is>
          <t>Sin cliente</t>
        </is>
      </c>
      <c r="D5451" t="inlineStr">
        <is>
          <t>Rellenos</t>
        </is>
      </c>
      <c r="E5451" s="34" t="n">
        <v>16065</v>
      </c>
      <c r="F5451" t="inlineStr">
        <is>
          <t>B</t>
        </is>
      </c>
      <c r="G5451" s="34" t="n">
        <v>2565</v>
      </c>
      <c r="H5451" s="34" t="n">
        <v>13500</v>
      </c>
      <c r="I5451" t="inlineStr">
        <is>
          <t>3.2</t>
        </is>
      </c>
      <c r="J5451" t="inlineStr">
        <is>
          <t>Ventas Personas (B2C)</t>
        </is>
      </c>
      <c r="K5451" t="inlineStr">
        <is>
          <t>CH2</t>
        </is>
      </c>
    </row>
    <row r="5452">
      <c r="A5452" s="33" t="n">
        <v>46073</v>
      </c>
      <c r="B5452" t="inlineStr">
        <is>
          <t>2026-02</t>
        </is>
      </c>
      <c r="C5452" t="inlineStr">
        <is>
          <t>Sin cliente</t>
        </is>
      </c>
      <c r="D5452" t="inlineStr">
        <is>
          <t>Rellenos</t>
        </is>
      </c>
      <c r="E5452" s="34" t="n">
        <v>18900</v>
      </c>
      <c r="F5452" t="inlineStr">
        <is>
          <t>B</t>
        </is>
      </c>
      <c r="G5452" s="34" t="n">
        <v>3018</v>
      </c>
      <c r="H5452" s="34" t="n">
        <v>15882</v>
      </c>
      <c r="I5452" t="inlineStr">
        <is>
          <t>3.2</t>
        </is>
      </c>
      <c r="J5452" t="inlineStr">
        <is>
          <t>Ventas Personas (B2C)</t>
        </is>
      </c>
      <c r="K5452" t="inlineStr">
        <is>
          <t>CH2</t>
        </is>
      </c>
    </row>
    <row r="5453">
      <c r="A5453" s="33" t="n">
        <v>46073</v>
      </c>
      <c r="B5453" t="inlineStr">
        <is>
          <t>2026-02</t>
        </is>
      </c>
      <c r="C5453" t="inlineStr">
        <is>
          <t>Sin cliente</t>
        </is>
      </c>
      <c r="D5453" t="inlineStr">
        <is>
          <t>Rellenos</t>
        </is>
      </c>
      <c r="E5453" s="34" t="n">
        <v>5500</v>
      </c>
      <c r="F5453" t="inlineStr">
        <is>
          <t>B</t>
        </is>
      </c>
      <c r="G5453" s="34" t="n">
        <v>878</v>
      </c>
      <c r="H5453" s="34" t="n">
        <v>4622</v>
      </c>
      <c r="I5453" t="inlineStr">
        <is>
          <t>3.2</t>
        </is>
      </c>
      <c r="J5453" t="inlineStr">
        <is>
          <t>Ventas Personas (B2C)</t>
        </is>
      </c>
      <c r="K5453" t="inlineStr">
        <is>
          <t>CH2</t>
        </is>
      </c>
    </row>
    <row r="5454">
      <c r="A5454" s="33" t="n">
        <v>46073</v>
      </c>
      <c r="B5454" t="inlineStr">
        <is>
          <t>2026-02</t>
        </is>
      </c>
      <c r="C5454" t="inlineStr">
        <is>
          <t>Sin cliente</t>
        </is>
      </c>
      <c r="D5454" t="inlineStr">
        <is>
          <t>Rellenos</t>
        </is>
      </c>
      <c r="E5454" s="34" t="n">
        <v>3500</v>
      </c>
      <c r="F5454" t="inlineStr">
        <is>
          <t>B</t>
        </is>
      </c>
      <c r="G5454" s="34" t="n">
        <v>559</v>
      </c>
      <c r="H5454" s="34" t="n">
        <v>2941</v>
      </c>
      <c r="I5454" t="inlineStr">
        <is>
          <t>3.2</t>
        </is>
      </c>
      <c r="J5454" t="inlineStr">
        <is>
          <t>Ventas Personas (B2C)</t>
        </is>
      </c>
      <c r="K5454" t="inlineStr">
        <is>
          <t>CH2</t>
        </is>
      </c>
    </row>
    <row r="5455">
      <c r="A5455" s="33" t="n">
        <v>46073</v>
      </c>
      <c r="B5455" t="inlineStr">
        <is>
          <t>2026-02</t>
        </is>
      </c>
      <c r="C5455" t="inlineStr">
        <is>
          <t>Claudia Perez</t>
        </is>
      </c>
      <c r="D5455" t="inlineStr">
        <is>
          <t>PACKAGING</t>
        </is>
      </c>
      <c r="E5455" s="34" t="n">
        <v>46780</v>
      </c>
      <c r="F5455" t="inlineStr">
        <is>
          <t>B</t>
        </is>
      </c>
      <c r="G5455" s="34" t="n">
        <v>7469</v>
      </c>
      <c r="H5455" s="34" t="n">
        <v>39311</v>
      </c>
      <c r="I5455" t="inlineStr">
        <is>
          <t>3.2</t>
        </is>
      </c>
      <c r="J5455" t="inlineStr">
        <is>
          <t>Ventas Personas (B2C)</t>
        </is>
      </c>
      <c r="K5455" t="inlineStr">
        <is>
          <t>CH2</t>
        </is>
      </c>
    </row>
    <row r="5456">
      <c r="A5456" s="33" t="n">
        <v>46073</v>
      </c>
      <c r="B5456" t="inlineStr">
        <is>
          <t>2026-02</t>
        </is>
      </c>
      <c r="C5456" t="inlineStr">
        <is>
          <t>Alejandra Sepúlveda</t>
        </is>
      </c>
      <c r="D5456" t="inlineStr">
        <is>
          <t>Rellenos</t>
        </is>
      </c>
      <c r="E5456" s="34" t="n">
        <v>47190</v>
      </c>
      <c r="F5456" t="inlineStr">
        <is>
          <t>B</t>
        </is>
      </c>
      <c r="G5456" s="34" t="n">
        <v>7535</v>
      </c>
      <c r="H5456" s="34" t="n">
        <v>39655</v>
      </c>
      <c r="I5456" t="inlineStr">
        <is>
          <t>3.2</t>
        </is>
      </c>
      <c r="J5456" t="inlineStr">
        <is>
          <t>Ventas Personas (B2C)</t>
        </is>
      </c>
      <c r="K5456" t="inlineStr">
        <is>
          <t>CH2</t>
        </is>
      </c>
    </row>
    <row r="5457">
      <c r="A5457" s="33" t="n">
        <v>46073</v>
      </c>
      <c r="B5457" t="inlineStr">
        <is>
          <t>2026-02</t>
        </is>
      </c>
      <c r="C5457" t="inlineStr">
        <is>
          <t>Sin cliente</t>
        </is>
      </c>
      <c r="D5457" t="inlineStr">
        <is>
          <t>Petit Tradicional</t>
        </is>
      </c>
      <c r="E5457" s="34" t="n">
        <v>13800</v>
      </c>
      <c r="F5457" t="inlineStr">
        <is>
          <t>B</t>
        </is>
      </c>
      <c r="G5457" s="34" t="n">
        <v>2203</v>
      </c>
      <c r="H5457" s="34" t="n">
        <v>11597</v>
      </c>
      <c r="I5457" t="inlineStr">
        <is>
          <t>3.2</t>
        </is>
      </c>
      <c r="J5457" t="inlineStr">
        <is>
          <t>Ventas Personas (B2C)</t>
        </is>
      </c>
      <c r="K5457" t="inlineStr">
        <is>
          <t>CH2</t>
        </is>
      </c>
    </row>
    <row r="5458">
      <c r="A5458" s="33" t="n">
        <v>46073</v>
      </c>
      <c r="B5458" t="inlineStr">
        <is>
          <t>2026-02</t>
        </is>
      </c>
      <c r="C5458" t="inlineStr">
        <is>
          <t>Sin cliente</t>
        </is>
      </c>
      <c r="D5458" t="inlineStr">
        <is>
          <t>Delicatessen</t>
        </is>
      </c>
      <c r="E5458" s="34" t="n">
        <v>1700</v>
      </c>
      <c r="F5458" t="inlineStr">
        <is>
          <t>B</t>
        </is>
      </c>
      <c r="G5458" s="34" t="n">
        <v>271</v>
      </c>
      <c r="H5458" s="34" t="n">
        <v>1429</v>
      </c>
      <c r="I5458" t="inlineStr">
        <is>
          <t>3.2</t>
        </is>
      </c>
      <c r="J5458" t="inlineStr">
        <is>
          <t>Ventas Personas (B2C)</t>
        </is>
      </c>
      <c r="K5458" t="inlineStr">
        <is>
          <t>CH2</t>
        </is>
      </c>
    </row>
    <row r="5459">
      <c r="A5459" s="33" t="n">
        <v>46073</v>
      </c>
      <c r="B5459" t="inlineStr">
        <is>
          <t>2026-02</t>
        </is>
      </c>
      <c r="C5459" t="inlineStr">
        <is>
          <t>Sin cliente</t>
        </is>
      </c>
      <c r="D5459" t="inlineStr">
        <is>
          <t>CANELÉ TRADICIONAL</t>
        </is>
      </c>
      <c r="E5459" s="34" t="n">
        <v>33390</v>
      </c>
      <c r="F5459" t="inlineStr">
        <is>
          <t>B</t>
        </is>
      </c>
      <c r="G5459" s="34" t="n">
        <v>5331</v>
      </c>
      <c r="H5459" s="34" t="n">
        <v>28059</v>
      </c>
      <c r="I5459" t="inlineStr">
        <is>
          <t>3.2</t>
        </is>
      </c>
      <c r="J5459" t="inlineStr">
        <is>
          <t>Ventas Personas (B2C)</t>
        </is>
      </c>
      <c r="K5459" t="inlineStr">
        <is>
          <t>CH2</t>
        </is>
      </c>
    </row>
    <row r="5460">
      <c r="A5460" s="33" t="n">
        <v>46073</v>
      </c>
      <c r="B5460" t="inlineStr">
        <is>
          <t>2026-02</t>
        </is>
      </c>
      <c r="C5460" t="inlineStr">
        <is>
          <t>Sin cliente</t>
        </is>
      </c>
      <c r="D5460" t="inlineStr">
        <is>
          <t>PLATAFORMAS RAP-PEYA-UBER-GOOD</t>
        </is>
      </c>
      <c r="E5460" s="34" t="n">
        <v>25080</v>
      </c>
      <c r="F5460" t="inlineStr">
        <is>
          <t>B</t>
        </is>
      </c>
      <c r="G5460" s="34" t="n">
        <v>4004</v>
      </c>
      <c r="H5460" s="34" t="n">
        <v>21076</v>
      </c>
      <c r="I5460" t="inlineStr">
        <is>
          <t>3.6</t>
        </is>
      </c>
      <c r="J5460" t="inlineStr">
        <is>
          <t>Ventas Delivery Apps</t>
        </is>
      </c>
      <c r="K5460" t="inlineStr">
        <is>
          <t>CH3</t>
        </is>
      </c>
    </row>
    <row r="5461">
      <c r="A5461" s="33" t="n">
        <v>46073</v>
      </c>
      <c r="B5461" t="inlineStr">
        <is>
          <t>2026-02</t>
        </is>
      </c>
      <c r="C5461" t="inlineStr">
        <is>
          <t>Sin cliente</t>
        </is>
      </c>
      <c r="D5461" t="inlineStr">
        <is>
          <t>PLATAFORMAS RAP-PEYA-UBER-GOOD</t>
        </is>
      </c>
      <c r="E5461" s="34" t="n">
        <v>22680</v>
      </c>
      <c r="F5461" t="inlineStr">
        <is>
          <t>B</t>
        </is>
      </c>
      <c r="G5461" s="34" t="n">
        <v>3621</v>
      </c>
      <c r="H5461" s="34" t="n">
        <v>19059</v>
      </c>
      <c r="I5461" t="inlineStr">
        <is>
          <t>3.6</t>
        </is>
      </c>
      <c r="J5461" t="inlineStr">
        <is>
          <t>Ventas Delivery Apps</t>
        </is>
      </c>
      <c r="K5461" t="inlineStr">
        <is>
          <t>CH3</t>
        </is>
      </c>
    </row>
    <row r="5462">
      <c r="A5462" s="33" t="n">
        <v>46074</v>
      </c>
      <c r="B5462" t="inlineStr">
        <is>
          <t>2026-02</t>
        </is>
      </c>
      <c r="C5462" t="inlineStr">
        <is>
          <t>José Luis Varela</t>
        </is>
      </c>
      <c r="D5462" t="inlineStr">
        <is>
          <t>Rellenos</t>
        </is>
      </c>
      <c r="E5462" s="34" t="n">
        <v>23310</v>
      </c>
      <c r="F5462" t="inlineStr">
        <is>
          <t>B</t>
        </is>
      </c>
      <c r="G5462" s="34" t="n">
        <v>3722</v>
      </c>
      <c r="H5462" s="34" t="n">
        <v>19588</v>
      </c>
      <c r="I5462" t="inlineStr">
        <is>
          <t>3.2</t>
        </is>
      </c>
      <c r="J5462" t="inlineStr">
        <is>
          <t>Ventas Personas (B2C)</t>
        </is>
      </c>
      <c r="K5462" t="inlineStr">
        <is>
          <t>CH2</t>
        </is>
      </c>
    </row>
    <row r="5463">
      <c r="A5463" s="33" t="n">
        <v>46074</v>
      </c>
      <c r="B5463" t="inlineStr">
        <is>
          <t>2026-02</t>
        </is>
      </c>
      <c r="C5463" t="inlineStr">
        <is>
          <t>RICHARD Carrasco</t>
        </is>
      </c>
      <c r="D5463" t="inlineStr">
        <is>
          <t>CANELÉ TRADICIONAL</t>
        </is>
      </c>
      <c r="E5463" s="34" t="n">
        <v>53190</v>
      </c>
      <c r="F5463" t="inlineStr">
        <is>
          <t>B</t>
        </is>
      </c>
      <c r="G5463" s="34" t="n">
        <v>8493</v>
      </c>
      <c r="H5463" s="34" t="n">
        <v>44697</v>
      </c>
      <c r="I5463" t="inlineStr">
        <is>
          <t>3.2</t>
        </is>
      </c>
      <c r="J5463" t="inlineStr">
        <is>
          <t>Ventas Personas (B2C)</t>
        </is>
      </c>
      <c r="K5463" t="inlineStr">
        <is>
          <t>CH2</t>
        </is>
      </c>
    </row>
    <row r="5464">
      <c r="A5464" s="33" t="n">
        <v>46075</v>
      </c>
      <c r="B5464" t="inlineStr">
        <is>
          <t>2026-02</t>
        </is>
      </c>
      <c r="C5464" t="inlineStr">
        <is>
          <t>Angélica Gaete Urzua</t>
        </is>
      </c>
      <c r="D5464" t="inlineStr">
        <is>
          <t>Rellenos</t>
        </is>
      </c>
      <c r="E5464" s="34" t="n">
        <v>12960</v>
      </c>
      <c r="F5464" t="inlineStr">
        <is>
          <t>B</t>
        </is>
      </c>
      <c r="G5464" s="34" t="n">
        <v>2069</v>
      </c>
      <c r="H5464" s="34" t="n">
        <v>10891</v>
      </c>
      <c r="I5464" t="inlineStr">
        <is>
          <t>3.2</t>
        </is>
      </c>
      <c r="J5464" t="inlineStr">
        <is>
          <t>Ventas Personas (B2C)</t>
        </is>
      </c>
      <c r="K5464" t="inlineStr">
        <is>
          <t>CH2</t>
        </is>
      </c>
    </row>
    <row r="5465">
      <c r="A5465" s="33" t="n">
        <v>46076</v>
      </c>
      <c r="B5465" t="inlineStr">
        <is>
          <t>2026-02</t>
        </is>
      </c>
      <c r="C5465" t="inlineStr">
        <is>
          <t>BUSTORF LARSEN Y COMPANIA LIMITADA</t>
        </is>
      </c>
      <c r="D5465" t="inlineStr">
        <is>
          <t>HORECA CAFETERIA</t>
        </is>
      </c>
      <c r="E5465" s="34" t="n">
        <v>71210</v>
      </c>
      <c r="F5465" t="inlineStr">
        <is>
          <t>F</t>
        </is>
      </c>
      <c r="G5465" s="34" t="n">
        <v>11370</v>
      </c>
      <c r="H5465" s="34" t="n">
        <v>59840</v>
      </c>
      <c r="I5465" t="inlineStr">
        <is>
          <t>3.1</t>
        </is>
      </c>
      <c r="J5465" t="inlineStr">
        <is>
          <t>Ventas HoReCa</t>
        </is>
      </c>
      <c r="K5465" t="inlineStr">
        <is>
          <t>CH1</t>
        </is>
      </c>
    </row>
    <row r="5466">
      <c r="A5466" s="33" t="n">
        <v>46076</v>
      </c>
      <c r="B5466" t="inlineStr">
        <is>
          <t>2026-02</t>
        </is>
      </c>
      <c r="C5466" t="inlineStr">
        <is>
          <t>BACOLIO SPA</t>
        </is>
      </c>
      <c r="D5466" t="inlineStr">
        <is>
          <t>HORECA CAFETERIA</t>
        </is>
      </c>
      <c r="E5466" s="34" t="n">
        <v>104315</v>
      </c>
      <c r="F5466" t="inlineStr">
        <is>
          <t>F</t>
        </is>
      </c>
      <c r="G5466" s="34" t="n">
        <v>16655</v>
      </c>
      <c r="H5466" s="34" t="n">
        <v>87660</v>
      </c>
      <c r="I5466" t="inlineStr">
        <is>
          <t>3.1</t>
        </is>
      </c>
      <c r="J5466" t="inlineStr">
        <is>
          <t>Ventas HoReCa</t>
        </is>
      </c>
      <c r="K5466" t="inlineStr">
        <is>
          <t>CH1</t>
        </is>
      </c>
    </row>
    <row r="5467">
      <c r="A5467" s="33" t="n">
        <v>46076</v>
      </c>
      <c r="B5467" t="inlineStr">
        <is>
          <t>2026-02</t>
        </is>
      </c>
      <c r="C5467" t="inlineStr">
        <is>
          <t>INVERSIONES Y ASESORIAS RAVAL LIMITADA</t>
        </is>
      </c>
      <c r="D5467" t="inlineStr">
        <is>
          <t>HORECA CAFETERIA</t>
        </is>
      </c>
      <c r="E5467" s="34" t="n">
        <v>75030</v>
      </c>
      <c r="F5467" t="inlineStr">
        <is>
          <t>F</t>
        </is>
      </c>
      <c r="G5467" s="34" t="n">
        <v>11980</v>
      </c>
      <c r="H5467" s="34" t="n">
        <v>63050</v>
      </c>
      <c r="I5467" t="inlineStr">
        <is>
          <t>3.1</t>
        </is>
      </c>
      <c r="J5467" t="inlineStr">
        <is>
          <t>Ventas HoReCa</t>
        </is>
      </c>
      <c r="K5467" t="inlineStr">
        <is>
          <t>CH1</t>
        </is>
      </c>
    </row>
    <row r="5468">
      <c r="A5468" s="33" t="n">
        <v>46076</v>
      </c>
      <c r="B5468" t="inlineStr">
        <is>
          <t>2026-02</t>
        </is>
      </c>
      <c r="C5468" t="inlineStr">
        <is>
          <t>Andar Café SpA</t>
        </is>
      </c>
      <c r="D5468" t="inlineStr">
        <is>
          <t>HORECA CAFETERIA</t>
        </is>
      </c>
      <c r="E5468" s="34" t="n">
        <v>73494</v>
      </c>
      <c r="F5468" t="inlineStr">
        <is>
          <t>F</t>
        </is>
      </c>
      <c r="G5468" s="34" t="n">
        <v>11734</v>
      </c>
      <c r="H5468" s="34" t="n">
        <v>61760</v>
      </c>
      <c r="I5468" t="inlineStr">
        <is>
          <t>3.1</t>
        </is>
      </c>
      <c r="J5468" t="inlineStr">
        <is>
          <t>Ventas HoReCa</t>
        </is>
      </c>
      <c r="K5468" t="inlineStr">
        <is>
          <t>CH1</t>
        </is>
      </c>
    </row>
    <row r="5469">
      <c r="A5469" s="33" t="n">
        <v>46076</v>
      </c>
      <c r="B5469" t="inlineStr">
        <is>
          <t>2026-02</t>
        </is>
      </c>
      <c r="C5469" t="inlineStr">
        <is>
          <t>Sin cliente</t>
        </is>
      </c>
      <c r="D5469" t="inlineStr">
        <is>
          <t>Rellenos</t>
        </is>
      </c>
      <c r="E5469" s="34" t="n">
        <v>6000</v>
      </c>
      <c r="F5469" t="inlineStr">
        <is>
          <t>B</t>
        </is>
      </c>
      <c r="G5469" s="34" t="n">
        <v>958</v>
      </c>
      <c r="H5469" s="34" t="n">
        <v>5042</v>
      </c>
      <c r="I5469" t="inlineStr">
        <is>
          <t>3.2</t>
        </is>
      </c>
      <c r="J5469" t="inlineStr">
        <is>
          <t>Ventas Personas (B2C)</t>
        </is>
      </c>
      <c r="K5469" t="inlineStr">
        <is>
          <t>CH2</t>
        </is>
      </c>
    </row>
    <row r="5470">
      <c r="A5470" s="33" t="n">
        <v>46076</v>
      </c>
      <c r="B5470" t="inlineStr">
        <is>
          <t>2026-02</t>
        </is>
      </c>
      <c r="C5470" t="inlineStr">
        <is>
          <t>Sin cliente</t>
        </is>
      </c>
      <c r="D5470" t="inlineStr">
        <is>
          <t>PLATAFORMAS RAP-PEYA-UBER-GOOD</t>
        </is>
      </c>
      <c r="E5470" s="34" t="n">
        <v>17880</v>
      </c>
      <c r="F5470" t="inlineStr">
        <is>
          <t>B</t>
        </is>
      </c>
      <c r="G5470" s="34" t="n">
        <v>2855</v>
      </c>
      <c r="H5470" s="34" t="n">
        <v>15025</v>
      </c>
      <c r="I5470" t="inlineStr">
        <is>
          <t>3.6</t>
        </is>
      </c>
      <c r="J5470" t="inlineStr">
        <is>
          <t>Ventas Delivery Apps</t>
        </is>
      </c>
      <c r="K5470" t="inlineStr">
        <is>
          <t>CH3</t>
        </is>
      </c>
    </row>
    <row r="5471">
      <c r="A5471" s="33" t="n">
        <v>46076</v>
      </c>
      <c r="B5471" t="inlineStr">
        <is>
          <t>2026-02</t>
        </is>
      </c>
      <c r="C5471" t="inlineStr">
        <is>
          <t>Sin cliente</t>
        </is>
      </c>
      <c r="D5471" t="inlineStr">
        <is>
          <t>Rellenos</t>
        </is>
      </c>
      <c r="E5471" s="34" t="n">
        <v>18900</v>
      </c>
      <c r="F5471" t="inlineStr">
        <is>
          <t>B</t>
        </is>
      </c>
      <c r="G5471" s="34" t="n">
        <v>3018</v>
      </c>
      <c r="H5471" s="34" t="n">
        <v>15882</v>
      </c>
      <c r="I5471" t="inlineStr">
        <is>
          <t>3.2</t>
        </is>
      </c>
      <c r="J5471" t="inlineStr">
        <is>
          <t>Ventas Personas (B2C)</t>
        </is>
      </c>
      <c r="K5471" t="inlineStr">
        <is>
          <t>CH2</t>
        </is>
      </c>
    </row>
    <row r="5472">
      <c r="A5472" s="33" t="n">
        <v>46076</v>
      </c>
      <c r="B5472" t="inlineStr">
        <is>
          <t>2026-02</t>
        </is>
      </c>
      <c r="C5472" t="inlineStr">
        <is>
          <t>Sin cliente</t>
        </is>
      </c>
      <c r="D5472" t="inlineStr">
        <is>
          <t>Petit Tradicional</t>
        </is>
      </c>
      <c r="E5472" s="34" t="n">
        <v>9800</v>
      </c>
      <c r="F5472" t="inlineStr">
        <is>
          <t>B</t>
        </is>
      </c>
      <c r="G5472" s="34" t="n">
        <v>1565</v>
      </c>
      <c r="H5472" s="34" t="n">
        <v>8235</v>
      </c>
      <c r="I5472" t="inlineStr">
        <is>
          <t>3.2</t>
        </is>
      </c>
      <c r="J5472" t="inlineStr">
        <is>
          <t>Ventas Personas (B2C)</t>
        </is>
      </c>
      <c r="K5472" t="inlineStr">
        <is>
          <t>CH2</t>
        </is>
      </c>
    </row>
    <row r="5473">
      <c r="A5473" s="33" t="n">
        <v>46076</v>
      </c>
      <c r="B5473" t="inlineStr">
        <is>
          <t>2026-02</t>
        </is>
      </c>
      <c r="C5473" t="inlineStr">
        <is>
          <t>Sin cliente</t>
        </is>
      </c>
      <c r="D5473" t="inlineStr">
        <is>
          <t>Rellenos</t>
        </is>
      </c>
      <c r="E5473" s="34" t="n">
        <v>37800</v>
      </c>
      <c r="F5473" t="inlineStr">
        <is>
          <t>B</t>
        </is>
      </c>
      <c r="G5473" s="34" t="n">
        <v>6035</v>
      </c>
      <c r="H5473" s="34" t="n">
        <v>31765</v>
      </c>
      <c r="I5473" t="inlineStr">
        <is>
          <t>3.2</t>
        </is>
      </c>
      <c r="J5473" t="inlineStr">
        <is>
          <t>Ventas Personas (B2C)</t>
        </is>
      </c>
      <c r="K5473" t="inlineStr">
        <is>
          <t>CH2</t>
        </is>
      </c>
    </row>
    <row r="5474">
      <c r="A5474" s="33" t="n">
        <v>46076</v>
      </c>
      <c r="B5474" t="inlineStr">
        <is>
          <t>2026-02</t>
        </is>
      </c>
      <c r="C5474" t="inlineStr">
        <is>
          <t>Sin cliente</t>
        </is>
      </c>
      <c r="D5474" t="inlineStr">
        <is>
          <t>Rellenos</t>
        </is>
      </c>
      <c r="E5474" s="34" t="n">
        <v>37800</v>
      </c>
      <c r="F5474" t="inlineStr">
        <is>
          <t>B</t>
        </is>
      </c>
      <c r="G5474" s="34" t="n">
        <v>6035</v>
      </c>
      <c r="H5474" s="34" t="n">
        <v>31765</v>
      </c>
      <c r="I5474" t="inlineStr">
        <is>
          <t>3.2</t>
        </is>
      </c>
      <c r="J5474" t="inlineStr">
        <is>
          <t>Ventas Personas (B2C)</t>
        </is>
      </c>
      <c r="K5474" t="inlineStr">
        <is>
          <t>CH2</t>
        </is>
      </c>
    </row>
    <row r="5475">
      <c r="A5475" s="33" t="n">
        <v>46076</v>
      </c>
      <c r="B5475" t="inlineStr">
        <is>
          <t>2026-02</t>
        </is>
      </c>
      <c r="C5475" t="inlineStr">
        <is>
          <t>Sin cliente</t>
        </is>
      </c>
      <c r="D5475" t="inlineStr">
        <is>
          <t>Rellenos</t>
        </is>
      </c>
      <c r="E5475" s="34" t="n">
        <v>18900</v>
      </c>
      <c r="F5475" t="inlineStr">
        <is>
          <t>B</t>
        </is>
      </c>
      <c r="G5475" s="34" t="n">
        <v>3018</v>
      </c>
      <c r="H5475" s="34" t="n">
        <v>15882</v>
      </c>
      <c r="I5475" t="inlineStr">
        <is>
          <t>3.2</t>
        </is>
      </c>
      <c r="J5475" t="inlineStr">
        <is>
          <t>Ventas Personas (B2C)</t>
        </is>
      </c>
      <c r="K5475" t="inlineStr">
        <is>
          <t>CH2</t>
        </is>
      </c>
    </row>
    <row r="5476">
      <c r="A5476" s="33" t="n">
        <v>46076</v>
      </c>
      <c r="B5476" t="inlineStr">
        <is>
          <t>2026-02</t>
        </is>
      </c>
      <c r="C5476" t="inlineStr">
        <is>
          <t>Sin cliente</t>
        </is>
      </c>
      <c r="D5476" t="inlineStr">
        <is>
          <t>CANELÉ TRADICIONAL</t>
        </is>
      </c>
      <c r="E5476" s="34" t="n">
        <v>28390</v>
      </c>
      <c r="F5476" t="inlineStr">
        <is>
          <t>B</t>
        </is>
      </c>
      <c r="G5476" s="34" t="n">
        <v>4533</v>
      </c>
      <c r="H5476" s="34" t="n">
        <v>23857</v>
      </c>
      <c r="I5476" t="inlineStr">
        <is>
          <t>3.2</t>
        </is>
      </c>
      <c r="J5476" t="inlineStr">
        <is>
          <t>Ventas Personas (B2C)</t>
        </is>
      </c>
      <c r="K5476" t="inlineStr">
        <is>
          <t>CH2</t>
        </is>
      </c>
    </row>
    <row r="5477">
      <c r="A5477" s="33" t="n">
        <v>46076</v>
      </c>
      <c r="B5477" t="inlineStr">
        <is>
          <t>2026-02</t>
        </is>
      </c>
      <c r="C5477" t="inlineStr">
        <is>
          <t>Sin cliente</t>
        </is>
      </c>
      <c r="D5477" t="inlineStr">
        <is>
          <t>PLATAFORMAS RAP-PEYA-UBER-GOOD</t>
        </is>
      </c>
      <c r="E5477" s="34" t="n">
        <v>31080</v>
      </c>
      <c r="F5477" t="inlineStr">
        <is>
          <t>B</t>
        </is>
      </c>
      <c r="G5477" s="34" t="n">
        <v>4962</v>
      </c>
      <c r="H5477" s="34" t="n">
        <v>26118</v>
      </c>
      <c r="I5477" t="inlineStr">
        <is>
          <t>3.6</t>
        </is>
      </c>
      <c r="J5477" t="inlineStr">
        <is>
          <t>Ventas Delivery Apps</t>
        </is>
      </c>
      <c r="K5477" t="inlineStr">
        <is>
          <t>CH3</t>
        </is>
      </c>
    </row>
    <row r="5478">
      <c r="A5478" s="33" t="n">
        <v>46076</v>
      </c>
      <c r="B5478" t="inlineStr">
        <is>
          <t>2026-02</t>
        </is>
      </c>
      <c r="C5478" t="inlineStr">
        <is>
          <t>Sin cliente</t>
        </is>
      </c>
      <c r="D5478" t="inlineStr">
        <is>
          <t>PLATAFORMAS RAP-PEYA-UBER-GOOD</t>
        </is>
      </c>
      <c r="E5478" s="34" t="n">
        <v>22680</v>
      </c>
      <c r="F5478" t="inlineStr">
        <is>
          <t>B</t>
        </is>
      </c>
      <c r="G5478" s="34" t="n">
        <v>3621</v>
      </c>
      <c r="H5478" s="34" t="n">
        <v>19059</v>
      </c>
      <c r="I5478" t="inlineStr">
        <is>
          <t>3.6</t>
        </is>
      </c>
      <c r="J5478" t="inlineStr">
        <is>
          <t>Ventas Delivery Apps</t>
        </is>
      </c>
      <c r="K5478" t="inlineStr">
        <is>
          <t>CH3</t>
        </is>
      </c>
    </row>
    <row r="5479">
      <c r="A5479" s="33" t="n">
        <v>46076</v>
      </c>
      <c r="B5479" t="inlineStr">
        <is>
          <t>2026-02</t>
        </is>
      </c>
      <c r="C5479" t="inlineStr">
        <is>
          <t>Ana Rosa Ramos</t>
        </is>
      </c>
      <c r="D5479" t="inlineStr">
        <is>
          <t>Rellenos</t>
        </is>
      </c>
      <c r="E5479" s="34" t="n">
        <v>25600</v>
      </c>
      <c r="F5479" t="inlineStr">
        <is>
          <t>B</t>
        </is>
      </c>
      <c r="G5479" s="34" t="n">
        <v>4087</v>
      </c>
      <c r="H5479" s="34" t="n">
        <v>21513</v>
      </c>
      <c r="I5479" t="inlineStr">
        <is>
          <t>3.2</t>
        </is>
      </c>
      <c r="J5479" t="inlineStr">
        <is>
          <t>Ventas Personas (B2C)</t>
        </is>
      </c>
      <c r="K5479" t="inlineStr">
        <is>
          <t>CH2</t>
        </is>
      </c>
    </row>
    <row r="5480">
      <c r="A5480" s="33" t="n">
        <v>46076</v>
      </c>
      <c r="B5480" t="inlineStr">
        <is>
          <t>2026-02</t>
        </is>
      </c>
      <c r="C5480" t="inlineStr">
        <is>
          <t>Olivia Cortés</t>
        </is>
      </c>
      <c r="D5480" t="inlineStr">
        <is>
          <t>CANELE SIN AZUCAR</t>
        </is>
      </c>
      <c r="E5480" s="34" t="n">
        <v>48290</v>
      </c>
      <c r="F5480" t="inlineStr">
        <is>
          <t>B</t>
        </is>
      </c>
      <c r="G5480" s="34" t="n">
        <v>7710</v>
      </c>
      <c r="H5480" s="34" t="n">
        <v>40580</v>
      </c>
      <c r="I5480" t="inlineStr">
        <is>
          <t>3.2</t>
        </is>
      </c>
      <c r="J5480" t="inlineStr">
        <is>
          <t>Ventas Personas (B2C)</t>
        </is>
      </c>
      <c r="K5480" t="inlineStr">
        <is>
          <t>CH2</t>
        </is>
      </c>
    </row>
    <row r="5481">
      <c r="A5481" s="33" t="n">
        <v>46076</v>
      </c>
      <c r="B5481" t="inlineStr">
        <is>
          <t>2026-02</t>
        </is>
      </c>
      <c r="C5481" t="inlineStr">
        <is>
          <t>Jenniffer Chandia Leiva</t>
        </is>
      </c>
      <c r="D5481" t="inlineStr">
        <is>
          <t>Rellenos</t>
        </is>
      </c>
      <c r="E5481" s="34" t="n">
        <v>29790</v>
      </c>
      <c r="F5481" t="inlineStr">
        <is>
          <t>B</t>
        </is>
      </c>
      <c r="G5481" s="34" t="n">
        <v>4756</v>
      </c>
      <c r="H5481" s="34" t="n">
        <v>25034</v>
      </c>
      <c r="I5481" t="inlineStr">
        <is>
          <t>3.2</t>
        </is>
      </c>
      <c r="J5481" t="inlineStr">
        <is>
          <t>Ventas Personas (B2C)</t>
        </is>
      </c>
      <c r="K5481" t="inlineStr">
        <is>
          <t>CH2</t>
        </is>
      </c>
    </row>
    <row r="5482">
      <c r="A5482" s="33" t="n">
        <v>46076</v>
      </c>
      <c r="B5482" t="inlineStr">
        <is>
          <t>2026-02</t>
        </is>
      </c>
      <c r="C5482" t="inlineStr">
        <is>
          <t>Sin cliente</t>
        </is>
      </c>
      <c r="D5482" t="inlineStr">
        <is>
          <t>Rellenos</t>
        </is>
      </c>
      <c r="E5482" s="34" t="n">
        <v>18900</v>
      </c>
      <c r="F5482" t="inlineStr">
        <is>
          <t>B</t>
        </is>
      </c>
      <c r="G5482" s="34" t="n">
        <v>3018</v>
      </c>
      <c r="H5482" s="34" t="n">
        <v>15882</v>
      </c>
      <c r="I5482" t="inlineStr">
        <is>
          <t>3.2</t>
        </is>
      </c>
      <c r="J5482" t="inlineStr">
        <is>
          <t>Ventas Personas (B2C)</t>
        </is>
      </c>
      <c r="K5482" t="inlineStr">
        <is>
          <t>CH2</t>
        </is>
      </c>
    </row>
    <row r="5483">
      <c r="A5483" s="33" t="n">
        <v>46076</v>
      </c>
      <c r="B5483" t="inlineStr">
        <is>
          <t>2026-02</t>
        </is>
      </c>
      <c r="C5483" t="inlineStr">
        <is>
          <t>Sin cliente</t>
        </is>
      </c>
      <c r="D5483" t="inlineStr">
        <is>
          <t>CANELÉ TRADICIONAL</t>
        </is>
      </c>
      <c r="E5483" s="34" t="n">
        <v>5000</v>
      </c>
      <c r="F5483" t="inlineStr">
        <is>
          <t>B</t>
        </is>
      </c>
      <c r="G5483" s="34" t="n">
        <v>798</v>
      </c>
      <c r="H5483" s="34" t="n">
        <v>4202</v>
      </c>
      <c r="I5483" t="inlineStr">
        <is>
          <t>3.2</t>
        </is>
      </c>
      <c r="J5483" t="inlineStr">
        <is>
          <t>Ventas Personas (B2C)</t>
        </is>
      </c>
      <c r="K5483" t="inlineStr">
        <is>
          <t>CH2</t>
        </is>
      </c>
    </row>
    <row r="5484">
      <c r="A5484" s="33" t="n">
        <v>46076</v>
      </c>
      <c r="B5484" t="inlineStr">
        <is>
          <t>2026-02</t>
        </is>
      </c>
      <c r="C5484" t="inlineStr">
        <is>
          <t>Mónica Bravo</t>
        </is>
      </c>
      <c r="D5484" t="inlineStr">
        <is>
          <t>PACKAGING</t>
        </is>
      </c>
      <c r="E5484" s="34" t="n">
        <v>20490</v>
      </c>
      <c r="F5484" t="inlineStr">
        <is>
          <t>B</t>
        </is>
      </c>
      <c r="G5484" s="34" t="n">
        <v>3272</v>
      </c>
      <c r="H5484" s="34" t="n">
        <v>17218</v>
      </c>
      <c r="I5484" t="inlineStr">
        <is>
          <t>3.2</t>
        </is>
      </c>
      <c r="J5484" t="inlineStr">
        <is>
          <t>Ventas Personas (B2C)</t>
        </is>
      </c>
      <c r="K5484" t="inlineStr">
        <is>
          <t>CH2</t>
        </is>
      </c>
    </row>
    <row r="5485">
      <c r="A5485" s="33" t="n">
        <v>46076</v>
      </c>
      <c r="B5485" t="inlineStr">
        <is>
          <t>2026-02</t>
        </is>
      </c>
      <c r="C5485" t="inlineStr">
        <is>
          <t>Sin cliente</t>
        </is>
      </c>
      <c r="D5485" t="inlineStr">
        <is>
          <t>CANELE SIN AZUCAR</t>
        </is>
      </c>
      <c r="E5485" s="34" t="n">
        <v>23890</v>
      </c>
      <c r="F5485" t="inlineStr">
        <is>
          <t>B</t>
        </is>
      </c>
      <c r="G5485" s="34" t="n">
        <v>3814</v>
      </c>
      <c r="H5485" s="34" t="n">
        <v>20076</v>
      </c>
      <c r="I5485" t="inlineStr">
        <is>
          <t>3.2</t>
        </is>
      </c>
      <c r="J5485" t="inlineStr">
        <is>
          <t>Ventas Personas (B2C)</t>
        </is>
      </c>
      <c r="K5485" t="inlineStr">
        <is>
          <t>CH2</t>
        </is>
      </c>
    </row>
    <row r="5486">
      <c r="A5486" s="33" t="n">
        <v>46076</v>
      </c>
      <c r="B5486" t="inlineStr">
        <is>
          <t>2026-02</t>
        </is>
      </c>
      <c r="C5486" t="inlineStr">
        <is>
          <t>Rayén Poblete Castro</t>
        </is>
      </c>
      <c r="D5486" t="inlineStr">
        <is>
          <t>Rellenos</t>
        </is>
      </c>
      <c r="E5486" s="34" t="n">
        <v>51820</v>
      </c>
      <c r="F5486" t="inlineStr">
        <is>
          <t>B</t>
        </is>
      </c>
      <c r="G5486" s="34" t="n">
        <v>8274</v>
      </c>
      <c r="H5486" s="34" t="n">
        <v>43546</v>
      </c>
      <c r="I5486" t="inlineStr">
        <is>
          <t>3.2</t>
        </is>
      </c>
      <c r="J5486" t="inlineStr">
        <is>
          <t>Ventas Personas (B2C)</t>
        </is>
      </c>
      <c r="K5486" t="inlineStr">
        <is>
          <t>CH2</t>
        </is>
      </c>
    </row>
    <row r="5487">
      <c r="A5487" s="33" t="n">
        <v>46077</v>
      </c>
      <c r="B5487" t="inlineStr">
        <is>
          <t>2026-02</t>
        </is>
      </c>
      <c r="C5487" t="inlineStr">
        <is>
          <t>Tren al Sur SpA</t>
        </is>
      </c>
      <c r="D5487" t="inlineStr">
        <is>
          <t>HORECA CAFETERIA</t>
        </is>
      </c>
      <c r="E5487" s="34" t="n">
        <v>103304</v>
      </c>
      <c r="F5487" t="inlineStr">
        <is>
          <t>F</t>
        </is>
      </c>
      <c r="G5487" s="34" t="n">
        <v>16494</v>
      </c>
      <c r="H5487" s="34" t="n">
        <v>86810</v>
      </c>
      <c r="I5487" t="inlineStr">
        <is>
          <t>3.1</t>
        </is>
      </c>
      <c r="J5487" t="inlineStr">
        <is>
          <t>Ventas HoReCa</t>
        </is>
      </c>
      <c r="K5487" t="inlineStr">
        <is>
          <t>CH1</t>
        </is>
      </c>
    </row>
    <row r="5488">
      <c r="A5488" s="33" t="n">
        <v>46077</v>
      </c>
      <c r="B5488" t="inlineStr">
        <is>
          <t>2026-02</t>
        </is>
      </c>
      <c r="C5488" t="inlineStr">
        <is>
          <t>Okinawa Spa</t>
        </is>
      </c>
      <c r="D5488" t="inlineStr">
        <is>
          <t>HORECA CAFETERIA</t>
        </is>
      </c>
      <c r="E5488" s="34" t="n">
        <v>80742</v>
      </c>
      <c r="F5488" t="inlineStr">
        <is>
          <t>F</t>
        </is>
      </c>
      <c r="G5488" s="34" t="n">
        <v>12892</v>
      </c>
      <c r="H5488" s="34" t="n">
        <v>67850</v>
      </c>
      <c r="I5488" t="inlineStr">
        <is>
          <t>3.1</t>
        </is>
      </c>
      <c r="J5488" t="inlineStr">
        <is>
          <t>Ventas HoReCa</t>
        </is>
      </c>
      <c r="K5488" t="inlineStr">
        <is>
          <t>CH1</t>
        </is>
      </c>
    </row>
    <row r="5489">
      <c r="A5489" s="33" t="n">
        <v>46077</v>
      </c>
      <c r="B5489" t="inlineStr">
        <is>
          <t>2026-02</t>
        </is>
      </c>
      <c r="C5489" t="inlineStr">
        <is>
          <t>Okinawa Spa</t>
        </is>
      </c>
      <c r="D5489" t="inlineStr">
        <is>
          <t>REGION METROPOLITANA</t>
        </is>
      </c>
      <c r="E5489" s="34" t="n">
        <v>7021</v>
      </c>
      <c r="F5489" t="inlineStr">
        <is>
          <t>F</t>
        </is>
      </c>
      <c r="G5489" s="34" t="n">
        <v>1121</v>
      </c>
      <c r="H5489" s="34" t="n">
        <v>5900</v>
      </c>
      <c r="I5489" t="inlineStr">
        <is>
          <t>3.1</t>
        </is>
      </c>
      <c r="J5489" t="inlineStr">
        <is>
          <t>Ventas HoReCa</t>
        </is>
      </c>
      <c r="K5489" t="inlineStr">
        <is>
          <t>CH1</t>
        </is>
      </c>
    </row>
    <row r="5490">
      <c r="A5490" s="33" t="n">
        <v>46077</v>
      </c>
      <c r="B5490" t="inlineStr">
        <is>
          <t>2026-02</t>
        </is>
      </c>
      <c r="C5490" t="inlineStr">
        <is>
          <t>BUSTORF LARSEN Y COMPANIA LIMITADA</t>
        </is>
      </c>
      <c r="D5490" t="inlineStr">
        <is>
          <t>HORECA CAFETERIA</t>
        </is>
      </c>
      <c r="E5490" s="34" t="n">
        <v>71210</v>
      </c>
      <c r="F5490" t="inlineStr">
        <is>
          <t>F</t>
        </is>
      </c>
      <c r="G5490" s="34" t="n">
        <v>11370</v>
      </c>
      <c r="H5490" s="34" t="n">
        <v>59840</v>
      </c>
      <c r="I5490" t="inlineStr">
        <is>
          <t>3.1</t>
        </is>
      </c>
      <c r="J5490" t="inlineStr">
        <is>
          <t>Ventas HoReCa</t>
        </is>
      </c>
      <c r="K5490" t="inlineStr">
        <is>
          <t>CH1</t>
        </is>
      </c>
    </row>
    <row r="5491">
      <c r="A5491" s="33" t="n">
        <v>46077</v>
      </c>
      <c r="B5491" t="inlineStr">
        <is>
          <t>2026-02</t>
        </is>
      </c>
      <c r="C5491" t="inlineStr">
        <is>
          <t>ghislayne Arroyo Sandoval</t>
        </is>
      </c>
      <c r="D5491" t="inlineStr">
        <is>
          <t>Mix Sabores</t>
        </is>
      </c>
      <c r="E5491" s="34" t="n">
        <v>26820</v>
      </c>
      <c r="F5491" t="inlineStr">
        <is>
          <t>B</t>
        </is>
      </c>
      <c r="G5491" s="34" t="n">
        <v>4282</v>
      </c>
      <c r="H5491" s="34" t="n">
        <v>22538</v>
      </c>
      <c r="I5491" t="inlineStr">
        <is>
          <t>3.2</t>
        </is>
      </c>
      <c r="J5491" t="inlineStr">
        <is>
          <t>Ventas Personas (B2C)</t>
        </is>
      </c>
      <c r="K5491" t="inlineStr">
        <is>
          <t>CH2</t>
        </is>
      </c>
    </row>
    <row r="5492">
      <c r="A5492" s="33" t="n">
        <v>46077</v>
      </c>
      <c r="B5492" t="inlineStr">
        <is>
          <t>2026-02</t>
        </is>
      </c>
      <c r="C5492" t="inlineStr">
        <is>
          <t>Sin cliente</t>
        </is>
      </c>
      <c r="D5492" t="inlineStr">
        <is>
          <t>CANELÉ TRADICIONAL</t>
        </is>
      </c>
      <c r="E5492" s="34" t="n">
        <v>22900</v>
      </c>
      <c r="F5492" t="inlineStr">
        <is>
          <t>B</t>
        </is>
      </c>
      <c r="G5492" s="34" t="n">
        <v>3656</v>
      </c>
      <c r="H5492" s="34" t="n">
        <v>19244</v>
      </c>
      <c r="I5492" t="inlineStr">
        <is>
          <t>3.2</t>
        </is>
      </c>
      <c r="J5492" t="inlineStr">
        <is>
          <t>Ventas Personas (B2C)</t>
        </is>
      </c>
      <c r="K5492" t="inlineStr">
        <is>
          <t>CH2</t>
        </is>
      </c>
    </row>
    <row r="5493">
      <c r="A5493" s="33" t="n">
        <v>46077</v>
      </c>
      <c r="B5493" t="inlineStr">
        <is>
          <t>2026-02</t>
        </is>
      </c>
      <c r="C5493" t="inlineStr">
        <is>
          <t>Maria Jose Grez</t>
        </is>
      </c>
      <c r="D5493" t="inlineStr">
        <is>
          <t>CANELÉ TRADICIONAL</t>
        </is>
      </c>
      <c r="E5493" s="34" t="n">
        <v>-22900</v>
      </c>
      <c r="F5493" t="inlineStr">
        <is>
          <t>NC</t>
        </is>
      </c>
      <c r="G5493" s="34" t="n">
        <v>-3656</v>
      </c>
      <c r="H5493" s="34" t="n">
        <v>-19244</v>
      </c>
      <c r="I5493" t="inlineStr">
        <is>
          <t>3.2</t>
        </is>
      </c>
      <c r="J5493" t="inlineStr">
        <is>
          <t>Ventas Personas (B2C)</t>
        </is>
      </c>
      <c r="K5493" t="inlineStr">
        <is>
          <t>CH2</t>
        </is>
      </c>
    </row>
    <row r="5494">
      <c r="A5494" s="33" t="n">
        <v>46077</v>
      </c>
      <c r="B5494" t="inlineStr">
        <is>
          <t>2026-02</t>
        </is>
      </c>
      <c r="C5494" t="inlineStr">
        <is>
          <t>Sin cliente</t>
        </is>
      </c>
      <c r="D5494" t="inlineStr">
        <is>
          <t>CANELÉ TRADICIONAL</t>
        </is>
      </c>
      <c r="E5494" s="34" t="n">
        <v>27900</v>
      </c>
      <c r="F5494" t="inlineStr">
        <is>
          <t>B</t>
        </is>
      </c>
      <c r="G5494" s="34" t="n">
        <v>4455</v>
      </c>
      <c r="H5494" s="34" t="n">
        <v>23445</v>
      </c>
      <c r="I5494" t="inlineStr">
        <is>
          <t>3.2</t>
        </is>
      </c>
      <c r="J5494" t="inlineStr">
        <is>
          <t>Ventas Personas (B2C)</t>
        </is>
      </c>
      <c r="K5494" t="inlineStr">
        <is>
          <t>CH2</t>
        </is>
      </c>
    </row>
    <row r="5495">
      <c r="A5495" s="33" t="n">
        <v>46077</v>
      </c>
      <c r="B5495" t="inlineStr">
        <is>
          <t>2026-02</t>
        </is>
      </c>
      <c r="C5495" t="inlineStr">
        <is>
          <t>Sin cliente</t>
        </is>
      </c>
      <c r="D5495" t="inlineStr">
        <is>
          <t>Cafeteria Geronimo</t>
        </is>
      </c>
      <c r="E5495" s="34" t="n">
        <v>3200</v>
      </c>
      <c r="F5495" t="inlineStr">
        <is>
          <t>B</t>
        </is>
      </c>
      <c r="G5495" s="34" t="n">
        <v>511</v>
      </c>
      <c r="H5495" s="34" t="n">
        <v>2689</v>
      </c>
      <c r="I5495" t="inlineStr">
        <is>
          <t>3.2</t>
        </is>
      </c>
      <c r="J5495" t="inlineStr">
        <is>
          <t>Ventas Personas (B2C)</t>
        </is>
      </c>
      <c r="K5495" t="inlineStr">
        <is>
          <t>CH2</t>
        </is>
      </c>
    </row>
    <row r="5496">
      <c r="A5496" s="33" t="n">
        <v>46077</v>
      </c>
      <c r="B5496" t="inlineStr">
        <is>
          <t>2026-02</t>
        </is>
      </c>
      <c r="C5496" t="inlineStr">
        <is>
          <t>Soledad Calvo</t>
        </is>
      </c>
      <c r="D5496" t="inlineStr">
        <is>
          <t>Petit Tradicional</t>
        </is>
      </c>
      <c r="E5496" s="34" t="n">
        <v>13290</v>
      </c>
      <c r="F5496" t="inlineStr">
        <is>
          <t>B</t>
        </is>
      </c>
      <c r="G5496" s="34" t="n">
        <v>2122</v>
      </c>
      <c r="H5496" s="34" t="n">
        <v>11168</v>
      </c>
      <c r="I5496" t="inlineStr">
        <is>
          <t>3.2</t>
        </is>
      </c>
      <c r="J5496" t="inlineStr">
        <is>
          <t>Ventas Personas (B2C)</t>
        </is>
      </c>
      <c r="K5496" t="inlineStr">
        <is>
          <t>CH2</t>
        </is>
      </c>
    </row>
    <row r="5497">
      <c r="A5497" s="33" t="n">
        <v>46077</v>
      </c>
      <c r="B5497" t="inlineStr">
        <is>
          <t>2026-02</t>
        </is>
      </c>
      <c r="C5497" t="inlineStr">
        <is>
          <t>Daniel Bustos</t>
        </is>
      </c>
      <c r="D5497" t="inlineStr">
        <is>
          <t>PACKS GOURMET</t>
        </is>
      </c>
      <c r="E5497" s="34" t="n">
        <v>28380</v>
      </c>
      <c r="F5497" t="inlineStr">
        <is>
          <t>B</t>
        </is>
      </c>
      <c r="G5497" s="34" t="n">
        <v>4531</v>
      </c>
      <c r="H5497" s="34" t="n">
        <v>23849</v>
      </c>
      <c r="I5497" t="inlineStr">
        <is>
          <t>3.2</t>
        </is>
      </c>
      <c r="J5497" t="inlineStr">
        <is>
          <t>Ventas Personas (B2C)</t>
        </is>
      </c>
      <c r="K5497" t="inlineStr">
        <is>
          <t>CH2</t>
        </is>
      </c>
    </row>
    <row r="5498">
      <c r="A5498" s="33" t="n">
        <v>46077</v>
      </c>
      <c r="B5498" t="inlineStr">
        <is>
          <t>2026-02</t>
        </is>
      </c>
      <c r="C5498" t="inlineStr">
        <is>
          <t>Sin cliente</t>
        </is>
      </c>
      <c r="D5498" t="inlineStr">
        <is>
          <t>CANELÉ TRADICIONAL</t>
        </is>
      </c>
      <c r="E5498" s="34" t="n">
        <v>7500</v>
      </c>
      <c r="F5498" t="inlineStr">
        <is>
          <t>B</t>
        </is>
      </c>
      <c r="G5498" s="34" t="n">
        <v>1197</v>
      </c>
      <c r="H5498" s="34" t="n">
        <v>6303</v>
      </c>
      <c r="I5498" t="inlineStr">
        <is>
          <t>3.2</t>
        </is>
      </c>
      <c r="J5498" t="inlineStr">
        <is>
          <t>Ventas Personas (B2C)</t>
        </is>
      </c>
      <c r="K5498" t="inlineStr">
        <is>
          <t>CH2</t>
        </is>
      </c>
    </row>
    <row r="5499">
      <c r="A5499" s="33" t="n">
        <v>46077</v>
      </c>
      <c r="B5499" t="inlineStr">
        <is>
          <t>2026-02</t>
        </is>
      </c>
      <c r="C5499" t="inlineStr">
        <is>
          <t>Maria Paz Barros</t>
        </is>
      </c>
      <c r="D5499" t="inlineStr">
        <is>
          <t>CANELE SIN AZUCAR</t>
        </is>
      </c>
      <c r="E5499" s="34" t="n">
        <v>20290</v>
      </c>
      <c r="F5499" t="inlineStr">
        <is>
          <t>B</t>
        </is>
      </c>
      <c r="G5499" s="34" t="n">
        <v>3240</v>
      </c>
      <c r="H5499" s="34" t="n">
        <v>17050</v>
      </c>
      <c r="I5499" t="inlineStr">
        <is>
          <t>3.2</t>
        </is>
      </c>
      <c r="J5499" t="inlineStr">
        <is>
          <t>Ventas Personas (B2C)</t>
        </is>
      </c>
      <c r="K5499" t="inlineStr">
        <is>
          <t>CH2</t>
        </is>
      </c>
    </row>
    <row r="5500">
      <c r="A5500" s="33" t="n">
        <v>46077</v>
      </c>
      <c r="B5500" t="inlineStr">
        <is>
          <t>2026-02</t>
        </is>
      </c>
      <c r="C5500" t="inlineStr">
        <is>
          <t>Sin cliente</t>
        </is>
      </c>
      <c r="D5500" t="inlineStr">
        <is>
          <t>Rellenos</t>
        </is>
      </c>
      <c r="E5500" s="34" t="n">
        <v>18900</v>
      </c>
      <c r="F5500" t="inlineStr">
        <is>
          <t>B</t>
        </is>
      </c>
      <c r="G5500" s="34" t="n">
        <v>3018</v>
      </c>
      <c r="H5500" s="34" t="n">
        <v>15882</v>
      </c>
      <c r="I5500" t="inlineStr">
        <is>
          <t>3.2</t>
        </is>
      </c>
      <c r="J5500" t="inlineStr">
        <is>
          <t>Ventas Personas (B2C)</t>
        </is>
      </c>
      <c r="K5500" t="inlineStr">
        <is>
          <t>CH2</t>
        </is>
      </c>
    </row>
    <row r="5501">
      <c r="A5501" s="33" t="n">
        <v>46077</v>
      </c>
      <c r="B5501" t="inlineStr">
        <is>
          <t>2026-02</t>
        </is>
      </c>
      <c r="C5501" t="inlineStr">
        <is>
          <t>Sin cliente</t>
        </is>
      </c>
      <c r="D5501" t="inlineStr">
        <is>
          <t>Rellenos</t>
        </is>
      </c>
      <c r="E5501" s="34" t="n">
        <v>18900</v>
      </c>
      <c r="F5501" t="inlineStr">
        <is>
          <t>B</t>
        </is>
      </c>
      <c r="G5501" s="34" t="n">
        <v>3018</v>
      </c>
      <c r="H5501" s="34" t="n">
        <v>15882</v>
      </c>
      <c r="I5501" t="inlineStr">
        <is>
          <t>3.2</t>
        </is>
      </c>
      <c r="J5501" t="inlineStr">
        <is>
          <t>Ventas Personas (B2C)</t>
        </is>
      </c>
      <c r="K5501" t="inlineStr">
        <is>
          <t>CH2</t>
        </is>
      </c>
    </row>
    <row r="5502">
      <c r="A5502" s="33" t="n">
        <v>46077</v>
      </c>
      <c r="B5502" t="inlineStr">
        <is>
          <t>2026-02</t>
        </is>
      </c>
      <c r="C5502" t="inlineStr">
        <is>
          <t>Maria Jose Grez</t>
        </is>
      </c>
      <c r="D5502" t="inlineStr">
        <is>
          <t>Rellenos</t>
        </is>
      </c>
      <c r="E5502" s="34" t="n">
        <v>-18900</v>
      </c>
      <c r="F5502" t="inlineStr">
        <is>
          <t>NC</t>
        </is>
      </c>
      <c r="G5502" s="34" t="n">
        <v>-3018</v>
      </c>
      <c r="H5502" s="34" t="n">
        <v>-15882</v>
      </c>
      <c r="I5502" t="inlineStr">
        <is>
          <t>3.2</t>
        </is>
      </c>
      <c r="J5502" t="inlineStr">
        <is>
          <t>Ventas Personas (B2C)</t>
        </is>
      </c>
      <c r="K5502" t="inlineStr">
        <is>
          <t>CH2</t>
        </is>
      </c>
    </row>
    <row r="5503">
      <c r="A5503" s="33" t="n">
        <v>46077</v>
      </c>
      <c r="B5503" t="inlineStr">
        <is>
          <t>2026-02</t>
        </is>
      </c>
      <c r="C5503" t="inlineStr">
        <is>
          <t>Karen Mansilla zamora spa</t>
        </is>
      </c>
      <c r="D5503" t="inlineStr">
        <is>
          <t>Petit Crunchy</t>
        </is>
      </c>
      <c r="E5503" s="34" t="n">
        <v>35900</v>
      </c>
      <c r="F5503" t="inlineStr">
        <is>
          <t>B</t>
        </is>
      </c>
      <c r="G5503" s="34" t="n">
        <v>5732</v>
      </c>
      <c r="H5503" s="34" t="n">
        <v>30168</v>
      </c>
      <c r="I5503" t="inlineStr">
        <is>
          <t>3.2</t>
        </is>
      </c>
      <c r="J5503" t="inlineStr">
        <is>
          <t>Ventas Personas (B2C)</t>
        </is>
      </c>
      <c r="K5503" t="inlineStr">
        <is>
          <t>CH2</t>
        </is>
      </c>
    </row>
    <row r="5504">
      <c r="A5504" s="33" t="n">
        <v>46078</v>
      </c>
      <c r="B5504" t="inlineStr">
        <is>
          <t>2026-02</t>
        </is>
      </c>
      <c r="C5504" t="inlineStr">
        <is>
          <t>Sociedad de inversiones solari y acuña spa</t>
        </is>
      </c>
      <c r="D5504" t="inlineStr">
        <is>
          <t>HORECA CAFETERIA</t>
        </is>
      </c>
      <c r="E5504" s="34" t="n">
        <v>71210</v>
      </c>
      <c r="F5504" t="inlineStr">
        <is>
          <t>F</t>
        </is>
      </c>
      <c r="G5504" s="34" t="n">
        <v>11370</v>
      </c>
      <c r="H5504" s="34" t="n">
        <v>59840</v>
      </c>
      <c r="I5504" t="inlineStr">
        <is>
          <t>3.1</t>
        </is>
      </c>
      <c r="J5504" t="inlineStr">
        <is>
          <t>Ventas HoReCa</t>
        </is>
      </c>
      <c r="K5504" t="inlineStr">
        <is>
          <t>CH1</t>
        </is>
      </c>
    </row>
    <row r="5505">
      <c r="A5505" s="33" t="n">
        <v>46078</v>
      </c>
      <c r="B5505" t="inlineStr">
        <is>
          <t>2026-02</t>
        </is>
      </c>
      <c r="C5505" t="inlineStr">
        <is>
          <t>the capital coffee spa</t>
        </is>
      </c>
      <c r="D5505" t="inlineStr">
        <is>
          <t>HORECA CAFETERIA</t>
        </is>
      </c>
      <c r="E5505" s="34" t="n">
        <v>235069</v>
      </c>
      <c r="F5505" t="inlineStr">
        <is>
          <t>F</t>
        </is>
      </c>
      <c r="G5505" s="34" t="n">
        <v>37532</v>
      </c>
      <c r="H5505" s="34" t="n">
        <v>197537</v>
      </c>
      <c r="I5505" t="inlineStr">
        <is>
          <t>3.1</t>
        </is>
      </c>
      <c r="J5505" t="inlineStr">
        <is>
          <t>Ventas HoReCa</t>
        </is>
      </c>
      <c r="K5505" t="inlineStr">
        <is>
          <t>CH1</t>
        </is>
      </c>
    </row>
    <row r="5506">
      <c r="A5506" s="33" t="n">
        <v>46078</v>
      </c>
      <c r="B5506" t="inlineStr">
        <is>
          <t>2026-02</t>
        </is>
      </c>
      <c r="C5506" t="inlineStr">
        <is>
          <t>CAFE DIARIO ENCOMENDEROS SPA</t>
        </is>
      </c>
      <c r="D5506" t="inlineStr">
        <is>
          <t>HORECA CAFETERIA</t>
        </is>
      </c>
      <c r="E5506" s="34" t="n">
        <v>108380</v>
      </c>
      <c r="F5506" t="inlineStr">
        <is>
          <t>F</t>
        </is>
      </c>
      <c r="G5506" s="34" t="n">
        <v>17304</v>
      </c>
      <c r="H5506" s="34" t="n">
        <v>91076</v>
      </c>
      <c r="I5506" t="inlineStr">
        <is>
          <t>3.1</t>
        </is>
      </c>
      <c r="J5506" t="inlineStr">
        <is>
          <t>Ventas HoReCa</t>
        </is>
      </c>
      <c r="K5506" t="inlineStr">
        <is>
          <t>CH1</t>
        </is>
      </c>
    </row>
    <row r="5507">
      <c r="A5507" s="33" t="n">
        <v>46078</v>
      </c>
      <c r="B5507" t="inlineStr">
        <is>
          <t>2026-02</t>
        </is>
      </c>
      <c r="C5507" t="inlineStr">
        <is>
          <t>Sin cliente</t>
        </is>
      </c>
      <c r="D5507" t="inlineStr">
        <is>
          <t>CANELÉ TRADICIONAL</t>
        </is>
      </c>
      <c r="E5507" s="34" t="n">
        <v>28730</v>
      </c>
      <c r="F5507" t="inlineStr">
        <is>
          <t>B</t>
        </is>
      </c>
      <c r="G5507" s="34" t="n">
        <v>4587</v>
      </c>
      <c r="H5507" s="34" t="n">
        <v>24143</v>
      </c>
      <c r="I5507" t="inlineStr">
        <is>
          <t>3.2</t>
        </is>
      </c>
      <c r="J5507" t="inlineStr">
        <is>
          <t>Ventas Personas (B2C)</t>
        </is>
      </c>
      <c r="K5507" t="inlineStr">
        <is>
          <t>CH2</t>
        </is>
      </c>
    </row>
    <row r="5508">
      <c r="A5508" s="33" t="n">
        <v>46078</v>
      </c>
      <c r="B5508" t="inlineStr">
        <is>
          <t>2026-02</t>
        </is>
      </c>
      <c r="C5508" t="inlineStr">
        <is>
          <t>Sin cliente</t>
        </is>
      </c>
      <c r="D5508" t="inlineStr">
        <is>
          <t>CANELE SIN AZUCAR</t>
        </is>
      </c>
      <c r="E5508" s="34" t="n">
        <v>49500</v>
      </c>
      <c r="F5508" t="inlineStr">
        <is>
          <t>B</t>
        </is>
      </c>
      <c r="G5508" s="34" t="n">
        <v>7903</v>
      </c>
      <c r="H5508" s="34" t="n">
        <v>41597</v>
      </c>
      <c r="I5508" t="inlineStr">
        <is>
          <t>3.2</t>
        </is>
      </c>
      <c r="J5508" t="inlineStr">
        <is>
          <t>Ventas Personas (B2C)</t>
        </is>
      </c>
      <c r="K5508" t="inlineStr">
        <is>
          <t>CH2</t>
        </is>
      </c>
    </row>
    <row r="5509">
      <c r="A5509" s="33" t="n">
        <v>46078</v>
      </c>
      <c r="B5509" t="inlineStr">
        <is>
          <t>2026-02</t>
        </is>
      </c>
      <c r="C5509" t="inlineStr">
        <is>
          <t>Amoris Salas</t>
        </is>
      </c>
      <c r="D5509" t="inlineStr">
        <is>
          <t>Canelé Petit Relleno</t>
        </is>
      </c>
      <c r="E5509" s="34" t="n">
        <v>23390</v>
      </c>
      <c r="F5509" t="inlineStr">
        <is>
          <t>B</t>
        </is>
      </c>
      <c r="G5509" s="34" t="n">
        <v>3735</v>
      </c>
      <c r="H5509" s="34" t="n">
        <v>19655</v>
      </c>
      <c r="I5509" t="inlineStr">
        <is>
          <t>3.2</t>
        </is>
      </c>
      <c r="J5509" t="inlineStr">
        <is>
          <t>Ventas Personas (B2C)</t>
        </is>
      </c>
      <c r="K5509" t="inlineStr">
        <is>
          <t>CH2</t>
        </is>
      </c>
    </row>
    <row r="5510">
      <c r="A5510" s="33" t="n">
        <v>46078</v>
      </c>
      <c r="B5510" t="inlineStr">
        <is>
          <t>2026-02</t>
        </is>
      </c>
      <c r="C5510" t="inlineStr">
        <is>
          <t>Alexandra Fuentes San Martín</t>
        </is>
      </c>
      <c r="D5510" t="inlineStr">
        <is>
          <t>Mix Sabores</t>
        </is>
      </c>
      <c r="E5510" s="34" t="n">
        <v>41800</v>
      </c>
      <c r="F5510" t="inlineStr">
        <is>
          <t>B</t>
        </is>
      </c>
      <c r="G5510" s="34" t="n">
        <v>6674</v>
      </c>
      <c r="H5510" s="34" t="n">
        <v>35126</v>
      </c>
      <c r="I5510" t="inlineStr">
        <is>
          <t>3.2</t>
        </is>
      </c>
      <c r="J5510" t="inlineStr">
        <is>
          <t>Ventas Personas (B2C)</t>
        </is>
      </c>
      <c r="K5510" t="inlineStr">
        <is>
          <t>CH2</t>
        </is>
      </c>
    </row>
    <row r="5511">
      <c r="A5511" s="33" t="n">
        <v>46078</v>
      </c>
      <c r="B5511" t="inlineStr">
        <is>
          <t>2026-02</t>
        </is>
      </c>
      <c r="C5511" t="inlineStr">
        <is>
          <t>Sin cliente</t>
        </is>
      </c>
      <c r="D5511" t="inlineStr">
        <is>
          <t>Canelé Petit Relleno</t>
        </is>
      </c>
      <c r="E5511" s="34" t="n">
        <v>13900</v>
      </c>
      <c r="F5511" t="inlineStr">
        <is>
          <t>B</t>
        </is>
      </c>
      <c r="G5511" s="34" t="n">
        <v>2219</v>
      </c>
      <c r="H5511" s="34" t="n">
        <v>11681</v>
      </c>
      <c r="I5511" t="inlineStr">
        <is>
          <t>3.2</t>
        </is>
      </c>
      <c r="J5511" t="inlineStr">
        <is>
          <t>Ventas Personas (B2C)</t>
        </is>
      </c>
      <c r="K5511" t="inlineStr">
        <is>
          <t>CH2</t>
        </is>
      </c>
    </row>
    <row r="5512">
      <c r="A5512" s="33" t="n">
        <v>46078</v>
      </c>
      <c r="B5512" t="inlineStr">
        <is>
          <t>2026-02</t>
        </is>
      </c>
      <c r="C5512" t="inlineStr">
        <is>
          <t>Sin cliente</t>
        </is>
      </c>
      <c r="D5512" t="inlineStr">
        <is>
          <t>Rellenos</t>
        </is>
      </c>
      <c r="E5512" s="34" t="n">
        <v>3500</v>
      </c>
      <c r="F5512" t="inlineStr">
        <is>
          <t>B</t>
        </is>
      </c>
      <c r="G5512" s="34" t="n">
        <v>559</v>
      </c>
      <c r="H5512" s="34" t="n">
        <v>2941</v>
      </c>
      <c r="I5512" t="inlineStr">
        <is>
          <t>3.2</t>
        </is>
      </c>
      <c r="J5512" t="inlineStr">
        <is>
          <t>Ventas Personas (B2C)</t>
        </is>
      </c>
      <c r="K5512" t="inlineStr">
        <is>
          <t>CH2</t>
        </is>
      </c>
    </row>
    <row r="5513">
      <c r="A5513" s="33" t="n">
        <v>46078</v>
      </c>
      <c r="B5513" t="inlineStr">
        <is>
          <t>2026-02</t>
        </is>
      </c>
      <c r="C5513" t="inlineStr">
        <is>
          <t>Sin cliente</t>
        </is>
      </c>
      <c r="D5513" t="inlineStr">
        <is>
          <t>Rellenos</t>
        </is>
      </c>
      <c r="E5513" s="34" t="n">
        <v>34100</v>
      </c>
      <c r="F5513" t="inlineStr">
        <is>
          <t>B</t>
        </is>
      </c>
      <c r="G5513" s="34" t="n">
        <v>5445</v>
      </c>
      <c r="H5513" s="34" t="n">
        <v>28655</v>
      </c>
      <c r="I5513" t="inlineStr">
        <is>
          <t>3.2</t>
        </is>
      </c>
      <c r="J5513" t="inlineStr">
        <is>
          <t>Ventas Personas (B2C)</t>
        </is>
      </c>
      <c r="K5513" t="inlineStr">
        <is>
          <t>CH2</t>
        </is>
      </c>
    </row>
    <row r="5514">
      <c r="A5514" s="33" t="n">
        <v>46078</v>
      </c>
      <c r="B5514" t="inlineStr">
        <is>
          <t>2026-02</t>
        </is>
      </c>
      <c r="C5514" t="inlineStr">
        <is>
          <t>Sin cliente</t>
        </is>
      </c>
      <c r="D5514" t="inlineStr">
        <is>
          <t>PLATAFORMAS RAP-PEYA-UBER-GOOD</t>
        </is>
      </c>
      <c r="E5514" s="34" t="n">
        <v>23880</v>
      </c>
      <c r="F5514" t="inlineStr">
        <is>
          <t>B</t>
        </is>
      </c>
      <c r="G5514" s="34" t="n">
        <v>3813</v>
      </c>
      <c r="H5514" s="34" t="n">
        <v>20067</v>
      </c>
      <c r="I5514" t="inlineStr">
        <is>
          <t>3.6</t>
        </is>
      </c>
      <c r="J5514" t="inlineStr">
        <is>
          <t>Ventas Delivery Apps</t>
        </is>
      </c>
      <c r="K5514" t="inlineStr">
        <is>
          <t>CH3</t>
        </is>
      </c>
    </row>
    <row r="5515">
      <c r="A5515" s="33" t="n">
        <v>46078</v>
      </c>
      <c r="B5515" t="inlineStr">
        <is>
          <t>2026-02</t>
        </is>
      </c>
      <c r="C5515" t="inlineStr">
        <is>
          <t>Sin cliente</t>
        </is>
      </c>
      <c r="D5515" t="inlineStr">
        <is>
          <t>PLATAFORMAS RAP-PEYA-UBER-GOOD</t>
        </is>
      </c>
      <c r="E5515" s="34" t="n">
        <v>33480</v>
      </c>
      <c r="F5515" t="inlineStr">
        <is>
          <t>B</t>
        </is>
      </c>
      <c r="G5515" s="34" t="n">
        <v>5346</v>
      </c>
      <c r="H5515" s="34" t="n">
        <v>28134</v>
      </c>
      <c r="I5515" t="inlineStr">
        <is>
          <t>3.6</t>
        </is>
      </c>
      <c r="J5515" t="inlineStr">
        <is>
          <t>Ventas Delivery Apps</t>
        </is>
      </c>
      <c r="K5515" t="inlineStr">
        <is>
          <t>CH3</t>
        </is>
      </c>
    </row>
    <row r="5516">
      <c r="A5516" s="33" t="n">
        <v>46078</v>
      </c>
      <c r="B5516" t="inlineStr">
        <is>
          <t>2026-02</t>
        </is>
      </c>
      <c r="C5516" t="inlineStr">
        <is>
          <t>Angela Aguilar</t>
        </is>
      </c>
      <c r="D5516" t="inlineStr">
        <is>
          <t>Canelé Petit Relleno</t>
        </is>
      </c>
      <c r="E5516" s="34" t="n">
        <v>29900</v>
      </c>
      <c r="F5516" t="inlineStr">
        <is>
          <t>B</t>
        </is>
      </c>
      <c r="G5516" s="34" t="n">
        <v>4774</v>
      </c>
      <c r="H5516" s="34" t="n">
        <v>25126</v>
      </c>
      <c r="I5516" t="inlineStr">
        <is>
          <t>3.2</t>
        </is>
      </c>
      <c r="J5516" t="inlineStr">
        <is>
          <t>Ventas Personas (B2C)</t>
        </is>
      </c>
      <c r="K5516" t="inlineStr">
        <is>
          <t>CH2</t>
        </is>
      </c>
    </row>
    <row r="5517">
      <c r="A5517" s="33" t="n">
        <v>46078</v>
      </c>
      <c r="B5517" t="inlineStr">
        <is>
          <t>2026-02</t>
        </is>
      </c>
      <c r="C5517" t="inlineStr">
        <is>
          <t>Sin cliente</t>
        </is>
      </c>
      <c r="D5517" t="inlineStr">
        <is>
          <t>Rellenos</t>
        </is>
      </c>
      <c r="E5517" s="34" t="n">
        <v>18900</v>
      </c>
      <c r="F5517" t="inlineStr">
        <is>
          <t>B</t>
        </is>
      </c>
      <c r="G5517" s="34" t="n">
        <v>3018</v>
      </c>
      <c r="H5517" s="34" t="n">
        <v>15882</v>
      </c>
      <c r="I5517" t="inlineStr">
        <is>
          <t>3.2</t>
        </is>
      </c>
      <c r="J5517" t="inlineStr">
        <is>
          <t>Ventas Personas (B2C)</t>
        </is>
      </c>
      <c r="K5517" t="inlineStr">
        <is>
          <t>CH2</t>
        </is>
      </c>
    </row>
    <row r="5518">
      <c r="A5518" s="33" t="n">
        <v>46078</v>
      </c>
      <c r="B5518" t="inlineStr">
        <is>
          <t>2026-02</t>
        </is>
      </c>
      <c r="C5518" t="inlineStr">
        <is>
          <t>Sin cliente</t>
        </is>
      </c>
      <c r="D5518" t="inlineStr">
        <is>
          <t>Rellenos</t>
        </is>
      </c>
      <c r="E5518" s="34" t="n">
        <v>28900</v>
      </c>
      <c r="F5518" t="inlineStr">
        <is>
          <t>B</t>
        </is>
      </c>
      <c r="G5518" s="34" t="n">
        <v>4614</v>
      </c>
      <c r="H5518" s="34" t="n">
        <v>24286</v>
      </c>
      <c r="I5518" t="inlineStr">
        <is>
          <t>3.2</t>
        </is>
      </c>
      <c r="J5518" t="inlineStr">
        <is>
          <t>Ventas Personas (B2C)</t>
        </is>
      </c>
      <c r="K5518" t="inlineStr">
        <is>
          <t>CH2</t>
        </is>
      </c>
    </row>
    <row r="5519">
      <c r="A5519" s="33" t="n">
        <v>46078</v>
      </c>
      <c r="B5519" t="inlineStr">
        <is>
          <t>2026-02</t>
        </is>
      </c>
      <c r="C5519" t="inlineStr">
        <is>
          <t>Ángeles Medina</t>
        </is>
      </c>
      <c r="D5519" t="inlineStr">
        <is>
          <t>Rellenos</t>
        </is>
      </c>
      <c r="E5519" s="34" t="n">
        <v>24480</v>
      </c>
      <c r="F5519" t="inlineStr">
        <is>
          <t>B</t>
        </is>
      </c>
      <c r="G5519" s="34" t="n">
        <v>3909</v>
      </c>
      <c r="H5519" s="34" t="n">
        <v>20571</v>
      </c>
      <c r="I5519" t="inlineStr">
        <is>
          <t>3.2</t>
        </is>
      </c>
      <c r="J5519" t="inlineStr">
        <is>
          <t>Ventas Personas (B2C)</t>
        </is>
      </c>
      <c r="K5519" t="inlineStr">
        <is>
          <t>CH2</t>
        </is>
      </c>
    </row>
    <row r="5520">
      <c r="A5520" s="33" t="n">
        <v>46078</v>
      </c>
      <c r="B5520" t="inlineStr">
        <is>
          <t>2026-02</t>
        </is>
      </c>
      <c r="C5520" t="inlineStr">
        <is>
          <t>maria elisa grez</t>
        </is>
      </c>
      <c r="D5520" t="inlineStr">
        <is>
          <t>CANELÉ TRADICIONAL</t>
        </is>
      </c>
      <c r="E5520" s="34" t="n">
        <v>19000</v>
      </c>
      <c r="F5520" t="inlineStr">
        <is>
          <t>B</t>
        </is>
      </c>
      <c r="G5520" s="34" t="n">
        <v>3034</v>
      </c>
      <c r="H5520" s="34" t="n">
        <v>15966</v>
      </c>
      <c r="I5520" t="inlineStr">
        <is>
          <t>3.2</t>
        </is>
      </c>
      <c r="J5520" t="inlineStr">
        <is>
          <t>Ventas Personas (B2C)</t>
        </is>
      </c>
      <c r="K5520" t="inlineStr">
        <is>
          <t>CH2</t>
        </is>
      </c>
    </row>
    <row r="5521">
      <c r="A5521" s="33" t="n">
        <v>46078</v>
      </c>
      <c r="B5521" t="inlineStr">
        <is>
          <t>2026-02</t>
        </is>
      </c>
      <c r="C5521" t="inlineStr">
        <is>
          <t>Pamela Iglesias</t>
        </is>
      </c>
      <c r="D5521" t="inlineStr">
        <is>
          <t>CANELÉ TRADICIONAL</t>
        </is>
      </c>
      <c r="E5521" s="34" t="n">
        <v>26390</v>
      </c>
      <c r="F5521" t="inlineStr">
        <is>
          <t>B</t>
        </is>
      </c>
      <c r="G5521" s="34" t="n">
        <v>4214</v>
      </c>
      <c r="H5521" s="34" t="n">
        <v>22176</v>
      </c>
      <c r="I5521" t="inlineStr">
        <is>
          <t>3.2</t>
        </is>
      </c>
      <c r="J5521" t="inlineStr">
        <is>
          <t>Ventas Personas (B2C)</t>
        </is>
      </c>
      <c r="K5521" t="inlineStr">
        <is>
          <t>CH2</t>
        </is>
      </c>
    </row>
    <row r="5522">
      <c r="A5522" s="33" t="n">
        <v>46078</v>
      </c>
      <c r="B5522" t="inlineStr">
        <is>
          <t>2026-02</t>
        </is>
      </c>
      <c r="C5522" t="inlineStr">
        <is>
          <t>Sin cliente</t>
        </is>
      </c>
      <c r="D5522" t="inlineStr">
        <is>
          <t>SALSAS</t>
        </is>
      </c>
      <c r="E5522" s="34" t="n">
        <v>6990</v>
      </c>
      <c r="F5522" t="inlineStr">
        <is>
          <t>B</t>
        </is>
      </c>
      <c r="G5522" s="34" t="n">
        <v>1116</v>
      </c>
      <c r="H5522" s="34" t="n">
        <v>5874</v>
      </c>
      <c r="I5522" t="inlineStr">
        <is>
          <t>3.2</t>
        </is>
      </c>
      <c r="J5522" t="inlineStr">
        <is>
          <t>Ventas Personas (B2C)</t>
        </is>
      </c>
      <c r="K5522" t="inlineStr">
        <is>
          <t>CH2</t>
        </is>
      </c>
    </row>
    <row r="5523">
      <c r="A5523" s="33" t="n">
        <v>46078</v>
      </c>
      <c r="B5523" t="inlineStr">
        <is>
          <t>2026-02</t>
        </is>
      </c>
      <c r="C5523" t="inlineStr">
        <is>
          <t>Sin cliente</t>
        </is>
      </c>
      <c r="D5523" t="inlineStr">
        <is>
          <t>PLATAFORMAS RAP-PEYA-UBER-GOOD</t>
        </is>
      </c>
      <c r="E5523" s="34" t="n">
        <v>27480</v>
      </c>
      <c r="F5523" t="inlineStr">
        <is>
          <t>B</t>
        </is>
      </c>
      <c r="G5523" s="34" t="n">
        <v>4388</v>
      </c>
      <c r="H5523" s="34" t="n">
        <v>23092</v>
      </c>
      <c r="I5523" t="inlineStr">
        <is>
          <t>3.6</t>
        </is>
      </c>
      <c r="J5523" t="inlineStr">
        <is>
          <t>Ventas Delivery Apps</t>
        </is>
      </c>
      <c r="K5523" t="inlineStr">
        <is>
          <t>CH3</t>
        </is>
      </c>
    </row>
    <row r="5524">
      <c r="A5524" s="33" t="n">
        <v>46078</v>
      </c>
      <c r="B5524" t="inlineStr">
        <is>
          <t>2026-02</t>
        </is>
      </c>
      <c r="C5524" t="inlineStr">
        <is>
          <t>LA JUNGLA SPA</t>
        </is>
      </c>
      <c r="D5524" t="inlineStr">
        <is>
          <t>Delicatessen</t>
        </is>
      </c>
      <c r="E5524" s="34" t="n">
        <v>91465</v>
      </c>
      <c r="F5524" t="inlineStr">
        <is>
          <t>F</t>
        </is>
      </c>
      <c r="G5524" s="34" t="n">
        <v>14604</v>
      </c>
      <c r="H5524" s="34" t="n">
        <v>76861</v>
      </c>
      <c r="I5524" t="inlineStr">
        <is>
          <t>3.1</t>
        </is>
      </c>
      <c r="J5524" t="inlineStr">
        <is>
          <t>Ventas HoReCa</t>
        </is>
      </c>
      <c r="K5524" t="inlineStr">
        <is>
          <t>CH1</t>
        </is>
      </c>
    </row>
    <row r="5525">
      <c r="A5525" s="33" t="n">
        <v>46078</v>
      </c>
      <c r="B5525" t="inlineStr">
        <is>
          <t>2026-02</t>
        </is>
      </c>
      <c r="C5525" t="inlineStr">
        <is>
          <t>Sin cliente</t>
        </is>
      </c>
      <c r="D5525" t="inlineStr">
        <is>
          <t>Rellenos</t>
        </is>
      </c>
      <c r="E5525" s="34" t="n">
        <v>11400</v>
      </c>
      <c r="F5525" t="inlineStr">
        <is>
          <t>B</t>
        </is>
      </c>
      <c r="G5525" s="34" t="n">
        <v>1820</v>
      </c>
      <c r="H5525" s="34" t="n">
        <v>9580</v>
      </c>
      <c r="I5525" t="inlineStr">
        <is>
          <t>3.6</t>
        </is>
      </c>
      <c r="J5525" t="inlineStr">
        <is>
          <t>Ventas Delivery Apps</t>
        </is>
      </c>
      <c r="K5525" t="inlineStr">
        <is>
          <t>CH3</t>
        </is>
      </c>
    </row>
    <row r="5526">
      <c r="A5526" s="33" t="n">
        <v>46078</v>
      </c>
      <c r="B5526" t="inlineStr">
        <is>
          <t>2026-02</t>
        </is>
      </c>
      <c r="C5526" t="inlineStr">
        <is>
          <t>Sin cliente</t>
        </is>
      </c>
      <c r="D5526" t="inlineStr">
        <is>
          <t>CANELÉ TRADICIONAL</t>
        </is>
      </c>
      <c r="E5526" s="34" t="n">
        <v>16140</v>
      </c>
      <c r="F5526" t="inlineStr">
        <is>
          <t>B</t>
        </is>
      </c>
      <c r="G5526" s="34" t="n">
        <v>2577</v>
      </c>
      <c r="H5526" s="34" t="n">
        <v>13563</v>
      </c>
      <c r="I5526" t="inlineStr">
        <is>
          <t>3.2</t>
        </is>
      </c>
      <c r="J5526" t="inlineStr">
        <is>
          <t>Ventas Personas (B2C)</t>
        </is>
      </c>
      <c r="K5526" t="inlineStr">
        <is>
          <t>CH2</t>
        </is>
      </c>
    </row>
    <row r="5527">
      <c r="A5527" s="33" t="n">
        <v>46078</v>
      </c>
      <c r="B5527" t="inlineStr">
        <is>
          <t>2026-02</t>
        </is>
      </c>
      <c r="C5527" t="inlineStr">
        <is>
          <t>Cecilia Yunge Rojas</t>
        </is>
      </c>
      <c r="D5527" t="inlineStr">
        <is>
          <t>Petit Crunchy</t>
        </is>
      </c>
      <c r="E5527" s="34" t="n">
        <v>20390</v>
      </c>
      <c r="F5527" t="inlineStr">
        <is>
          <t>B</t>
        </is>
      </c>
      <c r="G5527" s="34" t="n">
        <v>3256</v>
      </c>
      <c r="H5527" s="34" t="n">
        <v>17134</v>
      </c>
      <c r="I5527" t="inlineStr">
        <is>
          <t>3.2</t>
        </is>
      </c>
      <c r="J5527" t="inlineStr">
        <is>
          <t>Ventas Personas (B2C)</t>
        </is>
      </c>
      <c r="K5527" t="inlineStr">
        <is>
          <t>CH2</t>
        </is>
      </c>
    </row>
    <row r="5528">
      <c r="A5528" s="33" t="n">
        <v>46079</v>
      </c>
      <c r="B5528" t="inlineStr">
        <is>
          <t>2026-02</t>
        </is>
      </c>
      <c r="C5528" t="inlineStr">
        <is>
          <t>Better Food Spa</t>
        </is>
      </c>
      <c r="D5528" t="inlineStr">
        <is>
          <t>HORECA CAFETERIA</t>
        </is>
      </c>
      <c r="E5528" s="34" t="n">
        <v>192566</v>
      </c>
      <c r="F5528" t="inlineStr">
        <is>
          <t>F</t>
        </is>
      </c>
      <c r="G5528" s="34" t="n">
        <v>30746</v>
      </c>
      <c r="H5528" s="34" t="n">
        <v>161820</v>
      </c>
      <c r="I5528" t="inlineStr">
        <is>
          <t>3.1</t>
        </is>
      </c>
      <c r="J5528" t="inlineStr">
        <is>
          <t>Ventas HoReCa</t>
        </is>
      </c>
      <c r="K5528" t="inlineStr">
        <is>
          <t>CH1</t>
        </is>
      </c>
    </row>
    <row r="5529">
      <c r="A5529" s="33" t="n">
        <v>46079</v>
      </c>
      <c r="B5529" t="inlineStr">
        <is>
          <t>2026-02</t>
        </is>
      </c>
      <c r="C5529" t="inlineStr">
        <is>
          <t>Better Food Spa</t>
        </is>
      </c>
      <c r="D5529" t="inlineStr">
        <is>
          <t>REGION METROPOLITANA</t>
        </is>
      </c>
      <c r="E5529" s="34" t="n">
        <v>9401</v>
      </c>
      <c r="F5529" t="inlineStr">
        <is>
          <t>F</t>
        </is>
      </c>
      <c r="G5529" s="34" t="n">
        <v>1501</v>
      </c>
      <c r="H5529" s="34" t="n">
        <v>7900</v>
      </c>
      <c r="I5529" t="inlineStr">
        <is>
          <t>3.1</t>
        </is>
      </c>
      <c r="J5529" t="inlineStr">
        <is>
          <t>Ventas HoReCa</t>
        </is>
      </c>
      <c r="K5529" t="inlineStr">
        <is>
          <t>CH1</t>
        </is>
      </c>
    </row>
    <row r="5530">
      <c r="A5530" s="33" t="n">
        <v>46079</v>
      </c>
      <c r="B5530" t="inlineStr">
        <is>
          <t>2026-02</t>
        </is>
      </c>
      <c r="C5530" t="inlineStr">
        <is>
          <t>VILAS BANQUETERIAS SPA</t>
        </is>
      </c>
      <c r="D5530" t="inlineStr">
        <is>
          <t>HORECA CATERING</t>
        </is>
      </c>
      <c r="E5530" s="34" t="n">
        <v>148393</v>
      </c>
      <c r="F5530" t="inlineStr">
        <is>
          <t>F</t>
        </is>
      </c>
      <c r="G5530" s="34" t="n">
        <v>23693</v>
      </c>
      <c r="H5530" s="34" t="n">
        <v>124700</v>
      </c>
      <c r="I5530" t="inlineStr">
        <is>
          <t>3.1</t>
        </is>
      </c>
      <c r="J5530" t="inlineStr">
        <is>
          <t>Ventas HoReCa</t>
        </is>
      </c>
      <c r="K5530" t="inlineStr">
        <is>
          <t>CH1</t>
        </is>
      </c>
    </row>
    <row r="5531">
      <c r="A5531" s="33" t="n">
        <v>46079</v>
      </c>
      <c r="B5531" t="inlineStr">
        <is>
          <t>2026-02</t>
        </is>
      </c>
      <c r="C5531" t="inlineStr">
        <is>
          <t>TAVELLI S.A.</t>
        </is>
      </c>
      <c r="D5531" t="inlineStr">
        <is>
          <t>HORECA CAFETERIA</t>
        </is>
      </c>
      <c r="E5531" s="34" t="n">
        <v>818405</v>
      </c>
      <c r="F5531" t="inlineStr">
        <is>
          <t>F</t>
        </is>
      </c>
      <c r="G5531" s="34" t="n">
        <v>130670</v>
      </c>
      <c r="H5531" s="34" t="n">
        <v>687735</v>
      </c>
      <c r="I5531" t="inlineStr">
        <is>
          <t>3.1</t>
        </is>
      </c>
      <c r="J5531" t="inlineStr">
        <is>
          <t>Ventas HoReCa</t>
        </is>
      </c>
      <c r="K5531" t="inlineStr">
        <is>
          <t>CH1</t>
        </is>
      </c>
    </row>
    <row r="5532">
      <c r="A5532" s="33" t="n">
        <v>46079</v>
      </c>
      <c r="B5532" t="inlineStr">
        <is>
          <t>2026-02</t>
        </is>
      </c>
      <c r="C5532" t="inlineStr">
        <is>
          <t>TAVELLI S.A.</t>
        </is>
      </c>
      <c r="D5532" t="inlineStr">
        <is>
          <t>REGION METROPOLITANA</t>
        </is>
      </c>
      <c r="E5532" s="34" t="n">
        <v>35700</v>
      </c>
      <c r="F5532" t="inlineStr">
        <is>
          <t>F</t>
        </is>
      </c>
      <c r="G5532" s="34" t="n">
        <v>5700</v>
      </c>
      <c r="H5532" s="34" t="n">
        <v>30000</v>
      </c>
      <c r="I5532" t="inlineStr">
        <is>
          <t>3.1</t>
        </is>
      </c>
      <c r="J5532" t="inlineStr">
        <is>
          <t>Ventas HoReCa</t>
        </is>
      </c>
      <c r="K5532" t="inlineStr">
        <is>
          <t>CH1</t>
        </is>
      </c>
    </row>
    <row r="5533">
      <c r="A5533" s="33" t="n">
        <v>46079</v>
      </c>
      <c r="B5533" t="inlineStr">
        <is>
          <t>2026-02</t>
        </is>
      </c>
      <c r="C5533" t="inlineStr">
        <is>
          <t>Claudia Castro</t>
        </is>
      </c>
      <c r="D5533" t="inlineStr">
        <is>
          <t>Petit Crunchy</t>
        </is>
      </c>
      <c r="E5533" s="34" t="n">
        <v>50190</v>
      </c>
      <c r="F5533" t="inlineStr">
        <is>
          <t>B</t>
        </is>
      </c>
      <c r="G5533" s="34" t="n">
        <v>8014</v>
      </c>
      <c r="H5533" s="34" t="n">
        <v>42176</v>
      </c>
      <c r="I5533" t="inlineStr">
        <is>
          <t>3.2</t>
        </is>
      </c>
      <c r="J5533" t="inlineStr">
        <is>
          <t>Ventas Personas (B2C)</t>
        </is>
      </c>
      <c r="K5533" t="inlineStr">
        <is>
          <t>CH2</t>
        </is>
      </c>
    </row>
    <row r="5534">
      <c r="A5534" s="33" t="n">
        <v>46079</v>
      </c>
      <c r="B5534" t="inlineStr">
        <is>
          <t>2026-02</t>
        </is>
      </c>
      <c r="C5534" t="inlineStr">
        <is>
          <t>Sin cliente</t>
        </is>
      </c>
      <c r="D5534" t="inlineStr">
        <is>
          <t>Rellenos</t>
        </is>
      </c>
      <c r="E5534" s="34" t="n">
        <v>9500</v>
      </c>
      <c r="F5534" t="inlineStr">
        <is>
          <t>B</t>
        </is>
      </c>
      <c r="G5534" s="34" t="n">
        <v>1517</v>
      </c>
      <c r="H5534" s="34" t="n">
        <v>7983</v>
      </c>
      <c r="I5534" t="inlineStr">
        <is>
          <t>3.2</t>
        </is>
      </c>
      <c r="J5534" t="inlineStr">
        <is>
          <t>Ventas Personas (B2C)</t>
        </is>
      </c>
      <c r="K5534" t="inlineStr">
        <is>
          <t>CH2</t>
        </is>
      </c>
    </row>
    <row r="5535">
      <c r="A5535" s="33" t="n">
        <v>46079</v>
      </c>
      <c r="B5535" t="inlineStr">
        <is>
          <t>2026-02</t>
        </is>
      </c>
      <c r="C5535" t="inlineStr">
        <is>
          <t>Sin cliente</t>
        </is>
      </c>
      <c r="D5535" t="inlineStr">
        <is>
          <t>Rellenos</t>
        </is>
      </c>
      <c r="E5535" s="34" t="n">
        <v>7000</v>
      </c>
      <c r="F5535" t="inlineStr">
        <is>
          <t>B</t>
        </is>
      </c>
      <c r="G5535" s="34" t="n">
        <v>1118</v>
      </c>
      <c r="H5535" s="34" t="n">
        <v>5882</v>
      </c>
      <c r="I5535" t="inlineStr">
        <is>
          <t>3.2</t>
        </is>
      </c>
      <c r="J5535" t="inlineStr">
        <is>
          <t>Ventas Personas (B2C)</t>
        </is>
      </c>
      <c r="K5535" t="inlineStr">
        <is>
          <t>CH2</t>
        </is>
      </c>
    </row>
    <row r="5536">
      <c r="A5536" s="33" t="n">
        <v>46079</v>
      </c>
      <c r="B5536" t="inlineStr">
        <is>
          <t>2026-02</t>
        </is>
      </c>
      <c r="C5536" t="inlineStr">
        <is>
          <t>Alexandra  Fuentes</t>
        </is>
      </c>
      <c r="D5536" t="inlineStr">
        <is>
          <t>REGION METROPOLITANA</t>
        </is>
      </c>
      <c r="E5536" s="34" t="n">
        <v>5990</v>
      </c>
      <c r="F5536" t="inlineStr">
        <is>
          <t>B</t>
        </is>
      </c>
      <c r="G5536" s="34" t="n">
        <v>956</v>
      </c>
      <c r="H5536" s="34" t="n">
        <v>5034</v>
      </c>
      <c r="I5536" t="inlineStr">
        <is>
          <t>3.2</t>
        </is>
      </c>
      <c r="J5536" t="inlineStr">
        <is>
          <t>Ventas Personas (B2C)</t>
        </is>
      </c>
      <c r="K5536" t="inlineStr">
        <is>
          <t>CH2</t>
        </is>
      </c>
    </row>
    <row r="5537">
      <c r="A5537" s="33" t="n">
        <v>46079</v>
      </c>
      <c r="B5537" t="inlineStr">
        <is>
          <t>2026-02</t>
        </is>
      </c>
      <c r="C5537" t="inlineStr">
        <is>
          <t>Sin cliente</t>
        </is>
      </c>
      <c r="D5537" t="inlineStr">
        <is>
          <t>PLATAFORMAS RAP-PEYA-UBER-GOOD</t>
        </is>
      </c>
      <c r="E5537" s="34" t="n">
        <v>6075</v>
      </c>
      <c r="F5537" t="inlineStr">
        <is>
          <t>B</t>
        </is>
      </c>
      <c r="G5537" s="34" t="n">
        <v>970</v>
      </c>
      <c r="H5537" s="34" t="n">
        <v>5105</v>
      </c>
      <c r="I5537" t="inlineStr">
        <is>
          <t>3.6</t>
        </is>
      </c>
      <c r="J5537" t="inlineStr">
        <is>
          <t>Ventas Delivery Apps</t>
        </is>
      </c>
      <c r="K5537" t="inlineStr">
        <is>
          <t>CH3</t>
        </is>
      </c>
    </row>
    <row r="5538">
      <c r="A5538" s="33" t="n">
        <v>46079</v>
      </c>
      <c r="B5538" t="inlineStr">
        <is>
          <t>2026-02</t>
        </is>
      </c>
      <c r="C5538" t="inlineStr">
        <is>
          <t>Sin cliente</t>
        </is>
      </c>
      <c r="D5538" t="inlineStr">
        <is>
          <t>PLATAFORMAS RAP-PEYA-UBER-GOOD</t>
        </is>
      </c>
      <c r="E5538" s="34" t="n">
        <v>17880</v>
      </c>
      <c r="F5538" t="inlineStr">
        <is>
          <t>B</t>
        </is>
      </c>
      <c r="G5538" s="34" t="n">
        <v>2855</v>
      </c>
      <c r="H5538" s="34" t="n">
        <v>15025</v>
      </c>
      <c r="I5538" t="inlineStr">
        <is>
          <t>3.6</t>
        </is>
      </c>
      <c r="J5538" t="inlineStr">
        <is>
          <t>Ventas Delivery Apps</t>
        </is>
      </c>
      <c r="K5538" t="inlineStr">
        <is>
          <t>CH3</t>
        </is>
      </c>
    </row>
    <row r="5539">
      <c r="A5539" s="33" t="n">
        <v>46079</v>
      </c>
      <c r="B5539" t="inlineStr">
        <is>
          <t>2026-02</t>
        </is>
      </c>
      <c r="C5539" t="inlineStr">
        <is>
          <t>Pamela Iglesias</t>
        </is>
      </c>
      <c r="D5539" t="inlineStr">
        <is>
          <t>CANELÉ TRADICIONAL</t>
        </is>
      </c>
      <c r="E5539" s="34" t="n">
        <v>27900</v>
      </c>
      <c r="F5539" t="inlineStr">
        <is>
          <t>B</t>
        </is>
      </c>
      <c r="G5539" s="34" t="n">
        <v>4455</v>
      </c>
      <c r="H5539" s="34" t="n">
        <v>23445</v>
      </c>
      <c r="I5539" t="inlineStr">
        <is>
          <t>3.2</t>
        </is>
      </c>
      <c r="J5539" t="inlineStr">
        <is>
          <t>Ventas Personas (B2C)</t>
        </is>
      </c>
      <c r="K5539" t="inlineStr">
        <is>
          <t>CH2</t>
        </is>
      </c>
    </row>
    <row r="5540">
      <c r="A5540" s="33" t="n">
        <v>46079</v>
      </c>
      <c r="B5540" t="inlineStr">
        <is>
          <t>2026-02</t>
        </is>
      </c>
      <c r="C5540" t="inlineStr">
        <is>
          <t>Sin cliente</t>
        </is>
      </c>
      <c r="D5540" t="inlineStr">
        <is>
          <t>Rellenos</t>
        </is>
      </c>
      <c r="E5540" s="34" t="n">
        <v>12000</v>
      </c>
      <c r="F5540" t="inlineStr">
        <is>
          <t>B</t>
        </is>
      </c>
      <c r="G5540" s="34" t="n">
        <v>1916</v>
      </c>
      <c r="H5540" s="34" t="n">
        <v>10084</v>
      </c>
      <c r="I5540" t="inlineStr">
        <is>
          <t>3.2</t>
        </is>
      </c>
      <c r="J5540" t="inlineStr">
        <is>
          <t>Ventas Personas (B2C)</t>
        </is>
      </c>
      <c r="K5540" t="inlineStr">
        <is>
          <t>CH2</t>
        </is>
      </c>
    </row>
    <row r="5541">
      <c r="A5541" s="33" t="n">
        <v>46079</v>
      </c>
      <c r="B5541" t="inlineStr">
        <is>
          <t>2026-02</t>
        </is>
      </c>
      <c r="C5541" t="inlineStr">
        <is>
          <t>Sin cliente</t>
        </is>
      </c>
      <c r="D5541" t="inlineStr">
        <is>
          <t>CANELÉ TRADICIONAL</t>
        </is>
      </c>
      <c r="E5541" s="34" t="n">
        <v>42800</v>
      </c>
      <c r="F5541" t="inlineStr">
        <is>
          <t>B</t>
        </is>
      </c>
      <c r="G5541" s="34" t="n">
        <v>6834</v>
      </c>
      <c r="H5541" s="34" t="n">
        <v>35966</v>
      </c>
      <c r="I5541" t="inlineStr">
        <is>
          <t>3.2</t>
        </is>
      </c>
      <c r="J5541" t="inlineStr">
        <is>
          <t>Ventas Personas (B2C)</t>
        </is>
      </c>
      <c r="K5541" t="inlineStr">
        <is>
          <t>CH2</t>
        </is>
      </c>
    </row>
    <row r="5542">
      <c r="A5542" s="33" t="n">
        <v>46079</v>
      </c>
      <c r="B5542" t="inlineStr">
        <is>
          <t>2026-02</t>
        </is>
      </c>
      <c r="C5542" t="inlineStr">
        <is>
          <t>Maria Valencia</t>
        </is>
      </c>
      <c r="D5542" t="inlineStr">
        <is>
          <t>CANELÉ TRADICIONAL</t>
        </is>
      </c>
      <c r="E5542" s="34" t="n">
        <v>61790</v>
      </c>
      <c r="F5542" t="inlineStr">
        <is>
          <t>B</t>
        </is>
      </c>
      <c r="G5542" s="34" t="n">
        <v>9866</v>
      </c>
      <c r="H5542" s="34" t="n">
        <v>51924</v>
      </c>
      <c r="I5542" t="inlineStr">
        <is>
          <t>3.2</t>
        </is>
      </c>
      <c r="J5542" t="inlineStr">
        <is>
          <t>Ventas Personas (B2C)</t>
        </is>
      </c>
      <c r="K5542" t="inlineStr">
        <is>
          <t>CH2</t>
        </is>
      </c>
    </row>
    <row r="5543">
      <c r="A5543" s="33" t="n">
        <v>46079</v>
      </c>
      <c r="B5543" t="inlineStr">
        <is>
          <t>2026-02</t>
        </is>
      </c>
      <c r="C5543" t="inlineStr">
        <is>
          <t>Margarita Astudillo</t>
        </is>
      </c>
      <c r="D5543" t="inlineStr">
        <is>
          <t>Canelé Petit Relleno</t>
        </is>
      </c>
      <c r="E5543" s="34" t="n">
        <v>19390</v>
      </c>
      <c r="F5543" t="inlineStr">
        <is>
          <t>B</t>
        </is>
      </c>
      <c r="G5543" s="34" t="n">
        <v>3096</v>
      </c>
      <c r="H5543" s="34" t="n">
        <v>16294</v>
      </c>
      <c r="I5543" t="inlineStr">
        <is>
          <t>3.2</t>
        </is>
      </c>
      <c r="J5543" t="inlineStr">
        <is>
          <t>Ventas Personas (B2C)</t>
        </is>
      </c>
      <c r="K5543" t="inlineStr">
        <is>
          <t>CH2</t>
        </is>
      </c>
    </row>
    <row r="5544">
      <c r="A5544" s="33" t="n">
        <v>46079</v>
      </c>
      <c r="B5544" t="inlineStr">
        <is>
          <t>2026-02</t>
        </is>
      </c>
      <c r="C5544" t="inlineStr">
        <is>
          <t>Sin cliente</t>
        </is>
      </c>
      <c r="D5544" t="inlineStr">
        <is>
          <t>PLATAFORMAS RAP-PEYA-UBER-GOOD</t>
        </is>
      </c>
      <c r="E5544" s="34" t="n">
        <v>22080</v>
      </c>
      <c r="F5544" t="inlineStr">
        <is>
          <t>B</t>
        </is>
      </c>
      <c r="G5544" s="34" t="n">
        <v>3525</v>
      </c>
      <c r="H5544" s="34" t="n">
        <v>18555</v>
      </c>
      <c r="I5544" t="inlineStr">
        <is>
          <t>3.6</t>
        </is>
      </c>
      <c r="J5544" t="inlineStr">
        <is>
          <t>Ventas Delivery Apps</t>
        </is>
      </c>
      <c r="K5544" t="inlineStr">
        <is>
          <t>CH3</t>
        </is>
      </c>
    </row>
    <row r="5545">
      <c r="A5545" s="33" t="n">
        <v>46079</v>
      </c>
      <c r="B5545" t="inlineStr">
        <is>
          <t>2026-02</t>
        </is>
      </c>
      <c r="C5545" t="inlineStr">
        <is>
          <t>Sin cliente</t>
        </is>
      </c>
      <c r="D5545" t="inlineStr">
        <is>
          <t>Rellenos</t>
        </is>
      </c>
      <c r="E5545" s="34" t="n">
        <v>25900</v>
      </c>
      <c r="F5545" t="inlineStr">
        <is>
          <t>B</t>
        </is>
      </c>
      <c r="G5545" s="34" t="n">
        <v>4135</v>
      </c>
      <c r="H5545" s="34" t="n">
        <v>21765</v>
      </c>
      <c r="I5545" t="inlineStr">
        <is>
          <t>3.2</t>
        </is>
      </c>
      <c r="J5545" t="inlineStr">
        <is>
          <t>Ventas Personas (B2C)</t>
        </is>
      </c>
      <c r="K5545" t="inlineStr">
        <is>
          <t>CH2</t>
        </is>
      </c>
    </row>
    <row r="5546">
      <c r="A5546" s="33" t="n">
        <v>46079</v>
      </c>
      <c r="B5546" t="inlineStr">
        <is>
          <t>2026-02</t>
        </is>
      </c>
      <c r="C5546" t="inlineStr">
        <is>
          <t>Sin cliente</t>
        </is>
      </c>
      <c r="D5546" t="inlineStr">
        <is>
          <t>Delicatessen</t>
        </is>
      </c>
      <c r="E5546" s="34" t="n">
        <v>1000</v>
      </c>
      <c r="F5546" t="inlineStr">
        <is>
          <t>B</t>
        </is>
      </c>
      <c r="G5546" s="34" t="n">
        <v>160</v>
      </c>
      <c r="H5546" s="34" t="n">
        <v>840</v>
      </c>
      <c r="I5546" t="inlineStr">
        <is>
          <t>3.2</t>
        </is>
      </c>
      <c r="J5546" t="inlineStr">
        <is>
          <t>Ventas Personas (B2C)</t>
        </is>
      </c>
      <c r="K5546" t="inlineStr">
        <is>
          <t>CH2</t>
        </is>
      </c>
    </row>
    <row r="5547">
      <c r="A5547" s="33" t="n">
        <v>46079</v>
      </c>
      <c r="B5547" t="inlineStr">
        <is>
          <t>2026-02</t>
        </is>
      </c>
      <c r="C5547" t="inlineStr">
        <is>
          <t>Hans Findel</t>
        </is>
      </c>
      <c r="D5547" t="inlineStr">
        <is>
          <t>Rellenos</t>
        </is>
      </c>
      <c r="E5547" s="34" t="n">
        <v>41290</v>
      </c>
      <c r="F5547" t="inlineStr">
        <is>
          <t>B</t>
        </is>
      </c>
      <c r="G5547" s="34" t="n">
        <v>6593</v>
      </c>
      <c r="H5547" s="34" t="n">
        <v>34697</v>
      </c>
      <c r="I5547" t="inlineStr">
        <is>
          <t>3.2</t>
        </is>
      </c>
      <c r="J5547" t="inlineStr">
        <is>
          <t>Ventas Personas (B2C)</t>
        </is>
      </c>
      <c r="K5547" t="inlineStr">
        <is>
          <t>CH2</t>
        </is>
      </c>
    </row>
    <row r="5548">
      <c r="A5548" s="33" t="n">
        <v>46079</v>
      </c>
      <c r="B5548" t="inlineStr">
        <is>
          <t>2026-02</t>
        </is>
      </c>
      <c r="C5548" t="inlineStr">
        <is>
          <t>Sin cliente</t>
        </is>
      </c>
      <c r="D5548" t="inlineStr">
        <is>
          <t>Glosa Compra local sin item</t>
        </is>
      </c>
      <c r="E5548" s="34" t="n">
        <v>33900</v>
      </c>
      <c r="F5548" t="inlineStr">
        <is>
          <t>B</t>
        </is>
      </c>
      <c r="G5548" s="34" t="n">
        <v>5413</v>
      </c>
      <c r="H5548" s="34" t="n">
        <v>28487</v>
      </c>
      <c r="I5548" t="inlineStr">
        <is>
          <t>3.2</t>
        </is>
      </c>
      <c r="J5548" t="inlineStr">
        <is>
          <t>Ventas Personas (B2C)</t>
        </is>
      </c>
      <c r="K5548" t="inlineStr">
        <is>
          <t>CH2</t>
        </is>
      </c>
    </row>
    <row r="5549">
      <c r="A5549" s="33" t="n">
        <v>46080</v>
      </c>
      <c r="B5549" t="inlineStr">
        <is>
          <t>2026-02</t>
        </is>
      </c>
      <c r="C5549" t="inlineStr">
        <is>
          <t>OH SOME SPA</t>
        </is>
      </c>
      <c r="D5549" t="inlineStr">
        <is>
          <t>HORECA CAFETERIA</t>
        </is>
      </c>
      <c r="E5549" s="34" t="n">
        <v>159469</v>
      </c>
      <c r="F5549" t="inlineStr">
        <is>
          <t>F</t>
        </is>
      </c>
      <c r="G5549" s="34" t="n">
        <v>25461</v>
      </c>
      <c r="H5549" s="34" t="n">
        <v>134008</v>
      </c>
      <c r="I5549" t="inlineStr">
        <is>
          <t>3.1</t>
        </is>
      </c>
      <c r="J5549" t="inlineStr">
        <is>
          <t>Ventas HoReCa</t>
        </is>
      </c>
      <c r="K5549" t="inlineStr">
        <is>
          <t>CH1</t>
        </is>
      </c>
    </row>
    <row r="5550">
      <c r="A5550" s="33" t="n">
        <v>46080</v>
      </c>
      <c r="B5550" t="inlineStr">
        <is>
          <t>2026-02</t>
        </is>
      </c>
      <c r="C5550" t="inlineStr">
        <is>
          <t>Sociedad gastronómica L&amp;A Limitada</t>
        </is>
      </c>
      <c r="D5550" t="inlineStr">
        <is>
          <t>HORECA CAFETERIA</t>
        </is>
      </c>
      <c r="E5550" s="34" t="n">
        <v>71210</v>
      </c>
      <c r="F5550" t="inlineStr">
        <is>
          <t>F</t>
        </is>
      </c>
      <c r="G5550" s="34" t="n">
        <v>11370</v>
      </c>
      <c r="H5550" s="34" t="n">
        <v>59840</v>
      </c>
      <c r="I5550" t="inlineStr">
        <is>
          <t>3.1</t>
        </is>
      </c>
      <c r="J5550" t="inlineStr">
        <is>
          <t>Ventas HoReCa</t>
        </is>
      </c>
      <c r="K5550" t="inlineStr">
        <is>
          <t>CH1</t>
        </is>
      </c>
    </row>
    <row r="5551">
      <c r="A5551" s="33" t="n">
        <v>46080</v>
      </c>
      <c r="B5551" t="inlineStr">
        <is>
          <t>2026-02</t>
        </is>
      </c>
      <c r="C5551" t="inlineStr">
        <is>
          <t>PRODUCTORA DE EVENTOS AGDV SPA</t>
        </is>
      </c>
      <c r="D5551" t="inlineStr">
        <is>
          <t>HORECA CATERING</t>
        </is>
      </c>
      <c r="E5551" s="34" t="n">
        <v>127330</v>
      </c>
      <c r="F5551" t="inlineStr">
        <is>
          <t>F</t>
        </is>
      </c>
      <c r="G5551" s="34" t="n">
        <v>20330</v>
      </c>
      <c r="H5551" s="34" t="n">
        <v>107000</v>
      </c>
      <c r="I5551" t="inlineStr">
        <is>
          <t>3.1</t>
        </is>
      </c>
      <c r="J5551" t="inlineStr">
        <is>
          <t>Ventas HoReCa</t>
        </is>
      </c>
      <c r="K5551" t="inlineStr">
        <is>
          <t>CH1</t>
        </is>
      </c>
    </row>
    <row r="5552">
      <c r="A5552" s="33" t="n">
        <v>46080</v>
      </c>
      <c r="B5552" t="inlineStr">
        <is>
          <t>2026-02</t>
        </is>
      </c>
      <c r="C5552" t="inlineStr">
        <is>
          <t>DIEGO VARGAS BANQUETERIA Y EVENTOS SPA</t>
        </is>
      </c>
      <c r="D5552" t="inlineStr">
        <is>
          <t>HORECA CATERING</t>
        </is>
      </c>
      <c r="E5552" s="34" t="n">
        <v>150773</v>
      </c>
      <c r="F5552" t="inlineStr">
        <is>
          <t>F</t>
        </is>
      </c>
      <c r="G5552" s="34" t="n">
        <v>24073</v>
      </c>
      <c r="H5552" s="34" t="n">
        <v>126700</v>
      </c>
      <c r="I5552" t="inlineStr">
        <is>
          <t>3.1</t>
        </is>
      </c>
      <c r="J5552" t="inlineStr">
        <is>
          <t>Ventas HoReCa</t>
        </is>
      </c>
      <c r="K5552" t="inlineStr">
        <is>
          <t>CH1</t>
        </is>
      </c>
    </row>
    <row r="5553">
      <c r="A5553" s="33" t="n">
        <v>46080</v>
      </c>
      <c r="B5553" t="inlineStr">
        <is>
          <t>2026-02</t>
        </is>
      </c>
      <c r="C5553" t="inlineStr">
        <is>
          <t>Cocoshouse Spa</t>
        </is>
      </c>
      <c r="D5553" t="inlineStr">
        <is>
          <t>HORECA CAFETERIA</t>
        </is>
      </c>
      <c r="E5553" s="34" t="n">
        <v>39115</v>
      </c>
      <c r="F5553" t="inlineStr">
        <is>
          <t>F</t>
        </is>
      </c>
      <c r="G5553" s="34" t="n">
        <v>6245</v>
      </c>
      <c r="H5553" s="34" t="n">
        <v>32870</v>
      </c>
      <c r="I5553" t="inlineStr">
        <is>
          <t>3.1</t>
        </is>
      </c>
      <c r="J5553" t="inlineStr">
        <is>
          <t>Ventas HoReCa</t>
        </is>
      </c>
      <c r="K5553" t="inlineStr">
        <is>
          <t>CH1</t>
        </is>
      </c>
    </row>
    <row r="5554">
      <c r="A5554" s="33" t="n">
        <v>46080</v>
      </c>
      <c r="B5554" t="inlineStr">
        <is>
          <t>2026-02</t>
        </is>
      </c>
      <c r="C5554" t="inlineStr">
        <is>
          <t>Inversiones Nagua SPA</t>
        </is>
      </c>
      <c r="D5554" t="inlineStr">
        <is>
          <t>HORECA CAFETERIA</t>
        </is>
      </c>
      <c r="E5554" s="34" t="n">
        <v>71210</v>
      </c>
      <c r="F5554" t="inlineStr">
        <is>
          <t>F</t>
        </is>
      </c>
      <c r="G5554" s="34" t="n">
        <v>11370</v>
      </c>
      <c r="H5554" s="34" t="n">
        <v>59840</v>
      </c>
      <c r="I5554" t="inlineStr">
        <is>
          <t>3.1</t>
        </is>
      </c>
      <c r="J5554" t="inlineStr">
        <is>
          <t>Ventas HoReCa</t>
        </is>
      </c>
      <c r="K5554" t="inlineStr">
        <is>
          <t>CH1</t>
        </is>
      </c>
    </row>
    <row r="5555">
      <c r="A5555" s="33" t="n">
        <v>46080</v>
      </c>
      <c r="B5555" t="inlineStr">
        <is>
          <t>2026-02</t>
        </is>
      </c>
      <c r="C5555" t="inlineStr">
        <is>
          <t>Panduz panaderia y cafeteria SPA</t>
        </is>
      </c>
      <c r="D5555" t="inlineStr">
        <is>
          <t>HORECA CAFETERIA</t>
        </is>
      </c>
      <c r="E5555" s="34" t="n">
        <v>96283</v>
      </c>
      <c r="F5555" t="inlineStr">
        <is>
          <t>F</t>
        </is>
      </c>
      <c r="G5555" s="34" t="n">
        <v>15373</v>
      </c>
      <c r="H5555" s="34" t="n">
        <v>80910</v>
      </c>
      <c r="I5555" t="inlineStr">
        <is>
          <t>3.1</t>
        </is>
      </c>
      <c r="J5555" t="inlineStr">
        <is>
          <t>Ventas HoReCa</t>
        </is>
      </c>
      <c r="K5555" t="inlineStr">
        <is>
          <t>CH1</t>
        </is>
      </c>
    </row>
    <row r="5556">
      <c r="A5556" s="33" t="n">
        <v>46080</v>
      </c>
      <c r="B5556" t="inlineStr">
        <is>
          <t>2026-02</t>
        </is>
      </c>
      <c r="C5556" t="inlineStr">
        <is>
          <t>Better Food Spa</t>
        </is>
      </c>
      <c r="D5556" t="inlineStr">
        <is>
          <t>REGION METROPOLITANA</t>
        </is>
      </c>
      <c r="E5556" s="34" t="n">
        <v>9401</v>
      </c>
      <c r="F5556" t="inlineStr">
        <is>
          <t>F</t>
        </is>
      </c>
      <c r="G5556" s="34" t="n">
        <v>1501</v>
      </c>
      <c r="H5556" s="34" t="n">
        <v>7900</v>
      </c>
      <c r="I5556" t="inlineStr">
        <is>
          <t>3.1</t>
        </is>
      </c>
      <c r="J5556" t="inlineStr">
        <is>
          <t>Ventas HoReCa</t>
        </is>
      </c>
      <c r="K5556" t="inlineStr">
        <is>
          <t>CH1</t>
        </is>
      </c>
    </row>
    <row r="5557">
      <c r="A5557" s="33" t="n">
        <v>46080</v>
      </c>
      <c r="B5557" t="inlineStr">
        <is>
          <t>2026-02</t>
        </is>
      </c>
      <c r="C5557" t="inlineStr">
        <is>
          <t>Esther Vicente Garcia</t>
        </is>
      </c>
      <c r="D5557" t="inlineStr">
        <is>
          <t>Petit Crunchy</t>
        </is>
      </c>
      <c r="E5557" s="34" t="n">
        <v>10900</v>
      </c>
      <c r="F5557" t="inlineStr">
        <is>
          <t>B</t>
        </is>
      </c>
      <c r="G5557" s="34" t="n">
        <v>1740</v>
      </c>
      <c r="H5557" s="34" t="n">
        <v>9160</v>
      </c>
      <c r="I5557" t="inlineStr">
        <is>
          <t>3.2</t>
        </is>
      </c>
      <c r="J5557" t="inlineStr">
        <is>
          <t>Ventas Personas (B2C)</t>
        </is>
      </c>
      <c r="K5557" t="inlineStr">
        <is>
          <t>CH2</t>
        </is>
      </c>
    </row>
    <row r="5558">
      <c r="A5558" s="33" t="n">
        <v>46080</v>
      </c>
      <c r="B5558" t="inlineStr">
        <is>
          <t>2026-02</t>
        </is>
      </c>
      <c r="C5558" t="inlineStr">
        <is>
          <t>Sin cliente</t>
        </is>
      </c>
      <c r="D5558" t="inlineStr">
        <is>
          <t>CANELÉ TRADICIONAL</t>
        </is>
      </c>
      <c r="E5558" s="34" t="n">
        <v>2500</v>
      </c>
      <c r="F5558" t="inlineStr">
        <is>
          <t>B</t>
        </is>
      </c>
      <c r="G5558" s="34" t="n">
        <v>399</v>
      </c>
      <c r="H5558" s="34" t="n">
        <v>2101</v>
      </c>
      <c r="I5558" t="inlineStr">
        <is>
          <t>3.2</t>
        </is>
      </c>
      <c r="J5558" t="inlineStr">
        <is>
          <t>Ventas Personas (B2C)</t>
        </is>
      </c>
      <c r="K5558" t="inlineStr">
        <is>
          <t>CH2</t>
        </is>
      </c>
    </row>
    <row r="5559">
      <c r="A5559" s="33" t="n">
        <v>46080</v>
      </c>
      <c r="B5559" t="inlineStr">
        <is>
          <t>2026-02</t>
        </is>
      </c>
      <c r="C5559" t="inlineStr">
        <is>
          <t>daniel flores</t>
        </is>
      </c>
      <c r="D5559" t="inlineStr">
        <is>
          <t>PACKS GOURMET</t>
        </is>
      </c>
      <c r="E5559" s="34" t="n">
        <v>40370</v>
      </c>
      <c r="F5559" t="inlineStr">
        <is>
          <t>B</t>
        </is>
      </c>
      <c r="G5559" s="34" t="n">
        <v>6446</v>
      </c>
      <c r="H5559" s="34" t="n">
        <v>33924</v>
      </c>
      <c r="I5559" t="inlineStr">
        <is>
          <t>3.2</t>
        </is>
      </c>
      <c r="J5559" t="inlineStr">
        <is>
          <t>Ventas Personas (B2C)</t>
        </is>
      </c>
      <c r="K5559" t="inlineStr">
        <is>
          <t>CH2</t>
        </is>
      </c>
    </row>
    <row r="5560">
      <c r="A5560" s="33" t="n">
        <v>46080</v>
      </c>
      <c r="B5560" t="inlineStr">
        <is>
          <t>2026-02</t>
        </is>
      </c>
      <c r="C5560" t="inlineStr">
        <is>
          <t>Sin cliente</t>
        </is>
      </c>
      <c r="D5560" t="inlineStr">
        <is>
          <t>Rellenos</t>
        </is>
      </c>
      <c r="E5560" s="34" t="n">
        <v>18900</v>
      </c>
      <c r="F5560" t="inlineStr">
        <is>
          <t>B</t>
        </is>
      </c>
      <c r="G5560" s="34" t="n">
        <v>3018</v>
      </c>
      <c r="H5560" s="34" t="n">
        <v>15882</v>
      </c>
      <c r="I5560" t="inlineStr">
        <is>
          <t>3.2</t>
        </is>
      </c>
      <c r="J5560" t="inlineStr">
        <is>
          <t>Ventas Personas (B2C)</t>
        </is>
      </c>
      <c r="K5560" t="inlineStr">
        <is>
          <t>CH2</t>
        </is>
      </c>
    </row>
    <row r="5561">
      <c r="A5561" s="33" t="n">
        <v>46080</v>
      </c>
      <c r="B5561" t="inlineStr">
        <is>
          <t>2026-02</t>
        </is>
      </c>
      <c r="C5561" t="inlineStr">
        <is>
          <t>Leyla Alquinta</t>
        </is>
      </c>
      <c r="D5561" t="inlineStr">
        <is>
          <t>Canelé Petit Relleno</t>
        </is>
      </c>
      <c r="E5561" s="34" t="n">
        <v>23390</v>
      </c>
      <c r="F5561" t="inlineStr">
        <is>
          <t>B</t>
        </is>
      </c>
      <c r="G5561" s="34" t="n">
        <v>3735</v>
      </c>
      <c r="H5561" s="34" t="n">
        <v>19655</v>
      </c>
      <c r="I5561" t="inlineStr">
        <is>
          <t>3.2</t>
        </is>
      </c>
      <c r="J5561" t="inlineStr">
        <is>
          <t>Ventas Personas (B2C)</t>
        </is>
      </c>
      <c r="K5561" t="inlineStr">
        <is>
          <t>CH2</t>
        </is>
      </c>
    </row>
    <row r="5562">
      <c r="A5562" s="33" t="n">
        <v>46080</v>
      </c>
      <c r="B5562" t="inlineStr">
        <is>
          <t>2026-02</t>
        </is>
      </c>
      <c r="C5562" t="inlineStr">
        <is>
          <t>Sin cliente</t>
        </is>
      </c>
      <c r="D5562" t="inlineStr">
        <is>
          <t>PLATAFORMAS RAP-PEYA-UBER-GOOD</t>
        </is>
      </c>
      <c r="E5562" s="34" t="n">
        <v>17880</v>
      </c>
      <c r="F5562" t="inlineStr">
        <is>
          <t>B</t>
        </is>
      </c>
      <c r="G5562" s="34" t="n">
        <v>2855</v>
      </c>
      <c r="H5562" s="34" t="n">
        <v>15025</v>
      </c>
      <c r="I5562" t="inlineStr">
        <is>
          <t>3.6</t>
        </is>
      </c>
      <c r="J5562" t="inlineStr">
        <is>
          <t>Ventas Delivery Apps</t>
        </is>
      </c>
      <c r="K5562" t="inlineStr">
        <is>
          <t>CH3</t>
        </is>
      </c>
    </row>
    <row r="5563">
      <c r="A5563" s="33" t="n">
        <v>46080</v>
      </c>
      <c r="B5563" t="inlineStr">
        <is>
          <t>2026-02</t>
        </is>
      </c>
      <c r="C5563" t="inlineStr">
        <is>
          <t>Sin cliente</t>
        </is>
      </c>
      <c r="D5563" t="inlineStr">
        <is>
          <t>Petit Crunchy</t>
        </is>
      </c>
      <c r="E5563" s="34" t="n">
        <v>27800</v>
      </c>
      <c r="F5563" t="inlineStr">
        <is>
          <t>B</t>
        </is>
      </c>
      <c r="G5563" s="34" t="n">
        <v>4439</v>
      </c>
      <c r="H5563" s="34" t="n">
        <v>23361</v>
      </c>
      <c r="I5563" t="inlineStr">
        <is>
          <t>3.2</t>
        </is>
      </c>
      <c r="J5563" t="inlineStr">
        <is>
          <t>Ventas Personas (B2C)</t>
        </is>
      </c>
      <c r="K5563" t="inlineStr">
        <is>
          <t>CH2</t>
        </is>
      </c>
    </row>
    <row r="5564">
      <c r="A5564" s="33" t="n">
        <v>46080</v>
      </c>
      <c r="B5564" t="inlineStr">
        <is>
          <t>2026-02</t>
        </is>
      </c>
      <c r="C5564" t="inlineStr">
        <is>
          <t>Sin cliente</t>
        </is>
      </c>
      <c r="D5564" t="inlineStr">
        <is>
          <t>Rellenos</t>
        </is>
      </c>
      <c r="E5564" s="34" t="n">
        <v>9000</v>
      </c>
      <c r="F5564" t="inlineStr">
        <is>
          <t>B</t>
        </is>
      </c>
      <c r="G5564" s="34" t="n">
        <v>1437</v>
      </c>
      <c r="H5564" s="34" t="n">
        <v>7563</v>
      </c>
      <c r="I5564" t="inlineStr">
        <is>
          <t>3.2</t>
        </is>
      </c>
      <c r="J5564" t="inlineStr">
        <is>
          <t>Ventas Personas (B2C)</t>
        </is>
      </c>
      <c r="K5564" t="inlineStr">
        <is>
          <t>CH2</t>
        </is>
      </c>
    </row>
    <row r="5565">
      <c r="A5565" s="33" t="n">
        <v>46080</v>
      </c>
      <c r="B5565" t="inlineStr">
        <is>
          <t>2026-02</t>
        </is>
      </c>
      <c r="C5565" t="inlineStr">
        <is>
          <t>Florencia Quezada</t>
        </is>
      </c>
      <c r="D5565" t="inlineStr">
        <is>
          <t>Mix Sabores</t>
        </is>
      </c>
      <c r="E5565" s="34" t="n">
        <v>25010</v>
      </c>
      <c r="F5565" t="inlineStr">
        <is>
          <t>B</t>
        </is>
      </c>
      <c r="G5565" s="34" t="n">
        <v>3993</v>
      </c>
      <c r="H5565" s="34" t="n">
        <v>21017</v>
      </c>
      <c r="I5565" t="inlineStr">
        <is>
          <t>3.2</t>
        </is>
      </c>
      <c r="J5565" t="inlineStr">
        <is>
          <t>Ventas Personas (B2C)</t>
        </is>
      </c>
      <c r="K5565" t="inlineStr">
        <is>
          <t>CH2</t>
        </is>
      </c>
    </row>
    <row r="5566">
      <c r="A5566" s="33" t="n">
        <v>46080</v>
      </c>
      <c r="B5566" t="inlineStr">
        <is>
          <t>2026-02</t>
        </is>
      </c>
      <c r="C5566" t="inlineStr">
        <is>
          <t>Sin cliente</t>
        </is>
      </c>
      <c r="D5566" t="inlineStr">
        <is>
          <t>PLATAFORMAS RAP-PEYA-UBER-GOOD</t>
        </is>
      </c>
      <c r="E5566" s="34" t="n">
        <v>26160</v>
      </c>
      <c r="F5566" t="inlineStr">
        <is>
          <t>B</t>
        </is>
      </c>
      <c r="G5566" s="34" t="n">
        <v>4177</v>
      </c>
      <c r="H5566" s="34" t="n">
        <v>21983</v>
      </c>
      <c r="I5566" t="inlineStr">
        <is>
          <t>3.6</t>
        </is>
      </c>
      <c r="J5566" t="inlineStr">
        <is>
          <t>Ventas Delivery Apps</t>
        </is>
      </c>
      <c r="K5566" t="inlineStr">
        <is>
          <t>CH3</t>
        </is>
      </c>
    </row>
    <row r="5567">
      <c r="A5567" s="33" t="n">
        <v>46080</v>
      </c>
      <c r="B5567" t="inlineStr">
        <is>
          <t>2026-02</t>
        </is>
      </c>
      <c r="C5567" t="inlineStr">
        <is>
          <t>Sin cliente</t>
        </is>
      </c>
      <c r="D5567" t="inlineStr">
        <is>
          <t>PLATAFORMAS RAP-PEYA-UBER-GOOD</t>
        </is>
      </c>
      <c r="E5567" s="34" t="n">
        <v>17880</v>
      </c>
      <c r="F5567" t="inlineStr">
        <is>
          <t>B</t>
        </is>
      </c>
      <c r="G5567" s="34" t="n">
        <v>2855</v>
      </c>
      <c r="H5567" s="34" t="n">
        <v>15025</v>
      </c>
      <c r="I5567" t="inlineStr">
        <is>
          <t>3.6</t>
        </is>
      </c>
      <c r="J5567" t="inlineStr">
        <is>
          <t>Ventas Delivery Apps</t>
        </is>
      </c>
      <c r="K5567" t="inlineStr">
        <is>
          <t>CH3</t>
        </is>
      </c>
    </row>
    <row r="5568">
      <c r="A5568" s="33" t="n">
        <v>46080</v>
      </c>
      <c r="B5568" t="inlineStr">
        <is>
          <t>2026-02</t>
        </is>
      </c>
      <c r="C5568" t="inlineStr">
        <is>
          <t>Sin cliente</t>
        </is>
      </c>
      <c r="D5568" t="inlineStr">
        <is>
          <t>PLATAFORMAS RAP-PEYA-UBER-GOOD</t>
        </is>
      </c>
      <c r="E5568" s="34" t="n">
        <v>66720</v>
      </c>
      <c r="F5568" t="inlineStr">
        <is>
          <t>B</t>
        </is>
      </c>
      <c r="G5568" s="34" t="n">
        <v>10653</v>
      </c>
      <c r="H5568" s="34" t="n">
        <v>56067</v>
      </c>
      <c r="I5568" t="inlineStr">
        <is>
          <t>3.6</t>
        </is>
      </c>
      <c r="J5568" t="inlineStr">
        <is>
          <t>Ventas Delivery Apps</t>
        </is>
      </c>
      <c r="K5568" t="inlineStr">
        <is>
          <t>CH3</t>
        </is>
      </c>
    </row>
    <row r="5569">
      <c r="A5569" s="33" t="n">
        <v>46080</v>
      </c>
      <c r="B5569" t="inlineStr">
        <is>
          <t>2026-02</t>
        </is>
      </c>
      <c r="C5569" t="inlineStr">
        <is>
          <t>Sin cliente</t>
        </is>
      </c>
      <c r="D5569" t="inlineStr">
        <is>
          <t>PLATAFORMAS RAP-PEYA-UBER-GOOD</t>
        </is>
      </c>
      <c r="E5569" s="34" t="n">
        <v>22680</v>
      </c>
      <c r="F5569" t="inlineStr">
        <is>
          <t>B</t>
        </is>
      </c>
      <c r="G5569" s="34" t="n">
        <v>3621</v>
      </c>
      <c r="H5569" s="34" t="n">
        <v>19059</v>
      </c>
      <c r="I5569" t="inlineStr">
        <is>
          <t>3.6</t>
        </is>
      </c>
      <c r="J5569" t="inlineStr">
        <is>
          <t>Ventas Delivery Apps</t>
        </is>
      </c>
      <c r="K5569" t="inlineStr">
        <is>
          <t>CH3</t>
        </is>
      </c>
    </row>
    <row r="5570">
      <c r="A5570" s="33" t="n">
        <v>46080</v>
      </c>
      <c r="B5570" t="inlineStr">
        <is>
          <t>2026-02</t>
        </is>
      </c>
      <c r="C5570" t="inlineStr">
        <is>
          <t>Sin cliente</t>
        </is>
      </c>
      <c r="D5570" t="inlineStr">
        <is>
          <t>Rellenos</t>
        </is>
      </c>
      <c r="E5570" s="34" t="n">
        <v>18900</v>
      </c>
      <c r="F5570" t="inlineStr">
        <is>
          <t>B</t>
        </is>
      </c>
      <c r="G5570" s="34" t="n">
        <v>3018</v>
      </c>
      <c r="H5570" s="34" t="n">
        <v>15882</v>
      </c>
      <c r="I5570" t="inlineStr">
        <is>
          <t>3.2</t>
        </is>
      </c>
      <c r="J5570" t="inlineStr">
        <is>
          <t>Ventas Personas (B2C)</t>
        </is>
      </c>
      <c r="K5570" t="inlineStr">
        <is>
          <t>CH2</t>
        </is>
      </c>
    </row>
    <row r="5571">
      <c r="A5571" s="33" t="n">
        <v>46080</v>
      </c>
      <c r="B5571" t="inlineStr">
        <is>
          <t>2026-02</t>
        </is>
      </c>
      <c r="C5571" t="inlineStr">
        <is>
          <t>Roberto Arias</t>
        </is>
      </c>
      <c r="D5571" t="inlineStr">
        <is>
          <t>Rellenos</t>
        </is>
      </c>
      <c r="E5571" s="34" t="n">
        <v>76190</v>
      </c>
      <c r="F5571" t="inlineStr">
        <is>
          <t>B</t>
        </is>
      </c>
      <c r="G5571" s="34" t="n">
        <v>12165</v>
      </c>
      <c r="H5571" s="34" t="n">
        <v>64025</v>
      </c>
      <c r="I5571" t="inlineStr">
        <is>
          <t>3.2</t>
        </is>
      </c>
      <c r="J5571" t="inlineStr">
        <is>
          <t>Ventas Personas (B2C)</t>
        </is>
      </c>
      <c r="K5571" t="inlineStr">
        <is>
          <t>CH2</t>
        </is>
      </c>
    </row>
    <row r="5572">
      <c r="A5572" s="33" t="n">
        <v>46080</v>
      </c>
      <c r="B5572" t="inlineStr">
        <is>
          <t>2026-02</t>
        </is>
      </c>
      <c r="C5572" t="inlineStr">
        <is>
          <t>Eyleen Araya</t>
        </is>
      </c>
      <c r="D5572" t="inlineStr">
        <is>
          <t>Petit Tradicional</t>
        </is>
      </c>
      <c r="E5572" s="34" t="n">
        <v>27290</v>
      </c>
      <c r="F5572" t="inlineStr">
        <is>
          <t>B</t>
        </is>
      </c>
      <c r="G5572" s="34" t="n">
        <v>4357</v>
      </c>
      <c r="H5572" s="34" t="n">
        <v>22933</v>
      </c>
      <c r="I5572" t="inlineStr">
        <is>
          <t>3.2</t>
        </is>
      </c>
      <c r="J5572" t="inlineStr">
        <is>
          <t>Ventas Personas (B2C)</t>
        </is>
      </c>
      <c r="K5572" t="inlineStr">
        <is>
          <t>CH2</t>
        </is>
      </c>
    </row>
    <row r="5573">
      <c r="A5573" s="33" t="n">
        <v>46080</v>
      </c>
      <c r="B5573" t="inlineStr">
        <is>
          <t>2026-02</t>
        </is>
      </c>
      <c r="C5573" t="inlineStr">
        <is>
          <t>Sin cliente</t>
        </is>
      </c>
      <c r="D5573" t="inlineStr">
        <is>
          <t>PLATAFORMAS RAP-PEYA-UBER-GOOD</t>
        </is>
      </c>
      <c r="E5573" s="34" t="n">
        <v>22680</v>
      </c>
      <c r="F5573" t="inlineStr">
        <is>
          <t>B</t>
        </is>
      </c>
      <c r="G5573" s="34" t="n">
        <v>3621</v>
      </c>
      <c r="H5573" s="34" t="n">
        <v>19059</v>
      </c>
      <c r="I5573" t="inlineStr">
        <is>
          <t>3.6</t>
        </is>
      </c>
      <c r="J5573" t="inlineStr">
        <is>
          <t>Ventas Delivery Apps</t>
        </is>
      </c>
      <c r="K5573" t="inlineStr">
        <is>
          <t>CH3</t>
        </is>
      </c>
    </row>
    <row r="5574">
      <c r="A5574" s="33" t="n">
        <v>46080</v>
      </c>
      <c r="B5574" t="inlineStr">
        <is>
          <t>2026-02</t>
        </is>
      </c>
      <c r="C5574" t="inlineStr">
        <is>
          <t>Ángela García</t>
        </is>
      </c>
      <c r="D5574" t="inlineStr">
        <is>
          <t>CANELÉ TRADICIONAL</t>
        </is>
      </c>
      <c r="E5574" s="34" t="n">
        <v>38190</v>
      </c>
      <c r="F5574" t="inlineStr">
        <is>
          <t>B</t>
        </is>
      </c>
      <c r="G5574" s="34" t="n">
        <v>6098</v>
      </c>
      <c r="H5574" s="34" t="n">
        <v>32092</v>
      </c>
      <c r="I5574" t="inlineStr">
        <is>
          <t>3.2</t>
        </is>
      </c>
      <c r="J5574" t="inlineStr">
        <is>
          <t>Ventas Personas (B2C)</t>
        </is>
      </c>
      <c r="K5574" t="inlineStr">
        <is>
          <t>CH2</t>
        </is>
      </c>
    </row>
    <row r="5575">
      <c r="A5575" s="33" t="n">
        <v>46080</v>
      </c>
      <c r="B5575" t="inlineStr">
        <is>
          <t>2026-02</t>
        </is>
      </c>
      <c r="C5575" t="inlineStr">
        <is>
          <t>Sin cliente</t>
        </is>
      </c>
      <c r="D5575" t="inlineStr">
        <is>
          <t>PLATAFORMAS RAP-PEYA-UBER-GOOD</t>
        </is>
      </c>
      <c r="E5575" s="34" t="n">
        <v>53640</v>
      </c>
      <c r="F5575" t="inlineStr">
        <is>
          <t>B</t>
        </is>
      </c>
      <c r="G5575" s="34" t="n">
        <v>8564</v>
      </c>
      <c r="H5575" s="34" t="n">
        <v>45076</v>
      </c>
      <c r="I5575" t="inlineStr">
        <is>
          <t>3.6</t>
        </is>
      </c>
      <c r="J5575" t="inlineStr">
        <is>
          <t>Ventas Delivery Apps</t>
        </is>
      </c>
      <c r="K5575" t="inlineStr">
        <is>
          <t>CH3</t>
        </is>
      </c>
    </row>
    <row r="5576">
      <c r="A5576" s="33" t="n">
        <v>46080</v>
      </c>
      <c r="B5576" t="inlineStr">
        <is>
          <t>2026-02</t>
        </is>
      </c>
      <c r="C5576" t="inlineStr">
        <is>
          <t>Sin cliente</t>
        </is>
      </c>
      <c r="D5576" t="inlineStr">
        <is>
          <t>PLATAFORMAS RAP-PEYA-UBER-GOOD</t>
        </is>
      </c>
      <c r="E5576" s="34" t="n">
        <v>16560</v>
      </c>
      <c r="F5576" t="inlineStr">
        <is>
          <t>B</t>
        </is>
      </c>
      <c r="G5576" s="34" t="n">
        <v>2644</v>
      </c>
      <c r="H5576" s="34" t="n">
        <v>13916</v>
      </c>
      <c r="I5576" t="inlineStr">
        <is>
          <t>3.6</t>
        </is>
      </c>
      <c r="J5576" t="inlineStr">
        <is>
          <t>Ventas Delivery Apps</t>
        </is>
      </c>
      <c r="K5576" t="inlineStr">
        <is>
          <t>CH3</t>
        </is>
      </c>
    </row>
    <row r="5577">
      <c r="A5577" s="33" t="n">
        <v>46080</v>
      </c>
      <c r="B5577" t="inlineStr">
        <is>
          <t>2026-02</t>
        </is>
      </c>
      <c r="C5577" t="inlineStr">
        <is>
          <t>Sin cliente</t>
        </is>
      </c>
      <c r="D5577" t="inlineStr">
        <is>
          <t>CANELÉ TRADICIONAL</t>
        </is>
      </c>
      <c r="E5577" s="34" t="n">
        <v>2500</v>
      </c>
      <c r="F5577" t="inlineStr">
        <is>
          <t>B</t>
        </is>
      </c>
      <c r="G5577" s="34" t="n">
        <v>399</v>
      </c>
      <c r="H5577" s="34" t="n">
        <v>2101</v>
      </c>
      <c r="I5577" t="inlineStr">
        <is>
          <t>3.2</t>
        </is>
      </c>
      <c r="J5577" t="inlineStr">
        <is>
          <t>Ventas Personas (B2C)</t>
        </is>
      </c>
      <c r="K5577" t="inlineStr">
        <is>
          <t>CH2</t>
        </is>
      </c>
    </row>
    <row r="5578">
      <c r="A5578" s="33" t="n">
        <v>46080</v>
      </c>
      <c r="B5578" t="inlineStr">
        <is>
          <t>2026-02</t>
        </is>
      </c>
      <c r="C5578" t="inlineStr">
        <is>
          <t>Sin cliente</t>
        </is>
      </c>
      <c r="D5578" t="inlineStr">
        <is>
          <t>Rellenos</t>
        </is>
      </c>
      <c r="E5578" s="34" t="n">
        <v>18900</v>
      </c>
      <c r="F5578" t="inlineStr">
        <is>
          <t>B</t>
        </is>
      </c>
      <c r="G5578" s="34" t="n">
        <v>3018</v>
      </c>
      <c r="H5578" s="34" t="n">
        <v>15882</v>
      </c>
      <c r="I5578" t="inlineStr">
        <is>
          <t>3.2</t>
        </is>
      </c>
      <c r="J5578" t="inlineStr">
        <is>
          <t>Ventas Personas (B2C)</t>
        </is>
      </c>
      <c r="K5578" t="inlineStr">
        <is>
          <t>CH2</t>
        </is>
      </c>
    </row>
    <row r="5579">
      <c r="A5579" s="33" t="n">
        <v>46080</v>
      </c>
      <c r="B5579" t="inlineStr">
        <is>
          <t>2026-02</t>
        </is>
      </c>
      <c r="C5579" t="inlineStr">
        <is>
          <t>Sin cliente</t>
        </is>
      </c>
      <c r="D5579" t="inlineStr">
        <is>
          <t>CANELÉ TRADICIONAL</t>
        </is>
      </c>
      <c r="E5579" s="34" t="n">
        <v>24900</v>
      </c>
      <c r="F5579" t="inlineStr">
        <is>
          <t>B</t>
        </is>
      </c>
      <c r="G5579" s="34" t="n">
        <v>3976</v>
      </c>
      <c r="H5579" s="34" t="n">
        <v>20924</v>
      </c>
      <c r="I5579" t="inlineStr">
        <is>
          <t>3.2</t>
        </is>
      </c>
      <c r="J5579" t="inlineStr">
        <is>
          <t>Ventas Personas (B2C)</t>
        </is>
      </c>
      <c r="K5579" t="inlineStr">
        <is>
          <t>CH2</t>
        </is>
      </c>
    </row>
    <row r="5580">
      <c r="A5580" s="33" t="n">
        <v>46080</v>
      </c>
      <c r="B5580" t="inlineStr">
        <is>
          <t>2026-02</t>
        </is>
      </c>
      <c r="C5580" t="inlineStr">
        <is>
          <t>Catherine Lathrop Rossi</t>
        </is>
      </c>
      <c r="D5580" t="inlineStr">
        <is>
          <t>Petit Tradicional</t>
        </is>
      </c>
      <c r="E5580" s="34" t="n">
        <v>26280</v>
      </c>
      <c r="F5580" t="inlineStr">
        <is>
          <t>B</t>
        </is>
      </c>
      <c r="G5580" s="34" t="n">
        <v>4196</v>
      </c>
      <c r="H5580" s="34" t="n">
        <v>22084</v>
      </c>
      <c r="I5580" t="inlineStr">
        <is>
          <t>3.2</t>
        </is>
      </c>
      <c r="J5580" t="inlineStr">
        <is>
          <t>Ventas Personas (B2C)</t>
        </is>
      </c>
      <c r="K5580" t="inlineStr">
        <is>
          <t>CH2</t>
        </is>
      </c>
    </row>
    <row r="5581">
      <c r="A5581" s="33" t="n">
        <v>46080</v>
      </c>
      <c r="B5581" t="inlineStr">
        <is>
          <t>2026-02</t>
        </is>
      </c>
      <c r="C5581" t="inlineStr">
        <is>
          <t>Katherine Ramirez Pino</t>
        </is>
      </c>
      <c r="D5581" t="inlineStr">
        <is>
          <t>CANELÉ TRADICIONAL</t>
        </is>
      </c>
      <c r="E5581" s="34" t="n">
        <v>22900</v>
      </c>
      <c r="F5581" t="inlineStr">
        <is>
          <t>B</t>
        </is>
      </c>
      <c r="G5581" s="34" t="n">
        <v>3656</v>
      </c>
      <c r="H5581" s="34" t="n">
        <v>19244</v>
      </c>
      <c r="I5581" t="inlineStr">
        <is>
          <t>3.2</t>
        </is>
      </c>
      <c r="J5581" t="inlineStr">
        <is>
          <t>Ventas Personas (B2C)</t>
        </is>
      </c>
      <c r="K5581" t="inlineStr">
        <is>
          <t>CH2</t>
        </is>
      </c>
    </row>
    <row r="5582">
      <c r="A5582" s="33" t="n">
        <v>46080</v>
      </c>
      <c r="B5582" t="inlineStr">
        <is>
          <t>2026-02</t>
        </is>
      </c>
      <c r="C5582" t="inlineStr">
        <is>
          <t>Camila Miguel</t>
        </is>
      </c>
      <c r="D5582" t="inlineStr">
        <is>
          <t>SALSAS</t>
        </is>
      </c>
      <c r="E5582" s="34" t="n">
        <v>31380</v>
      </c>
      <c r="F5582" t="inlineStr">
        <is>
          <t>B</t>
        </is>
      </c>
      <c r="G5582" s="34" t="n">
        <v>5010</v>
      </c>
      <c r="H5582" s="34" t="n">
        <v>26370</v>
      </c>
      <c r="I5582" t="inlineStr">
        <is>
          <t>3.2</t>
        </is>
      </c>
      <c r="J5582" t="inlineStr">
        <is>
          <t>Ventas Personas (B2C)</t>
        </is>
      </c>
      <c r="K5582" t="inlineStr">
        <is>
          <t>CH2</t>
        </is>
      </c>
    </row>
    <row r="5583">
      <c r="A5583" s="33" t="n">
        <v>46081</v>
      </c>
      <c r="B5583" t="inlineStr">
        <is>
          <t>2026-02</t>
        </is>
      </c>
      <c r="C5583" t="inlineStr">
        <is>
          <t>Sofia Mereles</t>
        </is>
      </c>
      <c r="D5583" t="inlineStr">
        <is>
          <t>Rellenos</t>
        </is>
      </c>
      <c r="E5583" s="34" t="n">
        <v>33390</v>
      </c>
      <c r="F5583" t="inlineStr">
        <is>
          <t>B</t>
        </is>
      </c>
      <c r="G5583" s="34" t="n">
        <v>5331</v>
      </c>
      <c r="H5583" s="34" t="n">
        <v>28059</v>
      </c>
      <c r="I5583" t="inlineStr">
        <is>
          <t>3.2</t>
        </is>
      </c>
      <c r="J5583" t="inlineStr">
        <is>
          <t>Ventas Personas (B2C)</t>
        </is>
      </c>
      <c r="K5583" t="inlineStr">
        <is>
          <t>CH2</t>
        </is>
      </c>
    </row>
    <row r="5584">
      <c r="A5584" s="33" t="n">
        <v>46081</v>
      </c>
      <c r="B5584" t="inlineStr">
        <is>
          <t>2026-02</t>
        </is>
      </c>
      <c r="C5584" t="inlineStr">
        <is>
          <t>Camila Lazzaro Tomaz</t>
        </is>
      </c>
      <c r="D5584" t="inlineStr">
        <is>
          <t>CANELÉ TRADICIONAL</t>
        </is>
      </c>
      <c r="E5584" s="34" t="n">
        <v>29600</v>
      </c>
      <c r="F5584" t="inlineStr">
        <is>
          <t>B</t>
        </is>
      </c>
      <c r="G5584" s="34" t="n">
        <v>4726</v>
      </c>
      <c r="H5584" s="34" t="n">
        <v>24874</v>
      </c>
      <c r="I5584" t="inlineStr">
        <is>
          <t>3.2</t>
        </is>
      </c>
      <c r="J5584" t="inlineStr">
        <is>
          <t>Ventas Personas (B2C)</t>
        </is>
      </c>
      <c r="K5584" t="inlineStr">
        <is>
          <t>CH2</t>
        </is>
      </c>
    </row>
    <row r="5585">
      <c r="A5585" s="33" t="n">
        <v>46081</v>
      </c>
      <c r="B5585" t="inlineStr">
        <is>
          <t>2026-02</t>
        </is>
      </c>
      <c r="C5585" t="inlineStr">
        <is>
          <t>Cecilia Gallardo Hidalgo</t>
        </is>
      </c>
      <c r="D5585" t="inlineStr">
        <is>
          <t>CANELE SIN AZUCAR</t>
        </is>
      </c>
      <c r="E5585" s="34" t="n">
        <v>24300</v>
      </c>
      <c r="F5585" t="inlineStr">
        <is>
          <t>B</t>
        </is>
      </c>
      <c r="G5585" s="34" t="n">
        <v>3880</v>
      </c>
      <c r="H5585" s="34" t="n">
        <v>20420</v>
      </c>
      <c r="I5585" t="inlineStr">
        <is>
          <t>3.2</t>
        </is>
      </c>
      <c r="J5585" t="inlineStr">
        <is>
          <t>Ventas Personas (B2C)</t>
        </is>
      </c>
      <c r="K5585" t="inlineStr">
        <is>
          <t>CH2</t>
        </is>
      </c>
    </row>
    <row r="5586">
      <c r="A5586" s="33" t="n">
        <v>46081</v>
      </c>
      <c r="B5586" t="inlineStr">
        <is>
          <t>2026-02</t>
        </is>
      </c>
      <c r="C5586" t="inlineStr">
        <is>
          <t>Sin cliente</t>
        </is>
      </c>
      <c r="D5586" t="inlineStr">
        <is>
          <t>PLATAFORMAS RAP-PEYA-UBER-GOOD</t>
        </is>
      </c>
      <c r="E5586" s="34" t="n">
        <v>26160</v>
      </c>
      <c r="F5586" t="inlineStr">
        <is>
          <t>B</t>
        </is>
      </c>
      <c r="G5586" s="34" t="n">
        <v>4177</v>
      </c>
      <c r="H5586" s="34" t="n">
        <v>21983</v>
      </c>
      <c r="I5586" t="inlineStr">
        <is>
          <t>3.6</t>
        </is>
      </c>
      <c r="J5586" t="inlineStr">
        <is>
          <t>Ventas Delivery Apps</t>
        </is>
      </c>
      <c r="K5586" t="inlineStr">
        <is>
          <t>CH3</t>
        </is>
      </c>
    </row>
    <row r="5587">
      <c r="A5587" s="33" t="n">
        <v>46081</v>
      </c>
      <c r="B5587" t="inlineStr">
        <is>
          <t>2026-02</t>
        </is>
      </c>
      <c r="C5587" t="inlineStr">
        <is>
          <t>Sin cliente</t>
        </is>
      </c>
      <c r="D5587" t="inlineStr">
        <is>
          <t>Cafeteria Geronimo</t>
        </is>
      </c>
      <c r="E5587" s="34" t="n">
        <v>7800</v>
      </c>
      <c r="F5587" t="inlineStr">
        <is>
          <t>B</t>
        </is>
      </c>
      <c r="G5587" s="34" t="n">
        <v>1245</v>
      </c>
      <c r="H5587" s="34" t="n">
        <v>6555</v>
      </c>
      <c r="I5587" t="inlineStr">
        <is>
          <t>3.2</t>
        </is>
      </c>
      <c r="J5587" t="inlineStr">
        <is>
          <t>Ventas Personas (B2C)</t>
        </is>
      </c>
      <c r="K5587" t="inlineStr">
        <is>
          <t>CH2</t>
        </is>
      </c>
    </row>
    <row r="5588">
      <c r="A5588" s="33" t="n">
        <v>46081</v>
      </c>
      <c r="B5588" t="inlineStr">
        <is>
          <t>2026-02</t>
        </is>
      </c>
      <c r="C5588" t="inlineStr">
        <is>
          <t>Sin cliente</t>
        </is>
      </c>
      <c r="D5588" t="inlineStr">
        <is>
          <t>PLATAFORMAS RAP-PEYA-UBER-GOOD</t>
        </is>
      </c>
      <c r="E5588" s="34" t="n">
        <v>20280</v>
      </c>
      <c r="F5588" t="inlineStr">
        <is>
          <t>B</t>
        </is>
      </c>
      <c r="G5588" s="34" t="n">
        <v>3238</v>
      </c>
      <c r="H5588" s="34" t="n">
        <v>17042</v>
      </c>
      <c r="I5588" t="inlineStr">
        <is>
          <t>3.6</t>
        </is>
      </c>
      <c r="J5588" t="inlineStr">
        <is>
          <t>Ventas Delivery Apps</t>
        </is>
      </c>
      <c r="K5588" t="inlineStr">
        <is>
          <t>CH3</t>
        </is>
      </c>
    </row>
    <row r="5589">
      <c r="A5589" s="33" t="n">
        <v>46081</v>
      </c>
      <c r="B5589" t="inlineStr">
        <is>
          <t>2026-02</t>
        </is>
      </c>
      <c r="C5589" t="inlineStr">
        <is>
          <t>Sin cliente</t>
        </is>
      </c>
      <c r="D5589" t="inlineStr">
        <is>
          <t>PLATAFORMAS RAP-PEYA-UBER-GOOD</t>
        </is>
      </c>
      <c r="E5589" s="34" t="n">
        <v>16440</v>
      </c>
      <c r="F5589" t="inlineStr">
        <is>
          <t>B</t>
        </is>
      </c>
      <c r="G5589" s="34" t="n">
        <v>2625</v>
      </c>
      <c r="H5589" s="34" t="n">
        <v>13815</v>
      </c>
      <c r="I5589" t="inlineStr">
        <is>
          <t>3.6</t>
        </is>
      </c>
      <c r="J5589" t="inlineStr">
        <is>
          <t>Ventas Delivery Apps</t>
        </is>
      </c>
      <c r="K5589" t="inlineStr">
        <is>
          <t>CH3</t>
        </is>
      </c>
    </row>
    <row r="5590">
      <c r="A5590" s="33" t="n">
        <v>46081</v>
      </c>
      <c r="B5590" t="inlineStr">
        <is>
          <t>2026-02</t>
        </is>
      </c>
      <c r="C5590" t="inlineStr">
        <is>
          <t>Sin cliente</t>
        </is>
      </c>
      <c r="D5590" t="inlineStr">
        <is>
          <t>PLATAFORMAS RAP-PEYA-UBER-GOOD</t>
        </is>
      </c>
      <c r="E5590" s="34" t="n">
        <v>20880</v>
      </c>
      <c r="F5590" t="inlineStr">
        <is>
          <t>B</t>
        </is>
      </c>
      <c r="G5590" s="34" t="n">
        <v>3334</v>
      </c>
      <c r="H5590" s="34" t="n">
        <v>17546</v>
      </c>
      <c r="I5590" t="inlineStr">
        <is>
          <t>3.6</t>
        </is>
      </c>
      <c r="J5590" t="inlineStr">
        <is>
          <t>Ventas Delivery Apps</t>
        </is>
      </c>
      <c r="K5590" t="inlineStr">
        <is>
          <t>CH3</t>
        </is>
      </c>
    </row>
    <row r="5591">
      <c r="A5591" s="33" t="n">
        <v>46081</v>
      </c>
      <c r="B5591" t="inlineStr">
        <is>
          <t>2026-02</t>
        </is>
      </c>
      <c r="C5591" t="inlineStr">
        <is>
          <t>Sin cliente</t>
        </is>
      </c>
      <c r="D5591" t="inlineStr">
        <is>
          <t>PLATAFORMAS RAP-PEYA-UBER-GOOD</t>
        </is>
      </c>
      <c r="E5591" s="34" t="n">
        <v>16560</v>
      </c>
      <c r="F5591" t="inlineStr">
        <is>
          <t>B</t>
        </is>
      </c>
      <c r="G5591" s="34" t="n">
        <v>2644</v>
      </c>
      <c r="H5591" s="34" t="n">
        <v>13916</v>
      </c>
      <c r="I5591" t="inlineStr">
        <is>
          <t>3.6</t>
        </is>
      </c>
      <c r="J5591" t="inlineStr">
        <is>
          <t>Ventas Delivery Apps</t>
        </is>
      </c>
      <c r="K5591" t="inlineStr">
        <is>
          <t>CH3</t>
        </is>
      </c>
    </row>
    <row r="5592">
      <c r="A5592" s="33" t="n">
        <v>46081</v>
      </c>
      <c r="B5592" t="inlineStr">
        <is>
          <t>2026-02</t>
        </is>
      </c>
      <c r="C5592" t="inlineStr">
        <is>
          <t>Sin cliente</t>
        </is>
      </c>
      <c r="D5592" t="inlineStr">
        <is>
          <t>Rellenos</t>
        </is>
      </c>
      <c r="E5592" s="34" t="n">
        <v>18900</v>
      </c>
      <c r="F5592" t="inlineStr">
        <is>
          <t>B</t>
        </is>
      </c>
      <c r="G5592" s="34" t="n">
        <v>3018</v>
      </c>
      <c r="H5592" s="34" t="n">
        <v>15882</v>
      </c>
      <c r="I5592" t="inlineStr">
        <is>
          <t>3.2</t>
        </is>
      </c>
      <c r="J5592" t="inlineStr">
        <is>
          <t>Ventas Personas (B2C)</t>
        </is>
      </c>
      <c r="K5592" t="inlineStr">
        <is>
          <t>CH2</t>
        </is>
      </c>
    </row>
    <row r="5593">
      <c r="A5593" s="33" t="n">
        <v>46081</v>
      </c>
      <c r="B5593" t="inlineStr">
        <is>
          <t>2026-02</t>
        </is>
      </c>
      <c r="C5593" t="inlineStr">
        <is>
          <t>Sin cliente</t>
        </is>
      </c>
      <c r="D5593" t="inlineStr">
        <is>
          <t>CANELÉ TRADICIONAL</t>
        </is>
      </c>
      <c r="E5593" s="34" t="n">
        <v>2500</v>
      </c>
      <c r="F5593" t="inlineStr">
        <is>
          <t>B</t>
        </is>
      </c>
      <c r="G5593" s="34" t="n">
        <v>399</v>
      </c>
      <c r="H5593" s="34" t="n">
        <v>2101</v>
      </c>
      <c r="I5593" t="inlineStr">
        <is>
          <t>3.2</t>
        </is>
      </c>
      <c r="J5593" t="inlineStr">
        <is>
          <t>Ventas Personas (B2C)</t>
        </is>
      </c>
      <c r="K5593" t="inlineStr">
        <is>
          <t>CH2</t>
        </is>
      </c>
    </row>
    <row r="5594">
      <c r="A5594" s="33" t="n">
        <v>46081</v>
      </c>
      <c r="B5594" t="inlineStr">
        <is>
          <t>2026-02</t>
        </is>
      </c>
      <c r="C5594" t="inlineStr">
        <is>
          <t>Sin cliente</t>
        </is>
      </c>
      <c r="D5594" t="inlineStr">
        <is>
          <t>CANELÉ TRADICIONAL</t>
        </is>
      </c>
      <c r="E5594" s="34" t="n">
        <v>31800</v>
      </c>
      <c r="F5594" t="inlineStr">
        <is>
          <t>B</t>
        </is>
      </c>
      <c r="G5594" s="34" t="n">
        <v>5077</v>
      </c>
      <c r="H5594" s="34" t="n">
        <v>26723</v>
      </c>
      <c r="I5594" t="inlineStr">
        <is>
          <t>3.2</t>
        </is>
      </c>
      <c r="J5594" t="inlineStr">
        <is>
          <t>Ventas Personas (B2C)</t>
        </is>
      </c>
      <c r="K5594" t="inlineStr">
        <is>
          <t>CH2</t>
        </is>
      </c>
    </row>
    <row r="5595">
      <c r="A5595" s="33" t="n">
        <v>46081</v>
      </c>
      <c r="B5595" t="inlineStr">
        <is>
          <t>2026-02</t>
        </is>
      </c>
      <c r="C5595" t="inlineStr">
        <is>
          <t>Sin cliente</t>
        </is>
      </c>
      <c r="D5595" t="inlineStr">
        <is>
          <t>Rellenos</t>
        </is>
      </c>
      <c r="E5595" s="34" t="n">
        <v>4675</v>
      </c>
      <c r="F5595" t="inlineStr">
        <is>
          <t>B</t>
        </is>
      </c>
      <c r="G5595" s="34" t="n">
        <v>746</v>
      </c>
      <c r="H5595" s="34" t="n">
        <v>3929</v>
      </c>
      <c r="I5595" t="inlineStr">
        <is>
          <t>3.2</t>
        </is>
      </c>
      <c r="J5595" t="inlineStr">
        <is>
          <t>Ventas Personas (B2C)</t>
        </is>
      </c>
      <c r="K5595" t="inlineStr">
        <is>
          <t>CH2</t>
        </is>
      </c>
    </row>
    <row r="5596">
      <c r="A5596" s="33" t="n">
        <v>46081</v>
      </c>
      <c r="B5596" t="inlineStr">
        <is>
          <t>2026-02</t>
        </is>
      </c>
      <c r="C5596" t="inlineStr">
        <is>
          <t>Sin cliente</t>
        </is>
      </c>
      <c r="D5596" t="inlineStr">
        <is>
          <t>Rellenos</t>
        </is>
      </c>
      <c r="E5596" s="34" t="n">
        <v>3500</v>
      </c>
      <c r="F5596" t="inlineStr">
        <is>
          <t>B</t>
        </is>
      </c>
      <c r="G5596" s="34" t="n">
        <v>559</v>
      </c>
      <c r="H5596" s="34" t="n">
        <v>2941</v>
      </c>
      <c r="I5596" t="inlineStr">
        <is>
          <t>3.2</t>
        </is>
      </c>
      <c r="J5596" t="inlineStr">
        <is>
          <t>Ventas Personas (B2C)</t>
        </is>
      </c>
      <c r="K5596" t="inlineStr">
        <is>
          <t>CH2</t>
        </is>
      </c>
    </row>
    <row r="5597">
      <c r="A5597" s="33" t="n">
        <v>46081</v>
      </c>
      <c r="B5597" t="inlineStr">
        <is>
          <t>2026-02</t>
        </is>
      </c>
      <c r="C5597" t="inlineStr">
        <is>
          <t>Sin cliente</t>
        </is>
      </c>
      <c r="D5597" t="inlineStr">
        <is>
          <t>Rellenos</t>
        </is>
      </c>
      <c r="E5597" s="34" t="n">
        <v>3500</v>
      </c>
      <c r="F5597" t="inlineStr">
        <is>
          <t>B</t>
        </is>
      </c>
      <c r="G5597" s="34" t="n">
        <v>559</v>
      </c>
      <c r="H5597" s="34" t="n">
        <v>2941</v>
      </c>
      <c r="I5597" t="inlineStr">
        <is>
          <t>3.1</t>
        </is>
      </c>
      <c r="J5597" t="inlineStr">
        <is>
          <t>Ventas HoReCa</t>
        </is>
      </c>
      <c r="K5597" t="inlineStr">
        <is>
          <t>CH1</t>
        </is>
      </c>
    </row>
    <row r="5598">
      <c r="A5598" s="33" t="n">
        <v>46081</v>
      </c>
      <c r="B5598" t="inlineStr">
        <is>
          <t>2026-02</t>
        </is>
      </c>
      <c r="C5598" t="inlineStr">
        <is>
          <t>Sin cliente</t>
        </is>
      </c>
      <c r="D5598" t="inlineStr">
        <is>
          <t>CANELÉ TRADICIONAL</t>
        </is>
      </c>
      <c r="E5598" s="34" t="n">
        <v>24900</v>
      </c>
      <c r="F5598" t="inlineStr">
        <is>
          <t>B</t>
        </is>
      </c>
      <c r="G5598" s="34" t="n">
        <v>3976</v>
      </c>
      <c r="H5598" s="34" t="n">
        <v>20924</v>
      </c>
      <c r="I5598" t="inlineStr">
        <is>
          <t>3.1</t>
        </is>
      </c>
      <c r="J5598" t="inlineStr">
        <is>
          <t>Ventas HoReCa</t>
        </is>
      </c>
      <c r="K5598" t="inlineStr">
        <is>
          <t>CH1</t>
        </is>
      </c>
    </row>
    <row r="5599">
      <c r="A5599" s="33" t="n">
        <v>46081</v>
      </c>
      <c r="B5599" t="inlineStr">
        <is>
          <t>2026-02</t>
        </is>
      </c>
      <c r="C5599" t="inlineStr">
        <is>
          <t>Maria Jose Grez</t>
        </is>
      </c>
      <c r="D5599" t="inlineStr">
        <is>
          <t>Rellenos</t>
        </is>
      </c>
      <c r="E5599" s="34" t="n">
        <v>-3500</v>
      </c>
      <c r="F5599" t="inlineStr">
        <is>
          <t>NC</t>
        </is>
      </c>
      <c r="G5599" s="34" t="n">
        <v>-559</v>
      </c>
      <c r="H5599" s="34" t="n">
        <v>-2941</v>
      </c>
      <c r="I5599" t="inlineStr">
        <is>
          <t>3.2</t>
        </is>
      </c>
      <c r="J5599" t="inlineStr">
        <is>
          <t>Ventas Personas (B2C)</t>
        </is>
      </c>
      <c r="K5599" t="inlineStr">
        <is>
          <t>CH2</t>
        </is>
      </c>
    </row>
    <row r="5600">
      <c r="A5600" s="33" t="n">
        <v>46081</v>
      </c>
      <c r="B5600" t="inlineStr">
        <is>
          <t>2026-02</t>
        </is>
      </c>
      <c r="C5600" t="inlineStr">
        <is>
          <t>Maria Jose Grez</t>
        </is>
      </c>
      <c r="D5600" t="inlineStr">
        <is>
          <t>CANELÉ TRADICIONAL</t>
        </is>
      </c>
      <c r="E5600" s="34" t="n">
        <v>-24900</v>
      </c>
      <c r="F5600" t="inlineStr">
        <is>
          <t>NC</t>
        </is>
      </c>
      <c r="G5600" s="34" t="n">
        <v>-3976</v>
      </c>
      <c r="H5600" s="34" t="n">
        <v>-20924</v>
      </c>
      <c r="I5600" t="inlineStr">
        <is>
          <t>3.1</t>
        </is>
      </c>
      <c r="J5600" t="inlineStr">
        <is>
          <t>Ventas HoReCa</t>
        </is>
      </c>
      <c r="K5600" t="inlineStr">
        <is>
          <t>CH1</t>
        </is>
      </c>
    </row>
    <row r="5601">
      <c r="A5601" s="33" t="n">
        <v>46081</v>
      </c>
      <c r="B5601" t="inlineStr">
        <is>
          <t>2026-02</t>
        </is>
      </c>
      <c r="C5601" t="inlineStr">
        <is>
          <t>Sin cliente</t>
        </is>
      </c>
      <c r="D5601" t="inlineStr">
        <is>
          <t>Glosa Caja de 6 croquant</t>
        </is>
      </c>
      <c r="E5601" s="34" t="n">
        <v>24900</v>
      </c>
      <c r="F5601" t="inlineStr">
        <is>
          <t>B</t>
        </is>
      </c>
      <c r="G5601" s="34" t="n">
        <v>3976</v>
      </c>
      <c r="H5601" s="34" t="n">
        <v>20924</v>
      </c>
      <c r="I5601" t="inlineStr">
        <is>
          <t>3.2</t>
        </is>
      </c>
      <c r="J5601" t="inlineStr">
        <is>
          <t>Ventas Personas (B2C)</t>
        </is>
      </c>
      <c r="K5601" t="inlineStr">
        <is>
          <t>CH2</t>
        </is>
      </c>
    </row>
    <row r="5602">
      <c r="A5602" s="33" t="n">
        <v>46082</v>
      </c>
      <c r="B5602" t="inlineStr">
        <is>
          <t>2026-03</t>
        </is>
      </c>
      <c r="C5602" t="inlineStr">
        <is>
          <t>Romina Jiménez Gálvez</t>
        </is>
      </c>
      <c r="D5602" t="inlineStr">
        <is>
          <t>CANELÉ TRADICIONAL</t>
        </is>
      </c>
      <c r="E5602" s="34" t="n">
        <v>49290</v>
      </c>
      <c r="F5602" t="inlineStr">
        <is>
          <t>B</t>
        </is>
      </c>
      <c r="G5602" s="34" t="n">
        <v>7870</v>
      </c>
      <c r="H5602" s="34" t="n">
        <v>41420</v>
      </c>
      <c r="I5602" t="inlineStr">
        <is>
          <t>3.2</t>
        </is>
      </c>
      <c r="J5602" t="inlineStr">
        <is>
          <t>Ventas Personas (B2C)</t>
        </is>
      </c>
      <c r="K5602" t="inlineStr">
        <is>
          <t>CH2</t>
        </is>
      </c>
    </row>
    <row r="5603">
      <c r="A5603" s="33" t="n">
        <v>46082</v>
      </c>
      <c r="B5603" t="inlineStr">
        <is>
          <t>2026-03</t>
        </is>
      </c>
      <c r="C5603" t="inlineStr">
        <is>
          <t>Juan Gabriel Perez</t>
        </is>
      </c>
      <c r="D5603" t="inlineStr">
        <is>
          <t>Canelé Petit Relleno</t>
        </is>
      </c>
      <c r="E5603" s="34" t="n">
        <v>33390</v>
      </c>
      <c r="F5603" t="inlineStr">
        <is>
          <t>B</t>
        </is>
      </c>
      <c r="G5603" s="34" t="n">
        <v>5331</v>
      </c>
      <c r="H5603" s="34" t="n">
        <v>28059</v>
      </c>
      <c r="I5603" t="inlineStr">
        <is>
          <t>3.2</t>
        </is>
      </c>
      <c r="J5603" t="inlineStr">
        <is>
          <t>Ventas Personas (B2C)</t>
        </is>
      </c>
      <c r="K5603" t="inlineStr">
        <is>
          <t>CH2</t>
        </is>
      </c>
    </row>
    <row r="5604">
      <c r="A5604" s="33" t="n">
        <v>46083</v>
      </c>
      <c r="B5604" t="inlineStr">
        <is>
          <t>2026-03</t>
        </is>
      </c>
      <c r="C5604" t="inlineStr">
        <is>
          <t>RESTAURANT LA COSECHA SPA</t>
        </is>
      </c>
      <c r="D5604" t="inlineStr">
        <is>
          <t>Glosa Horeca pack 30
unidades</t>
        </is>
      </c>
      <c r="E5604" s="34" t="n">
        <v>171067</v>
      </c>
      <c r="F5604" t="inlineStr">
        <is>
          <t>F</t>
        </is>
      </c>
      <c r="G5604" s="34" t="n">
        <v>27313</v>
      </c>
      <c r="H5604" s="34" t="n">
        <v>143754</v>
      </c>
      <c r="I5604" t="inlineStr">
        <is>
          <t>3.1</t>
        </is>
      </c>
      <c r="J5604" t="inlineStr">
        <is>
          <t>Ventas HoReCa</t>
        </is>
      </c>
      <c r="K5604" t="inlineStr">
        <is>
          <t>CH1</t>
        </is>
      </c>
    </row>
    <row r="5605">
      <c r="A5605" s="33" t="n">
        <v>46083</v>
      </c>
      <c r="B5605" t="inlineStr">
        <is>
          <t>2026-03</t>
        </is>
      </c>
      <c r="C5605" t="inlineStr">
        <is>
          <t>RC BANQUETERIA SPA</t>
        </is>
      </c>
      <c r="D5605" t="inlineStr">
        <is>
          <t>Petit Crunchy</t>
        </is>
      </c>
      <c r="E5605" s="34" t="n">
        <v>35900</v>
      </c>
      <c r="F5605" t="inlineStr">
        <is>
          <t>F</t>
        </is>
      </c>
      <c r="G5605" s="34" t="n">
        <v>5732</v>
      </c>
      <c r="H5605" s="34" t="n">
        <v>30168</v>
      </c>
      <c r="I5605" t="inlineStr">
        <is>
          <t>3.1</t>
        </is>
      </c>
      <c r="J5605" t="inlineStr">
        <is>
          <t>Ventas HoReCa</t>
        </is>
      </c>
      <c r="K5605" t="inlineStr">
        <is>
          <t>CH1</t>
        </is>
      </c>
    </row>
    <row r="5606">
      <c r="A5606" s="33" t="n">
        <v>46083</v>
      </c>
      <c r="B5606" t="inlineStr">
        <is>
          <t>2026-03</t>
        </is>
      </c>
      <c r="C5606" t="inlineStr">
        <is>
          <t>BLUE OAK COFFE SPA</t>
        </is>
      </c>
      <c r="D5606" t="inlineStr">
        <is>
          <t>HORECA CAFETERIA</t>
        </is>
      </c>
      <c r="E5606" s="34" t="n">
        <v>87763</v>
      </c>
      <c r="F5606" t="inlineStr">
        <is>
          <t>F</t>
        </is>
      </c>
      <c r="G5606" s="34" t="n">
        <v>14013</v>
      </c>
      <c r="H5606" s="34" t="n">
        <v>73750</v>
      </c>
      <c r="I5606" t="inlineStr">
        <is>
          <t>3.1</t>
        </is>
      </c>
      <c r="J5606" t="inlineStr">
        <is>
          <t>Ventas HoReCa</t>
        </is>
      </c>
      <c r="K5606" t="inlineStr">
        <is>
          <t>CH1</t>
        </is>
      </c>
    </row>
    <row r="5607">
      <c r="A5607" s="33" t="n">
        <v>46083</v>
      </c>
      <c r="B5607" t="inlineStr">
        <is>
          <t>2026-03</t>
        </is>
      </c>
      <c r="C5607" t="inlineStr">
        <is>
          <t>BLUE OAK COFFE SPA</t>
        </is>
      </c>
      <c r="D5607" t="inlineStr">
        <is>
          <t>HORECA CAFETERIA</t>
        </is>
      </c>
      <c r="E5607" s="34" t="n">
        <v>151951</v>
      </c>
      <c r="F5607" t="inlineStr">
        <is>
          <t>F</t>
        </is>
      </c>
      <c r="G5607" s="34" t="n">
        <v>24261</v>
      </c>
      <c r="H5607" s="34" t="n">
        <v>127690</v>
      </c>
      <c r="I5607" t="inlineStr">
        <is>
          <t>3.1</t>
        </is>
      </c>
      <c r="J5607" t="inlineStr">
        <is>
          <t>Ventas HoReCa</t>
        </is>
      </c>
      <c r="K5607" t="inlineStr">
        <is>
          <t>CH1</t>
        </is>
      </c>
    </row>
    <row r="5608">
      <c r="A5608" s="33" t="n">
        <v>46083</v>
      </c>
      <c r="B5608" t="inlineStr">
        <is>
          <t>2026-03</t>
        </is>
      </c>
      <c r="C5608" t="inlineStr">
        <is>
          <t>Inversiones Fofoca SpA</t>
        </is>
      </c>
      <c r="D5608" t="inlineStr">
        <is>
          <t>HORECA CAFETERIA</t>
        </is>
      </c>
      <c r="E5608" s="34" t="n">
        <v>71210</v>
      </c>
      <c r="F5608" t="inlineStr">
        <is>
          <t>F</t>
        </is>
      </c>
      <c r="G5608" s="34" t="n">
        <v>11370</v>
      </c>
      <c r="H5608" s="34" t="n">
        <v>59840</v>
      </c>
      <c r="I5608" t="inlineStr">
        <is>
          <t>3.1</t>
        </is>
      </c>
      <c r="J5608" t="inlineStr">
        <is>
          <t>Ventas HoReCa</t>
        </is>
      </c>
      <c r="K5608" t="inlineStr">
        <is>
          <t>CH1</t>
        </is>
      </c>
    </row>
    <row r="5609">
      <c r="A5609" s="33" t="n">
        <v>46083</v>
      </c>
      <c r="B5609" t="inlineStr">
        <is>
          <t>2026-03</t>
        </is>
      </c>
      <c r="C5609" t="inlineStr">
        <is>
          <t>CAFETERÍAS MISTER SPA</t>
        </is>
      </c>
      <c r="D5609" t="inlineStr">
        <is>
          <t>HORECA CAFETERIA</t>
        </is>
      </c>
      <c r="E5609" s="34" t="n">
        <v>39115</v>
      </c>
      <c r="F5609" t="inlineStr">
        <is>
          <t>F</t>
        </is>
      </c>
      <c r="G5609" s="34" t="n">
        <v>6245</v>
      </c>
      <c r="H5609" s="34" t="n">
        <v>32870</v>
      </c>
      <c r="I5609" t="inlineStr">
        <is>
          <t>3.1</t>
        </is>
      </c>
      <c r="J5609" t="inlineStr">
        <is>
          <t>Ventas HoReCa</t>
        </is>
      </c>
      <c r="K5609" t="inlineStr">
        <is>
          <t>CH1</t>
        </is>
      </c>
    </row>
    <row r="5610">
      <c r="A5610" s="33" t="n">
        <v>46083</v>
      </c>
      <c r="B5610" t="inlineStr">
        <is>
          <t>2026-03</t>
        </is>
      </c>
      <c r="C5610" t="inlineStr">
        <is>
          <t>INVERSIONES Y ASESORIAS RAVAL LIMITADA</t>
        </is>
      </c>
      <c r="D5610" t="inlineStr">
        <is>
          <t>HORECA CAFETERIA</t>
        </is>
      </c>
      <c r="E5610" s="34" t="n">
        <v>107124</v>
      </c>
      <c r="F5610" t="inlineStr">
        <is>
          <t>F</t>
        </is>
      </c>
      <c r="G5610" s="34" t="n">
        <v>17104</v>
      </c>
      <c r="H5610" s="34" t="n">
        <v>90020</v>
      </c>
      <c r="I5610" t="inlineStr">
        <is>
          <t>3.1</t>
        </is>
      </c>
      <c r="J5610" t="inlineStr">
        <is>
          <t>Ventas HoReCa</t>
        </is>
      </c>
      <c r="K5610" t="inlineStr">
        <is>
          <t>CH1</t>
        </is>
      </c>
    </row>
    <row r="5611">
      <c r="A5611" s="33" t="n">
        <v>46083</v>
      </c>
      <c r="B5611" t="inlineStr">
        <is>
          <t>2026-03</t>
        </is>
      </c>
      <c r="C5611" t="inlineStr">
        <is>
          <t>Sin cliente</t>
        </is>
      </c>
      <c r="D5611" t="inlineStr">
        <is>
          <t>Cafeteria Geronimo</t>
        </is>
      </c>
      <c r="E5611" s="34" t="n">
        <v>3500</v>
      </c>
      <c r="F5611" t="inlineStr">
        <is>
          <t>B</t>
        </is>
      </c>
      <c r="G5611" s="34" t="n">
        <v>559</v>
      </c>
      <c r="H5611" s="34" t="n">
        <v>2941</v>
      </c>
      <c r="I5611" t="inlineStr">
        <is>
          <t>3.2</t>
        </is>
      </c>
      <c r="J5611" t="inlineStr">
        <is>
          <t>Ventas Personas (B2C)</t>
        </is>
      </c>
      <c r="K5611" t="inlineStr">
        <is>
          <t>CH2</t>
        </is>
      </c>
    </row>
    <row r="5612">
      <c r="A5612" s="33" t="n">
        <v>46083</v>
      </c>
      <c r="B5612" t="inlineStr">
        <is>
          <t>2026-03</t>
        </is>
      </c>
      <c r="C5612" t="inlineStr">
        <is>
          <t>Sin cliente</t>
        </is>
      </c>
      <c r="D5612" t="inlineStr">
        <is>
          <t>Cafeteria Geronimo</t>
        </is>
      </c>
      <c r="E5612" s="34" t="n">
        <v>7800</v>
      </c>
      <c r="F5612" t="inlineStr">
        <is>
          <t>B</t>
        </is>
      </c>
      <c r="G5612" s="34" t="n">
        <v>1245</v>
      </c>
      <c r="H5612" s="34" t="n">
        <v>6555</v>
      </c>
      <c r="I5612" t="inlineStr">
        <is>
          <t>3.2</t>
        </is>
      </c>
      <c r="J5612" t="inlineStr">
        <is>
          <t>Ventas Personas (B2C)</t>
        </is>
      </c>
      <c r="K5612" t="inlineStr">
        <is>
          <t>CH2</t>
        </is>
      </c>
    </row>
    <row r="5613">
      <c r="A5613" s="33" t="n">
        <v>46083</v>
      </c>
      <c r="B5613" t="inlineStr">
        <is>
          <t>2026-03</t>
        </is>
      </c>
      <c r="C5613" t="inlineStr">
        <is>
          <t>Maria Jose Grez</t>
        </is>
      </c>
      <c r="D5613" t="inlineStr">
        <is>
          <t>Cafeteria Geronimo</t>
        </is>
      </c>
      <c r="E5613" s="34" t="n">
        <v>-7800</v>
      </c>
      <c r="F5613" t="inlineStr">
        <is>
          <t>NC</t>
        </is>
      </c>
      <c r="G5613" s="34" t="n">
        <v>-1245</v>
      </c>
      <c r="H5613" s="34" t="n">
        <v>-6555</v>
      </c>
      <c r="I5613" t="inlineStr">
        <is>
          <t>3.2</t>
        </is>
      </c>
      <c r="J5613" t="inlineStr">
        <is>
          <t>Ventas Personas (B2C)</t>
        </is>
      </c>
      <c r="K5613" t="inlineStr">
        <is>
          <t>CH2</t>
        </is>
      </c>
    </row>
    <row r="5614">
      <c r="A5614" s="33" t="n">
        <v>46083</v>
      </c>
      <c r="B5614" t="inlineStr">
        <is>
          <t>2026-03</t>
        </is>
      </c>
      <c r="C5614" t="inlineStr">
        <is>
          <t>Sin cliente</t>
        </is>
      </c>
      <c r="D5614" t="inlineStr">
        <is>
          <t>PLATAFORMAS RAP-PEYA-UBER-GOOD</t>
        </is>
      </c>
      <c r="E5614" s="34" t="n">
        <v>24900</v>
      </c>
      <c r="F5614" t="inlineStr">
        <is>
          <t>B</t>
        </is>
      </c>
      <c r="G5614" s="34" t="n">
        <v>3976</v>
      </c>
      <c r="H5614" s="34" t="n">
        <v>20924</v>
      </c>
      <c r="I5614" t="inlineStr">
        <is>
          <t>3.6</t>
        </is>
      </c>
      <c r="J5614" t="inlineStr">
        <is>
          <t>Ventas Delivery Apps</t>
        </is>
      </c>
      <c r="K5614" t="inlineStr">
        <is>
          <t>CH3</t>
        </is>
      </c>
    </row>
    <row r="5615">
      <c r="A5615" s="33" t="n">
        <v>46083</v>
      </c>
      <c r="B5615" t="inlineStr">
        <is>
          <t>2026-03</t>
        </is>
      </c>
      <c r="C5615" t="inlineStr">
        <is>
          <t>Sin cliente</t>
        </is>
      </c>
      <c r="D5615" t="inlineStr">
        <is>
          <t>Rellenos</t>
        </is>
      </c>
      <c r="E5615" s="34" t="n">
        <v>3500</v>
      </c>
      <c r="F5615" t="inlineStr">
        <is>
          <t>B</t>
        </is>
      </c>
      <c r="G5615" s="34" t="n">
        <v>559</v>
      </c>
      <c r="H5615" s="34" t="n">
        <v>2941</v>
      </c>
      <c r="I5615" t="inlineStr">
        <is>
          <t>3.2</t>
        </is>
      </c>
      <c r="J5615" t="inlineStr">
        <is>
          <t>Ventas Personas (B2C)</t>
        </is>
      </c>
      <c r="K5615" t="inlineStr">
        <is>
          <t>CH2</t>
        </is>
      </c>
    </row>
    <row r="5616">
      <c r="A5616" s="33" t="n">
        <v>46083</v>
      </c>
      <c r="B5616" t="inlineStr">
        <is>
          <t>2026-03</t>
        </is>
      </c>
      <c r="C5616" t="inlineStr">
        <is>
          <t>Esteban Torres Liquitay</t>
        </is>
      </c>
      <c r="D5616" t="inlineStr">
        <is>
          <t>Canelé Petit Relleno</t>
        </is>
      </c>
      <c r="E5616" s="34" t="n">
        <v>34400</v>
      </c>
      <c r="F5616" t="inlineStr">
        <is>
          <t>B</t>
        </is>
      </c>
      <c r="G5616" s="34" t="n">
        <v>5492</v>
      </c>
      <c r="H5616" s="34" t="n">
        <v>28908</v>
      </c>
      <c r="I5616" t="inlineStr">
        <is>
          <t>3.2</t>
        </is>
      </c>
      <c r="J5616" t="inlineStr">
        <is>
          <t>Ventas Personas (B2C)</t>
        </is>
      </c>
      <c r="K5616" t="inlineStr">
        <is>
          <t>CH2</t>
        </is>
      </c>
    </row>
    <row r="5617">
      <c r="A5617" s="33" t="n">
        <v>46083</v>
      </c>
      <c r="B5617" t="inlineStr">
        <is>
          <t>2026-03</t>
        </is>
      </c>
      <c r="C5617" t="inlineStr">
        <is>
          <t>Luz Valdivieso</t>
        </is>
      </c>
      <c r="D5617" t="inlineStr">
        <is>
          <t>PACKS GOURMET</t>
        </is>
      </c>
      <c r="E5617" s="34" t="n">
        <v>26380</v>
      </c>
      <c r="F5617" t="inlineStr">
        <is>
          <t>B</t>
        </is>
      </c>
      <c r="G5617" s="34" t="n">
        <v>4212</v>
      </c>
      <c r="H5617" s="34" t="n">
        <v>22168</v>
      </c>
      <c r="I5617" t="inlineStr">
        <is>
          <t>3.2</t>
        </is>
      </c>
      <c r="J5617" t="inlineStr">
        <is>
          <t>Ventas Personas (B2C)</t>
        </is>
      </c>
      <c r="K5617" t="inlineStr">
        <is>
          <t>CH2</t>
        </is>
      </c>
    </row>
    <row r="5618">
      <c r="A5618" s="33" t="n">
        <v>46083</v>
      </c>
      <c r="B5618" t="inlineStr">
        <is>
          <t>2026-03</t>
        </is>
      </c>
      <c r="C5618" t="inlineStr">
        <is>
          <t>janet awad</t>
        </is>
      </c>
      <c r="D5618" t="inlineStr">
        <is>
          <t>Canelé Petit Relleno</t>
        </is>
      </c>
      <c r="E5618" s="34" t="n">
        <v>23390</v>
      </c>
      <c r="F5618" t="inlineStr">
        <is>
          <t>B</t>
        </is>
      </c>
      <c r="G5618" s="34" t="n">
        <v>3735</v>
      </c>
      <c r="H5618" s="34" t="n">
        <v>19655</v>
      </c>
      <c r="I5618" t="inlineStr">
        <is>
          <t>3.2</t>
        </is>
      </c>
      <c r="J5618" t="inlineStr">
        <is>
          <t>Ventas Personas (B2C)</t>
        </is>
      </c>
      <c r="K5618" t="inlineStr">
        <is>
          <t>CH2</t>
        </is>
      </c>
    </row>
    <row r="5619">
      <c r="A5619" s="33" t="n">
        <v>46083</v>
      </c>
      <c r="B5619" t="inlineStr">
        <is>
          <t>2026-03</t>
        </is>
      </c>
      <c r="C5619" t="inlineStr">
        <is>
          <t>Maria Jose Grez</t>
        </is>
      </c>
      <c r="D5619" t="inlineStr">
        <is>
          <t>Cafeteria Geronimo</t>
        </is>
      </c>
      <c r="E5619" s="34" t="n">
        <v>-3500</v>
      </c>
      <c r="F5619" t="inlineStr">
        <is>
          <t>NC</t>
        </is>
      </c>
      <c r="G5619" s="34" t="n">
        <v>-559</v>
      </c>
      <c r="H5619" s="34" t="n">
        <v>-2941</v>
      </c>
      <c r="I5619" t="inlineStr">
        <is>
          <t>3.2</t>
        </is>
      </c>
      <c r="J5619" t="inlineStr">
        <is>
          <t>Ventas Personas (B2C)</t>
        </is>
      </c>
      <c r="K5619" t="inlineStr">
        <is>
          <t>CH2</t>
        </is>
      </c>
    </row>
    <row r="5620">
      <c r="A5620" s="33" t="n">
        <v>46083</v>
      </c>
      <c r="B5620" t="inlineStr">
        <is>
          <t>2026-03</t>
        </is>
      </c>
      <c r="C5620" t="inlineStr">
        <is>
          <t>Maria Jose Grez</t>
        </is>
      </c>
      <c r="D5620" t="inlineStr">
        <is>
          <t>PLATAFORMAS RAP-PEYA-UBER-GOOD</t>
        </is>
      </c>
      <c r="E5620" s="34" t="n">
        <v>-24900</v>
      </c>
      <c r="F5620" t="inlineStr">
        <is>
          <t>NC</t>
        </is>
      </c>
      <c r="G5620" s="34" t="n">
        <v>-3976</v>
      </c>
      <c r="H5620" s="34" t="n">
        <v>-20924</v>
      </c>
      <c r="I5620" t="inlineStr">
        <is>
          <t>3.6</t>
        </is>
      </c>
      <c r="J5620" t="inlineStr">
        <is>
          <t>Ventas Delivery Apps</t>
        </is>
      </c>
      <c r="K5620" t="inlineStr">
        <is>
          <t>CH3</t>
        </is>
      </c>
    </row>
    <row r="5621">
      <c r="A5621" s="33" t="n">
        <v>46083</v>
      </c>
      <c r="B5621" t="inlineStr">
        <is>
          <t>2026-03</t>
        </is>
      </c>
      <c r="C5621" t="inlineStr">
        <is>
          <t>Maria Jose Grez</t>
        </is>
      </c>
      <c r="D5621" t="inlineStr">
        <is>
          <t>Rellenos</t>
        </is>
      </c>
      <c r="E5621" s="34" t="n">
        <v>-3500</v>
      </c>
      <c r="F5621" t="inlineStr">
        <is>
          <t>NC</t>
        </is>
      </c>
      <c r="G5621" s="34" t="n">
        <v>-559</v>
      </c>
      <c r="H5621" s="34" t="n">
        <v>-2941</v>
      </c>
      <c r="I5621" t="inlineStr">
        <is>
          <t>3.2</t>
        </is>
      </c>
      <c r="J5621" t="inlineStr">
        <is>
          <t>Ventas Personas (B2C)</t>
        </is>
      </c>
      <c r="K5621" t="inlineStr">
        <is>
          <t>CH2</t>
        </is>
      </c>
    </row>
    <row r="5622">
      <c r="A5622" s="33" t="n">
        <v>46083</v>
      </c>
      <c r="B5622" t="inlineStr">
        <is>
          <t>2026-03</t>
        </is>
      </c>
      <c r="C5622" t="inlineStr">
        <is>
          <t>Sin cliente</t>
        </is>
      </c>
      <c r="D5622" t="inlineStr">
        <is>
          <t>Rellenos</t>
        </is>
      </c>
      <c r="E5622" s="34" t="n">
        <v>3500</v>
      </c>
      <c r="F5622" t="inlineStr">
        <is>
          <t>B</t>
        </is>
      </c>
      <c r="G5622" s="34" t="n">
        <v>559</v>
      </c>
      <c r="H5622" s="34" t="n">
        <v>2941</v>
      </c>
      <c r="I5622" t="inlineStr">
        <is>
          <t>3.2</t>
        </is>
      </c>
      <c r="J5622" t="inlineStr">
        <is>
          <t>Ventas Personas (B2C)</t>
        </is>
      </c>
      <c r="K5622" t="inlineStr">
        <is>
          <t>CH2</t>
        </is>
      </c>
    </row>
    <row r="5623">
      <c r="A5623" s="33" t="n">
        <v>46083</v>
      </c>
      <c r="B5623" t="inlineStr">
        <is>
          <t>2026-03</t>
        </is>
      </c>
      <c r="C5623" t="inlineStr">
        <is>
          <t>Sin cliente</t>
        </is>
      </c>
      <c r="D5623" t="inlineStr">
        <is>
          <t>Petit Crunchy</t>
        </is>
      </c>
      <c r="E5623" s="34" t="n">
        <v>24900</v>
      </c>
      <c r="F5623" t="inlineStr">
        <is>
          <t>B</t>
        </is>
      </c>
      <c r="G5623" s="34" t="n">
        <v>3976</v>
      </c>
      <c r="H5623" s="34" t="n">
        <v>20924</v>
      </c>
      <c r="I5623" t="inlineStr">
        <is>
          <t>3.2</t>
        </is>
      </c>
      <c r="J5623" t="inlineStr">
        <is>
          <t>Ventas Personas (B2C)</t>
        </is>
      </c>
      <c r="K5623" t="inlineStr">
        <is>
          <t>CH2</t>
        </is>
      </c>
    </row>
    <row r="5624">
      <c r="A5624" s="33" t="n">
        <v>46083</v>
      </c>
      <c r="B5624" t="inlineStr">
        <is>
          <t>2026-03</t>
        </is>
      </c>
      <c r="C5624" t="inlineStr">
        <is>
          <t>Maria Jose Grez</t>
        </is>
      </c>
      <c r="D5624" t="inlineStr">
        <is>
          <t>Mix Sabores</t>
        </is>
      </c>
      <c r="E5624" s="34" t="n">
        <v>-21900</v>
      </c>
      <c r="F5624" t="inlineStr">
        <is>
          <t>NC</t>
        </is>
      </c>
      <c r="G5624" s="34" t="n">
        <v>-3497</v>
      </c>
      <c r="H5624" s="34" t="n">
        <v>-18403</v>
      </c>
      <c r="I5624" t="inlineStr">
        <is>
          <t>3.2</t>
        </is>
      </c>
      <c r="J5624" t="inlineStr">
        <is>
          <t>Ventas Personas (B2C)</t>
        </is>
      </c>
      <c r="K5624" t="inlineStr">
        <is>
          <t>CH2</t>
        </is>
      </c>
    </row>
    <row r="5625">
      <c r="A5625" s="33" t="n">
        <v>46083</v>
      </c>
      <c r="B5625" t="inlineStr">
        <is>
          <t>2026-03</t>
        </is>
      </c>
      <c r="C5625" t="inlineStr">
        <is>
          <t>Maria Jose Grez</t>
        </is>
      </c>
      <c r="D5625" t="inlineStr">
        <is>
          <t>Petit Crunchy</t>
        </is>
      </c>
      <c r="E5625" s="34" t="n">
        <v>-20700</v>
      </c>
      <c r="F5625" t="inlineStr">
        <is>
          <t>NC</t>
        </is>
      </c>
      <c r="G5625" s="34" t="n">
        <v>-3305</v>
      </c>
      <c r="H5625" s="34" t="n">
        <v>-17395</v>
      </c>
      <c r="I5625" t="inlineStr">
        <is>
          <t>3.2</t>
        </is>
      </c>
      <c r="J5625" t="inlineStr">
        <is>
          <t>Ventas Personas (B2C)</t>
        </is>
      </c>
      <c r="K5625" t="inlineStr">
        <is>
          <t>CH2</t>
        </is>
      </c>
    </row>
    <row r="5626">
      <c r="A5626" s="33" t="n">
        <v>46083</v>
      </c>
      <c r="B5626" t="inlineStr">
        <is>
          <t>2026-03</t>
        </is>
      </c>
      <c r="C5626" t="inlineStr">
        <is>
          <t>Sin cliente</t>
        </is>
      </c>
      <c r="D5626" t="inlineStr">
        <is>
          <t>Rellenos</t>
        </is>
      </c>
      <c r="E5626" s="34" t="n">
        <v>25900</v>
      </c>
      <c r="F5626" t="inlineStr">
        <is>
          <t>B</t>
        </is>
      </c>
      <c r="G5626" s="34" t="n">
        <v>4135</v>
      </c>
      <c r="H5626" s="34" t="n">
        <v>21765</v>
      </c>
      <c r="I5626" t="inlineStr">
        <is>
          <t>3.2</t>
        </is>
      </c>
      <c r="J5626" t="inlineStr">
        <is>
          <t>Ventas Personas (B2C)</t>
        </is>
      </c>
      <c r="K5626" t="inlineStr">
        <is>
          <t>CH2</t>
        </is>
      </c>
    </row>
    <row r="5627">
      <c r="A5627" s="33" t="n">
        <v>46083</v>
      </c>
      <c r="B5627" t="inlineStr">
        <is>
          <t>2026-03</t>
        </is>
      </c>
      <c r="C5627" t="inlineStr">
        <is>
          <t>Maria Jose Grez</t>
        </is>
      </c>
      <c r="D5627" t="inlineStr">
        <is>
          <t>Petit Crunchy</t>
        </is>
      </c>
      <c r="E5627" s="34" t="n">
        <v>-10900</v>
      </c>
      <c r="F5627" t="inlineStr">
        <is>
          <t>NC</t>
        </is>
      </c>
      <c r="G5627" s="34" t="n">
        <v>-1740</v>
      </c>
      <c r="H5627" s="34" t="n">
        <v>-9160</v>
      </c>
      <c r="I5627" t="inlineStr">
        <is>
          <t>3.2</t>
        </is>
      </c>
      <c r="J5627" t="inlineStr">
        <is>
          <t>Ventas Personas (B2C)</t>
        </is>
      </c>
      <c r="K5627" t="inlineStr">
        <is>
          <t>CH2</t>
        </is>
      </c>
    </row>
    <row r="5628">
      <c r="A5628" s="33" t="n">
        <v>46083</v>
      </c>
      <c r="B5628" t="inlineStr">
        <is>
          <t>2026-03</t>
        </is>
      </c>
      <c r="C5628" t="inlineStr">
        <is>
          <t>Sin cliente</t>
        </is>
      </c>
      <c r="D5628" t="inlineStr">
        <is>
          <t>CANELÉ TRADICIONAL</t>
        </is>
      </c>
      <c r="E5628" s="34" t="n">
        <v>2500</v>
      </c>
      <c r="F5628" t="inlineStr">
        <is>
          <t>B</t>
        </is>
      </c>
      <c r="G5628" s="34" t="n">
        <v>399</v>
      </c>
      <c r="H5628" s="34" t="n">
        <v>2101</v>
      </c>
      <c r="I5628" t="inlineStr">
        <is>
          <t>3.2</t>
        </is>
      </c>
      <c r="J5628" t="inlineStr">
        <is>
          <t>Ventas Personas (B2C)</t>
        </is>
      </c>
      <c r="K5628" t="inlineStr">
        <is>
          <t>CH2</t>
        </is>
      </c>
    </row>
    <row r="5629">
      <c r="A5629" s="33" t="n">
        <v>46083</v>
      </c>
      <c r="B5629" t="inlineStr">
        <is>
          <t>2026-03</t>
        </is>
      </c>
      <c r="C5629" t="inlineStr">
        <is>
          <t>Maria Jose Grez</t>
        </is>
      </c>
      <c r="D5629" t="inlineStr">
        <is>
          <t>Rellenos</t>
        </is>
      </c>
      <c r="E5629" s="34" t="n">
        <v>-3500</v>
      </c>
      <c r="F5629" t="inlineStr">
        <is>
          <t>NC</t>
        </is>
      </c>
      <c r="G5629" s="34" t="n">
        <v>-559</v>
      </c>
      <c r="H5629" s="34" t="n">
        <v>-2941</v>
      </c>
      <c r="I5629" t="inlineStr">
        <is>
          <t>3.1</t>
        </is>
      </c>
      <c r="J5629" t="inlineStr">
        <is>
          <t>Ventas HoReCa</t>
        </is>
      </c>
      <c r="K5629" t="inlineStr">
        <is>
          <t>CH1</t>
        </is>
      </c>
    </row>
    <row r="5630">
      <c r="A5630" s="33" t="n">
        <v>46083</v>
      </c>
      <c r="B5630" t="inlineStr">
        <is>
          <t>2026-03</t>
        </is>
      </c>
      <c r="C5630" t="inlineStr">
        <is>
          <t>Maria Jose Grez</t>
        </is>
      </c>
      <c r="D5630" t="inlineStr">
        <is>
          <t>Petit Crunchy</t>
        </is>
      </c>
      <c r="E5630" s="34" t="n">
        <v>-24900</v>
      </c>
      <c r="F5630" t="inlineStr">
        <is>
          <t>NC</t>
        </is>
      </c>
      <c r="G5630" s="34" t="n">
        <v>-3976</v>
      </c>
      <c r="H5630" s="34" t="n">
        <v>-20924</v>
      </c>
      <c r="I5630" t="inlineStr">
        <is>
          <t>3.1</t>
        </is>
      </c>
      <c r="J5630" t="inlineStr">
        <is>
          <t>Ventas HoReCa</t>
        </is>
      </c>
      <c r="K5630" t="inlineStr">
        <is>
          <t>CH1</t>
        </is>
      </c>
    </row>
    <row r="5631">
      <c r="A5631" s="33" t="n">
        <v>46083</v>
      </c>
      <c r="B5631" t="inlineStr">
        <is>
          <t>2026-03</t>
        </is>
      </c>
      <c r="C5631" t="inlineStr">
        <is>
          <t>Pamela Iglesias</t>
        </is>
      </c>
      <c r="D5631" t="inlineStr">
        <is>
          <t>CANELÉ TRADICIONAL</t>
        </is>
      </c>
      <c r="E5631" s="34" t="n">
        <v>26390</v>
      </c>
      <c r="F5631" t="inlineStr">
        <is>
          <t>B</t>
        </is>
      </c>
      <c r="G5631" s="34" t="n">
        <v>4214</v>
      </c>
      <c r="H5631" s="34" t="n">
        <v>22176</v>
      </c>
      <c r="I5631" t="inlineStr">
        <is>
          <t>3.2</t>
        </is>
      </c>
      <c r="J5631" t="inlineStr">
        <is>
          <t>Ventas Personas (B2C)</t>
        </is>
      </c>
      <c r="K5631" t="inlineStr">
        <is>
          <t>CH2</t>
        </is>
      </c>
    </row>
    <row r="5632">
      <c r="A5632" s="33" t="n">
        <v>46083</v>
      </c>
      <c r="B5632" t="inlineStr">
        <is>
          <t>2026-03</t>
        </is>
      </c>
      <c r="C5632" t="inlineStr">
        <is>
          <t>Javiera Cepeda</t>
        </is>
      </c>
      <c r="D5632" t="inlineStr">
        <is>
          <t>Rellenos</t>
        </is>
      </c>
      <c r="E5632" s="34" t="n">
        <v>45090</v>
      </c>
      <c r="F5632" t="inlineStr">
        <is>
          <t>B</t>
        </is>
      </c>
      <c r="G5632" s="34" t="n">
        <v>7199</v>
      </c>
      <c r="H5632" s="34" t="n">
        <v>37891</v>
      </c>
      <c r="I5632" t="inlineStr">
        <is>
          <t>3.2</t>
        </is>
      </c>
      <c r="J5632" t="inlineStr">
        <is>
          <t>Ventas Personas (B2C)</t>
        </is>
      </c>
      <c r="K5632" t="inlineStr">
        <is>
          <t>CH2</t>
        </is>
      </c>
    </row>
    <row r="5633">
      <c r="A5633" s="33" t="n">
        <v>46083</v>
      </c>
      <c r="B5633" t="inlineStr">
        <is>
          <t>2026-03</t>
        </is>
      </c>
      <c r="C5633" t="inlineStr">
        <is>
          <t>Sin cliente</t>
        </is>
      </c>
      <c r="D5633" t="inlineStr">
        <is>
          <t>Delicatessen</t>
        </is>
      </c>
      <c r="E5633" s="34" t="n">
        <v>34700</v>
      </c>
      <c r="F5633" t="inlineStr">
        <is>
          <t>B</t>
        </is>
      </c>
      <c r="G5633" s="34" t="n">
        <v>5540</v>
      </c>
      <c r="H5633" s="34" t="n">
        <v>29160</v>
      </c>
      <c r="I5633" t="inlineStr">
        <is>
          <t>3.2</t>
        </is>
      </c>
      <c r="J5633" t="inlineStr">
        <is>
          <t>Ventas Personas (B2C)</t>
        </is>
      </c>
      <c r="K5633" t="inlineStr">
        <is>
          <t>CH2</t>
        </is>
      </c>
    </row>
    <row r="5634">
      <c r="A5634" s="33" t="n">
        <v>46083</v>
      </c>
      <c r="B5634" t="inlineStr">
        <is>
          <t>2026-03</t>
        </is>
      </c>
      <c r="C5634" t="inlineStr">
        <is>
          <t>Cata Pavat</t>
        </is>
      </c>
      <c r="D5634" t="inlineStr">
        <is>
          <t>SALSAS</t>
        </is>
      </c>
      <c r="E5634" s="34" t="n">
        <v>58280</v>
      </c>
      <c r="F5634" t="inlineStr">
        <is>
          <t>B</t>
        </is>
      </c>
      <c r="G5634" s="34" t="n">
        <v>9305</v>
      </c>
      <c r="H5634" s="34" t="n">
        <v>48975</v>
      </c>
      <c r="I5634" t="inlineStr">
        <is>
          <t>3.2</t>
        </is>
      </c>
      <c r="J5634" t="inlineStr">
        <is>
          <t>Ventas Personas (B2C)</t>
        </is>
      </c>
      <c r="K5634" t="inlineStr">
        <is>
          <t>CH2</t>
        </is>
      </c>
    </row>
    <row r="5635">
      <c r="A5635" s="33" t="n">
        <v>46083</v>
      </c>
      <c r="B5635" t="inlineStr">
        <is>
          <t>2026-03</t>
        </is>
      </c>
      <c r="C5635" t="inlineStr">
        <is>
          <t>Sin cliente</t>
        </is>
      </c>
      <c r="D5635" t="inlineStr">
        <is>
          <t>Cafeteria Geronimo</t>
        </is>
      </c>
      <c r="E5635" s="34" t="n">
        <v>14300</v>
      </c>
      <c r="F5635" t="inlineStr">
        <is>
          <t>B</t>
        </is>
      </c>
      <c r="G5635" s="34" t="n">
        <v>2283</v>
      </c>
      <c r="H5635" s="34" t="n">
        <v>12017</v>
      </c>
      <c r="I5635" t="inlineStr">
        <is>
          <t>3.2</t>
        </is>
      </c>
      <c r="J5635" t="inlineStr">
        <is>
          <t>Ventas Personas (B2C)</t>
        </is>
      </c>
      <c r="K5635" t="inlineStr">
        <is>
          <t>CH2</t>
        </is>
      </c>
    </row>
    <row r="5636">
      <c r="A5636" s="33" t="n">
        <v>46083</v>
      </c>
      <c r="B5636" t="inlineStr">
        <is>
          <t>2026-03</t>
        </is>
      </c>
      <c r="C5636" t="inlineStr">
        <is>
          <t>Sin cliente</t>
        </is>
      </c>
      <c r="D5636" t="inlineStr">
        <is>
          <t>Cafeteria Geronimo</t>
        </is>
      </c>
      <c r="E5636" s="34" t="n">
        <v>3200</v>
      </c>
      <c r="F5636" t="inlineStr">
        <is>
          <t>B</t>
        </is>
      </c>
      <c r="G5636" s="34" t="n">
        <v>511</v>
      </c>
      <c r="H5636" s="34" t="n">
        <v>2689</v>
      </c>
      <c r="I5636" t="inlineStr">
        <is>
          <t>3.2</t>
        </is>
      </c>
      <c r="J5636" t="inlineStr">
        <is>
          <t>Ventas Personas (B2C)</t>
        </is>
      </c>
      <c r="K5636" t="inlineStr">
        <is>
          <t>CH2</t>
        </is>
      </c>
    </row>
    <row r="5637">
      <c r="A5637" s="33" t="n">
        <v>46083</v>
      </c>
      <c r="B5637" t="inlineStr">
        <is>
          <t>2026-03</t>
        </is>
      </c>
      <c r="C5637" t="inlineStr">
        <is>
          <t>Sin cliente</t>
        </is>
      </c>
      <c r="D5637" t="inlineStr">
        <is>
          <t>Cafeteria Geronimo</t>
        </is>
      </c>
      <c r="E5637" s="34" t="n">
        <v>3200</v>
      </c>
      <c r="F5637" t="inlineStr">
        <is>
          <t>B</t>
        </is>
      </c>
      <c r="G5637" s="34" t="n">
        <v>511</v>
      </c>
      <c r="H5637" s="34" t="n">
        <v>2689</v>
      </c>
      <c r="I5637" t="inlineStr">
        <is>
          <t>3.2</t>
        </is>
      </c>
      <c r="J5637" t="inlineStr">
        <is>
          <t>Ventas Personas (B2C)</t>
        </is>
      </c>
      <c r="K5637" t="inlineStr">
        <is>
          <t>CH2</t>
        </is>
      </c>
    </row>
    <row r="5638">
      <c r="A5638" s="33" t="n">
        <v>46083</v>
      </c>
      <c r="B5638" t="inlineStr">
        <is>
          <t>2026-03</t>
        </is>
      </c>
      <c r="C5638" t="inlineStr">
        <is>
          <t>Sin cliente</t>
        </is>
      </c>
      <c r="D5638" t="inlineStr">
        <is>
          <t>Rellenos</t>
        </is>
      </c>
      <c r="E5638" s="34" t="n">
        <v>52200</v>
      </c>
      <c r="F5638" t="inlineStr">
        <is>
          <t>B</t>
        </is>
      </c>
      <c r="G5638" s="34" t="n">
        <v>8334</v>
      </c>
      <c r="H5638" s="34" t="n">
        <v>43866</v>
      </c>
      <c r="I5638" t="inlineStr">
        <is>
          <t>3.2</t>
        </is>
      </c>
      <c r="J5638" t="inlineStr">
        <is>
          <t>Ventas Personas (B2C)</t>
        </is>
      </c>
      <c r="K5638" t="inlineStr">
        <is>
          <t>CH2</t>
        </is>
      </c>
    </row>
    <row r="5639">
      <c r="A5639" s="33" t="n">
        <v>46084</v>
      </c>
      <c r="B5639" t="inlineStr">
        <is>
          <t>2026-03</t>
        </is>
      </c>
      <c r="C5639" t="inlineStr">
        <is>
          <t>HUERTO SUR LIMITADA</t>
        </is>
      </c>
      <c r="D5639" t="inlineStr">
        <is>
          <t>HORECA CAFETERIA</t>
        </is>
      </c>
      <c r="E5639" s="34" t="n">
        <v>103304</v>
      </c>
      <c r="F5639" t="inlineStr">
        <is>
          <t>F</t>
        </is>
      </c>
      <c r="G5639" s="34" t="n">
        <v>16494</v>
      </c>
      <c r="H5639" s="34" t="n">
        <v>86810</v>
      </c>
      <c r="I5639" t="inlineStr">
        <is>
          <t>3.1</t>
        </is>
      </c>
      <c r="J5639" t="inlineStr">
        <is>
          <t>Ventas HoReCa</t>
        </is>
      </c>
      <c r="K5639" t="inlineStr">
        <is>
          <t>CH1</t>
        </is>
      </c>
    </row>
    <row r="5640">
      <c r="A5640" s="33" t="n">
        <v>46084</v>
      </c>
      <c r="B5640" t="inlineStr">
        <is>
          <t>2026-03</t>
        </is>
      </c>
      <c r="C5640" t="inlineStr">
        <is>
          <t>INVERSIONES Y COMERCIALIZADORA FED LIMITADA</t>
        </is>
      </c>
      <c r="D5640" t="inlineStr">
        <is>
          <t>HORECA CAFETERIA</t>
        </is>
      </c>
      <c r="E5640" s="34" t="n">
        <v>96283</v>
      </c>
      <c r="F5640" t="inlineStr">
        <is>
          <t>F</t>
        </is>
      </c>
      <c r="G5640" s="34" t="n">
        <v>15373</v>
      </c>
      <c r="H5640" s="34" t="n">
        <v>80910</v>
      </c>
      <c r="I5640" t="inlineStr">
        <is>
          <t>3.1</t>
        </is>
      </c>
      <c r="J5640" t="inlineStr">
        <is>
          <t>Ventas HoReCa</t>
        </is>
      </c>
      <c r="K5640" t="inlineStr">
        <is>
          <t>CH1</t>
        </is>
      </c>
    </row>
    <row r="5641">
      <c r="A5641" s="33" t="n">
        <v>46084</v>
      </c>
      <c r="B5641" t="inlineStr">
        <is>
          <t>2026-03</t>
        </is>
      </c>
      <c r="C5641" t="inlineStr">
        <is>
          <t>BLUE OAK COFFE SPA</t>
        </is>
      </c>
      <c r="D5641" t="inlineStr">
        <is>
          <t>HORECA CAFETERIA</t>
        </is>
      </c>
      <c r="E5641" s="34" t="n">
        <v>167493</v>
      </c>
      <c r="F5641" t="inlineStr">
        <is>
          <t>F</t>
        </is>
      </c>
      <c r="G5641" s="34" t="n">
        <v>26743</v>
      </c>
      <c r="H5641" s="34" t="n">
        <v>140750</v>
      </c>
      <c r="I5641" t="inlineStr">
        <is>
          <t>3.1</t>
        </is>
      </c>
      <c r="J5641" t="inlineStr">
        <is>
          <t>Ventas HoReCa</t>
        </is>
      </c>
      <c r="K5641" t="inlineStr">
        <is>
          <t>CH1</t>
        </is>
      </c>
    </row>
    <row r="5642">
      <c r="A5642" s="33" t="n">
        <v>46084</v>
      </c>
      <c r="B5642" t="inlineStr">
        <is>
          <t>2026-03</t>
        </is>
      </c>
      <c r="C5642" t="inlineStr">
        <is>
          <t>Sin cliente</t>
        </is>
      </c>
      <c r="D5642" t="inlineStr">
        <is>
          <t>Delicatessen</t>
        </is>
      </c>
      <c r="E5642" s="34" t="n">
        <v>33200</v>
      </c>
      <c r="F5642" t="inlineStr">
        <is>
          <t>B</t>
        </is>
      </c>
      <c r="G5642" s="34" t="n">
        <v>5301</v>
      </c>
      <c r="H5642" s="34" t="n">
        <v>27899</v>
      </c>
      <c r="I5642" t="inlineStr">
        <is>
          <t>3.2</t>
        </is>
      </c>
      <c r="J5642" t="inlineStr">
        <is>
          <t>Ventas Personas (B2C)</t>
        </is>
      </c>
      <c r="K5642" t="inlineStr">
        <is>
          <t>CH2</t>
        </is>
      </c>
    </row>
    <row r="5643">
      <c r="A5643" s="33" t="n">
        <v>46084</v>
      </c>
      <c r="B5643" t="inlineStr">
        <is>
          <t>2026-03</t>
        </is>
      </c>
      <c r="C5643" t="inlineStr">
        <is>
          <t>Sin cliente</t>
        </is>
      </c>
      <c r="D5643" t="inlineStr">
        <is>
          <t>Delicatessen</t>
        </is>
      </c>
      <c r="E5643" s="34" t="n">
        <v>33200</v>
      </c>
      <c r="F5643" t="inlineStr">
        <is>
          <t>B</t>
        </is>
      </c>
      <c r="G5643" s="34" t="n">
        <v>5301</v>
      </c>
      <c r="H5643" s="34" t="n">
        <v>27899</v>
      </c>
      <c r="I5643" t="inlineStr">
        <is>
          <t>3.2</t>
        </is>
      </c>
      <c r="J5643" t="inlineStr">
        <is>
          <t>Ventas Personas (B2C)</t>
        </is>
      </c>
      <c r="K5643" t="inlineStr">
        <is>
          <t>CH2</t>
        </is>
      </c>
    </row>
    <row r="5644">
      <c r="A5644" s="33" t="n">
        <v>46084</v>
      </c>
      <c r="B5644" t="inlineStr">
        <is>
          <t>2026-03</t>
        </is>
      </c>
      <c r="C5644" t="inlineStr">
        <is>
          <t>Maria Jose Grez</t>
        </is>
      </c>
      <c r="D5644" t="inlineStr">
        <is>
          <t>Delicatessen</t>
        </is>
      </c>
      <c r="E5644" s="34" t="n">
        <v>-33200</v>
      </c>
      <c r="F5644" t="inlineStr">
        <is>
          <t>NC</t>
        </is>
      </c>
      <c r="G5644" s="34" t="n">
        <v>-5301</v>
      </c>
      <c r="H5644" s="34" t="n">
        <v>-27899</v>
      </c>
      <c r="I5644" t="inlineStr">
        <is>
          <t>3.2</t>
        </is>
      </c>
      <c r="J5644" t="inlineStr">
        <is>
          <t>Ventas Personas (B2C)</t>
        </is>
      </c>
      <c r="K5644" t="inlineStr">
        <is>
          <t>CH2</t>
        </is>
      </c>
    </row>
    <row r="5645">
      <c r="A5645" s="33" t="n">
        <v>46084</v>
      </c>
      <c r="B5645" t="inlineStr">
        <is>
          <t>2026-03</t>
        </is>
      </c>
      <c r="C5645" t="inlineStr">
        <is>
          <t>Sin cliente</t>
        </is>
      </c>
      <c r="D5645" t="inlineStr">
        <is>
          <t>Rellenos</t>
        </is>
      </c>
      <c r="E5645" s="34" t="n">
        <v>3500</v>
      </c>
      <c r="F5645" t="inlineStr">
        <is>
          <t>B</t>
        </is>
      </c>
      <c r="G5645" s="34" t="n">
        <v>559</v>
      </c>
      <c r="H5645" s="34" t="n">
        <v>2941</v>
      </c>
      <c r="I5645" t="inlineStr">
        <is>
          <t>3.2</t>
        </is>
      </c>
      <c r="J5645" t="inlineStr">
        <is>
          <t>Ventas Personas (B2C)</t>
        </is>
      </c>
      <c r="K5645" t="inlineStr">
        <is>
          <t>CH2</t>
        </is>
      </c>
    </row>
    <row r="5646">
      <c r="A5646" s="33" t="n">
        <v>46084</v>
      </c>
      <c r="B5646" t="inlineStr">
        <is>
          <t>2026-03</t>
        </is>
      </c>
      <c r="C5646" t="inlineStr">
        <is>
          <t>Sin cliente</t>
        </is>
      </c>
      <c r="D5646" t="inlineStr">
        <is>
          <t>Rellenos</t>
        </is>
      </c>
      <c r="E5646" s="34" t="n">
        <v>18900</v>
      </c>
      <c r="F5646" t="inlineStr">
        <is>
          <t>B</t>
        </is>
      </c>
      <c r="G5646" s="34" t="n">
        <v>3018</v>
      </c>
      <c r="H5646" s="34" t="n">
        <v>15882</v>
      </c>
      <c r="I5646" t="inlineStr">
        <is>
          <t>3.2</t>
        </is>
      </c>
      <c r="J5646" t="inlineStr">
        <is>
          <t>Ventas Personas (B2C)</t>
        </is>
      </c>
      <c r="K5646" t="inlineStr">
        <is>
          <t>CH2</t>
        </is>
      </c>
    </row>
    <row r="5647">
      <c r="A5647" s="33" t="n">
        <v>46084</v>
      </c>
      <c r="B5647" t="inlineStr">
        <is>
          <t>2026-03</t>
        </is>
      </c>
      <c r="C5647" t="inlineStr">
        <is>
          <t>Sin cliente</t>
        </is>
      </c>
      <c r="D5647" t="inlineStr">
        <is>
          <t>Rellenos</t>
        </is>
      </c>
      <c r="E5647" s="34" t="n">
        <v>34900</v>
      </c>
      <c r="F5647" t="inlineStr">
        <is>
          <t>B</t>
        </is>
      </c>
      <c r="G5647" s="34" t="n">
        <v>5572</v>
      </c>
      <c r="H5647" s="34" t="n">
        <v>29328</v>
      </c>
      <c r="I5647" t="inlineStr">
        <is>
          <t>3.2</t>
        </is>
      </c>
      <c r="J5647" t="inlineStr">
        <is>
          <t>Ventas Personas (B2C)</t>
        </is>
      </c>
      <c r="K5647" t="inlineStr">
        <is>
          <t>CH2</t>
        </is>
      </c>
    </row>
    <row r="5648">
      <c r="A5648" s="33" t="n">
        <v>46084</v>
      </c>
      <c r="B5648" t="inlineStr">
        <is>
          <t>2026-03</t>
        </is>
      </c>
      <c r="C5648" t="inlineStr">
        <is>
          <t>Sin cliente</t>
        </is>
      </c>
      <c r="D5648" t="inlineStr">
        <is>
          <t>Rellenos</t>
        </is>
      </c>
      <c r="E5648" s="34" t="n">
        <v>27900</v>
      </c>
      <c r="F5648" t="inlineStr">
        <is>
          <t>B</t>
        </is>
      </c>
      <c r="G5648" s="34" t="n">
        <v>4455</v>
      </c>
      <c r="H5648" s="34" t="n">
        <v>23445</v>
      </c>
      <c r="I5648" t="inlineStr">
        <is>
          <t>3.2</t>
        </is>
      </c>
      <c r="J5648" t="inlineStr">
        <is>
          <t>Ventas Personas (B2C)</t>
        </is>
      </c>
      <c r="K5648" t="inlineStr">
        <is>
          <t>CH2</t>
        </is>
      </c>
    </row>
    <row r="5649">
      <c r="A5649" s="33" t="n">
        <v>46084</v>
      </c>
      <c r="B5649" t="inlineStr">
        <is>
          <t>2026-03</t>
        </is>
      </c>
      <c r="C5649" t="inlineStr">
        <is>
          <t>Sin cliente</t>
        </is>
      </c>
      <c r="D5649" t="inlineStr">
        <is>
          <t>Glosa Productos venta manual</t>
        </is>
      </c>
      <c r="E5649" s="34" t="n">
        <v>52200</v>
      </c>
      <c r="F5649" t="inlineStr">
        <is>
          <t>B</t>
        </is>
      </c>
      <c r="G5649" s="34" t="n">
        <v>8334</v>
      </c>
      <c r="H5649" s="34" t="n">
        <v>43866</v>
      </c>
      <c r="I5649" t="inlineStr">
        <is>
          <t>3.2</t>
        </is>
      </c>
      <c r="J5649" t="inlineStr">
        <is>
          <t>Ventas Personas (B2C)</t>
        </is>
      </c>
      <c r="K5649" t="inlineStr">
        <is>
          <t>CH2</t>
        </is>
      </c>
    </row>
    <row r="5650">
      <c r="A5650" s="33" t="n">
        <v>46084</v>
      </c>
      <c r="B5650" t="inlineStr">
        <is>
          <t>2026-03</t>
        </is>
      </c>
      <c r="C5650" t="inlineStr">
        <is>
          <t>Sin cliente</t>
        </is>
      </c>
      <c r="D5650" t="inlineStr">
        <is>
          <t>Cafeteria Geronimo</t>
        </is>
      </c>
      <c r="E5650" s="34" t="n">
        <v>3200</v>
      </c>
      <c r="F5650" t="inlineStr">
        <is>
          <t>B</t>
        </is>
      </c>
      <c r="G5650" s="34" t="n">
        <v>511</v>
      </c>
      <c r="H5650" s="34" t="n">
        <v>2689</v>
      </c>
      <c r="I5650" t="inlineStr">
        <is>
          <t>3.2</t>
        </is>
      </c>
      <c r="J5650" t="inlineStr">
        <is>
          <t>Ventas Personas (B2C)</t>
        </is>
      </c>
      <c r="K5650" t="inlineStr">
        <is>
          <t>CH2</t>
        </is>
      </c>
    </row>
    <row r="5651">
      <c r="A5651" s="33" t="n">
        <v>46084</v>
      </c>
      <c r="B5651" t="inlineStr">
        <is>
          <t>2026-03</t>
        </is>
      </c>
      <c r="C5651" t="inlineStr">
        <is>
          <t>bernardita arellano</t>
        </is>
      </c>
      <c r="D5651" t="inlineStr">
        <is>
          <t>CANELE SIN AZUCAR</t>
        </is>
      </c>
      <c r="E5651" s="34" t="n">
        <v>47690</v>
      </c>
      <c r="F5651" t="inlineStr">
        <is>
          <t>B</t>
        </is>
      </c>
      <c r="G5651" s="34" t="n">
        <v>7614</v>
      </c>
      <c r="H5651" s="34" t="n">
        <v>40076</v>
      </c>
      <c r="I5651" t="inlineStr">
        <is>
          <t>3.2</t>
        </is>
      </c>
      <c r="J5651" t="inlineStr">
        <is>
          <t>Ventas Personas (B2C)</t>
        </is>
      </c>
      <c r="K5651" t="inlineStr">
        <is>
          <t>CH2</t>
        </is>
      </c>
    </row>
    <row r="5652">
      <c r="A5652" s="33" t="n">
        <v>46084</v>
      </c>
      <c r="B5652" t="inlineStr">
        <is>
          <t>2026-03</t>
        </is>
      </c>
      <c r="C5652" t="inlineStr">
        <is>
          <t>Paula RODRIGUEZ</t>
        </is>
      </c>
      <c r="D5652" t="inlineStr">
        <is>
          <t>CANELÉ TRADICIONAL</t>
        </is>
      </c>
      <c r="E5652" s="34" t="n">
        <v>20390</v>
      </c>
      <c r="F5652" t="inlineStr">
        <is>
          <t>B</t>
        </is>
      </c>
      <c r="G5652" s="34" t="n">
        <v>3256</v>
      </c>
      <c r="H5652" s="34" t="n">
        <v>17134</v>
      </c>
      <c r="I5652" t="inlineStr">
        <is>
          <t>3.2</t>
        </is>
      </c>
      <c r="J5652" t="inlineStr">
        <is>
          <t>Ventas Personas (B2C)</t>
        </is>
      </c>
      <c r="K5652" t="inlineStr">
        <is>
          <t>CH2</t>
        </is>
      </c>
    </row>
    <row r="5653">
      <c r="A5653" s="33" t="n">
        <v>46085</v>
      </c>
      <c r="B5653" t="inlineStr">
        <is>
          <t>2026-03</t>
        </is>
      </c>
      <c r="C5653" t="inlineStr">
        <is>
          <t>CAFE DIARIO ENCOMENDEROS SPA</t>
        </is>
      </c>
      <c r="D5653" t="inlineStr">
        <is>
          <t>HORECA CAFETERIA</t>
        </is>
      </c>
      <c r="E5653" s="34" t="n">
        <v>108380</v>
      </c>
      <c r="F5653" t="inlineStr">
        <is>
          <t>F</t>
        </is>
      </c>
      <c r="G5653" s="34" t="n">
        <v>17304</v>
      </c>
      <c r="H5653" s="34" t="n">
        <v>91076</v>
      </c>
      <c r="I5653" t="inlineStr">
        <is>
          <t>3.1</t>
        </is>
      </c>
      <c r="J5653" t="inlineStr">
        <is>
          <t>Ventas HoReCa</t>
        </is>
      </c>
      <c r="K5653" t="inlineStr">
        <is>
          <t>CH1</t>
        </is>
      </c>
    </row>
    <row r="5654">
      <c r="A5654" s="33" t="n">
        <v>46085</v>
      </c>
      <c r="B5654" t="inlineStr">
        <is>
          <t>2026-03</t>
        </is>
      </c>
      <c r="C5654" t="inlineStr">
        <is>
          <t>BLUE OAK COFFE SPA</t>
        </is>
      </c>
      <c r="D5654" t="inlineStr">
        <is>
          <t>HORECA CAFETERIA</t>
        </is>
      </c>
      <c r="E5654" s="34" t="n">
        <v>55668</v>
      </c>
      <c r="F5654" t="inlineStr">
        <is>
          <t>F</t>
        </is>
      </c>
      <c r="G5654" s="34" t="n">
        <v>8888</v>
      </c>
      <c r="H5654" s="34" t="n">
        <v>46780</v>
      </c>
      <c r="I5654" t="inlineStr">
        <is>
          <t>3.1</t>
        </is>
      </c>
      <c r="J5654" t="inlineStr">
        <is>
          <t>Ventas HoReCa</t>
        </is>
      </c>
      <c r="K5654" t="inlineStr">
        <is>
          <t>CH1</t>
        </is>
      </c>
    </row>
    <row r="5655">
      <c r="A5655" s="33" t="n">
        <v>46085</v>
      </c>
      <c r="B5655" t="inlineStr">
        <is>
          <t>2026-03</t>
        </is>
      </c>
      <c r="C5655" t="inlineStr">
        <is>
          <t>Inversiones Café Dominicos SpA</t>
        </is>
      </c>
      <c r="D5655" t="inlineStr">
        <is>
          <t xml:space="preserve">THE COFFEE STORE </t>
        </is>
      </c>
      <c r="E5655" s="34" t="n">
        <v>42325</v>
      </c>
      <c r="F5655" t="inlineStr">
        <is>
          <t>F</t>
        </is>
      </c>
      <c r="G5655" s="34" t="n">
        <v>6758</v>
      </c>
      <c r="H5655" s="34" t="n">
        <v>35567</v>
      </c>
      <c r="I5655" t="inlineStr">
        <is>
          <t>3.1</t>
        </is>
      </c>
      <c r="J5655" t="inlineStr">
        <is>
          <t>Ventas HoReCa</t>
        </is>
      </c>
      <c r="K5655" t="inlineStr">
        <is>
          <t>CH1</t>
        </is>
      </c>
    </row>
    <row r="5656">
      <c r="A5656" s="33" t="n">
        <v>46085</v>
      </c>
      <c r="B5656" t="inlineStr">
        <is>
          <t>2026-03</t>
        </is>
      </c>
      <c r="C5656" t="inlineStr">
        <is>
          <t>Cocoshouse Spa</t>
        </is>
      </c>
      <c r="D5656" t="inlineStr">
        <is>
          <t>HORECA CAFETERIA</t>
        </is>
      </c>
      <c r="E5656" s="34" t="n">
        <v>71210</v>
      </c>
      <c r="F5656" t="inlineStr">
        <is>
          <t>F</t>
        </is>
      </c>
      <c r="G5656" s="34" t="n">
        <v>11370</v>
      </c>
      <c r="H5656" s="34" t="n">
        <v>59840</v>
      </c>
      <c r="I5656" t="inlineStr">
        <is>
          <t>3.1</t>
        </is>
      </c>
      <c r="J5656" t="inlineStr">
        <is>
          <t>Ventas HoReCa</t>
        </is>
      </c>
      <c r="K5656" t="inlineStr">
        <is>
          <t>CH1</t>
        </is>
      </c>
    </row>
    <row r="5657">
      <c r="A5657" s="33" t="n">
        <v>46085</v>
      </c>
      <c r="B5657" t="inlineStr">
        <is>
          <t>2026-03</t>
        </is>
      </c>
      <c r="C5657" t="inlineStr">
        <is>
          <t>Daniela Toro</t>
        </is>
      </c>
      <c r="D5657" t="inlineStr">
        <is>
          <t>Delicatessen</t>
        </is>
      </c>
      <c r="E5657" s="34" t="n">
        <v>35690</v>
      </c>
      <c r="F5657" t="inlineStr">
        <is>
          <t>B</t>
        </is>
      </c>
      <c r="G5657" s="34" t="n">
        <v>5698</v>
      </c>
      <c r="H5657" s="34" t="n">
        <v>29992</v>
      </c>
      <c r="I5657" t="inlineStr">
        <is>
          <t>3.2</t>
        </is>
      </c>
      <c r="J5657" t="inlineStr">
        <is>
          <t>Ventas Personas (B2C)</t>
        </is>
      </c>
      <c r="K5657" t="inlineStr">
        <is>
          <t>CH2</t>
        </is>
      </c>
    </row>
    <row r="5658">
      <c r="A5658" s="33" t="n">
        <v>46085</v>
      </c>
      <c r="B5658" t="inlineStr">
        <is>
          <t>2026-03</t>
        </is>
      </c>
      <c r="C5658" t="inlineStr">
        <is>
          <t>Terangi  Tuki</t>
        </is>
      </c>
      <c r="D5658" t="inlineStr">
        <is>
          <t>Mix Sabores</t>
        </is>
      </c>
      <c r="E5658" s="34" t="n">
        <v>28790</v>
      </c>
      <c r="F5658" t="inlineStr">
        <is>
          <t>B</t>
        </is>
      </c>
      <c r="G5658" s="34" t="n">
        <v>4597</v>
      </c>
      <c r="H5658" s="34" t="n">
        <v>24193</v>
      </c>
      <c r="I5658" t="inlineStr">
        <is>
          <t>3.2</t>
        </is>
      </c>
      <c r="J5658" t="inlineStr">
        <is>
          <t>Ventas Personas (B2C)</t>
        </is>
      </c>
      <c r="K5658" t="inlineStr">
        <is>
          <t>CH2</t>
        </is>
      </c>
    </row>
    <row r="5659">
      <c r="A5659" s="33" t="n">
        <v>46085</v>
      </c>
      <c r="B5659" t="inlineStr">
        <is>
          <t>2026-03</t>
        </is>
      </c>
      <c r="C5659" t="inlineStr">
        <is>
          <t>Yael Gottlieb</t>
        </is>
      </c>
      <c r="D5659" t="inlineStr">
        <is>
          <t>Canelé Petit Relleno</t>
        </is>
      </c>
      <c r="E5659" s="34" t="n">
        <v>33390</v>
      </c>
      <c r="F5659" t="inlineStr">
        <is>
          <t>B</t>
        </is>
      </c>
      <c r="G5659" s="34" t="n">
        <v>5331</v>
      </c>
      <c r="H5659" s="34" t="n">
        <v>28059</v>
      </c>
      <c r="I5659" t="inlineStr">
        <is>
          <t>3.2</t>
        </is>
      </c>
      <c r="J5659" t="inlineStr">
        <is>
          <t>Ventas Personas (B2C)</t>
        </is>
      </c>
      <c r="K5659" t="inlineStr">
        <is>
          <t>CH2</t>
        </is>
      </c>
    </row>
    <row r="5660">
      <c r="A5660" s="33" t="n">
        <v>46085</v>
      </c>
      <c r="B5660" t="inlineStr">
        <is>
          <t>2026-03</t>
        </is>
      </c>
      <c r="C5660" t="inlineStr">
        <is>
          <t>Caroline Labarthe</t>
        </is>
      </c>
      <c r="D5660" t="inlineStr">
        <is>
          <t>Rellenos</t>
        </is>
      </c>
      <c r="E5660" s="34" t="n">
        <v>25900</v>
      </c>
      <c r="F5660" t="inlineStr">
        <is>
          <t>B</t>
        </is>
      </c>
      <c r="G5660" s="34" t="n">
        <v>4135</v>
      </c>
      <c r="H5660" s="34" t="n">
        <v>21765</v>
      </c>
      <c r="I5660" t="inlineStr">
        <is>
          <t>3.2</t>
        </is>
      </c>
      <c r="J5660" t="inlineStr">
        <is>
          <t>Ventas Personas (B2C)</t>
        </is>
      </c>
      <c r="K5660" t="inlineStr">
        <is>
          <t>CH2</t>
        </is>
      </c>
    </row>
    <row r="5661">
      <c r="A5661" s="33" t="n">
        <v>46085</v>
      </c>
      <c r="B5661" t="inlineStr">
        <is>
          <t>2026-03</t>
        </is>
      </c>
      <c r="C5661" t="inlineStr">
        <is>
          <t>Sin cliente</t>
        </is>
      </c>
      <c r="D5661" t="inlineStr">
        <is>
          <t>Rellenos</t>
        </is>
      </c>
      <c r="E5661" s="34" t="n">
        <v>3500</v>
      </c>
      <c r="F5661" t="inlineStr">
        <is>
          <t>B</t>
        </is>
      </c>
      <c r="G5661" s="34" t="n">
        <v>559</v>
      </c>
      <c r="H5661" s="34" t="n">
        <v>2941</v>
      </c>
      <c r="I5661" t="inlineStr">
        <is>
          <t>3.2</t>
        </is>
      </c>
      <c r="J5661" t="inlineStr">
        <is>
          <t>Ventas Personas (B2C)</t>
        </is>
      </c>
      <c r="K5661" t="inlineStr">
        <is>
          <t>CH2</t>
        </is>
      </c>
    </row>
    <row r="5662">
      <c r="A5662" s="33" t="n">
        <v>46085</v>
      </c>
      <c r="B5662" t="inlineStr">
        <is>
          <t>2026-03</t>
        </is>
      </c>
      <c r="C5662" t="inlineStr">
        <is>
          <t>Ana Donoso</t>
        </is>
      </c>
      <c r="D5662" t="inlineStr">
        <is>
          <t>Rellenos</t>
        </is>
      </c>
      <c r="E5662" s="34" t="n">
        <v>22390</v>
      </c>
      <c r="F5662" t="inlineStr">
        <is>
          <t>B</t>
        </is>
      </c>
      <c r="G5662" s="34" t="n">
        <v>3575</v>
      </c>
      <c r="H5662" s="34" t="n">
        <v>18815</v>
      </c>
      <c r="I5662" t="inlineStr">
        <is>
          <t>3.2</t>
        </is>
      </c>
      <c r="J5662" t="inlineStr">
        <is>
          <t>Ventas Personas (B2C)</t>
        </is>
      </c>
      <c r="K5662" t="inlineStr">
        <is>
          <t>CH2</t>
        </is>
      </c>
    </row>
    <row r="5663">
      <c r="A5663" s="33" t="n">
        <v>46085</v>
      </c>
      <c r="B5663" t="inlineStr">
        <is>
          <t>2026-03</t>
        </is>
      </c>
      <c r="C5663" t="inlineStr">
        <is>
          <t>Margarita Astudillo</t>
        </is>
      </c>
      <c r="D5663" t="inlineStr">
        <is>
          <t>Canelé Petit Relleno</t>
        </is>
      </c>
      <c r="E5663" s="34" t="n">
        <v>46390</v>
      </c>
      <c r="F5663" t="inlineStr">
        <is>
          <t>B</t>
        </is>
      </c>
      <c r="G5663" s="34" t="n">
        <v>7407</v>
      </c>
      <c r="H5663" s="34" t="n">
        <v>38983</v>
      </c>
      <c r="I5663" t="inlineStr">
        <is>
          <t>3.2</t>
        </is>
      </c>
      <c r="J5663" t="inlineStr">
        <is>
          <t>Ventas Personas (B2C)</t>
        </is>
      </c>
      <c r="K5663" t="inlineStr">
        <is>
          <t>CH2</t>
        </is>
      </c>
    </row>
    <row r="5664">
      <c r="A5664" s="33" t="n">
        <v>46085</v>
      </c>
      <c r="B5664" t="inlineStr">
        <is>
          <t>2026-03</t>
        </is>
      </c>
      <c r="C5664" t="inlineStr">
        <is>
          <t>Sin cliente</t>
        </is>
      </c>
      <c r="D5664" t="inlineStr">
        <is>
          <t>Rellenos</t>
        </is>
      </c>
      <c r="E5664" s="34" t="n">
        <v>2975</v>
      </c>
      <c r="F5664" t="inlineStr">
        <is>
          <t>B</t>
        </is>
      </c>
      <c r="G5664" s="34" t="n">
        <v>475</v>
      </c>
      <c r="H5664" s="34" t="n">
        <v>2500</v>
      </c>
      <c r="I5664" t="inlineStr">
        <is>
          <t>3.2</t>
        </is>
      </c>
      <c r="J5664" t="inlineStr">
        <is>
          <t>Ventas Personas (B2C)</t>
        </is>
      </c>
      <c r="K5664" t="inlineStr">
        <is>
          <t>CH2</t>
        </is>
      </c>
    </row>
    <row r="5665">
      <c r="A5665" s="33" t="n">
        <v>46085</v>
      </c>
      <c r="B5665" t="inlineStr">
        <is>
          <t>2026-03</t>
        </is>
      </c>
      <c r="C5665" t="inlineStr">
        <is>
          <t>Sin cliente</t>
        </is>
      </c>
      <c r="D5665" t="inlineStr">
        <is>
          <t>Rellenos</t>
        </is>
      </c>
      <c r="E5665" s="34" t="n">
        <v>12700</v>
      </c>
      <c r="F5665" t="inlineStr">
        <is>
          <t>B</t>
        </is>
      </c>
      <c r="G5665" s="34" t="n">
        <v>2028</v>
      </c>
      <c r="H5665" s="34" t="n">
        <v>10672</v>
      </c>
      <c r="I5665" t="inlineStr">
        <is>
          <t>3.2</t>
        </is>
      </c>
      <c r="J5665" t="inlineStr">
        <is>
          <t>Ventas Personas (B2C)</t>
        </is>
      </c>
      <c r="K5665" t="inlineStr">
        <is>
          <t>CH2</t>
        </is>
      </c>
    </row>
    <row r="5666">
      <c r="A5666" s="33" t="n">
        <v>46085</v>
      </c>
      <c r="B5666" t="inlineStr">
        <is>
          <t>2026-03</t>
        </is>
      </c>
      <c r="C5666" t="inlineStr">
        <is>
          <t>Fundación Educacional Docere</t>
        </is>
      </c>
      <c r="D5666" t="inlineStr">
        <is>
          <t>Mix Sabores</t>
        </is>
      </c>
      <c r="E5666" s="34" t="n">
        <v>656699</v>
      </c>
      <c r="F5666" t="inlineStr">
        <is>
          <t>F</t>
        </is>
      </c>
      <c r="G5666" s="34" t="n">
        <v>104851</v>
      </c>
      <c r="H5666" s="34" t="n">
        <v>551848</v>
      </c>
      <c r="I5666" t="inlineStr">
        <is>
          <t>3.1</t>
        </is>
      </c>
      <c r="J5666" t="inlineStr">
        <is>
          <t>Ventas HoReCa</t>
        </is>
      </c>
      <c r="K5666" t="inlineStr">
        <is>
          <t>CH1</t>
        </is>
      </c>
    </row>
    <row r="5667">
      <c r="A5667" s="33" t="n">
        <v>46085</v>
      </c>
      <c r="B5667" t="inlineStr">
        <is>
          <t>2026-03</t>
        </is>
      </c>
      <c r="C5667" t="inlineStr">
        <is>
          <t>Sin cliente</t>
        </is>
      </c>
      <c r="D5667" t="inlineStr">
        <is>
          <t>Rellenos</t>
        </is>
      </c>
      <c r="E5667" s="34" t="n">
        <v>18900</v>
      </c>
      <c r="F5667" t="inlineStr">
        <is>
          <t>B</t>
        </is>
      </c>
      <c r="G5667" s="34" t="n">
        <v>3018</v>
      </c>
      <c r="H5667" s="34" t="n">
        <v>15882</v>
      </c>
      <c r="I5667" t="inlineStr">
        <is>
          <t>3.2</t>
        </is>
      </c>
      <c r="J5667" t="inlineStr">
        <is>
          <t>Ventas Personas (B2C)</t>
        </is>
      </c>
      <c r="K5667" t="inlineStr">
        <is>
          <t>CH2</t>
        </is>
      </c>
    </row>
    <row r="5668">
      <c r="A5668" s="33" t="n">
        <v>46085</v>
      </c>
      <c r="B5668" t="inlineStr">
        <is>
          <t>2026-03</t>
        </is>
      </c>
      <c r="C5668" t="inlineStr">
        <is>
          <t>javiera lafont</t>
        </is>
      </c>
      <c r="D5668" t="inlineStr">
        <is>
          <t>Rellenos</t>
        </is>
      </c>
      <c r="E5668" s="34" t="n">
        <v>29800</v>
      </c>
      <c r="F5668" t="inlineStr">
        <is>
          <t>B</t>
        </is>
      </c>
      <c r="G5668" s="34" t="n">
        <v>4758</v>
      </c>
      <c r="H5668" s="34" t="n">
        <v>25042</v>
      </c>
      <c r="I5668" t="inlineStr">
        <is>
          <t>3.2</t>
        </is>
      </c>
      <c r="J5668" t="inlineStr">
        <is>
          <t>Ventas Personas (B2C)</t>
        </is>
      </c>
      <c r="K5668" t="inlineStr">
        <is>
          <t>CH2</t>
        </is>
      </c>
    </row>
    <row r="5669">
      <c r="A5669" s="33" t="n">
        <v>46085</v>
      </c>
      <c r="B5669" t="inlineStr">
        <is>
          <t>2026-03</t>
        </is>
      </c>
      <c r="C5669" t="inlineStr">
        <is>
          <t>Sin cliente</t>
        </is>
      </c>
      <c r="D5669" t="inlineStr">
        <is>
          <t>CANELÉ TRADICIONAL</t>
        </is>
      </c>
      <c r="E5669" s="34" t="n">
        <v>7500</v>
      </c>
      <c r="F5669" t="inlineStr">
        <is>
          <t>B</t>
        </is>
      </c>
      <c r="G5669" s="34" t="n">
        <v>1197</v>
      </c>
      <c r="H5669" s="34" t="n">
        <v>6303</v>
      </c>
      <c r="I5669" t="inlineStr">
        <is>
          <t>3.2</t>
        </is>
      </c>
      <c r="J5669" t="inlineStr">
        <is>
          <t>Ventas Personas (B2C)</t>
        </is>
      </c>
      <c r="K5669" t="inlineStr">
        <is>
          <t>CH2</t>
        </is>
      </c>
    </row>
    <row r="5670">
      <c r="A5670" s="33" t="n">
        <v>46085</v>
      </c>
      <c r="B5670" t="inlineStr">
        <is>
          <t>2026-03</t>
        </is>
      </c>
      <c r="C5670" t="inlineStr">
        <is>
          <t>Sin cliente</t>
        </is>
      </c>
      <c r="D5670" t="inlineStr">
        <is>
          <t>CANELÉ TRADICIONAL</t>
        </is>
      </c>
      <c r="E5670" s="34" t="n">
        <v>11400</v>
      </c>
      <c r="F5670" t="inlineStr">
        <is>
          <t>B</t>
        </is>
      </c>
      <c r="G5670" s="34" t="n">
        <v>1820</v>
      </c>
      <c r="H5670" s="34" t="n">
        <v>9580</v>
      </c>
      <c r="I5670" t="inlineStr">
        <is>
          <t>3.2</t>
        </is>
      </c>
      <c r="J5670" t="inlineStr">
        <is>
          <t>Ventas Personas (B2C)</t>
        </is>
      </c>
      <c r="K5670" t="inlineStr">
        <is>
          <t>CH2</t>
        </is>
      </c>
    </row>
    <row r="5671">
      <c r="A5671" s="33" t="n">
        <v>46085</v>
      </c>
      <c r="B5671" t="inlineStr">
        <is>
          <t>2026-03</t>
        </is>
      </c>
      <c r="C5671" t="inlineStr">
        <is>
          <t>Sin cliente</t>
        </is>
      </c>
      <c r="D5671" t="inlineStr">
        <is>
          <t>CANELÉ TRADICIONAL</t>
        </is>
      </c>
      <c r="E5671" s="34" t="n">
        <v>5000</v>
      </c>
      <c r="F5671" t="inlineStr">
        <is>
          <t>B</t>
        </is>
      </c>
      <c r="G5671" s="34" t="n">
        <v>798</v>
      </c>
      <c r="H5671" s="34" t="n">
        <v>4202</v>
      </c>
      <c r="I5671" t="inlineStr">
        <is>
          <t>3.2</t>
        </is>
      </c>
      <c r="J5671" t="inlineStr">
        <is>
          <t>Ventas Personas (B2C)</t>
        </is>
      </c>
      <c r="K5671" t="inlineStr">
        <is>
          <t>CH2</t>
        </is>
      </c>
    </row>
    <row r="5672">
      <c r="A5672" s="33" t="n">
        <v>46085</v>
      </c>
      <c r="B5672" t="inlineStr">
        <is>
          <t>2026-03</t>
        </is>
      </c>
      <c r="C5672" t="inlineStr">
        <is>
          <t>MARIA FRANCISCA DEPASSIER CATERING EMPRESA INDIVID</t>
        </is>
      </c>
      <c r="D5672" t="inlineStr">
        <is>
          <t>HORECA CATERING</t>
        </is>
      </c>
      <c r="E5672" s="34" t="n">
        <v>63665</v>
      </c>
      <c r="F5672" t="inlineStr">
        <is>
          <t>F</t>
        </is>
      </c>
      <c r="G5672" s="34" t="n">
        <v>10165</v>
      </c>
      <c r="H5672" s="34" t="n">
        <v>53500</v>
      </c>
      <c r="I5672" t="inlineStr">
        <is>
          <t>3.1</t>
        </is>
      </c>
      <c r="J5672" t="inlineStr">
        <is>
          <t>Ventas HoReCa</t>
        </is>
      </c>
      <c r="K5672" t="inlineStr">
        <is>
          <t>CH1</t>
        </is>
      </c>
    </row>
    <row r="5673">
      <c r="A5673" s="33" t="n">
        <v>46085</v>
      </c>
      <c r="B5673" t="inlineStr">
        <is>
          <t>2026-03</t>
        </is>
      </c>
      <c r="C5673" t="inlineStr">
        <is>
          <t>Sin cliente</t>
        </is>
      </c>
      <c r="D5673" t="inlineStr">
        <is>
          <t>Rellenos</t>
        </is>
      </c>
      <c r="E5673" s="34" t="n">
        <v>25900</v>
      </c>
      <c r="F5673" t="inlineStr">
        <is>
          <t>B</t>
        </is>
      </c>
      <c r="G5673" s="34" t="n">
        <v>4135</v>
      </c>
      <c r="H5673" s="34" t="n">
        <v>21765</v>
      </c>
      <c r="I5673" t="inlineStr">
        <is>
          <t>3.2</t>
        </is>
      </c>
      <c r="J5673" t="inlineStr">
        <is>
          <t>Ventas Personas (B2C)</t>
        </is>
      </c>
      <c r="K5673" t="inlineStr">
        <is>
          <t>CH2</t>
        </is>
      </c>
    </row>
    <row r="5674">
      <c r="A5674" s="33" t="n">
        <v>46085</v>
      </c>
      <c r="B5674" t="inlineStr">
        <is>
          <t>2026-03</t>
        </is>
      </c>
      <c r="C5674" t="inlineStr">
        <is>
          <t>MARIA FRANCISCA DEPASSIER CATERING EMPRESA INDIVID</t>
        </is>
      </c>
      <c r="D5674" t="inlineStr">
        <is>
          <t>HORECA CATERING</t>
        </is>
      </c>
      <c r="E5674" s="34" t="n">
        <v>63665</v>
      </c>
      <c r="F5674" t="inlineStr">
        <is>
          <t>F</t>
        </is>
      </c>
      <c r="G5674" s="34" t="n">
        <v>10165</v>
      </c>
      <c r="H5674" s="34" t="n">
        <v>53500</v>
      </c>
      <c r="I5674" t="inlineStr">
        <is>
          <t>3.1</t>
        </is>
      </c>
      <c r="J5674" t="inlineStr">
        <is>
          <t>Ventas HoReCa</t>
        </is>
      </c>
      <c r="K5674" t="inlineStr">
        <is>
          <t>CH1</t>
        </is>
      </c>
    </row>
    <row r="5675">
      <c r="A5675" s="33" t="n">
        <v>46085</v>
      </c>
      <c r="B5675" t="inlineStr">
        <is>
          <t>2026-03</t>
        </is>
      </c>
      <c r="C5675" t="inlineStr">
        <is>
          <t>MARIA FRANCISCA DEPASSIER CATERING EMPRESA INDIVID</t>
        </is>
      </c>
      <c r="D5675" t="inlineStr">
        <is>
          <t>HORECA CATERING</t>
        </is>
      </c>
      <c r="E5675" s="34" t="n">
        <v>-63665</v>
      </c>
      <c r="F5675" t="inlineStr">
        <is>
          <t>NC</t>
        </is>
      </c>
      <c r="G5675" s="34" t="n">
        <v>-10165</v>
      </c>
      <c r="H5675" s="34" t="n">
        <v>-53500</v>
      </c>
      <c r="I5675" t="inlineStr">
        <is>
          <t>3.1</t>
        </is>
      </c>
      <c r="J5675" t="inlineStr">
        <is>
          <t>Ventas HoReCa</t>
        </is>
      </c>
      <c r="K5675" t="inlineStr">
        <is>
          <t>CH1</t>
        </is>
      </c>
    </row>
    <row r="5676">
      <c r="A5676" s="33" t="n">
        <v>46085</v>
      </c>
      <c r="B5676" t="inlineStr">
        <is>
          <t>2026-03</t>
        </is>
      </c>
      <c r="C5676" t="inlineStr">
        <is>
          <t>Walter Bartlau Devillaine</t>
        </is>
      </c>
      <c r="D5676" t="inlineStr">
        <is>
          <t>Petit Tradicional</t>
        </is>
      </c>
      <c r="E5676" s="34" t="n">
        <v>20290</v>
      </c>
      <c r="F5676" t="inlineStr">
        <is>
          <t>B</t>
        </is>
      </c>
      <c r="G5676" s="34" t="n">
        <v>3240</v>
      </c>
      <c r="H5676" s="34" t="n">
        <v>17050</v>
      </c>
      <c r="I5676" t="inlineStr">
        <is>
          <t>3.2</t>
        </is>
      </c>
      <c r="J5676" t="inlineStr">
        <is>
          <t>Ventas Personas (B2C)</t>
        </is>
      </c>
      <c r="K5676" t="inlineStr">
        <is>
          <t>CH2</t>
        </is>
      </c>
    </row>
    <row r="5677">
      <c r="A5677" s="33" t="n">
        <v>46085</v>
      </c>
      <c r="B5677" t="inlineStr">
        <is>
          <t>2026-03</t>
        </is>
      </c>
      <c r="C5677" t="inlineStr">
        <is>
          <t>Patricia Parada</t>
        </is>
      </c>
      <c r="D5677" t="inlineStr">
        <is>
          <t>Canelé Petit Relleno</t>
        </is>
      </c>
      <c r="E5677" s="34" t="n">
        <v>24390</v>
      </c>
      <c r="F5677" t="inlineStr">
        <is>
          <t>B</t>
        </is>
      </c>
      <c r="G5677" s="34" t="n">
        <v>3894</v>
      </c>
      <c r="H5677" s="34" t="n">
        <v>20496</v>
      </c>
      <c r="I5677" t="inlineStr">
        <is>
          <t>3.2</t>
        </is>
      </c>
      <c r="J5677" t="inlineStr">
        <is>
          <t>Ventas Personas (B2C)</t>
        </is>
      </c>
      <c r="K5677" t="inlineStr">
        <is>
          <t>CH2</t>
        </is>
      </c>
    </row>
    <row r="5678">
      <c r="A5678" s="33" t="n">
        <v>46085</v>
      </c>
      <c r="B5678" t="inlineStr">
        <is>
          <t>2026-03</t>
        </is>
      </c>
      <c r="C5678" t="inlineStr">
        <is>
          <t>Claudio concha Concha</t>
        </is>
      </c>
      <c r="D5678" t="inlineStr">
        <is>
          <t>Canelé Petit Relleno</t>
        </is>
      </c>
      <c r="E5678" s="34" t="n">
        <v>23390</v>
      </c>
      <c r="F5678" t="inlineStr">
        <is>
          <t>B</t>
        </is>
      </c>
      <c r="G5678" s="34" t="n">
        <v>3735</v>
      </c>
      <c r="H5678" s="34" t="n">
        <v>19655</v>
      </c>
      <c r="I5678" t="inlineStr">
        <is>
          <t>3.2</t>
        </is>
      </c>
      <c r="J5678" t="inlineStr">
        <is>
          <t>Ventas Personas (B2C)</t>
        </is>
      </c>
      <c r="K5678" t="inlineStr">
        <is>
          <t>CH2</t>
        </is>
      </c>
    </row>
    <row r="5679">
      <c r="A5679" s="33" t="n">
        <v>46085</v>
      </c>
      <c r="B5679" t="inlineStr">
        <is>
          <t>2026-03</t>
        </is>
      </c>
      <c r="C5679" t="inlineStr">
        <is>
          <t>Daniela Gomez</t>
        </is>
      </c>
      <c r="D5679" t="inlineStr">
        <is>
          <t>CANELÉ TRADICIONAL</t>
        </is>
      </c>
      <c r="E5679" s="34" t="n">
        <v>20390</v>
      </c>
      <c r="F5679" t="inlineStr">
        <is>
          <t>B</t>
        </is>
      </c>
      <c r="G5679" s="34" t="n">
        <v>3256</v>
      </c>
      <c r="H5679" s="34" t="n">
        <v>17134</v>
      </c>
      <c r="I5679" t="inlineStr">
        <is>
          <t>3.2</t>
        </is>
      </c>
      <c r="J5679" t="inlineStr">
        <is>
          <t>Ventas Personas (B2C)</t>
        </is>
      </c>
      <c r="K5679" t="inlineStr">
        <is>
          <t>CH2</t>
        </is>
      </c>
    </row>
    <row r="5680">
      <c r="A5680" s="33" t="n">
        <v>46085</v>
      </c>
      <c r="B5680" t="inlineStr">
        <is>
          <t>2026-03</t>
        </is>
      </c>
      <c r="C5680" t="inlineStr">
        <is>
          <t>Sin cliente</t>
        </is>
      </c>
      <c r="D5680" t="inlineStr">
        <is>
          <t>Rellenos</t>
        </is>
      </c>
      <c r="E5680" s="34" t="n">
        <v>3500</v>
      </c>
      <c r="F5680" t="inlineStr">
        <is>
          <t>B</t>
        </is>
      </c>
      <c r="G5680" s="34" t="n">
        <v>559</v>
      </c>
      <c r="H5680" s="34" t="n">
        <v>2941</v>
      </c>
      <c r="I5680" t="inlineStr">
        <is>
          <t>3.2</t>
        </is>
      </c>
      <c r="J5680" t="inlineStr">
        <is>
          <t>Ventas Personas (B2C)</t>
        </is>
      </c>
      <c r="K5680" t="inlineStr">
        <is>
          <t>CH2</t>
        </is>
      </c>
    </row>
    <row r="5681">
      <c r="A5681" s="33" t="n">
        <v>46085</v>
      </c>
      <c r="B5681" t="inlineStr">
        <is>
          <t>2026-03</t>
        </is>
      </c>
      <c r="C5681" t="inlineStr">
        <is>
          <t>Maria Jose Grez</t>
        </is>
      </c>
      <c r="D5681" t="inlineStr">
        <is>
          <t>Rellenos</t>
        </is>
      </c>
      <c r="E5681" s="34" t="n">
        <v>-3500</v>
      </c>
      <c r="F5681" t="inlineStr">
        <is>
          <t>NC</t>
        </is>
      </c>
      <c r="G5681" s="34" t="n">
        <v>-559</v>
      </c>
      <c r="H5681" s="34" t="n">
        <v>-2941</v>
      </c>
      <c r="I5681" t="inlineStr">
        <is>
          <t>3.2</t>
        </is>
      </c>
      <c r="J5681" t="inlineStr">
        <is>
          <t>Ventas Personas (B2C)</t>
        </is>
      </c>
      <c r="K5681" t="inlineStr">
        <is>
          <t>CH2</t>
        </is>
      </c>
    </row>
    <row r="5682">
      <c r="A5682" s="33" t="n">
        <v>46085</v>
      </c>
      <c r="B5682" t="inlineStr">
        <is>
          <t>2026-03</t>
        </is>
      </c>
      <c r="C5682" t="inlineStr">
        <is>
          <t>Sin cliente</t>
        </is>
      </c>
      <c r="D5682" t="inlineStr">
        <is>
          <t>Rellenos</t>
        </is>
      </c>
      <c r="E5682" s="34" t="n">
        <v>3500</v>
      </c>
      <c r="F5682" t="inlineStr">
        <is>
          <t>B</t>
        </is>
      </c>
      <c r="G5682" s="34" t="n">
        <v>559</v>
      </c>
      <c r="H5682" s="34" t="n">
        <v>2941</v>
      </c>
      <c r="I5682" t="inlineStr">
        <is>
          <t>3.2</t>
        </is>
      </c>
      <c r="J5682" t="inlineStr">
        <is>
          <t>Ventas Personas (B2C)</t>
        </is>
      </c>
      <c r="K5682" t="inlineStr">
        <is>
          <t>CH2</t>
        </is>
      </c>
    </row>
    <row r="5683">
      <c r="A5683" s="33" t="n">
        <v>46085</v>
      </c>
      <c r="B5683" t="inlineStr">
        <is>
          <t>2026-03</t>
        </is>
      </c>
      <c r="C5683" t="inlineStr">
        <is>
          <t>Sin cliente</t>
        </is>
      </c>
      <c r="D5683" t="inlineStr">
        <is>
          <t>CANELÉ TRADICIONAL</t>
        </is>
      </c>
      <c r="E5683" s="34" t="n">
        <v>20600</v>
      </c>
      <c r="F5683" t="inlineStr">
        <is>
          <t>B</t>
        </is>
      </c>
      <c r="G5683" s="34" t="n">
        <v>3289</v>
      </c>
      <c r="H5683" s="34" t="n">
        <v>17311</v>
      </c>
      <c r="I5683" t="inlineStr">
        <is>
          <t>3.2</t>
        </is>
      </c>
      <c r="J5683" t="inlineStr">
        <is>
          <t>Ventas Personas (B2C)</t>
        </is>
      </c>
      <c r="K5683" t="inlineStr">
        <is>
          <t>CH2</t>
        </is>
      </c>
    </row>
    <row r="5684">
      <c r="A5684" s="33" t="n">
        <v>46085</v>
      </c>
      <c r="B5684" t="inlineStr">
        <is>
          <t>2026-03</t>
        </is>
      </c>
      <c r="C5684" t="inlineStr">
        <is>
          <t>Inia Mardel</t>
        </is>
      </c>
      <c r="D5684" t="inlineStr">
        <is>
          <t>Petit Crunchy</t>
        </is>
      </c>
      <c r="E5684" s="34" t="n">
        <v>20390</v>
      </c>
      <c r="F5684" t="inlineStr">
        <is>
          <t>B</t>
        </is>
      </c>
      <c r="G5684" s="34" t="n">
        <v>3256</v>
      </c>
      <c r="H5684" s="34" t="n">
        <v>17134</v>
      </c>
      <c r="I5684" t="inlineStr">
        <is>
          <t>3.2</t>
        </is>
      </c>
      <c r="J5684" t="inlineStr">
        <is>
          <t>Ventas Personas (B2C)</t>
        </is>
      </c>
      <c r="K5684" t="inlineStr">
        <is>
          <t>CH2</t>
        </is>
      </c>
    </row>
    <row r="5685">
      <c r="A5685" s="33" t="n">
        <v>46085</v>
      </c>
      <c r="B5685" t="inlineStr">
        <is>
          <t>2026-03</t>
        </is>
      </c>
      <c r="C5685" t="inlineStr">
        <is>
          <t>Javiera Guzman</t>
        </is>
      </c>
      <c r="D5685" t="inlineStr">
        <is>
          <t>Petit Tradicional</t>
        </is>
      </c>
      <c r="E5685" s="34" t="n">
        <v>13800</v>
      </c>
      <c r="F5685" t="inlineStr">
        <is>
          <t>B</t>
        </is>
      </c>
      <c r="G5685" s="34" t="n">
        <v>2203</v>
      </c>
      <c r="H5685" s="34" t="n">
        <v>11597</v>
      </c>
      <c r="I5685" t="inlineStr">
        <is>
          <t>3.2</t>
        </is>
      </c>
      <c r="J5685" t="inlineStr">
        <is>
          <t>Ventas Personas (B2C)</t>
        </is>
      </c>
      <c r="K5685" t="inlineStr">
        <is>
          <t>CH2</t>
        </is>
      </c>
    </row>
    <row r="5686">
      <c r="A5686" s="33" t="n">
        <v>46086</v>
      </c>
      <c r="B5686" t="inlineStr">
        <is>
          <t>2026-03</t>
        </is>
      </c>
      <c r="C5686" t="inlineStr">
        <is>
          <t>VILAS BANQUETERIAS SPA</t>
        </is>
      </c>
      <c r="D5686" t="inlineStr">
        <is>
          <t>HORECA CATERING</t>
        </is>
      </c>
      <c r="E5686" s="34" t="n">
        <v>219079</v>
      </c>
      <c r="F5686" t="inlineStr">
        <is>
          <t>F</t>
        </is>
      </c>
      <c r="G5686" s="34" t="n">
        <v>34979</v>
      </c>
      <c r="H5686" s="34" t="n">
        <v>184100</v>
      </c>
      <c r="I5686" t="inlineStr">
        <is>
          <t>3.1</t>
        </is>
      </c>
      <c r="J5686" t="inlineStr">
        <is>
          <t>Ventas HoReCa</t>
        </is>
      </c>
      <c r="K5686" t="inlineStr">
        <is>
          <t>CH1</t>
        </is>
      </c>
    </row>
    <row r="5687">
      <c r="A5687" s="33" t="n">
        <v>46086</v>
      </c>
      <c r="B5687" t="inlineStr">
        <is>
          <t>2026-03</t>
        </is>
      </c>
      <c r="C5687" t="inlineStr">
        <is>
          <t>Better Food Spa</t>
        </is>
      </c>
      <c r="D5687" t="inlineStr">
        <is>
          <t>HORECA CAFETERIA</t>
        </is>
      </c>
      <c r="E5687" s="34" t="n">
        <v>385132</v>
      </c>
      <c r="F5687" t="inlineStr">
        <is>
          <t>F</t>
        </is>
      </c>
      <c r="G5687" s="34" t="n">
        <v>61492</v>
      </c>
      <c r="H5687" s="34" t="n">
        <v>323640</v>
      </c>
      <c r="I5687" t="inlineStr">
        <is>
          <t>3.1</t>
        </is>
      </c>
      <c r="J5687" t="inlineStr">
        <is>
          <t>Ventas HoReCa</t>
        </is>
      </c>
      <c r="K5687" t="inlineStr">
        <is>
          <t>CH1</t>
        </is>
      </c>
    </row>
    <row r="5688">
      <c r="A5688" s="33" t="n">
        <v>46086</v>
      </c>
      <c r="B5688" t="inlineStr">
        <is>
          <t>2026-03</t>
        </is>
      </c>
      <c r="C5688" t="inlineStr">
        <is>
          <t>Better Food Spa</t>
        </is>
      </c>
      <c r="D5688" t="inlineStr">
        <is>
          <t>REGION METROPOLITANA</t>
        </is>
      </c>
      <c r="E5688" s="34" t="n">
        <v>9401</v>
      </c>
      <c r="F5688" t="inlineStr">
        <is>
          <t>F</t>
        </is>
      </c>
      <c r="G5688" s="34" t="n">
        <v>1501</v>
      </c>
      <c r="H5688" s="34" t="n">
        <v>7900</v>
      </c>
      <c r="I5688" t="inlineStr">
        <is>
          <t>3.1</t>
        </is>
      </c>
      <c r="J5688" t="inlineStr">
        <is>
          <t>Ventas HoReCa</t>
        </is>
      </c>
      <c r="K5688" t="inlineStr">
        <is>
          <t>CH1</t>
        </is>
      </c>
    </row>
    <row r="5689">
      <c r="A5689" s="33" t="n">
        <v>46086</v>
      </c>
      <c r="B5689" t="inlineStr">
        <is>
          <t>2026-03</t>
        </is>
      </c>
      <c r="C5689" t="inlineStr">
        <is>
          <t>D&amp;S SERVICIOS DE ALIMENTACIÓN SpA</t>
        </is>
      </c>
      <c r="D5689" t="inlineStr">
        <is>
          <t xml:space="preserve">THE COFFEE STORE </t>
        </is>
      </c>
      <c r="E5689" s="34" t="n">
        <v>44705</v>
      </c>
      <c r="F5689" t="inlineStr">
        <is>
          <t>F</t>
        </is>
      </c>
      <c r="G5689" s="34" t="n">
        <v>7138</v>
      </c>
      <c r="H5689" s="34" t="n">
        <v>37567</v>
      </c>
      <c r="I5689" t="inlineStr">
        <is>
          <t>3.1</t>
        </is>
      </c>
      <c r="J5689" t="inlineStr">
        <is>
          <t>Ventas HoReCa</t>
        </is>
      </c>
      <c r="K5689" t="inlineStr">
        <is>
          <t>CH1</t>
        </is>
      </c>
    </row>
    <row r="5690">
      <c r="A5690" s="33" t="n">
        <v>46086</v>
      </c>
      <c r="B5690" t="inlineStr">
        <is>
          <t>2026-03</t>
        </is>
      </c>
      <c r="C5690" t="inlineStr">
        <is>
          <t>Valentina Caracotch</t>
        </is>
      </c>
      <c r="D5690" t="inlineStr">
        <is>
          <t>Canelé Petit Relleno</t>
        </is>
      </c>
      <c r="E5690" s="34" t="n">
        <v>13900</v>
      </c>
      <c r="F5690" t="inlineStr">
        <is>
          <t>B</t>
        </is>
      </c>
      <c r="G5690" s="34" t="n">
        <v>2219</v>
      </c>
      <c r="H5690" s="34" t="n">
        <v>11681</v>
      </c>
      <c r="I5690" t="inlineStr">
        <is>
          <t>3.2</t>
        </is>
      </c>
      <c r="J5690" t="inlineStr">
        <is>
          <t>Ventas Personas (B2C)</t>
        </is>
      </c>
      <c r="K5690" t="inlineStr">
        <is>
          <t>CH2</t>
        </is>
      </c>
    </row>
    <row r="5691">
      <c r="A5691" s="33" t="n">
        <v>46086</v>
      </c>
      <c r="B5691" t="inlineStr">
        <is>
          <t>2026-03</t>
        </is>
      </c>
      <c r="C5691" t="inlineStr">
        <is>
          <t>Ljubica Milos</t>
        </is>
      </c>
      <c r="D5691" t="inlineStr">
        <is>
          <t>Petit Crunchy</t>
        </is>
      </c>
      <c r="E5691" s="34" t="n">
        <v>16390</v>
      </c>
      <c r="F5691" t="inlineStr">
        <is>
          <t>B</t>
        </is>
      </c>
      <c r="G5691" s="34" t="n">
        <v>2617</v>
      </c>
      <c r="H5691" s="34" t="n">
        <v>13773</v>
      </c>
      <c r="I5691" t="inlineStr">
        <is>
          <t>3.2</t>
        </is>
      </c>
      <c r="J5691" t="inlineStr">
        <is>
          <t>Ventas Personas (B2C)</t>
        </is>
      </c>
      <c r="K5691" t="inlineStr">
        <is>
          <t>CH2</t>
        </is>
      </c>
    </row>
    <row r="5692">
      <c r="A5692" s="33" t="n">
        <v>46086</v>
      </c>
      <c r="B5692" t="inlineStr">
        <is>
          <t>2026-03</t>
        </is>
      </c>
      <c r="C5692" t="inlineStr">
        <is>
          <t>Sin cliente</t>
        </is>
      </c>
      <c r="D5692" t="inlineStr">
        <is>
          <t>Cafeteria Geronimo</t>
        </is>
      </c>
      <c r="E5692" s="34" t="n">
        <v>2800</v>
      </c>
      <c r="F5692" t="inlineStr">
        <is>
          <t>B</t>
        </is>
      </c>
      <c r="G5692" s="34" t="n">
        <v>447</v>
      </c>
      <c r="H5692" s="34" t="n">
        <v>2353</v>
      </c>
      <c r="I5692" t="inlineStr">
        <is>
          <t>3.2</t>
        </is>
      </c>
      <c r="J5692" t="inlineStr">
        <is>
          <t>Ventas Personas (B2C)</t>
        </is>
      </c>
      <c r="K5692" t="inlineStr">
        <is>
          <t>CH2</t>
        </is>
      </c>
    </row>
    <row r="5693">
      <c r="A5693" s="33" t="n">
        <v>46086</v>
      </c>
      <c r="B5693" t="inlineStr">
        <is>
          <t>2026-03</t>
        </is>
      </c>
      <c r="C5693" t="inlineStr">
        <is>
          <t>Sin cliente</t>
        </is>
      </c>
      <c r="D5693" t="inlineStr">
        <is>
          <t>Rellenos</t>
        </is>
      </c>
      <c r="E5693" s="34" t="n">
        <v>40200</v>
      </c>
      <c r="F5693" t="inlineStr">
        <is>
          <t>B</t>
        </is>
      </c>
      <c r="G5693" s="34" t="n">
        <v>6418</v>
      </c>
      <c r="H5693" s="34" t="n">
        <v>33782</v>
      </c>
      <c r="I5693" t="inlineStr">
        <is>
          <t>3.2</t>
        </is>
      </c>
      <c r="J5693" t="inlineStr">
        <is>
          <t>Ventas Personas (B2C)</t>
        </is>
      </c>
      <c r="K5693" t="inlineStr">
        <is>
          <t>CH2</t>
        </is>
      </c>
    </row>
    <row r="5694">
      <c r="A5694" s="33" t="n">
        <v>46086</v>
      </c>
      <c r="B5694" t="inlineStr">
        <is>
          <t>2026-03</t>
        </is>
      </c>
      <c r="C5694" t="inlineStr">
        <is>
          <t>Sin cliente</t>
        </is>
      </c>
      <c r="D5694" t="inlineStr">
        <is>
          <t>Delicatessen</t>
        </is>
      </c>
      <c r="E5694" s="34" t="n">
        <v>13600</v>
      </c>
      <c r="F5694" t="inlineStr">
        <is>
          <t>B</t>
        </is>
      </c>
      <c r="G5694" s="34" t="n">
        <v>2171</v>
      </c>
      <c r="H5694" s="34" t="n">
        <v>11429</v>
      </c>
      <c r="I5694" t="inlineStr">
        <is>
          <t>3.2</t>
        </is>
      </c>
      <c r="J5694" t="inlineStr">
        <is>
          <t>Ventas Personas (B2C)</t>
        </is>
      </c>
      <c r="K5694" t="inlineStr">
        <is>
          <t>CH2</t>
        </is>
      </c>
    </row>
    <row r="5695">
      <c r="A5695" s="33" t="n">
        <v>46086</v>
      </c>
      <c r="B5695" t="inlineStr">
        <is>
          <t>2026-03</t>
        </is>
      </c>
      <c r="C5695" t="inlineStr">
        <is>
          <t>Sin cliente</t>
        </is>
      </c>
      <c r="D5695" t="inlineStr">
        <is>
          <t>PLATAFORMAS RAP-PEYA-UBER-GOOD</t>
        </is>
      </c>
      <c r="E5695" s="34" t="n">
        <v>27480</v>
      </c>
      <c r="F5695" t="inlineStr">
        <is>
          <t>B</t>
        </is>
      </c>
      <c r="G5695" s="34" t="n">
        <v>4388</v>
      </c>
      <c r="H5695" s="34" t="n">
        <v>23092</v>
      </c>
      <c r="I5695" t="inlineStr">
        <is>
          <t>3.6</t>
        </is>
      </c>
      <c r="J5695" t="inlineStr">
        <is>
          <t>Ventas Delivery Apps</t>
        </is>
      </c>
      <c r="K5695" t="inlineStr">
        <is>
          <t>CH3</t>
        </is>
      </c>
    </row>
    <row r="5696">
      <c r="A5696" s="33" t="n">
        <v>46086</v>
      </c>
      <c r="B5696" t="inlineStr">
        <is>
          <t>2026-03</t>
        </is>
      </c>
      <c r="C5696" t="inlineStr">
        <is>
          <t>Sin cliente</t>
        </is>
      </c>
      <c r="D5696" t="inlineStr">
        <is>
          <t>PLATAFORMAS RAP-PEYA-UBER-GOOD</t>
        </is>
      </c>
      <c r="E5696" s="34" t="n">
        <v>24840</v>
      </c>
      <c r="F5696" t="inlineStr">
        <is>
          <t>B</t>
        </is>
      </c>
      <c r="G5696" s="34" t="n">
        <v>3966</v>
      </c>
      <c r="H5696" s="34" t="n">
        <v>20874</v>
      </c>
      <c r="I5696" t="inlineStr">
        <is>
          <t>3.6</t>
        </is>
      </c>
      <c r="J5696" t="inlineStr">
        <is>
          <t>Ventas Delivery Apps</t>
        </is>
      </c>
      <c r="K5696" t="inlineStr">
        <is>
          <t>CH3</t>
        </is>
      </c>
    </row>
    <row r="5697">
      <c r="A5697" s="33" t="n">
        <v>46086</v>
      </c>
      <c r="B5697" t="inlineStr">
        <is>
          <t>2026-03</t>
        </is>
      </c>
      <c r="C5697" t="inlineStr">
        <is>
          <t>Sin cliente</t>
        </is>
      </c>
      <c r="D5697" t="inlineStr">
        <is>
          <t>PLATAFORMAS RAP-PEYA-UBER-GOOD</t>
        </is>
      </c>
      <c r="E5697" s="34" t="n">
        <v>14400</v>
      </c>
      <c r="F5697" t="inlineStr">
        <is>
          <t>B</t>
        </is>
      </c>
      <c r="G5697" s="34" t="n">
        <v>2299</v>
      </c>
      <c r="H5697" s="34" t="n">
        <v>12101</v>
      </c>
      <c r="I5697" t="inlineStr">
        <is>
          <t>3.6</t>
        </is>
      </c>
      <c r="J5697" t="inlineStr">
        <is>
          <t>Ventas Delivery Apps</t>
        </is>
      </c>
      <c r="K5697" t="inlineStr">
        <is>
          <t>CH3</t>
        </is>
      </c>
    </row>
    <row r="5698">
      <c r="A5698" s="33" t="n">
        <v>46086</v>
      </c>
      <c r="B5698" t="inlineStr">
        <is>
          <t>2026-03</t>
        </is>
      </c>
      <c r="C5698" t="inlineStr">
        <is>
          <t>Sin cliente</t>
        </is>
      </c>
      <c r="D5698" t="inlineStr">
        <is>
          <t>Cafeteria Geronimo</t>
        </is>
      </c>
      <c r="E5698" s="34" t="n">
        <v>24600</v>
      </c>
      <c r="F5698" t="inlineStr">
        <is>
          <t>B</t>
        </is>
      </c>
      <c r="G5698" s="34" t="n">
        <v>3928</v>
      </c>
      <c r="H5698" s="34" t="n">
        <v>20672</v>
      </c>
      <c r="I5698" t="inlineStr">
        <is>
          <t>3.2</t>
        </is>
      </c>
      <c r="J5698" t="inlineStr">
        <is>
          <t>Ventas Personas (B2C)</t>
        </is>
      </c>
      <c r="K5698" t="inlineStr">
        <is>
          <t>CH2</t>
        </is>
      </c>
    </row>
    <row r="5699">
      <c r="A5699" s="33" t="n">
        <v>46086</v>
      </c>
      <c r="B5699" t="inlineStr">
        <is>
          <t>2026-03</t>
        </is>
      </c>
      <c r="C5699" t="inlineStr">
        <is>
          <t>Sin cliente</t>
        </is>
      </c>
      <c r="D5699" t="inlineStr">
        <is>
          <t>CANELÉ TRADICIONAL</t>
        </is>
      </c>
      <c r="E5699" s="34" t="n">
        <v>15900</v>
      </c>
      <c r="F5699" t="inlineStr">
        <is>
          <t>B</t>
        </is>
      </c>
      <c r="G5699" s="34" t="n">
        <v>2539</v>
      </c>
      <c r="H5699" s="34" t="n">
        <v>13361</v>
      </c>
      <c r="I5699" t="inlineStr">
        <is>
          <t>3.2</t>
        </is>
      </c>
      <c r="J5699" t="inlineStr">
        <is>
          <t>Ventas Personas (B2C)</t>
        </is>
      </c>
      <c r="K5699" t="inlineStr">
        <is>
          <t>CH2</t>
        </is>
      </c>
    </row>
    <row r="5700">
      <c r="A5700" s="33" t="n">
        <v>46086</v>
      </c>
      <c r="B5700" t="inlineStr">
        <is>
          <t>2026-03</t>
        </is>
      </c>
      <c r="C5700" t="inlineStr">
        <is>
          <t>Fabián Vega Tapia</t>
        </is>
      </c>
      <c r="D5700" t="inlineStr">
        <is>
          <t>CANELÉ TRADICIONAL</t>
        </is>
      </c>
      <c r="E5700" s="34" t="n">
        <v>23390</v>
      </c>
      <c r="F5700" t="inlineStr">
        <is>
          <t>B</t>
        </is>
      </c>
      <c r="G5700" s="34" t="n">
        <v>3735</v>
      </c>
      <c r="H5700" s="34" t="n">
        <v>19655</v>
      </c>
      <c r="I5700" t="inlineStr">
        <is>
          <t>3.2</t>
        </is>
      </c>
      <c r="J5700" t="inlineStr">
        <is>
          <t>Ventas Personas (B2C)</t>
        </is>
      </c>
      <c r="K5700" t="inlineStr">
        <is>
          <t>CH2</t>
        </is>
      </c>
    </row>
    <row r="5701">
      <c r="A5701" s="33" t="n">
        <v>46086</v>
      </c>
      <c r="B5701" t="inlineStr">
        <is>
          <t>2026-03</t>
        </is>
      </c>
      <c r="C5701" t="inlineStr">
        <is>
          <t>CANTABRIA SPA</t>
        </is>
      </c>
      <c r="D5701" t="inlineStr">
        <is>
          <t>REGION METROPOLITANA</t>
        </is>
      </c>
      <c r="E5701" s="34" t="n">
        <v>49266</v>
      </c>
      <c r="F5701" t="inlineStr">
        <is>
          <t>F</t>
        </is>
      </c>
      <c r="G5701" s="34" t="n">
        <v>7866</v>
      </c>
      <c r="H5701" s="34" t="n">
        <v>41400</v>
      </c>
      <c r="I5701" t="inlineStr">
        <is>
          <t>3.1</t>
        </is>
      </c>
      <c r="J5701" t="inlineStr">
        <is>
          <t>Ventas HoReCa</t>
        </is>
      </c>
      <c r="K5701" t="inlineStr">
        <is>
          <t>CH1</t>
        </is>
      </c>
    </row>
    <row r="5702">
      <c r="A5702" s="33" t="n">
        <v>46086</v>
      </c>
      <c r="B5702" t="inlineStr">
        <is>
          <t>2026-03</t>
        </is>
      </c>
      <c r="C5702" t="inlineStr">
        <is>
          <t>Sin cliente</t>
        </is>
      </c>
      <c r="D5702" t="inlineStr">
        <is>
          <t>CANELÉ TRADICIONAL</t>
        </is>
      </c>
      <c r="E5702" s="34" t="n">
        <v>51200</v>
      </c>
      <c r="F5702" t="inlineStr">
        <is>
          <t>B</t>
        </is>
      </c>
      <c r="G5702" s="34" t="n">
        <v>8175</v>
      </c>
      <c r="H5702" s="34" t="n">
        <v>43025</v>
      </c>
      <c r="I5702" t="inlineStr">
        <is>
          <t>3.2</t>
        </is>
      </c>
      <c r="J5702" t="inlineStr">
        <is>
          <t>Ventas Personas (B2C)</t>
        </is>
      </c>
      <c r="K5702" t="inlineStr">
        <is>
          <t>CH2</t>
        </is>
      </c>
    </row>
    <row r="5703">
      <c r="A5703" s="33" t="n">
        <v>46086</v>
      </c>
      <c r="B5703" t="inlineStr">
        <is>
          <t>2026-03</t>
        </is>
      </c>
      <c r="C5703" t="inlineStr">
        <is>
          <t>Sin cliente</t>
        </is>
      </c>
      <c r="D5703" t="inlineStr">
        <is>
          <t>CANELÉ TRADICIONAL</t>
        </is>
      </c>
      <c r="E5703" s="34" t="n">
        <v>15900</v>
      </c>
      <c r="F5703" t="inlineStr">
        <is>
          <t>B</t>
        </is>
      </c>
      <c r="G5703" s="34" t="n">
        <v>2539</v>
      </c>
      <c r="H5703" s="34" t="n">
        <v>13361</v>
      </c>
      <c r="I5703" t="inlineStr">
        <is>
          <t>3.2</t>
        </is>
      </c>
      <c r="J5703" t="inlineStr">
        <is>
          <t>Ventas Personas (B2C)</t>
        </is>
      </c>
      <c r="K5703" t="inlineStr">
        <is>
          <t>CH2</t>
        </is>
      </c>
    </row>
    <row r="5704">
      <c r="A5704" s="33" t="n">
        <v>46086</v>
      </c>
      <c r="B5704" t="inlineStr">
        <is>
          <t>2026-03</t>
        </is>
      </c>
      <c r="C5704" t="inlineStr">
        <is>
          <t>Maria Jose Aravena</t>
        </is>
      </c>
      <c r="D5704" t="inlineStr">
        <is>
          <t>PACKAGING</t>
        </is>
      </c>
      <c r="E5704" s="34" t="n">
        <v>33090</v>
      </c>
      <c r="F5704" t="inlineStr">
        <is>
          <t>B</t>
        </is>
      </c>
      <c r="G5704" s="34" t="n">
        <v>5283</v>
      </c>
      <c r="H5704" s="34" t="n">
        <v>27807</v>
      </c>
      <c r="I5704" t="inlineStr">
        <is>
          <t>3.2</t>
        </is>
      </c>
      <c r="J5704" t="inlineStr">
        <is>
          <t>Ventas Personas (B2C)</t>
        </is>
      </c>
      <c r="K5704" t="inlineStr">
        <is>
          <t>CH2</t>
        </is>
      </c>
    </row>
    <row r="5705">
      <c r="A5705" s="33" t="n">
        <v>46086</v>
      </c>
      <c r="B5705" t="inlineStr">
        <is>
          <t>2026-03</t>
        </is>
      </c>
      <c r="C5705" t="inlineStr">
        <is>
          <t>Sin cliente</t>
        </is>
      </c>
      <c r="D5705" t="inlineStr">
        <is>
          <t>PLATAFORMAS RAP-PEYA-UBER-GOOD</t>
        </is>
      </c>
      <c r="E5705" s="34" t="n">
        <v>27480</v>
      </c>
      <c r="F5705" t="inlineStr">
        <is>
          <t>B</t>
        </is>
      </c>
      <c r="G5705" s="34" t="n">
        <v>4388</v>
      </c>
      <c r="H5705" s="34" t="n">
        <v>23092</v>
      </c>
      <c r="I5705" t="inlineStr">
        <is>
          <t>3.6</t>
        </is>
      </c>
      <c r="J5705" t="inlineStr">
        <is>
          <t>Ventas Delivery Apps</t>
        </is>
      </c>
      <c r="K5705" t="inlineStr">
        <is>
          <t>CH3</t>
        </is>
      </c>
    </row>
    <row r="5706">
      <c r="A5706" s="33" t="n">
        <v>46086</v>
      </c>
      <c r="B5706" t="inlineStr">
        <is>
          <t>2026-03</t>
        </is>
      </c>
      <c r="C5706" t="inlineStr">
        <is>
          <t>Pamela Iglesias</t>
        </is>
      </c>
      <c r="D5706" t="inlineStr">
        <is>
          <t>CANELÉ TRADICIONAL</t>
        </is>
      </c>
      <c r="E5706" s="34" t="n">
        <v>26390</v>
      </c>
      <c r="F5706" t="inlineStr">
        <is>
          <t>B</t>
        </is>
      </c>
      <c r="G5706" s="34" t="n">
        <v>4214</v>
      </c>
      <c r="H5706" s="34" t="n">
        <v>22176</v>
      </c>
      <c r="I5706" t="inlineStr">
        <is>
          <t>3.2</t>
        </is>
      </c>
      <c r="J5706" t="inlineStr">
        <is>
          <t>Ventas Personas (B2C)</t>
        </is>
      </c>
      <c r="K5706" t="inlineStr">
        <is>
          <t>CH2</t>
        </is>
      </c>
    </row>
    <row r="5707">
      <c r="A5707" s="33" t="n">
        <v>46086</v>
      </c>
      <c r="B5707" t="inlineStr">
        <is>
          <t>2026-03</t>
        </is>
      </c>
      <c r="C5707" t="inlineStr">
        <is>
          <t>CONSTRUCTORA CUEVAS Y PURCELL S.A.</t>
        </is>
      </c>
      <c r="D5707" t="inlineStr">
        <is>
          <t>Petit Crunchy</t>
        </is>
      </c>
      <c r="E5707" s="34" t="n">
        <v>42921</v>
      </c>
      <c r="F5707" t="inlineStr">
        <is>
          <t>F</t>
        </is>
      </c>
      <c r="G5707" s="34" t="n">
        <v>6853</v>
      </c>
      <c r="H5707" s="34" t="n">
        <v>36068</v>
      </c>
      <c r="I5707" t="inlineStr">
        <is>
          <t>3.1</t>
        </is>
      </c>
      <c r="J5707" t="inlineStr">
        <is>
          <t>Ventas HoReCa</t>
        </is>
      </c>
      <c r="K5707" t="inlineStr">
        <is>
          <t>CH1</t>
        </is>
      </c>
    </row>
    <row r="5708">
      <c r="A5708" s="33" t="n">
        <v>46086</v>
      </c>
      <c r="B5708" t="inlineStr">
        <is>
          <t>2026-03</t>
        </is>
      </c>
      <c r="C5708" t="inlineStr">
        <is>
          <t>Lorena Ramírez</t>
        </is>
      </c>
      <c r="D5708" t="inlineStr">
        <is>
          <t>Petit Tradicional</t>
        </is>
      </c>
      <c r="E5708" s="34" t="n">
        <v>17290</v>
      </c>
      <c r="F5708" t="inlineStr">
        <is>
          <t>B</t>
        </is>
      </c>
      <c r="G5708" s="34" t="n">
        <v>2761</v>
      </c>
      <c r="H5708" s="34" t="n">
        <v>14529</v>
      </c>
      <c r="I5708" t="inlineStr">
        <is>
          <t>3.2</t>
        </is>
      </c>
      <c r="J5708" t="inlineStr">
        <is>
          <t>Ventas Personas (B2C)</t>
        </is>
      </c>
      <c r="K5708" t="inlineStr">
        <is>
          <t>CH2</t>
        </is>
      </c>
    </row>
    <row r="5709">
      <c r="A5709" s="33" t="n">
        <v>46086</v>
      </c>
      <c r="B5709" t="inlineStr">
        <is>
          <t>2026-03</t>
        </is>
      </c>
      <c r="C5709" t="inlineStr">
        <is>
          <t>Sin cliente</t>
        </is>
      </c>
      <c r="D5709" t="inlineStr">
        <is>
          <t>PLATAFORMAS RAP-PEYA-UBER-GOOD</t>
        </is>
      </c>
      <c r="E5709" s="34" t="n">
        <v>26160</v>
      </c>
      <c r="F5709" t="inlineStr">
        <is>
          <t>B</t>
        </is>
      </c>
      <c r="G5709" s="34" t="n">
        <v>4177</v>
      </c>
      <c r="H5709" s="34" t="n">
        <v>21983</v>
      </c>
      <c r="I5709" t="inlineStr">
        <is>
          <t>3.6</t>
        </is>
      </c>
      <c r="J5709" t="inlineStr">
        <is>
          <t>Ventas Delivery Apps</t>
        </is>
      </c>
      <c r="K5709" t="inlineStr">
        <is>
          <t>CH3</t>
        </is>
      </c>
    </row>
    <row r="5710">
      <c r="A5710" s="33" t="n">
        <v>46087</v>
      </c>
      <c r="B5710" t="inlineStr">
        <is>
          <t>2026-03</t>
        </is>
      </c>
      <c r="C5710" t="inlineStr">
        <is>
          <t>NICOLE LAUREN BANQUETERIA.</t>
        </is>
      </c>
      <c r="D5710" t="inlineStr">
        <is>
          <t>HORECA CATERING</t>
        </is>
      </c>
      <c r="E5710" s="34" t="n">
        <v>261681</v>
      </c>
      <c r="F5710" t="inlineStr">
        <is>
          <t>F</t>
        </is>
      </c>
      <c r="G5710" s="34" t="n">
        <v>41781</v>
      </c>
      <c r="H5710" s="34" t="n">
        <v>219900</v>
      </c>
      <c r="I5710" t="inlineStr">
        <is>
          <t>3.1</t>
        </is>
      </c>
      <c r="J5710" t="inlineStr">
        <is>
          <t>Ventas HoReCa</t>
        </is>
      </c>
      <c r="K5710" t="inlineStr">
        <is>
          <t>CH1</t>
        </is>
      </c>
    </row>
    <row r="5711">
      <c r="A5711" s="33" t="n">
        <v>46087</v>
      </c>
      <c r="B5711" t="inlineStr">
        <is>
          <t>2026-03</t>
        </is>
      </c>
      <c r="C5711" t="inlineStr">
        <is>
          <t>DIEGO VARGAS BANQUETERIA Y EVENTOS SPA</t>
        </is>
      </c>
      <c r="D5711" t="inlineStr">
        <is>
          <t>HORECA CATERING</t>
        </is>
      </c>
      <c r="E5711" s="34" t="n">
        <v>281911</v>
      </c>
      <c r="F5711" t="inlineStr">
        <is>
          <t>F</t>
        </is>
      </c>
      <c r="G5711" s="34" t="n">
        <v>45011</v>
      </c>
      <c r="H5711" s="34" t="n">
        <v>236900</v>
      </c>
      <c r="I5711" t="inlineStr">
        <is>
          <t>3.1</t>
        </is>
      </c>
      <c r="J5711" t="inlineStr">
        <is>
          <t>Ventas HoReCa</t>
        </is>
      </c>
      <c r="K5711" t="inlineStr">
        <is>
          <t>CH1</t>
        </is>
      </c>
    </row>
    <row r="5712">
      <c r="A5712" s="33" t="n">
        <v>46087</v>
      </c>
      <c r="B5712" t="inlineStr">
        <is>
          <t>2026-03</t>
        </is>
      </c>
      <c r="C5712" t="inlineStr">
        <is>
          <t>Sociedad de inversiones solari y acuña spa</t>
        </is>
      </c>
      <c r="D5712" t="inlineStr">
        <is>
          <t>HORECA CAFETERIA</t>
        </is>
      </c>
      <c r="E5712" s="34" t="n">
        <v>136410</v>
      </c>
      <c r="F5712" t="inlineStr">
        <is>
          <t>F</t>
        </is>
      </c>
      <c r="G5712" s="34" t="n">
        <v>21780</v>
      </c>
      <c r="H5712" s="34" t="n">
        <v>114630</v>
      </c>
      <c r="I5712" t="inlineStr">
        <is>
          <t>3.1</t>
        </is>
      </c>
      <c r="J5712" t="inlineStr">
        <is>
          <t>Ventas HoReCa</t>
        </is>
      </c>
      <c r="K5712" t="inlineStr">
        <is>
          <t>CH1</t>
        </is>
      </c>
    </row>
    <row r="5713">
      <c r="A5713" s="33" t="n">
        <v>46087</v>
      </c>
      <c r="B5713" t="inlineStr">
        <is>
          <t>2026-03</t>
        </is>
      </c>
      <c r="C5713" t="inlineStr">
        <is>
          <t>DIEGO VARGAS BANQUETERIA Y EVENTOS SPA</t>
        </is>
      </c>
      <c r="D5713" t="inlineStr">
        <is>
          <t>HORECA CATERING</t>
        </is>
      </c>
      <c r="E5713" s="34" t="n">
        <v>-281911</v>
      </c>
      <c r="F5713" t="inlineStr">
        <is>
          <t>NC</t>
        </is>
      </c>
      <c r="G5713" s="34" t="n">
        <v>-45011</v>
      </c>
      <c r="H5713" s="34" t="n">
        <v>-236900</v>
      </c>
      <c r="I5713" t="inlineStr">
        <is>
          <t>3.1</t>
        </is>
      </c>
      <c r="J5713" t="inlineStr">
        <is>
          <t>Ventas HoReCa</t>
        </is>
      </c>
      <c r="K5713" t="inlineStr">
        <is>
          <t>CH1</t>
        </is>
      </c>
    </row>
    <row r="5714">
      <c r="A5714" s="33" t="n">
        <v>46087</v>
      </c>
      <c r="B5714" t="inlineStr">
        <is>
          <t>2026-03</t>
        </is>
      </c>
      <c r="C5714" t="inlineStr">
        <is>
          <t>DIEGO VARGAS BANQUETERIA Y EVENTOS SPA</t>
        </is>
      </c>
      <c r="D5714" t="inlineStr">
        <is>
          <t>HORECA CATERING</t>
        </is>
      </c>
      <c r="E5714" s="34" t="n">
        <v>291312</v>
      </c>
      <c r="F5714" t="inlineStr">
        <is>
          <t>F</t>
        </is>
      </c>
      <c r="G5714" s="34" t="n">
        <v>46512</v>
      </c>
      <c r="H5714" s="34" t="n">
        <v>244800</v>
      </c>
      <c r="I5714" t="inlineStr">
        <is>
          <t>3.1</t>
        </is>
      </c>
      <c r="J5714" t="inlineStr">
        <is>
          <t>Ventas HoReCa</t>
        </is>
      </c>
      <c r="K5714" t="inlineStr">
        <is>
          <t>CH1</t>
        </is>
      </c>
    </row>
    <row r="5715">
      <c r="A5715" s="33" t="n">
        <v>46087</v>
      </c>
      <c r="B5715" t="inlineStr">
        <is>
          <t>2026-03</t>
        </is>
      </c>
      <c r="C5715" t="inlineStr">
        <is>
          <t>Sin cliente</t>
        </is>
      </c>
      <c r="D5715" t="inlineStr">
        <is>
          <t>CANELÉ TRADICIONAL</t>
        </is>
      </c>
      <c r="E5715" s="34" t="n">
        <v>20100</v>
      </c>
      <c r="F5715" t="inlineStr">
        <is>
          <t>B</t>
        </is>
      </c>
      <c r="G5715" s="34" t="n">
        <v>3209</v>
      </c>
      <c r="H5715" s="34" t="n">
        <v>16891</v>
      </c>
      <c r="I5715" t="inlineStr">
        <is>
          <t>3.2</t>
        </is>
      </c>
      <c r="J5715" t="inlineStr">
        <is>
          <t>Ventas Personas (B2C)</t>
        </is>
      </c>
      <c r="K5715" t="inlineStr">
        <is>
          <t>CH2</t>
        </is>
      </c>
    </row>
    <row r="5716">
      <c r="A5716" s="33" t="n">
        <v>46087</v>
      </c>
      <c r="B5716" t="inlineStr">
        <is>
          <t>2026-03</t>
        </is>
      </c>
      <c r="C5716" t="inlineStr">
        <is>
          <t>Sin cliente</t>
        </is>
      </c>
      <c r="D5716" t="inlineStr">
        <is>
          <t>Rellenos</t>
        </is>
      </c>
      <c r="E5716" s="34" t="n">
        <v>7000</v>
      </c>
      <c r="F5716" t="inlineStr">
        <is>
          <t>B</t>
        </is>
      </c>
      <c r="G5716" s="34" t="n">
        <v>1118</v>
      </c>
      <c r="H5716" s="34" t="n">
        <v>5882</v>
      </c>
      <c r="I5716" t="inlineStr">
        <is>
          <t>3.2</t>
        </is>
      </c>
      <c r="J5716" t="inlineStr">
        <is>
          <t>Ventas Personas (B2C)</t>
        </is>
      </c>
      <c r="K5716" t="inlineStr">
        <is>
          <t>CH2</t>
        </is>
      </c>
    </row>
    <row r="5717">
      <c r="A5717" s="33" t="n">
        <v>46087</v>
      </c>
      <c r="B5717" t="inlineStr">
        <is>
          <t>2026-03</t>
        </is>
      </c>
      <c r="C5717" t="inlineStr">
        <is>
          <t>Sin cliente</t>
        </is>
      </c>
      <c r="D5717" t="inlineStr">
        <is>
          <t>Cafeteria Geronimo</t>
        </is>
      </c>
      <c r="E5717" s="34" t="n">
        <v>10200</v>
      </c>
      <c r="F5717" t="inlineStr">
        <is>
          <t>B</t>
        </is>
      </c>
      <c r="G5717" s="34" t="n">
        <v>1629</v>
      </c>
      <c r="H5717" s="34" t="n">
        <v>8571</v>
      </c>
      <c r="I5717" t="inlineStr">
        <is>
          <t>3.2</t>
        </is>
      </c>
      <c r="J5717" t="inlineStr">
        <is>
          <t>Ventas Personas (B2C)</t>
        </is>
      </c>
      <c r="K5717" t="inlineStr">
        <is>
          <t>CH2</t>
        </is>
      </c>
    </row>
    <row r="5718">
      <c r="A5718" s="33" t="n">
        <v>46087</v>
      </c>
      <c r="B5718" t="inlineStr">
        <is>
          <t>2026-03</t>
        </is>
      </c>
      <c r="C5718" t="inlineStr">
        <is>
          <t>Sin cliente</t>
        </is>
      </c>
      <c r="D5718" t="inlineStr">
        <is>
          <t>PLATAFORMAS RAP-PEYA-UBER-GOOD</t>
        </is>
      </c>
      <c r="E5718" s="34" t="n">
        <v>39480</v>
      </c>
      <c r="F5718" t="inlineStr">
        <is>
          <t>B</t>
        </is>
      </c>
      <c r="G5718" s="34" t="n">
        <v>6304</v>
      </c>
      <c r="H5718" s="34" t="n">
        <v>33176</v>
      </c>
      <c r="I5718" t="inlineStr">
        <is>
          <t>3.6</t>
        </is>
      </c>
      <c r="J5718" t="inlineStr">
        <is>
          <t>Ventas Delivery Apps</t>
        </is>
      </c>
      <c r="K5718" t="inlineStr">
        <is>
          <t>CH3</t>
        </is>
      </c>
    </row>
    <row r="5719">
      <c r="A5719" s="33" t="n">
        <v>46087</v>
      </c>
      <c r="B5719" t="inlineStr">
        <is>
          <t>2026-03</t>
        </is>
      </c>
      <c r="C5719" t="inlineStr">
        <is>
          <t>Josefina Sepulveda</t>
        </is>
      </c>
      <c r="D5719" t="inlineStr">
        <is>
          <t>CANELÉ TRADICIONAL</t>
        </is>
      </c>
      <c r="E5719" s="34" t="n">
        <v>27390</v>
      </c>
      <c r="F5719" t="inlineStr">
        <is>
          <t>B</t>
        </is>
      </c>
      <c r="G5719" s="34" t="n">
        <v>4373</v>
      </c>
      <c r="H5719" s="34" t="n">
        <v>23017</v>
      </c>
      <c r="I5719" t="inlineStr">
        <is>
          <t>3.2</t>
        </is>
      </c>
      <c r="J5719" t="inlineStr">
        <is>
          <t>Ventas Personas (B2C)</t>
        </is>
      </c>
      <c r="K5719" t="inlineStr">
        <is>
          <t>CH2</t>
        </is>
      </c>
    </row>
    <row r="5720">
      <c r="A5720" s="33" t="n">
        <v>46087</v>
      </c>
      <c r="B5720" t="inlineStr">
        <is>
          <t>2026-03</t>
        </is>
      </c>
      <c r="C5720" t="inlineStr">
        <is>
          <t>Tamara Loyola</t>
        </is>
      </c>
      <c r="D5720" t="inlineStr">
        <is>
          <t>Petit Tradicional</t>
        </is>
      </c>
      <c r="E5720" s="34" t="n">
        <v>20190</v>
      </c>
      <c r="F5720" t="inlineStr">
        <is>
          <t>B</t>
        </is>
      </c>
      <c r="G5720" s="34" t="n">
        <v>3224</v>
      </c>
      <c r="H5720" s="34" t="n">
        <v>16966</v>
      </c>
      <c r="I5720" t="inlineStr">
        <is>
          <t>3.2</t>
        </is>
      </c>
      <c r="J5720" t="inlineStr">
        <is>
          <t>Ventas Personas (B2C)</t>
        </is>
      </c>
      <c r="K5720" t="inlineStr">
        <is>
          <t>CH2</t>
        </is>
      </c>
    </row>
    <row r="5721">
      <c r="A5721" s="33" t="n">
        <v>46087</v>
      </c>
      <c r="B5721" t="inlineStr">
        <is>
          <t>2026-03</t>
        </is>
      </c>
      <c r="C5721" t="inlineStr">
        <is>
          <t>karol Oyanader Bernal</t>
        </is>
      </c>
      <c r="D5721" t="inlineStr">
        <is>
          <t>CANELE SIN AZUCAR</t>
        </is>
      </c>
      <c r="E5721" s="34" t="n">
        <v>29790</v>
      </c>
      <c r="F5721" t="inlineStr">
        <is>
          <t>B</t>
        </is>
      </c>
      <c r="G5721" s="34" t="n">
        <v>4756</v>
      </c>
      <c r="H5721" s="34" t="n">
        <v>25034</v>
      </c>
      <c r="I5721" t="inlineStr">
        <is>
          <t>3.2</t>
        </is>
      </c>
      <c r="J5721" t="inlineStr">
        <is>
          <t>Ventas Personas (B2C)</t>
        </is>
      </c>
      <c r="K5721" t="inlineStr">
        <is>
          <t>CH2</t>
        </is>
      </c>
    </row>
    <row r="5722">
      <c r="A5722" s="33" t="n">
        <v>46087</v>
      </c>
      <c r="B5722" t="inlineStr">
        <is>
          <t>2026-03</t>
        </is>
      </c>
      <c r="C5722" t="inlineStr">
        <is>
          <t>Rebeca Uribe Fridman</t>
        </is>
      </c>
      <c r="D5722" t="inlineStr">
        <is>
          <t>CANELÉ TRADICIONAL</t>
        </is>
      </c>
      <c r="E5722" s="34" t="n">
        <v>32390</v>
      </c>
      <c r="F5722" t="inlineStr">
        <is>
          <t>B</t>
        </is>
      </c>
      <c r="G5722" s="34" t="n">
        <v>5172</v>
      </c>
      <c r="H5722" s="34" t="n">
        <v>27218</v>
      </c>
      <c r="I5722" t="inlineStr">
        <is>
          <t>3.2</t>
        </is>
      </c>
      <c r="J5722" t="inlineStr">
        <is>
          <t>Ventas Personas (B2C)</t>
        </is>
      </c>
      <c r="K5722" t="inlineStr">
        <is>
          <t>CH2</t>
        </is>
      </c>
    </row>
    <row r="5723">
      <c r="A5723" s="33" t="n">
        <v>46087</v>
      </c>
      <c r="B5723" t="inlineStr">
        <is>
          <t>2026-03</t>
        </is>
      </c>
      <c r="C5723" t="inlineStr">
        <is>
          <t>Sin cliente</t>
        </is>
      </c>
      <c r="D5723" t="inlineStr">
        <is>
          <t>SALSAS</t>
        </is>
      </c>
      <c r="E5723" s="34" t="n">
        <v>84580</v>
      </c>
      <c r="F5723" t="inlineStr">
        <is>
          <t>B</t>
        </is>
      </c>
      <c r="G5723" s="34" t="n">
        <v>13504</v>
      </c>
      <c r="H5723" s="34" t="n">
        <v>71076</v>
      </c>
      <c r="I5723" t="inlineStr">
        <is>
          <t>3.1</t>
        </is>
      </c>
      <c r="J5723" t="inlineStr">
        <is>
          <t>Ventas HoReCa</t>
        </is>
      </c>
      <c r="K5723" t="inlineStr">
        <is>
          <t>CH1</t>
        </is>
      </c>
    </row>
    <row r="5724">
      <c r="A5724" s="33" t="n">
        <v>46087</v>
      </c>
      <c r="B5724" t="inlineStr">
        <is>
          <t>2026-03</t>
        </is>
      </c>
      <c r="C5724" t="inlineStr">
        <is>
          <t>Maria Jose Grez</t>
        </is>
      </c>
      <c r="D5724" t="inlineStr">
        <is>
          <t>SALSAS</t>
        </is>
      </c>
      <c r="E5724" s="34" t="n">
        <v>-84580</v>
      </c>
      <c r="F5724" t="inlineStr">
        <is>
          <t>NC</t>
        </is>
      </c>
      <c r="G5724" s="34" t="n">
        <v>-13504</v>
      </c>
      <c r="H5724" s="34" t="n">
        <v>-71076</v>
      </c>
      <c r="I5724" t="inlineStr">
        <is>
          <t>3.2</t>
        </is>
      </c>
      <c r="J5724" t="inlineStr">
        <is>
          <t>Ventas Personas (B2C)</t>
        </is>
      </c>
      <c r="K5724" t="inlineStr">
        <is>
          <t>CH2</t>
        </is>
      </c>
    </row>
    <row r="5725">
      <c r="A5725" s="33" t="n">
        <v>46087</v>
      </c>
      <c r="B5725" t="inlineStr">
        <is>
          <t>2026-03</t>
        </is>
      </c>
      <c r="C5725" t="inlineStr">
        <is>
          <t>Maria Jose Grez</t>
        </is>
      </c>
      <c r="D5725" t="inlineStr">
        <is>
          <t>SALSAS</t>
        </is>
      </c>
      <c r="E5725" s="34" t="n">
        <v>84580</v>
      </c>
      <c r="F5725" t="inlineStr">
        <is>
          <t>ND</t>
        </is>
      </c>
      <c r="G5725" s="34" t="n">
        <v>13504</v>
      </c>
      <c r="H5725" s="34" t="n">
        <v>71076</v>
      </c>
      <c r="I5725" t="inlineStr">
        <is>
          <t>3.2</t>
        </is>
      </c>
      <c r="J5725" t="inlineStr">
        <is>
          <t>Ventas Personas (B2C)</t>
        </is>
      </c>
      <c r="K5725" t="inlineStr">
        <is>
          <t>CH2</t>
        </is>
      </c>
    </row>
    <row r="5726">
      <c r="A5726" s="33" t="n">
        <v>46087</v>
      </c>
      <c r="B5726" t="inlineStr">
        <is>
          <t>2026-03</t>
        </is>
      </c>
      <c r="C5726" t="inlineStr">
        <is>
          <t>Sin cliente</t>
        </is>
      </c>
      <c r="D5726" t="inlineStr">
        <is>
          <t>SALSAS</t>
        </is>
      </c>
      <c r="E5726" s="34" t="n">
        <v>84580</v>
      </c>
      <c r="F5726" t="inlineStr">
        <is>
          <t>B</t>
        </is>
      </c>
      <c r="G5726" s="34" t="n">
        <v>13504</v>
      </c>
      <c r="H5726" s="34" t="n">
        <v>71076</v>
      </c>
      <c r="I5726" t="inlineStr">
        <is>
          <t>3.2</t>
        </is>
      </c>
      <c r="J5726" t="inlineStr">
        <is>
          <t>Ventas Personas (B2C)</t>
        </is>
      </c>
      <c r="K5726" t="inlineStr">
        <is>
          <t>CH2</t>
        </is>
      </c>
    </row>
    <row r="5727">
      <c r="A5727" s="33" t="n">
        <v>46087</v>
      </c>
      <c r="B5727" t="inlineStr">
        <is>
          <t>2026-03</t>
        </is>
      </c>
      <c r="C5727" t="inlineStr">
        <is>
          <t>Sin cliente</t>
        </is>
      </c>
      <c r="D5727" t="inlineStr">
        <is>
          <t>Cafeteria Geronimo</t>
        </is>
      </c>
      <c r="E5727" s="34" t="n">
        <v>2000</v>
      </c>
      <c r="F5727" t="inlineStr">
        <is>
          <t>B</t>
        </is>
      </c>
      <c r="G5727" s="34" t="n">
        <v>319</v>
      </c>
      <c r="H5727" s="34" t="n">
        <v>1681</v>
      </c>
      <c r="I5727" t="inlineStr">
        <is>
          <t>3.2</t>
        </is>
      </c>
      <c r="J5727" t="inlineStr">
        <is>
          <t>Ventas Personas (B2C)</t>
        </is>
      </c>
      <c r="K5727" t="inlineStr">
        <is>
          <t>CH2</t>
        </is>
      </c>
    </row>
    <row r="5728">
      <c r="A5728" s="33" t="n">
        <v>46087</v>
      </c>
      <c r="B5728" t="inlineStr">
        <is>
          <t>2026-03</t>
        </is>
      </c>
      <c r="C5728" t="inlineStr">
        <is>
          <t>Constanza Risco</t>
        </is>
      </c>
      <c r="D5728" t="inlineStr">
        <is>
          <t>Delicatessen</t>
        </is>
      </c>
      <c r="E5728" s="34" t="n">
        <v>33560</v>
      </c>
      <c r="F5728" t="inlineStr">
        <is>
          <t>B</t>
        </is>
      </c>
      <c r="G5728" s="34" t="n">
        <v>5358</v>
      </c>
      <c r="H5728" s="34" t="n">
        <v>28202</v>
      </c>
      <c r="I5728" t="inlineStr">
        <is>
          <t>3.2</t>
        </is>
      </c>
      <c r="J5728" t="inlineStr">
        <is>
          <t>Ventas Personas (B2C)</t>
        </is>
      </c>
      <c r="K5728" t="inlineStr">
        <is>
          <t>CH2</t>
        </is>
      </c>
    </row>
    <row r="5729">
      <c r="A5729" s="33" t="n">
        <v>46087</v>
      </c>
      <c r="B5729" t="inlineStr">
        <is>
          <t>2026-03</t>
        </is>
      </c>
      <c r="C5729" t="inlineStr">
        <is>
          <t>Sin cliente</t>
        </is>
      </c>
      <c r="D5729" t="inlineStr">
        <is>
          <t>Rellenos</t>
        </is>
      </c>
      <c r="E5729" s="34" t="n">
        <v>10500</v>
      </c>
      <c r="F5729" t="inlineStr">
        <is>
          <t>B</t>
        </is>
      </c>
      <c r="G5729" s="34" t="n">
        <v>1676</v>
      </c>
      <c r="H5729" s="34" t="n">
        <v>8824</v>
      </c>
      <c r="I5729" t="inlineStr">
        <is>
          <t>3.2</t>
        </is>
      </c>
      <c r="J5729" t="inlineStr">
        <is>
          <t>Ventas Personas (B2C)</t>
        </is>
      </c>
      <c r="K5729" t="inlineStr">
        <is>
          <t>CH2</t>
        </is>
      </c>
    </row>
    <row r="5730">
      <c r="A5730" s="33" t="n">
        <v>46087</v>
      </c>
      <c r="B5730" t="inlineStr">
        <is>
          <t>2026-03</t>
        </is>
      </c>
      <c r="C5730" t="inlineStr">
        <is>
          <t>Sin cliente</t>
        </is>
      </c>
      <c r="D5730" t="inlineStr">
        <is>
          <t>Rellenos</t>
        </is>
      </c>
      <c r="E5730" s="34" t="n">
        <v>32490</v>
      </c>
      <c r="F5730" t="inlineStr">
        <is>
          <t>B</t>
        </is>
      </c>
      <c r="G5730" s="34" t="n">
        <v>5187</v>
      </c>
      <c r="H5730" s="34" t="n">
        <v>27303</v>
      </c>
      <c r="I5730" t="inlineStr">
        <is>
          <t>3.2</t>
        </is>
      </c>
      <c r="J5730" t="inlineStr">
        <is>
          <t>Ventas Personas (B2C)</t>
        </is>
      </c>
      <c r="K5730" t="inlineStr">
        <is>
          <t>CH2</t>
        </is>
      </c>
    </row>
    <row r="5731">
      <c r="A5731" s="33" t="n">
        <v>46087</v>
      </c>
      <c r="B5731" t="inlineStr">
        <is>
          <t>2026-03</t>
        </is>
      </c>
      <c r="C5731" t="inlineStr">
        <is>
          <t>Sin cliente</t>
        </is>
      </c>
      <c r="D5731" t="inlineStr">
        <is>
          <t>Canelé Petit Relleno</t>
        </is>
      </c>
      <c r="E5731" s="34" t="n">
        <v>29900</v>
      </c>
      <c r="F5731" t="inlineStr">
        <is>
          <t>B</t>
        </is>
      </c>
      <c r="G5731" s="34" t="n">
        <v>4774</v>
      </c>
      <c r="H5731" s="34" t="n">
        <v>25126</v>
      </c>
      <c r="I5731" t="inlineStr">
        <is>
          <t>3.2</t>
        </is>
      </c>
      <c r="J5731" t="inlineStr">
        <is>
          <t>Ventas Personas (B2C)</t>
        </is>
      </c>
      <c r="K5731" t="inlineStr">
        <is>
          <t>CH2</t>
        </is>
      </c>
    </row>
    <row r="5732">
      <c r="A5732" s="33" t="n">
        <v>46087</v>
      </c>
      <c r="B5732" t="inlineStr">
        <is>
          <t>2026-03</t>
        </is>
      </c>
      <c r="C5732" t="inlineStr">
        <is>
          <t>Sin cliente</t>
        </is>
      </c>
      <c r="D5732" t="inlineStr">
        <is>
          <t>Rellenos</t>
        </is>
      </c>
      <c r="E5732" s="34" t="n">
        <v>32900</v>
      </c>
      <c r="F5732" t="inlineStr">
        <is>
          <t>B</t>
        </is>
      </c>
      <c r="G5732" s="34" t="n">
        <v>5253</v>
      </c>
      <c r="H5732" s="34" t="n">
        <v>27647</v>
      </c>
      <c r="I5732" t="inlineStr">
        <is>
          <t>3.2</t>
        </is>
      </c>
      <c r="J5732" t="inlineStr">
        <is>
          <t>Ventas Personas (B2C)</t>
        </is>
      </c>
      <c r="K5732" t="inlineStr">
        <is>
          <t>CH2</t>
        </is>
      </c>
    </row>
    <row r="5733">
      <c r="A5733" s="33" t="n">
        <v>46087</v>
      </c>
      <c r="B5733" t="inlineStr">
        <is>
          <t>2026-03</t>
        </is>
      </c>
      <c r="C5733" t="inlineStr">
        <is>
          <t>Sin cliente</t>
        </is>
      </c>
      <c r="D5733" t="inlineStr">
        <is>
          <t>Rellenos</t>
        </is>
      </c>
      <c r="E5733" s="34" t="n">
        <v>32400</v>
      </c>
      <c r="F5733" t="inlineStr">
        <is>
          <t>B</t>
        </is>
      </c>
      <c r="G5733" s="34" t="n">
        <v>5173</v>
      </c>
      <c r="H5733" s="34" t="n">
        <v>27227</v>
      </c>
      <c r="I5733" t="inlineStr">
        <is>
          <t>3.2</t>
        </is>
      </c>
      <c r="J5733" t="inlineStr">
        <is>
          <t>Ventas Personas (B2C)</t>
        </is>
      </c>
      <c r="K5733" t="inlineStr">
        <is>
          <t>CH2</t>
        </is>
      </c>
    </row>
    <row r="5734">
      <c r="A5734" s="33" t="n">
        <v>46087</v>
      </c>
      <c r="B5734" t="inlineStr">
        <is>
          <t>2026-03</t>
        </is>
      </c>
      <c r="C5734" t="inlineStr">
        <is>
          <t>Sin cliente</t>
        </is>
      </c>
      <c r="D5734" t="inlineStr">
        <is>
          <t>CANELÉ TRADICIONAL</t>
        </is>
      </c>
      <c r="E5734" s="34" t="n">
        <v>27900</v>
      </c>
      <c r="F5734" t="inlineStr">
        <is>
          <t>B</t>
        </is>
      </c>
      <c r="G5734" s="34" t="n">
        <v>4455</v>
      </c>
      <c r="H5734" s="34" t="n">
        <v>23445</v>
      </c>
      <c r="I5734" t="inlineStr">
        <is>
          <t>3.2</t>
        </is>
      </c>
      <c r="J5734" t="inlineStr">
        <is>
          <t>Ventas Personas (B2C)</t>
        </is>
      </c>
      <c r="K5734" t="inlineStr">
        <is>
          <t>CH2</t>
        </is>
      </c>
    </row>
    <row r="5735">
      <c r="A5735" s="33" t="n">
        <v>46087</v>
      </c>
      <c r="B5735" t="inlineStr">
        <is>
          <t>2026-03</t>
        </is>
      </c>
      <c r="C5735" t="inlineStr">
        <is>
          <t>Sin cliente</t>
        </is>
      </c>
      <c r="D5735" t="inlineStr">
        <is>
          <t>Cafeteria Geronimo</t>
        </is>
      </c>
      <c r="E5735" s="34" t="n">
        <v>3200</v>
      </c>
      <c r="F5735" t="inlineStr">
        <is>
          <t>B</t>
        </is>
      </c>
      <c r="G5735" s="34" t="n">
        <v>511</v>
      </c>
      <c r="H5735" s="34" t="n">
        <v>2689</v>
      </c>
      <c r="I5735" t="inlineStr">
        <is>
          <t>3.2</t>
        </is>
      </c>
      <c r="J5735" t="inlineStr">
        <is>
          <t>Ventas Personas (B2C)</t>
        </is>
      </c>
      <c r="K5735" t="inlineStr">
        <is>
          <t>CH2</t>
        </is>
      </c>
    </row>
    <row r="5736">
      <c r="A5736" s="33" t="n">
        <v>46087</v>
      </c>
      <c r="B5736" t="inlineStr">
        <is>
          <t>2026-03</t>
        </is>
      </c>
      <c r="C5736" t="inlineStr">
        <is>
          <t>Maria Jose Grez</t>
        </is>
      </c>
      <c r="D5736" t="inlineStr">
        <is>
          <t>Cafeteria Geronimo</t>
        </is>
      </c>
      <c r="E5736" s="34" t="n">
        <v>-3200</v>
      </c>
      <c r="F5736" t="inlineStr">
        <is>
          <t>NC</t>
        </is>
      </c>
      <c r="G5736" s="34" t="n">
        <v>-511</v>
      </c>
      <c r="H5736" s="34" t="n">
        <v>-2689</v>
      </c>
      <c r="I5736" t="inlineStr">
        <is>
          <t>3.2</t>
        </is>
      </c>
      <c r="J5736" t="inlineStr">
        <is>
          <t>Ventas Personas (B2C)</t>
        </is>
      </c>
      <c r="K5736" t="inlineStr">
        <is>
          <t>CH2</t>
        </is>
      </c>
    </row>
    <row r="5737">
      <c r="A5737" s="33" t="n">
        <v>46087</v>
      </c>
      <c r="B5737" t="inlineStr">
        <is>
          <t>2026-03</t>
        </is>
      </c>
      <c r="C5737" t="inlineStr">
        <is>
          <t>Sin cliente</t>
        </is>
      </c>
      <c r="D5737" t="inlineStr">
        <is>
          <t>Cafeteria Geronimo</t>
        </is>
      </c>
      <c r="E5737" s="34" t="n">
        <v>6400</v>
      </c>
      <c r="F5737" t="inlineStr">
        <is>
          <t>B</t>
        </is>
      </c>
      <c r="G5737" s="34" t="n">
        <v>1022</v>
      </c>
      <c r="H5737" s="34" t="n">
        <v>5378</v>
      </c>
      <c r="I5737" t="inlineStr">
        <is>
          <t>3.2</t>
        </is>
      </c>
      <c r="J5737" t="inlineStr">
        <is>
          <t>Ventas Personas (B2C)</t>
        </is>
      </c>
      <c r="K5737" t="inlineStr">
        <is>
          <t>CH2</t>
        </is>
      </c>
    </row>
    <row r="5738">
      <c r="A5738" s="33" t="n">
        <v>46087</v>
      </c>
      <c r="B5738" t="inlineStr">
        <is>
          <t>2026-03</t>
        </is>
      </c>
      <c r="C5738" t="inlineStr">
        <is>
          <t>Inia Mardel</t>
        </is>
      </c>
      <c r="D5738" t="inlineStr">
        <is>
          <t>Petit Crunchy</t>
        </is>
      </c>
      <c r="E5738" s="34" t="n">
        <v>32390</v>
      </c>
      <c r="F5738" t="inlineStr">
        <is>
          <t>B</t>
        </is>
      </c>
      <c r="G5738" s="34" t="n">
        <v>5172</v>
      </c>
      <c r="H5738" s="34" t="n">
        <v>27218</v>
      </c>
      <c r="I5738" t="inlineStr">
        <is>
          <t>3.2</t>
        </is>
      </c>
      <c r="J5738" t="inlineStr">
        <is>
          <t>Ventas Personas (B2C)</t>
        </is>
      </c>
      <c r="K5738" t="inlineStr">
        <is>
          <t>CH2</t>
        </is>
      </c>
    </row>
    <row r="5739">
      <c r="A5739" s="33" t="n">
        <v>46088</v>
      </c>
      <c r="B5739" t="inlineStr">
        <is>
          <t>2026-03</t>
        </is>
      </c>
      <c r="C5739" t="inlineStr">
        <is>
          <t>Hernán Coronado Sarabia</t>
        </is>
      </c>
      <c r="D5739" t="inlineStr">
        <is>
          <t>Rellenos</t>
        </is>
      </c>
      <c r="E5739" s="34" t="n">
        <v>36390</v>
      </c>
      <c r="F5739" t="inlineStr">
        <is>
          <t>B</t>
        </is>
      </c>
      <c r="G5739" s="34" t="n">
        <v>5810</v>
      </c>
      <c r="H5739" s="34" t="n">
        <v>30580</v>
      </c>
      <c r="I5739" t="inlineStr">
        <is>
          <t>3.2</t>
        </is>
      </c>
      <c r="J5739" t="inlineStr">
        <is>
          <t>Ventas Personas (B2C)</t>
        </is>
      </c>
      <c r="K5739" t="inlineStr">
        <is>
          <t>CH2</t>
        </is>
      </c>
    </row>
    <row r="5740">
      <c r="A5740" s="33" t="n">
        <v>46088</v>
      </c>
      <c r="B5740" t="inlineStr">
        <is>
          <t>2026-03</t>
        </is>
      </c>
      <c r="C5740" t="inlineStr">
        <is>
          <t>Rolando Caceres Simunovic</t>
        </is>
      </c>
      <c r="D5740" t="inlineStr">
        <is>
          <t>SALSAS</t>
        </is>
      </c>
      <c r="E5740" s="34" t="n">
        <v>40752</v>
      </c>
      <c r="F5740" t="inlineStr">
        <is>
          <t>B</t>
        </is>
      </c>
      <c r="G5740" s="34" t="n">
        <v>6507</v>
      </c>
      <c r="H5740" s="34" t="n">
        <v>34245</v>
      </c>
      <c r="I5740" t="inlineStr">
        <is>
          <t>3.2</t>
        </is>
      </c>
      <c r="J5740" t="inlineStr">
        <is>
          <t>Ventas Personas (B2C)</t>
        </is>
      </c>
      <c r="K5740" t="inlineStr">
        <is>
          <t>CH2</t>
        </is>
      </c>
    </row>
    <row r="5741">
      <c r="A5741" s="33" t="n">
        <v>46088</v>
      </c>
      <c r="B5741" t="inlineStr">
        <is>
          <t>2026-03</t>
        </is>
      </c>
      <c r="C5741" t="inlineStr">
        <is>
          <t>Kevin Wu</t>
        </is>
      </c>
      <c r="D5741" t="inlineStr">
        <is>
          <t>Rellenos</t>
        </is>
      </c>
      <c r="E5741" s="34" t="n">
        <v>30390</v>
      </c>
      <c r="F5741" t="inlineStr">
        <is>
          <t>B</t>
        </is>
      </c>
      <c r="G5741" s="34" t="n">
        <v>4852</v>
      </c>
      <c r="H5741" s="34" t="n">
        <v>25538</v>
      </c>
      <c r="I5741" t="inlineStr">
        <is>
          <t>3.2</t>
        </is>
      </c>
      <c r="J5741" t="inlineStr">
        <is>
          <t>Ventas Personas (B2C)</t>
        </is>
      </c>
      <c r="K5741" t="inlineStr">
        <is>
          <t>CH2</t>
        </is>
      </c>
    </row>
    <row r="5742">
      <c r="A5742" s="33" t="n">
        <v>46088</v>
      </c>
      <c r="B5742" t="inlineStr">
        <is>
          <t>2026-03</t>
        </is>
      </c>
      <c r="C5742" t="inlineStr">
        <is>
          <t>Alvaro Gallego</t>
        </is>
      </c>
      <c r="D5742" t="inlineStr">
        <is>
          <t>Rellenos</t>
        </is>
      </c>
      <c r="E5742" s="34" t="n">
        <v>18340</v>
      </c>
      <c r="F5742" t="inlineStr">
        <is>
          <t>B</t>
        </is>
      </c>
      <c r="G5742" s="34" t="n">
        <v>2928</v>
      </c>
      <c r="H5742" s="34" t="n">
        <v>15412</v>
      </c>
      <c r="I5742" t="inlineStr">
        <is>
          <t>3.2</t>
        </is>
      </c>
      <c r="J5742" t="inlineStr">
        <is>
          <t>Ventas Personas (B2C)</t>
        </is>
      </c>
      <c r="K5742" t="inlineStr">
        <is>
          <t>CH2</t>
        </is>
      </c>
    </row>
    <row r="5743">
      <c r="A5743" s="33" t="n">
        <v>46088</v>
      </c>
      <c r="B5743" t="inlineStr">
        <is>
          <t>2026-03</t>
        </is>
      </c>
      <c r="C5743" t="inlineStr">
        <is>
          <t>Pablo Guarnaccia</t>
        </is>
      </c>
      <c r="D5743" t="inlineStr">
        <is>
          <t>CANELÉ TRADICIONAL</t>
        </is>
      </c>
      <c r="E5743" s="34" t="n">
        <v>31390</v>
      </c>
      <c r="F5743" t="inlineStr">
        <is>
          <t>B</t>
        </is>
      </c>
      <c r="G5743" s="34" t="n">
        <v>5012</v>
      </c>
      <c r="H5743" s="34" t="n">
        <v>26378</v>
      </c>
      <c r="I5743" t="inlineStr">
        <is>
          <t>3.2</t>
        </is>
      </c>
      <c r="J5743" t="inlineStr">
        <is>
          <t>Ventas Personas (B2C)</t>
        </is>
      </c>
      <c r="K5743" t="inlineStr">
        <is>
          <t>CH2</t>
        </is>
      </c>
    </row>
    <row r="5744">
      <c r="A5744" s="33" t="n">
        <v>46088</v>
      </c>
      <c r="B5744" t="inlineStr">
        <is>
          <t>2026-03</t>
        </is>
      </c>
      <c r="C5744" t="inlineStr">
        <is>
          <t>Pamela Iglesias</t>
        </is>
      </c>
      <c r="D5744" t="inlineStr">
        <is>
          <t>CANELÉ TRADICIONAL</t>
        </is>
      </c>
      <c r="E5744" s="34" t="n">
        <v>26390</v>
      </c>
      <c r="F5744" t="inlineStr">
        <is>
          <t>B</t>
        </is>
      </c>
      <c r="G5744" s="34" t="n">
        <v>4214</v>
      </c>
      <c r="H5744" s="34" t="n">
        <v>22176</v>
      </c>
      <c r="I5744" t="inlineStr">
        <is>
          <t>3.2</t>
        </is>
      </c>
      <c r="J5744" t="inlineStr">
        <is>
          <t>Ventas Personas (B2C)</t>
        </is>
      </c>
      <c r="K5744" t="inlineStr">
        <is>
          <t>CH2</t>
        </is>
      </c>
    </row>
    <row r="5745">
      <c r="A5745" s="33" t="n">
        <v>46088</v>
      </c>
      <c r="B5745" t="inlineStr">
        <is>
          <t>2026-03</t>
        </is>
      </c>
      <c r="C5745" t="inlineStr">
        <is>
          <t>Sin cliente</t>
        </is>
      </c>
      <c r="D5745" t="inlineStr">
        <is>
          <t>PLATAFORMAS RAP-PEYA-UBER-GOOD</t>
        </is>
      </c>
      <c r="E5745" s="34" t="n">
        <v>28320</v>
      </c>
      <c r="F5745" t="inlineStr">
        <is>
          <t>B</t>
        </is>
      </c>
      <c r="G5745" s="34" t="n">
        <v>4522</v>
      </c>
      <c r="H5745" s="34" t="n">
        <v>23798</v>
      </c>
      <c r="I5745" t="inlineStr">
        <is>
          <t>3.6</t>
        </is>
      </c>
      <c r="J5745" t="inlineStr">
        <is>
          <t>Ventas Delivery Apps</t>
        </is>
      </c>
      <c r="K5745" t="inlineStr">
        <is>
          <t>CH3</t>
        </is>
      </c>
    </row>
    <row r="5746">
      <c r="A5746" s="33" t="n">
        <v>46088</v>
      </c>
      <c r="B5746" t="inlineStr">
        <is>
          <t>2026-03</t>
        </is>
      </c>
      <c r="C5746" t="inlineStr">
        <is>
          <t>Sin cliente</t>
        </is>
      </c>
      <c r="D5746" t="inlineStr">
        <is>
          <t>PLATAFORMAS RAP-PEYA-UBER-GOOD</t>
        </is>
      </c>
      <c r="E5746" s="34" t="n">
        <v>21109</v>
      </c>
      <c r="F5746" t="inlineStr">
        <is>
          <t>B</t>
        </is>
      </c>
      <c r="G5746" s="34" t="n">
        <v>3370</v>
      </c>
      <c r="H5746" s="34" t="n">
        <v>17739</v>
      </c>
      <c r="I5746" t="inlineStr">
        <is>
          <t>3.6</t>
        </is>
      </c>
      <c r="J5746" t="inlineStr">
        <is>
          <t>Ventas Delivery Apps</t>
        </is>
      </c>
      <c r="K5746" t="inlineStr">
        <is>
          <t>CH3</t>
        </is>
      </c>
    </row>
    <row r="5747">
      <c r="A5747" s="33" t="n">
        <v>46088</v>
      </c>
      <c r="B5747" t="inlineStr">
        <is>
          <t>2026-03</t>
        </is>
      </c>
      <c r="C5747" t="inlineStr">
        <is>
          <t>Sin cliente</t>
        </is>
      </c>
      <c r="D5747" t="inlineStr">
        <is>
          <t>Rellenos</t>
        </is>
      </c>
      <c r="E5747" s="34" t="n">
        <v>32900</v>
      </c>
      <c r="F5747" t="inlineStr">
        <is>
          <t>B</t>
        </is>
      </c>
      <c r="G5747" s="34" t="n">
        <v>5253</v>
      </c>
      <c r="H5747" s="34" t="n">
        <v>27647</v>
      </c>
      <c r="I5747" t="inlineStr">
        <is>
          <t>3.2</t>
        </is>
      </c>
      <c r="J5747" t="inlineStr">
        <is>
          <t>Ventas Personas (B2C)</t>
        </is>
      </c>
      <c r="K5747" t="inlineStr">
        <is>
          <t>CH2</t>
        </is>
      </c>
    </row>
    <row r="5748">
      <c r="A5748" s="33" t="n">
        <v>46088</v>
      </c>
      <c r="B5748" t="inlineStr">
        <is>
          <t>2026-03</t>
        </is>
      </c>
      <c r="C5748" t="inlineStr">
        <is>
          <t>Sin cliente</t>
        </is>
      </c>
      <c r="D5748" t="inlineStr">
        <is>
          <t>CANELÉ TRADICIONAL</t>
        </is>
      </c>
      <c r="E5748" s="34" t="n">
        <v>15900</v>
      </c>
      <c r="F5748" t="inlineStr">
        <is>
          <t>B</t>
        </is>
      </c>
      <c r="G5748" s="34" t="n">
        <v>2539</v>
      </c>
      <c r="H5748" s="34" t="n">
        <v>13361</v>
      </c>
      <c r="I5748" t="inlineStr">
        <is>
          <t>3.2</t>
        </is>
      </c>
      <c r="J5748" t="inlineStr">
        <is>
          <t>Ventas Personas (B2C)</t>
        </is>
      </c>
      <c r="K5748" t="inlineStr">
        <is>
          <t>CH2</t>
        </is>
      </c>
    </row>
    <row r="5749">
      <c r="A5749" s="33" t="n">
        <v>46088</v>
      </c>
      <c r="B5749" t="inlineStr">
        <is>
          <t>2026-03</t>
        </is>
      </c>
      <c r="C5749" t="inlineStr">
        <is>
          <t>Sin cliente</t>
        </is>
      </c>
      <c r="D5749" t="inlineStr">
        <is>
          <t>Mix Sabores</t>
        </is>
      </c>
      <c r="E5749" s="34" t="n">
        <v>5100</v>
      </c>
      <c r="F5749" t="inlineStr">
        <is>
          <t>B</t>
        </is>
      </c>
      <c r="G5749" s="34" t="n">
        <v>814</v>
      </c>
      <c r="H5749" s="34" t="n">
        <v>4286</v>
      </c>
      <c r="I5749" t="inlineStr">
        <is>
          <t>3.2</t>
        </is>
      </c>
      <c r="J5749" t="inlineStr">
        <is>
          <t>Ventas Personas (B2C)</t>
        </is>
      </c>
      <c r="K5749" t="inlineStr">
        <is>
          <t>CH2</t>
        </is>
      </c>
    </row>
    <row r="5750">
      <c r="A5750" s="33" t="n">
        <v>46088</v>
      </c>
      <c r="B5750" t="inlineStr">
        <is>
          <t>2026-03</t>
        </is>
      </c>
      <c r="C5750" t="inlineStr">
        <is>
          <t>Sin cliente</t>
        </is>
      </c>
      <c r="D5750" t="inlineStr">
        <is>
          <t>Petit Crunchy</t>
        </is>
      </c>
      <c r="E5750" s="34" t="n">
        <v>14900</v>
      </c>
      <c r="F5750" t="inlineStr">
        <is>
          <t>B</t>
        </is>
      </c>
      <c r="G5750" s="34" t="n">
        <v>2379</v>
      </c>
      <c r="H5750" s="34" t="n">
        <v>12521</v>
      </c>
      <c r="I5750" t="inlineStr">
        <is>
          <t>3.2</t>
        </is>
      </c>
      <c r="J5750" t="inlineStr">
        <is>
          <t>Ventas Personas (B2C)</t>
        </is>
      </c>
      <c r="K5750" t="inlineStr">
        <is>
          <t>CH2</t>
        </is>
      </c>
    </row>
    <row r="5751">
      <c r="A5751" s="33" t="n">
        <v>46088</v>
      </c>
      <c r="B5751" t="inlineStr">
        <is>
          <t>2026-03</t>
        </is>
      </c>
      <c r="C5751" t="inlineStr">
        <is>
          <t>Sin cliente</t>
        </is>
      </c>
      <c r="D5751" t="inlineStr">
        <is>
          <t>SALSAS</t>
        </is>
      </c>
      <c r="E5751" s="34" t="n">
        <v>6990</v>
      </c>
      <c r="F5751" t="inlineStr">
        <is>
          <t>B</t>
        </is>
      </c>
      <c r="G5751" s="34" t="n">
        <v>1116</v>
      </c>
      <c r="H5751" s="34" t="n">
        <v>5874</v>
      </c>
      <c r="I5751" t="inlineStr">
        <is>
          <t>3.2</t>
        </is>
      </c>
      <c r="J5751" t="inlineStr">
        <is>
          <t>Ventas Personas (B2C)</t>
        </is>
      </c>
      <c r="K5751" t="inlineStr">
        <is>
          <t>CH2</t>
        </is>
      </c>
    </row>
    <row r="5752">
      <c r="A5752" s="33" t="n">
        <v>46088</v>
      </c>
      <c r="B5752" t="inlineStr">
        <is>
          <t>2026-03</t>
        </is>
      </c>
      <c r="C5752" t="inlineStr">
        <is>
          <t>Sin cliente</t>
        </is>
      </c>
      <c r="D5752" t="inlineStr">
        <is>
          <t>PLATAFORMAS RAP-PEYA-UBER-GOOD</t>
        </is>
      </c>
      <c r="E5752" s="34" t="n">
        <v>22080</v>
      </c>
      <c r="F5752" t="inlineStr">
        <is>
          <t>B</t>
        </is>
      </c>
      <c r="G5752" s="34" t="n">
        <v>3525</v>
      </c>
      <c r="H5752" s="34" t="n">
        <v>18555</v>
      </c>
      <c r="I5752" t="inlineStr">
        <is>
          <t>3.6</t>
        </is>
      </c>
      <c r="J5752" t="inlineStr">
        <is>
          <t>Ventas Delivery Apps</t>
        </is>
      </c>
      <c r="K5752" t="inlineStr">
        <is>
          <t>CH3</t>
        </is>
      </c>
    </row>
    <row r="5753">
      <c r="A5753" s="33" t="n">
        <v>46088</v>
      </c>
      <c r="B5753" t="inlineStr">
        <is>
          <t>2026-03</t>
        </is>
      </c>
      <c r="C5753" t="inlineStr">
        <is>
          <t>Sin cliente</t>
        </is>
      </c>
      <c r="D5753" t="inlineStr">
        <is>
          <t>CANELÉ TRADICIONAL</t>
        </is>
      </c>
      <c r="E5753" s="34" t="n">
        <v>63700</v>
      </c>
      <c r="F5753" t="inlineStr">
        <is>
          <t>B</t>
        </is>
      </c>
      <c r="G5753" s="34" t="n">
        <v>10171</v>
      </c>
      <c r="H5753" s="34" t="n">
        <v>53529</v>
      </c>
      <c r="I5753" t="inlineStr">
        <is>
          <t>3.2</t>
        </is>
      </c>
      <c r="J5753" t="inlineStr">
        <is>
          <t>Ventas Personas (B2C)</t>
        </is>
      </c>
      <c r="K5753" t="inlineStr">
        <is>
          <t>CH2</t>
        </is>
      </c>
    </row>
    <row r="5754">
      <c r="A5754" s="33" t="n">
        <v>46088</v>
      </c>
      <c r="B5754" t="inlineStr">
        <is>
          <t>2026-03</t>
        </is>
      </c>
      <c r="C5754" t="inlineStr">
        <is>
          <t>Sin cliente</t>
        </is>
      </c>
      <c r="D5754" t="inlineStr">
        <is>
          <t>PLATAFORMAS RAP-PEYA-UBER-GOOD</t>
        </is>
      </c>
      <c r="E5754" s="34" t="n">
        <v>17880</v>
      </c>
      <c r="F5754" t="inlineStr">
        <is>
          <t>B</t>
        </is>
      </c>
      <c r="G5754" s="34" t="n">
        <v>2855</v>
      </c>
      <c r="H5754" s="34" t="n">
        <v>15025</v>
      </c>
      <c r="I5754" t="inlineStr">
        <is>
          <t>3.6</t>
        </is>
      </c>
      <c r="J5754" t="inlineStr">
        <is>
          <t>Ventas Delivery Apps</t>
        </is>
      </c>
      <c r="K5754" t="inlineStr">
        <is>
          <t>CH3</t>
        </is>
      </c>
    </row>
    <row r="5755">
      <c r="A5755" s="33" t="n">
        <v>46089</v>
      </c>
      <c r="B5755" t="inlineStr">
        <is>
          <t>2026-03</t>
        </is>
      </c>
      <c r="C5755" t="inlineStr">
        <is>
          <t>Andres Vega Alvarado</t>
        </is>
      </c>
      <c r="D5755" t="inlineStr">
        <is>
          <t>CANELE SIN AZUCAR</t>
        </is>
      </c>
      <c r="E5755" s="34" t="n">
        <v>29090</v>
      </c>
      <c r="F5755" t="inlineStr">
        <is>
          <t>B</t>
        </is>
      </c>
      <c r="G5755" s="34" t="n">
        <v>4645</v>
      </c>
      <c r="H5755" s="34" t="n">
        <v>24445</v>
      </c>
      <c r="I5755" t="inlineStr">
        <is>
          <t>3.2</t>
        </is>
      </c>
      <c r="J5755" t="inlineStr">
        <is>
          <t>Ventas Personas (B2C)</t>
        </is>
      </c>
      <c r="K5755" t="inlineStr">
        <is>
          <t>CH2</t>
        </is>
      </c>
    </row>
    <row r="5756">
      <c r="A5756" s="33" t="n">
        <v>46090</v>
      </c>
      <c r="B5756" t="inlineStr">
        <is>
          <t>2026-03</t>
        </is>
      </c>
      <c r="C5756" t="inlineStr">
        <is>
          <t>HUERTO SUR LIMITADA</t>
        </is>
      </c>
      <c r="D5756" t="inlineStr">
        <is>
          <t>REGION METROPOLITANA</t>
        </is>
      </c>
      <c r="E5756" s="34" t="n">
        <v>299018</v>
      </c>
      <c r="F5756" t="inlineStr">
        <is>
          <t>F</t>
        </is>
      </c>
      <c r="G5756" s="34" t="n">
        <v>47742</v>
      </c>
      <c r="H5756" s="34" t="n">
        <v>251276</v>
      </c>
      <c r="I5756" t="inlineStr">
        <is>
          <t>3.1</t>
        </is>
      </c>
      <c r="J5756" t="inlineStr">
        <is>
          <t>Ventas HoReCa</t>
        </is>
      </c>
      <c r="K5756" t="inlineStr">
        <is>
          <t>CH1</t>
        </is>
      </c>
    </row>
    <row r="5757">
      <c r="A5757" s="33" t="n">
        <v>46090</v>
      </c>
      <c r="B5757" t="inlineStr">
        <is>
          <t>2026-03</t>
        </is>
      </c>
      <c r="C5757" t="inlineStr">
        <is>
          <t>INVERSIONES Y ASESORIAS RAVAL LIMITADA</t>
        </is>
      </c>
      <c r="D5757" t="inlineStr">
        <is>
          <t>HORECA CAFETERIA</t>
        </is>
      </c>
      <c r="E5757" s="34" t="n">
        <v>107124</v>
      </c>
      <c r="F5757" t="inlineStr">
        <is>
          <t>F</t>
        </is>
      </c>
      <c r="G5757" s="34" t="n">
        <v>17104</v>
      </c>
      <c r="H5757" s="34" t="n">
        <v>90020</v>
      </c>
      <c r="I5757" t="inlineStr">
        <is>
          <t>3.1</t>
        </is>
      </c>
      <c r="J5757" t="inlineStr">
        <is>
          <t>Ventas HoReCa</t>
        </is>
      </c>
      <c r="K5757" t="inlineStr">
        <is>
          <t>CH1</t>
        </is>
      </c>
    </row>
    <row r="5758">
      <c r="A5758" s="33" t="n">
        <v>46090</v>
      </c>
      <c r="B5758" t="inlineStr">
        <is>
          <t>2026-03</t>
        </is>
      </c>
      <c r="C5758" t="inlineStr">
        <is>
          <t>NACIÓN CAFÉ SPA</t>
        </is>
      </c>
      <c r="D5758" t="inlineStr">
        <is>
          <t>HORECA CAFETERIA</t>
        </is>
      </c>
      <c r="E5758" s="34" t="n">
        <v>73494</v>
      </c>
      <c r="F5758" t="inlineStr">
        <is>
          <t>F</t>
        </is>
      </c>
      <c r="G5758" s="34" t="n">
        <v>11734</v>
      </c>
      <c r="H5758" s="34" t="n">
        <v>61760</v>
      </c>
      <c r="I5758" t="inlineStr">
        <is>
          <t>3.1</t>
        </is>
      </c>
      <c r="J5758" t="inlineStr">
        <is>
          <t>Ventas HoReCa</t>
        </is>
      </c>
      <c r="K5758" t="inlineStr">
        <is>
          <t>CH1</t>
        </is>
      </c>
    </row>
    <row r="5759">
      <c r="A5759" s="33" t="n">
        <v>46090</v>
      </c>
      <c r="B5759" t="inlineStr">
        <is>
          <t>2026-03</t>
        </is>
      </c>
      <c r="C5759" t="inlineStr">
        <is>
          <t>Sin cliente</t>
        </is>
      </c>
      <c r="D5759" t="inlineStr">
        <is>
          <t>PLATAFORMAS RAP-PEYA-UBER-GOOD</t>
        </is>
      </c>
      <c r="E5759" s="34" t="n">
        <v>35760</v>
      </c>
      <c r="F5759" t="inlineStr">
        <is>
          <t>B</t>
        </is>
      </c>
      <c r="G5759" s="34" t="n">
        <v>5710</v>
      </c>
      <c r="H5759" s="34" t="n">
        <v>30050</v>
      </c>
      <c r="I5759" t="inlineStr">
        <is>
          <t>3.6</t>
        </is>
      </c>
      <c r="J5759" t="inlineStr">
        <is>
          <t>Ventas Delivery Apps</t>
        </is>
      </c>
      <c r="K5759" t="inlineStr">
        <is>
          <t>CH3</t>
        </is>
      </c>
    </row>
    <row r="5760">
      <c r="A5760" s="33" t="n">
        <v>46090</v>
      </c>
      <c r="B5760" t="inlineStr">
        <is>
          <t>2026-03</t>
        </is>
      </c>
      <c r="C5760" t="inlineStr">
        <is>
          <t>Sin cliente</t>
        </is>
      </c>
      <c r="D5760" t="inlineStr">
        <is>
          <t>Rellenos</t>
        </is>
      </c>
      <c r="E5760" s="34" t="n">
        <v>32200</v>
      </c>
      <c r="F5760" t="inlineStr">
        <is>
          <t>B</t>
        </is>
      </c>
      <c r="G5760" s="34" t="n">
        <v>5141</v>
      </c>
      <c r="H5760" s="34" t="n">
        <v>27059</v>
      </c>
      <c r="I5760" t="inlineStr">
        <is>
          <t>3.2</t>
        </is>
      </c>
      <c r="J5760" t="inlineStr">
        <is>
          <t>Ventas Personas (B2C)</t>
        </is>
      </c>
      <c r="K5760" t="inlineStr">
        <is>
          <t>CH2</t>
        </is>
      </c>
    </row>
    <row r="5761">
      <c r="A5761" s="33" t="n">
        <v>46090</v>
      </c>
      <c r="B5761" t="inlineStr">
        <is>
          <t>2026-03</t>
        </is>
      </c>
      <c r="C5761" t="inlineStr">
        <is>
          <t>Sin cliente</t>
        </is>
      </c>
      <c r="D5761" t="inlineStr">
        <is>
          <t>CANELÉ TRADICIONAL</t>
        </is>
      </c>
      <c r="E5761" s="34" t="n">
        <v>27900</v>
      </c>
      <c r="F5761" t="inlineStr">
        <is>
          <t>B</t>
        </is>
      </c>
      <c r="G5761" s="34" t="n">
        <v>4455</v>
      </c>
      <c r="H5761" s="34" t="n">
        <v>23445</v>
      </c>
      <c r="I5761" t="inlineStr">
        <is>
          <t>3.2</t>
        </is>
      </c>
      <c r="J5761" t="inlineStr">
        <is>
          <t>Ventas Personas (B2C)</t>
        </is>
      </c>
      <c r="K5761" t="inlineStr">
        <is>
          <t>CH2</t>
        </is>
      </c>
    </row>
    <row r="5762">
      <c r="A5762" s="33" t="n">
        <v>46090</v>
      </c>
      <c r="B5762" t="inlineStr">
        <is>
          <t>2026-03</t>
        </is>
      </c>
      <c r="C5762" t="inlineStr">
        <is>
          <t>Sin cliente</t>
        </is>
      </c>
      <c r="D5762" t="inlineStr">
        <is>
          <t>Cafeteria Geronimo</t>
        </is>
      </c>
      <c r="E5762" s="34" t="n">
        <v>2800</v>
      </c>
      <c r="F5762" t="inlineStr">
        <is>
          <t>B</t>
        </is>
      </c>
      <c r="G5762" s="34" t="n">
        <v>447</v>
      </c>
      <c r="H5762" s="34" t="n">
        <v>2353</v>
      </c>
      <c r="I5762" t="inlineStr">
        <is>
          <t>3.2</t>
        </is>
      </c>
      <c r="J5762" t="inlineStr">
        <is>
          <t>Ventas Personas (B2C)</t>
        </is>
      </c>
      <c r="K5762" t="inlineStr">
        <is>
          <t>CH2</t>
        </is>
      </c>
    </row>
    <row r="5763">
      <c r="A5763" s="33" t="n">
        <v>46090</v>
      </c>
      <c r="B5763" t="inlineStr">
        <is>
          <t>2026-03</t>
        </is>
      </c>
      <c r="C5763" t="inlineStr">
        <is>
          <t>Sin cliente</t>
        </is>
      </c>
      <c r="D5763" t="inlineStr">
        <is>
          <t>CANELÉ TRADICIONAL</t>
        </is>
      </c>
      <c r="E5763" s="34" t="n">
        <v>27900</v>
      </c>
      <c r="F5763" t="inlineStr">
        <is>
          <t>B</t>
        </is>
      </c>
      <c r="G5763" s="34" t="n">
        <v>4455</v>
      </c>
      <c r="H5763" s="34" t="n">
        <v>23445</v>
      </c>
      <c r="I5763" t="inlineStr">
        <is>
          <t>3.2</t>
        </is>
      </c>
      <c r="J5763" t="inlineStr">
        <is>
          <t>Ventas Personas (B2C)</t>
        </is>
      </c>
      <c r="K5763" t="inlineStr">
        <is>
          <t>CH2</t>
        </is>
      </c>
    </row>
    <row r="5764">
      <c r="A5764" s="33" t="n">
        <v>46090</v>
      </c>
      <c r="B5764" t="inlineStr">
        <is>
          <t>2026-03</t>
        </is>
      </c>
      <c r="C5764" t="inlineStr">
        <is>
          <t>Sin cliente</t>
        </is>
      </c>
      <c r="D5764" t="inlineStr">
        <is>
          <t>Rellenos</t>
        </is>
      </c>
      <c r="E5764" s="34" t="n">
        <v>18900</v>
      </c>
      <c r="F5764" t="inlineStr">
        <is>
          <t>B</t>
        </is>
      </c>
      <c r="G5764" s="34" t="n">
        <v>3018</v>
      </c>
      <c r="H5764" s="34" t="n">
        <v>15882</v>
      </c>
      <c r="I5764" t="inlineStr">
        <is>
          <t>3.2</t>
        </is>
      </c>
      <c r="J5764" t="inlineStr">
        <is>
          <t>Ventas Personas (B2C)</t>
        </is>
      </c>
      <c r="K5764" t="inlineStr">
        <is>
          <t>CH2</t>
        </is>
      </c>
    </row>
    <row r="5765">
      <c r="A5765" s="33" t="n">
        <v>46090</v>
      </c>
      <c r="B5765" t="inlineStr">
        <is>
          <t>2026-03</t>
        </is>
      </c>
      <c r="C5765" t="inlineStr">
        <is>
          <t>Sin cliente</t>
        </is>
      </c>
      <c r="D5765" t="inlineStr">
        <is>
          <t>PLATAFORMAS RAP-PEYA-UBER-GOOD</t>
        </is>
      </c>
      <c r="E5765" s="34" t="n">
        <v>23520</v>
      </c>
      <c r="F5765" t="inlineStr">
        <is>
          <t>B</t>
        </is>
      </c>
      <c r="G5765" s="34" t="n">
        <v>3755</v>
      </c>
      <c r="H5765" s="34" t="n">
        <v>19765</v>
      </c>
      <c r="I5765" t="inlineStr">
        <is>
          <t>3.6</t>
        </is>
      </c>
      <c r="J5765" t="inlineStr">
        <is>
          <t>Ventas Delivery Apps</t>
        </is>
      </c>
      <c r="K5765" t="inlineStr">
        <is>
          <t>CH3</t>
        </is>
      </c>
    </row>
    <row r="5766">
      <c r="A5766" s="33" t="n">
        <v>46090</v>
      </c>
      <c r="B5766" t="inlineStr">
        <is>
          <t>2026-03</t>
        </is>
      </c>
      <c r="C5766" t="inlineStr">
        <is>
          <t>ROBERTO RAVIOLY</t>
        </is>
      </c>
      <c r="D5766" t="inlineStr">
        <is>
          <t>Canelé Petit Relleno</t>
        </is>
      </c>
      <c r="E5766" s="34" t="n">
        <v>24590</v>
      </c>
      <c r="F5766" t="inlineStr">
        <is>
          <t>B</t>
        </is>
      </c>
      <c r="G5766" s="34" t="n">
        <v>3926</v>
      </c>
      <c r="H5766" s="34" t="n">
        <v>20664</v>
      </c>
      <c r="I5766" t="inlineStr">
        <is>
          <t>3.2</t>
        </is>
      </c>
      <c r="J5766" t="inlineStr">
        <is>
          <t>Ventas Personas (B2C)</t>
        </is>
      </c>
      <c r="K5766" t="inlineStr">
        <is>
          <t>CH2</t>
        </is>
      </c>
    </row>
    <row r="5767">
      <c r="A5767" s="33" t="n">
        <v>46091</v>
      </c>
      <c r="B5767" t="inlineStr">
        <is>
          <t>2026-03</t>
        </is>
      </c>
      <c r="C5767" t="inlineStr">
        <is>
          <t xml:space="preserve">Café lucerna spa </t>
        </is>
      </c>
      <c r="D5767" t="inlineStr">
        <is>
          <t>HORECA CAFETERIA</t>
        </is>
      </c>
      <c r="E5767" s="34" t="n">
        <v>71210</v>
      </c>
      <c r="F5767" t="inlineStr">
        <is>
          <t>F</t>
        </is>
      </c>
      <c r="G5767" s="34" t="n">
        <v>11370</v>
      </c>
      <c r="H5767" s="34" t="n">
        <v>59840</v>
      </c>
      <c r="I5767" t="inlineStr">
        <is>
          <t>3.1</t>
        </is>
      </c>
      <c r="J5767" t="inlineStr">
        <is>
          <t>Ventas HoReCa</t>
        </is>
      </c>
      <c r="K5767" t="inlineStr">
        <is>
          <t>CH1</t>
        </is>
      </c>
    </row>
    <row r="5768">
      <c r="A5768" s="33" t="n">
        <v>46091</v>
      </c>
      <c r="B5768" t="inlineStr">
        <is>
          <t>2026-03</t>
        </is>
      </c>
      <c r="C5768" t="inlineStr">
        <is>
          <t>BUSTORF LARSEN Y COMPANIA LIMITADA</t>
        </is>
      </c>
      <c r="D5768" t="inlineStr">
        <is>
          <t>HORECA CAFETERIA</t>
        </is>
      </c>
      <c r="E5768" s="34" t="n">
        <v>71210</v>
      </c>
      <c r="F5768" t="inlineStr">
        <is>
          <t>F</t>
        </is>
      </c>
      <c r="G5768" s="34" t="n">
        <v>11370</v>
      </c>
      <c r="H5768" s="34" t="n">
        <v>59840</v>
      </c>
      <c r="I5768" t="inlineStr">
        <is>
          <t>3.1</t>
        </is>
      </c>
      <c r="J5768" t="inlineStr">
        <is>
          <t>Ventas HoReCa</t>
        </is>
      </c>
      <c r="K5768" t="inlineStr">
        <is>
          <t>CH1</t>
        </is>
      </c>
    </row>
    <row r="5769">
      <c r="A5769" s="33" t="n">
        <v>46091</v>
      </c>
      <c r="B5769" t="inlineStr">
        <is>
          <t>2026-03</t>
        </is>
      </c>
      <c r="C5769" t="inlineStr">
        <is>
          <t>VILAS BANQUETERIAS SPA</t>
        </is>
      </c>
      <c r="D5769" t="inlineStr">
        <is>
          <t>HORECA CATERING</t>
        </is>
      </c>
      <c r="E5769" s="34" t="n">
        <v>77707</v>
      </c>
      <c r="F5769" t="inlineStr">
        <is>
          <t>F</t>
        </is>
      </c>
      <c r="G5769" s="34" t="n">
        <v>12407</v>
      </c>
      <c r="H5769" s="34" t="n">
        <v>65300</v>
      </c>
      <c r="I5769" t="inlineStr">
        <is>
          <t>3.1</t>
        </is>
      </c>
      <c r="J5769" t="inlineStr">
        <is>
          <t>Ventas HoReCa</t>
        </is>
      </c>
      <c r="K5769" t="inlineStr">
        <is>
          <t>CH1</t>
        </is>
      </c>
    </row>
    <row r="5770">
      <c r="A5770" s="33" t="n">
        <v>46091</v>
      </c>
      <c r="B5770" t="inlineStr">
        <is>
          <t>2026-03</t>
        </is>
      </c>
      <c r="C5770" t="inlineStr">
        <is>
          <t>Israel Becerra Santander</t>
        </is>
      </c>
      <c r="D5770" t="inlineStr">
        <is>
          <t>Petit Crunchy</t>
        </is>
      </c>
      <c r="E5770" s="34" t="n">
        <v>19390</v>
      </c>
      <c r="F5770" t="inlineStr">
        <is>
          <t>B</t>
        </is>
      </c>
      <c r="G5770" s="34" t="n">
        <v>3096</v>
      </c>
      <c r="H5770" s="34" t="n">
        <v>16294</v>
      </c>
      <c r="I5770" t="inlineStr">
        <is>
          <t>3.2</t>
        </is>
      </c>
      <c r="J5770" t="inlineStr">
        <is>
          <t>Ventas Personas (B2C)</t>
        </is>
      </c>
      <c r="K5770" t="inlineStr">
        <is>
          <t>CH2</t>
        </is>
      </c>
    </row>
    <row r="5771">
      <c r="A5771" s="33" t="n">
        <v>46091</v>
      </c>
      <c r="B5771" t="inlineStr">
        <is>
          <t>2026-03</t>
        </is>
      </c>
      <c r="C5771" t="inlineStr">
        <is>
          <t>Pont. Universidad Catolica de Chile</t>
        </is>
      </c>
      <c r="D5771" t="inlineStr">
        <is>
          <t>PACKAGING</t>
        </is>
      </c>
      <c r="E5771" s="34" t="n">
        <v>230201</v>
      </c>
      <c r="F5771" t="inlineStr">
        <is>
          <t>F</t>
        </is>
      </c>
      <c r="G5771" s="34" t="n">
        <v>36755</v>
      </c>
      <c r="H5771" s="34" t="n">
        <v>193446</v>
      </c>
      <c r="I5771" t="inlineStr">
        <is>
          <t>3.1</t>
        </is>
      </c>
      <c r="J5771" t="inlineStr">
        <is>
          <t>Ventas HoReCa</t>
        </is>
      </c>
      <c r="K5771" t="inlineStr">
        <is>
          <t>CH1</t>
        </is>
      </c>
    </row>
    <row r="5772">
      <c r="A5772" s="33" t="n">
        <v>46091</v>
      </c>
      <c r="B5772" t="inlineStr">
        <is>
          <t>2026-03</t>
        </is>
      </c>
      <c r="C5772" t="inlineStr">
        <is>
          <t>Diego Muñoz</t>
        </is>
      </c>
      <c r="D5772" t="inlineStr">
        <is>
          <t>Rellenos</t>
        </is>
      </c>
      <c r="E5772" s="34" t="n">
        <v>26100</v>
      </c>
      <c r="F5772" t="inlineStr">
        <is>
          <t>B</t>
        </is>
      </c>
      <c r="G5772" s="34" t="n">
        <v>4167</v>
      </c>
      <c r="H5772" s="34" t="n">
        <v>21933</v>
      </c>
      <c r="I5772" t="inlineStr">
        <is>
          <t>3.2</t>
        </is>
      </c>
      <c r="J5772" t="inlineStr">
        <is>
          <t>Ventas Personas (B2C)</t>
        </is>
      </c>
      <c r="K5772" t="inlineStr">
        <is>
          <t>CH2</t>
        </is>
      </c>
    </row>
    <row r="5773">
      <c r="A5773" s="33" t="n">
        <v>46091</v>
      </c>
      <c r="B5773" t="inlineStr">
        <is>
          <t>2026-03</t>
        </is>
      </c>
      <c r="C5773" t="inlineStr">
        <is>
          <t>GUISELA NAVARRETE</t>
        </is>
      </c>
      <c r="D5773" t="inlineStr">
        <is>
          <t>PACKS GOURMET</t>
        </is>
      </c>
      <c r="E5773" s="34" t="n">
        <v>25091</v>
      </c>
      <c r="F5773" t="inlineStr">
        <is>
          <t>B</t>
        </is>
      </c>
      <c r="G5773" s="34" t="n">
        <v>4006</v>
      </c>
      <c r="H5773" s="34" t="n">
        <v>21085</v>
      </c>
      <c r="I5773" t="inlineStr">
        <is>
          <t>3.2</t>
        </is>
      </c>
      <c r="J5773" t="inlineStr">
        <is>
          <t>Ventas Personas (B2C)</t>
        </is>
      </c>
      <c r="K5773" t="inlineStr">
        <is>
          <t>CH2</t>
        </is>
      </c>
    </row>
    <row r="5774">
      <c r="A5774" s="33" t="n">
        <v>46091</v>
      </c>
      <c r="B5774" t="inlineStr">
        <is>
          <t>2026-03</t>
        </is>
      </c>
      <c r="C5774" t="inlineStr">
        <is>
          <t>Sin cliente</t>
        </is>
      </c>
      <c r="D5774" t="inlineStr">
        <is>
          <t>Rellenos</t>
        </is>
      </c>
      <c r="E5774" s="34" t="n">
        <v>22015</v>
      </c>
      <c r="F5774" t="inlineStr">
        <is>
          <t>B</t>
        </is>
      </c>
      <c r="G5774" s="34" t="n">
        <v>3515</v>
      </c>
      <c r="H5774" s="34" t="n">
        <v>18500</v>
      </c>
      <c r="I5774" t="inlineStr">
        <is>
          <t>3.2</t>
        </is>
      </c>
      <c r="J5774" t="inlineStr">
        <is>
          <t>Ventas Personas (B2C)</t>
        </is>
      </c>
      <c r="K5774" t="inlineStr">
        <is>
          <t>CH2</t>
        </is>
      </c>
    </row>
    <row r="5775">
      <c r="A5775" s="33" t="n">
        <v>46091</v>
      </c>
      <c r="B5775" t="inlineStr">
        <is>
          <t>2026-03</t>
        </is>
      </c>
      <c r="C5775" t="inlineStr">
        <is>
          <t>Sin cliente</t>
        </is>
      </c>
      <c r="D5775" t="inlineStr">
        <is>
          <t>CANELÉ TRADICIONAL</t>
        </is>
      </c>
      <c r="E5775" s="34" t="n">
        <v>10000</v>
      </c>
      <c r="F5775" t="inlineStr">
        <is>
          <t>B</t>
        </is>
      </c>
      <c r="G5775" s="34" t="n">
        <v>1597</v>
      </c>
      <c r="H5775" s="34" t="n">
        <v>8403</v>
      </c>
      <c r="I5775" t="inlineStr">
        <is>
          <t>3.2</t>
        </is>
      </c>
      <c r="J5775" t="inlineStr">
        <is>
          <t>Ventas Personas (B2C)</t>
        </is>
      </c>
      <c r="K5775" t="inlineStr">
        <is>
          <t>CH2</t>
        </is>
      </c>
    </row>
    <row r="5776">
      <c r="A5776" s="33" t="n">
        <v>46091</v>
      </c>
      <c r="B5776" t="inlineStr">
        <is>
          <t>2026-03</t>
        </is>
      </c>
      <c r="C5776" t="inlineStr">
        <is>
          <t>Sin cliente</t>
        </is>
      </c>
      <c r="D5776" t="inlineStr">
        <is>
          <t>Rellenos</t>
        </is>
      </c>
      <c r="E5776" s="34" t="n">
        <v>18900</v>
      </c>
      <c r="F5776" t="inlineStr">
        <is>
          <t>B</t>
        </is>
      </c>
      <c r="G5776" s="34" t="n">
        <v>3018</v>
      </c>
      <c r="H5776" s="34" t="n">
        <v>15882</v>
      </c>
      <c r="I5776" t="inlineStr">
        <is>
          <t>3.2</t>
        </is>
      </c>
      <c r="J5776" t="inlineStr">
        <is>
          <t>Ventas Personas (B2C)</t>
        </is>
      </c>
      <c r="K5776" t="inlineStr">
        <is>
          <t>CH2</t>
        </is>
      </c>
    </row>
    <row r="5777">
      <c r="A5777" s="33" t="n">
        <v>46091</v>
      </c>
      <c r="B5777" t="inlineStr">
        <is>
          <t>2026-03</t>
        </is>
      </c>
      <c r="C5777" t="inlineStr">
        <is>
          <t>Sin cliente</t>
        </is>
      </c>
      <c r="D5777" t="inlineStr">
        <is>
          <t>PLATAFORMAS RAP-PEYA-UBER-GOOD</t>
        </is>
      </c>
      <c r="E5777" s="34" t="n">
        <v>29160</v>
      </c>
      <c r="F5777" t="inlineStr">
        <is>
          <t>B</t>
        </is>
      </c>
      <c r="G5777" s="34" t="n">
        <v>4656</v>
      </c>
      <c r="H5777" s="34" t="n">
        <v>24504</v>
      </c>
      <c r="I5777" t="inlineStr">
        <is>
          <t>3.6</t>
        </is>
      </c>
      <c r="J5777" t="inlineStr">
        <is>
          <t>Ventas Delivery Apps</t>
        </is>
      </c>
      <c r="K5777" t="inlineStr">
        <is>
          <t>CH3</t>
        </is>
      </c>
    </row>
    <row r="5778">
      <c r="A5778" s="33" t="n">
        <v>46091</v>
      </c>
      <c r="B5778" t="inlineStr">
        <is>
          <t>2026-03</t>
        </is>
      </c>
      <c r="C5778" t="inlineStr">
        <is>
          <t>Sin cliente</t>
        </is>
      </c>
      <c r="D5778" t="inlineStr">
        <is>
          <t>PLATAFORMAS RAP-PEYA-UBER-GOOD</t>
        </is>
      </c>
      <c r="E5778" s="34" t="n">
        <v>10080</v>
      </c>
      <c r="F5778" t="inlineStr">
        <is>
          <t>B</t>
        </is>
      </c>
      <c r="G5778" s="34" t="n">
        <v>1609</v>
      </c>
      <c r="H5778" s="34" t="n">
        <v>8471</v>
      </c>
      <c r="I5778" t="inlineStr">
        <is>
          <t>3.6</t>
        </is>
      </c>
      <c r="J5778" t="inlineStr">
        <is>
          <t>Ventas Delivery Apps</t>
        </is>
      </c>
      <c r="K5778" t="inlineStr">
        <is>
          <t>CH3</t>
        </is>
      </c>
    </row>
    <row r="5779">
      <c r="A5779" s="33" t="n">
        <v>46091</v>
      </c>
      <c r="B5779" t="inlineStr">
        <is>
          <t>2026-03</t>
        </is>
      </c>
      <c r="C5779" t="inlineStr">
        <is>
          <t>Sin cliente</t>
        </is>
      </c>
      <c r="D5779" t="inlineStr">
        <is>
          <t>PLATAFORMAS RAP-PEYA-UBER-GOOD</t>
        </is>
      </c>
      <c r="E5779" s="34" t="n">
        <v>13080</v>
      </c>
      <c r="F5779" t="inlineStr">
        <is>
          <t>B</t>
        </is>
      </c>
      <c r="G5779" s="34" t="n">
        <v>2088</v>
      </c>
      <c r="H5779" s="34" t="n">
        <v>10992</v>
      </c>
      <c r="I5779" t="inlineStr">
        <is>
          <t>3.6</t>
        </is>
      </c>
      <c r="J5779" t="inlineStr">
        <is>
          <t>Ventas Delivery Apps</t>
        </is>
      </c>
      <c r="K5779" t="inlineStr">
        <is>
          <t>CH3</t>
        </is>
      </c>
    </row>
    <row r="5780">
      <c r="A5780" s="33" t="n">
        <v>46091</v>
      </c>
      <c r="B5780" t="inlineStr">
        <is>
          <t>2026-03</t>
        </is>
      </c>
      <c r="C5780" t="inlineStr">
        <is>
          <t>Sin cliente</t>
        </is>
      </c>
      <c r="D5780" t="inlineStr">
        <is>
          <t>PLATAFORMAS RAP-PEYA-UBER-GOOD</t>
        </is>
      </c>
      <c r="E5780" s="34" t="n">
        <v>17880</v>
      </c>
      <c r="F5780" t="inlineStr">
        <is>
          <t>B</t>
        </is>
      </c>
      <c r="G5780" s="34" t="n">
        <v>2855</v>
      </c>
      <c r="H5780" s="34" t="n">
        <v>15025</v>
      </c>
      <c r="I5780" t="inlineStr">
        <is>
          <t>3.6</t>
        </is>
      </c>
      <c r="J5780" t="inlineStr">
        <is>
          <t>Ventas Delivery Apps</t>
        </is>
      </c>
      <c r="K5780" t="inlineStr">
        <is>
          <t>CH3</t>
        </is>
      </c>
    </row>
    <row r="5781">
      <c r="A5781" s="33" t="n">
        <v>46091</v>
      </c>
      <c r="B5781" t="inlineStr">
        <is>
          <t>2026-03</t>
        </is>
      </c>
      <c r="C5781" t="inlineStr">
        <is>
          <t>Sin cliente</t>
        </is>
      </c>
      <c r="D5781" t="inlineStr">
        <is>
          <t>Rellenos</t>
        </is>
      </c>
      <c r="E5781" s="34" t="n">
        <v>22015</v>
      </c>
      <c r="F5781" t="inlineStr">
        <is>
          <t>B</t>
        </is>
      </c>
      <c r="G5781" s="34" t="n">
        <v>3515</v>
      </c>
      <c r="H5781" s="34" t="n">
        <v>18500</v>
      </c>
      <c r="I5781" t="inlineStr">
        <is>
          <t>3.2</t>
        </is>
      </c>
      <c r="J5781" t="inlineStr">
        <is>
          <t>Ventas Personas (B2C)</t>
        </is>
      </c>
      <c r="K5781" t="inlineStr">
        <is>
          <t>CH2</t>
        </is>
      </c>
    </row>
    <row r="5782">
      <c r="A5782" s="33" t="n">
        <v>46091</v>
      </c>
      <c r="B5782" t="inlineStr">
        <is>
          <t>2026-03</t>
        </is>
      </c>
      <c r="C5782" t="inlineStr">
        <is>
          <t>Sin cliente</t>
        </is>
      </c>
      <c r="D5782" t="inlineStr">
        <is>
          <t>CANELÉ TRADICIONAL</t>
        </is>
      </c>
      <c r="E5782" s="34" t="n">
        <v>15900</v>
      </c>
      <c r="F5782" t="inlineStr">
        <is>
          <t>B</t>
        </is>
      </c>
      <c r="G5782" s="34" t="n">
        <v>2539</v>
      </c>
      <c r="H5782" s="34" t="n">
        <v>13361</v>
      </c>
      <c r="I5782" t="inlineStr">
        <is>
          <t>3.2</t>
        </is>
      </c>
      <c r="J5782" t="inlineStr">
        <is>
          <t>Ventas Personas (B2C)</t>
        </is>
      </c>
      <c r="K5782" t="inlineStr">
        <is>
          <t>CH2</t>
        </is>
      </c>
    </row>
    <row r="5783">
      <c r="A5783" s="33" t="n">
        <v>46091</v>
      </c>
      <c r="B5783" t="inlineStr">
        <is>
          <t>2026-03</t>
        </is>
      </c>
      <c r="C5783" t="inlineStr">
        <is>
          <t>Maria Jose Grez</t>
        </is>
      </c>
      <c r="D5783" t="inlineStr">
        <is>
          <t>Rellenos</t>
        </is>
      </c>
      <c r="E5783" s="34" t="n">
        <v>-22015</v>
      </c>
      <c r="F5783" t="inlineStr">
        <is>
          <t>NC</t>
        </is>
      </c>
      <c r="G5783" s="34" t="n">
        <v>-3515</v>
      </c>
      <c r="H5783" s="34" t="n">
        <v>-18500</v>
      </c>
      <c r="I5783" t="inlineStr">
        <is>
          <t>3.2</t>
        </is>
      </c>
      <c r="J5783" t="inlineStr">
        <is>
          <t>Ventas Personas (B2C)</t>
        </is>
      </c>
      <c r="K5783" t="inlineStr">
        <is>
          <t>CH2</t>
        </is>
      </c>
    </row>
    <row r="5784">
      <c r="A5784" s="33" t="n">
        <v>46091</v>
      </c>
      <c r="B5784" t="inlineStr">
        <is>
          <t>2026-03</t>
        </is>
      </c>
      <c r="C5784" t="inlineStr">
        <is>
          <t>iara Rodoureira</t>
        </is>
      </c>
      <c r="D5784" t="inlineStr">
        <is>
          <t>Petit Tradicional</t>
        </is>
      </c>
      <c r="E5784" s="34" t="n">
        <v>31800</v>
      </c>
      <c r="F5784" t="inlineStr">
        <is>
          <t>B</t>
        </is>
      </c>
      <c r="G5784" s="34" t="n">
        <v>5077</v>
      </c>
      <c r="H5784" s="34" t="n">
        <v>26723</v>
      </c>
      <c r="I5784" t="inlineStr">
        <is>
          <t>3.2</t>
        </is>
      </c>
      <c r="J5784" t="inlineStr">
        <is>
          <t>Ventas Personas (B2C)</t>
        </is>
      </c>
      <c r="K5784" t="inlineStr">
        <is>
          <t>CH2</t>
        </is>
      </c>
    </row>
    <row r="5785">
      <c r="A5785" s="33" t="n">
        <v>46092</v>
      </c>
      <c r="B5785" t="inlineStr">
        <is>
          <t>2026-03</t>
        </is>
      </c>
      <c r="C5785" t="inlineStr">
        <is>
          <t>BUSTORF LARSEN Y COMPANIA LIMITADA</t>
        </is>
      </c>
      <c r="D5785" t="inlineStr">
        <is>
          <t>HORECA CAFETERIA</t>
        </is>
      </c>
      <c r="E5785" s="34" t="n">
        <v>71210</v>
      </c>
      <c r="F5785" t="inlineStr">
        <is>
          <t>F</t>
        </is>
      </c>
      <c r="G5785" s="34" t="n">
        <v>11370</v>
      </c>
      <c r="H5785" s="34" t="n">
        <v>59840</v>
      </c>
      <c r="I5785" t="inlineStr">
        <is>
          <t>3.1</t>
        </is>
      </c>
      <c r="J5785" t="inlineStr">
        <is>
          <t>Ventas HoReCa</t>
        </is>
      </c>
      <c r="K5785" t="inlineStr">
        <is>
          <t>CH1</t>
        </is>
      </c>
    </row>
    <row r="5786">
      <c r="A5786" s="33" t="n">
        <v>46092</v>
      </c>
      <c r="B5786" t="inlineStr">
        <is>
          <t>2026-03</t>
        </is>
      </c>
      <c r="C5786" t="inlineStr">
        <is>
          <t>INVERSIONES Y COMERCIALIZADORA FED LIMITADA</t>
        </is>
      </c>
      <c r="D5786" t="inlineStr">
        <is>
          <t>HORECA CAFETERIA</t>
        </is>
      </c>
      <c r="E5786" s="34" t="n">
        <v>88862</v>
      </c>
      <c r="F5786" t="inlineStr">
        <is>
          <t>F</t>
        </is>
      </c>
      <c r="G5786" s="34" t="n">
        <v>14188</v>
      </c>
      <c r="H5786" s="34" t="n">
        <v>74674</v>
      </c>
      <c r="I5786" t="inlineStr">
        <is>
          <t>3.1</t>
        </is>
      </c>
      <c r="J5786" t="inlineStr">
        <is>
          <t>Ventas HoReCa</t>
        </is>
      </c>
      <c r="K5786" t="inlineStr">
        <is>
          <t>CH1</t>
        </is>
      </c>
    </row>
    <row r="5787">
      <c r="A5787" s="33" t="n">
        <v>46092</v>
      </c>
      <c r="B5787" t="inlineStr">
        <is>
          <t>2026-03</t>
        </is>
      </c>
      <c r="C5787" t="inlineStr">
        <is>
          <t>INVERSIONES Y COMERCIALIZADORA FED LIMITADA</t>
        </is>
      </c>
      <c r="D5787" t="inlineStr">
        <is>
          <t>HORECA CAFETERIA</t>
        </is>
      </c>
      <c r="E5787" s="34" t="n">
        <v>282203</v>
      </c>
      <c r="F5787" t="inlineStr">
        <is>
          <t>F</t>
        </is>
      </c>
      <c r="G5787" s="34" t="n">
        <v>45058</v>
      </c>
      <c r="H5787" s="34" t="n">
        <v>237145</v>
      </c>
      <c r="I5787" t="inlineStr">
        <is>
          <t>3.1</t>
        </is>
      </c>
      <c r="J5787" t="inlineStr">
        <is>
          <t>Ventas HoReCa</t>
        </is>
      </c>
      <c r="K5787" t="inlineStr">
        <is>
          <t>CH1</t>
        </is>
      </c>
    </row>
    <row r="5788">
      <c r="A5788" s="33" t="n">
        <v>46092</v>
      </c>
      <c r="B5788" t="inlineStr">
        <is>
          <t>2026-03</t>
        </is>
      </c>
      <c r="C5788" t="inlineStr">
        <is>
          <t>HUERTO SUR LIMITADA</t>
        </is>
      </c>
      <c r="D5788" t="inlineStr">
        <is>
          <t>HORECA CAFETERIA</t>
        </is>
      </c>
      <c r="E5788" s="34" t="n">
        <v>103304</v>
      </c>
      <c r="F5788" t="inlineStr">
        <is>
          <t>F</t>
        </is>
      </c>
      <c r="G5788" s="34" t="n">
        <v>16494</v>
      </c>
      <c r="H5788" s="34" t="n">
        <v>86810</v>
      </c>
      <c r="I5788" t="inlineStr">
        <is>
          <t>3.1</t>
        </is>
      </c>
      <c r="J5788" t="inlineStr">
        <is>
          <t>Ventas HoReCa</t>
        </is>
      </c>
      <c r="K5788" t="inlineStr">
        <is>
          <t>CH1</t>
        </is>
      </c>
    </row>
    <row r="5789">
      <c r="A5789" s="33" t="n">
        <v>46092</v>
      </c>
      <c r="B5789" t="inlineStr">
        <is>
          <t>2026-03</t>
        </is>
      </c>
      <c r="C5789" t="inlineStr">
        <is>
          <t>GOOD LIFE SPA</t>
        </is>
      </c>
      <c r="D5789" t="inlineStr">
        <is>
          <t>HORECA CAFETERIA</t>
        </is>
      </c>
      <c r="E5789" s="34" t="n">
        <v>453164</v>
      </c>
      <c r="F5789" t="inlineStr">
        <is>
          <t>F</t>
        </is>
      </c>
      <c r="G5789" s="34" t="n">
        <v>72354</v>
      </c>
      <c r="H5789" s="34" t="n">
        <v>380810</v>
      </c>
      <c r="I5789" t="inlineStr">
        <is>
          <t>3.1</t>
        </is>
      </c>
      <c r="J5789" t="inlineStr">
        <is>
          <t>Ventas HoReCa</t>
        </is>
      </c>
      <c r="K5789" t="inlineStr">
        <is>
          <t>CH1</t>
        </is>
      </c>
    </row>
    <row r="5790">
      <c r="A5790" s="33" t="n">
        <v>46092</v>
      </c>
      <c r="B5790" t="inlineStr">
        <is>
          <t>2026-03</t>
        </is>
      </c>
      <c r="C5790" t="inlineStr">
        <is>
          <t>Nury Benavides Fritis</t>
        </is>
      </c>
      <c r="D5790" t="inlineStr">
        <is>
          <t>Petit Crunchy</t>
        </is>
      </c>
      <c r="E5790" s="34" t="n">
        <v>39390</v>
      </c>
      <c r="F5790" t="inlineStr">
        <is>
          <t>B</t>
        </is>
      </c>
      <c r="G5790" s="34" t="n">
        <v>6289</v>
      </c>
      <c r="H5790" s="34" t="n">
        <v>33101</v>
      </c>
      <c r="I5790" t="inlineStr">
        <is>
          <t>3.2</t>
        </is>
      </c>
      <c r="J5790" t="inlineStr">
        <is>
          <t>Ventas Personas (B2C)</t>
        </is>
      </c>
      <c r="K5790" t="inlineStr">
        <is>
          <t>CH2</t>
        </is>
      </c>
    </row>
    <row r="5791">
      <c r="A5791" s="33" t="n">
        <v>46092</v>
      </c>
      <c r="B5791" t="inlineStr">
        <is>
          <t>2026-03</t>
        </is>
      </c>
      <c r="C5791" t="inlineStr">
        <is>
          <t>Sofia Mereles</t>
        </is>
      </c>
      <c r="D5791" t="inlineStr">
        <is>
          <t>Rellenos</t>
        </is>
      </c>
      <c r="E5791" s="34" t="n">
        <v>33390</v>
      </c>
      <c r="F5791" t="inlineStr">
        <is>
          <t>B</t>
        </is>
      </c>
      <c r="G5791" s="34" t="n">
        <v>5331</v>
      </c>
      <c r="H5791" s="34" t="n">
        <v>28059</v>
      </c>
      <c r="I5791" t="inlineStr">
        <is>
          <t>3.2</t>
        </is>
      </c>
      <c r="J5791" t="inlineStr">
        <is>
          <t>Ventas Personas (B2C)</t>
        </is>
      </c>
      <c r="K5791" t="inlineStr">
        <is>
          <t>CH2</t>
        </is>
      </c>
    </row>
    <row r="5792">
      <c r="A5792" s="33" t="n">
        <v>46092</v>
      </c>
      <c r="B5792" t="inlineStr">
        <is>
          <t>2026-03</t>
        </is>
      </c>
      <c r="C5792" t="inlineStr">
        <is>
          <t>Felipe Mella</t>
        </is>
      </c>
      <c r="D5792" t="inlineStr">
        <is>
          <t>Petit Crunchy</t>
        </is>
      </c>
      <c r="E5792" s="34" t="n">
        <v>13410</v>
      </c>
      <c r="F5792" t="inlineStr">
        <is>
          <t>B</t>
        </is>
      </c>
      <c r="G5792" s="34" t="n">
        <v>2141</v>
      </c>
      <c r="H5792" s="34" t="n">
        <v>11269</v>
      </c>
      <c r="I5792" t="inlineStr">
        <is>
          <t>3.2</t>
        </is>
      </c>
      <c r="J5792" t="inlineStr">
        <is>
          <t>Ventas Personas (B2C)</t>
        </is>
      </c>
      <c r="K5792" t="inlineStr">
        <is>
          <t>CH2</t>
        </is>
      </c>
    </row>
    <row r="5793">
      <c r="A5793" s="33" t="n">
        <v>46092</v>
      </c>
      <c r="B5793" t="inlineStr">
        <is>
          <t>2026-03</t>
        </is>
      </c>
      <c r="C5793" t="inlineStr">
        <is>
          <t>Sin cliente</t>
        </is>
      </c>
      <c r="D5793" t="inlineStr">
        <is>
          <t>Canelé Petit Relleno</t>
        </is>
      </c>
      <c r="E5793" s="34" t="n">
        <v>13900</v>
      </c>
      <c r="F5793" t="inlineStr">
        <is>
          <t>B</t>
        </is>
      </c>
      <c r="G5793" s="34" t="n">
        <v>2219</v>
      </c>
      <c r="H5793" s="34" t="n">
        <v>11681</v>
      </c>
      <c r="I5793" t="inlineStr">
        <is>
          <t>3.2</t>
        </is>
      </c>
      <c r="J5793" t="inlineStr">
        <is>
          <t>Ventas Personas (B2C)</t>
        </is>
      </c>
      <c r="K5793" t="inlineStr">
        <is>
          <t>CH2</t>
        </is>
      </c>
    </row>
    <row r="5794">
      <c r="A5794" s="33" t="n">
        <v>46092</v>
      </c>
      <c r="B5794" t="inlineStr">
        <is>
          <t>2026-03</t>
        </is>
      </c>
      <c r="C5794" t="inlineStr">
        <is>
          <t>Sin cliente</t>
        </is>
      </c>
      <c r="D5794" t="inlineStr">
        <is>
          <t>Delicatessen</t>
        </is>
      </c>
      <c r="E5794" s="34" t="n">
        <v>1800</v>
      </c>
      <c r="F5794" t="inlineStr">
        <is>
          <t>B</t>
        </is>
      </c>
      <c r="G5794" s="34" t="n">
        <v>287</v>
      </c>
      <c r="H5794" s="34" t="n">
        <v>1513</v>
      </c>
      <c r="I5794" t="inlineStr">
        <is>
          <t>3.2</t>
        </is>
      </c>
      <c r="J5794" t="inlineStr">
        <is>
          <t>Ventas Personas (B2C)</t>
        </is>
      </c>
      <c r="K5794" t="inlineStr">
        <is>
          <t>CH2</t>
        </is>
      </c>
    </row>
    <row r="5795">
      <c r="A5795" s="33" t="n">
        <v>46092</v>
      </c>
      <c r="B5795" t="inlineStr">
        <is>
          <t>2026-03</t>
        </is>
      </c>
      <c r="C5795" t="inlineStr">
        <is>
          <t>Sin cliente</t>
        </is>
      </c>
      <c r="D5795" t="inlineStr">
        <is>
          <t>Cafeteria Geronimo</t>
        </is>
      </c>
      <c r="E5795" s="34" t="n">
        <v>8925</v>
      </c>
      <c r="F5795" t="inlineStr">
        <is>
          <t>B</t>
        </is>
      </c>
      <c r="G5795" s="34" t="n">
        <v>1425</v>
      </c>
      <c r="H5795" s="34" t="n">
        <v>7500</v>
      </c>
      <c r="I5795" t="inlineStr">
        <is>
          <t>3.2</t>
        </is>
      </c>
      <c r="J5795" t="inlineStr">
        <is>
          <t>Ventas Personas (B2C)</t>
        </is>
      </c>
      <c r="K5795" t="inlineStr">
        <is>
          <t>CH2</t>
        </is>
      </c>
    </row>
    <row r="5796">
      <c r="A5796" s="33" t="n">
        <v>46092</v>
      </c>
      <c r="B5796" t="inlineStr">
        <is>
          <t>2026-03</t>
        </is>
      </c>
      <c r="C5796" t="inlineStr">
        <is>
          <t>Sin cliente</t>
        </is>
      </c>
      <c r="D5796" t="inlineStr">
        <is>
          <t>Petit Crunchy</t>
        </is>
      </c>
      <c r="E5796" s="34" t="n">
        <v>34100</v>
      </c>
      <c r="F5796" t="inlineStr">
        <is>
          <t>B</t>
        </is>
      </c>
      <c r="G5796" s="34" t="n">
        <v>5445</v>
      </c>
      <c r="H5796" s="34" t="n">
        <v>28655</v>
      </c>
      <c r="I5796" t="inlineStr">
        <is>
          <t>3.2</t>
        </is>
      </c>
      <c r="J5796" t="inlineStr">
        <is>
          <t>Ventas Personas (B2C)</t>
        </is>
      </c>
      <c r="K5796" t="inlineStr">
        <is>
          <t>CH2</t>
        </is>
      </c>
    </row>
    <row r="5797">
      <c r="A5797" s="33" t="n">
        <v>46092</v>
      </c>
      <c r="B5797" t="inlineStr">
        <is>
          <t>2026-03</t>
        </is>
      </c>
      <c r="C5797" t="inlineStr">
        <is>
          <t>Sin cliente</t>
        </is>
      </c>
      <c r="D5797" t="inlineStr">
        <is>
          <t>Rellenos</t>
        </is>
      </c>
      <c r="E5797" s="34" t="n">
        <v>40400</v>
      </c>
      <c r="F5797" t="inlineStr">
        <is>
          <t>B</t>
        </is>
      </c>
      <c r="G5797" s="34" t="n">
        <v>6450</v>
      </c>
      <c r="H5797" s="34" t="n">
        <v>33950</v>
      </c>
      <c r="I5797" t="inlineStr">
        <is>
          <t>3.2</t>
        </is>
      </c>
      <c r="J5797" t="inlineStr">
        <is>
          <t>Ventas Personas (B2C)</t>
        </is>
      </c>
      <c r="K5797" t="inlineStr">
        <is>
          <t>CH2</t>
        </is>
      </c>
    </row>
    <row r="5798">
      <c r="A5798" s="33" t="n">
        <v>46092</v>
      </c>
      <c r="B5798" t="inlineStr">
        <is>
          <t>2026-03</t>
        </is>
      </c>
      <c r="C5798" t="inlineStr">
        <is>
          <t>Sin cliente</t>
        </is>
      </c>
      <c r="D5798" t="inlineStr">
        <is>
          <t>Cafeteria Geronimo</t>
        </is>
      </c>
      <c r="E5798" s="34" t="n">
        <v>6000</v>
      </c>
      <c r="F5798" t="inlineStr">
        <is>
          <t>B</t>
        </is>
      </c>
      <c r="G5798" s="34" t="n">
        <v>958</v>
      </c>
      <c r="H5798" s="34" t="n">
        <v>5042</v>
      </c>
      <c r="I5798" t="inlineStr">
        <is>
          <t>3.2</t>
        </is>
      </c>
      <c r="J5798" t="inlineStr">
        <is>
          <t>Ventas Personas (B2C)</t>
        </is>
      </c>
      <c r="K5798" t="inlineStr">
        <is>
          <t>CH2</t>
        </is>
      </c>
    </row>
    <row r="5799">
      <c r="A5799" s="33" t="n">
        <v>46092</v>
      </c>
      <c r="B5799" t="inlineStr">
        <is>
          <t>2026-03</t>
        </is>
      </c>
      <c r="C5799" t="inlineStr">
        <is>
          <t>Sin cliente</t>
        </is>
      </c>
      <c r="D5799" t="inlineStr">
        <is>
          <t>PLATAFORMAS RAP-PEYA-UBER-GOOD</t>
        </is>
      </c>
      <c r="E5799" s="34" t="n">
        <v>7200</v>
      </c>
      <c r="F5799" t="inlineStr">
        <is>
          <t>B</t>
        </is>
      </c>
      <c r="G5799" s="34" t="n">
        <v>1150</v>
      </c>
      <c r="H5799" s="34" t="n">
        <v>6050</v>
      </c>
      <c r="I5799" t="inlineStr">
        <is>
          <t>3.6</t>
        </is>
      </c>
      <c r="J5799" t="inlineStr">
        <is>
          <t>Ventas Delivery Apps</t>
        </is>
      </c>
      <c r="K5799" t="inlineStr">
        <is>
          <t>CH3</t>
        </is>
      </c>
    </row>
    <row r="5800">
      <c r="A5800" s="33" t="n">
        <v>46092</v>
      </c>
      <c r="B5800" t="inlineStr">
        <is>
          <t>2026-03</t>
        </is>
      </c>
      <c r="C5800" t="inlineStr">
        <is>
          <t>Sin cliente</t>
        </is>
      </c>
      <c r="D5800" t="inlineStr">
        <is>
          <t>Rellenos</t>
        </is>
      </c>
      <c r="E5800" s="34" t="n">
        <v>12000</v>
      </c>
      <c r="F5800" t="inlineStr">
        <is>
          <t>B</t>
        </is>
      </c>
      <c r="G5800" s="34" t="n">
        <v>1916</v>
      </c>
      <c r="H5800" s="34" t="n">
        <v>10084</v>
      </c>
      <c r="I5800" t="inlineStr">
        <is>
          <t>3.2</t>
        </is>
      </c>
      <c r="J5800" t="inlineStr">
        <is>
          <t>Ventas Personas (B2C)</t>
        </is>
      </c>
      <c r="K5800" t="inlineStr">
        <is>
          <t>CH2</t>
        </is>
      </c>
    </row>
    <row r="5801">
      <c r="A5801" s="33" t="n">
        <v>46092</v>
      </c>
      <c r="B5801" t="inlineStr">
        <is>
          <t>2026-03</t>
        </is>
      </c>
      <c r="C5801" t="inlineStr">
        <is>
          <t>Sin cliente</t>
        </is>
      </c>
      <c r="D5801" t="inlineStr">
        <is>
          <t>Rellenos</t>
        </is>
      </c>
      <c r="E5801" s="34" t="n">
        <v>7000</v>
      </c>
      <c r="F5801" t="inlineStr">
        <is>
          <t>B</t>
        </is>
      </c>
      <c r="G5801" s="34" t="n">
        <v>1118</v>
      </c>
      <c r="H5801" s="34" t="n">
        <v>5882</v>
      </c>
      <c r="I5801" t="inlineStr">
        <is>
          <t>3.2</t>
        </is>
      </c>
      <c r="J5801" t="inlineStr">
        <is>
          <t>Ventas Personas (B2C)</t>
        </is>
      </c>
      <c r="K5801" t="inlineStr">
        <is>
          <t>CH2</t>
        </is>
      </c>
    </row>
    <row r="5802">
      <c r="A5802" s="33" t="n">
        <v>46092</v>
      </c>
      <c r="B5802" t="inlineStr">
        <is>
          <t>2026-03</t>
        </is>
      </c>
      <c r="C5802" t="inlineStr">
        <is>
          <t>Sin cliente</t>
        </is>
      </c>
      <c r="D5802" t="inlineStr">
        <is>
          <t>Rellenos</t>
        </is>
      </c>
      <c r="E5802" s="34" t="n">
        <v>18900</v>
      </c>
      <c r="F5802" t="inlineStr">
        <is>
          <t>B</t>
        </is>
      </c>
      <c r="G5802" s="34" t="n">
        <v>3018</v>
      </c>
      <c r="H5802" s="34" t="n">
        <v>15882</v>
      </c>
      <c r="I5802" t="inlineStr">
        <is>
          <t>3.2</t>
        </is>
      </c>
      <c r="J5802" t="inlineStr">
        <is>
          <t>Ventas Personas (B2C)</t>
        </is>
      </c>
      <c r="K5802" t="inlineStr">
        <is>
          <t>CH2</t>
        </is>
      </c>
    </row>
    <row r="5803">
      <c r="A5803" s="33" t="n">
        <v>46092</v>
      </c>
      <c r="B5803" t="inlineStr">
        <is>
          <t>2026-03</t>
        </is>
      </c>
      <c r="C5803" t="inlineStr">
        <is>
          <t>Sin cliente</t>
        </is>
      </c>
      <c r="D5803" t="inlineStr">
        <is>
          <t>Rellenos</t>
        </is>
      </c>
      <c r="E5803" s="34" t="n">
        <v>18900</v>
      </c>
      <c r="F5803" t="inlineStr">
        <is>
          <t>B</t>
        </is>
      </c>
      <c r="G5803" s="34" t="n">
        <v>3018</v>
      </c>
      <c r="H5803" s="34" t="n">
        <v>15882</v>
      </c>
      <c r="I5803" t="inlineStr">
        <is>
          <t>3.2</t>
        </is>
      </c>
      <c r="J5803" t="inlineStr">
        <is>
          <t>Ventas Personas (B2C)</t>
        </is>
      </c>
      <c r="K5803" t="inlineStr">
        <is>
          <t>CH2</t>
        </is>
      </c>
    </row>
    <row r="5804">
      <c r="A5804" s="33" t="n">
        <v>46092</v>
      </c>
      <c r="B5804" t="inlineStr">
        <is>
          <t>2026-03</t>
        </is>
      </c>
      <c r="C5804" t="inlineStr">
        <is>
          <t>Sin cliente</t>
        </is>
      </c>
      <c r="D5804" t="inlineStr">
        <is>
          <t>Delicatessen</t>
        </is>
      </c>
      <c r="E5804" s="34" t="n">
        <v>9800</v>
      </c>
      <c r="F5804" t="inlineStr">
        <is>
          <t>B</t>
        </is>
      </c>
      <c r="G5804" s="34" t="n">
        <v>1565</v>
      </c>
      <c r="H5804" s="34" t="n">
        <v>8235</v>
      </c>
      <c r="I5804" t="inlineStr">
        <is>
          <t>3.2</t>
        </is>
      </c>
      <c r="J5804" t="inlineStr">
        <is>
          <t>Ventas Personas (B2C)</t>
        </is>
      </c>
      <c r="K5804" t="inlineStr">
        <is>
          <t>CH2</t>
        </is>
      </c>
    </row>
    <row r="5805">
      <c r="A5805" s="33" t="n">
        <v>46092</v>
      </c>
      <c r="B5805" t="inlineStr">
        <is>
          <t>2026-03</t>
        </is>
      </c>
      <c r="C5805" t="inlineStr">
        <is>
          <t>Sin cliente</t>
        </is>
      </c>
      <c r="D5805" t="inlineStr">
        <is>
          <t>Rellenos</t>
        </is>
      </c>
      <c r="E5805" s="34" t="n">
        <v>7000</v>
      </c>
      <c r="F5805" t="inlineStr">
        <is>
          <t>B</t>
        </is>
      </c>
      <c r="G5805" s="34" t="n">
        <v>1118</v>
      </c>
      <c r="H5805" s="34" t="n">
        <v>5882</v>
      </c>
      <c r="I5805" t="inlineStr">
        <is>
          <t>3.2</t>
        </is>
      </c>
      <c r="J5805" t="inlineStr">
        <is>
          <t>Ventas Personas (B2C)</t>
        </is>
      </c>
      <c r="K5805" t="inlineStr">
        <is>
          <t>CH2</t>
        </is>
      </c>
    </row>
    <row r="5806">
      <c r="A5806" s="33" t="n">
        <v>46092</v>
      </c>
      <c r="B5806" t="inlineStr">
        <is>
          <t>2026-03</t>
        </is>
      </c>
      <c r="C5806" t="inlineStr">
        <is>
          <t>Marcela Basualdo</t>
        </is>
      </c>
      <c r="D5806" t="inlineStr">
        <is>
          <t>PACKAGING</t>
        </is>
      </c>
      <c r="E5806" s="34" t="n">
        <v>44390</v>
      </c>
      <c r="F5806" t="inlineStr">
        <is>
          <t>B</t>
        </is>
      </c>
      <c r="G5806" s="34" t="n">
        <v>7087</v>
      </c>
      <c r="H5806" s="34" t="n">
        <v>37303</v>
      </c>
      <c r="I5806" t="inlineStr">
        <is>
          <t>3.2</t>
        </is>
      </c>
      <c r="J5806" t="inlineStr">
        <is>
          <t>Ventas Personas (B2C)</t>
        </is>
      </c>
      <c r="K5806" t="inlineStr">
        <is>
          <t>CH2</t>
        </is>
      </c>
    </row>
    <row r="5807">
      <c r="A5807" s="33" t="n">
        <v>46092</v>
      </c>
      <c r="B5807" t="inlineStr">
        <is>
          <t>2026-03</t>
        </is>
      </c>
      <c r="C5807" t="inlineStr">
        <is>
          <t>Patricio Arancibia Orellana</t>
        </is>
      </c>
      <c r="D5807" t="inlineStr">
        <is>
          <t>CANELÉ TRADICIONAL</t>
        </is>
      </c>
      <c r="E5807" s="34" t="n">
        <v>26100</v>
      </c>
      <c r="F5807" t="inlineStr">
        <is>
          <t>B</t>
        </is>
      </c>
      <c r="G5807" s="34" t="n">
        <v>4167</v>
      </c>
      <c r="H5807" s="34" t="n">
        <v>21933</v>
      </c>
      <c r="I5807" t="inlineStr">
        <is>
          <t>3.2</t>
        </is>
      </c>
      <c r="J5807" t="inlineStr">
        <is>
          <t>Ventas Personas (B2C)</t>
        </is>
      </c>
      <c r="K5807" t="inlineStr">
        <is>
          <t>CH2</t>
        </is>
      </c>
    </row>
    <row r="5808">
      <c r="A5808" s="33" t="n">
        <v>46093</v>
      </c>
      <c r="B5808" t="inlineStr">
        <is>
          <t>2026-03</t>
        </is>
      </c>
      <c r="C5808" t="inlineStr">
        <is>
          <t>Better Food Spa</t>
        </is>
      </c>
      <c r="D5808" t="inlineStr">
        <is>
          <t>HORECA CAFETERIA</t>
        </is>
      </c>
      <c r="E5808" s="34" t="n">
        <v>288849</v>
      </c>
      <c r="F5808" t="inlineStr">
        <is>
          <t>F</t>
        </is>
      </c>
      <c r="G5808" s="34" t="n">
        <v>46119</v>
      </c>
      <c r="H5808" s="34" t="n">
        <v>242730</v>
      </c>
      <c r="I5808" t="inlineStr">
        <is>
          <t>3.1</t>
        </is>
      </c>
      <c r="J5808" t="inlineStr">
        <is>
          <t>Ventas HoReCa</t>
        </is>
      </c>
      <c r="K5808" t="inlineStr">
        <is>
          <t>CH1</t>
        </is>
      </c>
    </row>
    <row r="5809">
      <c r="A5809" s="33" t="n">
        <v>46093</v>
      </c>
      <c r="B5809" t="inlineStr">
        <is>
          <t>2026-03</t>
        </is>
      </c>
      <c r="C5809" t="inlineStr">
        <is>
          <t>Better Food Spa</t>
        </is>
      </c>
      <c r="D5809" t="inlineStr">
        <is>
          <t>REGION METROPOLITANA</t>
        </is>
      </c>
      <c r="E5809" s="34" t="n">
        <v>9401</v>
      </c>
      <c r="F5809" t="inlineStr">
        <is>
          <t>F</t>
        </is>
      </c>
      <c r="G5809" s="34" t="n">
        <v>1501</v>
      </c>
      <c r="H5809" s="34" t="n">
        <v>7900</v>
      </c>
      <c r="I5809" t="inlineStr">
        <is>
          <t>3.1</t>
        </is>
      </c>
      <c r="J5809" t="inlineStr">
        <is>
          <t>Ventas HoReCa</t>
        </is>
      </c>
      <c r="K5809" t="inlineStr">
        <is>
          <t>CH1</t>
        </is>
      </c>
    </row>
    <row r="5810">
      <c r="A5810" s="33" t="n">
        <v>46093</v>
      </c>
      <c r="B5810" t="inlineStr">
        <is>
          <t>2026-03</t>
        </is>
      </c>
      <c r="C5810" t="inlineStr">
        <is>
          <t>Sociedad de inversiones solari y acuña spa</t>
        </is>
      </c>
      <c r="D5810" t="inlineStr">
        <is>
          <t>HORECA CAFETERIA</t>
        </is>
      </c>
      <c r="E5810" s="34" t="n">
        <v>135398</v>
      </c>
      <c r="F5810" t="inlineStr">
        <is>
          <t>F</t>
        </is>
      </c>
      <c r="G5810" s="34" t="n">
        <v>21618</v>
      </c>
      <c r="H5810" s="34" t="n">
        <v>113780</v>
      </c>
      <c r="I5810" t="inlineStr">
        <is>
          <t>3.1</t>
        </is>
      </c>
      <c r="J5810" t="inlineStr">
        <is>
          <t>Ventas HoReCa</t>
        </is>
      </c>
      <c r="K5810" t="inlineStr">
        <is>
          <t>CH1</t>
        </is>
      </c>
    </row>
    <row r="5811">
      <c r="A5811" s="33" t="n">
        <v>46093</v>
      </c>
      <c r="B5811" t="inlineStr">
        <is>
          <t>2026-03</t>
        </is>
      </c>
      <c r="C5811" t="inlineStr">
        <is>
          <t>DIEGO VARGAS BANQUETERIA Y EVENTOS SPA</t>
        </is>
      </c>
      <c r="D5811" t="inlineStr">
        <is>
          <t>HORECA CATERING</t>
        </is>
      </c>
      <c r="E5811" s="34" t="n">
        <v>150773</v>
      </c>
      <c r="F5811" t="inlineStr">
        <is>
          <t>F</t>
        </is>
      </c>
      <c r="G5811" s="34" t="n">
        <v>24073</v>
      </c>
      <c r="H5811" s="34" t="n">
        <v>126700</v>
      </c>
      <c r="I5811" t="inlineStr">
        <is>
          <t>3.1</t>
        </is>
      </c>
      <c r="J5811" t="inlineStr">
        <is>
          <t>Ventas HoReCa</t>
        </is>
      </c>
      <c r="K5811" t="inlineStr">
        <is>
          <t>CH1</t>
        </is>
      </c>
    </row>
    <row r="5812">
      <c r="A5812" s="33" t="n">
        <v>46093</v>
      </c>
      <c r="B5812" t="inlineStr">
        <is>
          <t>2026-03</t>
        </is>
      </c>
      <c r="C5812" t="inlineStr">
        <is>
          <t>TAVELLI S.A.</t>
        </is>
      </c>
      <c r="D5812" t="inlineStr">
        <is>
          <t>HORECA CAFETERIA</t>
        </is>
      </c>
      <c r="E5812" s="34" t="n">
        <v>818405</v>
      </c>
      <c r="F5812" t="inlineStr">
        <is>
          <t>F</t>
        </is>
      </c>
      <c r="G5812" s="34" t="n">
        <v>130670</v>
      </c>
      <c r="H5812" s="34" t="n">
        <v>687735</v>
      </c>
      <c r="I5812" t="inlineStr">
        <is>
          <t>3.1</t>
        </is>
      </c>
      <c r="J5812" t="inlineStr">
        <is>
          <t>Ventas HoReCa</t>
        </is>
      </c>
      <c r="K5812" t="inlineStr">
        <is>
          <t>CH1</t>
        </is>
      </c>
    </row>
    <row r="5813">
      <c r="A5813" s="33" t="n">
        <v>46093</v>
      </c>
      <c r="B5813" t="inlineStr">
        <is>
          <t>2026-03</t>
        </is>
      </c>
      <c r="C5813" t="inlineStr">
        <is>
          <t>TAVELLI S.A.</t>
        </is>
      </c>
      <c r="D5813" t="inlineStr">
        <is>
          <t>REGION METROPOLITANA</t>
        </is>
      </c>
      <c r="E5813" s="34" t="n">
        <v>35700</v>
      </c>
      <c r="F5813" t="inlineStr">
        <is>
          <t>F</t>
        </is>
      </c>
      <c r="G5813" s="34" t="n">
        <v>5700</v>
      </c>
      <c r="H5813" s="34" t="n">
        <v>30000</v>
      </c>
      <c r="I5813" t="inlineStr">
        <is>
          <t>3.1</t>
        </is>
      </c>
      <c r="J5813" t="inlineStr">
        <is>
          <t>Ventas HoReCa</t>
        </is>
      </c>
      <c r="K5813" t="inlineStr">
        <is>
          <t>CH1</t>
        </is>
      </c>
    </row>
    <row r="5814">
      <c r="A5814" s="33" t="n">
        <v>46093</v>
      </c>
      <c r="B5814" t="inlineStr">
        <is>
          <t>2026-03</t>
        </is>
      </c>
      <c r="C5814" t="inlineStr">
        <is>
          <t>CAFE DIARIO ENCOMENDEROS SPA</t>
        </is>
      </c>
      <c r="D5814" t="inlineStr">
        <is>
          <t>HORECA CAFETERIA</t>
        </is>
      </c>
      <c r="E5814" s="34" t="n">
        <v>108380</v>
      </c>
      <c r="F5814" t="inlineStr">
        <is>
          <t>F</t>
        </is>
      </c>
      <c r="G5814" s="34" t="n">
        <v>17304</v>
      </c>
      <c r="H5814" s="34" t="n">
        <v>91076</v>
      </c>
      <c r="I5814" t="inlineStr">
        <is>
          <t>3.1</t>
        </is>
      </c>
      <c r="J5814" t="inlineStr">
        <is>
          <t>Ventas HoReCa</t>
        </is>
      </c>
      <c r="K5814" t="inlineStr">
        <is>
          <t>CH1</t>
        </is>
      </c>
    </row>
    <row r="5815">
      <c r="A5815" s="33" t="n">
        <v>46093</v>
      </c>
      <c r="B5815" t="inlineStr">
        <is>
          <t>2026-03</t>
        </is>
      </c>
      <c r="C5815" t="inlineStr">
        <is>
          <t>Inversiones Nagua SPA</t>
        </is>
      </c>
      <c r="D5815" t="inlineStr">
        <is>
          <t>HORECA CAFETERIA</t>
        </is>
      </c>
      <c r="E5815" s="34" t="n">
        <v>68179</v>
      </c>
      <c r="F5815" t="inlineStr">
        <is>
          <t>F</t>
        </is>
      </c>
      <c r="G5815" s="34" t="n">
        <v>10886</v>
      </c>
      <c r="H5815" s="34" t="n">
        <v>57293</v>
      </c>
      <c r="I5815" t="inlineStr">
        <is>
          <t>3.1</t>
        </is>
      </c>
      <c r="J5815" t="inlineStr">
        <is>
          <t>Ventas HoReCa</t>
        </is>
      </c>
      <c r="K5815" t="inlineStr">
        <is>
          <t>CH1</t>
        </is>
      </c>
    </row>
    <row r="5816">
      <c r="A5816" s="33" t="n">
        <v>46093</v>
      </c>
      <c r="B5816" t="inlineStr">
        <is>
          <t>2026-03</t>
        </is>
      </c>
      <c r="C5816" t="inlineStr">
        <is>
          <t>Catalina Urrutia</t>
        </is>
      </c>
      <c r="D5816" t="inlineStr">
        <is>
          <t>PACKAGING</t>
        </is>
      </c>
      <c r="E5816" s="34" t="n">
        <v>49790</v>
      </c>
      <c r="F5816" t="inlineStr">
        <is>
          <t>B</t>
        </is>
      </c>
      <c r="G5816" s="34" t="n">
        <v>7950</v>
      </c>
      <c r="H5816" s="34" t="n">
        <v>41840</v>
      </c>
      <c r="I5816" t="inlineStr">
        <is>
          <t>3.2</t>
        </is>
      </c>
      <c r="J5816" t="inlineStr">
        <is>
          <t>Ventas Personas (B2C)</t>
        </is>
      </c>
      <c r="K5816" t="inlineStr">
        <is>
          <t>CH2</t>
        </is>
      </c>
    </row>
    <row r="5817">
      <c r="A5817" s="33" t="n">
        <v>46093</v>
      </c>
      <c r="B5817" t="inlineStr">
        <is>
          <t>2026-03</t>
        </is>
      </c>
      <c r="C5817" t="inlineStr">
        <is>
          <t>Lorena Olivares</t>
        </is>
      </c>
      <c r="D5817" t="inlineStr">
        <is>
          <t>Mix Sabores</t>
        </is>
      </c>
      <c r="E5817" s="34" t="n">
        <v>27290</v>
      </c>
      <c r="F5817" t="inlineStr">
        <is>
          <t>B</t>
        </is>
      </c>
      <c r="G5817" s="34" t="n">
        <v>4357</v>
      </c>
      <c r="H5817" s="34" t="n">
        <v>22933</v>
      </c>
      <c r="I5817" t="inlineStr">
        <is>
          <t>3.2</t>
        </is>
      </c>
      <c r="J5817" t="inlineStr">
        <is>
          <t>Ventas Personas (B2C)</t>
        </is>
      </c>
      <c r="K5817" t="inlineStr">
        <is>
          <t>CH2</t>
        </is>
      </c>
    </row>
    <row r="5818">
      <c r="A5818" s="33" t="n">
        <v>46093</v>
      </c>
      <c r="B5818" t="inlineStr">
        <is>
          <t>2026-03</t>
        </is>
      </c>
      <c r="C5818" t="inlineStr">
        <is>
          <t>Renata Duque</t>
        </is>
      </c>
      <c r="D5818" t="inlineStr">
        <is>
          <t>Rellenos</t>
        </is>
      </c>
      <c r="E5818" s="34" t="n">
        <v>39390</v>
      </c>
      <c r="F5818" t="inlineStr">
        <is>
          <t>B</t>
        </is>
      </c>
      <c r="G5818" s="34" t="n">
        <v>6289</v>
      </c>
      <c r="H5818" s="34" t="n">
        <v>33101</v>
      </c>
      <c r="I5818" t="inlineStr">
        <is>
          <t>3.2</t>
        </is>
      </c>
      <c r="J5818" t="inlineStr">
        <is>
          <t>Ventas Personas (B2C)</t>
        </is>
      </c>
      <c r="K5818" t="inlineStr">
        <is>
          <t>CH2</t>
        </is>
      </c>
    </row>
    <row r="5819">
      <c r="A5819" s="33" t="n">
        <v>46093</v>
      </c>
      <c r="B5819" t="inlineStr">
        <is>
          <t>2026-03</t>
        </is>
      </c>
      <c r="C5819" t="inlineStr">
        <is>
          <t>Cristian Pérez</t>
        </is>
      </c>
      <c r="D5819" t="inlineStr">
        <is>
          <t>CANELE SIN AZUCAR</t>
        </is>
      </c>
      <c r="E5819" s="34" t="n">
        <v>37290</v>
      </c>
      <c r="F5819" t="inlineStr">
        <is>
          <t>B</t>
        </is>
      </c>
      <c r="G5819" s="34" t="n">
        <v>5954</v>
      </c>
      <c r="H5819" s="34" t="n">
        <v>31336</v>
      </c>
      <c r="I5819" t="inlineStr">
        <is>
          <t>3.2</t>
        </is>
      </c>
      <c r="J5819" t="inlineStr">
        <is>
          <t>Ventas Personas (B2C)</t>
        </is>
      </c>
      <c r="K5819" t="inlineStr">
        <is>
          <t>CH2</t>
        </is>
      </c>
    </row>
    <row r="5820">
      <c r="A5820" s="33" t="n">
        <v>46093</v>
      </c>
      <c r="B5820" t="inlineStr">
        <is>
          <t>2026-03</t>
        </is>
      </c>
      <c r="C5820" t="inlineStr">
        <is>
          <t>María Marín Cruz</t>
        </is>
      </c>
      <c r="D5820" t="inlineStr">
        <is>
          <t>CANELÉ TRADICIONAL</t>
        </is>
      </c>
      <c r="E5820" s="34" t="n">
        <v>20610</v>
      </c>
      <c r="F5820" t="inlineStr">
        <is>
          <t>B</t>
        </is>
      </c>
      <c r="G5820" s="34" t="n">
        <v>3291</v>
      </c>
      <c r="H5820" s="34" t="n">
        <v>17319</v>
      </c>
      <c r="I5820" t="inlineStr">
        <is>
          <t>3.2</t>
        </is>
      </c>
      <c r="J5820" t="inlineStr">
        <is>
          <t>Ventas Personas (B2C)</t>
        </is>
      </c>
      <c r="K5820" t="inlineStr">
        <is>
          <t>CH2</t>
        </is>
      </c>
    </row>
    <row r="5821">
      <c r="A5821" s="33" t="n">
        <v>46093</v>
      </c>
      <c r="B5821" t="inlineStr">
        <is>
          <t>2026-03</t>
        </is>
      </c>
      <c r="C5821" t="inlineStr">
        <is>
          <t>Angie Gongora</t>
        </is>
      </c>
      <c r="D5821" t="inlineStr">
        <is>
          <t>Rellenos</t>
        </is>
      </c>
      <c r="E5821" s="34" t="n">
        <v>24390</v>
      </c>
      <c r="F5821" t="inlineStr">
        <is>
          <t>B</t>
        </is>
      </c>
      <c r="G5821" s="34" t="n">
        <v>3894</v>
      </c>
      <c r="H5821" s="34" t="n">
        <v>20496</v>
      </c>
      <c r="I5821" t="inlineStr">
        <is>
          <t>3.2</t>
        </is>
      </c>
      <c r="J5821" t="inlineStr">
        <is>
          <t>Ventas Personas (B2C)</t>
        </is>
      </c>
      <c r="K5821" t="inlineStr">
        <is>
          <t>CH2</t>
        </is>
      </c>
    </row>
    <row r="5822">
      <c r="A5822" s="33" t="n">
        <v>46093</v>
      </c>
      <c r="B5822" t="inlineStr">
        <is>
          <t>2026-03</t>
        </is>
      </c>
      <c r="C5822" t="inlineStr">
        <is>
          <t>Sin cliente</t>
        </is>
      </c>
      <c r="D5822" t="inlineStr">
        <is>
          <t>Petit Tradicional</t>
        </is>
      </c>
      <c r="E5822" s="34" t="n">
        <v>9800</v>
      </c>
      <c r="F5822" t="inlineStr">
        <is>
          <t>B</t>
        </is>
      </c>
      <c r="G5822" s="34" t="n">
        <v>1565</v>
      </c>
      <c r="H5822" s="34" t="n">
        <v>8235</v>
      </c>
      <c r="I5822" t="inlineStr">
        <is>
          <t>3.2</t>
        </is>
      </c>
      <c r="J5822" t="inlineStr">
        <is>
          <t>Ventas Personas (B2C)</t>
        </is>
      </c>
      <c r="K5822" t="inlineStr">
        <is>
          <t>CH2</t>
        </is>
      </c>
    </row>
    <row r="5823">
      <c r="A5823" s="33" t="n">
        <v>46093</v>
      </c>
      <c r="B5823" t="inlineStr">
        <is>
          <t>2026-03</t>
        </is>
      </c>
      <c r="C5823" t="inlineStr">
        <is>
          <t>Sin cliente</t>
        </is>
      </c>
      <c r="D5823" t="inlineStr">
        <is>
          <t>CANELE SIN AZUCAR</t>
        </is>
      </c>
      <c r="E5823" s="34" t="n">
        <v>24300</v>
      </c>
      <c r="F5823" t="inlineStr">
        <is>
          <t>B</t>
        </is>
      </c>
      <c r="G5823" s="34" t="n">
        <v>3880</v>
      </c>
      <c r="H5823" s="34" t="n">
        <v>20420</v>
      </c>
      <c r="I5823" t="inlineStr">
        <is>
          <t>3.2</t>
        </is>
      </c>
      <c r="J5823" t="inlineStr">
        <is>
          <t>Ventas Personas (B2C)</t>
        </is>
      </c>
      <c r="K5823" t="inlineStr">
        <is>
          <t>CH2</t>
        </is>
      </c>
    </row>
    <row r="5824">
      <c r="A5824" s="33" t="n">
        <v>46093</v>
      </c>
      <c r="B5824" t="inlineStr">
        <is>
          <t>2026-03</t>
        </is>
      </c>
      <c r="C5824" t="inlineStr">
        <is>
          <t>Sin cliente</t>
        </is>
      </c>
      <c r="D5824" t="inlineStr">
        <is>
          <t>Cafeteria Geronimo</t>
        </is>
      </c>
      <c r="E5824" s="34" t="n">
        <v>18700</v>
      </c>
      <c r="F5824" t="inlineStr">
        <is>
          <t>B</t>
        </is>
      </c>
      <c r="G5824" s="34" t="n">
        <v>2986</v>
      </c>
      <c r="H5824" s="34" t="n">
        <v>15714</v>
      </c>
      <c r="I5824" t="inlineStr">
        <is>
          <t>3.2</t>
        </is>
      </c>
      <c r="J5824" t="inlineStr">
        <is>
          <t>Ventas Personas (B2C)</t>
        </is>
      </c>
      <c r="K5824" t="inlineStr">
        <is>
          <t>CH2</t>
        </is>
      </c>
    </row>
    <row r="5825">
      <c r="A5825" s="33" t="n">
        <v>46093</v>
      </c>
      <c r="B5825" t="inlineStr">
        <is>
          <t>2026-03</t>
        </is>
      </c>
      <c r="C5825" t="inlineStr">
        <is>
          <t>Sin cliente</t>
        </is>
      </c>
      <c r="D5825" t="inlineStr">
        <is>
          <t>PLATAFORMAS RAP-PEYA-UBER-GOOD</t>
        </is>
      </c>
      <c r="E5825" s="34" t="n">
        <v>11760</v>
      </c>
      <c r="F5825" t="inlineStr">
        <is>
          <t>B</t>
        </is>
      </c>
      <c r="G5825" s="34" t="n">
        <v>1878</v>
      </c>
      <c r="H5825" s="34" t="n">
        <v>9882</v>
      </c>
      <c r="I5825" t="inlineStr">
        <is>
          <t>3.6</t>
        </is>
      </c>
      <c r="J5825" t="inlineStr">
        <is>
          <t>Ventas Delivery Apps</t>
        </is>
      </c>
      <c r="K5825" t="inlineStr">
        <is>
          <t>CH3</t>
        </is>
      </c>
    </row>
    <row r="5826">
      <c r="A5826" s="33" t="n">
        <v>46093</v>
      </c>
      <c r="B5826" t="inlineStr">
        <is>
          <t>2026-03</t>
        </is>
      </c>
      <c r="C5826" t="inlineStr">
        <is>
          <t>Sin cliente</t>
        </is>
      </c>
      <c r="D5826" t="inlineStr">
        <is>
          <t>Cafeteria Geronimo</t>
        </is>
      </c>
      <c r="E5826" s="34" t="n">
        <v>12200</v>
      </c>
      <c r="F5826" t="inlineStr">
        <is>
          <t>B</t>
        </is>
      </c>
      <c r="G5826" s="34" t="n">
        <v>1948</v>
      </c>
      <c r="H5826" s="34" t="n">
        <v>10252</v>
      </c>
      <c r="I5826" t="inlineStr">
        <is>
          <t>3.2</t>
        </is>
      </c>
      <c r="J5826" t="inlineStr">
        <is>
          <t>Ventas Personas (B2C)</t>
        </is>
      </c>
      <c r="K5826" t="inlineStr">
        <is>
          <t>CH2</t>
        </is>
      </c>
    </row>
    <row r="5827">
      <c r="A5827" s="33" t="n">
        <v>46093</v>
      </c>
      <c r="B5827" t="inlineStr">
        <is>
          <t>2026-03</t>
        </is>
      </c>
      <c r="C5827" t="inlineStr">
        <is>
          <t>Sin cliente</t>
        </is>
      </c>
      <c r="D5827" t="inlineStr">
        <is>
          <t>Rellenos</t>
        </is>
      </c>
      <c r="E5827" s="34" t="n">
        <v>32700</v>
      </c>
      <c r="F5827" t="inlineStr">
        <is>
          <t>B</t>
        </is>
      </c>
      <c r="G5827" s="34" t="n">
        <v>5221</v>
      </c>
      <c r="H5827" s="34" t="n">
        <v>27479</v>
      </c>
      <c r="I5827" t="inlineStr">
        <is>
          <t>3.2</t>
        </is>
      </c>
      <c r="J5827" t="inlineStr">
        <is>
          <t>Ventas Personas (B2C)</t>
        </is>
      </c>
      <c r="K5827" t="inlineStr">
        <is>
          <t>CH2</t>
        </is>
      </c>
    </row>
    <row r="5828">
      <c r="A5828" s="33" t="n">
        <v>46093</v>
      </c>
      <c r="B5828" t="inlineStr">
        <is>
          <t>2026-03</t>
        </is>
      </c>
      <c r="C5828" t="inlineStr">
        <is>
          <t>Sin cliente</t>
        </is>
      </c>
      <c r="D5828" t="inlineStr">
        <is>
          <t>Rellenos</t>
        </is>
      </c>
      <c r="E5828" s="34" t="n">
        <v>2975</v>
      </c>
      <c r="F5828" t="inlineStr">
        <is>
          <t>B</t>
        </is>
      </c>
      <c r="G5828" s="34" t="n">
        <v>475</v>
      </c>
      <c r="H5828" s="34" t="n">
        <v>2500</v>
      </c>
      <c r="I5828" t="inlineStr">
        <is>
          <t>3.2</t>
        </is>
      </c>
      <c r="J5828" t="inlineStr">
        <is>
          <t>Ventas Personas (B2C)</t>
        </is>
      </c>
      <c r="K5828" t="inlineStr">
        <is>
          <t>CH2</t>
        </is>
      </c>
    </row>
    <row r="5829">
      <c r="A5829" s="33" t="n">
        <v>46093</v>
      </c>
      <c r="B5829" t="inlineStr">
        <is>
          <t>2026-03</t>
        </is>
      </c>
      <c r="C5829" t="inlineStr">
        <is>
          <t>Sin cliente</t>
        </is>
      </c>
      <c r="D5829" t="inlineStr">
        <is>
          <t>Canelé Petit Relleno</t>
        </is>
      </c>
      <c r="E5829" s="34" t="n">
        <v>23700</v>
      </c>
      <c r="F5829" t="inlineStr">
        <is>
          <t>B</t>
        </is>
      </c>
      <c r="G5829" s="34" t="n">
        <v>3784</v>
      </c>
      <c r="H5829" s="34" t="n">
        <v>19916</v>
      </c>
      <c r="I5829" t="inlineStr">
        <is>
          <t>3.2</t>
        </is>
      </c>
      <c r="J5829" t="inlineStr">
        <is>
          <t>Ventas Personas (B2C)</t>
        </is>
      </c>
      <c r="K5829" t="inlineStr">
        <is>
          <t>CH2</t>
        </is>
      </c>
    </row>
    <row r="5830">
      <c r="A5830" s="33" t="n">
        <v>46093</v>
      </c>
      <c r="B5830" t="inlineStr">
        <is>
          <t>2026-03</t>
        </is>
      </c>
      <c r="C5830" t="inlineStr">
        <is>
          <t>Sin cliente</t>
        </is>
      </c>
      <c r="D5830" t="inlineStr">
        <is>
          <t>Rellenos</t>
        </is>
      </c>
      <c r="E5830" s="34" t="n">
        <v>39480</v>
      </c>
      <c r="F5830" t="inlineStr">
        <is>
          <t>B</t>
        </is>
      </c>
      <c r="G5830" s="34" t="n">
        <v>6304</v>
      </c>
      <c r="H5830" s="34" t="n">
        <v>33176</v>
      </c>
      <c r="I5830" t="inlineStr">
        <is>
          <t>3.2</t>
        </is>
      </c>
      <c r="J5830" t="inlineStr">
        <is>
          <t>Ventas Personas (B2C)</t>
        </is>
      </c>
      <c r="K5830" t="inlineStr">
        <is>
          <t>CH2</t>
        </is>
      </c>
    </row>
    <row r="5831">
      <c r="A5831" s="33" t="n">
        <v>46093</v>
      </c>
      <c r="B5831" t="inlineStr">
        <is>
          <t>2026-03</t>
        </is>
      </c>
      <c r="C5831" t="inlineStr">
        <is>
          <t>Sin cliente</t>
        </is>
      </c>
      <c r="D5831" t="inlineStr">
        <is>
          <t>Edición Navidad</t>
        </is>
      </c>
      <c r="E5831" s="34" t="n">
        <v>50860</v>
      </c>
      <c r="F5831" t="inlineStr">
        <is>
          <t>B</t>
        </is>
      </c>
      <c r="G5831" s="34" t="n">
        <v>8121</v>
      </c>
      <c r="H5831" s="34" t="n">
        <v>42739</v>
      </c>
      <c r="I5831" t="inlineStr">
        <is>
          <t>3.2</t>
        </is>
      </c>
      <c r="J5831" t="inlineStr">
        <is>
          <t>Ventas Personas (B2C)</t>
        </is>
      </c>
      <c r="K5831" t="inlineStr">
        <is>
          <t>CH2</t>
        </is>
      </c>
    </row>
    <row r="5832">
      <c r="A5832" s="33" t="n">
        <v>46093</v>
      </c>
      <c r="B5832" t="inlineStr">
        <is>
          <t>2026-03</t>
        </is>
      </c>
      <c r="C5832" t="inlineStr">
        <is>
          <t>Sin cliente</t>
        </is>
      </c>
      <c r="D5832" t="inlineStr">
        <is>
          <t>Delicatessen</t>
        </is>
      </c>
      <c r="E5832" s="34" t="n">
        <v>4900</v>
      </c>
      <c r="F5832" t="inlineStr">
        <is>
          <t>B</t>
        </is>
      </c>
      <c r="G5832" s="34" t="n">
        <v>782</v>
      </c>
      <c r="H5832" s="34" t="n">
        <v>4118</v>
      </c>
      <c r="I5832" t="inlineStr">
        <is>
          <t>3.2</t>
        </is>
      </c>
      <c r="J5832" t="inlineStr">
        <is>
          <t>Ventas Personas (B2C)</t>
        </is>
      </c>
      <c r="K5832" t="inlineStr">
        <is>
          <t>CH2</t>
        </is>
      </c>
    </row>
    <row r="5833">
      <c r="A5833" s="33" t="n">
        <v>46093</v>
      </c>
      <c r="B5833" t="inlineStr">
        <is>
          <t>2026-03</t>
        </is>
      </c>
      <c r="C5833" t="inlineStr">
        <is>
          <t>Sin cliente</t>
        </is>
      </c>
      <c r="D5833" t="inlineStr">
        <is>
          <t>Cafeteria Geronimo</t>
        </is>
      </c>
      <c r="E5833" s="34" t="n">
        <v>3000</v>
      </c>
      <c r="F5833" t="inlineStr">
        <is>
          <t>B</t>
        </is>
      </c>
      <c r="G5833" s="34" t="n">
        <v>479</v>
      </c>
      <c r="H5833" s="34" t="n">
        <v>2521</v>
      </c>
      <c r="I5833" t="inlineStr">
        <is>
          <t>3.2</t>
        </is>
      </c>
      <c r="J5833" t="inlineStr">
        <is>
          <t>Ventas Personas (B2C)</t>
        </is>
      </c>
      <c r="K5833" t="inlineStr">
        <is>
          <t>CH2</t>
        </is>
      </c>
    </row>
    <row r="5834">
      <c r="A5834" s="33" t="n">
        <v>46093</v>
      </c>
      <c r="B5834" t="inlineStr">
        <is>
          <t>2026-03</t>
        </is>
      </c>
      <c r="C5834" t="inlineStr">
        <is>
          <t>Roberto Cuvi</t>
        </is>
      </c>
      <c r="D5834" t="inlineStr">
        <is>
          <t>SALSAS</t>
        </is>
      </c>
      <c r="E5834" s="34" t="n">
        <v>30501</v>
      </c>
      <c r="F5834" t="inlineStr">
        <is>
          <t>B</t>
        </is>
      </c>
      <c r="G5834" s="34" t="n">
        <v>4870</v>
      </c>
      <c r="H5834" s="34" t="n">
        <v>25631</v>
      </c>
      <c r="I5834" t="inlineStr">
        <is>
          <t>3.2</t>
        </is>
      </c>
      <c r="J5834" t="inlineStr">
        <is>
          <t>Ventas Personas (B2C)</t>
        </is>
      </c>
      <c r="K5834" t="inlineStr">
        <is>
          <t>CH2</t>
        </is>
      </c>
    </row>
    <row r="5835">
      <c r="A5835" s="33" t="n">
        <v>46094</v>
      </c>
      <c r="B5835" t="inlineStr">
        <is>
          <t>2026-03</t>
        </is>
      </c>
      <c r="C5835" t="inlineStr">
        <is>
          <t>PRODUCTORA DE EVENTOS AGDV SPA</t>
        </is>
      </c>
      <c r="D5835" t="inlineStr">
        <is>
          <t>HORECA CATERING</t>
        </is>
      </c>
      <c r="E5835" s="34" t="n">
        <v>63665</v>
      </c>
      <c r="F5835" t="inlineStr">
        <is>
          <t>F</t>
        </is>
      </c>
      <c r="G5835" s="34" t="n">
        <v>10165</v>
      </c>
      <c r="H5835" s="34" t="n">
        <v>53500</v>
      </c>
      <c r="I5835" t="inlineStr">
        <is>
          <t>3.1</t>
        </is>
      </c>
      <c r="J5835" t="inlineStr">
        <is>
          <t>Ventas HoReCa</t>
        </is>
      </c>
      <c r="K5835" t="inlineStr">
        <is>
          <t>CH1</t>
        </is>
      </c>
    </row>
    <row r="5836">
      <c r="A5836" s="33" t="n">
        <v>46094</v>
      </c>
      <c r="B5836" t="inlineStr">
        <is>
          <t>2026-03</t>
        </is>
      </c>
      <c r="C5836" t="inlineStr">
        <is>
          <t>BACOLIO SPA</t>
        </is>
      </c>
      <c r="D5836" t="inlineStr">
        <is>
          <t>HORECA CAFETERIA</t>
        </is>
      </c>
      <c r="E5836" s="34" t="n">
        <v>120868</v>
      </c>
      <c r="F5836" t="inlineStr">
        <is>
          <t>F</t>
        </is>
      </c>
      <c r="G5836" s="34" t="n">
        <v>19298</v>
      </c>
      <c r="H5836" s="34" t="n">
        <v>101570</v>
      </c>
      <c r="I5836" t="inlineStr">
        <is>
          <t>3.1</t>
        </is>
      </c>
      <c r="J5836" t="inlineStr">
        <is>
          <t>Ventas HoReCa</t>
        </is>
      </c>
      <c r="K5836" t="inlineStr">
        <is>
          <t>CH1</t>
        </is>
      </c>
    </row>
    <row r="5837">
      <c r="A5837" s="33" t="n">
        <v>46094</v>
      </c>
      <c r="B5837" t="inlineStr">
        <is>
          <t>2026-03</t>
        </is>
      </c>
      <c r="C5837" t="inlineStr">
        <is>
          <t>CRF SPA</t>
        </is>
      </c>
      <c r="D5837" t="inlineStr">
        <is>
          <t>HORECA CAFETERIA</t>
        </is>
      </c>
      <c r="E5837" s="34" t="n">
        <v>192078</v>
      </c>
      <c r="F5837" t="inlineStr">
        <is>
          <t>F</t>
        </is>
      </c>
      <c r="G5837" s="34" t="n">
        <v>30668</v>
      </c>
      <c r="H5837" s="34" t="n">
        <v>161410</v>
      </c>
      <c r="I5837" t="inlineStr">
        <is>
          <t>3.1</t>
        </is>
      </c>
      <c r="J5837" t="inlineStr">
        <is>
          <t>Ventas HoReCa</t>
        </is>
      </c>
      <c r="K5837" t="inlineStr">
        <is>
          <t>CH1</t>
        </is>
      </c>
    </row>
    <row r="5838">
      <c r="A5838" s="33" t="n">
        <v>46094</v>
      </c>
      <c r="B5838" t="inlineStr">
        <is>
          <t>2026-03</t>
        </is>
      </c>
      <c r="C5838" t="inlineStr">
        <is>
          <t>BLUE OAK COFFE SPA</t>
        </is>
      </c>
      <c r="D5838" t="inlineStr">
        <is>
          <t>HORECA CAFETERIA</t>
        </is>
      </c>
      <c r="E5838" s="34" t="n">
        <v>185057</v>
      </c>
      <c r="F5838" t="inlineStr">
        <is>
          <t>F</t>
        </is>
      </c>
      <c r="G5838" s="34" t="n">
        <v>29547</v>
      </c>
      <c r="H5838" s="34" t="n">
        <v>155510</v>
      </c>
      <c r="I5838" t="inlineStr">
        <is>
          <t>3.1</t>
        </is>
      </c>
      <c r="J5838" t="inlineStr">
        <is>
          <t>Ventas HoReCa</t>
        </is>
      </c>
      <c r="K5838" t="inlineStr">
        <is>
          <t>CH1</t>
        </is>
      </c>
    </row>
    <row r="5839">
      <c r="A5839" s="33" t="n">
        <v>46094</v>
      </c>
      <c r="B5839" t="inlineStr">
        <is>
          <t>2026-03</t>
        </is>
      </c>
      <c r="C5839" t="inlineStr">
        <is>
          <t>Café del Parque SpA</t>
        </is>
      </c>
      <c r="D5839" t="inlineStr">
        <is>
          <t>HORECA CAFETERIA</t>
        </is>
      </c>
      <c r="E5839" s="34" t="n">
        <v>175132</v>
      </c>
      <c r="F5839" t="inlineStr">
        <is>
          <t>F</t>
        </is>
      </c>
      <c r="G5839" s="34" t="n">
        <v>27962</v>
      </c>
      <c r="H5839" s="34" t="n">
        <v>147170</v>
      </c>
      <c r="I5839" t="inlineStr">
        <is>
          <t>3.1</t>
        </is>
      </c>
      <c r="J5839" t="inlineStr">
        <is>
          <t>Ventas HoReCa</t>
        </is>
      </c>
      <c r="K5839" t="inlineStr">
        <is>
          <t>CH1</t>
        </is>
      </c>
    </row>
    <row r="5840">
      <c r="A5840" s="33" t="n">
        <v>46094</v>
      </c>
      <c r="B5840" t="inlineStr">
        <is>
          <t>2026-03</t>
        </is>
      </c>
      <c r="C5840" t="inlineStr">
        <is>
          <t>Cocoshouse Spa</t>
        </is>
      </c>
      <c r="D5840" t="inlineStr">
        <is>
          <t>HORECA CAFETERIA</t>
        </is>
      </c>
      <c r="E5840" s="34" t="n">
        <v>71210</v>
      </c>
      <c r="F5840" t="inlineStr">
        <is>
          <t>F</t>
        </is>
      </c>
      <c r="G5840" s="34" t="n">
        <v>11370</v>
      </c>
      <c r="H5840" s="34" t="n">
        <v>59840</v>
      </c>
      <c r="I5840" t="inlineStr">
        <is>
          <t>3.1</t>
        </is>
      </c>
      <c r="J5840" t="inlineStr">
        <is>
          <t>Ventas HoReCa</t>
        </is>
      </c>
      <c r="K5840" t="inlineStr">
        <is>
          <t>CH1</t>
        </is>
      </c>
    </row>
    <row r="5841">
      <c r="A5841" s="33" t="n">
        <v>46094</v>
      </c>
      <c r="B5841" t="inlineStr">
        <is>
          <t>2026-03</t>
        </is>
      </c>
      <c r="C5841" t="inlineStr">
        <is>
          <t>Blanca Ugarte</t>
        </is>
      </c>
      <c r="D5841" t="inlineStr">
        <is>
          <t>Petit Tradicional</t>
        </is>
      </c>
      <c r="E5841" s="34" t="n">
        <v>26290</v>
      </c>
      <c r="F5841" t="inlineStr">
        <is>
          <t>B</t>
        </is>
      </c>
      <c r="G5841" s="34" t="n">
        <v>4198</v>
      </c>
      <c r="H5841" s="34" t="n">
        <v>22092</v>
      </c>
      <c r="I5841" t="inlineStr">
        <is>
          <t>3.2</t>
        </is>
      </c>
      <c r="J5841" t="inlineStr">
        <is>
          <t>Ventas Personas (B2C)</t>
        </is>
      </c>
      <c r="K5841" t="inlineStr">
        <is>
          <t>CH2</t>
        </is>
      </c>
    </row>
    <row r="5842">
      <c r="A5842" s="33" t="n">
        <v>46094</v>
      </c>
      <c r="B5842" t="inlineStr">
        <is>
          <t>2026-03</t>
        </is>
      </c>
      <c r="C5842" t="inlineStr">
        <is>
          <t>Pablo Almuna</t>
        </is>
      </c>
      <c r="D5842" t="inlineStr">
        <is>
          <t>Rellenos</t>
        </is>
      </c>
      <c r="E5842" s="34" t="n">
        <v>31890</v>
      </c>
      <c r="F5842" t="inlineStr">
        <is>
          <t>B</t>
        </is>
      </c>
      <c r="G5842" s="34" t="n">
        <v>5092</v>
      </c>
      <c r="H5842" s="34" t="n">
        <v>26798</v>
      </c>
      <c r="I5842" t="inlineStr">
        <is>
          <t>3.2</t>
        </is>
      </c>
      <c r="J5842" t="inlineStr">
        <is>
          <t>Ventas Personas (B2C)</t>
        </is>
      </c>
      <c r="K5842" t="inlineStr">
        <is>
          <t>CH2</t>
        </is>
      </c>
    </row>
    <row r="5843">
      <c r="A5843" s="33" t="n">
        <v>46094</v>
      </c>
      <c r="B5843" t="inlineStr">
        <is>
          <t>2026-03</t>
        </is>
      </c>
      <c r="C5843" t="inlineStr">
        <is>
          <t>VILAS BANQUETERIAS SPA</t>
        </is>
      </c>
      <c r="D5843" t="inlineStr">
        <is>
          <t>HORECA CATERING</t>
        </is>
      </c>
      <c r="E5843" s="34" t="n">
        <v>289765</v>
      </c>
      <c r="F5843" t="inlineStr">
        <is>
          <t>F</t>
        </is>
      </c>
      <c r="G5843" s="34" t="n">
        <v>46265</v>
      </c>
      <c r="H5843" s="34" t="n">
        <v>243500</v>
      </c>
      <c r="I5843" t="inlineStr">
        <is>
          <t>3.1</t>
        </is>
      </c>
      <c r="J5843" t="inlineStr">
        <is>
          <t>Ventas HoReCa</t>
        </is>
      </c>
      <c r="K5843" t="inlineStr">
        <is>
          <t>CH1</t>
        </is>
      </c>
    </row>
    <row r="5844">
      <c r="A5844" s="33" t="n">
        <v>46094</v>
      </c>
      <c r="B5844" t="inlineStr">
        <is>
          <t>2026-03</t>
        </is>
      </c>
      <c r="C5844" t="inlineStr">
        <is>
          <t>Eyleen Araya</t>
        </is>
      </c>
      <c r="D5844" t="inlineStr">
        <is>
          <t>Petit Tradicional</t>
        </is>
      </c>
      <c r="E5844" s="34" t="n">
        <v>27290</v>
      </c>
      <c r="F5844" t="inlineStr">
        <is>
          <t>B</t>
        </is>
      </c>
      <c r="G5844" s="34" t="n">
        <v>4357</v>
      </c>
      <c r="H5844" s="34" t="n">
        <v>22933</v>
      </c>
      <c r="I5844" t="inlineStr">
        <is>
          <t>3.2</t>
        </is>
      </c>
      <c r="J5844" t="inlineStr">
        <is>
          <t>Ventas Personas (B2C)</t>
        </is>
      </c>
      <c r="K5844" t="inlineStr">
        <is>
          <t>CH2</t>
        </is>
      </c>
    </row>
    <row r="5845">
      <c r="A5845" s="33" t="n">
        <v>46094</v>
      </c>
      <c r="B5845" t="inlineStr">
        <is>
          <t>2026-03</t>
        </is>
      </c>
      <c r="C5845" t="inlineStr">
        <is>
          <t>Sin cliente</t>
        </is>
      </c>
      <c r="D5845" t="inlineStr">
        <is>
          <t>Canelé Petit Relleno</t>
        </is>
      </c>
      <c r="E5845" s="34" t="n">
        <v>18900</v>
      </c>
      <c r="F5845" t="inlineStr">
        <is>
          <t>B</t>
        </is>
      </c>
      <c r="G5845" s="34" t="n">
        <v>3018</v>
      </c>
      <c r="H5845" s="34" t="n">
        <v>15882</v>
      </c>
      <c r="I5845" t="inlineStr">
        <is>
          <t>3.2</t>
        </is>
      </c>
      <c r="J5845" t="inlineStr">
        <is>
          <t>Ventas Personas (B2C)</t>
        </is>
      </c>
      <c r="K5845" t="inlineStr">
        <is>
          <t>CH2</t>
        </is>
      </c>
    </row>
    <row r="5846">
      <c r="A5846" s="33" t="n">
        <v>46094</v>
      </c>
      <c r="B5846" t="inlineStr">
        <is>
          <t>2026-03</t>
        </is>
      </c>
      <c r="C5846" t="inlineStr">
        <is>
          <t>Sin cliente</t>
        </is>
      </c>
      <c r="D5846" t="inlineStr">
        <is>
          <t>CANELE SIN AZUCAR</t>
        </is>
      </c>
      <c r="E5846" s="34" t="n">
        <v>11300</v>
      </c>
      <c r="F5846" t="inlineStr">
        <is>
          <t>B</t>
        </is>
      </c>
      <c r="G5846" s="34" t="n">
        <v>1804</v>
      </c>
      <c r="H5846" s="34" t="n">
        <v>9496</v>
      </c>
      <c r="I5846" t="inlineStr">
        <is>
          <t>3.2</t>
        </is>
      </c>
      <c r="J5846" t="inlineStr">
        <is>
          <t>Ventas Personas (B2C)</t>
        </is>
      </c>
      <c r="K5846" t="inlineStr">
        <is>
          <t>CH2</t>
        </is>
      </c>
    </row>
    <row r="5847">
      <c r="A5847" s="33" t="n">
        <v>46094</v>
      </c>
      <c r="B5847" t="inlineStr">
        <is>
          <t>2026-03</t>
        </is>
      </c>
      <c r="C5847" t="inlineStr">
        <is>
          <t>Sin cliente</t>
        </is>
      </c>
      <c r="D5847" t="inlineStr">
        <is>
          <t>CANELÉ TRADICIONAL</t>
        </is>
      </c>
      <c r="E5847" s="34" t="n">
        <v>25300</v>
      </c>
      <c r="F5847" t="inlineStr">
        <is>
          <t>B</t>
        </is>
      </c>
      <c r="G5847" s="34" t="n">
        <v>4039</v>
      </c>
      <c r="H5847" s="34" t="n">
        <v>21261</v>
      </c>
      <c r="I5847" t="inlineStr">
        <is>
          <t>3.2</t>
        </is>
      </c>
      <c r="J5847" t="inlineStr">
        <is>
          <t>Ventas Personas (B2C)</t>
        </is>
      </c>
      <c r="K5847" t="inlineStr">
        <is>
          <t>CH2</t>
        </is>
      </c>
    </row>
    <row r="5848">
      <c r="A5848" s="33" t="n">
        <v>46094</v>
      </c>
      <c r="B5848" t="inlineStr">
        <is>
          <t>2026-03</t>
        </is>
      </c>
      <c r="C5848" t="inlineStr">
        <is>
          <t>Sin cliente</t>
        </is>
      </c>
      <c r="D5848" t="inlineStr">
        <is>
          <t>Cafeteria Geronimo</t>
        </is>
      </c>
      <c r="E5848" s="34" t="n">
        <v>4500</v>
      </c>
      <c r="F5848" t="inlineStr">
        <is>
          <t>B</t>
        </is>
      </c>
      <c r="G5848" s="34" t="n">
        <v>718</v>
      </c>
      <c r="H5848" s="34" t="n">
        <v>3782</v>
      </c>
      <c r="I5848" t="inlineStr">
        <is>
          <t>3.2</t>
        </is>
      </c>
      <c r="J5848" t="inlineStr">
        <is>
          <t>Ventas Personas (B2C)</t>
        </is>
      </c>
      <c r="K5848" t="inlineStr">
        <is>
          <t>CH2</t>
        </is>
      </c>
    </row>
    <row r="5849">
      <c r="A5849" s="33" t="n">
        <v>46094</v>
      </c>
      <c r="B5849" t="inlineStr">
        <is>
          <t>2026-03</t>
        </is>
      </c>
      <c r="C5849" t="inlineStr">
        <is>
          <t>Sin cliente</t>
        </is>
      </c>
      <c r="D5849" t="inlineStr">
        <is>
          <t>CANELÉ TRADICIONAL</t>
        </is>
      </c>
      <c r="E5849" s="34" t="n">
        <v>2500</v>
      </c>
      <c r="F5849" t="inlineStr">
        <is>
          <t>B</t>
        </is>
      </c>
      <c r="G5849" s="34" t="n">
        <v>399</v>
      </c>
      <c r="H5849" s="34" t="n">
        <v>2101</v>
      </c>
      <c r="I5849" t="inlineStr">
        <is>
          <t>3.2</t>
        </is>
      </c>
      <c r="J5849" t="inlineStr">
        <is>
          <t>Ventas Personas (B2C)</t>
        </is>
      </c>
      <c r="K5849" t="inlineStr">
        <is>
          <t>CH2</t>
        </is>
      </c>
    </row>
    <row r="5850">
      <c r="A5850" s="33" t="n">
        <v>46094</v>
      </c>
      <c r="B5850" t="inlineStr">
        <is>
          <t>2026-03</t>
        </is>
      </c>
      <c r="C5850" t="inlineStr">
        <is>
          <t>Sin cliente</t>
        </is>
      </c>
      <c r="D5850" t="inlineStr">
        <is>
          <t>Mix Sabores</t>
        </is>
      </c>
      <c r="E5850" s="34" t="n">
        <v>15900</v>
      </c>
      <c r="F5850" t="inlineStr">
        <is>
          <t>B</t>
        </is>
      </c>
      <c r="G5850" s="34" t="n">
        <v>2539</v>
      </c>
      <c r="H5850" s="34" t="n">
        <v>13361</v>
      </c>
      <c r="I5850" t="inlineStr">
        <is>
          <t>3.2</t>
        </is>
      </c>
      <c r="J5850" t="inlineStr">
        <is>
          <t>Ventas Personas (B2C)</t>
        </is>
      </c>
      <c r="K5850" t="inlineStr">
        <is>
          <t>CH2</t>
        </is>
      </c>
    </row>
    <row r="5851">
      <c r="A5851" s="33" t="n">
        <v>46094</v>
      </c>
      <c r="B5851" t="inlineStr">
        <is>
          <t>2026-03</t>
        </is>
      </c>
      <c r="C5851" t="inlineStr">
        <is>
          <t>Sin cliente</t>
        </is>
      </c>
      <c r="D5851" t="inlineStr">
        <is>
          <t>PLATAFORMAS RAP-PEYA-UBER-GOOD</t>
        </is>
      </c>
      <c r="E5851" s="34" t="n">
        <v>23520</v>
      </c>
      <c r="F5851" t="inlineStr">
        <is>
          <t>B</t>
        </is>
      </c>
      <c r="G5851" s="34" t="n">
        <v>3755</v>
      </c>
      <c r="H5851" s="34" t="n">
        <v>19765</v>
      </c>
      <c r="I5851" t="inlineStr">
        <is>
          <t>3.6</t>
        </is>
      </c>
      <c r="J5851" t="inlineStr">
        <is>
          <t>Ventas Delivery Apps</t>
        </is>
      </c>
      <c r="K5851" t="inlineStr">
        <is>
          <t>CH3</t>
        </is>
      </c>
    </row>
    <row r="5852">
      <c r="A5852" s="33" t="n">
        <v>46094</v>
      </c>
      <c r="B5852" t="inlineStr">
        <is>
          <t>2026-03</t>
        </is>
      </c>
      <c r="C5852" t="inlineStr">
        <is>
          <t>Sin cliente</t>
        </is>
      </c>
      <c r="D5852" t="inlineStr">
        <is>
          <t>Rellenos</t>
        </is>
      </c>
      <c r="E5852" s="34" t="n">
        <v>18900</v>
      </c>
      <c r="F5852" t="inlineStr">
        <is>
          <t>B</t>
        </is>
      </c>
      <c r="G5852" s="34" t="n">
        <v>3018</v>
      </c>
      <c r="H5852" s="34" t="n">
        <v>15882</v>
      </c>
      <c r="I5852" t="inlineStr">
        <is>
          <t>3.2</t>
        </is>
      </c>
      <c r="J5852" t="inlineStr">
        <is>
          <t>Ventas Personas (B2C)</t>
        </is>
      </c>
      <c r="K5852" t="inlineStr">
        <is>
          <t>CH2</t>
        </is>
      </c>
    </row>
    <row r="5853">
      <c r="A5853" s="33" t="n">
        <v>46094</v>
      </c>
      <c r="B5853" t="inlineStr">
        <is>
          <t>2026-03</t>
        </is>
      </c>
      <c r="C5853" t="inlineStr">
        <is>
          <t>Sin cliente</t>
        </is>
      </c>
      <c r="D5853" t="inlineStr">
        <is>
          <t>Canelé Petit Relleno</t>
        </is>
      </c>
      <c r="E5853" s="34" t="n">
        <v>32800</v>
      </c>
      <c r="F5853" t="inlineStr">
        <is>
          <t>B</t>
        </is>
      </c>
      <c r="G5853" s="34" t="n">
        <v>5237</v>
      </c>
      <c r="H5853" s="34" t="n">
        <v>27563</v>
      </c>
      <c r="I5853" t="inlineStr">
        <is>
          <t>3.2</t>
        </is>
      </c>
      <c r="J5853" t="inlineStr">
        <is>
          <t>Ventas Personas (B2C)</t>
        </is>
      </c>
      <c r="K5853" t="inlineStr">
        <is>
          <t>CH2</t>
        </is>
      </c>
    </row>
    <row r="5854">
      <c r="A5854" s="33" t="n">
        <v>46094</v>
      </c>
      <c r="B5854" t="inlineStr">
        <is>
          <t>2026-03</t>
        </is>
      </c>
      <c r="C5854" t="inlineStr">
        <is>
          <t>Sin cliente</t>
        </is>
      </c>
      <c r="D5854" t="inlineStr">
        <is>
          <t>Cafeteria Geronimo</t>
        </is>
      </c>
      <c r="E5854" s="34" t="n">
        <v>24900</v>
      </c>
      <c r="F5854" t="inlineStr">
        <is>
          <t>B</t>
        </is>
      </c>
      <c r="G5854" s="34" t="n">
        <v>3976</v>
      </c>
      <c r="H5854" s="34" t="n">
        <v>20924</v>
      </c>
      <c r="I5854" t="inlineStr">
        <is>
          <t>3.2</t>
        </is>
      </c>
      <c r="J5854" t="inlineStr">
        <is>
          <t>Ventas Personas (B2C)</t>
        </is>
      </c>
      <c r="K5854" t="inlineStr">
        <is>
          <t>CH2</t>
        </is>
      </c>
    </row>
    <row r="5855">
      <c r="A5855" s="33" t="n">
        <v>46094</v>
      </c>
      <c r="B5855" t="inlineStr">
        <is>
          <t>2026-03</t>
        </is>
      </c>
      <c r="C5855" t="inlineStr">
        <is>
          <t>Sin cliente</t>
        </is>
      </c>
      <c r="D5855" t="inlineStr">
        <is>
          <t>PLATAFORMAS RAP-PEYA-UBER-GOOD</t>
        </is>
      </c>
      <c r="E5855" s="34" t="n">
        <v>26160</v>
      </c>
      <c r="F5855" t="inlineStr">
        <is>
          <t>B</t>
        </is>
      </c>
      <c r="G5855" s="34" t="n">
        <v>4177</v>
      </c>
      <c r="H5855" s="34" t="n">
        <v>21983</v>
      </c>
      <c r="I5855" t="inlineStr">
        <is>
          <t>3.6</t>
        </is>
      </c>
      <c r="J5855" t="inlineStr">
        <is>
          <t>Ventas Delivery Apps</t>
        </is>
      </c>
      <c r="K5855" t="inlineStr">
        <is>
          <t>CH3</t>
        </is>
      </c>
    </row>
    <row r="5856">
      <c r="A5856" s="33" t="n">
        <v>46094</v>
      </c>
      <c r="B5856" t="inlineStr">
        <is>
          <t>2026-03</t>
        </is>
      </c>
      <c r="C5856" t="inlineStr">
        <is>
          <t>Sin cliente</t>
        </is>
      </c>
      <c r="D5856" t="inlineStr">
        <is>
          <t>PLATAFORMAS RAP-PEYA-UBER-GOOD</t>
        </is>
      </c>
      <c r="E5856" s="34" t="n">
        <v>27480</v>
      </c>
      <c r="F5856" t="inlineStr">
        <is>
          <t>B</t>
        </is>
      </c>
      <c r="G5856" s="34" t="n">
        <v>4388</v>
      </c>
      <c r="H5856" s="34" t="n">
        <v>23092</v>
      </c>
      <c r="I5856" t="inlineStr">
        <is>
          <t>3.6</t>
        </is>
      </c>
      <c r="J5856" t="inlineStr">
        <is>
          <t>Ventas Delivery Apps</t>
        </is>
      </c>
      <c r="K5856" t="inlineStr">
        <is>
          <t>CH3</t>
        </is>
      </c>
    </row>
    <row r="5857">
      <c r="A5857" s="33" t="n">
        <v>46094</v>
      </c>
      <c r="B5857" t="inlineStr">
        <is>
          <t>2026-03</t>
        </is>
      </c>
      <c r="C5857" t="inlineStr">
        <is>
          <t>Sin cliente</t>
        </is>
      </c>
      <c r="D5857" t="inlineStr">
        <is>
          <t>PLATAFORMAS RAP-PEYA-UBER-GOOD</t>
        </is>
      </c>
      <c r="E5857" s="34" t="n">
        <v>19897</v>
      </c>
      <c r="F5857" t="inlineStr">
        <is>
          <t>B</t>
        </is>
      </c>
      <c r="G5857" s="34" t="n">
        <v>3177</v>
      </c>
      <c r="H5857" s="34" t="n">
        <v>16720</v>
      </c>
      <c r="I5857" t="inlineStr">
        <is>
          <t>3.6</t>
        </is>
      </c>
      <c r="J5857" t="inlineStr">
        <is>
          <t>Ventas Delivery Apps</t>
        </is>
      </c>
      <c r="K5857" t="inlineStr">
        <is>
          <t>CH3</t>
        </is>
      </c>
    </row>
    <row r="5858">
      <c r="A5858" s="33" t="n">
        <v>46094</v>
      </c>
      <c r="B5858" t="inlineStr">
        <is>
          <t>2026-03</t>
        </is>
      </c>
      <c r="C5858" t="inlineStr">
        <is>
          <t>Sin cliente</t>
        </is>
      </c>
      <c r="D5858" t="inlineStr">
        <is>
          <t>PLATAFORMAS RAP-PEYA-UBER-GOOD</t>
        </is>
      </c>
      <c r="E5858" s="34" t="n">
        <v>11509</v>
      </c>
      <c r="F5858" t="inlineStr">
        <is>
          <t>B</t>
        </is>
      </c>
      <c r="G5858" s="34" t="n">
        <v>1838</v>
      </c>
      <c r="H5858" s="34" t="n">
        <v>9671</v>
      </c>
      <c r="I5858" t="inlineStr">
        <is>
          <t>3.6</t>
        </is>
      </c>
      <c r="J5858" t="inlineStr">
        <is>
          <t>Ventas Delivery Apps</t>
        </is>
      </c>
      <c r="K5858" t="inlineStr">
        <is>
          <t>CH3</t>
        </is>
      </c>
    </row>
    <row r="5859">
      <c r="A5859" s="33" t="n">
        <v>46094</v>
      </c>
      <c r="B5859" t="inlineStr">
        <is>
          <t>2026-03</t>
        </is>
      </c>
      <c r="C5859" t="inlineStr">
        <is>
          <t>Sin cliente</t>
        </is>
      </c>
      <c r="D5859" t="inlineStr">
        <is>
          <t>CANELÉ TRADICIONAL</t>
        </is>
      </c>
      <c r="E5859" s="34" t="n">
        <v>27900</v>
      </c>
      <c r="F5859" t="inlineStr">
        <is>
          <t>B</t>
        </is>
      </c>
      <c r="G5859" s="34" t="n">
        <v>4455</v>
      </c>
      <c r="H5859" s="34" t="n">
        <v>23445</v>
      </c>
      <c r="I5859" t="inlineStr">
        <is>
          <t>3.2</t>
        </is>
      </c>
      <c r="J5859" t="inlineStr">
        <is>
          <t>Ventas Personas (B2C)</t>
        </is>
      </c>
      <c r="K5859" t="inlineStr">
        <is>
          <t>CH2</t>
        </is>
      </c>
    </row>
    <row r="5860">
      <c r="A5860" s="33" t="n">
        <v>46095</v>
      </c>
      <c r="B5860" t="inlineStr">
        <is>
          <t>2026-03</t>
        </is>
      </c>
      <c r="C5860" t="inlineStr">
        <is>
          <t>Fernanda Chang</t>
        </is>
      </c>
      <c r="D5860" t="inlineStr">
        <is>
          <t>Rellenos</t>
        </is>
      </c>
      <c r="E5860" s="34" t="n">
        <v>36810</v>
      </c>
      <c r="F5860" t="inlineStr">
        <is>
          <t>B</t>
        </is>
      </c>
      <c r="G5860" s="34" t="n">
        <v>5877</v>
      </c>
      <c r="H5860" s="34" t="n">
        <v>30933</v>
      </c>
      <c r="I5860" t="inlineStr">
        <is>
          <t>3.2</t>
        </is>
      </c>
      <c r="J5860" t="inlineStr">
        <is>
          <t>Ventas Personas (B2C)</t>
        </is>
      </c>
      <c r="K5860" t="inlineStr">
        <is>
          <t>CH2</t>
        </is>
      </c>
    </row>
    <row r="5861">
      <c r="A5861" s="33" t="n">
        <v>46095</v>
      </c>
      <c r="B5861" t="inlineStr">
        <is>
          <t>2026-03</t>
        </is>
      </c>
      <c r="C5861" t="inlineStr">
        <is>
          <t>Eduardo Galleguillos</t>
        </is>
      </c>
      <c r="D5861" t="inlineStr">
        <is>
          <t>Rellenos</t>
        </is>
      </c>
      <c r="E5861" s="34" t="n">
        <v>48790</v>
      </c>
      <c r="F5861" t="inlineStr">
        <is>
          <t>B</t>
        </is>
      </c>
      <c r="G5861" s="34" t="n">
        <v>7790</v>
      </c>
      <c r="H5861" s="34" t="n">
        <v>41000</v>
      </c>
      <c r="I5861" t="inlineStr">
        <is>
          <t>3.2</t>
        </is>
      </c>
      <c r="J5861" t="inlineStr">
        <is>
          <t>Ventas Personas (B2C)</t>
        </is>
      </c>
      <c r="K5861" t="inlineStr">
        <is>
          <t>CH2</t>
        </is>
      </c>
    </row>
    <row r="5862">
      <c r="A5862" s="33" t="n">
        <v>46095</v>
      </c>
      <c r="B5862" t="inlineStr">
        <is>
          <t>2026-03</t>
        </is>
      </c>
      <c r="C5862" t="inlineStr">
        <is>
          <t>Sofia Mereles</t>
        </is>
      </c>
      <c r="D5862" t="inlineStr">
        <is>
          <t>CANELÉ TRADICIONAL</t>
        </is>
      </c>
      <c r="E5862" s="34" t="n">
        <v>35390</v>
      </c>
      <c r="F5862" t="inlineStr">
        <is>
          <t>B</t>
        </is>
      </c>
      <c r="G5862" s="34" t="n">
        <v>5651</v>
      </c>
      <c r="H5862" s="34" t="n">
        <v>29739</v>
      </c>
      <c r="I5862" t="inlineStr">
        <is>
          <t>3.2</t>
        </is>
      </c>
      <c r="J5862" t="inlineStr">
        <is>
          <t>Ventas Personas (B2C)</t>
        </is>
      </c>
      <c r="K5862" t="inlineStr">
        <is>
          <t>CH2</t>
        </is>
      </c>
    </row>
    <row r="5863">
      <c r="A5863" s="33" t="n">
        <v>46095</v>
      </c>
      <c r="B5863" t="inlineStr">
        <is>
          <t>2026-03</t>
        </is>
      </c>
      <c r="C5863" t="inlineStr">
        <is>
          <t>Pamela Iglesias</t>
        </is>
      </c>
      <c r="D5863" t="inlineStr">
        <is>
          <t>CANELÉ TRADICIONAL</t>
        </is>
      </c>
      <c r="E5863" s="34" t="n">
        <v>22900</v>
      </c>
      <c r="F5863" t="inlineStr">
        <is>
          <t>B</t>
        </is>
      </c>
      <c r="G5863" s="34" t="n">
        <v>3656</v>
      </c>
      <c r="H5863" s="34" t="n">
        <v>19244</v>
      </c>
      <c r="I5863" t="inlineStr">
        <is>
          <t>3.2</t>
        </is>
      </c>
      <c r="J5863" t="inlineStr">
        <is>
          <t>Ventas Personas (B2C)</t>
        </is>
      </c>
      <c r="K5863" t="inlineStr">
        <is>
          <t>CH2</t>
        </is>
      </c>
    </row>
    <row r="5864">
      <c r="A5864" s="33" t="n">
        <v>46095</v>
      </c>
      <c r="B5864" t="inlineStr">
        <is>
          <t>2026-03</t>
        </is>
      </c>
      <c r="C5864" t="inlineStr">
        <is>
          <t>Lissette Flores</t>
        </is>
      </c>
      <c r="D5864" t="inlineStr">
        <is>
          <t>Rellenos</t>
        </is>
      </c>
      <c r="E5864" s="34" t="n">
        <v>53180</v>
      </c>
      <c r="F5864" t="inlineStr">
        <is>
          <t>B</t>
        </is>
      </c>
      <c r="G5864" s="34" t="n">
        <v>8491</v>
      </c>
      <c r="H5864" s="34" t="n">
        <v>44689</v>
      </c>
      <c r="I5864" t="inlineStr">
        <is>
          <t>3.2</t>
        </is>
      </c>
      <c r="J5864" t="inlineStr">
        <is>
          <t>Ventas Personas (B2C)</t>
        </is>
      </c>
      <c r="K5864" t="inlineStr">
        <is>
          <t>CH2</t>
        </is>
      </c>
    </row>
    <row r="5865">
      <c r="A5865" s="33" t="n">
        <v>46095</v>
      </c>
      <c r="B5865" t="inlineStr">
        <is>
          <t>2026-03</t>
        </is>
      </c>
      <c r="C5865" t="inlineStr">
        <is>
          <t>Andres Vega Alvarado</t>
        </is>
      </c>
      <c r="D5865" t="inlineStr">
        <is>
          <t>Delicatessen</t>
        </is>
      </c>
      <c r="E5865" s="34" t="n">
        <v>40190</v>
      </c>
      <c r="F5865" t="inlineStr">
        <is>
          <t>B</t>
        </is>
      </c>
      <c r="G5865" s="34" t="n">
        <v>6417</v>
      </c>
      <c r="H5865" s="34" t="n">
        <v>33773</v>
      </c>
      <c r="I5865" t="inlineStr">
        <is>
          <t>3.2</t>
        </is>
      </c>
      <c r="J5865" t="inlineStr">
        <is>
          <t>Ventas Personas (B2C)</t>
        </is>
      </c>
      <c r="K5865" t="inlineStr">
        <is>
          <t>CH2</t>
        </is>
      </c>
    </row>
    <row r="5866">
      <c r="A5866" s="33" t="n">
        <v>46095</v>
      </c>
      <c r="B5866" t="inlineStr">
        <is>
          <t>2026-03</t>
        </is>
      </c>
      <c r="C5866" t="inlineStr">
        <is>
          <t>Sin cliente</t>
        </is>
      </c>
      <c r="D5866" t="inlineStr">
        <is>
          <t>CANELÉ TRADICIONAL</t>
        </is>
      </c>
      <c r="E5866" s="34" t="n">
        <v>22900</v>
      </c>
      <c r="F5866" t="inlineStr">
        <is>
          <t>B</t>
        </is>
      </c>
      <c r="G5866" s="34" t="n">
        <v>3656</v>
      </c>
      <c r="H5866" s="34" t="n">
        <v>19244</v>
      </c>
      <c r="I5866" t="inlineStr">
        <is>
          <t>3.2</t>
        </is>
      </c>
      <c r="J5866" t="inlineStr">
        <is>
          <t>Ventas Personas (B2C)</t>
        </is>
      </c>
      <c r="K5866" t="inlineStr">
        <is>
          <t>CH2</t>
        </is>
      </c>
    </row>
    <row r="5867">
      <c r="A5867" s="33" t="n">
        <v>46095</v>
      </c>
      <c r="B5867" t="inlineStr">
        <is>
          <t>2026-03</t>
        </is>
      </c>
      <c r="C5867" t="inlineStr">
        <is>
          <t>Sin cliente</t>
        </is>
      </c>
      <c r="D5867" t="inlineStr">
        <is>
          <t>Rellenos</t>
        </is>
      </c>
      <c r="E5867" s="34" t="n">
        <v>45700</v>
      </c>
      <c r="F5867" t="inlineStr">
        <is>
          <t>B</t>
        </is>
      </c>
      <c r="G5867" s="34" t="n">
        <v>7297</v>
      </c>
      <c r="H5867" s="34" t="n">
        <v>38403</v>
      </c>
      <c r="I5867" t="inlineStr">
        <is>
          <t>3.2</t>
        </is>
      </c>
      <c r="J5867" t="inlineStr">
        <is>
          <t>Ventas Personas (B2C)</t>
        </is>
      </c>
      <c r="K5867" t="inlineStr">
        <is>
          <t>CH2</t>
        </is>
      </c>
    </row>
    <row r="5868">
      <c r="A5868" s="33" t="n">
        <v>46095</v>
      </c>
      <c r="B5868" t="inlineStr">
        <is>
          <t>2026-03</t>
        </is>
      </c>
      <c r="C5868" t="inlineStr">
        <is>
          <t>Sin cliente</t>
        </is>
      </c>
      <c r="D5868" t="inlineStr">
        <is>
          <t>Cafeteria Geronimo</t>
        </is>
      </c>
      <c r="E5868" s="34" t="n">
        <v>34400</v>
      </c>
      <c r="F5868" t="inlineStr">
        <is>
          <t>B</t>
        </is>
      </c>
      <c r="G5868" s="34" t="n">
        <v>5492</v>
      </c>
      <c r="H5868" s="34" t="n">
        <v>28908</v>
      </c>
      <c r="I5868" t="inlineStr">
        <is>
          <t>3.2</t>
        </is>
      </c>
      <c r="J5868" t="inlineStr">
        <is>
          <t>Ventas Personas (B2C)</t>
        </is>
      </c>
      <c r="K5868" t="inlineStr">
        <is>
          <t>CH2</t>
        </is>
      </c>
    </row>
    <row r="5869">
      <c r="A5869" s="33" t="n">
        <v>46095</v>
      </c>
      <c r="B5869" t="inlineStr">
        <is>
          <t>2026-03</t>
        </is>
      </c>
      <c r="C5869" t="inlineStr">
        <is>
          <t>Sin cliente</t>
        </is>
      </c>
      <c r="D5869" t="inlineStr">
        <is>
          <t>CANELE SIN AZUCAR</t>
        </is>
      </c>
      <c r="E5869" s="34" t="n">
        <v>27400</v>
      </c>
      <c r="F5869" t="inlineStr">
        <is>
          <t>B</t>
        </is>
      </c>
      <c r="G5869" s="34" t="n">
        <v>4375</v>
      </c>
      <c r="H5869" s="34" t="n">
        <v>23025</v>
      </c>
      <c r="I5869" t="inlineStr">
        <is>
          <t>3.2</t>
        </is>
      </c>
      <c r="J5869" t="inlineStr">
        <is>
          <t>Ventas Personas (B2C)</t>
        </is>
      </c>
      <c r="K5869" t="inlineStr">
        <is>
          <t>CH2</t>
        </is>
      </c>
    </row>
    <row r="5870">
      <c r="A5870" s="33" t="n">
        <v>46095</v>
      </c>
      <c r="B5870" t="inlineStr">
        <is>
          <t>2026-03</t>
        </is>
      </c>
      <c r="C5870" t="inlineStr">
        <is>
          <t>Sin cliente</t>
        </is>
      </c>
      <c r="D5870" t="inlineStr">
        <is>
          <t>CANELÉ TRADICIONAL</t>
        </is>
      </c>
      <c r="E5870" s="34" t="n">
        <v>6000</v>
      </c>
      <c r="F5870" t="inlineStr">
        <is>
          <t>B</t>
        </is>
      </c>
      <c r="G5870" s="34" t="n">
        <v>958</v>
      </c>
      <c r="H5870" s="34" t="n">
        <v>5042</v>
      </c>
      <c r="I5870" t="inlineStr">
        <is>
          <t>3.2</t>
        </is>
      </c>
      <c r="J5870" t="inlineStr">
        <is>
          <t>Ventas Personas (B2C)</t>
        </is>
      </c>
      <c r="K5870" t="inlineStr">
        <is>
          <t>CH2</t>
        </is>
      </c>
    </row>
    <row r="5871">
      <c r="A5871" s="33" t="n">
        <v>46095</v>
      </c>
      <c r="B5871" t="inlineStr">
        <is>
          <t>2026-03</t>
        </is>
      </c>
      <c r="C5871" t="inlineStr">
        <is>
          <t>Sin cliente</t>
        </is>
      </c>
      <c r="D5871" t="inlineStr">
        <is>
          <t>Rellenos</t>
        </is>
      </c>
      <c r="E5871" s="34" t="n">
        <v>18900</v>
      </c>
      <c r="F5871" t="inlineStr">
        <is>
          <t>B</t>
        </is>
      </c>
      <c r="G5871" s="34" t="n">
        <v>3018</v>
      </c>
      <c r="H5871" s="34" t="n">
        <v>15882</v>
      </c>
      <c r="I5871" t="inlineStr">
        <is>
          <t>3.2</t>
        </is>
      </c>
      <c r="J5871" t="inlineStr">
        <is>
          <t>Ventas Personas (B2C)</t>
        </is>
      </c>
      <c r="K5871" t="inlineStr">
        <is>
          <t>CH2</t>
        </is>
      </c>
    </row>
    <row r="5872">
      <c r="A5872" s="33" t="n">
        <v>46095</v>
      </c>
      <c r="B5872" t="inlineStr">
        <is>
          <t>2026-03</t>
        </is>
      </c>
      <c r="C5872" t="inlineStr">
        <is>
          <t>Sin cliente</t>
        </is>
      </c>
      <c r="D5872" t="inlineStr">
        <is>
          <t>Rellenos</t>
        </is>
      </c>
      <c r="E5872" s="34" t="n">
        <v>3500</v>
      </c>
      <c r="F5872" t="inlineStr">
        <is>
          <t>B</t>
        </is>
      </c>
      <c r="G5872" s="34" t="n">
        <v>559</v>
      </c>
      <c r="H5872" s="34" t="n">
        <v>2941</v>
      </c>
      <c r="I5872" t="inlineStr">
        <is>
          <t>3.2</t>
        </is>
      </c>
      <c r="J5872" t="inlineStr">
        <is>
          <t>Ventas Personas (B2C)</t>
        </is>
      </c>
      <c r="K5872" t="inlineStr">
        <is>
          <t>CH2</t>
        </is>
      </c>
    </row>
    <row r="5873">
      <c r="A5873" s="33" t="n">
        <v>46095</v>
      </c>
      <c r="B5873" t="inlineStr">
        <is>
          <t>2026-03</t>
        </is>
      </c>
      <c r="C5873" t="inlineStr">
        <is>
          <t>Sin cliente</t>
        </is>
      </c>
      <c r="D5873" t="inlineStr">
        <is>
          <t>PLATAFORMAS RAP-PEYA-UBER-GOOD</t>
        </is>
      </c>
      <c r="E5873" s="34" t="n">
        <v>27480</v>
      </c>
      <c r="F5873" t="inlineStr">
        <is>
          <t>B</t>
        </is>
      </c>
      <c r="G5873" s="34" t="n">
        <v>4388</v>
      </c>
      <c r="H5873" s="34" t="n">
        <v>23092</v>
      </c>
      <c r="I5873" t="inlineStr">
        <is>
          <t>3.6</t>
        </is>
      </c>
      <c r="J5873" t="inlineStr">
        <is>
          <t>Ventas Delivery Apps</t>
        </is>
      </c>
      <c r="K5873" t="inlineStr">
        <is>
          <t>CH3</t>
        </is>
      </c>
    </row>
    <row r="5874">
      <c r="A5874" s="33" t="n">
        <v>46095</v>
      </c>
      <c r="B5874" t="inlineStr">
        <is>
          <t>2026-03</t>
        </is>
      </c>
      <c r="C5874" t="inlineStr">
        <is>
          <t>Sin cliente</t>
        </is>
      </c>
      <c r="D5874" t="inlineStr">
        <is>
          <t>Petit Crunchy</t>
        </is>
      </c>
      <c r="E5874" s="34" t="n">
        <v>10900</v>
      </c>
      <c r="F5874" t="inlineStr">
        <is>
          <t>B</t>
        </is>
      </c>
      <c r="G5874" s="34" t="n">
        <v>1740</v>
      </c>
      <c r="H5874" s="34" t="n">
        <v>9160</v>
      </c>
      <c r="I5874" t="inlineStr">
        <is>
          <t>3.2</t>
        </is>
      </c>
      <c r="J5874" t="inlineStr">
        <is>
          <t>Ventas Personas (B2C)</t>
        </is>
      </c>
      <c r="K5874" t="inlineStr">
        <is>
          <t>CH2</t>
        </is>
      </c>
    </row>
    <row r="5875">
      <c r="A5875" s="33" t="n">
        <v>46095</v>
      </c>
      <c r="B5875" t="inlineStr">
        <is>
          <t>2026-03</t>
        </is>
      </c>
      <c r="C5875" t="inlineStr">
        <is>
          <t>Sin cliente</t>
        </is>
      </c>
      <c r="D5875" t="inlineStr">
        <is>
          <t>Rellenos</t>
        </is>
      </c>
      <c r="E5875" s="34" t="n">
        <v>38800</v>
      </c>
      <c r="F5875" t="inlineStr">
        <is>
          <t>B</t>
        </is>
      </c>
      <c r="G5875" s="34" t="n">
        <v>6195</v>
      </c>
      <c r="H5875" s="34" t="n">
        <v>32605</v>
      </c>
      <c r="I5875" t="inlineStr">
        <is>
          <t>3.2</t>
        </is>
      </c>
      <c r="J5875" t="inlineStr">
        <is>
          <t>Ventas Personas (B2C)</t>
        </is>
      </c>
      <c r="K5875" t="inlineStr">
        <is>
          <t>CH2</t>
        </is>
      </c>
    </row>
    <row r="5876">
      <c r="A5876" s="33" t="n">
        <v>46095</v>
      </c>
      <c r="B5876" t="inlineStr">
        <is>
          <t>2026-03</t>
        </is>
      </c>
      <c r="C5876" t="inlineStr">
        <is>
          <t>Sin cliente</t>
        </is>
      </c>
      <c r="D5876" t="inlineStr">
        <is>
          <t>CANELÉ TRADICIONAL</t>
        </is>
      </c>
      <c r="E5876" s="34" t="n">
        <v>25700</v>
      </c>
      <c r="F5876" t="inlineStr">
        <is>
          <t>B</t>
        </is>
      </c>
      <c r="G5876" s="34" t="n">
        <v>4103</v>
      </c>
      <c r="H5876" s="34" t="n">
        <v>21597</v>
      </c>
      <c r="I5876" t="inlineStr">
        <is>
          <t>3.2</t>
        </is>
      </c>
      <c r="J5876" t="inlineStr">
        <is>
          <t>Ventas Personas (B2C)</t>
        </is>
      </c>
      <c r="K5876" t="inlineStr">
        <is>
          <t>CH2</t>
        </is>
      </c>
    </row>
    <row r="5877">
      <c r="A5877" s="33" t="n">
        <v>46095</v>
      </c>
      <c r="B5877" t="inlineStr">
        <is>
          <t>2026-03</t>
        </is>
      </c>
      <c r="C5877" t="inlineStr">
        <is>
          <t>Sin cliente</t>
        </is>
      </c>
      <c r="D5877" t="inlineStr">
        <is>
          <t>Delicatessen</t>
        </is>
      </c>
      <c r="E5877" s="34" t="n">
        <v>25300</v>
      </c>
      <c r="F5877" t="inlineStr">
        <is>
          <t>B</t>
        </is>
      </c>
      <c r="G5877" s="34" t="n">
        <v>4039</v>
      </c>
      <c r="H5877" s="34" t="n">
        <v>21261</v>
      </c>
      <c r="I5877" t="inlineStr">
        <is>
          <t>3.2</t>
        </is>
      </c>
      <c r="J5877" t="inlineStr">
        <is>
          <t>Ventas Personas (B2C)</t>
        </is>
      </c>
      <c r="K5877" t="inlineStr">
        <is>
          <t>CH2</t>
        </is>
      </c>
    </row>
    <row r="5878">
      <c r="A5878" s="33" t="n">
        <v>46095</v>
      </c>
      <c r="B5878" t="inlineStr">
        <is>
          <t>2026-03</t>
        </is>
      </c>
      <c r="C5878" t="inlineStr">
        <is>
          <t>Sin cliente</t>
        </is>
      </c>
      <c r="D5878" t="inlineStr">
        <is>
          <t>PLATAFORMAS RAP-PEYA-UBER-GOOD</t>
        </is>
      </c>
      <c r="E5878" s="34" t="n">
        <v>35868</v>
      </c>
      <c r="F5878" t="inlineStr">
        <is>
          <t>B</t>
        </is>
      </c>
      <c r="G5878" s="34" t="n">
        <v>5727</v>
      </c>
      <c r="H5878" s="34" t="n">
        <v>30141</v>
      </c>
      <c r="I5878" t="inlineStr">
        <is>
          <t>3.6</t>
        </is>
      </c>
      <c r="J5878" t="inlineStr">
        <is>
          <t>Ventas Delivery Apps</t>
        </is>
      </c>
      <c r="K5878" t="inlineStr">
        <is>
          <t>CH3</t>
        </is>
      </c>
    </row>
    <row r="5879">
      <c r="A5879" s="33" t="n">
        <v>46095</v>
      </c>
      <c r="B5879" t="inlineStr">
        <is>
          <t>2026-03</t>
        </is>
      </c>
      <c r="C5879" t="inlineStr">
        <is>
          <t>Sin cliente</t>
        </is>
      </c>
      <c r="D5879" t="inlineStr">
        <is>
          <t>PLATAFORMAS RAP-PEYA-UBER-GOOD</t>
        </is>
      </c>
      <c r="E5879" s="34" t="n">
        <v>13200</v>
      </c>
      <c r="F5879" t="inlineStr">
        <is>
          <t>B</t>
        </is>
      </c>
      <c r="G5879" s="34" t="n">
        <v>2108</v>
      </c>
      <c r="H5879" s="34" t="n">
        <v>11092</v>
      </c>
      <c r="I5879" t="inlineStr">
        <is>
          <t>3.6</t>
        </is>
      </c>
      <c r="J5879" t="inlineStr">
        <is>
          <t>Ventas Delivery Apps</t>
        </is>
      </c>
      <c r="K5879" t="inlineStr">
        <is>
          <t>CH3</t>
        </is>
      </c>
    </row>
    <row r="5880">
      <c r="A5880" s="33" t="n">
        <v>46095</v>
      </c>
      <c r="B5880" t="inlineStr">
        <is>
          <t>2026-03</t>
        </is>
      </c>
      <c r="C5880" t="inlineStr">
        <is>
          <t>Sin cliente</t>
        </is>
      </c>
      <c r="D5880" t="inlineStr">
        <is>
          <t>Rellenos</t>
        </is>
      </c>
      <c r="E5880" s="34" t="n">
        <v>2975</v>
      </c>
      <c r="F5880" t="inlineStr">
        <is>
          <t>B</t>
        </is>
      </c>
      <c r="G5880" s="34" t="n">
        <v>475</v>
      </c>
      <c r="H5880" s="34" t="n">
        <v>2500</v>
      </c>
      <c r="I5880" t="inlineStr">
        <is>
          <t>3.2</t>
        </is>
      </c>
      <c r="J5880" t="inlineStr">
        <is>
          <t>Ventas Personas (B2C)</t>
        </is>
      </c>
      <c r="K5880" t="inlineStr">
        <is>
          <t>CH2</t>
        </is>
      </c>
    </row>
    <row r="5881">
      <c r="A5881" s="33" t="n">
        <v>46096</v>
      </c>
      <c r="B5881" t="inlineStr">
        <is>
          <t>2026-03</t>
        </is>
      </c>
      <c r="C5881" t="inlineStr">
        <is>
          <t>Fernanda Chang</t>
        </is>
      </c>
      <c r="D5881" t="inlineStr">
        <is>
          <t>CANELÉ TRADICIONAL</t>
        </is>
      </c>
      <c r="E5881" s="34" t="n">
        <v>30600</v>
      </c>
      <c r="F5881" t="inlineStr">
        <is>
          <t>B</t>
        </is>
      </c>
      <c r="G5881" s="34" t="n">
        <v>4886</v>
      </c>
      <c r="H5881" s="34" t="n">
        <v>25714</v>
      </c>
      <c r="I5881" t="inlineStr">
        <is>
          <t>3.2</t>
        </is>
      </c>
      <c r="J5881" t="inlineStr">
        <is>
          <t>Ventas Personas (B2C)</t>
        </is>
      </c>
      <c r="K5881" t="inlineStr">
        <is>
          <t>CH2</t>
        </is>
      </c>
    </row>
    <row r="5882">
      <c r="A5882" s="33" t="n">
        <v>46097</v>
      </c>
      <c r="B5882" t="inlineStr">
        <is>
          <t>2026-03</t>
        </is>
      </c>
      <c r="C5882" t="inlineStr">
        <is>
          <t>BLUE OAK COFFE SPA</t>
        </is>
      </c>
      <c r="D5882" t="inlineStr">
        <is>
          <t>HORECA CAFETERIA</t>
        </is>
      </c>
      <c r="E5882" s="34" t="n">
        <v>71210</v>
      </c>
      <c r="F5882" t="inlineStr">
        <is>
          <t>F</t>
        </is>
      </c>
      <c r="G5882" s="34" t="n">
        <v>11370</v>
      </c>
      <c r="H5882" s="34" t="n">
        <v>59840</v>
      </c>
      <c r="I5882" t="inlineStr">
        <is>
          <t>3.1</t>
        </is>
      </c>
      <c r="J5882" t="inlineStr">
        <is>
          <t>Ventas HoReCa</t>
        </is>
      </c>
      <c r="K5882" t="inlineStr">
        <is>
          <t>CH1</t>
        </is>
      </c>
    </row>
    <row r="5883">
      <c r="A5883" s="33" t="n">
        <v>46097</v>
      </c>
      <c r="B5883" t="inlineStr">
        <is>
          <t>2026-03</t>
        </is>
      </c>
      <c r="C5883" t="inlineStr">
        <is>
          <t>Okinawa Spa</t>
        </is>
      </c>
      <c r="D5883" t="inlineStr">
        <is>
          <t>HORECA CAFETERIA</t>
        </is>
      </c>
      <c r="E5883" s="34" t="n">
        <v>103304</v>
      </c>
      <c r="F5883" t="inlineStr">
        <is>
          <t>F</t>
        </is>
      </c>
      <c r="G5883" s="34" t="n">
        <v>16494</v>
      </c>
      <c r="H5883" s="34" t="n">
        <v>86810</v>
      </c>
      <c r="I5883" t="inlineStr">
        <is>
          <t>3.1</t>
        </is>
      </c>
      <c r="J5883" t="inlineStr">
        <is>
          <t>Ventas HoReCa</t>
        </is>
      </c>
      <c r="K5883" t="inlineStr">
        <is>
          <t>CH1</t>
        </is>
      </c>
    </row>
    <row r="5884">
      <c r="A5884" s="33" t="n">
        <v>46097</v>
      </c>
      <c r="B5884" t="inlineStr">
        <is>
          <t>2026-03</t>
        </is>
      </c>
      <c r="C5884" t="inlineStr">
        <is>
          <t>INVERSIONES Y ASESORIAS RAVAL LIMITADA</t>
        </is>
      </c>
      <c r="D5884" t="inlineStr">
        <is>
          <t>HORECA CAFETERIA</t>
        </is>
      </c>
      <c r="E5884" s="34" t="n">
        <v>107124</v>
      </c>
      <c r="F5884" t="inlineStr">
        <is>
          <t>F</t>
        </is>
      </c>
      <c r="G5884" s="34" t="n">
        <v>17104</v>
      </c>
      <c r="H5884" s="34" t="n">
        <v>90020</v>
      </c>
      <c r="I5884" t="inlineStr">
        <is>
          <t>3.1</t>
        </is>
      </c>
      <c r="J5884" t="inlineStr">
        <is>
          <t>Ventas HoReCa</t>
        </is>
      </c>
      <c r="K5884" t="inlineStr">
        <is>
          <t>CH1</t>
        </is>
      </c>
    </row>
    <row r="5885">
      <c r="A5885" s="33" t="n">
        <v>46097</v>
      </c>
      <c r="B5885" t="inlineStr">
        <is>
          <t>2026-03</t>
        </is>
      </c>
      <c r="C5885" t="inlineStr">
        <is>
          <t>CAFETERÍAS MISTER SPA</t>
        </is>
      </c>
      <c r="D5885" t="inlineStr">
        <is>
          <t>HORECA CAFETERIA</t>
        </is>
      </c>
      <c r="E5885" s="34" t="n">
        <v>39115</v>
      </c>
      <c r="F5885" t="inlineStr">
        <is>
          <t>F</t>
        </is>
      </c>
      <c r="G5885" s="34" t="n">
        <v>6245</v>
      </c>
      <c r="H5885" s="34" t="n">
        <v>32870</v>
      </c>
      <c r="I5885" t="inlineStr">
        <is>
          <t>3.1</t>
        </is>
      </c>
      <c r="J5885" t="inlineStr">
        <is>
          <t>Ventas HoReCa</t>
        </is>
      </c>
      <c r="K5885" t="inlineStr">
        <is>
          <t>CH1</t>
        </is>
      </c>
    </row>
    <row r="5886">
      <c r="A5886" s="33" t="n">
        <v>46097</v>
      </c>
      <c r="B5886" t="inlineStr">
        <is>
          <t>2026-03</t>
        </is>
      </c>
      <c r="C5886" t="inlineStr">
        <is>
          <t>Scarletts Cereceda Fuentes</t>
        </is>
      </c>
      <c r="D5886" t="inlineStr">
        <is>
          <t>Petit Tradicional</t>
        </is>
      </c>
      <c r="E5886" s="34" t="n">
        <v>44690</v>
      </c>
      <c r="F5886" t="inlineStr">
        <is>
          <t>B</t>
        </is>
      </c>
      <c r="G5886" s="34" t="n">
        <v>7135</v>
      </c>
      <c r="H5886" s="34" t="n">
        <v>37555</v>
      </c>
      <c r="I5886" t="inlineStr">
        <is>
          <t>3.2</t>
        </is>
      </c>
      <c r="J5886" t="inlineStr">
        <is>
          <t>Ventas Personas (B2C)</t>
        </is>
      </c>
      <c r="K5886" t="inlineStr">
        <is>
          <t>CH2</t>
        </is>
      </c>
    </row>
    <row r="5887">
      <c r="A5887" s="33" t="n">
        <v>46097</v>
      </c>
      <c r="B5887" t="inlineStr">
        <is>
          <t>2026-03</t>
        </is>
      </c>
      <c r="C5887" t="inlineStr">
        <is>
          <t>Francisca Escauriaza</t>
        </is>
      </c>
      <c r="D5887" t="inlineStr">
        <is>
          <t>Petit Tradicional</t>
        </is>
      </c>
      <c r="E5887" s="34" t="n">
        <v>13290</v>
      </c>
      <c r="F5887" t="inlineStr">
        <is>
          <t>B</t>
        </is>
      </c>
      <c r="G5887" s="34" t="n">
        <v>2122</v>
      </c>
      <c r="H5887" s="34" t="n">
        <v>11168</v>
      </c>
      <c r="I5887" t="inlineStr">
        <is>
          <t>3.2</t>
        </is>
      </c>
      <c r="J5887" t="inlineStr">
        <is>
          <t>Ventas Personas (B2C)</t>
        </is>
      </c>
      <c r="K5887" t="inlineStr">
        <is>
          <t>CH2</t>
        </is>
      </c>
    </row>
    <row r="5888">
      <c r="A5888" s="33" t="n">
        <v>46097</v>
      </c>
      <c r="B5888" t="inlineStr">
        <is>
          <t>2026-03</t>
        </is>
      </c>
      <c r="C5888" t="inlineStr">
        <is>
          <t>Karen Mansilla</t>
        </is>
      </c>
      <c r="D5888" t="inlineStr">
        <is>
          <t>Petit Crunchy</t>
        </is>
      </c>
      <c r="E5888" s="34" t="n">
        <v>35900</v>
      </c>
      <c r="F5888" t="inlineStr">
        <is>
          <t>B</t>
        </is>
      </c>
      <c r="G5888" s="34" t="n">
        <v>5732</v>
      </c>
      <c r="H5888" s="34" t="n">
        <v>30168</v>
      </c>
      <c r="I5888" t="inlineStr">
        <is>
          <t>3.2</t>
        </is>
      </c>
      <c r="J5888" t="inlineStr">
        <is>
          <t>Ventas Personas (B2C)</t>
        </is>
      </c>
      <c r="K5888" t="inlineStr">
        <is>
          <t>CH2</t>
        </is>
      </c>
    </row>
    <row r="5889">
      <c r="A5889" s="33" t="n">
        <v>46097</v>
      </c>
      <c r="B5889" t="inlineStr">
        <is>
          <t>2026-03</t>
        </is>
      </c>
      <c r="C5889" t="inlineStr">
        <is>
          <t>Noemi Chacon</t>
        </is>
      </c>
      <c r="D5889" t="inlineStr">
        <is>
          <t>Petit Crunchy</t>
        </is>
      </c>
      <c r="E5889" s="34" t="n">
        <v>14390</v>
      </c>
      <c r="F5889" t="inlineStr">
        <is>
          <t>B</t>
        </is>
      </c>
      <c r="G5889" s="34" t="n">
        <v>2298</v>
      </c>
      <c r="H5889" s="34" t="n">
        <v>12092</v>
      </c>
      <c r="I5889" t="inlineStr">
        <is>
          <t>3.2</t>
        </is>
      </c>
      <c r="J5889" t="inlineStr">
        <is>
          <t>Ventas Personas (B2C)</t>
        </is>
      </c>
      <c r="K5889" t="inlineStr">
        <is>
          <t>CH2</t>
        </is>
      </c>
    </row>
    <row r="5890">
      <c r="A5890" s="33" t="n">
        <v>46097</v>
      </c>
      <c r="B5890" t="inlineStr">
        <is>
          <t>2026-03</t>
        </is>
      </c>
      <c r="C5890" t="inlineStr">
        <is>
          <t>Macarena Prieto</t>
        </is>
      </c>
      <c r="D5890" t="inlineStr">
        <is>
          <t>PACKAGING</t>
        </is>
      </c>
      <c r="E5890" s="34" t="n">
        <v>60390</v>
      </c>
      <c r="F5890" t="inlineStr">
        <is>
          <t>B</t>
        </is>
      </c>
      <c r="G5890" s="34" t="n">
        <v>9642</v>
      </c>
      <c r="H5890" s="34" t="n">
        <v>50748</v>
      </c>
      <c r="I5890" t="inlineStr">
        <is>
          <t>3.2</t>
        </is>
      </c>
      <c r="J5890" t="inlineStr">
        <is>
          <t>Ventas Personas (B2C)</t>
        </is>
      </c>
      <c r="K5890" t="inlineStr">
        <is>
          <t>CH2</t>
        </is>
      </c>
    </row>
    <row r="5891">
      <c r="A5891" s="33" t="n">
        <v>46097</v>
      </c>
      <c r="B5891" t="inlineStr">
        <is>
          <t>2026-03</t>
        </is>
      </c>
      <c r="C5891" t="inlineStr">
        <is>
          <t>Sin cliente</t>
        </is>
      </c>
      <c r="D5891" t="inlineStr">
        <is>
          <t>CANELE SIN AZUCAR</t>
        </is>
      </c>
      <c r="E5891" s="34" t="n">
        <v>31300</v>
      </c>
      <c r="F5891" t="inlineStr">
        <is>
          <t>B</t>
        </is>
      </c>
      <c r="G5891" s="34" t="n">
        <v>4997</v>
      </c>
      <c r="H5891" s="34" t="n">
        <v>26303</v>
      </c>
      <c r="I5891" t="inlineStr">
        <is>
          <t>3.2</t>
        </is>
      </c>
      <c r="J5891" t="inlineStr">
        <is>
          <t>Ventas Personas (B2C)</t>
        </is>
      </c>
      <c r="K5891" t="inlineStr">
        <is>
          <t>CH2</t>
        </is>
      </c>
    </row>
    <row r="5892">
      <c r="A5892" s="33" t="n">
        <v>46097</v>
      </c>
      <c r="B5892" t="inlineStr">
        <is>
          <t>2026-03</t>
        </is>
      </c>
      <c r="C5892" t="inlineStr">
        <is>
          <t>Sin cliente</t>
        </is>
      </c>
      <c r="D5892" t="inlineStr">
        <is>
          <t>Rellenos</t>
        </is>
      </c>
      <c r="E5892" s="34" t="n">
        <v>41900</v>
      </c>
      <c r="F5892" t="inlineStr">
        <is>
          <t>B</t>
        </is>
      </c>
      <c r="G5892" s="34" t="n">
        <v>6690</v>
      </c>
      <c r="H5892" s="34" t="n">
        <v>35210</v>
      </c>
      <c r="I5892" t="inlineStr">
        <is>
          <t>3.2</t>
        </is>
      </c>
      <c r="J5892" t="inlineStr">
        <is>
          <t>Ventas Personas (B2C)</t>
        </is>
      </c>
      <c r="K5892" t="inlineStr">
        <is>
          <t>CH2</t>
        </is>
      </c>
    </row>
    <row r="5893">
      <c r="A5893" s="33" t="n">
        <v>46097</v>
      </c>
      <c r="B5893" t="inlineStr">
        <is>
          <t>2026-03</t>
        </is>
      </c>
      <c r="C5893" t="inlineStr">
        <is>
          <t>Sin cliente</t>
        </is>
      </c>
      <c r="D5893" t="inlineStr">
        <is>
          <t>CANELÉ TRADICIONAL</t>
        </is>
      </c>
      <c r="E5893" s="34" t="n">
        <v>9500</v>
      </c>
      <c r="F5893" t="inlineStr">
        <is>
          <t>B</t>
        </is>
      </c>
      <c r="G5893" s="34" t="n">
        <v>1517</v>
      </c>
      <c r="H5893" s="34" t="n">
        <v>7983</v>
      </c>
      <c r="I5893" t="inlineStr">
        <is>
          <t>3.2</t>
        </is>
      </c>
      <c r="J5893" t="inlineStr">
        <is>
          <t>Ventas Personas (B2C)</t>
        </is>
      </c>
      <c r="K5893" t="inlineStr">
        <is>
          <t>CH2</t>
        </is>
      </c>
    </row>
    <row r="5894">
      <c r="A5894" s="33" t="n">
        <v>46097</v>
      </c>
      <c r="B5894" t="inlineStr">
        <is>
          <t>2026-03</t>
        </is>
      </c>
      <c r="C5894" t="inlineStr">
        <is>
          <t>Sin cliente</t>
        </is>
      </c>
      <c r="D5894" t="inlineStr">
        <is>
          <t>PLATAFORMAS RAP-PEYA-UBER-GOOD</t>
        </is>
      </c>
      <c r="E5894" s="34" t="n">
        <v>18960</v>
      </c>
      <c r="F5894" t="inlineStr">
        <is>
          <t>B</t>
        </is>
      </c>
      <c r="G5894" s="34" t="n">
        <v>3027</v>
      </c>
      <c r="H5894" s="34" t="n">
        <v>15933</v>
      </c>
      <c r="I5894" t="inlineStr">
        <is>
          <t>3.6</t>
        </is>
      </c>
      <c r="J5894" t="inlineStr">
        <is>
          <t>Ventas Delivery Apps</t>
        </is>
      </c>
      <c r="K5894" t="inlineStr">
        <is>
          <t>CH3</t>
        </is>
      </c>
    </row>
    <row r="5895">
      <c r="A5895" s="33" t="n">
        <v>46097</v>
      </c>
      <c r="B5895" t="inlineStr">
        <is>
          <t>2026-03</t>
        </is>
      </c>
      <c r="C5895" t="inlineStr">
        <is>
          <t>Sin cliente</t>
        </is>
      </c>
      <c r="D5895" t="inlineStr">
        <is>
          <t>CANELÉ TRADICIONAL</t>
        </is>
      </c>
      <c r="E5895" s="34" t="n">
        <v>15000</v>
      </c>
      <c r="F5895" t="inlineStr">
        <is>
          <t>B</t>
        </is>
      </c>
      <c r="G5895" s="34" t="n">
        <v>2395</v>
      </c>
      <c r="H5895" s="34" t="n">
        <v>12605</v>
      </c>
      <c r="I5895" t="inlineStr">
        <is>
          <t>3.2</t>
        </is>
      </c>
      <c r="J5895" t="inlineStr">
        <is>
          <t>Ventas Personas (B2C)</t>
        </is>
      </c>
      <c r="K5895" t="inlineStr">
        <is>
          <t>CH2</t>
        </is>
      </c>
    </row>
    <row r="5896">
      <c r="A5896" s="33" t="n">
        <v>46097</v>
      </c>
      <c r="B5896" t="inlineStr">
        <is>
          <t>2026-03</t>
        </is>
      </c>
      <c r="C5896" t="inlineStr">
        <is>
          <t>Sin cliente</t>
        </is>
      </c>
      <c r="D5896" t="inlineStr">
        <is>
          <t>Petit Crunchy</t>
        </is>
      </c>
      <c r="E5896" s="34" t="n">
        <v>35900</v>
      </c>
      <c r="F5896" t="inlineStr">
        <is>
          <t>B</t>
        </is>
      </c>
      <c r="G5896" s="34" t="n">
        <v>5732</v>
      </c>
      <c r="H5896" s="34" t="n">
        <v>30168</v>
      </c>
      <c r="I5896" t="inlineStr">
        <is>
          <t>3.2</t>
        </is>
      </c>
      <c r="J5896" t="inlineStr">
        <is>
          <t>Ventas Personas (B2C)</t>
        </is>
      </c>
      <c r="K5896" t="inlineStr">
        <is>
          <t>CH2</t>
        </is>
      </c>
    </row>
    <row r="5897">
      <c r="A5897" s="33" t="n">
        <v>46097</v>
      </c>
      <c r="B5897" t="inlineStr">
        <is>
          <t>2026-03</t>
        </is>
      </c>
      <c r="C5897" t="inlineStr">
        <is>
          <t>Sin cliente</t>
        </is>
      </c>
      <c r="D5897" t="inlineStr">
        <is>
          <t>Mix Sabores</t>
        </is>
      </c>
      <c r="E5897" s="34" t="n">
        <v>75400</v>
      </c>
      <c r="F5897" t="inlineStr">
        <is>
          <t>B</t>
        </is>
      </c>
      <c r="G5897" s="34" t="n">
        <v>12039</v>
      </c>
      <c r="H5897" s="34" t="n">
        <v>63361</v>
      </c>
      <c r="I5897" t="inlineStr">
        <is>
          <t>3.2</t>
        </is>
      </c>
      <c r="J5897" t="inlineStr">
        <is>
          <t>Ventas Personas (B2C)</t>
        </is>
      </c>
      <c r="K5897" t="inlineStr">
        <is>
          <t>CH2</t>
        </is>
      </c>
    </row>
    <row r="5898">
      <c r="A5898" s="33" t="n">
        <v>46097</v>
      </c>
      <c r="B5898" t="inlineStr">
        <is>
          <t>2026-03</t>
        </is>
      </c>
      <c r="C5898" t="inlineStr">
        <is>
          <t>Sin cliente</t>
        </is>
      </c>
      <c r="D5898" t="inlineStr">
        <is>
          <t>Petit Tradicional</t>
        </is>
      </c>
      <c r="E5898" s="34" t="n">
        <v>21800</v>
      </c>
      <c r="F5898" t="inlineStr">
        <is>
          <t>B</t>
        </is>
      </c>
      <c r="G5898" s="34" t="n">
        <v>3481</v>
      </c>
      <c r="H5898" s="34" t="n">
        <v>18319</v>
      </c>
      <c r="I5898" t="inlineStr">
        <is>
          <t>3.2</t>
        </is>
      </c>
      <c r="J5898" t="inlineStr">
        <is>
          <t>Ventas Personas (B2C)</t>
        </is>
      </c>
      <c r="K5898" t="inlineStr">
        <is>
          <t>CH2</t>
        </is>
      </c>
    </row>
    <row r="5899">
      <c r="A5899" s="33" t="n">
        <v>46097</v>
      </c>
      <c r="B5899" t="inlineStr">
        <is>
          <t>2026-03</t>
        </is>
      </c>
      <c r="C5899" t="inlineStr">
        <is>
          <t>Sin cliente</t>
        </is>
      </c>
      <c r="D5899" t="inlineStr">
        <is>
          <t>PLATAFORMAS RAP-PEYA-UBER-GOOD</t>
        </is>
      </c>
      <c r="E5899" s="34" t="n">
        <v>35760</v>
      </c>
      <c r="F5899" t="inlineStr">
        <is>
          <t>B</t>
        </is>
      </c>
      <c r="G5899" s="34" t="n">
        <v>5710</v>
      </c>
      <c r="H5899" s="34" t="n">
        <v>30050</v>
      </c>
      <c r="I5899" t="inlineStr">
        <is>
          <t>3.6</t>
        </is>
      </c>
      <c r="J5899" t="inlineStr">
        <is>
          <t>Ventas Delivery Apps</t>
        </is>
      </c>
      <c r="K5899" t="inlineStr">
        <is>
          <t>CH3</t>
        </is>
      </c>
    </row>
    <row r="5900">
      <c r="A5900" s="33" t="n">
        <v>46097</v>
      </c>
      <c r="B5900" t="inlineStr">
        <is>
          <t>2026-03</t>
        </is>
      </c>
      <c r="C5900" t="inlineStr">
        <is>
          <t>Sin cliente</t>
        </is>
      </c>
      <c r="D5900" t="inlineStr">
        <is>
          <t>CANELÉ TRADICIONAL</t>
        </is>
      </c>
      <c r="E5900" s="34" t="n">
        <v>15900</v>
      </c>
      <c r="F5900" t="inlineStr">
        <is>
          <t>B</t>
        </is>
      </c>
      <c r="G5900" s="34" t="n">
        <v>2539</v>
      </c>
      <c r="H5900" s="34" t="n">
        <v>13361</v>
      </c>
      <c r="I5900" t="inlineStr">
        <is>
          <t>3.2</t>
        </is>
      </c>
      <c r="J5900" t="inlineStr">
        <is>
          <t>Ventas Personas (B2C)</t>
        </is>
      </c>
      <c r="K5900" t="inlineStr">
        <is>
          <t>CH2</t>
        </is>
      </c>
    </row>
    <row r="5901">
      <c r="A5901" s="33" t="n">
        <v>46098</v>
      </c>
      <c r="B5901" t="inlineStr">
        <is>
          <t>2026-03</t>
        </is>
      </c>
      <c r="C5901" t="inlineStr">
        <is>
          <t>INVERSIONES Y COMERCIALIZADORA FED LIMITADA</t>
        </is>
      </c>
      <c r="D5901" t="inlineStr">
        <is>
          <t>HORECA CAFETERIA</t>
        </is>
      </c>
      <c r="E5901" s="34" t="n">
        <v>418604</v>
      </c>
      <c r="F5901" t="inlineStr">
        <is>
          <t>F</t>
        </is>
      </c>
      <c r="G5901" s="34" t="n">
        <v>66836</v>
      </c>
      <c r="H5901" s="34" t="n">
        <v>351768</v>
      </c>
      <c r="I5901" t="inlineStr">
        <is>
          <t>3.1</t>
        </is>
      </c>
      <c r="J5901" t="inlineStr">
        <is>
          <t>Ventas HoReCa</t>
        </is>
      </c>
      <c r="K5901" t="inlineStr">
        <is>
          <t>CH1</t>
        </is>
      </c>
    </row>
    <row r="5902">
      <c r="A5902" s="33" t="n">
        <v>46098</v>
      </c>
      <c r="B5902" t="inlineStr">
        <is>
          <t>2026-03</t>
        </is>
      </c>
      <c r="C5902" t="inlineStr">
        <is>
          <t>MYG Ltda</t>
        </is>
      </c>
      <c r="D5902" t="inlineStr">
        <is>
          <t>HORECA CAFETERIA</t>
        </is>
      </c>
      <c r="E5902" s="34" t="n">
        <v>84178</v>
      </c>
      <c r="F5902" t="inlineStr">
        <is>
          <t>F</t>
        </is>
      </c>
      <c r="G5902" s="34" t="n">
        <v>13440</v>
      </c>
      <c r="H5902" s="34" t="n">
        <v>70738</v>
      </c>
      <c r="I5902" t="inlineStr">
        <is>
          <t>3.1</t>
        </is>
      </c>
      <c r="J5902" t="inlineStr">
        <is>
          <t>Ventas HoReCa</t>
        </is>
      </c>
      <c r="K5902" t="inlineStr">
        <is>
          <t>CH1</t>
        </is>
      </c>
    </row>
    <row r="5903">
      <c r="A5903" s="33" t="n">
        <v>46098</v>
      </c>
      <c r="B5903" t="inlineStr">
        <is>
          <t>2026-03</t>
        </is>
      </c>
      <c r="C5903" t="inlineStr">
        <is>
          <t>KITCHEN ART SPA</t>
        </is>
      </c>
      <c r="D5903" t="inlineStr">
        <is>
          <t>Petit Crunchy</t>
        </is>
      </c>
      <c r="E5903" s="34" t="n">
        <v>35900</v>
      </c>
      <c r="F5903" t="inlineStr">
        <is>
          <t>F</t>
        </is>
      </c>
      <c r="G5903" s="34" t="n">
        <v>5732</v>
      </c>
      <c r="H5903" s="34" t="n">
        <v>30168</v>
      </c>
      <c r="I5903" t="inlineStr">
        <is>
          <t>3.1</t>
        </is>
      </c>
      <c r="J5903" t="inlineStr">
        <is>
          <t>Ventas HoReCa</t>
        </is>
      </c>
      <c r="K5903" t="inlineStr">
        <is>
          <t>CH1</t>
        </is>
      </c>
    </row>
    <row r="5904">
      <c r="A5904" s="33" t="n">
        <v>46098</v>
      </c>
      <c r="B5904" t="inlineStr">
        <is>
          <t>2026-03</t>
        </is>
      </c>
      <c r="C5904" t="inlineStr">
        <is>
          <t>Ramiro Castro</t>
        </is>
      </c>
      <c r="D5904" t="inlineStr">
        <is>
          <t>CANELE SIN AZUCAR</t>
        </is>
      </c>
      <c r="E5904" s="34" t="n">
        <v>29790</v>
      </c>
      <c r="F5904" t="inlineStr">
        <is>
          <t>B</t>
        </is>
      </c>
      <c r="G5904" s="34" t="n">
        <v>4756</v>
      </c>
      <c r="H5904" s="34" t="n">
        <v>25034</v>
      </c>
      <c r="I5904" t="inlineStr">
        <is>
          <t>3.2</t>
        </is>
      </c>
      <c r="J5904" t="inlineStr">
        <is>
          <t>Ventas Personas (B2C)</t>
        </is>
      </c>
      <c r="K5904" t="inlineStr">
        <is>
          <t>CH2</t>
        </is>
      </c>
    </row>
    <row r="5905">
      <c r="A5905" s="33" t="n">
        <v>46098</v>
      </c>
      <c r="B5905" t="inlineStr">
        <is>
          <t>2026-03</t>
        </is>
      </c>
      <c r="C5905" t="inlineStr">
        <is>
          <t>Carlos Poblete lara</t>
        </is>
      </c>
      <c r="D5905" t="inlineStr">
        <is>
          <t>Rellenos</t>
        </is>
      </c>
      <c r="E5905" s="34" t="n">
        <v>30390</v>
      </c>
      <c r="F5905" t="inlineStr">
        <is>
          <t>B</t>
        </is>
      </c>
      <c r="G5905" s="34" t="n">
        <v>4852</v>
      </c>
      <c r="H5905" s="34" t="n">
        <v>25538</v>
      </c>
      <c r="I5905" t="inlineStr">
        <is>
          <t>3.2</t>
        </is>
      </c>
      <c r="J5905" t="inlineStr">
        <is>
          <t>Ventas Personas (B2C)</t>
        </is>
      </c>
      <c r="K5905" t="inlineStr">
        <is>
          <t>CH2</t>
        </is>
      </c>
    </row>
    <row r="5906">
      <c r="A5906" s="33" t="n">
        <v>46098</v>
      </c>
      <c r="B5906" t="inlineStr">
        <is>
          <t>2026-03</t>
        </is>
      </c>
      <c r="C5906" t="inlineStr">
        <is>
          <t>Sin cliente</t>
        </is>
      </c>
      <c r="D5906" t="inlineStr">
        <is>
          <t>CANELÉ TRADICIONAL</t>
        </is>
      </c>
      <c r="E5906" s="34" t="n">
        <v>27400</v>
      </c>
      <c r="F5906" t="inlineStr">
        <is>
          <t>B</t>
        </is>
      </c>
      <c r="G5906" s="34" t="n">
        <v>4375</v>
      </c>
      <c r="H5906" s="34" t="n">
        <v>23025</v>
      </c>
      <c r="I5906" t="inlineStr">
        <is>
          <t>3.2</t>
        </is>
      </c>
      <c r="J5906" t="inlineStr">
        <is>
          <t>Ventas Personas (B2C)</t>
        </is>
      </c>
      <c r="K5906" t="inlineStr">
        <is>
          <t>CH2</t>
        </is>
      </c>
    </row>
    <row r="5907">
      <c r="A5907" s="33" t="n">
        <v>46098</v>
      </c>
      <c r="B5907" t="inlineStr">
        <is>
          <t>2026-03</t>
        </is>
      </c>
      <c r="C5907" t="inlineStr">
        <is>
          <t>Sin cliente</t>
        </is>
      </c>
      <c r="D5907" t="inlineStr">
        <is>
          <t>Rellenos</t>
        </is>
      </c>
      <c r="E5907" s="34" t="n">
        <v>20100</v>
      </c>
      <c r="F5907" t="inlineStr">
        <is>
          <t>B</t>
        </is>
      </c>
      <c r="G5907" s="34" t="n">
        <v>3209</v>
      </c>
      <c r="H5907" s="34" t="n">
        <v>16891</v>
      </c>
      <c r="I5907" t="inlineStr">
        <is>
          <t>3.2</t>
        </is>
      </c>
      <c r="J5907" t="inlineStr">
        <is>
          <t>Ventas Personas (B2C)</t>
        </is>
      </c>
      <c r="K5907" t="inlineStr">
        <is>
          <t>CH2</t>
        </is>
      </c>
    </row>
    <row r="5908">
      <c r="A5908" s="33" t="n">
        <v>46098</v>
      </c>
      <c r="B5908" t="inlineStr">
        <is>
          <t>2026-03</t>
        </is>
      </c>
      <c r="C5908" t="inlineStr">
        <is>
          <t>Sin cliente</t>
        </is>
      </c>
      <c r="D5908" t="inlineStr">
        <is>
          <t>PLATAFORMAS RAP-PEYA-UBER-GOOD</t>
        </is>
      </c>
      <c r="E5908" s="34" t="n">
        <v>27480</v>
      </c>
      <c r="F5908" t="inlineStr">
        <is>
          <t>B</t>
        </is>
      </c>
      <c r="G5908" s="34" t="n">
        <v>4388</v>
      </c>
      <c r="H5908" s="34" t="n">
        <v>23092</v>
      </c>
      <c r="I5908" t="inlineStr">
        <is>
          <t>3.6</t>
        </is>
      </c>
      <c r="J5908" t="inlineStr">
        <is>
          <t>Ventas Delivery Apps</t>
        </is>
      </c>
      <c r="K5908" t="inlineStr">
        <is>
          <t>CH3</t>
        </is>
      </c>
    </row>
    <row r="5909">
      <c r="A5909" s="33" t="n">
        <v>46098</v>
      </c>
      <c r="B5909" t="inlineStr">
        <is>
          <t>2026-03</t>
        </is>
      </c>
      <c r="C5909" t="inlineStr">
        <is>
          <t>Sin cliente</t>
        </is>
      </c>
      <c r="D5909" t="inlineStr">
        <is>
          <t>PLATAFORMAS RAP-PEYA-UBER-GOOD</t>
        </is>
      </c>
      <c r="E5909" s="34" t="n">
        <v>16560</v>
      </c>
      <c r="F5909" t="inlineStr">
        <is>
          <t>B</t>
        </is>
      </c>
      <c r="G5909" s="34" t="n">
        <v>2644</v>
      </c>
      <c r="H5909" s="34" t="n">
        <v>13916</v>
      </c>
      <c r="I5909" t="inlineStr">
        <is>
          <t>3.6</t>
        </is>
      </c>
      <c r="J5909" t="inlineStr">
        <is>
          <t>Ventas Delivery Apps</t>
        </is>
      </c>
      <c r="K5909" t="inlineStr">
        <is>
          <t>CH3</t>
        </is>
      </c>
    </row>
    <row r="5910">
      <c r="A5910" s="33" t="n">
        <v>46098</v>
      </c>
      <c r="B5910" t="inlineStr">
        <is>
          <t>2026-03</t>
        </is>
      </c>
      <c r="C5910" t="inlineStr">
        <is>
          <t>Sin cliente</t>
        </is>
      </c>
      <c r="D5910" t="inlineStr">
        <is>
          <t>PLATAFORMAS RAP-PEYA-UBER-GOOD</t>
        </is>
      </c>
      <c r="E5910" s="34" t="n">
        <v>58536</v>
      </c>
      <c r="F5910" t="inlineStr">
        <is>
          <t>B</t>
        </is>
      </c>
      <c r="G5910" s="34" t="n">
        <v>9346</v>
      </c>
      <c r="H5910" s="34" t="n">
        <v>49190</v>
      </c>
      <c r="I5910" t="inlineStr">
        <is>
          <t>3.6</t>
        </is>
      </c>
      <c r="J5910" t="inlineStr">
        <is>
          <t>Ventas Delivery Apps</t>
        </is>
      </c>
      <c r="K5910" t="inlineStr">
        <is>
          <t>CH3</t>
        </is>
      </c>
    </row>
    <row r="5911">
      <c r="A5911" s="33" t="n">
        <v>46098</v>
      </c>
      <c r="B5911" t="inlineStr">
        <is>
          <t>2026-03</t>
        </is>
      </c>
      <c r="C5911" t="inlineStr">
        <is>
          <t>Sin cliente</t>
        </is>
      </c>
      <c r="D5911" t="inlineStr">
        <is>
          <t>Cafeteria Geronimo</t>
        </is>
      </c>
      <c r="E5911" s="34" t="n">
        <v>11600</v>
      </c>
      <c r="F5911" t="inlineStr">
        <is>
          <t>B</t>
        </is>
      </c>
      <c r="G5911" s="34" t="n">
        <v>1852</v>
      </c>
      <c r="H5911" s="34" t="n">
        <v>9748</v>
      </c>
      <c r="I5911" t="inlineStr">
        <is>
          <t>3.2</t>
        </is>
      </c>
      <c r="J5911" t="inlineStr">
        <is>
          <t>Ventas Personas (B2C)</t>
        </is>
      </c>
      <c r="K5911" t="inlineStr">
        <is>
          <t>CH2</t>
        </is>
      </c>
    </row>
    <row r="5912">
      <c r="A5912" s="33" t="n">
        <v>46098</v>
      </c>
      <c r="B5912" t="inlineStr">
        <is>
          <t>2026-03</t>
        </is>
      </c>
      <c r="C5912" t="inlineStr">
        <is>
          <t>Sin cliente</t>
        </is>
      </c>
      <c r="D5912" t="inlineStr">
        <is>
          <t>CANELÉ TRADICIONAL</t>
        </is>
      </c>
      <c r="E5912" s="34" t="n">
        <v>29000</v>
      </c>
      <c r="F5912" t="inlineStr">
        <is>
          <t>B</t>
        </is>
      </c>
      <c r="G5912" s="34" t="n">
        <v>4630</v>
      </c>
      <c r="H5912" s="34" t="n">
        <v>24370</v>
      </c>
      <c r="I5912" t="inlineStr">
        <is>
          <t>3.2</t>
        </is>
      </c>
      <c r="J5912" t="inlineStr">
        <is>
          <t>Ventas Personas (B2C)</t>
        </is>
      </c>
      <c r="K5912" t="inlineStr">
        <is>
          <t>CH2</t>
        </is>
      </c>
    </row>
    <row r="5913">
      <c r="A5913" s="33" t="n">
        <v>46098</v>
      </c>
      <c r="B5913" t="inlineStr">
        <is>
          <t>2026-03</t>
        </is>
      </c>
      <c r="C5913" t="inlineStr">
        <is>
          <t>Sin cliente</t>
        </is>
      </c>
      <c r="D5913" t="inlineStr">
        <is>
          <t>PLATAFORMAS RAP-PEYA-UBER-GOOD</t>
        </is>
      </c>
      <c r="E5913" s="34" t="n">
        <v>8749</v>
      </c>
      <c r="F5913" t="inlineStr">
        <is>
          <t>B</t>
        </is>
      </c>
      <c r="G5913" s="34" t="n">
        <v>1397</v>
      </c>
      <c r="H5913" s="34" t="n">
        <v>7352</v>
      </c>
      <c r="I5913" t="inlineStr">
        <is>
          <t>3.6</t>
        </is>
      </c>
      <c r="J5913" t="inlineStr">
        <is>
          <t>Ventas Delivery Apps</t>
        </is>
      </c>
      <c r="K5913" t="inlineStr">
        <is>
          <t>CH3</t>
        </is>
      </c>
    </row>
    <row r="5914">
      <c r="A5914" s="33" t="n">
        <v>46098</v>
      </c>
      <c r="B5914" t="inlineStr">
        <is>
          <t>2026-03</t>
        </is>
      </c>
      <c r="C5914" t="inlineStr">
        <is>
          <t>Sin cliente</t>
        </is>
      </c>
      <c r="D5914" t="inlineStr">
        <is>
          <t>Rellenos</t>
        </is>
      </c>
      <c r="E5914" s="34" t="n">
        <v>2975</v>
      </c>
      <c r="F5914" t="inlineStr">
        <is>
          <t>B</t>
        </is>
      </c>
      <c r="G5914" s="34" t="n">
        <v>475</v>
      </c>
      <c r="H5914" s="34" t="n">
        <v>2500</v>
      </c>
      <c r="I5914" t="inlineStr">
        <is>
          <t>3.2</t>
        </is>
      </c>
      <c r="J5914" t="inlineStr">
        <is>
          <t>Ventas Personas (B2C)</t>
        </is>
      </c>
      <c r="K5914" t="inlineStr">
        <is>
          <t>CH2</t>
        </is>
      </c>
    </row>
    <row r="5915">
      <c r="A5915" s="33" t="n">
        <v>46098</v>
      </c>
      <c r="B5915" t="inlineStr">
        <is>
          <t>2026-03</t>
        </is>
      </c>
      <c r="C5915" t="inlineStr">
        <is>
          <t>Sin cliente</t>
        </is>
      </c>
      <c r="D5915" t="inlineStr">
        <is>
          <t>Rellenos</t>
        </is>
      </c>
      <c r="E5915" s="34" t="n">
        <v>18900</v>
      </c>
      <c r="F5915" t="inlineStr">
        <is>
          <t>B</t>
        </is>
      </c>
      <c r="G5915" s="34" t="n">
        <v>3018</v>
      </c>
      <c r="H5915" s="34" t="n">
        <v>15882</v>
      </c>
      <c r="I5915" t="inlineStr">
        <is>
          <t>3.2</t>
        </is>
      </c>
      <c r="J5915" t="inlineStr">
        <is>
          <t>Ventas Personas (B2C)</t>
        </is>
      </c>
      <c r="K5915" t="inlineStr">
        <is>
          <t>CH2</t>
        </is>
      </c>
    </row>
    <row r="5916">
      <c r="A5916" s="33" t="n">
        <v>46098</v>
      </c>
      <c r="B5916" t="inlineStr">
        <is>
          <t>2026-03</t>
        </is>
      </c>
      <c r="C5916" t="inlineStr">
        <is>
          <t>Oscar Larrain</t>
        </is>
      </c>
      <c r="D5916" t="inlineStr">
        <is>
          <t>CANELÉ TRADICIONAL</t>
        </is>
      </c>
      <c r="E5916" s="34" t="n">
        <v>38930</v>
      </c>
      <c r="F5916" t="inlineStr">
        <is>
          <t>B</t>
        </is>
      </c>
      <c r="G5916" s="34" t="n">
        <v>6216</v>
      </c>
      <c r="H5916" s="34" t="n">
        <v>32714</v>
      </c>
      <c r="I5916" t="inlineStr">
        <is>
          <t>3.2</t>
        </is>
      </c>
      <c r="J5916" t="inlineStr">
        <is>
          <t>Ventas Personas (B2C)</t>
        </is>
      </c>
      <c r="K5916" t="inlineStr">
        <is>
          <t>CH2</t>
        </is>
      </c>
    </row>
    <row r="5917">
      <c r="A5917" s="33" t="n">
        <v>46099</v>
      </c>
      <c r="B5917" t="inlineStr">
        <is>
          <t>2026-03</t>
        </is>
      </c>
      <c r="C5917" t="inlineStr">
        <is>
          <t>BLUE OAK COFFE SPA</t>
        </is>
      </c>
      <c r="D5917" t="inlineStr">
        <is>
          <t>HORECA CAFETERIA</t>
        </is>
      </c>
      <c r="E5917" s="34" t="n">
        <v>87763</v>
      </c>
      <c r="F5917" t="inlineStr">
        <is>
          <t>F</t>
        </is>
      </c>
      <c r="G5917" s="34" t="n">
        <v>14013</v>
      </c>
      <c r="H5917" s="34" t="n">
        <v>73750</v>
      </c>
      <c r="I5917" t="inlineStr">
        <is>
          <t>3.1</t>
        </is>
      </c>
      <c r="J5917" t="inlineStr">
        <is>
          <t>Ventas HoReCa</t>
        </is>
      </c>
      <c r="K5917" t="inlineStr">
        <is>
          <t>CH1</t>
        </is>
      </c>
    </row>
    <row r="5918">
      <c r="A5918" s="33" t="n">
        <v>46099</v>
      </c>
      <c r="B5918" t="inlineStr">
        <is>
          <t>2026-03</t>
        </is>
      </c>
      <c r="C5918" t="inlineStr">
        <is>
          <t>BLUE OAK COFFE SPA</t>
        </is>
      </c>
      <c r="D5918" t="inlineStr">
        <is>
          <t>HORECA CAFETERIA</t>
        </is>
      </c>
      <c r="E5918" s="34" t="n">
        <v>136410</v>
      </c>
      <c r="F5918" t="inlineStr">
        <is>
          <t>F</t>
        </is>
      </c>
      <c r="G5918" s="34" t="n">
        <v>21780</v>
      </c>
      <c r="H5918" s="34" t="n">
        <v>114630</v>
      </c>
      <c r="I5918" t="inlineStr">
        <is>
          <t>3.1</t>
        </is>
      </c>
      <c r="J5918" t="inlineStr">
        <is>
          <t>Ventas HoReCa</t>
        </is>
      </c>
      <c r="K5918" t="inlineStr">
        <is>
          <t>CH1</t>
        </is>
      </c>
    </row>
    <row r="5919">
      <c r="A5919" s="33" t="n">
        <v>46099</v>
      </c>
      <c r="B5919" t="inlineStr">
        <is>
          <t>2026-03</t>
        </is>
      </c>
      <c r="C5919" t="inlineStr">
        <is>
          <t>Sociedad de inversiones solari y acuña spa</t>
        </is>
      </c>
      <c r="D5919" t="inlineStr">
        <is>
          <t>HORECA CAFETERIA</t>
        </is>
      </c>
      <c r="E5919" s="34" t="n">
        <v>88774</v>
      </c>
      <c r="F5919" t="inlineStr">
        <is>
          <t>F</t>
        </is>
      </c>
      <c r="G5919" s="34" t="n">
        <v>14174</v>
      </c>
      <c r="H5919" s="34" t="n">
        <v>74600</v>
      </c>
      <c r="I5919" t="inlineStr">
        <is>
          <t>3.1</t>
        </is>
      </c>
      <c r="J5919" t="inlineStr">
        <is>
          <t>Ventas HoReCa</t>
        </is>
      </c>
      <c r="K5919" t="inlineStr">
        <is>
          <t>CH1</t>
        </is>
      </c>
    </row>
    <row r="5920">
      <c r="A5920" s="33" t="n">
        <v>46099</v>
      </c>
      <c r="B5920" t="inlineStr">
        <is>
          <t>2026-03</t>
        </is>
      </c>
      <c r="C5920" t="inlineStr">
        <is>
          <t>CAFE DIARIO ENCOMENDEROS SPA</t>
        </is>
      </c>
      <c r="D5920" t="inlineStr">
        <is>
          <t>HORECA CAFETERIA</t>
        </is>
      </c>
      <c r="E5920" s="34" t="n">
        <v>177253</v>
      </c>
      <c r="F5920" t="inlineStr">
        <is>
          <t>F</t>
        </is>
      </c>
      <c r="G5920" s="34" t="n">
        <v>28301</v>
      </c>
      <c r="H5920" s="34" t="n">
        <v>148952</v>
      </c>
      <c r="I5920" t="inlineStr">
        <is>
          <t>3.1</t>
        </is>
      </c>
      <c r="J5920" t="inlineStr">
        <is>
          <t>Ventas HoReCa</t>
        </is>
      </c>
      <c r="K5920" t="inlineStr">
        <is>
          <t>CH1</t>
        </is>
      </c>
    </row>
    <row r="5921">
      <c r="A5921" s="33" t="n">
        <v>46099</v>
      </c>
      <c r="B5921" t="inlineStr">
        <is>
          <t>2026-03</t>
        </is>
      </c>
      <c r="C5921" t="inlineStr">
        <is>
          <t>CAFETERIA THE ELEPHANT COFFEE LIMITADA</t>
        </is>
      </c>
      <c r="D5921" t="inlineStr">
        <is>
          <t>HORECA CAFETERIA</t>
        </is>
      </c>
      <c r="E5921" s="34" t="n">
        <v>199587</v>
      </c>
      <c r="F5921" t="inlineStr">
        <is>
          <t>F</t>
        </is>
      </c>
      <c r="G5921" s="34" t="n">
        <v>31867</v>
      </c>
      <c r="H5921" s="34" t="n">
        <v>167720</v>
      </c>
      <c r="I5921" t="inlineStr">
        <is>
          <t>3.1</t>
        </is>
      </c>
      <c r="J5921" t="inlineStr">
        <is>
          <t>Ventas HoReCa</t>
        </is>
      </c>
      <c r="K5921" t="inlineStr">
        <is>
          <t>CH1</t>
        </is>
      </c>
    </row>
    <row r="5922">
      <c r="A5922" s="33" t="n">
        <v>46099</v>
      </c>
      <c r="B5922" t="inlineStr">
        <is>
          <t>2026-03</t>
        </is>
      </c>
      <c r="C5922" t="inlineStr">
        <is>
          <t>Cocoshouse Spa</t>
        </is>
      </c>
      <c r="D5922" t="inlineStr">
        <is>
          <t>HORECA CAFETERIA</t>
        </is>
      </c>
      <c r="E5922" s="34" t="n">
        <v>39115</v>
      </c>
      <c r="F5922" t="inlineStr">
        <is>
          <t>F</t>
        </is>
      </c>
      <c r="G5922" s="34" t="n">
        <v>6245</v>
      </c>
      <c r="H5922" s="34" t="n">
        <v>32870</v>
      </c>
      <c r="I5922" t="inlineStr">
        <is>
          <t>3.1</t>
        </is>
      </c>
      <c r="J5922" t="inlineStr">
        <is>
          <t>Ventas HoReCa</t>
        </is>
      </c>
      <c r="K5922" t="inlineStr">
        <is>
          <t>CH1</t>
        </is>
      </c>
    </row>
    <row r="5923">
      <c r="A5923" s="33" t="n">
        <v>46099</v>
      </c>
      <c r="B5923" t="inlineStr">
        <is>
          <t>2026-03</t>
        </is>
      </c>
      <c r="C5923" t="inlineStr">
        <is>
          <t>Andar Café SpA</t>
        </is>
      </c>
      <c r="D5923" t="inlineStr">
        <is>
          <t>HORECA CAFETERIA</t>
        </is>
      </c>
      <c r="E5923" s="34" t="n">
        <v>66473</v>
      </c>
      <c r="F5923" t="inlineStr">
        <is>
          <t>F</t>
        </is>
      </c>
      <c r="G5923" s="34" t="n">
        <v>10613</v>
      </c>
      <c r="H5923" s="34" t="n">
        <v>55860</v>
      </c>
      <c r="I5923" t="inlineStr">
        <is>
          <t>3.1</t>
        </is>
      </c>
      <c r="J5923" t="inlineStr">
        <is>
          <t>Ventas HoReCa</t>
        </is>
      </c>
      <c r="K5923" t="inlineStr">
        <is>
          <t>CH1</t>
        </is>
      </c>
    </row>
    <row r="5924">
      <c r="A5924" s="33" t="n">
        <v>46099</v>
      </c>
      <c r="B5924" t="inlineStr">
        <is>
          <t>2026-03</t>
        </is>
      </c>
      <c r="C5924" t="inlineStr">
        <is>
          <t>Good Club CL</t>
        </is>
      </c>
      <c r="D5924" t="inlineStr">
        <is>
          <t>REGION METROPOLITANA</t>
        </is>
      </c>
      <c r="E5924" s="34" t="n">
        <v>133999</v>
      </c>
      <c r="F5924" t="inlineStr">
        <is>
          <t>F</t>
        </is>
      </c>
      <c r="G5924" s="34" t="n">
        <v>21395</v>
      </c>
      <c r="H5924" s="34" t="n">
        <v>112604</v>
      </c>
      <c r="I5924" t="inlineStr">
        <is>
          <t>3.1</t>
        </is>
      </c>
      <c r="J5924" t="inlineStr">
        <is>
          <t>Ventas HoReCa</t>
        </is>
      </c>
      <c r="K5924" t="inlineStr">
        <is>
          <t>CH1</t>
        </is>
      </c>
    </row>
    <row r="5925">
      <c r="A5925" s="33" t="n">
        <v>46099</v>
      </c>
      <c r="B5925" t="inlineStr">
        <is>
          <t>2026-03</t>
        </is>
      </c>
      <c r="C5925" t="inlineStr">
        <is>
          <t>Constanza Gomez mansilla</t>
        </is>
      </c>
      <c r="D5925" t="inlineStr">
        <is>
          <t>Canelé Petit Relleno</t>
        </is>
      </c>
      <c r="E5925" s="34" t="n">
        <v>17010</v>
      </c>
      <c r="F5925" t="inlineStr">
        <is>
          <t>B</t>
        </is>
      </c>
      <c r="G5925" s="34" t="n">
        <v>2716</v>
      </c>
      <c r="H5925" s="34" t="n">
        <v>14294</v>
      </c>
      <c r="I5925" t="inlineStr">
        <is>
          <t>3.2</t>
        </is>
      </c>
      <c r="J5925" t="inlineStr">
        <is>
          <t>Ventas Personas (B2C)</t>
        </is>
      </c>
      <c r="K5925" t="inlineStr">
        <is>
          <t>CH2</t>
        </is>
      </c>
    </row>
    <row r="5926">
      <c r="A5926" s="33" t="n">
        <v>46099</v>
      </c>
      <c r="B5926" t="inlineStr">
        <is>
          <t>2026-03</t>
        </is>
      </c>
      <c r="C5926" t="inlineStr">
        <is>
          <t>Better Food Spa</t>
        </is>
      </c>
      <c r="D5926" t="inlineStr">
        <is>
          <t>HORECA CAFETERIA</t>
        </is>
      </c>
      <c r="E5926" s="34" t="n">
        <v>545603</v>
      </c>
      <c r="F5926" t="inlineStr">
        <is>
          <t>F</t>
        </is>
      </c>
      <c r="G5926" s="34" t="n">
        <v>87113</v>
      </c>
      <c r="H5926" s="34" t="n">
        <v>458490</v>
      </c>
      <c r="I5926" t="inlineStr">
        <is>
          <t>3.1</t>
        </is>
      </c>
      <c r="J5926" t="inlineStr">
        <is>
          <t>Ventas HoReCa</t>
        </is>
      </c>
      <c r="K5926" t="inlineStr">
        <is>
          <t>CH1</t>
        </is>
      </c>
    </row>
    <row r="5927">
      <c r="A5927" s="33" t="n">
        <v>46099</v>
      </c>
      <c r="B5927" t="inlineStr">
        <is>
          <t>2026-03</t>
        </is>
      </c>
      <c r="C5927" t="inlineStr">
        <is>
          <t>Better Food Spa</t>
        </is>
      </c>
      <c r="D5927" t="inlineStr">
        <is>
          <t>REGION METROPOLITANA</t>
        </is>
      </c>
      <c r="E5927" s="34" t="n">
        <v>9401</v>
      </c>
      <c r="F5927" t="inlineStr">
        <is>
          <t>F</t>
        </is>
      </c>
      <c r="G5927" s="34" t="n">
        <v>1501</v>
      </c>
      <c r="H5927" s="34" t="n">
        <v>7900</v>
      </c>
      <c r="I5927" t="inlineStr">
        <is>
          <t>3.1</t>
        </is>
      </c>
      <c r="J5927" t="inlineStr">
        <is>
          <t>Ventas HoReCa</t>
        </is>
      </c>
      <c r="K5927" t="inlineStr">
        <is>
          <t>CH1</t>
        </is>
      </c>
    </row>
    <row r="5928">
      <c r="A5928" s="33" t="n">
        <v>46099</v>
      </c>
      <c r="B5928" t="inlineStr">
        <is>
          <t>2026-03</t>
        </is>
      </c>
      <c r="C5928" t="inlineStr">
        <is>
          <t>Alejandro Canelo Lopez</t>
        </is>
      </c>
      <c r="D5928" t="inlineStr">
        <is>
          <t>CANELÉ TRADICIONAL</t>
        </is>
      </c>
      <c r="E5928" s="34" t="n">
        <v>28390</v>
      </c>
      <c r="F5928" t="inlineStr">
        <is>
          <t>B</t>
        </is>
      </c>
      <c r="G5928" s="34" t="n">
        <v>4533</v>
      </c>
      <c r="H5928" s="34" t="n">
        <v>23857</v>
      </c>
      <c r="I5928" t="inlineStr">
        <is>
          <t>3.2</t>
        </is>
      </c>
      <c r="J5928" t="inlineStr">
        <is>
          <t>Ventas Personas (B2C)</t>
        </is>
      </c>
      <c r="K5928" t="inlineStr">
        <is>
          <t>CH2</t>
        </is>
      </c>
    </row>
    <row r="5929">
      <c r="A5929" s="33" t="n">
        <v>46099</v>
      </c>
      <c r="B5929" t="inlineStr">
        <is>
          <t>2026-03</t>
        </is>
      </c>
      <c r="C5929" t="inlineStr">
        <is>
          <t>Paulina Cáceres</t>
        </is>
      </c>
      <c r="D5929" t="inlineStr">
        <is>
          <t>CANELÉ TRADICIONAL</t>
        </is>
      </c>
      <c r="E5929" s="34" t="n">
        <v>20390</v>
      </c>
      <c r="F5929" t="inlineStr">
        <is>
          <t>B</t>
        </is>
      </c>
      <c r="G5929" s="34" t="n">
        <v>3256</v>
      </c>
      <c r="H5929" s="34" t="n">
        <v>17134</v>
      </c>
      <c r="I5929" t="inlineStr">
        <is>
          <t>3.2</t>
        </is>
      </c>
      <c r="J5929" t="inlineStr">
        <is>
          <t>Ventas Personas (B2C)</t>
        </is>
      </c>
      <c r="K5929" t="inlineStr">
        <is>
          <t>CH2</t>
        </is>
      </c>
    </row>
    <row r="5930">
      <c r="A5930" s="33" t="n">
        <v>46099</v>
      </c>
      <c r="B5930" t="inlineStr">
        <is>
          <t>2026-03</t>
        </is>
      </c>
      <c r="C5930" t="inlineStr">
        <is>
          <t>Sin cliente</t>
        </is>
      </c>
      <c r="D5930" t="inlineStr">
        <is>
          <t>PACKAGING</t>
        </is>
      </c>
      <c r="E5930" s="34" t="n">
        <v>15800</v>
      </c>
      <c r="F5930" t="inlineStr">
        <is>
          <t>B</t>
        </is>
      </c>
      <c r="G5930" s="34" t="n">
        <v>2523</v>
      </c>
      <c r="H5930" s="34" t="n">
        <v>13277</v>
      </c>
      <c r="I5930" t="inlineStr">
        <is>
          <t>3.2</t>
        </is>
      </c>
      <c r="J5930" t="inlineStr">
        <is>
          <t>Ventas Personas (B2C)</t>
        </is>
      </c>
      <c r="K5930" t="inlineStr">
        <is>
          <t>CH2</t>
        </is>
      </c>
    </row>
    <row r="5931">
      <c r="A5931" s="33" t="n">
        <v>46099</v>
      </c>
      <c r="B5931" t="inlineStr">
        <is>
          <t>2026-03</t>
        </is>
      </c>
      <c r="C5931" t="inlineStr">
        <is>
          <t>Sin cliente</t>
        </is>
      </c>
      <c r="D5931" t="inlineStr">
        <is>
          <t>Rellenos</t>
        </is>
      </c>
      <c r="E5931" s="34" t="n">
        <v>12000</v>
      </c>
      <c r="F5931" t="inlineStr">
        <is>
          <t>B</t>
        </is>
      </c>
      <c r="G5931" s="34" t="n">
        <v>1916</v>
      </c>
      <c r="H5931" s="34" t="n">
        <v>10084</v>
      </c>
      <c r="I5931" t="inlineStr">
        <is>
          <t>3.2</t>
        </is>
      </c>
      <c r="J5931" t="inlineStr">
        <is>
          <t>Ventas Personas (B2C)</t>
        </is>
      </c>
      <c r="K5931" t="inlineStr">
        <is>
          <t>CH2</t>
        </is>
      </c>
    </row>
    <row r="5932">
      <c r="A5932" s="33" t="n">
        <v>46099</v>
      </c>
      <c r="B5932" t="inlineStr">
        <is>
          <t>2026-03</t>
        </is>
      </c>
      <c r="C5932" t="inlineStr">
        <is>
          <t>Sin cliente</t>
        </is>
      </c>
      <c r="D5932" t="inlineStr">
        <is>
          <t>Cafeteria Geronimo</t>
        </is>
      </c>
      <c r="E5932" s="34" t="n">
        <v>7900</v>
      </c>
      <c r="F5932" t="inlineStr">
        <is>
          <t>B</t>
        </is>
      </c>
      <c r="G5932" s="34" t="n">
        <v>1261</v>
      </c>
      <c r="H5932" s="34" t="n">
        <v>6639</v>
      </c>
      <c r="I5932" t="inlineStr">
        <is>
          <t>3.2</t>
        </is>
      </c>
      <c r="J5932" t="inlineStr">
        <is>
          <t>Ventas Personas (B2C)</t>
        </is>
      </c>
      <c r="K5932" t="inlineStr">
        <is>
          <t>CH2</t>
        </is>
      </c>
    </row>
    <row r="5933">
      <c r="A5933" s="33" t="n">
        <v>46099</v>
      </c>
      <c r="B5933" t="inlineStr">
        <is>
          <t>2026-03</t>
        </is>
      </c>
      <c r="C5933" t="inlineStr">
        <is>
          <t>Sin cliente</t>
        </is>
      </c>
      <c r="D5933" t="inlineStr">
        <is>
          <t>PLATAFORMAS RAP-PEYA-UBER-GOOD</t>
        </is>
      </c>
      <c r="E5933" s="34" t="n">
        <v>23880</v>
      </c>
      <c r="F5933" t="inlineStr">
        <is>
          <t>B</t>
        </is>
      </c>
      <c r="G5933" s="34" t="n">
        <v>3813</v>
      </c>
      <c r="H5933" s="34" t="n">
        <v>20067</v>
      </c>
      <c r="I5933" t="inlineStr">
        <is>
          <t>3.6</t>
        </is>
      </c>
      <c r="J5933" t="inlineStr">
        <is>
          <t>Ventas Delivery Apps</t>
        </is>
      </c>
      <c r="K5933" t="inlineStr">
        <is>
          <t>CH3</t>
        </is>
      </c>
    </row>
    <row r="5934">
      <c r="A5934" s="33" t="n">
        <v>46099</v>
      </c>
      <c r="B5934" t="inlineStr">
        <is>
          <t>2026-03</t>
        </is>
      </c>
      <c r="C5934" t="inlineStr">
        <is>
          <t>Sin cliente</t>
        </is>
      </c>
      <c r="D5934" t="inlineStr">
        <is>
          <t>PLATAFORMAS RAP-PEYA-UBER-GOOD</t>
        </is>
      </c>
      <c r="E5934" s="34" t="n">
        <v>32160</v>
      </c>
      <c r="F5934" t="inlineStr">
        <is>
          <t>B</t>
        </is>
      </c>
      <c r="G5934" s="34" t="n">
        <v>5135</v>
      </c>
      <c r="H5934" s="34" t="n">
        <v>27025</v>
      </c>
      <c r="I5934" t="inlineStr">
        <is>
          <t>3.6</t>
        </is>
      </c>
      <c r="J5934" t="inlineStr">
        <is>
          <t>Ventas Delivery Apps</t>
        </is>
      </c>
      <c r="K5934" t="inlineStr">
        <is>
          <t>CH3</t>
        </is>
      </c>
    </row>
    <row r="5935">
      <c r="A5935" s="33" t="n">
        <v>46099</v>
      </c>
      <c r="B5935" t="inlineStr">
        <is>
          <t>2026-03</t>
        </is>
      </c>
      <c r="C5935" t="inlineStr">
        <is>
          <t>Sin cliente</t>
        </is>
      </c>
      <c r="D5935" t="inlineStr">
        <is>
          <t>CANELÉ TRADICIONAL</t>
        </is>
      </c>
      <c r="E5935" s="34" t="n">
        <v>15000</v>
      </c>
      <c r="F5935" t="inlineStr">
        <is>
          <t>B</t>
        </is>
      </c>
      <c r="G5935" s="34" t="n">
        <v>2395</v>
      </c>
      <c r="H5935" s="34" t="n">
        <v>12605</v>
      </c>
      <c r="I5935" t="inlineStr">
        <is>
          <t>3.2</t>
        </is>
      </c>
      <c r="J5935" t="inlineStr">
        <is>
          <t>Ventas Personas (B2C)</t>
        </is>
      </c>
      <c r="K5935" t="inlineStr">
        <is>
          <t>CH2</t>
        </is>
      </c>
    </row>
    <row r="5936">
      <c r="A5936" s="33" t="n">
        <v>46099</v>
      </c>
      <c r="B5936" t="inlineStr">
        <is>
          <t>2026-03</t>
        </is>
      </c>
      <c r="C5936" t="inlineStr">
        <is>
          <t>Sin cliente</t>
        </is>
      </c>
      <c r="D5936" t="inlineStr">
        <is>
          <t>CANELÉ TRADICIONAL</t>
        </is>
      </c>
      <c r="E5936" s="34" t="n">
        <v>22900</v>
      </c>
      <c r="F5936" t="inlineStr">
        <is>
          <t>B</t>
        </is>
      </c>
      <c r="G5936" s="34" t="n">
        <v>3656</v>
      </c>
      <c r="H5936" s="34" t="n">
        <v>19244</v>
      </c>
      <c r="I5936" t="inlineStr">
        <is>
          <t>3.2</t>
        </is>
      </c>
      <c r="J5936" t="inlineStr">
        <is>
          <t>Ventas Personas (B2C)</t>
        </is>
      </c>
      <c r="K5936" t="inlineStr">
        <is>
          <t>CH2</t>
        </is>
      </c>
    </row>
    <row r="5937">
      <c r="A5937" s="33" t="n">
        <v>46100</v>
      </c>
      <c r="B5937" t="inlineStr">
        <is>
          <t>2026-03</t>
        </is>
      </c>
      <c r="C5937" t="inlineStr">
        <is>
          <t>VILAS BANQUETERIAS SPA</t>
        </is>
      </c>
      <c r="D5937" t="inlineStr">
        <is>
          <t>HORECA CATERING</t>
        </is>
      </c>
      <c r="E5937" s="34" t="n">
        <v>219079</v>
      </c>
      <c r="F5937" t="inlineStr">
        <is>
          <t>F</t>
        </is>
      </c>
      <c r="G5937" s="34" t="n">
        <v>34979</v>
      </c>
      <c r="H5937" s="34" t="n">
        <v>184100</v>
      </c>
      <c r="I5937" t="inlineStr">
        <is>
          <t>3.1</t>
        </is>
      </c>
      <c r="J5937" t="inlineStr">
        <is>
          <t>Ventas HoReCa</t>
        </is>
      </c>
      <c r="K5937" t="inlineStr">
        <is>
          <t>CH1</t>
        </is>
      </c>
    </row>
    <row r="5938">
      <c r="A5938" s="33" t="n">
        <v>46100</v>
      </c>
      <c r="B5938" t="inlineStr">
        <is>
          <t>2026-03</t>
        </is>
      </c>
      <c r="C5938" t="inlineStr">
        <is>
          <t>TAVELLI S.A.</t>
        </is>
      </c>
      <c r="D5938" t="inlineStr">
        <is>
          <t>HORECA CAFETERIA</t>
        </is>
      </c>
      <c r="E5938" s="34" t="n">
        <v>818405</v>
      </c>
      <c r="F5938" t="inlineStr">
        <is>
          <t>F</t>
        </is>
      </c>
      <c r="G5938" s="34" t="n">
        <v>130670</v>
      </c>
      <c r="H5938" s="34" t="n">
        <v>687735</v>
      </c>
      <c r="I5938" t="inlineStr">
        <is>
          <t>3.1</t>
        </is>
      </c>
      <c r="J5938" t="inlineStr">
        <is>
          <t>Ventas HoReCa</t>
        </is>
      </c>
      <c r="K5938" t="inlineStr">
        <is>
          <t>CH1</t>
        </is>
      </c>
    </row>
    <row r="5939">
      <c r="A5939" s="33" t="n">
        <v>46100</v>
      </c>
      <c r="B5939" t="inlineStr">
        <is>
          <t>2026-03</t>
        </is>
      </c>
      <c r="C5939" t="inlineStr">
        <is>
          <t>TAVELLI S.A.</t>
        </is>
      </c>
      <c r="D5939" t="inlineStr">
        <is>
          <t>REGION METROPOLITANA</t>
        </is>
      </c>
      <c r="E5939" s="34" t="n">
        <v>35700</v>
      </c>
      <c r="F5939" t="inlineStr">
        <is>
          <t>F</t>
        </is>
      </c>
      <c r="G5939" s="34" t="n">
        <v>5700</v>
      </c>
      <c r="H5939" s="34" t="n">
        <v>30000</v>
      </c>
      <c r="I5939" t="inlineStr">
        <is>
          <t>3.1</t>
        </is>
      </c>
      <c r="J5939" t="inlineStr">
        <is>
          <t>Ventas HoReCa</t>
        </is>
      </c>
      <c r="K5939" t="inlineStr">
        <is>
          <t>CH1</t>
        </is>
      </c>
    </row>
    <row r="5940">
      <c r="A5940" s="33" t="n">
        <v>46100</v>
      </c>
      <c r="B5940" t="inlineStr">
        <is>
          <t>2026-03</t>
        </is>
      </c>
      <c r="C5940" t="inlineStr">
        <is>
          <t>PRODUCTORA DE EVENTOS AGDV SPA</t>
        </is>
      </c>
      <c r="D5940" t="inlineStr">
        <is>
          <t>HORECA CATERING</t>
        </is>
      </c>
      <c r="E5940" s="34" t="n">
        <v>63665</v>
      </c>
      <c r="F5940" t="inlineStr">
        <is>
          <t>F</t>
        </is>
      </c>
      <c r="G5940" s="34" t="n">
        <v>10165</v>
      </c>
      <c r="H5940" s="34" t="n">
        <v>53500</v>
      </c>
      <c r="I5940" t="inlineStr">
        <is>
          <t>3.1</t>
        </is>
      </c>
      <c r="J5940" t="inlineStr">
        <is>
          <t>Ventas HoReCa</t>
        </is>
      </c>
      <c r="K5940" t="inlineStr">
        <is>
          <t>CH1</t>
        </is>
      </c>
    </row>
    <row r="5941">
      <c r="A5941" s="33" t="n">
        <v>46100</v>
      </c>
      <c r="B5941" t="inlineStr">
        <is>
          <t>2026-03</t>
        </is>
      </c>
      <c r="C5941" t="inlineStr">
        <is>
          <t>CORDILLERA PARK EVENTOS SPA.</t>
        </is>
      </c>
      <c r="D5941" t="inlineStr">
        <is>
          <t>Petit Crunchy</t>
        </is>
      </c>
      <c r="E5941" s="34" t="n">
        <v>32190</v>
      </c>
      <c r="F5941" t="inlineStr">
        <is>
          <t>B</t>
        </is>
      </c>
      <c r="G5941" s="34" t="n">
        <v>5140</v>
      </c>
      <c r="H5941" s="34" t="n">
        <v>27050</v>
      </c>
      <c r="I5941" t="inlineStr">
        <is>
          <t>3.2</t>
        </is>
      </c>
      <c r="J5941" t="inlineStr">
        <is>
          <t>Ventas Personas (B2C)</t>
        </is>
      </c>
      <c r="K5941" t="inlineStr">
        <is>
          <t>CH2</t>
        </is>
      </c>
    </row>
    <row r="5942">
      <c r="A5942" s="33" t="n">
        <v>46100</v>
      </c>
      <c r="B5942" t="inlineStr">
        <is>
          <t>2026-03</t>
        </is>
      </c>
      <c r="C5942" t="inlineStr">
        <is>
          <t>Melania Chaverri</t>
        </is>
      </c>
      <c r="D5942" t="inlineStr">
        <is>
          <t>CANELÉ TRADICIONAL</t>
        </is>
      </c>
      <c r="E5942" s="34" t="n">
        <v>32790</v>
      </c>
      <c r="F5942" t="inlineStr">
        <is>
          <t>B</t>
        </is>
      </c>
      <c r="G5942" s="34" t="n">
        <v>5235</v>
      </c>
      <c r="H5942" s="34" t="n">
        <v>27555</v>
      </c>
      <c r="I5942" t="inlineStr">
        <is>
          <t>3.2</t>
        </is>
      </c>
      <c r="J5942" t="inlineStr">
        <is>
          <t>Ventas Personas (B2C)</t>
        </is>
      </c>
      <c r="K5942" t="inlineStr">
        <is>
          <t>CH2</t>
        </is>
      </c>
    </row>
    <row r="5943">
      <c r="A5943" s="33" t="n">
        <v>46100</v>
      </c>
      <c r="B5943" t="inlineStr">
        <is>
          <t>2026-03</t>
        </is>
      </c>
      <c r="C5943" t="inlineStr">
        <is>
          <t>Maria Salinas leiva</t>
        </is>
      </c>
      <c r="D5943" t="inlineStr">
        <is>
          <t>Rellenos</t>
        </is>
      </c>
      <c r="E5943" s="34" t="n">
        <v>26390</v>
      </c>
      <c r="F5943" t="inlineStr">
        <is>
          <t>B</t>
        </is>
      </c>
      <c r="G5943" s="34" t="n">
        <v>4214</v>
      </c>
      <c r="H5943" s="34" t="n">
        <v>22176</v>
      </c>
      <c r="I5943" t="inlineStr">
        <is>
          <t>3.2</t>
        </is>
      </c>
      <c r="J5943" t="inlineStr">
        <is>
          <t>Ventas Personas (B2C)</t>
        </is>
      </c>
      <c r="K5943" t="inlineStr">
        <is>
          <t>CH2</t>
        </is>
      </c>
    </row>
    <row r="5944">
      <c r="A5944" s="33" t="n">
        <v>46100</v>
      </c>
      <c r="B5944" t="inlineStr">
        <is>
          <t>2026-03</t>
        </is>
      </c>
      <c r="C5944" t="inlineStr">
        <is>
          <t>Diego Muñoz</t>
        </is>
      </c>
      <c r="D5944" t="inlineStr">
        <is>
          <t>Mix Sabores</t>
        </is>
      </c>
      <c r="E5944" s="34" t="n">
        <v>21390</v>
      </c>
      <c r="F5944" t="inlineStr">
        <is>
          <t>B</t>
        </is>
      </c>
      <c r="G5944" s="34" t="n">
        <v>3415</v>
      </c>
      <c r="H5944" s="34" t="n">
        <v>17975</v>
      </c>
      <c r="I5944" t="inlineStr">
        <is>
          <t>3.2</t>
        </is>
      </c>
      <c r="J5944" t="inlineStr">
        <is>
          <t>Ventas Personas (B2C)</t>
        </is>
      </c>
      <c r="K5944" t="inlineStr">
        <is>
          <t>CH2</t>
        </is>
      </c>
    </row>
    <row r="5945">
      <c r="A5945" s="33" t="n">
        <v>46100</v>
      </c>
      <c r="B5945" t="inlineStr">
        <is>
          <t>2026-03</t>
        </is>
      </c>
      <c r="C5945" t="inlineStr">
        <is>
          <t>Francisca Torres Jeria</t>
        </is>
      </c>
      <c r="D5945" t="inlineStr">
        <is>
          <t>Petit Tradicional</t>
        </is>
      </c>
      <c r="E5945" s="34" t="n">
        <v>21800</v>
      </c>
      <c r="F5945" t="inlineStr">
        <is>
          <t>B</t>
        </is>
      </c>
      <c r="G5945" s="34" t="n">
        <v>3481</v>
      </c>
      <c r="H5945" s="34" t="n">
        <v>18319</v>
      </c>
      <c r="I5945" t="inlineStr">
        <is>
          <t>3.2</t>
        </is>
      </c>
      <c r="J5945" t="inlineStr">
        <is>
          <t>Ventas Personas (B2C)</t>
        </is>
      </c>
      <c r="K5945" t="inlineStr">
        <is>
          <t>CH2</t>
        </is>
      </c>
    </row>
    <row r="5946">
      <c r="A5946" s="33" t="n">
        <v>46100</v>
      </c>
      <c r="B5946" t="inlineStr">
        <is>
          <t>2026-03</t>
        </is>
      </c>
      <c r="C5946" t="inlineStr">
        <is>
          <t>Sin cliente</t>
        </is>
      </c>
      <c r="D5946" t="inlineStr">
        <is>
          <t>PLATAFORMAS RAP-PEYA-UBER-GOOD</t>
        </is>
      </c>
      <c r="E5946" s="34" t="n">
        <v>17640</v>
      </c>
      <c r="F5946" t="inlineStr">
        <is>
          <t>B</t>
        </is>
      </c>
      <c r="G5946" s="34" t="n">
        <v>2816</v>
      </c>
      <c r="H5946" s="34" t="n">
        <v>14824</v>
      </c>
      <c r="I5946" t="inlineStr">
        <is>
          <t>3.6</t>
        </is>
      </c>
      <c r="J5946" t="inlineStr">
        <is>
          <t>Ventas Delivery Apps</t>
        </is>
      </c>
      <c r="K5946" t="inlineStr">
        <is>
          <t>CH3</t>
        </is>
      </c>
    </row>
    <row r="5947">
      <c r="A5947" s="33" t="n">
        <v>46100</v>
      </c>
      <c r="B5947" t="inlineStr">
        <is>
          <t>2026-03</t>
        </is>
      </c>
      <c r="C5947" t="inlineStr">
        <is>
          <t>Sin cliente</t>
        </is>
      </c>
      <c r="D5947" t="inlineStr">
        <is>
          <t>Mix Sabores</t>
        </is>
      </c>
      <c r="E5947" s="34" t="n">
        <v>2600</v>
      </c>
      <c r="F5947" t="inlineStr">
        <is>
          <t>B</t>
        </is>
      </c>
      <c r="G5947" s="34" t="n">
        <v>415</v>
      </c>
      <c r="H5947" s="34" t="n">
        <v>2185</v>
      </c>
      <c r="I5947" t="inlineStr">
        <is>
          <t>3.2</t>
        </is>
      </c>
      <c r="J5947" t="inlineStr">
        <is>
          <t>Ventas Personas (B2C)</t>
        </is>
      </c>
      <c r="K5947" t="inlineStr">
        <is>
          <t>CH2</t>
        </is>
      </c>
    </row>
    <row r="5948">
      <c r="A5948" s="33" t="n">
        <v>46100</v>
      </c>
      <c r="B5948" t="inlineStr">
        <is>
          <t>2026-03</t>
        </is>
      </c>
      <c r="C5948" t="inlineStr">
        <is>
          <t>Sin cliente</t>
        </is>
      </c>
      <c r="D5948" t="inlineStr">
        <is>
          <t>Rellenos</t>
        </is>
      </c>
      <c r="E5948" s="34" t="n">
        <v>25900</v>
      </c>
      <c r="F5948" t="inlineStr">
        <is>
          <t>B</t>
        </is>
      </c>
      <c r="G5948" s="34" t="n">
        <v>4135</v>
      </c>
      <c r="H5948" s="34" t="n">
        <v>21765</v>
      </c>
      <c r="I5948" t="inlineStr">
        <is>
          <t>3.2</t>
        </is>
      </c>
      <c r="J5948" t="inlineStr">
        <is>
          <t>Ventas Personas (B2C)</t>
        </is>
      </c>
      <c r="K5948" t="inlineStr">
        <is>
          <t>CH2</t>
        </is>
      </c>
    </row>
    <row r="5949">
      <c r="A5949" s="33" t="n">
        <v>46100</v>
      </c>
      <c r="B5949" t="inlineStr">
        <is>
          <t>2026-03</t>
        </is>
      </c>
      <c r="C5949" t="inlineStr">
        <is>
          <t>Sin cliente</t>
        </is>
      </c>
      <c r="D5949" t="inlineStr">
        <is>
          <t>Cafeteria Geronimo</t>
        </is>
      </c>
      <c r="E5949" s="34" t="n">
        <v>3200</v>
      </c>
      <c r="F5949" t="inlineStr">
        <is>
          <t>B</t>
        </is>
      </c>
      <c r="G5949" s="34" t="n">
        <v>511</v>
      </c>
      <c r="H5949" s="34" t="n">
        <v>2689</v>
      </c>
      <c r="I5949" t="inlineStr">
        <is>
          <t>3.2</t>
        </is>
      </c>
      <c r="J5949" t="inlineStr">
        <is>
          <t>Ventas Personas (B2C)</t>
        </is>
      </c>
      <c r="K5949" t="inlineStr">
        <is>
          <t>CH2</t>
        </is>
      </c>
    </row>
    <row r="5950">
      <c r="A5950" s="33" t="n">
        <v>46100</v>
      </c>
      <c r="B5950" t="inlineStr">
        <is>
          <t>2026-03</t>
        </is>
      </c>
      <c r="C5950" t="inlineStr">
        <is>
          <t>Sin cliente</t>
        </is>
      </c>
      <c r="D5950" t="inlineStr">
        <is>
          <t>CANELÉ TRADICIONAL</t>
        </is>
      </c>
      <c r="E5950" s="34" t="n">
        <v>2500</v>
      </c>
      <c r="F5950" t="inlineStr">
        <is>
          <t>B</t>
        </is>
      </c>
      <c r="G5950" s="34" t="n">
        <v>399</v>
      </c>
      <c r="H5950" s="34" t="n">
        <v>2101</v>
      </c>
      <c r="I5950" t="inlineStr">
        <is>
          <t>3.2</t>
        </is>
      </c>
      <c r="J5950" t="inlineStr">
        <is>
          <t>Ventas Personas (B2C)</t>
        </is>
      </c>
      <c r="K5950" t="inlineStr">
        <is>
          <t>CH2</t>
        </is>
      </c>
    </row>
    <row r="5951">
      <c r="A5951" s="33" t="n">
        <v>46100</v>
      </c>
      <c r="B5951" t="inlineStr">
        <is>
          <t>2026-03</t>
        </is>
      </c>
      <c r="C5951" t="inlineStr">
        <is>
          <t>Sin cliente</t>
        </is>
      </c>
      <c r="D5951" t="inlineStr">
        <is>
          <t>CANELÉ TRADICIONAL</t>
        </is>
      </c>
      <c r="E5951" s="34" t="n">
        <v>5000</v>
      </c>
      <c r="F5951" t="inlineStr">
        <is>
          <t>B</t>
        </is>
      </c>
      <c r="G5951" s="34" t="n">
        <v>798</v>
      </c>
      <c r="H5951" s="34" t="n">
        <v>4202</v>
      </c>
      <c r="I5951" t="inlineStr">
        <is>
          <t>3.2</t>
        </is>
      </c>
      <c r="J5951" t="inlineStr">
        <is>
          <t>Ventas Personas (B2C)</t>
        </is>
      </c>
      <c r="K5951" t="inlineStr">
        <is>
          <t>CH2</t>
        </is>
      </c>
    </row>
    <row r="5952">
      <c r="A5952" s="33" t="n">
        <v>46100</v>
      </c>
      <c r="B5952" t="inlineStr">
        <is>
          <t>2026-03</t>
        </is>
      </c>
      <c r="C5952" t="inlineStr">
        <is>
          <t>Sin cliente</t>
        </is>
      </c>
      <c r="D5952" t="inlineStr">
        <is>
          <t>Rellenos</t>
        </is>
      </c>
      <c r="E5952" s="34" t="n">
        <v>23900</v>
      </c>
      <c r="F5952" t="inlineStr">
        <is>
          <t>B</t>
        </is>
      </c>
      <c r="G5952" s="34" t="n">
        <v>3816</v>
      </c>
      <c r="H5952" s="34" t="n">
        <v>20084</v>
      </c>
      <c r="I5952" t="inlineStr">
        <is>
          <t>3.2</t>
        </is>
      </c>
      <c r="J5952" t="inlineStr">
        <is>
          <t>Ventas Personas (B2C)</t>
        </is>
      </c>
      <c r="K5952" t="inlineStr">
        <is>
          <t>CH2</t>
        </is>
      </c>
    </row>
    <row r="5953">
      <c r="A5953" s="33" t="n">
        <v>46100</v>
      </c>
      <c r="B5953" t="inlineStr">
        <is>
          <t>2026-03</t>
        </is>
      </c>
      <c r="C5953" t="inlineStr">
        <is>
          <t>Sin cliente</t>
        </is>
      </c>
      <c r="D5953" t="inlineStr">
        <is>
          <t>Rellenos</t>
        </is>
      </c>
      <c r="E5953" s="34" t="n">
        <v>25600</v>
      </c>
      <c r="F5953" t="inlineStr">
        <is>
          <t>B</t>
        </is>
      </c>
      <c r="G5953" s="34" t="n">
        <v>4087</v>
      </c>
      <c r="H5953" s="34" t="n">
        <v>21513</v>
      </c>
      <c r="I5953" t="inlineStr">
        <is>
          <t>3.2</t>
        </is>
      </c>
      <c r="J5953" t="inlineStr">
        <is>
          <t>Ventas Personas (B2C)</t>
        </is>
      </c>
      <c r="K5953" t="inlineStr">
        <is>
          <t>CH2</t>
        </is>
      </c>
    </row>
    <row r="5954">
      <c r="A5954" s="33" t="n">
        <v>46100</v>
      </c>
      <c r="B5954" t="inlineStr">
        <is>
          <t>2026-03</t>
        </is>
      </c>
      <c r="C5954" t="inlineStr">
        <is>
          <t>Sin cliente</t>
        </is>
      </c>
      <c r="D5954" t="inlineStr">
        <is>
          <t>PLATAFORMAS RAP-PEYA-UBER-GOOD</t>
        </is>
      </c>
      <c r="E5954" s="34" t="n">
        <v>16560</v>
      </c>
      <c r="F5954" t="inlineStr">
        <is>
          <t>B</t>
        </is>
      </c>
      <c r="G5954" s="34" t="n">
        <v>2644</v>
      </c>
      <c r="H5954" s="34" t="n">
        <v>13916</v>
      </c>
      <c r="I5954" t="inlineStr">
        <is>
          <t>3.6</t>
        </is>
      </c>
      <c r="J5954" t="inlineStr">
        <is>
          <t>Ventas Delivery Apps</t>
        </is>
      </c>
      <c r="K5954" t="inlineStr">
        <is>
          <t>CH3</t>
        </is>
      </c>
    </row>
    <row r="5955">
      <c r="A5955" s="33" t="n">
        <v>46100</v>
      </c>
      <c r="B5955" t="inlineStr">
        <is>
          <t>2026-03</t>
        </is>
      </c>
      <c r="C5955" t="inlineStr">
        <is>
          <t>Sin cliente</t>
        </is>
      </c>
      <c r="D5955" t="inlineStr">
        <is>
          <t>PLATAFORMAS RAP-PEYA-UBER-GOOD</t>
        </is>
      </c>
      <c r="E5955" s="34" t="n">
        <v>22680</v>
      </c>
      <c r="F5955" t="inlineStr">
        <is>
          <t>B</t>
        </is>
      </c>
      <c r="G5955" s="34" t="n">
        <v>3621</v>
      </c>
      <c r="H5955" s="34" t="n">
        <v>19059</v>
      </c>
      <c r="I5955" t="inlineStr">
        <is>
          <t>3.6</t>
        </is>
      </c>
      <c r="J5955" t="inlineStr">
        <is>
          <t>Ventas Delivery Apps</t>
        </is>
      </c>
      <c r="K5955" t="inlineStr">
        <is>
          <t>CH3</t>
        </is>
      </c>
    </row>
    <row r="5956">
      <c r="A5956" s="33" t="n">
        <v>46100</v>
      </c>
      <c r="B5956" t="inlineStr">
        <is>
          <t>2026-03</t>
        </is>
      </c>
      <c r="C5956" t="inlineStr">
        <is>
          <t>Sin cliente</t>
        </is>
      </c>
      <c r="D5956" t="inlineStr">
        <is>
          <t>PLATAFORMAS RAP-PEYA-UBER-GOOD</t>
        </is>
      </c>
      <c r="E5956" s="34" t="n">
        <v>19080</v>
      </c>
      <c r="F5956" t="inlineStr">
        <is>
          <t>B</t>
        </is>
      </c>
      <c r="G5956" s="34" t="n">
        <v>3046</v>
      </c>
      <c r="H5956" s="34" t="n">
        <v>16034</v>
      </c>
      <c r="I5956" t="inlineStr">
        <is>
          <t>3.6</t>
        </is>
      </c>
      <c r="J5956" t="inlineStr">
        <is>
          <t>Ventas Delivery Apps</t>
        </is>
      </c>
      <c r="K5956" t="inlineStr">
        <is>
          <t>CH3</t>
        </is>
      </c>
    </row>
    <row r="5957">
      <c r="A5957" s="33" t="n">
        <v>46100</v>
      </c>
      <c r="B5957" t="inlineStr">
        <is>
          <t>2026-03</t>
        </is>
      </c>
      <c r="C5957" t="inlineStr">
        <is>
          <t>Sin cliente</t>
        </is>
      </c>
      <c r="D5957" t="inlineStr">
        <is>
          <t>PLATAFORMAS RAP-PEYA-UBER-GOOD</t>
        </is>
      </c>
      <c r="E5957" s="34" t="n">
        <v>39480</v>
      </c>
      <c r="F5957" t="inlineStr">
        <is>
          <t>B</t>
        </is>
      </c>
      <c r="G5957" s="34" t="n">
        <v>6304</v>
      </c>
      <c r="H5957" s="34" t="n">
        <v>33176</v>
      </c>
      <c r="I5957" t="inlineStr">
        <is>
          <t>3.6</t>
        </is>
      </c>
      <c r="J5957" t="inlineStr">
        <is>
          <t>Ventas Delivery Apps</t>
        </is>
      </c>
      <c r="K5957" t="inlineStr">
        <is>
          <t>CH3</t>
        </is>
      </c>
    </row>
    <row r="5958">
      <c r="A5958" s="33" t="n">
        <v>46100</v>
      </c>
      <c r="B5958" t="inlineStr">
        <is>
          <t>2026-03</t>
        </is>
      </c>
      <c r="C5958" t="inlineStr">
        <is>
          <t>Sin cliente</t>
        </is>
      </c>
      <c r="D5958" t="inlineStr">
        <is>
          <t>PLATAFORMAS RAP-PEYA-UBER-GOOD</t>
        </is>
      </c>
      <c r="E5958" s="34" t="n">
        <v>29400</v>
      </c>
      <c r="F5958" t="inlineStr">
        <is>
          <t>B</t>
        </is>
      </c>
      <c r="G5958" s="34" t="n">
        <v>4694</v>
      </c>
      <c r="H5958" s="34" t="n">
        <v>24706</v>
      </c>
      <c r="I5958" t="inlineStr">
        <is>
          <t>3.6</t>
        </is>
      </c>
      <c r="J5958" t="inlineStr">
        <is>
          <t>Ventas Delivery Apps</t>
        </is>
      </c>
      <c r="K5958" t="inlineStr">
        <is>
          <t>CH3</t>
        </is>
      </c>
    </row>
    <row r="5959">
      <c r="A5959" s="33" t="n">
        <v>46100</v>
      </c>
      <c r="B5959" t="inlineStr">
        <is>
          <t>2026-03</t>
        </is>
      </c>
      <c r="C5959" t="inlineStr">
        <is>
          <t>Sin cliente</t>
        </is>
      </c>
      <c r="D5959" t="inlineStr">
        <is>
          <t>PLATAFORMAS RAP-PEYA-UBER-GOOD</t>
        </is>
      </c>
      <c r="E5959" s="34" t="n">
        <v>36960</v>
      </c>
      <c r="F5959" t="inlineStr">
        <is>
          <t>B</t>
        </is>
      </c>
      <c r="G5959" s="34" t="n">
        <v>5901</v>
      </c>
      <c r="H5959" s="34" t="n">
        <v>31059</v>
      </c>
      <c r="I5959" t="inlineStr">
        <is>
          <t>3.6</t>
        </is>
      </c>
      <c r="J5959" t="inlineStr">
        <is>
          <t>Ventas Delivery Apps</t>
        </is>
      </c>
      <c r="K5959" t="inlineStr">
        <is>
          <t>CH3</t>
        </is>
      </c>
    </row>
    <row r="5960">
      <c r="A5960" s="33" t="n">
        <v>46100</v>
      </c>
      <c r="B5960" t="inlineStr">
        <is>
          <t>2026-03</t>
        </is>
      </c>
      <c r="C5960" t="inlineStr">
        <is>
          <t>Sin cliente</t>
        </is>
      </c>
      <c r="D5960" t="inlineStr">
        <is>
          <t>PLATAFORMAS RAP-PEYA-UBER-GOOD</t>
        </is>
      </c>
      <c r="E5960" s="34" t="n">
        <v>38040</v>
      </c>
      <c r="F5960" t="inlineStr">
        <is>
          <t>B</t>
        </is>
      </c>
      <c r="G5960" s="34" t="n">
        <v>6074</v>
      </c>
      <c r="H5960" s="34" t="n">
        <v>31966</v>
      </c>
      <c r="I5960" t="inlineStr">
        <is>
          <t>3.6</t>
        </is>
      </c>
      <c r="J5960" t="inlineStr">
        <is>
          <t>Ventas Delivery Apps</t>
        </is>
      </c>
      <c r="K5960" t="inlineStr">
        <is>
          <t>CH3</t>
        </is>
      </c>
    </row>
    <row r="5961">
      <c r="A5961" s="33" t="n">
        <v>46100</v>
      </c>
      <c r="B5961" t="inlineStr">
        <is>
          <t>2026-03</t>
        </is>
      </c>
      <c r="C5961" t="inlineStr">
        <is>
          <t>Gail Rybertt</t>
        </is>
      </c>
      <c r="D5961" t="inlineStr">
        <is>
          <t>Petit Crunchy</t>
        </is>
      </c>
      <c r="E5961" s="34" t="n">
        <v>30390</v>
      </c>
      <c r="F5961" t="inlineStr">
        <is>
          <t>B</t>
        </is>
      </c>
      <c r="G5961" s="34" t="n">
        <v>4852</v>
      </c>
      <c r="H5961" s="34" t="n">
        <v>25538</v>
      </c>
      <c r="I5961" t="inlineStr">
        <is>
          <t>3.2</t>
        </is>
      </c>
      <c r="J5961" t="inlineStr">
        <is>
          <t>Ventas Personas (B2C)</t>
        </is>
      </c>
      <c r="K5961" t="inlineStr">
        <is>
          <t>CH2</t>
        </is>
      </c>
    </row>
    <row r="5962">
      <c r="A5962" s="33" t="n">
        <v>46100</v>
      </c>
      <c r="B5962" t="inlineStr">
        <is>
          <t>2026-03</t>
        </is>
      </c>
      <c r="C5962" t="inlineStr">
        <is>
          <t>Sharom  Carrera</t>
        </is>
      </c>
      <c r="D5962" t="inlineStr">
        <is>
          <t>Petit Crunchy</t>
        </is>
      </c>
      <c r="E5962" s="34" t="n">
        <v>25280</v>
      </c>
      <c r="F5962" t="inlineStr">
        <is>
          <t>B</t>
        </is>
      </c>
      <c r="G5962" s="34" t="n">
        <v>4036</v>
      </c>
      <c r="H5962" s="34" t="n">
        <v>21244</v>
      </c>
      <c r="I5962" t="inlineStr">
        <is>
          <t>3.2</t>
        </is>
      </c>
      <c r="J5962" t="inlineStr">
        <is>
          <t>Ventas Personas (B2C)</t>
        </is>
      </c>
      <c r="K5962" t="inlineStr">
        <is>
          <t>CH2</t>
        </is>
      </c>
    </row>
    <row r="5963">
      <c r="A5963" s="33" t="n">
        <v>46100</v>
      </c>
      <c r="B5963" t="inlineStr">
        <is>
          <t>2026-03</t>
        </is>
      </c>
      <c r="C5963" t="inlineStr">
        <is>
          <t>Sin cliente</t>
        </is>
      </c>
      <c r="D5963" t="inlineStr">
        <is>
          <t>PLATAFORMAS RAP-PEYA-UBER-GOOD</t>
        </is>
      </c>
      <c r="E5963" s="34" t="n">
        <v>20280</v>
      </c>
      <c r="F5963" t="inlineStr">
        <is>
          <t>B</t>
        </is>
      </c>
      <c r="G5963" s="34" t="n">
        <v>3238</v>
      </c>
      <c r="H5963" s="34" t="n">
        <v>17042</v>
      </c>
      <c r="I5963" t="inlineStr">
        <is>
          <t>3.6</t>
        </is>
      </c>
      <c r="J5963" t="inlineStr">
        <is>
          <t>Ventas Delivery Apps</t>
        </is>
      </c>
      <c r="K5963" t="inlineStr">
        <is>
          <t>CH3</t>
        </is>
      </c>
    </row>
    <row r="5964">
      <c r="A5964" s="33" t="n">
        <v>46101</v>
      </c>
      <c r="B5964" t="inlineStr">
        <is>
          <t>2026-03</t>
        </is>
      </c>
      <c r="C5964" t="inlineStr">
        <is>
          <t>Sociedad gastronómica L&amp;A Limitada</t>
        </is>
      </c>
      <c r="D5964" t="inlineStr">
        <is>
          <t>HORECA CAFETERIA</t>
        </is>
      </c>
      <c r="E5964" s="34" t="n">
        <v>71210</v>
      </c>
      <c r="F5964" t="inlineStr">
        <is>
          <t>F</t>
        </is>
      </c>
      <c r="G5964" s="34" t="n">
        <v>11370</v>
      </c>
      <c r="H5964" s="34" t="n">
        <v>59840</v>
      </c>
      <c r="I5964" t="inlineStr">
        <is>
          <t>3.1</t>
        </is>
      </c>
      <c r="J5964" t="inlineStr">
        <is>
          <t>Ventas HoReCa</t>
        </is>
      </c>
      <c r="K5964" t="inlineStr">
        <is>
          <t>CH1</t>
        </is>
      </c>
    </row>
    <row r="5965">
      <c r="A5965" s="33" t="n">
        <v>46101</v>
      </c>
      <c r="B5965" t="inlineStr">
        <is>
          <t>2026-03</t>
        </is>
      </c>
      <c r="C5965" t="inlineStr">
        <is>
          <t>GASTRONÃMICA MANGO GOURMET SPA</t>
        </is>
      </c>
      <c r="D5965" t="inlineStr">
        <is>
          <t>HORECA CATERING</t>
        </is>
      </c>
      <c r="E5965" s="34" t="n">
        <v>77707</v>
      </c>
      <c r="F5965" t="inlineStr">
        <is>
          <t>F</t>
        </is>
      </c>
      <c r="G5965" s="34" t="n">
        <v>12407</v>
      </c>
      <c r="H5965" s="34" t="n">
        <v>65300</v>
      </c>
      <c r="I5965" t="inlineStr">
        <is>
          <t>3.1</t>
        </is>
      </c>
      <c r="J5965" t="inlineStr">
        <is>
          <t>Ventas HoReCa</t>
        </is>
      </c>
      <c r="K5965" t="inlineStr">
        <is>
          <t>CH1</t>
        </is>
      </c>
    </row>
    <row r="5966">
      <c r="A5966" s="33" t="n">
        <v>46101</v>
      </c>
      <c r="B5966" t="inlineStr">
        <is>
          <t>2026-03</t>
        </is>
      </c>
      <c r="C5966" t="inlineStr">
        <is>
          <t>Eduardo Jose Spencer Eckart Spa</t>
        </is>
      </c>
      <c r="D5966" t="inlineStr">
        <is>
          <t>HORECA CAFETERIA</t>
        </is>
      </c>
      <c r="E5966" s="34" t="n">
        <v>64189</v>
      </c>
      <c r="F5966" t="inlineStr">
        <is>
          <t>F</t>
        </is>
      </c>
      <c r="G5966" s="34" t="n">
        <v>10249</v>
      </c>
      <c r="H5966" s="34" t="n">
        <v>53940</v>
      </c>
      <c r="I5966" t="inlineStr">
        <is>
          <t>3.1</t>
        </is>
      </c>
      <c r="J5966" t="inlineStr">
        <is>
          <t>Ventas HoReCa</t>
        </is>
      </c>
      <c r="K5966" t="inlineStr">
        <is>
          <t>CH1</t>
        </is>
      </c>
    </row>
    <row r="5967">
      <c r="A5967" s="33" t="n">
        <v>46101</v>
      </c>
      <c r="B5967" t="inlineStr">
        <is>
          <t>2026-03</t>
        </is>
      </c>
      <c r="C5967" t="inlineStr">
        <is>
          <t>CAFÉ UNDER SPA</t>
        </is>
      </c>
      <c r="D5967" t="inlineStr">
        <is>
          <t>HORECA CAFETERIA</t>
        </is>
      </c>
      <c r="E5967" s="34" t="n">
        <v>71210</v>
      </c>
      <c r="F5967" t="inlineStr">
        <is>
          <t>F</t>
        </is>
      </c>
      <c r="G5967" s="34" t="n">
        <v>11370</v>
      </c>
      <c r="H5967" s="34" t="n">
        <v>59840</v>
      </c>
      <c r="I5967" t="inlineStr">
        <is>
          <t>3.1</t>
        </is>
      </c>
      <c r="J5967" t="inlineStr">
        <is>
          <t>Ventas HoReCa</t>
        </is>
      </c>
      <c r="K5967" t="inlineStr">
        <is>
          <t>CH1</t>
        </is>
      </c>
    </row>
    <row r="5968">
      <c r="A5968" s="33" t="n">
        <v>46101</v>
      </c>
      <c r="B5968" t="inlineStr">
        <is>
          <t>2026-03</t>
        </is>
      </c>
      <c r="C5968" t="inlineStr">
        <is>
          <t>BUSTORF LARSEN Y COMPANIA LIMITADA</t>
        </is>
      </c>
      <c r="D5968" t="inlineStr">
        <is>
          <t>HORECA CAFETERIA</t>
        </is>
      </c>
      <c r="E5968" s="34" t="n">
        <v>71210</v>
      </c>
      <c r="F5968" t="inlineStr">
        <is>
          <t>F</t>
        </is>
      </c>
      <c r="G5968" s="34" t="n">
        <v>11370</v>
      </c>
      <c r="H5968" s="34" t="n">
        <v>59840</v>
      </c>
      <c r="I5968" t="inlineStr">
        <is>
          <t>3.1</t>
        </is>
      </c>
      <c r="J5968" t="inlineStr">
        <is>
          <t>Ventas HoReCa</t>
        </is>
      </c>
      <c r="K5968" t="inlineStr">
        <is>
          <t>CH1</t>
        </is>
      </c>
    </row>
    <row r="5969">
      <c r="A5969" s="33" t="n">
        <v>46101</v>
      </c>
      <c r="B5969" t="inlineStr">
        <is>
          <t>2026-03</t>
        </is>
      </c>
      <c r="C5969" t="inlineStr">
        <is>
          <t>CUATROTRESTRES CAFÉ SPA</t>
        </is>
      </c>
      <c r="D5969" t="inlineStr">
        <is>
          <t>HORECA CAFETERIA</t>
        </is>
      </c>
      <c r="E5969" s="34" t="n">
        <v>232693</v>
      </c>
      <c r="F5969" t="inlineStr">
        <is>
          <t>F</t>
        </is>
      </c>
      <c r="G5969" s="34" t="n">
        <v>37153</v>
      </c>
      <c r="H5969" s="34" t="n">
        <v>195540</v>
      </c>
      <c r="I5969" t="inlineStr">
        <is>
          <t>3.1</t>
        </is>
      </c>
      <c r="J5969" t="inlineStr">
        <is>
          <t>Ventas HoReCa</t>
        </is>
      </c>
      <c r="K5969" t="inlineStr">
        <is>
          <t>CH1</t>
        </is>
      </c>
    </row>
    <row r="5970">
      <c r="A5970" s="33" t="n">
        <v>46101</v>
      </c>
      <c r="B5970" t="inlineStr">
        <is>
          <t>2026-03</t>
        </is>
      </c>
      <c r="C5970" t="inlineStr">
        <is>
          <t>DIEGO VARGAS BANQUETERIA Y EVENTOS SPA</t>
        </is>
      </c>
      <c r="D5970" t="inlineStr">
        <is>
          <t>HORECA CATERING</t>
        </is>
      </c>
      <c r="E5970" s="34" t="n">
        <v>221459</v>
      </c>
      <c r="F5970" t="inlineStr">
        <is>
          <t>F</t>
        </is>
      </c>
      <c r="G5970" s="34" t="n">
        <v>35359</v>
      </c>
      <c r="H5970" s="34" t="n">
        <v>186100</v>
      </c>
      <c r="I5970" t="inlineStr">
        <is>
          <t>3.1</t>
        </is>
      </c>
      <c r="J5970" t="inlineStr">
        <is>
          <t>Ventas HoReCa</t>
        </is>
      </c>
      <c r="K5970" t="inlineStr">
        <is>
          <t>CH1</t>
        </is>
      </c>
    </row>
    <row r="5971">
      <c r="A5971" s="33" t="n">
        <v>46101</v>
      </c>
      <c r="B5971" t="inlineStr">
        <is>
          <t>2026-03</t>
        </is>
      </c>
      <c r="C5971" t="inlineStr">
        <is>
          <t>GASTRONÃMICA MANGO GOURMET SPA</t>
        </is>
      </c>
      <c r="D5971" t="inlineStr">
        <is>
          <t>HORECA CATERING</t>
        </is>
      </c>
      <c r="E5971" s="34" t="n">
        <v>-77707</v>
      </c>
      <c r="F5971" t="inlineStr">
        <is>
          <t>NC</t>
        </is>
      </c>
      <c r="G5971" s="34" t="n">
        <v>-12407</v>
      </c>
      <c r="H5971" s="34" t="n">
        <v>-65300</v>
      </c>
      <c r="I5971" t="inlineStr">
        <is>
          <t>3.1</t>
        </is>
      </c>
      <c r="J5971" t="inlineStr">
        <is>
          <t>Ventas HoReCa</t>
        </is>
      </c>
      <c r="K5971" t="inlineStr">
        <is>
          <t>CH1</t>
        </is>
      </c>
    </row>
    <row r="5972">
      <c r="A5972" s="33" t="n">
        <v>46101</v>
      </c>
      <c r="B5972" t="inlineStr">
        <is>
          <t>2026-03</t>
        </is>
      </c>
      <c r="C5972" t="inlineStr">
        <is>
          <t>LYC Abogados SPA</t>
        </is>
      </c>
      <c r="D5972" t="inlineStr">
        <is>
          <t>HORECA CATERING</t>
        </is>
      </c>
      <c r="E5972" s="34" t="n">
        <v>77707</v>
      </c>
      <c r="F5972" t="inlineStr">
        <is>
          <t>F</t>
        </is>
      </c>
      <c r="G5972" s="34" t="n">
        <v>12407</v>
      </c>
      <c r="H5972" s="34" t="n">
        <v>65300</v>
      </c>
      <c r="I5972" t="inlineStr">
        <is>
          <t>3.1</t>
        </is>
      </c>
      <c r="J5972" t="inlineStr">
        <is>
          <t>Ventas HoReCa</t>
        </is>
      </c>
      <c r="K5972" t="inlineStr">
        <is>
          <t>CH1</t>
        </is>
      </c>
    </row>
    <row r="5973">
      <c r="A5973" s="33" t="n">
        <v>46101</v>
      </c>
      <c r="B5973" t="inlineStr">
        <is>
          <t>2026-03</t>
        </is>
      </c>
      <c r="C5973" t="inlineStr">
        <is>
          <t>Macarena Briones</t>
        </is>
      </c>
      <c r="D5973" t="inlineStr">
        <is>
          <t>Petit Tradicional</t>
        </is>
      </c>
      <c r="E5973" s="34" t="n">
        <v>19290</v>
      </c>
      <c r="F5973" t="inlineStr">
        <is>
          <t>B</t>
        </is>
      </c>
      <c r="G5973" s="34" t="n">
        <v>3080</v>
      </c>
      <c r="H5973" s="34" t="n">
        <v>16210</v>
      </c>
      <c r="I5973" t="inlineStr">
        <is>
          <t>3.2</t>
        </is>
      </c>
      <c r="J5973" t="inlineStr">
        <is>
          <t>Ventas Personas (B2C)</t>
        </is>
      </c>
      <c r="K5973" t="inlineStr">
        <is>
          <t>CH2</t>
        </is>
      </c>
    </row>
    <row r="5974">
      <c r="A5974" s="33" t="n">
        <v>46101</v>
      </c>
      <c r="B5974" t="inlineStr">
        <is>
          <t>2026-03</t>
        </is>
      </c>
      <c r="C5974" t="inlineStr">
        <is>
          <t>Ignacia Flores Sittler</t>
        </is>
      </c>
      <c r="D5974" t="inlineStr">
        <is>
          <t>Rellenos</t>
        </is>
      </c>
      <c r="E5974" s="34" t="n">
        <v>41290</v>
      </c>
      <c r="F5974" t="inlineStr">
        <is>
          <t>B</t>
        </is>
      </c>
      <c r="G5974" s="34" t="n">
        <v>6593</v>
      </c>
      <c r="H5974" s="34" t="n">
        <v>34697</v>
      </c>
      <c r="I5974" t="inlineStr">
        <is>
          <t>3.2</t>
        </is>
      </c>
      <c r="J5974" t="inlineStr">
        <is>
          <t>Ventas Personas (B2C)</t>
        </is>
      </c>
      <c r="K5974" t="inlineStr">
        <is>
          <t>CH2</t>
        </is>
      </c>
    </row>
    <row r="5975">
      <c r="A5975" s="33" t="n">
        <v>46101</v>
      </c>
      <c r="B5975" t="inlineStr">
        <is>
          <t>2026-03</t>
        </is>
      </c>
      <c r="C5975" t="inlineStr">
        <is>
          <t>Aníbal Echenique Díaz</t>
        </is>
      </c>
      <c r="D5975" t="inlineStr">
        <is>
          <t>Petit Crunchy</t>
        </is>
      </c>
      <c r="E5975" s="34" t="n">
        <v>18900</v>
      </c>
      <c r="F5975" t="inlineStr">
        <is>
          <t>B</t>
        </is>
      </c>
      <c r="G5975" s="34" t="n">
        <v>3018</v>
      </c>
      <c r="H5975" s="34" t="n">
        <v>15882</v>
      </c>
      <c r="I5975" t="inlineStr">
        <is>
          <t>3.2</t>
        </is>
      </c>
      <c r="J5975" t="inlineStr">
        <is>
          <t>Ventas Personas (B2C)</t>
        </is>
      </c>
      <c r="K5975" t="inlineStr">
        <is>
          <t>CH2</t>
        </is>
      </c>
    </row>
    <row r="5976">
      <c r="A5976" s="33" t="n">
        <v>46101</v>
      </c>
      <c r="B5976" t="inlineStr">
        <is>
          <t>2026-03</t>
        </is>
      </c>
      <c r="C5976" t="inlineStr">
        <is>
          <t>Paula Acevedo</t>
        </is>
      </c>
      <c r="D5976" t="inlineStr">
        <is>
          <t>Petit Crunchy</t>
        </is>
      </c>
      <c r="E5976" s="34" t="n">
        <v>42190</v>
      </c>
      <c r="F5976" t="inlineStr">
        <is>
          <t>B</t>
        </is>
      </c>
      <c r="G5976" s="34" t="n">
        <v>6736</v>
      </c>
      <c r="H5976" s="34" t="n">
        <v>35454</v>
      </c>
      <c r="I5976" t="inlineStr">
        <is>
          <t>3.2</t>
        </is>
      </c>
      <c r="J5976" t="inlineStr">
        <is>
          <t>Ventas Personas (B2C)</t>
        </is>
      </c>
      <c r="K5976" t="inlineStr">
        <is>
          <t>CH2</t>
        </is>
      </c>
    </row>
    <row r="5977">
      <c r="A5977" s="33" t="n">
        <v>46101</v>
      </c>
      <c r="B5977" t="inlineStr">
        <is>
          <t>2026-03</t>
        </is>
      </c>
      <c r="C5977" t="inlineStr">
        <is>
          <t>the capital coffee spa</t>
        </is>
      </c>
      <c r="D5977" t="inlineStr">
        <is>
          <t>HORECA CAFETERIA</t>
        </is>
      </c>
      <c r="E5977" s="34" t="n">
        <v>231079</v>
      </c>
      <c r="F5977" t="inlineStr">
        <is>
          <t>F</t>
        </is>
      </c>
      <c r="G5977" s="34" t="n">
        <v>36895</v>
      </c>
      <c r="H5977" s="34" t="n">
        <v>194184</v>
      </c>
      <c r="I5977" t="inlineStr">
        <is>
          <t>3.1</t>
        </is>
      </c>
      <c r="J5977" t="inlineStr">
        <is>
          <t>Ventas HoReCa</t>
        </is>
      </c>
      <c r="K5977" t="inlineStr">
        <is>
          <t>CH1</t>
        </is>
      </c>
    </row>
    <row r="5978">
      <c r="A5978" s="33" t="n">
        <v>46101</v>
      </c>
      <c r="B5978" t="inlineStr">
        <is>
          <t>2026-03</t>
        </is>
      </c>
      <c r="C5978" t="inlineStr">
        <is>
          <t>Quintana&amp;Rivera SpA</t>
        </is>
      </c>
      <c r="D5978" t="inlineStr">
        <is>
          <t>HORECA CAFETERIA</t>
        </is>
      </c>
      <c r="E5978" s="34" t="n">
        <v>71210</v>
      </c>
      <c r="F5978" t="inlineStr">
        <is>
          <t>F</t>
        </is>
      </c>
      <c r="G5978" s="34" t="n">
        <v>11370</v>
      </c>
      <c r="H5978" s="34" t="n">
        <v>59840</v>
      </c>
      <c r="I5978" t="inlineStr">
        <is>
          <t>3.1</t>
        </is>
      </c>
      <c r="J5978" t="inlineStr">
        <is>
          <t>Ventas HoReCa</t>
        </is>
      </c>
      <c r="K5978" t="inlineStr">
        <is>
          <t>CH1</t>
        </is>
      </c>
    </row>
    <row r="5979">
      <c r="A5979" s="33" t="n">
        <v>46101</v>
      </c>
      <c r="B5979" t="inlineStr">
        <is>
          <t>2026-03</t>
        </is>
      </c>
      <c r="C5979" t="inlineStr">
        <is>
          <t>Agustina Piddo</t>
        </is>
      </c>
      <c r="D5979" t="inlineStr">
        <is>
          <t>Petit Tradicional</t>
        </is>
      </c>
      <c r="E5979" s="34" t="n">
        <v>25290</v>
      </c>
      <c r="F5979" t="inlineStr">
        <is>
          <t>B</t>
        </is>
      </c>
      <c r="G5979" s="34" t="n">
        <v>4038</v>
      </c>
      <c r="H5979" s="34" t="n">
        <v>21252</v>
      </c>
      <c r="I5979" t="inlineStr">
        <is>
          <t>3.2</t>
        </is>
      </c>
      <c r="J5979" t="inlineStr">
        <is>
          <t>Ventas Personas (B2C)</t>
        </is>
      </c>
      <c r="K5979" t="inlineStr">
        <is>
          <t>CH2</t>
        </is>
      </c>
    </row>
    <row r="5980">
      <c r="A5980" s="33" t="n">
        <v>46101</v>
      </c>
      <c r="B5980" t="inlineStr">
        <is>
          <t>2026-03</t>
        </is>
      </c>
      <c r="C5980" t="inlineStr">
        <is>
          <t>Inversiones Las Urbinas SpA</t>
        </is>
      </c>
      <c r="D5980" t="inlineStr">
        <is>
          <t>HORECA CAFETERIA</t>
        </is>
      </c>
      <c r="E5980" s="34" t="n">
        <v>96283</v>
      </c>
      <c r="F5980" t="inlineStr">
        <is>
          <t>F</t>
        </is>
      </c>
      <c r="G5980" s="34" t="n">
        <v>15373</v>
      </c>
      <c r="H5980" s="34" t="n">
        <v>80910</v>
      </c>
      <c r="I5980" t="inlineStr">
        <is>
          <t>3.1</t>
        </is>
      </c>
      <c r="J5980" t="inlineStr">
        <is>
          <t>Ventas HoReCa</t>
        </is>
      </c>
      <c r="K5980" t="inlineStr">
        <is>
          <t>CH1</t>
        </is>
      </c>
    </row>
    <row r="5981">
      <c r="A5981" s="33" t="n">
        <v>46101</v>
      </c>
      <c r="B5981" t="inlineStr">
        <is>
          <t>2026-03</t>
        </is>
      </c>
      <c r="C5981" t="inlineStr">
        <is>
          <t>Sin cliente</t>
        </is>
      </c>
      <c r="D5981" t="inlineStr">
        <is>
          <t>Rellenos</t>
        </is>
      </c>
      <c r="E5981" s="34" t="n">
        <v>3500</v>
      </c>
      <c r="F5981" t="inlineStr">
        <is>
          <t>B</t>
        </is>
      </c>
      <c r="G5981" s="34" t="n">
        <v>559</v>
      </c>
      <c r="H5981" s="34" t="n">
        <v>2941</v>
      </c>
      <c r="I5981" t="inlineStr">
        <is>
          <t>3.2</t>
        </is>
      </c>
      <c r="J5981" t="inlineStr">
        <is>
          <t>Ventas Personas (B2C)</t>
        </is>
      </c>
      <c r="K5981" t="inlineStr">
        <is>
          <t>CH2</t>
        </is>
      </c>
    </row>
    <row r="5982">
      <c r="A5982" s="33" t="n">
        <v>46101</v>
      </c>
      <c r="B5982" t="inlineStr">
        <is>
          <t>2026-03</t>
        </is>
      </c>
      <c r="C5982" t="inlineStr">
        <is>
          <t>Sin cliente</t>
        </is>
      </c>
      <c r="D5982" t="inlineStr">
        <is>
          <t>Delicatessen</t>
        </is>
      </c>
      <c r="E5982" s="34" t="n">
        <v>26900</v>
      </c>
      <c r="F5982" t="inlineStr">
        <is>
          <t>B</t>
        </is>
      </c>
      <c r="G5982" s="34" t="n">
        <v>4295</v>
      </c>
      <c r="H5982" s="34" t="n">
        <v>22605</v>
      </c>
      <c r="I5982" t="inlineStr">
        <is>
          <t>3.2</t>
        </is>
      </c>
      <c r="J5982" t="inlineStr">
        <is>
          <t>Ventas Personas (B2C)</t>
        </is>
      </c>
      <c r="K5982" t="inlineStr">
        <is>
          <t>CH2</t>
        </is>
      </c>
    </row>
    <row r="5983">
      <c r="A5983" s="33" t="n">
        <v>46101</v>
      </c>
      <c r="B5983" t="inlineStr">
        <is>
          <t>2026-03</t>
        </is>
      </c>
      <c r="C5983" t="inlineStr">
        <is>
          <t>Sin cliente</t>
        </is>
      </c>
      <c r="D5983" t="inlineStr">
        <is>
          <t>CANELÉ TRADICIONAL</t>
        </is>
      </c>
      <c r="E5983" s="34" t="n">
        <v>22390</v>
      </c>
      <c r="F5983" t="inlineStr">
        <is>
          <t>B</t>
        </is>
      </c>
      <c r="G5983" s="34" t="n">
        <v>3575</v>
      </c>
      <c r="H5983" s="34" t="n">
        <v>18815</v>
      </c>
      <c r="I5983" t="inlineStr">
        <is>
          <t>3.2</t>
        </is>
      </c>
      <c r="J5983" t="inlineStr">
        <is>
          <t>Ventas Personas (B2C)</t>
        </is>
      </c>
      <c r="K5983" t="inlineStr">
        <is>
          <t>CH2</t>
        </is>
      </c>
    </row>
    <row r="5984">
      <c r="A5984" s="33" t="n">
        <v>46101</v>
      </c>
      <c r="B5984" t="inlineStr">
        <is>
          <t>2026-03</t>
        </is>
      </c>
      <c r="C5984" t="inlineStr">
        <is>
          <t>Sin cliente</t>
        </is>
      </c>
      <c r="D5984" t="inlineStr">
        <is>
          <t>PACKAGING</t>
        </is>
      </c>
      <c r="E5984" s="34" t="n">
        <v>43300</v>
      </c>
      <c r="F5984" t="inlineStr">
        <is>
          <t>B</t>
        </is>
      </c>
      <c r="G5984" s="34" t="n">
        <v>6913</v>
      </c>
      <c r="H5984" s="34" t="n">
        <v>36387</v>
      </c>
      <c r="I5984" t="inlineStr">
        <is>
          <t>3.2</t>
        </is>
      </c>
      <c r="J5984" t="inlineStr">
        <is>
          <t>Ventas Personas (B2C)</t>
        </is>
      </c>
      <c r="K5984" t="inlineStr">
        <is>
          <t>CH2</t>
        </is>
      </c>
    </row>
    <row r="5985">
      <c r="A5985" s="33" t="n">
        <v>46101</v>
      </c>
      <c r="B5985" t="inlineStr">
        <is>
          <t>2026-03</t>
        </is>
      </c>
      <c r="C5985" t="inlineStr">
        <is>
          <t>Sin cliente</t>
        </is>
      </c>
      <c r="D5985" t="inlineStr">
        <is>
          <t>PLATAFORMAS RAP-PEYA-UBER-GOOD</t>
        </is>
      </c>
      <c r="E5985" s="34" t="n">
        <v>11760</v>
      </c>
      <c r="F5985" t="inlineStr">
        <is>
          <t>B</t>
        </is>
      </c>
      <c r="G5985" s="34" t="n">
        <v>1878</v>
      </c>
      <c r="H5985" s="34" t="n">
        <v>9882</v>
      </c>
      <c r="I5985" t="inlineStr">
        <is>
          <t>3.6</t>
        </is>
      </c>
      <c r="J5985" t="inlineStr">
        <is>
          <t>Ventas Delivery Apps</t>
        </is>
      </c>
      <c r="K5985" t="inlineStr">
        <is>
          <t>CH3</t>
        </is>
      </c>
    </row>
    <row r="5986">
      <c r="A5986" s="33" t="n">
        <v>46101</v>
      </c>
      <c r="B5986" t="inlineStr">
        <is>
          <t>2026-03</t>
        </is>
      </c>
      <c r="C5986" t="inlineStr">
        <is>
          <t>Sin cliente</t>
        </is>
      </c>
      <c r="D5986" t="inlineStr">
        <is>
          <t>PLATAFORMAS RAP-PEYA-UBER-GOOD</t>
        </is>
      </c>
      <c r="E5986" s="34" t="n">
        <v>17880</v>
      </c>
      <c r="F5986" t="inlineStr">
        <is>
          <t>B</t>
        </is>
      </c>
      <c r="G5986" s="34" t="n">
        <v>2855</v>
      </c>
      <c r="H5986" s="34" t="n">
        <v>15025</v>
      </c>
      <c r="I5986" t="inlineStr">
        <is>
          <t>3.6</t>
        </is>
      </c>
      <c r="J5986" t="inlineStr">
        <is>
          <t>Ventas Delivery Apps</t>
        </is>
      </c>
      <c r="K5986" t="inlineStr">
        <is>
          <t>CH3</t>
        </is>
      </c>
    </row>
    <row r="5987">
      <c r="A5987" s="33" t="n">
        <v>46101</v>
      </c>
      <c r="B5987" t="inlineStr">
        <is>
          <t>2026-03</t>
        </is>
      </c>
      <c r="C5987" t="inlineStr">
        <is>
          <t>Sin cliente</t>
        </is>
      </c>
      <c r="D5987" t="inlineStr">
        <is>
          <t>Petit Tradicional</t>
        </is>
      </c>
      <c r="E5987" s="34" t="n">
        <v>31800</v>
      </c>
      <c r="F5987" t="inlineStr">
        <is>
          <t>B</t>
        </is>
      </c>
      <c r="G5987" s="34" t="n">
        <v>5077</v>
      </c>
      <c r="H5987" s="34" t="n">
        <v>26723</v>
      </c>
      <c r="I5987" t="inlineStr">
        <is>
          <t>3.2</t>
        </is>
      </c>
      <c r="J5987" t="inlineStr">
        <is>
          <t>Ventas Personas (B2C)</t>
        </is>
      </c>
      <c r="K5987" t="inlineStr">
        <is>
          <t>CH2</t>
        </is>
      </c>
    </row>
    <row r="5988">
      <c r="A5988" s="33" t="n">
        <v>46101</v>
      </c>
      <c r="B5988" t="inlineStr">
        <is>
          <t>2026-03</t>
        </is>
      </c>
      <c r="C5988" t="inlineStr">
        <is>
          <t>Sin cliente</t>
        </is>
      </c>
      <c r="D5988" t="inlineStr">
        <is>
          <t>Rellenos</t>
        </is>
      </c>
      <c r="E5988" s="34" t="n">
        <v>29700</v>
      </c>
      <c r="F5988" t="inlineStr">
        <is>
          <t>B</t>
        </is>
      </c>
      <c r="G5988" s="34" t="n">
        <v>4742</v>
      </c>
      <c r="H5988" s="34" t="n">
        <v>24958</v>
      </c>
      <c r="I5988" t="inlineStr">
        <is>
          <t>3.2</t>
        </is>
      </c>
      <c r="J5988" t="inlineStr">
        <is>
          <t>Ventas Personas (B2C)</t>
        </is>
      </c>
      <c r="K5988" t="inlineStr">
        <is>
          <t>CH2</t>
        </is>
      </c>
    </row>
    <row r="5989">
      <c r="A5989" s="33" t="n">
        <v>46101</v>
      </c>
      <c r="B5989" t="inlineStr">
        <is>
          <t>2026-03</t>
        </is>
      </c>
      <c r="C5989" t="inlineStr">
        <is>
          <t>Sin cliente</t>
        </is>
      </c>
      <c r="D5989" t="inlineStr">
        <is>
          <t>Rellenos</t>
        </is>
      </c>
      <c r="E5989" s="34" t="n">
        <v>19800</v>
      </c>
      <c r="F5989" t="inlineStr">
        <is>
          <t>B</t>
        </is>
      </c>
      <c r="G5989" s="34" t="n">
        <v>3161</v>
      </c>
      <c r="H5989" s="34" t="n">
        <v>16639</v>
      </c>
      <c r="I5989" t="inlineStr">
        <is>
          <t>3.2</t>
        </is>
      </c>
      <c r="J5989" t="inlineStr">
        <is>
          <t>Ventas Personas (B2C)</t>
        </is>
      </c>
      <c r="K5989" t="inlineStr">
        <is>
          <t>CH2</t>
        </is>
      </c>
    </row>
    <row r="5990">
      <c r="A5990" s="33" t="n">
        <v>46101</v>
      </c>
      <c r="B5990" t="inlineStr">
        <is>
          <t>2026-03</t>
        </is>
      </c>
      <c r="C5990" t="inlineStr">
        <is>
          <t>Sin cliente</t>
        </is>
      </c>
      <c r="D5990" t="inlineStr">
        <is>
          <t>PLATAFORMAS RAP-PEYA-UBER-GOOD</t>
        </is>
      </c>
      <c r="E5990" s="34" t="n">
        <v>26160</v>
      </c>
      <c r="F5990" t="inlineStr">
        <is>
          <t>B</t>
        </is>
      </c>
      <c r="G5990" s="34" t="n">
        <v>4177</v>
      </c>
      <c r="H5990" s="34" t="n">
        <v>21983</v>
      </c>
      <c r="I5990" t="inlineStr">
        <is>
          <t>3.6</t>
        </is>
      </c>
      <c r="J5990" t="inlineStr">
        <is>
          <t>Ventas Delivery Apps</t>
        </is>
      </c>
      <c r="K5990" t="inlineStr">
        <is>
          <t>CH3</t>
        </is>
      </c>
    </row>
    <row r="5991">
      <c r="A5991" s="33" t="n">
        <v>46101</v>
      </c>
      <c r="B5991" t="inlineStr">
        <is>
          <t>2026-03</t>
        </is>
      </c>
      <c r="C5991" t="inlineStr">
        <is>
          <t>Sin cliente</t>
        </is>
      </c>
      <c r="D5991" t="inlineStr">
        <is>
          <t>PLATAFORMAS RAP-PEYA-UBER-GOOD</t>
        </is>
      </c>
      <c r="E5991" s="34" t="n">
        <v>32280</v>
      </c>
      <c r="F5991" t="inlineStr">
        <is>
          <t>B</t>
        </is>
      </c>
      <c r="G5991" s="34" t="n">
        <v>5154</v>
      </c>
      <c r="H5991" s="34" t="n">
        <v>27126</v>
      </c>
      <c r="I5991" t="inlineStr">
        <is>
          <t>3.6</t>
        </is>
      </c>
      <c r="J5991" t="inlineStr">
        <is>
          <t>Ventas Delivery Apps</t>
        </is>
      </c>
      <c r="K5991" t="inlineStr">
        <is>
          <t>CH3</t>
        </is>
      </c>
    </row>
    <row r="5992">
      <c r="A5992" s="33" t="n">
        <v>46101</v>
      </c>
      <c r="B5992" t="inlineStr">
        <is>
          <t>2026-03</t>
        </is>
      </c>
      <c r="C5992" t="inlineStr">
        <is>
          <t>Sin cliente</t>
        </is>
      </c>
      <c r="D5992" t="inlineStr">
        <is>
          <t>PLATAFORMAS RAP-PEYA-UBER-GOOD</t>
        </is>
      </c>
      <c r="E5992" s="34" t="n">
        <v>31680</v>
      </c>
      <c r="F5992" t="inlineStr">
        <is>
          <t>B</t>
        </is>
      </c>
      <c r="G5992" s="34" t="n">
        <v>5058</v>
      </c>
      <c r="H5992" s="34" t="n">
        <v>26622</v>
      </c>
      <c r="I5992" t="inlineStr">
        <is>
          <t>3.6</t>
        </is>
      </c>
      <c r="J5992" t="inlineStr">
        <is>
          <t>Ventas Delivery Apps</t>
        </is>
      </c>
      <c r="K5992" t="inlineStr">
        <is>
          <t>CH3</t>
        </is>
      </c>
    </row>
    <row r="5993">
      <c r="A5993" s="33" t="n">
        <v>46101</v>
      </c>
      <c r="B5993" t="inlineStr">
        <is>
          <t>2026-03</t>
        </is>
      </c>
      <c r="C5993" t="inlineStr">
        <is>
          <t>Sin cliente</t>
        </is>
      </c>
      <c r="D5993" t="inlineStr">
        <is>
          <t>Rellenos</t>
        </is>
      </c>
      <c r="E5993" s="34" t="n">
        <v>20800</v>
      </c>
      <c r="F5993" t="inlineStr">
        <is>
          <t>B</t>
        </is>
      </c>
      <c r="G5993" s="34" t="n">
        <v>3321</v>
      </c>
      <c r="H5993" s="34" t="n">
        <v>17479</v>
      </c>
      <c r="I5993" t="inlineStr">
        <is>
          <t>3.2</t>
        </is>
      </c>
      <c r="J5993" t="inlineStr">
        <is>
          <t>Ventas Personas (B2C)</t>
        </is>
      </c>
      <c r="K5993" t="inlineStr">
        <is>
          <t>CH2</t>
        </is>
      </c>
    </row>
    <row r="5994">
      <c r="A5994" s="33" t="n">
        <v>46101</v>
      </c>
      <c r="B5994" t="inlineStr">
        <is>
          <t>2026-03</t>
        </is>
      </c>
      <c r="C5994" t="inlineStr">
        <is>
          <t>Sin cliente</t>
        </is>
      </c>
      <c r="D5994" t="inlineStr">
        <is>
          <t>Petit Crunchy</t>
        </is>
      </c>
      <c r="E5994" s="34" t="n">
        <v>36800</v>
      </c>
      <c r="F5994" t="inlineStr">
        <is>
          <t>B</t>
        </is>
      </c>
      <c r="G5994" s="34" t="n">
        <v>5876</v>
      </c>
      <c r="H5994" s="34" t="n">
        <v>30924</v>
      </c>
      <c r="I5994" t="inlineStr">
        <is>
          <t>3.2</t>
        </is>
      </c>
      <c r="J5994" t="inlineStr">
        <is>
          <t>Ventas Personas (B2C)</t>
        </is>
      </c>
      <c r="K5994" t="inlineStr">
        <is>
          <t>CH2</t>
        </is>
      </c>
    </row>
    <row r="5995">
      <c r="A5995" s="33" t="n">
        <v>46101</v>
      </c>
      <c r="B5995" t="inlineStr">
        <is>
          <t>2026-03</t>
        </is>
      </c>
      <c r="C5995" t="inlineStr">
        <is>
          <t>Sin cliente</t>
        </is>
      </c>
      <c r="D5995" t="inlineStr">
        <is>
          <t>Rellenos</t>
        </is>
      </c>
      <c r="E5995" s="34" t="n">
        <v>36000</v>
      </c>
      <c r="F5995" t="inlineStr">
        <is>
          <t>B</t>
        </is>
      </c>
      <c r="G5995" s="34" t="n">
        <v>5748</v>
      </c>
      <c r="H5995" s="34" t="n">
        <v>30252</v>
      </c>
      <c r="I5995" t="inlineStr">
        <is>
          <t>3.2</t>
        </is>
      </c>
      <c r="J5995" t="inlineStr">
        <is>
          <t>Ventas Personas (B2C)</t>
        </is>
      </c>
      <c r="K5995" t="inlineStr">
        <is>
          <t>CH2</t>
        </is>
      </c>
    </row>
    <row r="5996">
      <c r="A5996" s="33" t="n">
        <v>46101</v>
      </c>
      <c r="B5996" t="inlineStr">
        <is>
          <t>2026-03</t>
        </is>
      </c>
      <c r="C5996" t="inlineStr">
        <is>
          <t>Sin cliente</t>
        </is>
      </c>
      <c r="D5996" t="inlineStr">
        <is>
          <t>Petit Crunchy</t>
        </is>
      </c>
      <c r="E5996" s="34" t="n">
        <v>22865</v>
      </c>
      <c r="F5996" t="inlineStr">
        <is>
          <t>B</t>
        </is>
      </c>
      <c r="G5996" s="34" t="n">
        <v>3651</v>
      </c>
      <c r="H5996" s="34" t="n">
        <v>19214</v>
      </c>
      <c r="I5996" t="inlineStr">
        <is>
          <t>3.2</t>
        </is>
      </c>
      <c r="J5996" t="inlineStr">
        <is>
          <t>Ventas Personas (B2C)</t>
        </is>
      </c>
      <c r="K5996" t="inlineStr">
        <is>
          <t>CH2</t>
        </is>
      </c>
    </row>
    <row r="5997">
      <c r="A5997" s="33" t="n">
        <v>46101</v>
      </c>
      <c r="B5997" t="inlineStr">
        <is>
          <t>2026-03</t>
        </is>
      </c>
      <c r="C5997" t="inlineStr">
        <is>
          <t>Sin cliente</t>
        </is>
      </c>
      <c r="D5997" t="inlineStr">
        <is>
          <t>Delicatessen</t>
        </is>
      </c>
      <c r="E5997" s="34" t="n">
        <v>4410</v>
      </c>
      <c r="F5997" t="inlineStr">
        <is>
          <t>B</t>
        </is>
      </c>
      <c r="G5997" s="34" t="n">
        <v>704</v>
      </c>
      <c r="H5997" s="34" t="n">
        <v>3706</v>
      </c>
      <c r="I5997" t="inlineStr">
        <is>
          <t>3.2</t>
        </is>
      </c>
      <c r="J5997" t="inlineStr">
        <is>
          <t>Ventas Personas (B2C)</t>
        </is>
      </c>
      <c r="K5997" t="inlineStr">
        <is>
          <t>CH2</t>
        </is>
      </c>
    </row>
    <row r="5998">
      <c r="A5998" s="33" t="n">
        <v>46101</v>
      </c>
      <c r="B5998" t="inlineStr">
        <is>
          <t>2026-03</t>
        </is>
      </c>
      <c r="C5998" t="inlineStr">
        <is>
          <t>Sin cliente</t>
        </is>
      </c>
      <c r="D5998" t="inlineStr">
        <is>
          <t>Petit Crunchy</t>
        </is>
      </c>
      <c r="E5998" s="34" t="n">
        <v>9810</v>
      </c>
      <c r="F5998" t="inlineStr">
        <is>
          <t>B</t>
        </is>
      </c>
      <c r="G5998" s="34" t="n">
        <v>1566</v>
      </c>
      <c r="H5998" s="34" t="n">
        <v>8244</v>
      </c>
      <c r="I5998" t="inlineStr">
        <is>
          <t>3.2</t>
        </is>
      </c>
      <c r="J5998" t="inlineStr">
        <is>
          <t>Ventas Personas (B2C)</t>
        </is>
      </c>
      <c r="K5998" t="inlineStr">
        <is>
          <t>CH2</t>
        </is>
      </c>
    </row>
    <row r="5999">
      <c r="A5999" s="33" t="n">
        <v>46101</v>
      </c>
      <c r="B5999" t="inlineStr">
        <is>
          <t>2026-03</t>
        </is>
      </c>
      <c r="C5999" t="inlineStr">
        <is>
          <t>Sin cliente</t>
        </is>
      </c>
      <c r="D5999" t="inlineStr">
        <is>
          <t>Cafeteria Geronimo</t>
        </is>
      </c>
      <c r="E5999" s="34" t="n">
        <v>2550</v>
      </c>
      <c r="F5999" t="inlineStr">
        <is>
          <t>B</t>
        </is>
      </c>
      <c r="G5999" s="34" t="n">
        <v>407</v>
      </c>
      <c r="H5999" s="34" t="n">
        <v>2143</v>
      </c>
      <c r="I5999" t="inlineStr">
        <is>
          <t>3.2</t>
        </is>
      </c>
      <c r="J5999" t="inlineStr">
        <is>
          <t>Ventas Personas (B2C)</t>
        </is>
      </c>
      <c r="K5999" t="inlineStr">
        <is>
          <t>CH2</t>
        </is>
      </c>
    </row>
    <row r="6000">
      <c r="A6000" s="33" t="n">
        <v>46101</v>
      </c>
      <c r="B6000" t="inlineStr">
        <is>
          <t>2026-03</t>
        </is>
      </c>
      <c r="C6000" t="inlineStr">
        <is>
          <t>Sin cliente</t>
        </is>
      </c>
      <c r="D6000" t="inlineStr">
        <is>
          <t>Delicatessen</t>
        </is>
      </c>
      <c r="E6000" s="34" t="n">
        <v>13410</v>
      </c>
      <c r="F6000" t="inlineStr">
        <is>
          <t>B</t>
        </is>
      </c>
      <c r="G6000" s="34" t="n">
        <v>2141</v>
      </c>
      <c r="H6000" s="34" t="n">
        <v>11269</v>
      </c>
      <c r="I6000" t="inlineStr">
        <is>
          <t>3.2</t>
        </is>
      </c>
      <c r="J6000" t="inlineStr">
        <is>
          <t>Ventas Personas (B2C)</t>
        </is>
      </c>
      <c r="K6000" t="inlineStr">
        <is>
          <t>CH2</t>
        </is>
      </c>
    </row>
    <row r="6001">
      <c r="A6001" s="33" t="n">
        <v>46101</v>
      </c>
      <c r="B6001" t="inlineStr">
        <is>
          <t>2026-03</t>
        </is>
      </c>
      <c r="C6001" t="inlineStr">
        <is>
          <t>Sin cliente</t>
        </is>
      </c>
      <c r="D6001" t="inlineStr">
        <is>
          <t>Delicatessen</t>
        </is>
      </c>
      <c r="E6001" s="34" t="n">
        <v>13410</v>
      </c>
      <c r="F6001" t="inlineStr">
        <is>
          <t>B</t>
        </is>
      </c>
      <c r="G6001" s="34" t="n">
        <v>2141</v>
      </c>
      <c r="H6001" s="34" t="n">
        <v>11269</v>
      </c>
      <c r="I6001" t="inlineStr">
        <is>
          <t>3.2</t>
        </is>
      </c>
      <c r="J6001" t="inlineStr">
        <is>
          <t>Ventas Personas (B2C)</t>
        </is>
      </c>
      <c r="K6001" t="inlineStr">
        <is>
          <t>CH2</t>
        </is>
      </c>
    </row>
    <row r="6002">
      <c r="A6002" s="33" t="n">
        <v>46101</v>
      </c>
      <c r="B6002" t="inlineStr">
        <is>
          <t>2026-03</t>
        </is>
      </c>
      <c r="C6002" t="inlineStr">
        <is>
          <t>Sin cliente</t>
        </is>
      </c>
      <c r="D6002" t="inlineStr">
        <is>
          <t>Petit Crunchy</t>
        </is>
      </c>
      <c r="E6002" s="34" t="n">
        <v>13410</v>
      </c>
      <c r="F6002" t="inlineStr">
        <is>
          <t>B</t>
        </is>
      </c>
      <c r="G6002" s="34" t="n">
        <v>2141</v>
      </c>
      <c r="H6002" s="34" t="n">
        <v>11269</v>
      </c>
      <c r="I6002" t="inlineStr">
        <is>
          <t>3.2</t>
        </is>
      </c>
      <c r="J6002" t="inlineStr">
        <is>
          <t>Ventas Personas (B2C)</t>
        </is>
      </c>
      <c r="K6002" t="inlineStr">
        <is>
          <t>CH2</t>
        </is>
      </c>
    </row>
    <row r="6003">
      <c r="A6003" s="33" t="n">
        <v>46101</v>
      </c>
      <c r="B6003" t="inlineStr">
        <is>
          <t>2026-03</t>
        </is>
      </c>
      <c r="C6003" t="inlineStr">
        <is>
          <t>Sin cliente</t>
        </is>
      </c>
      <c r="D6003" t="inlineStr">
        <is>
          <t>Glosa Producto sin detalle</t>
        </is>
      </c>
      <c r="E6003" s="34" t="n">
        <v>11520</v>
      </c>
      <c r="F6003" t="inlineStr">
        <is>
          <t>B</t>
        </is>
      </c>
      <c r="G6003" s="34" t="n">
        <v>1839</v>
      </c>
      <c r="H6003" s="34" t="n">
        <v>9681</v>
      </c>
      <c r="I6003" t="inlineStr">
        <is>
          <t>3.2</t>
        </is>
      </c>
      <c r="J6003" t="inlineStr">
        <is>
          <t>Ventas Personas (B2C)</t>
        </is>
      </c>
      <c r="K6003" t="inlineStr">
        <is>
          <t>CH2</t>
        </is>
      </c>
    </row>
    <row r="6004">
      <c r="A6004" s="33" t="n">
        <v>46101</v>
      </c>
      <c r="B6004" t="inlineStr">
        <is>
          <t>2026-03</t>
        </is>
      </c>
      <c r="C6004" t="inlineStr">
        <is>
          <t>Sin cliente</t>
        </is>
      </c>
      <c r="D6004" t="inlineStr">
        <is>
          <t>Rellenos</t>
        </is>
      </c>
      <c r="E6004" s="34" t="n">
        <v>18900</v>
      </c>
      <c r="F6004" t="inlineStr">
        <is>
          <t>B</t>
        </is>
      </c>
      <c r="G6004" s="34" t="n">
        <v>3018</v>
      </c>
      <c r="H6004" s="34" t="n">
        <v>15882</v>
      </c>
      <c r="I6004" t="inlineStr">
        <is>
          <t>3.2</t>
        </is>
      </c>
      <c r="J6004" t="inlineStr">
        <is>
          <t>Ventas Personas (B2C)</t>
        </is>
      </c>
      <c r="K6004" t="inlineStr">
        <is>
          <t>CH2</t>
        </is>
      </c>
    </row>
    <row r="6005">
      <c r="A6005" s="33" t="n">
        <v>46101</v>
      </c>
      <c r="B6005" t="inlineStr">
        <is>
          <t>2026-03</t>
        </is>
      </c>
      <c r="C6005" t="inlineStr">
        <is>
          <t>Sin cliente</t>
        </is>
      </c>
      <c r="D6005" t="inlineStr">
        <is>
          <t>Canelé Petit Relleno</t>
        </is>
      </c>
      <c r="E6005" s="34" t="n">
        <v>18900</v>
      </c>
      <c r="F6005" t="inlineStr">
        <is>
          <t>B</t>
        </is>
      </c>
      <c r="G6005" s="34" t="n">
        <v>3018</v>
      </c>
      <c r="H6005" s="34" t="n">
        <v>15882</v>
      </c>
      <c r="I6005" t="inlineStr">
        <is>
          <t>3.2</t>
        </is>
      </c>
      <c r="J6005" t="inlineStr">
        <is>
          <t>Ventas Personas (B2C)</t>
        </is>
      </c>
      <c r="K6005" t="inlineStr">
        <is>
          <t>CH2</t>
        </is>
      </c>
    </row>
    <row r="6006">
      <c r="A6006" s="33" t="n">
        <v>46101</v>
      </c>
      <c r="B6006" t="inlineStr">
        <is>
          <t>2026-03</t>
        </is>
      </c>
      <c r="C6006" t="inlineStr">
        <is>
          <t>Sin cliente</t>
        </is>
      </c>
      <c r="D6006" t="inlineStr">
        <is>
          <t>Rellenos</t>
        </is>
      </c>
      <c r="E6006" s="34" t="n">
        <v>18900</v>
      </c>
      <c r="F6006" t="inlineStr">
        <is>
          <t>B</t>
        </is>
      </c>
      <c r="G6006" s="34" t="n">
        <v>3018</v>
      </c>
      <c r="H6006" s="34" t="n">
        <v>15882</v>
      </c>
      <c r="I6006" t="inlineStr">
        <is>
          <t>3.2</t>
        </is>
      </c>
      <c r="J6006" t="inlineStr">
        <is>
          <t>Ventas Personas (B2C)</t>
        </is>
      </c>
      <c r="K6006" t="inlineStr">
        <is>
          <t>CH2</t>
        </is>
      </c>
    </row>
    <row r="6007">
      <c r="A6007" s="33" t="n">
        <v>46101</v>
      </c>
      <c r="B6007" t="inlineStr">
        <is>
          <t>2026-03</t>
        </is>
      </c>
      <c r="C6007" t="inlineStr">
        <is>
          <t>Sin cliente</t>
        </is>
      </c>
      <c r="D6007" t="inlineStr">
        <is>
          <t>Petit Tradicional</t>
        </is>
      </c>
      <c r="E6007" s="34" t="n">
        <v>31800</v>
      </c>
      <c r="F6007" t="inlineStr">
        <is>
          <t>B</t>
        </is>
      </c>
      <c r="G6007" s="34" t="n">
        <v>5077</v>
      </c>
      <c r="H6007" s="34" t="n">
        <v>26723</v>
      </c>
      <c r="I6007" t="inlineStr">
        <is>
          <t>3.2</t>
        </is>
      </c>
      <c r="J6007" t="inlineStr">
        <is>
          <t>Ventas Personas (B2C)</t>
        </is>
      </c>
      <c r="K6007" t="inlineStr">
        <is>
          <t>CH2</t>
        </is>
      </c>
    </row>
    <row r="6008">
      <c r="A6008" s="33" t="n">
        <v>46101</v>
      </c>
      <c r="B6008" t="inlineStr">
        <is>
          <t>2026-03</t>
        </is>
      </c>
      <c r="C6008" t="inlineStr">
        <is>
          <t>Maria Jose Grez</t>
        </is>
      </c>
      <c r="D6008" t="inlineStr">
        <is>
          <t>Rellenos</t>
        </is>
      </c>
      <c r="E6008" s="34" t="n">
        <v>-18900</v>
      </c>
      <c r="F6008" t="inlineStr">
        <is>
          <t>NC</t>
        </is>
      </c>
      <c r="G6008" s="34" t="n">
        <v>-3018</v>
      </c>
      <c r="H6008" s="34" t="n">
        <v>-15882</v>
      </c>
      <c r="I6008" t="inlineStr">
        <is>
          <t>3.2</t>
        </is>
      </c>
      <c r="J6008" t="inlineStr">
        <is>
          <t>Ventas Personas (B2C)</t>
        </is>
      </c>
      <c r="K6008" t="inlineStr">
        <is>
          <t>CH2</t>
        </is>
      </c>
    </row>
    <row r="6009">
      <c r="A6009" s="33" t="n">
        <v>46101</v>
      </c>
      <c r="B6009" t="inlineStr">
        <is>
          <t>2026-03</t>
        </is>
      </c>
      <c r="C6009" t="inlineStr">
        <is>
          <t>Maria Jose Grez</t>
        </is>
      </c>
      <c r="D6009" t="inlineStr">
        <is>
          <t>Petit Tradicional</t>
        </is>
      </c>
      <c r="E6009" s="34" t="n">
        <v>-31800</v>
      </c>
      <c r="F6009" t="inlineStr">
        <is>
          <t>NC</t>
        </is>
      </c>
      <c r="G6009" s="34" t="n">
        <v>-5077</v>
      </c>
      <c r="H6009" s="34" t="n">
        <v>-26723</v>
      </c>
      <c r="I6009" t="inlineStr">
        <is>
          <t>3.2</t>
        </is>
      </c>
      <c r="J6009" t="inlineStr">
        <is>
          <t>Ventas Personas (B2C)</t>
        </is>
      </c>
      <c r="K6009" t="inlineStr">
        <is>
          <t>CH2</t>
        </is>
      </c>
    </row>
    <row r="6010">
      <c r="A6010" s="33" t="n">
        <v>46102</v>
      </c>
      <c r="B6010" t="inlineStr">
        <is>
          <t>2026-03</t>
        </is>
      </c>
      <c r="C6010" t="inlineStr">
        <is>
          <t>Lucia Errazuriz</t>
        </is>
      </c>
      <c r="D6010" t="inlineStr">
        <is>
          <t>Petit Tradicional</t>
        </is>
      </c>
      <c r="E6010" s="34" t="n">
        <v>25110</v>
      </c>
      <c r="F6010" t="inlineStr">
        <is>
          <t>B</t>
        </is>
      </c>
      <c r="G6010" s="34" t="n">
        <v>4009</v>
      </c>
      <c r="H6010" s="34" t="n">
        <v>21101</v>
      </c>
      <c r="I6010" t="inlineStr">
        <is>
          <t>3.2</t>
        </is>
      </c>
      <c r="J6010" t="inlineStr">
        <is>
          <t>Ventas Personas (B2C)</t>
        </is>
      </c>
      <c r="K6010" t="inlineStr">
        <is>
          <t>CH2</t>
        </is>
      </c>
    </row>
    <row r="6011">
      <c r="A6011" s="33" t="n">
        <v>46102</v>
      </c>
      <c r="B6011" t="inlineStr">
        <is>
          <t>2026-03</t>
        </is>
      </c>
      <c r="C6011" t="inlineStr">
        <is>
          <t>Nayat Sanchez Pi</t>
        </is>
      </c>
      <c r="D6011" t="inlineStr">
        <is>
          <t>CANELÉ TRADICIONAL</t>
        </is>
      </c>
      <c r="E6011" s="34" t="n">
        <v>27390</v>
      </c>
      <c r="F6011" t="inlineStr">
        <is>
          <t>B</t>
        </is>
      </c>
      <c r="G6011" s="34" t="n">
        <v>4373</v>
      </c>
      <c r="H6011" s="34" t="n">
        <v>23017</v>
      </c>
      <c r="I6011" t="inlineStr">
        <is>
          <t>3.2</t>
        </is>
      </c>
      <c r="J6011" t="inlineStr">
        <is>
          <t>Ventas Personas (B2C)</t>
        </is>
      </c>
      <c r="K6011" t="inlineStr">
        <is>
          <t>CH2</t>
        </is>
      </c>
    </row>
    <row r="6012">
      <c r="A6012" s="33" t="n">
        <v>46102</v>
      </c>
      <c r="B6012" t="inlineStr">
        <is>
          <t>2026-03</t>
        </is>
      </c>
      <c r="C6012" t="inlineStr">
        <is>
          <t>mario mora</t>
        </is>
      </c>
      <c r="D6012" t="inlineStr">
        <is>
          <t>Rellenos</t>
        </is>
      </c>
      <c r="E6012" s="34" t="n">
        <v>41400</v>
      </c>
      <c r="F6012" t="inlineStr">
        <is>
          <t>B</t>
        </is>
      </c>
      <c r="G6012" s="34" t="n">
        <v>6610</v>
      </c>
      <c r="H6012" s="34" t="n">
        <v>34790</v>
      </c>
      <c r="I6012" t="inlineStr">
        <is>
          <t>3.2</t>
        </is>
      </c>
      <c r="J6012" t="inlineStr">
        <is>
          <t>Ventas Personas (B2C)</t>
        </is>
      </c>
      <c r="K6012" t="inlineStr">
        <is>
          <t>CH2</t>
        </is>
      </c>
    </row>
    <row r="6013">
      <c r="A6013" s="33" t="n">
        <v>46102</v>
      </c>
      <c r="B6013" t="inlineStr">
        <is>
          <t>2026-03</t>
        </is>
      </c>
      <c r="C6013" t="inlineStr">
        <is>
          <t>Sin cliente</t>
        </is>
      </c>
      <c r="D6013" t="inlineStr">
        <is>
          <t>CANELÉ TRADICIONAL</t>
        </is>
      </c>
      <c r="E6013" s="34" t="n">
        <v>24400</v>
      </c>
      <c r="F6013" t="inlineStr">
        <is>
          <t>B</t>
        </is>
      </c>
      <c r="G6013" s="34" t="n">
        <v>3896</v>
      </c>
      <c r="H6013" s="34" t="n">
        <v>20504</v>
      </c>
      <c r="I6013" t="inlineStr">
        <is>
          <t>3.2</t>
        </is>
      </c>
      <c r="J6013" t="inlineStr">
        <is>
          <t>Ventas Personas (B2C)</t>
        </is>
      </c>
      <c r="K6013" t="inlineStr">
        <is>
          <t>CH2</t>
        </is>
      </c>
    </row>
    <row r="6014">
      <c r="A6014" s="33" t="n">
        <v>46102</v>
      </c>
      <c r="B6014" t="inlineStr">
        <is>
          <t>2026-03</t>
        </is>
      </c>
      <c r="C6014" t="inlineStr">
        <is>
          <t>Sin cliente</t>
        </is>
      </c>
      <c r="D6014" t="inlineStr">
        <is>
          <t>PLATAFORMAS RAP-PEYA-UBER-GOOD</t>
        </is>
      </c>
      <c r="E6014" s="34" t="n">
        <v>14400</v>
      </c>
      <c r="F6014" t="inlineStr">
        <is>
          <t>B</t>
        </is>
      </c>
      <c r="G6014" s="34" t="n">
        <v>2299</v>
      </c>
      <c r="H6014" s="34" t="n">
        <v>12101</v>
      </c>
      <c r="I6014" t="inlineStr">
        <is>
          <t>3.6</t>
        </is>
      </c>
      <c r="J6014" t="inlineStr">
        <is>
          <t>Ventas Delivery Apps</t>
        </is>
      </c>
      <c r="K6014" t="inlineStr">
        <is>
          <t>CH3</t>
        </is>
      </c>
    </row>
    <row r="6015">
      <c r="A6015" s="33" t="n">
        <v>46102</v>
      </c>
      <c r="B6015" t="inlineStr">
        <is>
          <t>2026-03</t>
        </is>
      </c>
      <c r="C6015" t="inlineStr">
        <is>
          <t>Sin cliente</t>
        </is>
      </c>
      <c r="D6015" t="inlineStr">
        <is>
          <t>CANELÉ TRADICIONAL</t>
        </is>
      </c>
      <c r="E6015" s="34" t="n">
        <v>22900</v>
      </c>
      <c r="F6015" t="inlineStr">
        <is>
          <t>B</t>
        </is>
      </c>
      <c r="G6015" s="34" t="n">
        <v>3656</v>
      </c>
      <c r="H6015" s="34" t="n">
        <v>19244</v>
      </c>
      <c r="I6015" t="inlineStr">
        <is>
          <t>3.2</t>
        </is>
      </c>
      <c r="J6015" t="inlineStr">
        <is>
          <t>Ventas Personas (B2C)</t>
        </is>
      </c>
      <c r="K6015" t="inlineStr">
        <is>
          <t>CH2</t>
        </is>
      </c>
    </row>
    <row r="6016">
      <c r="A6016" s="33" t="n">
        <v>46102</v>
      </c>
      <c r="B6016" t="inlineStr">
        <is>
          <t>2026-03</t>
        </is>
      </c>
      <c r="C6016" t="inlineStr">
        <is>
          <t>Sin cliente</t>
        </is>
      </c>
      <c r="D6016" t="inlineStr">
        <is>
          <t>Rellenos</t>
        </is>
      </c>
      <c r="E6016" s="34" t="n">
        <v>25900</v>
      </c>
      <c r="F6016" t="inlineStr">
        <is>
          <t>B</t>
        </is>
      </c>
      <c r="G6016" s="34" t="n">
        <v>4135</v>
      </c>
      <c r="H6016" s="34" t="n">
        <v>21765</v>
      </c>
      <c r="I6016" t="inlineStr">
        <is>
          <t>3.2</t>
        </is>
      </c>
      <c r="J6016" t="inlineStr">
        <is>
          <t>Ventas Personas (B2C)</t>
        </is>
      </c>
      <c r="K6016" t="inlineStr">
        <is>
          <t>CH2</t>
        </is>
      </c>
    </row>
    <row r="6017">
      <c r="A6017" s="33" t="n">
        <v>46102</v>
      </c>
      <c r="B6017" t="inlineStr">
        <is>
          <t>2026-03</t>
        </is>
      </c>
      <c r="C6017" t="inlineStr">
        <is>
          <t>Sin cliente</t>
        </is>
      </c>
      <c r="D6017" t="inlineStr">
        <is>
          <t>Delicatessen</t>
        </is>
      </c>
      <c r="E6017" s="34" t="n">
        <v>29300</v>
      </c>
      <c r="F6017" t="inlineStr">
        <is>
          <t>B</t>
        </is>
      </c>
      <c r="G6017" s="34" t="n">
        <v>4678</v>
      </c>
      <c r="H6017" s="34" t="n">
        <v>24622</v>
      </c>
      <c r="I6017" t="inlineStr">
        <is>
          <t>3.2</t>
        </is>
      </c>
      <c r="J6017" t="inlineStr">
        <is>
          <t>Ventas Personas (B2C)</t>
        </is>
      </c>
      <c r="K6017" t="inlineStr">
        <is>
          <t>CH2</t>
        </is>
      </c>
    </row>
    <row r="6018">
      <c r="A6018" s="33" t="n">
        <v>46102</v>
      </c>
      <c r="B6018" t="inlineStr">
        <is>
          <t>2026-03</t>
        </is>
      </c>
      <c r="C6018" t="inlineStr">
        <is>
          <t>Sin cliente</t>
        </is>
      </c>
      <c r="D6018" t="inlineStr">
        <is>
          <t>Canelé Petit Relleno</t>
        </is>
      </c>
      <c r="E6018" s="34" t="n">
        <v>29900</v>
      </c>
      <c r="F6018" t="inlineStr">
        <is>
          <t>B</t>
        </is>
      </c>
      <c r="G6018" s="34" t="n">
        <v>4774</v>
      </c>
      <c r="H6018" s="34" t="n">
        <v>25126</v>
      </c>
      <c r="I6018" t="inlineStr">
        <is>
          <t>3.2</t>
        </is>
      </c>
      <c r="J6018" t="inlineStr">
        <is>
          <t>Ventas Personas (B2C)</t>
        </is>
      </c>
      <c r="K6018" t="inlineStr">
        <is>
          <t>CH2</t>
        </is>
      </c>
    </row>
    <row r="6019">
      <c r="A6019" s="33" t="n">
        <v>46102</v>
      </c>
      <c r="B6019" t="inlineStr">
        <is>
          <t>2026-03</t>
        </is>
      </c>
      <c r="C6019" t="inlineStr">
        <is>
          <t>Sin cliente</t>
        </is>
      </c>
      <c r="D6019" t="inlineStr">
        <is>
          <t>PACKAGING</t>
        </is>
      </c>
      <c r="E6019" s="34" t="n">
        <v>1500</v>
      </c>
      <c r="F6019" t="inlineStr">
        <is>
          <t>B</t>
        </is>
      </c>
      <c r="G6019" s="34" t="n">
        <v>239</v>
      </c>
      <c r="H6019" s="34" t="n">
        <v>1261</v>
      </c>
      <c r="I6019" t="inlineStr">
        <is>
          <t>3.2</t>
        </is>
      </c>
      <c r="J6019" t="inlineStr">
        <is>
          <t>Ventas Personas (B2C)</t>
        </is>
      </c>
      <c r="K6019" t="inlineStr">
        <is>
          <t>CH2</t>
        </is>
      </c>
    </row>
    <row r="6020">
      <c r="A6020" s="33" t="n">
        <v>46102</v>
      </c>
      <c r="B6020" t="inlineStr">
        <is>
          <t>2026-03</t>
        </is>
      </c>
      <c r="C6020" t="inlineStr">
        <is>
          <t>Sin cliente</t>
        </is>
      </c>
      <c r="D6020" t="inlineStr">
        <is>
          <t>PLATAFORMAS RAP-PEYA-UBER-GOOD</t>
        </is>
      </c>
      <c r="E6020" s="34" t="n">
        <v>25080</v>
      </c>
      <c r="F6020" t="inlineStr">
        <is>
          <t>B</t>
        </is>
      </c>
      <c r="G6020" s="34" t="n">
        <v>4004</v>
      </c>
      <c r="H6020" s="34" t="n">
        <v>21076</v>
      </c>
      <c r="I6020" t="inlineStr">
        <is>
          <t>3.6</t>
        </is>
      </c>
      <c r="J6020" t="inlineStr">
        <is>
          <t>Ventas Delivery Apps</t>
        </is>
      </c>
      <c r="K6020" t="inlineStr">
        <is>
          <t>CH3</t>
        </is>
      </c>
    </row>
    <row r="6021">
      <c r="A6021" s="33" t="n">
        <v>46102</v>
      </c>
      <c r="B6021" t="inlineStr">
        <is>
          <t>2026-03</t>
        </is>
      </c>
      <c r="C6021" t="inlineStr">
        <is>
          <t>Sin cliente</t>
        </is>
      </c>
      <c r="D6021" t="inlineStr">
        <is>
          <t>Rellenos</t>
        </is>
      </c>
      <c r="E6021" s="34" t="n">
        <v>39480</v>
      </c>
      <c r="F6021" t="inlineStr">
        <is>
          <t>B</t>
        </is>
      </c>
      <c r="G6021" s="34" t="n">
        <v>6304</v>
      </c>
      <c r="H6021" s="34" t="n">
        <v>33176</v>
      </c>
      <c r="I6021" t="inlineStr">
        <is>
          <t>3.2</t>
        </is>
      </c>
      <c r="J6021" t="inlineStr">
        <is>
          <t>Ventas Personas (B2C)</t>
        </is>
      </c>
      <c r="K6021" t="inlineStr">
        <is>
          <t>CH2</t>
        </is>
      </c>
    </row>
    <row r="6022">
      <c r="A6022" s="33" t="n">
        <v>46102</v>
      </c>
      <c r="B6022" t="inlineStr">
        <is>
          <t>2026-03</t>
        </is>
      </c>
      <c r="C6022" t="inlineStr">
        <is>
          <t>Sin cliente</t>
        </is>
      </c>
      <c r="D6022" t="inlineStr">
        <is>
          <t>PLATAFORMAS RAP-PEYA-UBER-GOOD</t>
        </is>
      </c>
      <c r="E6022" s="34" t="n">
        <v>56160</v>
      </c>
      <c r="F6022" t="inlineStr">
        <is>
          <t>B</t>
        </is>
      </c>
      <c r="G6022" s="34" t="n">
        <v>8967</v>
      </c>
      <c r="H6022" s="34" t="n">
        <v>47193</v>
      </c>
      <c r="I6022" t="inlineStr">
        <is>
          <t>3.6</t>
        </is>
      </c>
      <c r="J6022" t="inlineStr">
        <is>
          <t>Ventas Delivery Apps</t>
        </is>
      </c>
      <c r="K6022" t="inlineStr">
        <is>
          <t>CH3</t>
        </is>
      </c>
    </row>
    <row r="6023">
      <c r="A6023" s="33" t="n">
        <v>46102</v>
      </c>
      <c r="B6023" t="inlineStr">
        <is>
          <t>2026-03</t>
        </is>
      </c>
      <c r="C6023" t="inlineStr">
        <is>
          <t>Sin cliente</t>
        </is>
      </c>
      <c r="D6023" t="inlineStr">
        <is>
          <t>CANELÉ TRADICIONAL</t>
        </is>
      </c>
      <c r="E6023" s="34" t="n">
        <v>34800</v>
      </c>
      <c r="F6023" t="inlineStr">
        <is>
          <t>B</t>
        </is>
      </c>
      <c r="G6023" s="34" t="n">
        <v>5556</v>
      </c>
      <c r="H6023" s="34" t="n">
        <v>29244</v>
      </c>
      <c r="I6023" t="inlineStr">
        <is>
          <t>3.2</t>
        </is>
      </c>
      <c r="J6023" t="inlineStr">
        <is>
          <t>Ventas Personas (B2C)</t>
        </is>
      </c>
      <c r="K6023" t="inlineStr">
        <is>
          <t>CH2</t>
        </is>
      </c>
    </row>
    <row r="6024">
      <c r="A6024" s="33" t="n">
        <v>46102</v>
      </c>
      <c r="B6024" t="inlineStr">
        <is>
          <t>2026-03</t>
        </is>
      </c>
      <c r="C6024" t="inlineStr">
        <is>
          <t>Sin cliente</t>
        </is>
      </c>
      <c r="D6024" t="inlineStr">
        <is>
          <t>MERENGUITOS</t>
        </is>
      </c>
      <c r="E6024" s="34" t="n">
        <v>3900</v>
      </c>
      <c r="F6024" t="inlineStr">
        <is>
          <t>B</t>
        </is>
      </c>
      <c r="G6024" s="34" t="n">
        <v>623</v>
      </c>
      <c r="H6024" s="34" t="n">
        <v>3277</v>
      </c>
      <c r="I6024" t="inlineStr">
        <is>
          <t>3.2</t>
        </is>
      </c>
      <c r="J6024" t="inlineStr">
        <is>
          <t>Ventas Personas (B2C)</t>
        </is>
      </c>
      <c r="K6024" t="inlineStr">
        <is>
          <t>CH2</t>
        </is>
      </c>
    </row>
    <row r="6025">
      <c r="A6025" s="33" t="n">
        <v>46103</v>
      </c>
      <c r="B6025" t="inlineStr">
        <is>
          <t>2026-03</t>
        </is>
      </c>
      <c r="C6025" t="inlineStr">
        <is>
          <t>Natalia Tello rubilar</t>
        </is>
      </c>
      <c r="D6025" t="inlineStr">
        <is>
          <t>Rellenos</t>
        </is>
      </c>
      <c r="E6025" s="34" t="n">
        <v>38290</v>
      </c>
      <c r="F6025" t="inlineStr">
        <is>
          <t>B</t>
        </is>
      </c>
      <c r="G6025" s="34" t="n">
        <v>6114</v>
      </c>
      <c r="H6025" s="34" t="n">
        <v>32176</v>
      </c>
      <c r="I6025" t="inlineStr">
        <is>
          <t>3.2</t>
        </is>
      </c>
      <c r="J6025" t="inlineStr">
        <is>
          <t>Ventas Personas (B2C)</t>
        </is>
      </c>
      <c r="K6025" t="inlineStr">
        <is>
          <t>CH2</t>
        </is>
      </c>
    </row>
    <row r="6026">
      <c r="A6026" s="33" t="n">
        <v>46104</v>
      </c>
      <c r="B6026" t="inlineStr">
        <is>
          <t>2026-03</t>
        </is>
      </c>
      <c r="C6026" t="inlineStr">
        <is>
          <t>INVERSIONES Y ASESORIAS RAVAL LIMITADA</t>
        </is>
      </c>
      <c r="D6026" t="inlineStr">
        <is>
          <t>HORECA CAFETERIA</t>
        </is>
      </c>
      <c r="E6026" s="34" t="n">
        <v>107124</v>
      </c>
      <c r="F6026" t="inlineStr">
        <is>
          <t>F</t>
        </is>
      </c>
      <c r="G6026" s="34" t="n">
        <v>17104</v>
      </c>
      <c r="H6026" s="34" t="n">
        <v>90020</v>
      </c>
      <c r="I6026" t="inlineStr">
        <is>
          <t>3.1</t>
        </is>
      </c>
      <c r="J6026" t="inlineStr">
        <is>
          <t>Ventas HoReCa</t>
        </is>
      </c>
      <c r="K6026" t="inlineStr">
        <is>
          <t>CH1</t>
        </is>
      </c>
    </row>
    <row r="6027">
      <c r="A6027" s="33" t="n">
        <v>46104</v>
      </c>
      <c r="B6027" t="inlineStr">
        <is>
          <t>2026-03</t>
        </is>
      </c>
      <c r="C6027" t="inlineStr">
        <is>
          <t>RESTAURANT LA COSECHA SPA</t>
        </is>
      </c>
      <c r="D6027" t="inlineStr">
        <is>
          <t>Glosa Horeca pack canelé tradicional - 30
unidades</t>
        </is>
      </c>
      <c r="E6027" s="34" t="n">
        <v>171067</v>
      </c>
      <c r="F6027" t="inlineStr">
        <is>
          <t>F</t>
        </is>
      </c>
      <c r="G6027" s="34" t="n">
        <v>27313</v>
      </c>
      <c r="H6027" s="34" t="n">
        <v>143754</v>
      </c>
      <c r="I6027" t="inlineStr">
        <is>
          <t>3.1</t>
        </is>
      </c>
      <c r="J6027" t="inlineStr">
        <is>
          <t>Ventas HoReCa</t>
        </is>
      </c>
      <c r="K6027" t="inlineStr">
        <is>
          <t>CH1</t>
        </is>
      </c>
    </row>
    <row r="6028">
      <c r="A6028" s="33" t="n">
        <v>46104</v>
      </c>
      <c r="B6028" t="inlineStr">
        <is>
          <t>2026-03</t>
        </is>
      </c>
      <c r="C6028" t="inlineStr">
        <is>
          <t>Productos y Eventos Gourmet Rt Spa</t>
        </is>
      </c>
      <c r="D6028" t="inlineStr">
        <is>
          <t>HORECA CATERING</t>
        </is>
      </c>
      <c r="E6028" s="34" t="n">
        <v>63665</v>
      </c>
      <c r="F6028" t="inlineStr">
        <is>
          <t>F</t>
        </is>
      </c>
      <c r="G6028" s="34" t="n">
        <v>10165</v>
      </c>
      <c r="H6028" s="34" t="n">
        <v>53500</v>
      </c>
      <c r="I6028" t="inlineStr">
        <is>
          <t>3.1</t>
        </is>
      </c>
      <c r="J6028" t="inlineStr">
        <is>
          <t>Ventas HoReCa</t>
        </is>
      </c>
      <c r="K6028" t="inlineStr">
        <is>
          <t>CH1</t>
        </is>
      </c>
    </row>
    <row r="6029">
      <c r="A6029" s="33" t="n">
        <v>46104</v>
      </c>
      <c r="B6029" t="inlineStr">
        <is>
          <t>2026-03</t>
        </is>
      </c>
      <c r="C6029" t="inlineStr">
        <is>
          <t>Emmanuelle Renaud</t>
        </is>
      </c>
      <c r="D6029" t="inlineStr">
        <is>
          <t>Canelé Petit Relleno</t>
        </is>
      </c>
      <c r="E6029" s="34" t="n">
        <v>33390</v>
      </c>
      <c r="F6029" t="inlineStr">
        <is>
          <t>B</t>
        </is>
      </c>
      <c r="G6029" s="34" t="n">
        <v>5331</v>
      </c>
      <c r="H6029" s="34" t="n">
        <v>28059</v>
      </c>
      <c r="I6029" t="inlineStr">
        <is>
          <t>3.2</t>
        </is>
      </c>
      <c r="J6029" t="inlineStr">
        <is>
          <t>Ventas Personas (B2C)</t>
        </is>
      </c>
      <c r="K6029" t="inlineStr">
        <is>
          <t>CH2</t>
        </is>
      </c>
    </row>
    <row r="6030">
      <c r="A6030" s="33" t="n">
        <v>46104</v>
      </c>
      <c r="B6030" t="inlineStr">
        <is>
          <t>2026-03</t>
        </is>
      </c>
      <c r="C6030" t="inlineStr">
        <is>
          <t>Andrea San Martín San Martín</t>
        </is>
      </c>
      <c r="D6030" t="inlineStr">
        <is>
          <t>Petit Tradicional</t>
        </is>
      </c>
      <c r="E6030" s="34" t="n">
        <v>27290</v>
      </c>
      <c r="F6030" t="inlineStr">
        <is>
          <t>B</t>
        </is>
      </c>
      <c r="G6030" s="34" t="n">
        <v>4357</v>
      </c>
      <c r="H6030" s="34" t="n">
        <v>22933</v>
      </c>
      <c r="I6030" t="inlineStr">
        <is>
          <t>3.2</t>
        </is>
      </c>
      <c r="J6030" t="inlineStr">
        <is>
          <t>Ventas Personas (B2C)</t>
        </is>
      </c>
      <c r="K6030" t="inlineStr">
        <is>
          <t>CH2</t>
        </is>
      </c>
    </row>
    <row r="6031">
      <c r="A6031" s="33" t="n">
        <v>46104</v>
      </c>
      <c r="B6031" t="inlineStr">
        <is>
          <t>2026-03</t>
        </is>
      </c>
      <c r="C6031" t="inlineStr">
        <is>
          <t>Inversiones Rico SpA</t>
        </is>
      </c>
      <c r="D6031" t="inlineStr">
        <is>
          <t>HORECA CATERING</t>
        </is>
      </c>
      <c r="E6031" s="34" t="n">
        <v>120166</v>
      </c>
      <c r="F6031" t="inlineStr">
        <is>
          <t>F</t>
        </is>
      </c>
      <c r="G6031" s="34" t="n">
        <v>19186</v>
      </c>
      <c r="H6031" s="34" t="n">
        <v>100980</v>
      </c>
      <c r="I6031" t="inlineStr">
        <is>
          <t>3.1</t>
        </is>
      </c>
      <c r="J6031" t="inlineStr">
        <is>
          <t>Ventas HoReCa</t>
        </is>
      </c>
      <c r="K6031" t="inlineStr">
        <is>
          <t>CH1</t>
        </is>
      </c>
    </row>
    <row r="6032">
      <c r="A6032" s="33" t="n">
        <v>46104</v>
      </c>
      <c r="B6032" t="inlineStr">
        <is>
          <t>2026-03</t>
        </is>
      </c>
      <c r="C6032" t="inlineStr">
        <is>
          <t>Marcela Aparicio</t>
        </is>
      </c>
      <c r="D6032" t="inlineStr">
        <is>
          <t>Petit Tradicional</t>
        </is>
      </c>
      <c r="E6032" s="34" t="n">
        <v>27790</v>
      </c>
      <c r="F6032" t="inlineStr">
        <is>
          <t>B</t>
        </is>
      </c>
      <c r="G6032" s="34" t="n">
        <v>4437</v>
      </c>
      <c r="H6032" s="34" t="n">
        <v>23353</v>
      </c>
      <c r="I6032" t="inlineStr">
        <is>
          <t>3.2</t>
        </is>
      </c>
      <c r="J6032" t="inlineStr">
        <is>
          <t>Ventas Personas (B2C)</t>
        </is>
      </c>
      <c r="K6032" t="inlineStr">
        <is>
          <t>CH2</t>
        </is>
      </c>
    </row>
    <row r="6033">
      <c r="A6033" s="33" t="n">
        <v>46104</v>
      </c>
      <c r="B6033" t="inlineStr">
        <is>
          <t>2026-03</t>
        </is>
      </c>
      <c r="C6033" t="inlineStr">
        <is>
          <t>Amanda Dittborn</t>
        </is>
      </c>
      <c r="D6033" t="inlineStr">
        <is>
          <t>CANELÉ TRADICIONAL</t>
        </is>
      </c>
      <c r="E6033" s="34" t="n">
        <v>14310</v>
      </c>
      <c r="F6033" t="inlineStr">
        <is>
          <t>B</t>
        </is>
      </c>
      <c r="G6033" s="34" t="n">
        <v>2285</v>
      </c>
      <c r="H6033" s="34" t="n">
        <v>12025</v>
      </c>
      <c r="I6033" t="inlineStr">
        <is>
          <t>3.2</t>
        </is>
      </c>
      <c r="J6033" t="inlineStr">
        <is>
          <t>Ventas Personas (B2C)</t>
        </is>
      </c>
      <c r="K6033" t="inlineStr">
        <is>
          <t>CH2</t>
        </is>
      </c>
    </row>
    <row r="6034">
      <c r="A6034" s="33" t="n">
        <v>46104</v>
      </c>
      <c r="B6034" t="inlineStr">
        <is>
          <t>2026-03</t>
        </is>
      </c>
      <c r="C6034" t="inlineStr">
        <is>
          <t>Cecilia Gallardo</t>
        </is>
      </c>
      <c r="D6034" t="inlineStr">
        <is>
          <t>CANELE SIN AZUCAR</t>
        </is>
      </c>
      <c r="E6034" s="34" t="n">
        <v>36790</v>
      </c>
      <c r="F6034" t="inlineStr">
        <is>
          <t>B</t>
        </is>
      </c>
      <c r="G6034" s="34" t="n">
        <v>5874</v>
      </c>
      <c r="H6034" s="34" t="n">
        <v>30916</v>
      </c>
      <c r="I6034" t="inlineStr">
        <is>
          <t>3.2</t>
        </is>
      </c>
      <c r="J6034" t="inlineStr">
        <is>
          <t>Ventas Personas (B2C)</t>
        </is>
      </c>
      <c r="K6034" t="inlineStr">
        <is>
          <t>CH2</t>
        </is>
      </c>
    </row>
    <row r="6035">
      <c r="A6035" s="33" t="n">
        <v>46104</v>
      </c>
      <c r="B6035" t="inlineStr">
        <is>
          <t>2026-03</t>
        </is>
      </c>
      <c r="C6035" t="inlineStr">
        <is>
          <t>Tren al Sur SpA</t>
        </is>
      </c>
      <c r="D6035" t="inlineStr">
        <is>
          <t>HORECA CAFETERIA</t>
        </is>
      </c>
      <c r="E6035" s="34" t="n">
        <v>103304</v>
      </c>
      <c r="F6035" t="inlineStr">
        <is>
          <t>F</t>
        </is>
      </c>
      <c r="G6035" s="34" t="n">
        <v>16494</v>
      </c>
      <c r="H6035" s="34" t="n">
        <v>86810</v>
      </c>
      <c r="I6035" t="inlineStr">
        <is>
          <t>3.1</t>
        </is>
      </c>
      <c r="J6035" t="inlineStr">
        <is>
          <t>Ventas HoReCa</t>
        </is>
      </c>
      <c r="K6035" t="inlineStr">
        <is>
          <t>CH1</t>
        </is>
      </c>
    </row>
    <row r="6036">
      <c r="A6036" s="33" t="n">
        <v>46104</v>
      </c>
      <c r="B6036" t="inlineStr">
        <is>
          <t>2026-03</t>
        </is>
      </c>
      <c r="C6036" t="inlineStr">
        <is>
          <t>Maria Amare</t>
        </is>
      </c>
      <c r="D6036" t="inlineStr">
        <is>
          <t>CANELÉ TRADICIONAL</t>
        </is>
      </c>
      <c r="E6036" s="34" t="n">
        <v>61290</v>
      </c>
      <c r="F6036" t="inlineStr">
        <is>
          <t>B</t>
        </is>
      </c>
      <c r="G6036" s="34" t="n">
        <v>9786</v>
      </c>
      <c r="H6036" s="34" t="n">
        <v>51504</v>
      </c>
      <c r="I6036" t="inlineStr">
        <is>
          <t>3.2</t>
        </is>
      </c>
      <c r="J6036" t="inlineStr">
        <is>
          <t>Ventas Personas (B2C)</t>
        </is>
      </c>
      <c r="K6036" t="inlineStr">
        <is>
          <t>CH2</t>
        </is>
      </c>
    </row>
    <row r="6037">
      <c r="A6037" s="33" t="n">
        <v>46104</v>
      </c>
      <c r="B6037" t="inlineStr">
        <is>
          <t>2026-03</t>
        </is>
      </c>
      <c r="C6037" t="inlineStr">
        <is>
          <t>Andrea Olea Normandin</t>
        </is>
      </c>
      <c r="D6037" t="inlineStr">
        <is>
          <t>Petit Crunchy</t>
        </is>
      </c>
      <c r="E6037" s="34" t="n">
        <v>37400</v>
      </c>
      <c r="F6037" t="inlineStr">
        <is>
          <t>B</t>
        </is>
      </c>
      <c r="G6037" s="34" t="n">
        <v>5971</v>
      </c>
      <c r="H6037" s="34" t="n">
        <v>31429</v>
      </c>
      <c r="I6037" t="inlineStr">
        <is>
          <t>3.2</t>
        </is>
      </c>
      <c r="J6037" t="inlineStr">
        <is>
          <t>Ventas Personas (B2C)</t>
        </is>
      </c>
      <c r="K6037" t="inlineStr">
        <is>
          <t>CH2</t>
        </is>
      </c>
    </row>
    <row r="6038">
      <c r="A6038" s="33" t="n">
        <v>46104</v>
      </c>
      <c r="B6038" t="inlineStr">
        <is>
          <t>2026-03</t>
        </is>
      </c>
      <c r="C6038" t="inlineStr">
        <is>
          <t>Pamela Iglesias</t>
        </is>
      </c>
      <c r="D6038" t="inlineStr">
        <is>
          <t>CANELÉ TRADICIONAL</t>
        </is>
      </c>
      <c r="E6038" s="34" t="n">
        <v>26390</v>
      </c>
      <c r="F6038" t="inlineStr">
        <is>
          <t>B</t>
        </is>
      </c>
      <c r="G6038" s="34" t="n">
        <v>4214</v>
      </c>
      <c r="H6038" s="34" t="n">
        <v>22176</v>
      </c>
      <c r="I6038" t="inlineStr">
        <is>
          <t>3.2</t>
        </is>
      </c>
      <c r="J6038" t="inlineStr">
        <is>
          <t>Ventas Personas (B2C)</t>
        </is>
      </c>
      <c r="K6038" t="inlineStr">
        <is>
          <t>CH2</t>
        </is>
      </c>
    </row>
    <row r="6039">
      <c r="A6039" s="33" t="n">
        <v>46104</v>
      </c>
      <c r="B6039" t="inlineStr">
        <is>
          <t>2026-03</t>
        </is>
      </c>
      <c r="C6039" t="inlineStr">
        <is>
          <t>Sofia Mereles</t>
        </is>
      </c>
      <c r="D6039" t="inlineStr">
        <is>
          <t>CANELE SIN AZUCAR</t>
        </is>
      </c>
      <c r="E6039" s="34" t="n">
        <v>31790</v>
      </c>
      <c r="F6039" t="inlineStr">
        <is>
          <t>B</t>
        </is>
      </c>
      <c r="G6039" s="34" t="n">
        <v>5076</v>
      </c>
      <c r="H6039" s="34" t="n">
        <v>26714</v>
      </c>
      <c r="I6039" t="inlineStr">
        <is>
          <t>3.2</t>
        </is>
      </c>
      <c r="J6039" t="inlineStr">
        <is>
          <t>Ventas Personas (B2C)</t>
        </is>
      </c>
      <c r="K6039" t="inlineStr">
        <is>
          <t>CH2</t>
        </is>
      </c>
    </row>
    <row r="6040">
      <c r="A6040" s="33" t="n">
        <v>46104</v>
      </c>
      <c r="B6040" t="inlineStr">
        <is>
          <t>2026-03</t>
        </is>
      </c>
      <c r="C6040" t="inlineStr">
        <is>
          <t>Sin cliente</t>
        </is>
      </c>
      <c r="D6040" t="inlineStr">
        <is>
          <t>PLATAFORMAS RAP-PEYA-UBER-GOOD</t>
        </is>
      </c>
      <c r="E6040" s="34" t="n">
        <v>16740</v>
      </c>
      <c r="F6040" t="inlineStr">
        <is>
          <t>B</t>
        </is>
      </c>
      <c r="G6040" s="34" t="n">
        <v>2673</v>
      </c>
      <c r="H6040" s="34" t="n">
        <v>14067</v>
      </c>
      <c r="I6040" t="inlineStr">
        <is>
          <t>3.6</t>
        </is>
      </c>
      <c r="J6040" t="inlineStr">
        <is>
          <t>Ventas Delivery Apps</t>
        </is>
      </c>
      <c r="K6040" t="inlineStr">
        <is>
          <t>CH3</t>
        </is>
      </c>
    </row>
    <row r="6041">
      <c r="A6041" s="33" t="n">
        <v>46104</v>
      </c>
      <c r="B6041" t="inlineStr">
        <is>
          <t>2026-03</t>
        </is>
      </c>
      <c r="C6041" t="inlineStr">
        <is>
          <t>Sin cliente</t>
        </is>
      </c>
      <c r="D6041" t="inlineStr">
        <is>
          <t>CANELÉ TRADICIONAL</t>
        </is>
      </c>
      <c r="E6041" s="34" t="n">
        <v>22900</v>
      </c>
      <c r="F6041" t="inlineStr">
        <is>
          <t>B</t>
        </is>
      </c>
      <c r="G6041" s="34" t="n">
        <v>3656</v>
      </c>
      <c r="H6041" s="34" t="n">
        <v>19244</v>
      </c>
      <c r="I6041" t="inlineStr">
        <is>
          <t>3.2</t>
        </is>
      </c>
      <c r="J6041" t="inlineStr">
        <is>
          <t>Ventas Personas (B2C)</t>
        </is>
      </c>
      <c r="K6041" t="inlineStr">
        <is>
          <t>CH2</t>
        </is>
      </c>
    </row>
    <row r="6042">
      <c r="A6042" s="33" t="n">
        <v>46104</v>
      </c>
      <c r="B6042" t="inlineStr">
        <is>
          <t>2026-03</t>
        </is>
      </c>
      <c r="C6042" t="inlineStr">
        <is>
          <t>Sin cliente</t>
        </is>
      </c>
      <c r="D6042" t="inlineStr">
        <is>
          <t>CANELÉ TRADICIONAL</t>
        </is>
      </c>
      <c r="E6042" s="34" t="n">
        <v>2500</v>
      </c>
      <c r="F6042" t="inlineStr">
        <is>
          <t>B</t>
        </is>
      </c>
      <c r="G6042" s="34" t="n">
        <v>399</v>
      </c>
      <c r="H6042" s="34" t="n">
        <v>2101</v>
      </c>
      <c r="I6042" t="inlineStr">
        <is>
          <t>3.2</t>
        </is>
      </c>
      <c r="J6042" t="inlineStr">
        <is>
          <t>Ventas Personas (B2C)</t>
        </is>
      </c>
      <c r="K6042" t="inlineStr">
        <is>
          <t>CH2</t>
        </is>
      </c>
    </row>
    <row r="6043">
      <c r="A6043" s="33" t="n">
        <v>46104</v>
      </c>
      <c r="B6043" t="inlineStr">
        <is>
          <t>2026-03</t>
        </is>
      </c>
      <c r="C6043" t="inlineStr">
        <is>
          <t>Sin cliente</t>
        </is>
      </c>
      <c r="D6043" t="inlineStr">
        <is>
          <t>Cafeteria Geronimo</t>
        </is>
      </c>
      <c r="E6043" s="34" t="n">
        <v>6700</v>
      </c>
      <c r="F6043" t="inlineStr">
        <is>
          <t>B</t>
        </is>
      </c>
      <c r="G6043" s="34" t="n">
        <v>1070</v>
      </c>
      <c r="H6043" s="34" t="n">
        <v>5630</v>
      </c>
      <c r="I6043" t="inlineStr">
        <is>
          <t>3.2</t>
        </is>
      </c>
      <c r="J6043" t="inlineStr">
        <is>
          <t>Ventas Personas (B2C)</t>
        </is>
      </c>
      <c r="K6043" t="inlineStr">
        <is>
          <t>CH2</t>
        </is>
      </c>
    </row>
    <row r="6044">
      <c r="A6044" s="33" t="n">
        <v>46104</v>
      </c>
      <c r="B6044" t="inlineStr">
        <is>
          <t>2026-03</t>
        </is>
      </c>
      <c r="C6044" t="inlineStr">
        <is>
          <t>Sin cliente</t>
        </is>
      </c>
      <c r="D6044" t="inlineStr">
        <is>
          <t>Rellenos</t>
        </is>
      </c>
      <c r="E6044" s="34" t="n">
        <v>13540</v>
      </c>
      <c r="F6044" t="inlineStr">
        <is>
          <t>B</t>
        </is>
      </c>
      <c r="G6044" s="34" t="n">
        <v>2162</v>
      </c>
      <c r="H6044" s="34" t="n">
        <v>11378</v>
      </c>
      <c r="I6044" t="inlineStr">
        <is>
          <t>3.6</t>
        </is>
      </c>
      <c r="J6044" t="inlineStr">
        <is>
          <t>Ventas Delivery Apps</t>
        </is>
      </c>
      <c r="K6044" t="inlineStr">
        <is>
          <t>CH3</t>
        </is>
      </c>
    </row>
    <row r="6045">
      <c r="A6045" s="33" t="n">
        <v>46104</v>
      </c>
      <c r="B6045" t="inlineStr">
        <is>
          <t>2026-03</t>
        </is>
      </c>
      <c r="C6045" t="inlineStr">
        <is>
          <t>Sin cliente</t>
        </is>
      </c>
      <c r="D6045" t="inlineStr">
        <is>
          <t>PLATAFORMAS RAP-PEYA-UBER-GOOD</t>
        </is>
      </c>
      <c r="E6045" s="34" t="n">
        <v>22080</v>
      </c>
      <c r="F6045" t="inlineStr">
        <is>
          <t>B</t>
        </is>
      </c>
      <c r="G6045" s="34" t="n">
        <v>3525</v>
      </c>
      <c r="H6045" s="34" t="n">
        <v>18555</v>
      </c>
      <c r="I6045" t="inlineStr">
        <is>
          <t>3.6</t>
        </is>
      </c>
      <c r="J6045" t="inlineStr">
        <is>
          <t>Ventas Delivery Apps</t>
        </is>
      </c>
      <c r="K6045" t="inlineStr">
        <is>
          <t>CH3</t>
        </is>
      </c>
    </row>
    <row r="6046">
      <c r="A6046" s="33" t="n">
        <v>46104</v>
      </c>
      <c r="B6046" t="inlineStr">
        <is>
          <t>2026-03</t>
        </is>
      </c>
      <c r="C6046" t="inlineStr">
        <is>
          <t>Nicolas Ulloa</t>
        </is>
      </c>
      <c r="D6046" t="inlineStr">
        <is>
          <t>Canelé Petit Relleno</t>
        </is>
      </c>
      <c r="E6046" s="34" t="n">
        <v>34390</v>
      </c>
      <c r="F6046" t="inlineStr">
        <is>
          <t>B</t>
        </is>
      </c>
      <c r="G6046" s="34" t="n">
        <v>5491</v>
      </c>
      <c r="H6046" s="34" t="n">
        <v>28899</v>
      </c>
      <c r="I6046" t="inlineStr">
        <is>
          <t>3.2</t>
        </is>
      </c>
      <c r="J6046" t="inlineStr">
        <is>
          <t>Ventas Personas (B2C)</t>
        </is>
      </c>
      <c r="K6046" t="inlineStr">
        <is>
          <t>CH2</t>
        </is>
      </c>
    </row>
    <row r="6047">
      <c r="A6047" s="33" t="n">
        <v>46105</v>
      </c>
      <c r="B6047" t="inlineStr">
        <is>
          <t>2026-03</t>
        </is>
      </c>
      <c r="C6047" t="inlineStr">
        <is>
          <t>HUERTO SUR LIMITADA</t>
        </is>
      </c>
      <c r="D6047" t="inlineStr">
        <is>
          <t>HORECA CAFETERIA</t>
        </is>
      </c>
      <c r="E6047" s="34" t="n">
        <v>103304</v>
      </c>
      <c r="F6047" t="inlineStr">
        <is>
          <t>F</t>
        </is>
      </c>
      <c r="G6047" s="34" t="n">
        <v>16494</v>
      </c>
      <c r="H6047" s="34" t="n">
        <v>86810</v>
      </c>
      <c r="I6047" t="inlineStr">
        <is>
          <t>3.1</t>
        </is>
      </c>
      <c r="J6047" t="inlineStr">
        <is>
          <t>Ventas HoReCa</t>
        </is>
      </c>
      <c r="K6047" t="inlineStr">
        <is>
          <t>CH1</t>
        </is>
      </c>
    </row>
    <row r="6048">
      <c r="A6048" s="33" t="n">
        <v>46105</v>
      </c>
      <c r="B6048" t="inlineStr">
        <is>
          <t>2026-03</t>
        </is>
      </c>
      <c r="C6048" t="inlineStr">
        <is>
          <t>INVERSIONES Y COMERCIALIZADORA FED LIMITADA</t>
        </is>
      </c>
      <c r="D6048" t="inlineStr">
        <is>
          <t>HORECA CAFETERIA</t>
        </is>
      </c>
      <c r="E6048" s="34" t="n">
        <v>116142</v>
      </c>
      <c r="F6048" t="inlineStr">
        <is>
          <t>F</t>
        </is>
      </c>
      <c r="G6048" s="34" t="n">
        <v>18544</v>
      </c>
      <c r="H6048" s="34" t="n">
        <v>97598</v>
      </c>
      <c r="I6048" t="inlineStr">
        <is>
          <t>3.1</t>
        </is>
      </c>
      <c r="J6048" t="inlineStr">
        <is>
          <t>Ventas HoReCa</t>
        </is>
      </c>
      <c r="K6048" t="inlineStr">
        <is>
          <t>CH1</t>
        </is>
      </c>
    </row>
    <row r="6049">
      <c r="A6049" s="33" t="n">
        <v>46105</v>
      </c>
      <c r="B6049" t="inlineStr">
        <is>
          <t>2026-03</t>
        </is>
      </c>
      <c r="C6049" t="inlineStr">
        <is>
          <t>INVERSIONES Y COMERCIALIZADORA FED LIMITADA</t>
        </is>
      </c>
      <c r="D6049" t="inlineStr">
        <is>
          <t>HORECA CAFETERIA</t>
        </is>
      </c>
      <c r="E6049" s="34" t="n">
        <v>227642</v>
      </c>
      <c r="F6049" t="inlineStr">
        <is>
          <t>F</t>
        </is>
      </c>
      <c r="G6049" s="34" t="n">
        <v>36346</v>
      </c>
      <c r="H6049" s="34" t="n">
        <v>191296</v>
      </c>
      <c r="I6049" t="inlineStr">
        <is>
          <t>3.1</t>
        </is>
      </c>
      <c r="J6049" t="inlineStr">
        <is>
          <t>Ventas HoReCa</t>
        </is>
      </c>
      <c r="K6049" t="inlineStr">
        <is>
          <t>CH1</t>
        </is>
      </c>
    </row>
    <row r="6050">
      <c r="A6050" s="33" t="n">
        <v>46105</v>
      </c>
      <c r="B6050" t="inlineStr">
        <is>
          <t>2026-03</t>
        </is>
      </c>
      <c r="C6050" t="inlineStr">
        <is>
          <t>Maria Amare</t>
        </is>
      </c>
      <c r="D6050" t="inlineStr">
        <is>
          <t>CANELÉ TRADICIONAL</t>
        </is>
      </c>
      <c r="E6050" s="34" t="n">
        <v>-61290</v>
      </c>
      <c r="F6050" t="inlineStr">
        <is>
          <t>NC</t>
        </is>
      </c>
      <c r="G6050" s="34" t="n">
        <v>-9786</v>
      </c>
      <c r="H6050" s="34" t="n">
        <v>-51504</v>
      </c>
      <c r="I6050" t="inlineStr">
        <is>
          <t>3.2</t>
        </is>
      </c>
      <c r="J6050" t="inlineStr">
        <is>
          <t>Ventas Personas (B2C)</t>
        </is>
      </c>
      <c r="K6050" t="inlineStr">
        <is>
          <t>CH2</t>
        </is>
      </c>
    </row>
    <row r="6051">
      <c r="A6051" s="33" t="n">
        <v>46105</v>
      </c>
      <c r="B6051" t="inlineStr">
        <is>
          <t>2026-03</t>
        </is>
      </c>
      <c r="C6051" t="inlineStr">
        <is>
          <t>Maria Amare</t>
        </is>
      </c>
      <c r="D6051" t="inlineStr">
        <is>
          <t>Petit Tradicional</t>
        </is>
      </c>
      <c r="E6051" s="34" t="n">
        <v>69090</v>
      </c>
      <c r="F6051" t="inlineStr">
        <is>
          <t>B</t>
        </is>
      </c>
      <c r="G6051" s="34" t="n">
        <v>11031</v>
      </c>
      <c r="H6051" s="34" t="n">
        <v>58059</v>
      </c>
      <c r="I6051" t="inlineStr">
        <is>
          <t>3.2</t>
        </is>
      </c>
      <c r="J6051" t="inlineStr">
        <is>
          <t>Ventas Personas (B2C)</t>
        </is>
      </c>
      <c r="K6051" t="inlineStr">
        <is>
          <t>CH2</t>
        </is>
      </c>
    </row>
    <row r="6052">
      <c r="A6052" s="33" t="n">
        <v>46105</v>
      </c>
      <c r="B6052" t="inlineStr">
        <is>
          <t>2026-03</t>
        </is>
      </c>
      <c r="C6052" t="inlineStr">
        <is>
          <t>María Torres Tabalí</t>
        </is>
      </c>
      <c r="D6052" t="inlineStr">
        <is>
          <t>PACKAGING</t>
        </is>
      </c>
      <c r="E6052" s="34" t="n">
        <v>14490</v>
      </c>
      <c r="F6052" t="inlineStr">
        <is>
          <t>B</t>
        </is>
      </c>
      <c r="G6052" s="34" t="n">
        <v>2314</v>
      </c>
      <c r="H6052" s="34" t="n">
        <v>12176</v>
      </c>
      <c r="I6052" t="inlineStr">
        <is>
          <t>3.2</t>
        </is>
      </c>
      <c r="J6052" t="inlineStr">
        <is>
          <t>Ventas Personas (B2C)</t>
        </is>
      </c>
      <c r="K6052" t="inlineStr">
        <is>
          <t>CH2</t>
        </is>
      </c>
    </row>
    <row r="6053">
      <c r="A6053" s="33" t="n">
        <v>46105</v>
      </c>
      <c r="B6053" t="inlineStr">
        <is>
          <t>2026-03</t>
        </is>
      </c>
      <c r="C6053" t="inlineStr">
        <is>
          <t>ASESORIAS PROFESIONALES ASPRO LIMITADA</t>
        </is>
      </c>
      <c r="D6053" t="inlineStr">
        <is>
          <t>Petit Crunchy</t>
        </is>
      </c>
      <c r="E6053" s="34" t="n">
        <v>35900</v>
      </c>
      <c r="F6053" t="inlineStr">
        <is>
          <t>F</t>
        </is>
      </c>
      <c r="G6053" s="34" t="n">
        <v>5732</v>
      </c>
      <c r="H6053" s="34" t="n">
        <v>30168</v>
      </c>
      <c r="I6053" t="inlineStr">
        <is>
          <t>3.1</t>
        </is>
      </c>
      <c r="J6053" t="inlineStr">
        <is>
          <t>Ventas HoReCa</t>
        </is>
      </c>
      <c r="K6053" t="inlineStr">
        <is>
          <t>CH1</t>
        </is>
      </c>
    </row>
    <row r="6054">
      <c r="A6054" s="33" t="n">
        <v>46105</v>
      </c>
      <c r="B6054" t="inlineStr">
        <is>
          <t>2026-03</t>
        </is>
      </c>
      <c r="C6054" t="inlineStr">
        <is>
          <t>BLUE OAK COFFE SPA</t>
        </is>
      </c>
      <c r="D6054" t="inlineStr">
        <is>
          <t>HORECA CAFETERIA</t>
        </is>
      </c>
      <c r="E6054" s="34" t="n">
        <v>71210</v>
      </c>
      <c r="F6054" t="inlineStr">
        <is>
          <t>F</t>
        </is>
      </c>
      <c r="G6054" s="34" t="n">
        <v>11370</v>
      </c>
      <c r="H6054" s="34" t="n">
        <v>59840</v>
      </c>
      <c r="I6054" t="inlineStr">
        <is>
          <t>3.1</t>
        </is>
      </c>
      <c r="J6054" t="inlineStr">
        <is>
          <t>Ventas HoReCa</t>
        </is>
      </c>
      <c r="K6054" t="inlineStr">
        <is>
          <t>CH1</t>
        </is>
      </c>
    </row>
    <row r="6055">
      <c r="A6055" s="33" t="n">
        <v>46105</v>
      </c>
      <c r="B6055" t="inlineStr">
        <is>
          <t>2026-03</t>
        </is>
      </c>
      <c r="C6055" t="inlineStr">
        <is>
          <t>Sin cliente</t>
        </is>
      </c>
      <c r="D6055" t="inlineStr">
        <is>
          <t>Cafeteria Geronimo</t>
        </is>
      </c>
      <c r="E6055" s="34" t="n">
        <v>10300</v>
      </c>
      <c r="F6055" t="inlineStr">
        <is>
          <t>B</t>
        </is>
      </c>
      <c r="G6055" s="34" t="n">
        <v>1645</v>
      </c>
      <c r="H6055" s="34" t="n">
        <v>8655</v>
      </c>
      <c r="I6055" t="inlineStr">
        <is>
          <t>3.2</t>
        </is>
      </c>
      <c r="J6055" t="inlineStr">
        <is>
          <t>Ventas Personas (B2C)</t>
        </is>
      </c>
      <c r="K6055" t="inlineStr">
        <is>
          <t>CH2</t>
        </is>
      </c>
    </row>
    <row r="6056">
      <c r="A6056" s="33" t="n">
        <v>46105</v>
      </c>
      <c r="B6056" t="inlineStr">
        <is>
          <t>2026-03</t>
        </is>
      </c>
      <c r="C6056" t="inlineStr">
        <is>
          <t>Sin cliente</t>
        </is>
      </c>
      <c r="D6056" t="inlineStr">
        <is>
          <t>Petit Tradicional</t>
        </is>
      </c>
      <c r="E6056" s="34" t="n">
        <v>13000</v>
      </c>
      <c r="F6056" t="inlineStr">
        <is>
          <t>B</t>
        </is>
      </c>
      <c r="G6056" s="34" t="n">
        <v>2076</v>
      </c>
      <c r="H6056" s="34" t="n">
        <v>10924</v>
      </c>
      <c r="I6056" t="inlineStr">
        <is>
          <t>3.2</t>
        </is>
      </c>
      <c r="J6056" t="inlineStr">
        <is>
          <t>Ventas Personas (B2C)</t>
        </is>
      </c>
      <c r="K6056" t="inlineStr">
        <is>
          <t>CH2</t>
        </is>
      </c>
    </row>
    <row r="6057">
      <c r="A6057" s="33" t="n">
        <v>46105</v>
      </c>
      <c r="B6057" t="inlineStr">
        <is>
          <t>2026-03</t>
        </is>
      </c>
      <c r="C6057" t="inlineStr">
        <is>
          <t>Sin cliente</t>
        </is>
      </c>
      <c r="D6057" t="inlineStr">
        <is>
          <t>Delicatessen</t>
        </is>
      </c>
      <c r="E6057" s="34" t="n">
        <v>9800</v>
      </c>
      <c r="F6057" t="inlineStr">
        <is>
          <t>B</t>
        </is>
      </c>
      <c r="G6057" s="34" t="n">
        <v>1565</v>
      </c>
      <c r="H6057" s="34" t="n">
        <v>8235</v>
      </c>
      <c r="I6057" t="inlineStr">
        <is>
          <t>3.2</t>
        </is>
      </c>
      <c r="J6057" t="inlineStr">
        <is>
          <t>Ventas Personas (B2C)</t>
        </is>
      </c>
      <c r="K6057" t="inlineStr">
        <is>
          <t>CH2</t>
        </is>
      </c>
    </row>
    <row r="6058">
      <c r="A6058" s="33" t="n">
        <v>46105</v>
      </c>
      <c r="B6058" t="inlineStr">
        <is>
          <t>2026-03</t>
        </is>
      </c>
      <c r="C6058" t="inlineStr">
        <is>
          <t>Sin cliente</t>
        </is>
      </c>
      <c r="D6058" t="inlineStr">
        <is>
          <t>Cafeteria Geronimo</t>
        </is>
      </c>
      <c r="E6058" s="34" t="n">
        <v>8200</v>
      </c>
      <c r="F6058" t="inlineStr">
        <is>
          <t>B</t>
        </is>
      </c>
      <c r="G6058" s="34" t="n">
        <v>1309</v>
      </c>
      <c r="H6058" s="34" t="n">
        <v>6891</v>
      </c>
      <c r="I6058" t="inlineStr">
        <is>
          <t>3.2</t>
        </is>
      </c>
      <c r="J6058" t="inlineStr">
        <is>
          <t>Ventas Personas (B2C)</t>
        </is>
      </c>
      <c r="K6058" t="inlineStr">
        <is>
          <t>CH2</t>
        </is>
      </c>
    </row>
    <row r="6059">
      <c r="A6059" s="33" t="n">
        <v>46105</v>
      </c>
      <c r="B6059" t="inlineStr">
        <is>
          <t>2026-03</t>
        </is>
      </c>
      <c r="C6059" t="inlineStr">
        <is>
          <t>Sin cliente</t>
        </is>
      </c>
      <c r="D6059" t="inlineStr">
        <is>
          <t>Cafeteria Geronimo</t>
        </is>
      </c>
      <c r="E6059" s="34" t="n">
        <v>24400</v>
      </c>
      <c r="F6059" t="inlineStr">
        <is>
          <t>B</t>
        </is>
      </c>
      <c r="G6059" s="34" t="n">
        <v>3896</v>
      </c>
      <c r="H6059" s="34" t="n">
        <v>20504</v>
      </c>
      <c r="I6059" t="inlineStr">
        <is>
          <t>3.2</t>
        </is>
      </c>
      <c r="J6059" t="inlineStr">
        <is>
          <t>Ventas Personas (B2C)</t>
        </is>
      </c>
      <c r="K6059" t="inlineStr">
        <is>
          <t>CH2</t>
        </is>
      </c>
    </row>
    <row r="6060">
      <c r="A6060" s="33" t="n">
        <v>46105</v>
      </c>
      <c r="B6060" t="inlineStr">
        <is>
          <t>2026-03</t>
        </is>
      </c>
      <c r="C6060" t="inlineStr">
        <is>
          <t>Beatriz Saelzer</t>
        </is>
      </c>
      <c r="D6060" t="inlineStr">
        <is>
          <t>PACKAGING</t>
        </is>
      </c>
      <c r="E6060" s="34" t="n">
        <v>27480</v>
      </c>
      <c r="F6060" t="inlineStr">
        <is>
          <t>B</t>
        </is>
      </c>
      <c r="G6060" s="34" t="n">
        <v>4388</v>
      </c>
      <c r="H6060" s="34" t="n">
        <v>23092</v>
      </c>
      <c r="I6060" t="inlineStr">
        <is>
          <t>3.2</t>
        </is>
      </c>
      <c r="J6060" t="inlineStr">
        <is>
          <t>Ventas Personas (B2C)</t>
        </is>
      </c>
      <c r="K6060" t="inlineStr">
        <is>
          <t>CH2</t>
        </is>
      </c>
    </row>
    <row r="6061">
      <c r="A6061" s="33" t="n">
        <v>46105</v>
      </c>
      <c r="B6061" t="inlineStr">
        <is>
          <t>2026-03</t>
        </is>
      </c>
      <c r="C6061" t="inlineStr">
        <is>
          <t>Sin cliente</t>
        </is>
      </c>
      <c r="D6061" t="inlineStr">
        <is>
          <t>CANELÉ TRADICIONAL</t>
        </is>
      </c>
      <c r="E6061" s="34" t="n">
        <v>10000</v>
      </c>
      <c r="F6061" t="inlineStr">
        <is>
          <t>B</t>
        </is>
      </c>
      <c r="G6061" s="34" t="n">
        <v>1597</v>
      </c>
      <c r="H6061" s="34" t="n">
        <v>8403</v>
      </c>
      <c r="I6061" t="inlineStr">
        <is>
          <t>3.2</t>
        </is>
      </c>
      <c r="J6061" t="inlineStr">
        <is>
          <t>Ventas Personas (B2C)</t>
        </is>
      </c>
      <c r="K6061" t="inlineStr">
        <is>
          <t>CH2</t>
        </is>
      </c>
    </row>
    <row r="6062">
      <c r="A6062" s="33" t="n">
        <v>46105</v>
      </c>
      <c r="B6062" t="inlineStr">
        <is>
          <t>2026-03</t>
        </is>
      </c>
      <c r="C6062" t="inlineStr">
        <is>
          <t>Sin cliente</t>
        </is>
      </c>
      <c r="D6062" t="inlineStr">
        <is>
          <t>CANELÉ TRADICIONAL</t>
        </is>
      </c>
      <c r="E6062" s="34" t="n">
        <v>11000</v>
      </c>
      <c r="F6062" t="inlineStr">
        <is>
          <t>B</t>
        </is>
      </c>
      <c r="G6062" s="34" t="n">
        <v>1756</v>
      </c>
      <c r="H6062" s="34" t="n">
        <v>9244</v>
      </c>
      <c r="I6062" t="inlineStr">
        <is>
          <t>3.2</t>
        </is>
      </c>
      <c r="J6062" t="inlineStr">
        <is>
          <t>Ventas Personas (B2C)</t>
        </is>
      </c>
      <c r="K6062" t="inlineStr">
        <is>
          <t>CH2</t>
        </is>
      </c>
    </row>
    <row r="6063">
      <c r="A6063" s="33" t="n">
        <v>46105</v>
      </c>
      <c r="B6063" t="inlineStr">
        <is>
          <t>2026-03</t>
        </is>
      </c>
      <c r="C6063" t="inlineStr">
        <is>
          <t>Sin cliente</t>
        </is>
      </c>
      <c r="D6063" t="inlineStr">
        <is>
          <t>PLATAFORMAS RAP-PEYA-UBER-GOOD</t>
        </is>
      </c>
      <c r="E6063" s="34" t="n">
        <v>35760</v>
      </c>
      <c r="F6063" t="inlineStr">
        <is>
          <t>B</t>
        </is>
      </c>
      <c r="G6063" s="34" t="n">
        <v>5710</v>
      </c>
      <c r="H6063" s="34" t="n">
        <v>30050</v>
      </c>
      <c r="I6063" t="inlineStr">
        <is>
          <t>3.6</t>
        </is>
      </c>
      <c r="J6063" t="inlineStr">
        <is>
          <t>Ventas Delivery Apps</t>
        </is>
      </c>
      <c r="K6063" t="inlineStr">
        <is>
          <t>CH3</t>
        </is>
      </c>
    </row>
    <row r="6064">
      <c r="A6064" s="33" t="n">
        <v>46105</v>
      </c>
      <c r="B6064" t="inlineStr">
        <is>
          <t>2026-03</t>
        </is>
      </c>
      <c r="C6064" t="inlineStr">
        <is>
          <t>Sin cliente</t>
        </is>
      </c>
      <c r="D6064" t="inlineStr">
        <is>
          <t>Cafeteria Geronimo</t>
        </is>
      </c>
      <c r="E6064" s="34" t="n">
        <v>4500</v>
      </c>
      <c r="F6064" t="inlineStr">
        <is>
          <t>B</t>
        </is>
      </c>
      <c r="G6064" s="34" t="n">
        <v>718</v>
      </c>
      <c r="H6064" s="34" t="n">
        <v>3782</v>
      </c>
      <c r="I6064" t="inlineStr">
        <is>
          <t>3.2</t>
        </is>
      </c>
      <c r="J6064" t="inlineStr">
        <is>
          <t>Ventas Personas (B2C)</t>
        </is>
      </c>
      <c r="K6064" t="inlineStr">
        <is>
          <t>CH2</t>
        </is>
      </c>
    </row>
    <row r="6065">
      <c r="A6065" s="33" t="n">
        <v>46105</v>
      </c>
      <c r="B6065" t="inlineStr">
        <is>
          <t>2026-03</t>
        </is>
      </c>
      <c r="C6065" t="inlineStr">
        <is>
          <t>Sin cliente</t>
        </is>
      </c>
      <c r="D6065" t="inlineStr">
        <is>
          <t>Cafeteria Geronimo</t>
        </is>
      </c>
      <c r="E6065" s="34" t="n">
        <v>4500</v>
      </c>
      <c r="F6065" t="inlineStr">
        <is>
          <t>B</t>
        </is>
      </c>
      <c r="G6065" s="34" t="n">
        <v>718</v>
      </c>
      <c r="H6065" s="34" t="n">
        <v>3782</v>
      </c>
      <c r="I6065" t="inlineStr">
        <is>
          <t>3.2</t>
        </is>
      </c>
      <c r="J6065" t="inlineStr">
        <is>
          <t>Ventas Personas (B2C)</t>
        </is>
      </c>
      <c r="K6065" t="inlineStr">
        <is>
          <t>CH2</t>
        </is>
      </c>
    </row>
    <row r="6066">
      <c r="A6066" s="33" t="n">
        <v>46105</v>
      </c>
      <c r="B6066" t="inlineStr">
        <is>
          <t>2026-03</t>
        </is>
      </c>
      <c r="C6066" t="inlineStr">
        <is>
          <t>Sin cliente</t>
        </is>
      </c>
      <c r="D6066" t="inlineStr">
        <is>
          <t>Cafeteria Geronimo</t>
        </is>
      </c>
      <c r="E6066" s="34" t="n">
        <v>7900</v>
      </c>
      <c r="F6066" t="inlineStr">
        <is>
          <t>B</t>
        </is>
      </c>
      <c r="G6066" s="34" t="n">
        <v>1261</v>
      </c>
      <c r="H6066" s="34" t="n">
        <v>6639</v>
      </c>
      <c r="I6066" t="inlineStr">
        <is>
          <t>3.2</t>
        </is>
      </c>
      <c r="J6066" t="inlineStr">
        <is>
          <t>Ventas Personas (B2C)</t>
        </is>
      </c>
      <c r="K6066" t="inlineStr">
        <is>
          <t>CH2</t>
        </is>
      </c>
    </row>
    <row r="6067">
      <c r="A6067" s="33" t="n">
        <v>46105</v>
      </c>
      <c r="B6067" t="inlineStr">
        <is>
          <t>2026-03</t>
        </is>
      </c>
      <c r="C6067" t="inlineStr">
        <is>
          <t>Sin cliente</t>
        </is>
      </c>
      <c r="D6067" t="inlineStr">
        <is>
          <t>CANELÉ TRADICIONAL</t>
        </is>
      </c>
      <c r="E6067" s="34" t="n">
        <v>15900</v>
      </c>
      <c r="F6067" t="inlineStr">
        <is>
          <t>B</t>
        </is>
      </c>
      <c r="G6067" s="34" t="n">
        <v>2539</v>
      </c>
      <c r="H6067" s="34" t="n">
        <v>13361</v>
      </c>
      <c r="I6067" t="inlineStr">
        <is>
          <t>3.2</t>
        </is>
      </c>
      <c r="J6067" t="inlineStr">
        <is>
          <t>Ventas Personas (B2C)</t>
        </is>
      </c>
      <c r="K6067" t="inlineStr">
        <is>
          <t>CH2</t>
        </is>
      </c>
    </row>
    <row r="6068">
      <c r="A6068" s="33" t="n">
        <v>46105</v>
      </c>
      <c r="B6068" t="inlineStr">
        <is>
          <t>2026-03</t>
        </is>
      </c>
      <c r="C6068" t="inlineStr">
        <is>
          <t>Sin cliente</t>
        </is>
      </c>
      <c r="D6068" t="inlineStr">
        <is>
          <t>CANELÉ TRADICIONAL</t>
        </is>
      </c>
      <c r="E6068" s="34" t="n">
        <v>2500</v>
      </c>
      <c r="F6068" t="inlineStr">
        <is>
          <t>B</t>
        </is>
      </c>
      <c r="G6068" s="34" t="n">
        <v>399</v>
      </c>
      <c r="H6068" s="34" t="n">
        <v>2101</v>
      </c>
      <c r="I6068" t="inlineStr">
        <is>
          <t>3.2</t>
        </is>
      </c>
      <c r="J6068" t="inlineStr">
        <is>
          <t>Ventas Personas (B2C)</t>
        </is>
      </c>
      <c r="K6068" t="inlineStr">
        <is>
          <t>CH2</t>
        </is>
      </c>
    </row>
    <row r="6069">
      <c r="A6069" s="33" t="n">
        <v>46105</v>
      </c>
      <c r="B6069" t="inlineStr">
        <is>
          <t>2026-03</t>
        </is>
      </c>
      <c r="C6069" t="inlineStr">
        <is>
          <t>Sin cliente</t>
        </is>
      </c>
      <c r="D6069" t="inlineStr">
        <is>
          <t>CANELÉ TRADICIONAL</t>
        </is>
      </c>
      <c r="E6069" s="34" t="n">
        <v>5000</v>
      </c>
      <c r="F6069" t="inlineStr">
        <is>
          <t>B</t>
        </is>
      </c>
      <c r="G6069" s="34" t="n">
        <v>798</v>
      </c>
      <c r="H6069" s="34" t="n">
        <v>4202</v>
      </c>
      <c r="I6069" t="inlineStr">
        <is>
          <t>3.2</t>
        </is>
      </c>
      <c r="J6069" t="inlineStr">
        <is>
          <t>Ventas Personas (B2C)</t>
        </is>
      </c>
      <c r="K6069" t="inlineStr">
        <is>
          <t>CH2</t>
        </is>
      </c>
    </row>
    <row r="6070">
      <c r="A6070" s="33" t="n">
        <v>46105</v>
      </c>
      <c r="B6070" t="inlineStr">
        <is>
          <t>2026-03</t>
        </is>
      </c>
      <c r="C6070" t="inlineStr">
        <is>
          <t>Sin cliente</t>
        </is>
      </c>
      <c r="D6070" t="inlineStr">
        <is>
          <t>CANELÉ TRADICIONAL</t>
        </is>
      </c>
      <c r="E6070" s="34" t="n">
        <v>22865</v>
      </c>
      <c r="F6070" t="inlineStr">
        <is>
          <t>B</t>
        </is>
      </c>
      <c r="G6070" s="34" t="n">
        <v>3651</v>
      </c>
      <c r="H6070" s="34" t="n">
        <v>19214</v>
      </c>
      <c r="I6070" t="inlineStr">
        <is>
          <t>3.2</t>
        </is>
      </c>
      <c r="J6070" t="inlineStr">
        <is>
          <t>Ventas Personas (B2C)</t>
        </is>
      </c>
      <c r="K6070" t="inlineStr">
        <is>
          <t>CH2</t>
        </is>
      </c>
    </row>
    <row r="6071">
      <c r="A6071" s="33" t="n">
        <v>46105</v>
      </c>
      <c r="B6071" t="inlineStr">
        <is>
          <t>2026-03</t>
        </is>
      </c>
      <c r="C6071" t="inlineStr">
        <is>
          <t>Sin cliente</t>
        </is>
      </c>
      <c r="D6071" t="inlineStr">
        <is>
          <t>Rellenos</t>
        </is>
      </c>
      <c r="E6071" s="34" t="n">
        <v>16065</v>
      </c>
      <c r="F6071" t="inlineStr">
        <is>
          <t>B</t>
        </is>
      </c>
      <c r="G6071" s="34" t="n">
        <v>2565</v>
      </c>
      <c r="H6071" s="34" t="n">
        <v>13500</v>
      </c>
      <c r="I6071" t="inlineStr">
        <is>
          <t>3.2</t>
        </is>
      </c>
      <c r="J6071" t="inlineStr">
        <is>
          <t>Ventas Personas (B2C)</t>
        </is>
      </c>
      <c r="K6071" t="inlineStr">
        <is>
          <t>CH2</t>
        </is>
      </c>
    </row>
    <row r="6072">
      <c r="A6072" s="33" t="n">
        <v>46105</v>
      </c>
      <c r="B6072" t="inlineStr">
        <is>
          <t>2026-03</t>
        </is>
      </c>
      <c r="C6072" t="inlineStr">
        <is>
          <t>Sin cliente</t>
        </is>
      </c>
      <c r="D6072" t="inlineStr">
        <is>
          <t>PLATAFORMAS RAP-PEYA-UBER-GOOD</t>
        </is>
      </c>
      <c r="E6072" s="34" t="n">
        <v>16560</v>
      </c>
      <c r="F6072" t="inlineStr">
        <is>
          <t>B</t>
        </is>
      </c>
      <c r="G6072" s="34" t="n">
        <v>2644</v>
      </c>
      <c r="H6072" s="34" t="n">
        <v>13916</v>
      </c>
      <c r="I6072" t="inlineStr">
        <is>
          <t>3.6</t>
        </is>
      </c>
      <c r="J6072" t="inlineStr">
        <is>
          <t>Ventas Delivery Apps</t>
        </is>
      </c>
      <c r="K6072" t="inlineStr">
        <is>
          <t>CH3</t>
        </is>
      </c>
    </row>
    <row r="6073">
      <c r="A6073" s="33" t="n">
        <v>46106</v>
      </c>
      <c r="B6073" t="inlineStr">
        <is>
          <t>2026-03</t>
        </is>
      </c>
      <c r="C6073" t="inlineStr">
        <is>
          <t>Inversiones Café Dominicos SpA</t>
        </is>
      </c>
      <c r="D6073" t="inlineStr">
        <is>
          <t xml:space="preserve">THE COFFEE STORE </t>
        </is>
      </c>
      <c r="E6073" s="34" t="n">
        <v>42325</v>
      </c>
      <c r="F6073" t="inlineStr">
        <is>
          <t>F</t>
        </is>
      </c>
      <c r="G6073" s="34" t="n">
        <v>6758</v>
      </c>
      <c r="H6073" s="34" t="n">
        <v>35567</v>
      </c>
      <c r="I6073" t="inlineStr">
        <is>
          <t>3.1</t>
        </is>
      </c>
      <c r="J6073" t="inlineStr">
        <is>
          <t>Ventas HoReCa</t>
        </is>
      </c>
      <c r="K6073" t="inlineStr">
        <is>
          <t>CH1</t>
        </is>
      </c>
    </row>
    <row r="6074">
      <c r="A6074" s="33" t="n">
        <v>46106</v>
      </c>
      <c r="B6074" t="inlineStr">
        <is>
          <t>2026-03</t>
        </is>
      </c>
      <c r="C6074" t="inlineStr">
        <is>
          <t>Granos de esperanza Spa</t>
        </is>
      </c>
      <c r="D6074" t="inlineStr">
        <is>
          <t>Glosa Horeca Pack 30 unidades - canelés tradicionales sin az</t>
        </is>
      </c>
      <c r="E6074" s="34" t="n">
        <v>82110</v>
      </c>
      <c r="F6074" t="inlineStr">
        <is>
          <t>F</t>
        </is>
      </c>
      <c r="G6074" s="34" t="n">
        <v>13110</v>
      </c>
      <c r="H6074" s="34" t="n">
        <v>69000</v>
      </c>
      <c r="I6074" t="inlineStr">
        <is>
          <t>3.1</t>
        </is>
      </c>
      <c r="J6074" t="inlineStr">
        <is>
          <t>Ventas HoReCa</t>
        </is>
      </c>
      <c r="K6074" t="inlineStr">
        <is>
          <t>CH1</t>
        </is>
      </c>
    </row>
    <row r="6075">
      <c r="A6075" s="33" t="n">
        <v>46106</v>
      </c>
      <c r="B6075" t="inlineStr">
        <is>
          <t>2026-03</t>
        </is>
      </c>
      <c r="C6075" t="inlineStr">
        <is>
          <t>Luis Felipe La Corte Castro</t>
        </is>
      </c>
      <c r="D6075" t="inlineStr">
        <is>
          <t>HORECA CAFETERIA</t>
        </is>
      </c>
      <c r="E6075" s="34" t="n">
        <v>103304</v>
      </c>
      <c r="F6075" t="inlineStr">
        <is>
          <t>F</t>
        </is>
      </c>
      <c r="G6075" s="34" t="n">
        <v>16494</v>
      </c>
      <c r="H6075" s="34" t="n">
        <v>86810</v>
      </c>
      <c r="I6075" t="inlineStr">
        <is>
          <t>3.1</t>
        </is>
      </c>
      <c r="J6075" t="inlineStr">
        <is>
          <t>Ventas HoReCa</t>
        </is>
      </c>
      <c r="K6075" t="inlineStr">
        <is>
          <t>CH1</t>
        </is>
      </c>
    </row>
    <row r="6076">
      <c r="A6076" s="33" t="n">
        <v>46106</v>
      </c>
      <c r="B6076" t="inlineStr">
        <is>
          <t>2026-03</t>
        </is>
      </c>
      <c r="C6076" t="inlineStr">
        <is>
          <t>BACOLIO SPA</t>
        </is>
      </c>
      <c r="D6076" t="inlineStr">
        <is>
          <t>HORECA CAFETERIA</t>
        </is>
      </c>
      <c r="E6076" s="34" t="n">
        <v>39115</v>
      </c>
      <c r="F6076" t="inlineStr">
        <is>
          <t>F</t>
        </is>
      </c>
      <c r="G6076" s="34" t="n">
        <v>6245</v>
      </c>
      <c r="H6076" s="34" t="n">
        <v>32870</v>
      </c>
      <c r="I6076" t="inlineStr">
        <is>
          <t>3.1</t>
        </is>
      </c>
      <c r="J6076" t="inlineStr">
        <is>
          <t>Ventas HoReCa</t>
        </is>
      </c>
      <c r="K6076" t="inlineStr">
        <is>
          <t>CH1</t>
        </is>
      </c>
    </row>
    <row r="6077">
      <c r="A6077" s="33" t="n">
        <v>46106</v>
      </c>
      <c r="B6077" t="inlineStr">
        <is>
          <t>2026-03</t>
        </is>
      </c>
      <c r="C6077" t="inlineStr">
        <is>
          <t>Producciones la Martina Limitada</t>
        </is>
      </c>
      <c r="D6077" t="inlineStr">
        <is>
          <t>HORECA CATERING</t>
        </is>
      </c>
      <c r="E6077" s="34" t="n">
        <v>63665</v>
      </c>
      <c r="F6077" t="inlineStr">
        <is>
          <t>F</t>
        </is>
      </c>
      <c r="G6077" s="34" t="n">
        <v>10165</v>
      </c>
      <c r="H6077" s="34" t="n">
        <v>53500</v>
      </c>
      <c r="I6077" t="inlineStr">
        <is>
          <t>3.1</t>
        </is>
      </c>
      <c r="J6077" t="inlineStr">
        <is>
          <t>Ventas HoReCa</t>
        </is>
      </c>
      <c r="K6077" t="inlineStr">
        <is>
          <t>CH1</t>
        </is>
      </c>
    </row>
    <row r="6078">
      <c r="A6078" s="33" t="n">
        <v>46106</v>
      </c>
      <c r="B6078" t="inlineStr">
        <is>
          <t>2026-03</t>
        </is>
      </c>
      <c r="C6078" t="inlineStr">
        <is>
          <t>CONSTRUCTORA CUEVAS Y PURCELL S.A.</t>
        </is>
      </c>
      <c r="D6078" t="inlineStr">
        <is>
          <t>Petit Crunchy</t>
        </is>
      </c>
      <c r="E6078" s="34" t="n">
        <v>42921</v>
      </c>
      <c r="F6078" t="inlineStr">
        <is>
          <t>F</t>
        </is>
      </c>
      <c r="G6078" s="34" t="n">
        <v>6853</v>
      </c>
      <c r="H6078" s="34" t="n">
        <v>36068</v>
      </c>
      <c r="I6078" t="inlineStr">
        <is>
          <t>3.1</t>
        </is>
      </c>
      <c r="J6078" t="inlineStr">
        <is>
          <t>Ventas HoReCa</t>
        </is>
      </c>
      <c r="K6078" t="inlineStr">
        <is>
          <t>CH1</t>
        </is>
      </c>
    </row>
    <row r="6079">
      <c r="A6079" s="33" t="n">
        <v>46106</v>
      </c>
      <c r="B6079" t="inlineStr">
        <is>
          <t>2026-03</t>
        </is>
      </c>
      <c r="C6079" t="inlineStr">
        <is>
          <t>Andrés Pinto López</t>
        </is>
      </c>
      <c r="D6079" t="inlineStr">
        <is>
          <t>CANELÉ TRADICIONAL</t>
        </is>
      </c>
      <c r="E6079" s="34" t="n">
        <v>23890</v>
      </c>
      <c r="F6079" t="inlineStr">
        <is>
          <t>B</t>
        </is>
      </c>
      <c r="G6079" s="34" t="n">
        <v>3814</v>
      </c>
      <c r="H6079" s="34" t="n">
        <v>20076</v>
      </c>
      <c r="I6079" t="inlineStr">
        <is>
          <t>3.2</t>
        </is>
      </c>
      <c r="J6079" t="inlineStr">
        <is>
          <t>Ventas Personas (B2C)</t>
        </is>
      </c>
      <c r="K6079" t="inlineStr">
        <is>
          <t>CH2</t>
        </is>
      </c>
    </row>
    <row r="6080">
      <c r="A6080" s="33" t="n">
        <v>46106</v>
      </c>
      <c r="B6080" t="inlineStr">
        <is>
          <t>2026-03</t>
        </is>
      </c>
      <c r="C6080" t="inlineStr">
        <is>
          <t>Igsyl DC</t>
        </is>
      </c>
      <c r="D6080" t="inlineStr">
        <is>
          <t>CANELE SIN AZUCAR</t>
        </is>
      </c>
      <c r="E6080" s="34" t="n">
        <v>33120</v>
      </c>
      <c r="F6080" t="inlineStr">
        <is>
          <t>B</t>
        </is>
      </c>
      <c r="G6080" s="34" t="n">
        <v>5288</v>
      </c>
      <c r="H6080" s="34" t="n">
        <v>27832</v>
      </c>
      <c r="I6080" t="inlineStr">
        <is>
          <t>3.2</t>
        </is>
      </c>
      <c r="J6080" t="inlineStr">
        <is>
          <t>Ventas Personas (B2C)</t>
        </is>
      </c>
      <c r="K6080" t="inlineStr">
        <is>
          <t>CH2</t>
        </is>
      </c>
    </row>
    <row r="6081">
      <c r="A6081" s="33" t="n">
        <v>46106</v>
      </c>
      <c r="B6081" t="inlineStr">
        <is>
          <t>2026-03</t>
        </is>
      </c>
      <c r="C6081" t="inlineStr">
        <is>
          <t>gonzalo caballero</t>
        </is>
      </c>
      <c r="D6081" t="inlineStr">
        <is>
          <t>Rellenos</t>
        </is>
      </c>
      <c r="E6081" s="34" t="n">
        <v>58230</v>
      </c>
      <c r="F6081" t="inlineStr">
        <is>
          <t>B</t>
        </is>
      </c>
      <c r="G6081" s="34" t="n">
        <v>9297</v>
      </c>
      <c r="H6081" s="34" t="n">
        <v>48933</v>
      </c>
      <c r="I6081" t="inlineStr">
        <is>
          <t>3.2</t>
        </is>
      </c>
      <c r="J6081" t="inlineStr">
        <is>
          <t>Ventas Personas (B2C)</t>
        </is>
      </c>
      <c r="K6081" t="inlineStr">
        <is>
          <t>CH2</t>
        </is>
      </c>
    </row>
    <row r="6082">
      <c r="A6082" s="33" t="n">
        <v>46106</v>
      </c>
      <c r="B6082" t="inlineStr">
        <is>
          <t>2026-03</t>
        </is>
      </c>
      <c r="C6082" t="inlineStr">
        <is>
          <t>BOCCADOS SPA</t>
        </is>
      </c>
      <c r="D6082" t="inlineStr">
        <is>
          <t>HORECA CATERING</t>
        </is>
      </c>
      <c r="E6082" s="34" t="n">
        <v>141372</v>
      </c>
      <c r="F6082" t="inlineStr">
        <is>
          <t>F</t>
        </is>
      </c>
      <c r="G6082" s="34" t="n">
        <v>22572</v>
      </c>
      <c r="H6082" s="34" t="n">
        <v>118800</v>
      </c>
      <c r="I6082" t="inlineStr">
        <is>
          <t>3.1</t>
        </is>
      </c>
      <c r="J6082" t="inlineStr">
        <is>
          <t>Ventas HoReCa</t>
        </is>
      </c>
      <c r="K6082" t="inlineStr">
        <is>
          <t>CH1</t>
        </is>
      </c>
    </row>
    <row r="6083">
      <c r="A6083" s="33" t="n">
        <v>46106</v>
      </c>
      <c r="B6083" t="inlineStr">
        <is>
          <t>2026-03</t>
        </is>
      </c>
      <c r="C6083" t="inlineStr">
        <is>
          <t>Melany Varela</t>
        </is>
      </c>
      <c r="D6083" t="inlineStr">
        <is>
          <t>Rellenos</t>
        </is>
      </c>
      <c r="E6083" s="34" t="n">
        <v>23310</v>
      </c>
      <c r="F6083" t="inlineStr">
        <is>
          <t>B</t>
        </is>
      </c>
      <c r="G6083" s="34" t="n">
        <v>3722</v>
      </c>
      <c r="H6083" s="34" t="n">
        <v>19588</v>
      </c>
      <c r="I6083" t="inlineStr">
        <is>
          <t>3.2</t>
        </is>
      </c>
      <c r="J6083" t="inlineStr">
        <is>
          <t>Ventas Personas (B2C)</t>
        </is>
      </c>
      <c r="K6083" t="inlineStr">
        <is>
          <t>CH2</t>
        </is>
      </c>
    </row>
    <row r="6084">
      <c r="A6084" s="33" t="n">
        <v>46106</v>
      </c>
      <c r="B6084" t="inlineStr">
        <is>
          <t>2026-03</t>
        </is>
      </c>
      <c r="C6084" t="inlineStr">
        <is>
          <t>gonzalo caballero</t>
        </is>
      </c>
      <c r="D6084" t="inlineStr">
        <is>
          <t>Otras Regiones</t>
        </is>
      </c>
      <c r="E6084" s="34" t="n">
        <v>9990</v>
      </c>
      <c r="F6084" t="inlineStr">
        <is>
          <t>B</t>
        </is>
      </c>
      <c r="G6084" s="34" t="n">
        <v>1595</v>
      </c>
      <c r="H6084" s="34" t="n">
        <v>8395</v>
      </c>
      <c r="I6084" t="inlineStr">
        <is>
          <t>3.2</t>
        </is>
      </c>
      <c r="J6084" t="inlineStr">
        <is>
          <t>Ventas Personas (B2C)</t>
        </is>
      </c>
      <c r="K6084" t="inlineStr">
        <is>
          <t>CH2</t>
        </is>
      </c>
    </row>
    <row r="6085">
      <c r="A6085" s="33" t="n">
        <v>46106</v>
      </c>
      <c r="B6085" t="inlineStr">
        <is>
          <t>2026-03</t>
        </is>
      </c>
      <c r="C6085" t="inlineStr">
        <is>
          <t>SUSAN MIRANDA</t>
        </is>
      </c>
      <c r="D6085" t="inlineStr">
        <is>
          <t>CANELÉ TRADICIONAL</t>
        </is>
      </c>
      <c r="E6085" s="34" t="n">
        <v>20390</v>
      </c>
      <c r="F6085" t="inlineStr">
        <is>
          <t>B</t>
        </is>
      </c>
      <c r="G6085" s="34" t="n">
        <v>3256</v>
      </c>
      <c r="H6085" s="34" t="n">
        <v>17134</v>
      </c>
      <c r="I6085" t="inlineStr">
        <is>
          <t>3.2</t>
        </is>
      </c>
      <c r="J6085" t="inlineStr">
        <is>
          <t>Ventas Personas (B2C)</t>
        </is>
      </c>
      <c r="K6085" t="inlineStr">
        <is>
          <t>CH2</t>
        </is>
      </c>
    </row>
    <row r="6086">
      <c r="A6086" s="33" t="n">
        <v>46106</v>
      </c>
      <c r="B6086" t="inlineStr">
        <is>
          <t>2026-03</t>
        </is>
      </c>
      <c r="C6086" t="inlineStr">
        <is>
          <t>Daniel Belaunde</t>
        </is>
      </c>
      <c r="D6086" t="inlineStr">
        <is>
          <t>Petit Crunchy</t>
        </is>
      </c>
      <c r="E6086" s="34" t="n">
        <v>18390</v>
      </c>
      <c r="F6086" t="inlineStr">
        <is>
          <t>B</t>
        </is>
      </c>
      <c r="G6086" s="34" t="n">
        <v>2936</v>
      </c>
      <c r="H6086" s="34" t="n">
        <v>15454</v>
      </c>
      <c r="I6086" t="inlineStr">
        <is>
          <t>3.2</t>
        </is>
      </c>
      <c r="J6086" t="inlineStr">
        <is>
          <t>Ventas Personas (B2C)</t>
        </is>
      </c>
      <c r="K6086" t="inlineStr">
        <is>
          <t>CH2</t>
        </is>
      </c>
    </row>
    <row r="6087">
      <c r="A6087" s="33" t="n">
        <v>46106</v>
      </c>
      <c r="B6087" t="inlineStr">
        <is>
          <t>2026-03</t>
        </is>
      </c>
      <c r="C6087" t="inlineStr">
        <is>
          <t>DOMINGUEZ TORREALBA SPA</t>
        </is>
      </c>
      <c r="D6087" t="inlineStr">
        <is>
          <t>Rellenos</t>
        </is>
      </c>
      <c r="E6087" s="34" t="n">
        <v>40100</v>
      </c>
      <c r="F6087" t="inlineStr">
        <is>
          <t>F</t>
        </is>
      </c>
      <c r="G6087" s="34" t="n">
        <v>6403</v>
      </c>
      <c r="H6087" s="34" t="n">
        <v>33697</v>
      </c>
      <c r="I6087" t="inlineStr">
        <is>
          <t>3.1</t>
        </is>
      </c>
      <c r="J6087" t="inlineStr">
        <is>
          <t>Ventas HoReCa</t>
        </is>
      </c>
      <c r="K6087" t="inlineStr">
        <is>
          <t>CH1</t>
        </is>
      </c>
    </row>
    <row r="6088">
      <c r="A6088" s="33" t="n">
        <v>46106</v>
      </c>
      <c r="B6088" t="inlineStr">
        <is>
          <t>2026-03</t>
        </is>
      </c>
      <c r="C6088" t="inlineStr">
        <is>
          <t>Mareike Eberz</t>
        </is>
      </c>
      <c r="D6088" t="inlineStr">
        <is>
          <t>Mix Sabores</t>
        </is>
      </c>
      <c r="E6088" s="34" t="n">
        <v>26820</v>
      </c>
      <c r="F6088" t="inlineStr">
        <is>
          <t>B</t>
        </is>
      </c>
      <c r="G6088" s="34" t="n">
        <v>4282</v>
      </c>
      <c r="H6088" s="34" t="n">
        <v>22538</v>
      </c>
      <c r="I6088" t="inlineStr">
        <is>
          <t>3.2</t>
        </is>
      </c>
      <c r="J6088" t="inlineStr">
        <is>
          <t>Ventas Personas (B2C)</t>
        </is>
      </c>
      <c r="K6088" t="inlineStr">
        <is>
          <t>CH2</t>
        </is>
      </c>
    </row>
    <row r="6089">
      <c r="A6089" s="33" t="n">
        <v>46106</v>
      </c>
      <c r="B6089" t="inlineStr">
        <is>
          <t>2026-03</t>
        </is>
      </c>
      <c r="C6089" t="inlineStr">
        <is>
          <t>Sin cliente</t>
        </is>
      </c>
      <c r="D6089" t="inlineStr">
        <is>
          <t>Cafeteria Geronimo</t>
        </is>
      </c>
      <c r="E6089" s="34" t="n">
        <v>9400</v>
      </c>
      <c r="F6089" t="inlineStr">
        <is>
          <t>B</t>
        </is>
      </c>
      <c r="G6089" s="34" t="n">
        <v>1501</v>
      </c>
      <c r="H6089" s="34" t="n">
        <v>7899</v>
      </c>
      <c r="I6089" t="inlineStr">
        <is>
          <t>3.2</t>
        </is>
      </c>
      <c r="J6089" t="inlineStr">
        <is>
          <t>Ventas Personas (B2C)</t>
        </is>
      </c>
      <c r="K6089" t="inlineStr">
        <is>
          <t>CH2</t>
        </is>
      </c>
    </row>
    <row r="6090">
      <c r="A6090" s="33" t="n">
        <v>46106</v>
      </c>
      <c r="B6090" t="inlineStr">
        <is>
          <t>2026-03</t>
        </is>
      </c>
      <c r="C6090" t="inlineStr">
        <is>
          <t>Sin cliente</t>
        </is>
      </c>
      <c r="D6090" t="inlineStr">
        <is>
          <t>Rellenos</t>
        </is>
      </c>
      <c r="E6090" s="34" t="n">
        <v>9800</v>
      </c>
      <c r="F6090" t="inlineStr">
        <is>
          <t>B</t>
        </is>
      </c>
      <c r="G6090" s="34" t="n">
        <v>1565</v>
      </c>
      <c r="H6090" s="34" t="n">
        <v>8235</v>
      </c>
      <c r="I6090" t="inlineStr">
        <is>
          <t>3.2</t>
        </is>
      </c>
      <c r="J6090" t="inlineStr">
        <is>
          <t>Ventas Personas (B2C)</t>
        </is>
      </c>
      <c r="K6090" t="inlineStr">
        <is>
          <t>CH2</t>
        </is>
      </c>
    </row>
    <row r="6091">
      <c r="A6091" s="33" t="n">
        <v>46106</v>
      </c>
      <c r="B6091" t="inlineStr">
        <is>
          <t>2026-03</t>
        </is>
      </c>
      <c r="C6091" t="inlineStr">
        <is>
          <t>Sin cliente</t>
        </is>
      </c>
      <c r="D6091" t="inlineStr">
        <is>
          <t>CANELÉ TRADICIONAL</t>
        </is>
      </c>
      <c r="E6091" s="34" t="n">
        <v>15900</v>
      </c>
      <c r="F6091" t="inlineStr">
        <is>
          <t>B</t>
        </is>
      </c>
      <c r="G6091" s="34" t="n">
        <v>2539</v>
      </c>
      <c r="H6091" s="34" t="n">
        <v>13361</v>
      </c>
      <c r="I6091" t="inlineStr">
        <is>
          <t>3.2</t>
        </is>
      </c>
      <c r="J6091" t="inlineStr">
        <is>
          <t>Ventas Personas (B2C)</t>
        </is>
      </c>
      <c r="K6091" t="inlineStr">
        <is>
          <t>CH2</t>
        </is>
      </c>
    </row>
    <row r="6092">
      <c r="A6092" s="33" t="n">
        <v>46106</v>
      </c>
      <c r="B6092" t="inlineStr">
        <is>
          <t>2026-03</t>
        </is>
      </c>
      <c r="C6092" t="inlineStr">
        <is>
          <t>Sin cliente</t>
        </is>
      </c>
      <c r="D6092" t="inlineStr">
        <is>
          <t>PLATAFORMAS RAP-PEYA-UBER-GOOD</t>
        </is>
      </c>
      <c r="E6092" s="34" t="n">
        <v>55440</v>
      </c>
      <c r="F6092" t="inlineStr">
        <is>
          <t>B</t>
        </is>
      </c>
      <c r="G6092" s="34" t="n">
        <v>8852</v>
      </c>
      <c r="H6092" s="34" t="n">
        <v>46588</v>
      </c>
      <c r="I6092" t="inlineStr">
        <is>
          <t>3.6</t>
        </is>
      </c>
      <c r="J6092" t="inlineStr">
        <is>
          <t>Ventas Delivery Apps</t>
        </is>
      </c>
      <c r="K6092" t="inlineStr">
        <is>
          <t>CH3</t>
        </is>
      </c>
    </row>
    <row r="6093">
      <c r="A6093" s="33" t="n">
        <v>46106</v>
      </c>
      <c r="B6093" t="inlineStr">
        <is>
          <t>2026-03</t>
        </is>
      </c>
      <c r="C6093" t="inlineStr">
        <is>
          <t>Sin cliente</t>
        </is>
      </c>
      <c r="D6093" t="inlineStr">
        <is>
          <t>Cafeteria Geronimo</t>
        </is>
      </c>
      <c r="E6093" s="34" t="n">
        <v>5000</v>
      </c>
      <c r="F6093" t="inlineStr">
        <is>
          <t>B</t>
        </is>
      </c>
      <c r="G6093" s="34" t="n">
        <v>798</v>
      </c>
      <c r="H6093" s="34" t="n">
        <v>4202</v>
      </c>
      <c r="I6093" t="inlineStr">
        <is>
          <t>3.2</t>
        </is>
      </c>
      <c r="J6093" t="inlineStr">
        <is>
          <t>Ventas Personas (B2C)</t>
        </is>
      </c>
      <c r="K6093" t="inlineStr">
        <is>
          <t>CH2</t>
        </is>
      </c>
    </row>
    <row r="6094">
      <c r="A6094" s="33" t="n">
        <v>46106</v>
      </c>
      <c r="B6094" t="inlineStr">
        <is>
          <t>2026-03</t>
        </is>
      </c>
      <c r="C6094" t="inlineStr">
        <is>
          <t>Sin cliente</t>
        </is>
      </c>
      <c r="D6094" t="inlineStr">
        <is>
          <t>Rellenos</t>
        </is>
      </c>
      <c r="E6094" s="34" t="n">
        <v>18900</v>
      </c>
      <c r="F6094" t="inlineStr">
        <is>
          <t>B</t>
        </is>
      </c>
      <c r="G6094" s="34" t="n">
        <v>3018</v>
      </c>
      <c r="H6094" s="34" t="n">
        <v>15882</v>
      </c>
      <c r="I6094" t="inlineStr">
        <is>
          <t>3.2</t>
        </is>
      </c>
      <c r="J6094" t="inlineStr">
        <is>
          <t>Ventas Personas (B2C)</t>
        </is>
      </c>
      <c r="K6094" t="inlineStr">
        <is>
          <t>CH2</t>
        </is>
      </c>
    </row>
    <row r="6095">
      <c r="A6095" s="33" t="n">
        <v>46106</v>
      </c>
      <c r="B6095" t="inlineStr">
        <is>
          <t>2026-03</t>
        </is>
      </c>
      <c r="C6095" t="inlineStr">
        <is>
          <t>Sin cliente</t>
        </is>
      </c>
      <c r="D6095" t="inlineStr">
        <is>
          <t>CANELÉ TRADICIONAL</t>
        </is>
      </c>
      <c r="E6095" s="34" t="n">
        <v>18900</v>
      </c>
      <c r="F6095" t="inlineStr">
        <is>
          <t>B</t>
        </is>
      </c>
      <c r="G6095" s="34" t="n">
        <v>3018</v>
      </c>
      <c r="H6095" s="34" t="n">
        <v>15882</v>
      </c>
      <c r="I6095" t="inlineStr">
        <is>
          <t>3.2</t>
        </is>
      </c>
      <c r="J6095" t="inlineStr">
        <is>
          <t>Ventas Personas (B2C)</t>
        </is>
      </c>
      <c r="K6095" t="inlineStr">
        <is>
          <t>CH2</t>
        </is>
      </c>
    </row>
    <row r="6096">
      <c r="A6096" s="33" t="n">
        <v>46106</v>
      </c>
      <c r="B6096" t="inlineStr">
        <is>
          <t>2026-03</t>
        </is>
      </c>
      <c r="C6096" t="inlineStr">
        <is>
          <t>Sin cliente</t>
        </is>
      </c>
      <c r="D6096" t="inlineStr">
        <is>
          <t>Cafeteria Geronimo</t>
        </is>
      </c>
      <c r="E6096" s="34" t="n">
        <v>2800</v>
      </c>
      <c r="F6096" t="inlineStr">
        <is>
          <t>B</t>
        </is>
      </c>
      <c r="G6096" s="34" t="n">
        <v>447</v>
      </c>
      <c r="H6096" s="34" t="n">
        <v>2353</v>
      </c>
      <c r="I6096" t="inlineStr">
        <is>
          <t>3.2</t>
        </is>
      </c>
      <c r="J6096" t="inlineStr">
        <is>
          <t>Ventas Personas (B2C)</t>
        </is>
      </c>
      <c r="K6096" t="inlineStr">
        <is>
          <t>CH2</t>
        </is>
      </c>
    </row>
    <row r="6097">
      <c r="A6097" s="33" t="n">
        <v>46106</v>
      </c>
      <c r="B6097" t="inlineStr">
        <is>
          <t>2026-03</t>
        </is>
      </c>
      <c r="C6097" t="inlineStr">
        <is>
          <t>Sin cliente</t>
        </is>
      </c>
      <c r="D6097" t="inlineStr">
        <is>
          <t>Cafeteria Geronimo</t>
        </is>
      </c>
      <c r="E6097" s="34" t="n">
        <v>4300</v>
      </c>
      <c r="F6097" t="inlineStr">
        <is>
          <t>B</t>
        </is>
      </c>
      <c r="G6097" s="34" t="n">
        <v>687</v>
      </c>
      <c r="H6097" s="34" t="n">
        <v>3613</v>
      </c>
      <c r="I6097" t="inlineStr">
        <is>
          <t>3.2</t>
        </is>
      </c>
      <c r="J6097" t="inlineStr">
        <is>
          <t>Ventas Personas (B2C)</t>
        </is>
      </c>
      <c r="K6097" t="inlineStr">
        <is>
          <t>CH2</t>
        </is>
      </c>
    </row>
    <row r="6098">
      <c r="A6098" s="33" t="n">
        <v>46106</v>
      </c>
      <c r="B6098" t="inlineStr">
        <is>
          <t>2026-03</t>
        </is>
      </c>
      <c r="C6098" t="inlineStr">
        <is>
          <t>Sin cliente</t>
        </is>
      </c>
      <c r="D6098" t="inlineStr">
        <is>
          <t>Cafeteria Geronimo</t>
        </is>
      </c>
      <c r="E6098" s="34" t="n">
        <v>2550</v>
      </c>
      <c r="F6098" t="inlineStr">
        <is>
          <t>B</t>
        </is>
      </c>
      <c r="G6098" s="34" t="n">
        <v>407</v>
      </c>
      <c r="H6098" s="34" t="n">
        <v>2143</v>
      </c>
      <c r="I6098" t="inlineStr">
        <is>
          <t>3.2</t>
        </is>
      </c>
      <c r="J6098" t="inlineStr">
        <is>
          <t>Ventas Personas (B2C)</t>
        </is>
      </c>
      <c r="K6098" t="inlineStr">
        <is>
          <t>CH2</t>
        </is>
      </c>
    </row>
    <row r="6099">
      <c r="A6099" s="33" t="n">
        <v>46106</v>
      </c>
      <c r="B6099" t="inlineStr">
        <is>
          <t>2026-03</t>
        </is>
      </c>
      <c r="C6099" t="inlineStr">
        <is>
          <t>Sin cliente</t>
        </is>
      </c>
      <c r="D6099" t="inlineStr">
        <is>
          <t>Cafeteria Geronimo</t>
        </is>
      </c>
      <c r="E6099" s="34" t="n">
        <v>2550</v>
      </c>
      <c r="F6099" t="inlineStr">
        <is>
          <t>B</t>
        </is>
      </c>
      <c r="G6099" s="34" t="n">
        <v>407</v>
      </c>
      <c r="H6099" s="34" t="n">
        <v>2143</v>
      </c>
      <c r="I6099" t="inlineStr">
        <is>
          <t>3.2</t>
        </is>
      </c>
      <c r="J6099" t="inlineStr">
        <is>
          <t>Ventas Personas (B2C)</t>
        </is>
      </c>
      <c r="K6099" t="inlineStr">
        <is>
          <t>CH2</t>
        </is>
      </c>
    </row>
    <row r="6100">
      <c r="A6100" s="33" t="n">
        <v>46106</v>
      </c>
      <c r="B6100" t="inlineStr">
        <is>
          <t>2026-03</t>
        </is>
      </c>
      <c r="C6100" t="inlineStr">
        <is>
          <t>Sin cliente</t>
        </is>
      </c>
      <c r="D6100" t="inlineStr">
        <is>
          <t>PLATAFORMAS RAP-PEYA-UBER-GOOD</t>
        </is>
      </c>
      <c r="E6100" s="34" t="n">
        <v>17880</v>
      </c>
      <c r="F6100" t="inlineStr">
        <is>
          <t>B</t>
        </is>
      </c>
      <c r="G6100" s="34" t="n">
        <v>2855</v>
      </c>
      <c r="H6100" s="34" t="n">
        <v>15025</v>
      </c>
      <c r="I6100" t="inlineStr">
        <is>
          <t>3.6</t>
        </is>
      </c>
      <c r="J6100" t="inlineStr">
        <is>
          <t>Ventas Delivery Apps</t>
        </is>
      </c>
      <c r="K6100" t="inlineStr">
        <is>
          <t>CH3</t>
        </is>
      </c>
    </row>
    <row r="6101">
      <c r="A6101" s="33" t="n">
        <v>46106</v>
      </c>
      <c r="B6101" t="inlineStr">
        <is>
          <t>2026-03</t>
        </is>
      </c>
      <c r="C6101" t="inlineStr">
        <is>
          <t>Sin cliente</t>
        </is>
      </c>
      <c r="D6101" t="inlineStr">
        <is>
          <t>PLATAFORMAS RAP-PEYA-UBER-GOOD</t>
        </is>
      </c>
      <c r="E6101" s="34" t="n">
        <v>35868</v>
      </c>
      <c r="F6101" t="inlineStr">
        <is>
          <t>B</t>
        </is>
      </c>
      <c r="G6101" s="34" t="n">
        <v>5727</v>
      </c>
      <c r="H6101" s="34" t="n">
        <v>30141</v>
      </c>
      <c r="I6101" t="inlineStr">
        <is>
          <t>3.6</t>
        </is>
      </c>
      <c r="J6101" t="inlineStr">
        <is>
          <t>Ventas Delivery Apps</t>
        </is>
      </c>
      <c r="K6101" t="inlineStr">
        <is>
          <t>CH3</t>
        </is>
      </c>
    </row>
    <row r="6102">
      <c r="A6102" s="33" t="n">
        <v>46106</v>
      </c>
      <c r="B6102" t="inlineStr">
        <is>
          <t>2026-03</t>
        </is>
      </c>
      <c r="C6102" t="inlineStr">
        <is>
          <t>Sin cliente</t>
        </is>
      </c>
      <c r="D6102" t="inlineStr">
        <is>
          <t>PLATAFORMAS RAP-PEYA-UBER-GOOD</t>
        </is>
      </c>
      <c r="E6102" s="34" t="n">
        <v>12000</v>
      </c>
      <c r="F6102" t="inlineStr">
        <is>
          <t>B</t>
        </is>
      </c>
      <c r="G6102" s="34" t="n">
        <v>1916</v>
      </c>
      <c r="H6102" s="34" t="n">
        <v>10084</v>
      </c>
      <c r="I6102" t="inlineStr">
        <is>
          <t>3.6</t>
        </is>
      </c>
      <c r="J6102" t="inlineStr">
        <is>
          <t>Ventas Delivery Apps</t>
        </is>
      </c>
      <c r="K6102" t="inlineStr">
        <is>
          <t>CH3</t>
        </is>
      </c>
    </row>
    <row r="6103">
      <c r="A6103" s="33" t="n">
        <v>46106</v>
      </c>
      <c r="B6103" t="inlineStr">
        <is>
          <t>2026-03</t>
        </is>
      </c>
      <c r="C6103" t="inlineStr">
        <is>
          <t>barbara paredes</t>
        </is>
      </c>
      <c r="D6103" t="inlineStr">
        <is>
          <t>PACKS GOURMET</t>
        </is>
      </c>
      <c r="E6103" s="34" t="n">
        <v>37682</v>
      </c>
      <c r="F6103" t="inlineStr">
        <is>
          <t>B</t>
        </is>
      </c>
      <c r="G6103" s="34" t="n">
        <v>6016</v>
      </c>
      <c r="H6103" s="34" t="n">
        <v>31666</v>
      </c>
      <c r="I6103" t="inlineStr">
        <is>
          <t>3.2</t>
        </is>
      </c>
      <c r="J6103" t="inlineStr">
        <is>
          <t>Ventas Personas (B2C)</t>
        </is>
      </c>
      <c r="K6103" t="inlineStr">
        <is>
          <t>CH2</t>
        </is>
      </c>
    </row>
    <row r="6104">
      <c r="A6104" s="33" t="n">
        <v>46107</v>
      </c>
      <c r="B6104" t="inlineStr">
        <is>
          <t>2026-03</t>
        </is>
      </c>
      <c r="C6104" t="inlineStr">
        <is>
          <t>DIEGO VARGAS BANQUETERIA Y EVENTOS SPA</t>
        </is>
      </c>
      <c r="D6104" t="inlineStr">
        <is>
          <t>HORECA CATERING</t>
        </is>
      </c>
      <c r="E6104" s="34" t="n">
        <v>221459</v>
      </c>
      <c r="F6104" t="inlineStr">
        <is>
          <t>F</t>
        </is>
      </c>
      <c r="G6104" s="34" t="n">
        <v>35359</v>
      </c>
      <c r="H6104" s="34" t="n">
        <v>186100</v>
      </c>
      <c r="I6104" t="inlineStr">
        <is>
          <t>3.1</t>
        </is>
      </c>
      <c r="J6104" t="inlineStr">
        <is>
          <t>Ventas HoReCa</t>
        </is>
      </c>
      <c r="K6104" t="inlineStr">
        <is>
          <t>CH1</t>
        </is>
      </c>
    </row>
    <row r="6105">
      <c r="A6105" s="33" t="n">
        <v>46107</v>
      </c>
      <c r="B6105" t="inlineStr">
        <is>
          <t>2026-03</t>
        </is>
      </c>
      <c r="C6105" t="inlineStr">
        <is>
          <t>VILAS BANQUETERIAS SPA</t>
        </is>
      </c>
      <c r="D6105" t="inlineStr">
        <is>
          <t>HORECA CATERING</t>
        </is>
      </c>
      <c r="E6105" s="34" t="n">
        <v>219079</v>
      </c>
      <c r="F6105" t="inlineStr">
        <is>
          <t>F</t>
        </is>
      </c>
      <c r="G6105" s="34" t="n">
        <v>34979</v>
      </c>
      <c r="H6105" s="34" t="n">
        <v>184100</v>
      </c>
      <c r="I6105" t="inlineStr">
        <is>
          <t>3.1</t>
        </is>
      </c>
      <c r="J6105" t="inlineStr">
        <is>
          <t>Ventas HoReCa</t>
        </is>
      </c>
      <c r="K6105" t="inlineStr">
        <is>
          <t>CH1</t>
        </is>
      </c>
    </row>
    <row r="6106">
      <c r="A6106" s="33" t="n">
        <v>46107</v>
      </c>
      <c r="B6106" t="inlineStr">
        <is>
          <t>2026-03</t>
        </is>
      </c>
      <c r="C6106" t="inlineStr">
        <is>
          <t>Sin cliente</t>
        </is>
      </c>
      <c r="D6106" t="inlineStr">
        <is>
          <t>Canelé Petit Relleno</t>
        </is>
      </c>
      <c r="E6106" s="34" t="n">
        <v>25790</v>
      </c>
      <c r="F6106" t="inlineStr">
        <is>
          <t>B</t>
        </is>
      </c>
      <c r="G6106" s="34" t="n">
        <v>4118</v>
      </c>
      <c r="H6106" s="34" t="n">
        <v>21672</v>
      </c>
      <c r="I6106" t="inlineStr">
        <is>
          <t>3.2</t>
        </is>
      </c>
      <c r="J6106" t="inlineStr">
        <is>
          <t>Ventas Personas (B2C)</t>
        </is>
      </c>
      <c r="K6106" t="inlineStr">
        <is>
          <t>CH2</t>
        </is>
      </c>
    </row>
    <row r="6107">
      <c r="A6107" s="33" t="n">
        <v>46107</v>
      </c>
      <c r="B6107" t="inlineStr">
        <is>
          <t>2026-03</t>
        </is>
      </c>
      <c r="C6107" t="inlineStr">
        <is>
          <t>Javiera Baeza</t>
        </is>
      </c>
      <c r="D6107" t="inlineStr">
        <is>
          <t>Petit Tradicional</t>
        </is>
      </c>
      <c r="E6107" s="34" t="n">
        <v>33110</v>
      </c>
      <c r="F6107" t="inlineStr">
        <is>
          <t>B</t>
        </is>
      </c>
      <c r="G6107" s="34" t="n">
        <v>5286</v>
      </c>
      <c r="H6107" s="34" t="n">
        <v>27824</v>
      </c>
      <c r="I6107" t="inlineStr">
        <is>
          <t>3.2</t>
        </is>
      </c>
      <c r="J6107" t="inlineStr">
        <is>
          <t>Ventas Personas (B2C)</t>
        </is>
      </c>
      <c r="K6107" t="inlineStr">
        <is>
          <t>CH2</t>
        </is>
      </c>
    </row>
    <row r="6108">
      <c r="A6108" s="33" t="n">
        <v>46107</v>
      </c>
      <c r="B6108" t="inlineStr">
        <is>
          <t>2026-03</t>
        </is>
      </c>
      <c r="C6108" t="inlineStr">
        <is>
          <t>Cristian Amudio Leiva</t>
        </is>
      </c>
      <c r="D6108" t="inlineStr">
        <is>
          <t>PACKAGING</t>
        </is>
      </c>
      <c r="E6108" s="34" t="n">
        <v>56490</v>
      </c>
      <c r="F6108" t="inlineStr">
        <is>
          <t>B</t>
        </is>
      </c>
      <c r="G6108" s="34" t="n">
        <v>9019</v>
      </c>
      <c r="H6108" s="34" t="n">
        <v>47471</v>
      </c>
      <c r="I6108" t="inlineStr">
        <is>
          <t>3.2</t>
        </is>
      </c>
      <c r="J6108" t="inlineStr">
        <is>
          <t>Ventas Personas (B2C)</t>
        </is>
      </c>
      <c r="K6108" t="inlineStr">
        <is>
          <t>CH2</t>
        </is>
      </c>
    </row>
    <row r="6109">
      <c r="A6109" s="33" t="n">
        <v>46107</v>
      </c>
      <c r="B6109" t="inlineStr">
        <is>
          <t>2026-03</t>
        </is>
      </c>
      <c r="C6109" t="inlineStr">
        <is>
          <t>Sin cliente</t>
        </is>
      </c>
      <c r="D6109" t="inlineStr">
        <is>
          <t>PLATAFORMAS RAP-PEYA-UBER-GOOD</t>
        </is>
      </c>
      <c r="E6109" s="34" t="n">
        <v>30480</v>
      </c>
      <c r="F6109" t="inlineStr">
        <is>
          <t>B</t>
        </is>
      </c>
      <c r="G6109" s="34" t="n">
        <v>4867</v>
      </c>
      <c r="H6109" s="34" t="n">
        <v>25613</v>
      </c>
      <c r="I6109" t="inlineStr">
        <is>
          <t>3.6</t>
        </is>
      </c>
      <c r="J6109" t="inlineStr">
        <is>
          <t>Ventas Delivery Apps</t>
        </is>
      </c>
      <c r="K6109" t="inlineStr">
        <is>
          <t>CH3</t>
        </is>
      </c>
    </row>
    <row r="6110">
      <c r="A6110" s="33" t="n">
        <v>46107</v>
      </c>
      <c r="B6110" t="inlineStr">
        <is>
          <t>2026-03</t>
        </is>
      </c>
      <c r="C6110" t="inlineStr">
        <is>
          <t>Sin cliente</t>
        </is>
      </c>
      <c r="D6110" t="inlineStr">
        <is>
          <t>CANELÉ TRADICIONAL</t>
        </is>
      </c>
      <c r="E6110" s="34" t="n">
        <v>15900</v>
      </c>
      <c r="F6110" t="inlineStr">
        <is>
          <t>B</t>
        </is>
      </c>
      <c r="G6110" s="34" t="n">
        <v>2539</v>
      </c>
      <c r="H6110" s="34" t="n">
        <v>13361</v>
      </c>
      <c r="I6110" t="inlineStr">
        <is>
          <t>3.2</t>
        </is>
      </c>
      <c r="J6110" t="inlineStr">
        <is>
          <t>Ventas Personas (B2C)</t>
        </is>
      </c>
      <c r="K6110" t="inlineStr">
        <is>
          <t>CH2</t>
        </is>
      </c>
    </row>
    <row r="6111">
      <c r="A6111" s="33" t="n">
        <v>46107</v>
      </c>
      <c r="B6111" t="inlineStr">
        <is>
          <t>2026-03</t>
        </is>
      </c>
      <c r="C6111" t="inlineStr">
        <is>
          <t>Sin cliente</t>
        </is>
      </c>
      <c r="D6111" t="inlineStr">
        <is>
          <t>Rellenos</t>
        </is>
      </c>
      <c r="E6111" s="34" t="n">
        <v>12600</v>
      </c>
      <c r="F6111" t="inlineStr">
        <is>
          <t>B</t>
        </is>
      </c>
      <c r="G6111" s="34" t="n">
        <v>2012</v>
      </c>
      <c r="H6111" s="34" t="n">
        <v>10588</v>
      </c>
      <c r="I6111" t="inlineStr">
        <is>
          <t>3.2</t>
        </is>
      </c>
      <c r="J6111" t="inlineStr">
        <is>
          <t>Ventas Personas (B2C)</t>
        </is>
      </c>
      <c r="K6111" t="inlineStr">
        <is>
          <t>CH2</t>
        </is>
      </c>
    </row>
    <row r="6112">
      <c r="A6112" s="33" t="n">
        <v>46107</v>
      </c>
      <c r="B6112" t="inlineStr">
        <is>
          <t>2026-03</t>
        </is>
      </c>
      <c r="C6112" t="inlineStr">
        <is>
          <t>Sin cliente</t>
        </is>
      </c>
      <c r="D6112" t="inlineStr">
        <is>
          <t>Cafeteria Geronimo</t>
        </is>
      </c>
      <c r="E6112" s="34" t="n">
        <v>13200</v>
      </c>
      <c r="F6112" t="inlineStr">
        <is>
          <t>B</t>
        </is>
      </c>
      <c r="G6112" s="34" t="n">
        <v>2108</v>
      </c>
      <c r="H6112" s="34" t="n">
        <v>11092</v>
      </c>
      <c r="I6112" t="inlineStr">
        <is>
          <t>3.2</t>
        </is>
      </c>
      <c r="J6112" t="inlineStr">
        <is>
          <t>Ventas Personas (B2C)</t>
        </is>
      </c>
      <c r="K6112" t="inlineStr">
        <is>
          <t>CH2</t>
        </is>
      </c>
    </row>
    <row r="6113">
      <c r="A6113" s="33" t="n">
        <v>46107</v>
      </c>
      <c r="B6113" t="inlineStr">
        <is>
          <t>2026-03</t>
        </is>
      </c>
      <c r="C6113" t="inlineStr">
        <is>
          <t>Sin cliente</t>
        </is>
      </c>
      <c r="D6113" t="inlineStr">
        <is>
          <t>Cafeteria Geronimo</t>
        </is>
      </c>
      <c r="E6113" s="34" t="n">
        <v>9000</v>
      </c>
      <c r="F6113" t="inlineStr">
        <is>
          <t>B</t>
        </is>
      </c>
      <c r="G6113" s="34" t="n">
        <v>1437</v>
      </c>
      <c r="H6113" s="34" t="n">
        <v>7563</v>
      </c>
      <c r="I6113" t="inlineStr">
        <is>
          <t>3.2</t>
        </is>
      </c>
      <c r="J6113" t="inlineStr">
        <is>
          <t>Ventas Personas (B2C)</t>
        </is>
      </c>
      <c r="K6113" t="inlineStr">
        <is>
          <t>CH2</t>
        </is>
      </c>
    </row>
    <row r="6114">
      <c r="A6114" s="33" t="n">
        <v>46107</v>
      </c>
      <c r="B6114" t="inlineStr">
        <is>
          <t>2026-03</t>
        </is>
      </c>
      <c r="C6114" t="inlineStr">
        <is>
          <t>Sin cliente</t>
        </is>
      </c>
      <c r="D6114" t="inlineStr">
        <is>
          <t>Petit Tradicional</t>
        </is>
      </c>
      <c r="E6114" s="34" t="n">
        <v>9800</v>
      </c>
      <c r="F6114" t="inlineStr">
        <is>
          <t>B</t>
        </is>
      </c>
      <c r="G6114" s="34" t="n">
        <v>1565</v>
      </c>
      <c r="H6114" s="34" t="n">
        <v>8235</v>
      </c>
      <c r="I6114" t="inlineStr">
        <is>
          <t>3.2</t>
        </is>
      </c>
      <c r="J6114" t="inlineStr">
        <is>
          <t>Ventas Personas (B2C)</t>
        </is>
      </c>
      <c r="K6114" t="inlineStr">
        <is>
          <t>CH2</t>
        </is>
      </c>
    </row>
    <row r="6115">
      <c r="A6115" s="33" t="n">
        <v>46107</v>
      </c>
      <c r="B6115" t="inlineStr">
        <is>
          <t>2026-03</t>
        </is>
      </c>
      <c r="C6115" t="inlineStr">
        <is>
          <t>Sin cliente</t>
        </is>
      </c>
      <c r="D6115" t="inlineStr">
        <is>
          <t>Rellenos</t>
        </is>
      </c>
      <c r="E6115" s="34" t="n">
        <v>10000</v>
      </c>
      <c r="F6115" t="inlineStr">
        <is>
          <t>B</t>
        </is>
      </c>
      <c r="G6115" s="34" t="n">
        <v>1597</v>
      </c>
      <c r="H6115" s="34" t="n">
        <v>8403</v>
      </c>
      <c r="I6115" t="inlineStr">
        <is>
          <t>3.2</t>
        </is>
      </c>
      <c r="J6115" t="inlineStr">
        <is>
          <t>Ventas Personas (B2C)</t>
        </is>
      </c>
      <c r="K6115" t="inlineStr">
        <is>
          <t>CH2</t>
        </is>
      </c>
    </row>
    <row r="6116">
      <c r="A6116" s="33" t="n">
        <v>46107</v>
      </c>
      <c r="B6116" t="inlineStr">
        <is>
          <t>2026-03</t>
        </is>
      </c>
      <c r="C6116" t="inlineStr">
        <is>
          <t>Sin cliente</t>
        </is>
      </c>
      <c r="D6116" t="inlineStr">
        <is>
          <t>PLATAFORMAS RAP-PEYA-UBER-GOOD</t>
        </is>
      </c>
      <c r="E6116" s="34" t="n">
        <v>6960</v>
      </c>
      <c r="F6116" t="inlineStr">
        <is>
          <t>B</t>
        </is>
      </c>
      <c r="G6116" s="34" t="n">
        <v>1111</v>
      </c>
      <c r="H6116" s="34" t="n">
        <v>5849</v>
      </c>
      <c r="I6116" t="inlineStr">
        <is>
          <t>3.6</t>
        </is>
      </c>
      <c r="J6116" t="inlineStr">
        <is>
          <t>Ventas Delivery Apps</t>
        </is>
      </c>
      <c r="K6116" t="inlineStr">
        <is>
          <t>CH3</t>
        </is>
      </c>
    </row>
    <row r="6117">
      <c r="A6117" s="33" t="n">
        <v>46107</v>
      </c>
      <c r="B6117" t="inlineStr">
        <is>
          <t>2026-03</t>
        </is>
      </c>
      <c r="C6117" t="inlineStr">
        <is>
          <t>Sin cliente</t>
        </is>
      </c>
      <c r="D6117" t="inlineStr">
        <is>
          <t>PLATAFORMAS RAP-PEYA-UBER-GOOD</t>
        </is>
      </c>
      <c r="E6117" s="34" t="n">
        <v>14400</v>
      </c>
      <c r="F6117" t="inlineStr">
        <is>
          <t>B</t>
        </is>
      </c>
      <c r="G6117" s="34" t="n">
        <v>2299</v>
      </c>
      <c r="H6117" s="34" t="n">
        <v>12101</v>
      </c>
      <c r="I6117" t="inlineStr">
        <is>
          <t>3.6</t>
        </is>
      </c>
      <c r="J6117" t="inlineStr">
        <is>
          <t>Ventas Delivery Apps</t>
        </is>
      </c>
      <c r="K6117" t="inlineStr">
        <is>
          <t>CH3</t>
        </is>
      </c>
    </row>
    <row r="6118">
      <c r="A6118" s="33" t="n">
        <v>46107</v>
      </c>
      <c r="B6118" t="inlineStr">
        <is>
          <t>2026-03</t>
        </is>
      </c>
      <c r="C6118" t="inlineStr">
        <is>
          <t>Sin cliente</t>
        </is>
      </c>
      <c r="D6118" t="inlineStr">
        <is>
          <t>PLATAFORMAS RAP-PEYA-UBER-GOOD</t>
        </is>
      </c>
      <c r="E6118" s="34" t="n">
        <v>21480</v>
      </c>
      <c r="F6118" t="inlineStr">
        <is>
          <t>B</t>
        </is>
      </c>
      <c r="G6118" s="34" t="n">
        <v>3430</v>
      </c>
      <c r="H6118" s="34" t="n">
        <v>18050</v>
      </c>
      <c r="I6118" t="inlineStr">
        <is>
          <t>3.6</t>
        </is>
      </c>
      <c r="J6118" t="inlineStr">
        <is>
          <t>Ventas Delivery Apps</t>
        </is>
      </c>
      <c r="K6118" t="inlineStr">
        <is>
          <t>CH3</t>
        </is>
      </c>
    </row>
    <row r="6119">
      <c r="A6119" s="33" t="n">
        <v>46107</v>
      </c>
      <c r="B6119" t="inlineStr">
        <is>
          <t>2026-03</t>
        </is>
      </c>
      <c r="C6119" t="inlineStr">
        <is>
          <t>Ximema Paz Gomez Aburto</t>
        </is>
      </c>
      <c r="D6119" t="inlineStr">
        <is>
          <t>CANELE SIN AZUCAR</t>
        </is>
      </c>
      <c r="E6119" s="34" t="n">
        <v>30290</v>
      </c>
      <c r="F6119" t="inlineStr">
        <is>
          <t>B</t>
        </is>
      </c>
      <c r="G6119" s="34" t="n">
        <v>4836</v>
      </c>
      <c r="H6119" s="34" t="n">
        <v>25454</v>
      </c>
      <c r="I6119" t="inlineStr">
        <is>
          <t>3.2</t>
        </is>
      </c>
      <c r="J6119" t="inlineStr">
        <is>
          <t>Ventas Personas (B2C)</t>
        </is>
      </c>
      <c r="K6119" t="inlineStr">
        <is>
          <t>CH2</t>
        </is>
      </c>
    </row>
    <row r="6120">
      <c r="A6120" s="33" t="n">
        <v>46108</v>
      </c>
      <c r="B6120" t="inlineStr">
        <is>
          <t>2026-03</t>
        </is>
      </c>
      <c r="C6120" t="inlineStr">
        <is>
          <t>TAVELLI S.A.</t>
        </is>
      </c>
      <c r="D6120" t="inlineStr">
        <is>
          <t>HORECA CAFETERIA</t>
        </is>
      </c>
      <c r="E6120" s="34" t="n">
        <v>818405</v>
      </c>
      <c r="F6120" t="inlineStr">
        <is>
          <t>F</t>
        </is>
      </c>
      <c r="G6120" s="34" t="n">
        <v>130670</v>
      </c>
      <c r="H6120" s="34" t="n">
        <v>687735</v>
      </c>
      <c r="I6120" t="inlineStr">
        <is>
          <t>3.1</t>
        </is>
      </c>
      <c r="J6120" t="inlineStr">
        <is>
          <t>Ventas HoReCa</t>
        </is>
      </c>
      <c r="K6120" t="inlineStr">
        <is>
          <t>CH1</t>
        </is>
      </c>
    </row>
    <row r="6121">
      <c r="A6121" s="33" t="n">
        <v>46108</v>
      </c>
      <c r="B6121" t="inlineStr">
        <is>
          <t>2026-03</t>
        </is>
      </c>
      <c r="C6121" t="inlineStr">
        <is>
          <t>TAVELLI S.A.</t>
        </is>
      </c>
      <c r="D6121" t="inlineStr">
        <is>
          <t>REGION METROPOLITANA</t>
        </is>
      </c>
      <c r="E6121" s="34" t="n">
        <v>35700</v>
      </c>
      <c r="F6121" t="inlineStr">
        <is>
          <t>F</t>
        </is>
      </c>
      <c r="G6121" s="34" t="n">
        <v>5700</v>
      </c>
      <c r="H6121" s="34" t="n">
        <v>30000</v>
      </c>
      <c r="I6121" t="inlineStr">
        <is>
          <t>3.1</t>
        </is>
      </c>
      <c r="J6121" t="inlineStr">
        <is>
          <t>Ventas HoReCa</t>
        </is>
      </c>
      <c r="K6121" t="inlineStr">
        <is>
          <t>CH1</t>
        </is>
      </c>
    </row>
    <row r="6122">
      <c r="A6122" s="33" t="n">
        <v>46108</v>
      </c>
      <c r="B6122" t="inlineStr">
        <is>
          <t>2026-03</t>
        </is>
      </c>
      <c r="C6122" t="inlineStr">
        <is>
          <t>D&amp;S SERVICIOS DE ALIMENTACIÓN SpA</t>
        </is>
      </c>
      <c r="D6122" t="inlineStr">
        <is>
          <t xml:space="preserve">THE COFFEE STORE </t>
        </is>
      </c>
      <c r="E6122" s="34" t="n">
        <v>44705</v>
      </c>
      <c r="F6122" t="inlineStr">
        <is>
          <t>F</t>
        </is>
      </c>
      <c r="G6122" s="34" t="n">
        <v>7138</v>
      </c>
      <c r="H6122" s="34" t="n">
        <v>37567</v>
      </c>
      <c r="I6122" t="inlineStr">
        <is>
          <t>3.1</t>
        </is>
      </c>
      <c r="J6122" t="inlineStr">
        <is>
          <t>Ventas HoReCa</t>
        </is>
      </c>
      <c r="K6122" t="inlineStr">
        <is>
          <t>CH1</t>
        </is>
      </c>
    </row>
    <row r="6123">
      <c r="A6123" s="33" t="n">
        <v>46108</v>
      </c>
      <c r="B6123" t="inlineStr">
        <is>
          <t>2026-03</t>
        </is>
      </c>
      <c r="C6123" t="inlineStr">
        <is>
          <t>Better Food Spa</t>
        </is>
      </c>
      <c r="D6123" t="inlineStr">
        <is>
          <t>HORECA CAFETERIA</t>
        </is>
      </c>
      <c r="E6123" s="34" t="n">
        <v>706075</v>
      </c>
      <c r="F6123" t="inlineStr">
        <is>
          <t>F</t>
        </is>
      </c>
      <c r="G6123" s="34" t="n">
        <v>112735</v>
      </c>
      <c r="H6123" s="34" t="n">
        <v>593340</v>
      </c>
      <c r="I6123" t="inlineStr">
        <is>
          <t>3.1</t>
        </is>
      </c>
      <c r="J6123" t="inlineStr">
        <is>
          <t>Ventas HoReCa</t>
        </is>
      </c>
      <c r="K6123" t="inlineStr">
        <is>
          <t>CH1</t>
        </is>
      </c>
    </row>
    <row r="6124">
      <c r="A6124" s="33" t="n">
        <v>46108</v>
      </c>
      <c r="B6124" t="inlineStr">
        <is>
          <t>2026-03</t>
        </is>
      </c>
      <c r="C6124" t="inlineStr">
        <is>
          <t>Better Food Spa</t>
        </is>
      </c>
      <c r="D6124" t="inlineStr">
        <is>
          <t>REGION METROPOLITANA</t>
        </is>
      </c>
      <c r="E6124" s="34" t="n">
        <v>9401</v>
      </c>
      <c r="F6124" t="inlineStr">
        <is>
          <t>F</t>
        </is>
      </c>
      <c r="G6124" s="34" t="n">
        <v>1501</v>
      </c>
      <c r="H6124" s="34" t="n">
        <v>7900</v>
      </c>
      <c r="I6124" t="inlineStr">
        <is>
          <t>3.1</t>
        </is>
      </c>
      <c r="J6124" t="inlineStr">
        <is>
          <t>Ventas HoReCa</t>
        </is>
      </c>
      <c r="K6124" t="inlineStr">
        <is>
          <t>CH1</t>
        </is>
      </c>
    </row>
    <row r="6125">
      <c r="A6125" s="33" t="n">
        <v>46108</v>
      </c>
      <c r="B6125" t="inlineStr">
        <is>
          <t>2026-03</t>
        </is>
      </c>
      <c r="C6125" t="inlineStr">
        <is>
          <t>CAFE DIARIO ENCOMENDEROS SPA</t>
        </is>
      </c>
      <c r="D6125" t="inlineStr">
        <is>
          <t>HORECA CAFETERIA</t>
        </is>
      </c>
      <c r="E6125" s="34" t="n">
        <v>108380</v>
      </c>
      <c r="F6125" t="inlineStr">
        <is>
          <t>F</t>
        </is>
      </c>
      <c r="G6125" s="34" t="n">
        <v>17304</v>
      </c>
      <c r="H6125" s="34" t="n">
        <v>91076</v>
      </c>
      <c r="I6125" t="inlineStr">
        <is>
          <t>3.1</t>
        </is>
      </c>
      <c r="J6125" t="inlineStr">
        <is>
          <t>Ventas HoReCa</t>
        </is>
      </c>
      <c r="K6125" t="inlineStr">
        <is>
          <t>CH1</t>
        </is>
      </c>
    </row>
    <row r="6126">
      <c r="A6126" s="33" t="n">
        <v>46108</v>
      </c>
      <c r="B6126" t="inlineStr">
        <is>
          <t>2026-03</t>
        </is>
      </c>
      <c r="C6126" t="inlineStr">
        <is>
          <t>Christian Real</t>
        </is>
      </c>
      <c r="D6126" t="inlineStr">
        <is>
          <t>Rellenos</t>
        </is>
      </c>
      <c r="E6126" s="34" t="n">
        <v>53700</v>
      </c>
      <c r="F6126" t="inlineStr">
        <is>
          <t>B</t>
        </is>
      </c>
      <c r="G6126" s="34" t="n">
        <v>8574</v>
      </c>
      <c r="H6126" s="34" t="n">
        <v>45126</v>
      </c>
      <c r="I6126" t="inlineStr">
        <is>
          <t>3.2</t>
        </is>
      </c>
      <c r="J6126" t="inlineStr">
        <is>
          <t>Ventas Personas (B2C)</t>
        </is>
      </c>
      <c r="K6126" t="inlineStr">
        <is>
          <t>CH2</t>
        </is>
      </c>
    </row>
    <row r="6127">
      <c r="A6127" s="33" t="n">
        <v>46108</v>
      </c>
      <c r="B6127" t="inlineStr">
        <is>
          <t>2026-03</t>
        </is>
      </c>
      <c r="C6127" t="inlineStr">
        <is>
          <t>Producciones Valeria Roman Perez Eirl</t>
        </is>
      </c>
      <c r="D6127" t="inlineStr">
        <is>
          <t>Rellenos</t>
        </is>
      </c>
      <c r="E6127" s="34" t="n">
        <v>33800</v>
      </c>
      <c r="F6127" t="inlineStr">
        <is>
          <t>F</t>
        </is>
      </c>
      <c r="G6127" s="34" t="n">
        <v>5397</v>
      </c>
      <c r="H6127" s="34" t="n">
        <v>28403</v>
      </c>
      <c r="I6127" t="inlineStr">
        <is>
          <t>3.1</t>
        </is>
      </c>
      <c r="J6127" t="inlineStr">
        <is>
          <t>Ventas HoReCa</t>
        </is>
      </c>
      <c r="K6127" t="inlineStr">
        <is>
          <t>CH1</t>
        </is>
      </c>
    </row>
    <row r="6128">
      <c r="A6128" s="33" t="n">
        <v>46108</v>
      </c>
      <c r="B6128" t="inlineStr">
        <is>
          <t>2026-03</t>
        </is>
      </c>
      <c r="C6128" t="inlineStr">
        <is>
          <t>Gerardo Hortal Salinas</t>
        </is>
      </c>
      <c r="D6128" t="inlineStr">
        <is>
          <t>Mix Sabores</t>
        </is>
      </c>
      <c r="E6128" s="34" t="n">
        <v>38520</v>
      </c>
      <c r="F6128" t="inlineStr">
        <is>
          <t>B</t>
        </is>
      </c>
      <c r="G6128" s="34" t="n">
        <v>6150</v>
      </c>
      <c r="H6128" s="34" t="n">
        <v>32370</v>
      </c>
      <c r="I6128" t="inlineStr">
        <is>
          <t>3.2</t>
        </is>
      </c>
      <c r="J6128" t="inlineStr">
        <is>
          <t>Ventas Personas (B2C)</t>
        </is>
      </c>
      <c r="K6128" t="inlineStr">
        <is>
          <t>CH2</t>
        </is>
      </c>
    </row>
    <row r="6129">
      <c r="A6129" s="33" t="n">
        <v>46108</v>
      </c>
      <c r="B6129" t="inlineStr">
        <is>
          <t>2026-03</t>
        </is>
      </c>
      <c r="C6129" t="inlineStr">
        <is>
          <t>Sin cliente</t>
        </is>
      </c>
      <c r="D6129" t="inlineStr">
        <is>
          <t>PLATAFORMAS RAP-PEYA-UBER-GOOD</t>
        </is>
      </c>
      <c r="E6129" s="34" t="n">
        <v>31080</v>
      </c>
      <c r="F6129" t="inlineStr">
        <is>
          <t>B</t>
        </is>
      </c>
      <c r="G6129" s="34" t="n">
        <v>4962</v>
      </c>
      <c r="H6129" s="34" t="n">
        <v>26118</v>
      </c>
      <c r="I6129" t="inlineStr">
        <is>
          <t>3.6</t>
        </is>
      </c>
      <c r="J6129" t="inlineStr">
        <is>
          <t>Ventas Delivery Apps</t>
        </is>
      </c>
      <c r="K6129" t="inlineStr">
        <is>
          <t>CH3</t>
        </is>
      </c>
    </row>
    <row r="6130">
      <c r="A6130" s="33" t="n">
        <v>46108</v>
      </c>
      <c r="B6130" t="inlineStr">
        <is>
          <t>2026-03</t>
        </is>
      </c>
      <c r="C6130" t="inlineStr">
        <is>
          <t>Sin cliente</t>
        </is>
      </c>
      <c r="D6130" t="inlineStr">
        <is>
          <t>PLATAFORMAS RAP-PEYA-UBER-GOOD</t>
        </is>
      </c>
      <c r="E6130" s="34" t="n">
        <v>31080</v>
      </c>
      <c r="F6130" t="inlineStr">
        <is>
          <t>B</t>
        </is>
      </c>
      <c r="G6130" s="34" t="n">
        <v>4962</v>
      </c>
      <c r="H6130" s="34" t="n">
        <v>26118</v>
      </c>
      <c r="I6130" t="inlineStr">
        <is>
          <t>3.6</t>
        </is>
      </c>
      <c r="J6130" t="inlineStr">
        <is>
          <t>Ventas Delivery Apps</t>
        </is>
      </c>
      <c r="K6130" t="inlineStr">
        <is>
          <t>CH3</t>
        </is>
      </c>
    </row>
    <row r="6131">
      <c r="A6131" s="33" t="n">
        <v>46108</v>
      </c>
      <c r="B6131" t="inlineStr">
        <is>
          <t>2026-03</t>
        </is>
      </c>
      <c r="C6131" t="inlineStr">
        <is>
          <t>Sin cliente</t>
        </is>
      </c>
      <c r="D6131" t="inlineStr">
        <is>
          <t>CANELE SIN AZUCAR</t>
        </is>
      </c>
      <c r="E6131" s="34" t="n">
        <v>5200</v>
      </c>
      <c r="F6131" t="inlineStr">
        <is>
          <t>B</t>
        </is>
      </c>
      <c r="G6131" s="34" t="n">
        <v>830</v>
      </c>
      <c r="H6131" s="34" t="n">
        <v>4370</v>
      </c>
      <c r="I6131" t="inlineStr">
        <is>
          <t>3.2</t>
        </is>
      </c>
      <c r="J6131" t="inlineStr">
        <is>
          <t>Ventas Personas (B2C)</t>
        </is>
      </c>
      <c r="K6131" t="inlineStr">
        <is>
          <t>CH2</t>
        </is>
      </c>
    </row>
    <row r="6132">
      <c r="A6132" s="33" t="n">
        <v>46108</v>
      </c>
      <c r="B6132" t="inlineStr">
        <is>
          <t>2026-03</t>
        </is>
      </c>
      <c r="C6132" t="inlineStr">
        <is>
          <t>Sin cliente</t>
        </is>
      </c>
      <c r="D6132" t="inlineStr">
        <is>
          <t>Cafeteria Geronimo</t>
        </is>
      </c>
      <c r="E6132" s="34" t="n">
        <v>2000</v>
      </c>
      <c r="F6132" t="inlineStr">
        <is>
          <t>B</t>
        </is>
      </c>
      <c r="G6132" s="34" t="n">
        <v>319</v>
      </c>
      <c r="H6132" s="34" t="n">
        <v>1681</v>
      </c>
      <c r="I6132" t="inlineStr">
        <is>
          <t>3.2</t>
        </is>
      </c>
      <c r="J6132" t="inlineStr">
        <is>
          <t>Ventas Personas (B2C)</t>
        </is>
      </c>
      <c r="K6132" t="inlineStr">
        <is>
          <t>CH2</t>
        </is>
      </c>
    </row>
    <row r="6133">
      <c r="A6133" s="33" t="n">
        <v>46108</v>
      </c>
      <c r="B6133" t="inlineStr">
        <is>
          <t>2026-03</t>
        </is>
      </c>
      <c r="C6133" t="inlineStr">
        <is>
          <t>Sin cliente</t>
        </is>
      </c>
      <c r="D6133" t="inlineStr">
        <is>
          <t>Rellenos</t>
        </is>
      </c>
      <c r="E6133" s="34" t="n">
        <v>29880</v>
      </c>
      <c r="F6133" t="inlineStr">
        <is>
          <t>B</t>
        </is>
      </c>
      <c r="G6133" s="34" t="n">
        <v>4771</v>
      </c>
      <c r="H6133" s="34" t="n">
        <v>25109</v>
      </c>
      <c r="I6133" t="inlineStr">
        <is>
          <t>3.2</t>
        </is>
      </c>
      <c r="J6133" t="inlineStr">
        <is>
          <t>Ventas Personas (B2C)</t>
        </is>
      </c>
      <c r="K6133" t="inlineStr">
        <is>
          <t>CH2</t>
        </is>
      </c>
    </row>
    <row r="6134">
      <c r="A6134" s="33" t="n">
        <v>46108</v>
      </c>
      <c r="B6134" t="inlineStr">
        <is>
          <t>2026-03</t>
        </is>
      </c>
      <c r="C6134" t="inlineStr">
        <is>
          <t>Sin cliente</t>
        </is>
      </c>
      <c r="D6134" t="inlineStr">
        <is>
          <t>CANELÉ TRADICIONAL</t>
        </is>
      </c>
      <c r="E6134" s="34" t="n">
        <v>26400</v>
      </c>
      <c r="F6134" t="inlineStr">
        <is>
          <t>B</t>
        </is>
      </c>
      <c r="G6134" s="34" t="n">
        <v>4215</v>
      </c>
      <c r="H6134" s="34" t="n">
        <v>22185</v>
      </c>
      <c r="I6134" t="inlineStr">
        <is>
          <t>3.2</t>
        </is>
      </c>
      <c r="J6134" t="inlineStr">
        <is>
          <t>Ventas Personas (B2C)</t>
        </is>
      </c>
      <c r="K6134" t="inlineStr">
        <is>
          <t>CH2</t>
        </is>
      </c>
    </row>
    <row r="6135">
      <c r="A6135" s="33" t="n">
        <v>46108</v>
      </c>
      <c r="B6135" t="inlineStr">
        <is>
          <t>2026-03</t>
        </is>
      </c>
      <c r="C6135" t="inlineStr">
        <is>
          <t>Sin cliente</t>
        </is>
      </c>
      <c r="D6135" t="inlineStr">
        <is>
          <t>Cafeteria Geronimo</t>
        </is>
      </c>
      <c r="E6135" s="34" t="n">
        <v>17900</v>
      </c>
      <c r="F6135" t="inlineStr">
        <is>
          <t>B</t>
        </is>
      </c>
      <c r="G6135" s="34" t="n">
        <v>2858</v>
      </c>
      <c r="H6135" s="34" t="n">
        <v>15042</v>
      </c>
      <c r="I6135" t="inlineStr">
        <is>
          <t>3.2</t>
        </is>
      </c>
      <c r="J6135" t="inlineStr">
        <is>
          <t>Ventas Personas (B2C)</t>
        </is>
      </c>
      <c r="K6135" t="inlineStr">
        <is>
          <t>CH2</t>
        </is>
      </c>
    </row>
    <row r="6136">
      <c r="A6136" s="33" t="n">
        <v>46108</v>
      </c>
      <c r="B6136" t="inlineStr">
        <is>
          <t>2026-03</t>
        </is>
      </c>
      <c r="C6136" t="inlineStr">
        <is>
          <t>Sin cliente</t>
        </is>
      </c>
      <c r="D6136" t="inlineStr">
        <is>
          <t>Rellenos</t>
        </is>
      </c>
      <c r="E6136" s="34" t="n">
        <v>25900</v>
      </c>
      <c r="F6136" t="inlineStr">
        <is>
          <t>B</t>
        </is>
      </c>
      <c r="G6136" s="34" t="n">
        <v>4135</v>
      </c>
      <c r="H6136" s="34" t="n">
        <v>21765</v>
      </c>
      <c r="I6136" t="inlineStr">
        <is>
          <t>3.2</t>
        </is>
      </c>
      <c r="J6136" t="inlineStr">
        <is>
          <t>Ventas Personas (B2C)</t>
        </is>
      </c>
      <c r="K6136" t="inlineStr">
        <is>
          <t>CH2</t>
        </is>
      </c>
    </row>
    <row r="6137">
      <c r="A6137" s="33" t="n">
        <v>46108</v>
      </c>
      <c r="B6137" t="inlineStr">
        <is>
          <t>2026-03</t>
        </is>
      </c>
      <c r="C6137" t="inlineStr">
        <is>
          <t>Sin cliente</t>
        </is>
      </c>
      <c r="D6137" t="inlineStr">
        <is>
          <t>Rellenos</t>
        </is>
      </c>
      <c r="E6137" s="34" t="n">
        <v>3500</v>
      </c>
      <c r="F6137" t="inlineStr">
        <is>
          <t>B</t>
        </is>
      </c>
      <c r="G6137" s="34" t="n">
        <v>559</v>
      </c>
      <c r="H6137" s="34" t="n">
        <v>2941</v>
      </c>
      <c r="I6137" t="inlineStr">
        <is>
          <t>3.2</t>
        </is>
      </c>
      <c r="J6137" t="inlineStr">
        <is>
          <t>Ventas Personas (B2C)</t>
        </is>
      </c>
      <c r="K6137" t="inlineStr">
        <is>
          <t>CH2</t>
        </is>
      </c>
    </row>
    <row r="6138">
      <c r="A6138" s="33" t="n">
        <v>46108</v>
      </c>
      <c r="B6138" t="inlineStr">
        <is>
          <t>2026-03</t>
        </is>
      </c>
      <c r="C6138" t="inlineStr">
        <is>
          <t>Sin cliente</t>
        </is>
      </c>
      <c r="D6138" t="inlineStr">
        <is>
          <t>Rellenos</t>
        </is>
      </c>
      <c r="E6138" s="34" t="n">
        <v>3500</v>
      </c>
      <c r="F6138" t="inlineStr">
        <is>
          <t>B</t>
        </is>
      </c>
      <c r="G6138" s="34" t="n">
        <v>559</v>
      </c>
      <c r="H6138" s="34" t="n">
        <v>2941</v>
      </c>
      <c r="I6138" t="inlineStr">
        <is>
          <t>3.2</t>
        </is>
      </c>
      <c r="J6138" t="inlineStr">
        <is>
          <t>Ventas Personas (B2C)</t>
        </is>
      </c>
      <c r="K6138" t="inlineStr">
        <is>
          <t>CH2</t>
        </is>
      </c>
    </row>
    <row r="6139">
      <c r="A6139" s="33" t="n">
        <v>46108</v>
      </c>
      <c r="B6139" t="inlineStr">
        <is>
          <t>2026-03</t>
        </is>
      </c>
      <c r="C6139" t="inlineStr">
        <is>
          <t>Sin cliente</t>
        </is>
      </c>
      <c r="D6139" t="inlineStr">
        <is>
          <t>Rellenos</t>
        </is>
      </c>
      <c r="E6139" s="34" t="n">
        <v>18900</v>
      </c>
      <c r="F6139" t="inlineStr">
        <is>
          <t>B</t>
        </is>
      </c>
      <c r="G6139" s="34" t="n">
        <v>3018</v>
      </c>
      <c r="H6139" s="34" t="n">
        <v>15882</v>
      </c>
      <c r="I6139" t="inlineStr">
        <is>
          <t>3.2</t>
        </is>
      </c>
      <c r="J6139" t="inlineStr">
        <is>
          <t>Ventas Personas (B2C)</t>
        </is>
      </c>
      <c r="K6139" t="inlineStr">
        <is>
          <t>CH2</t>
        </is>
      </c>
    </row>
    <row r="6140">
      <c r="A6140" s="33" t="n">
        <v>46108</v>
      </c>
      <c r="B6140" t="inlineStr">
        <is>
          <t>2026-03</t>
        </is>
      </c>
      <c r="C6140" t="inlineStr">
        <is>
          <t>Sin cliente</t>
        </is>
      </c>
      <c r="D6140" t="inlineStr">
        <is>
          <t>Cafeteria Geronimo</t>
        </is>
      </c>
      <c r="E6140" s="34" t="n">
        <v>44200</v>
      </c>
      <c r="F6140" t="inlineStr">
        <is>
          <t>B</t>
        </is>
      </c>
      <c r="G6140" s="34" t="n">
        <v>7057</v>
      </c>
      <c r="H6140" s="34" t="n">
        <v>37143</v>
      </c>
      <c r="I6140" t="inlineStr">
        <is>
          <t>3.2</t>
        </is>
      </c>
      <c r="J6140" t="inlineStr">
        <is>
          <t>Ventas Personas (B2C)</t>
        </is>
      </c>
      <c r="K6140" t="inlineStr">
        <is>
          <t>CH2</t>
        </is>
      </c>
    </row>
    <row r="6141">
      <c r="A6141" s="33" t="n">
        <v>46108</v>
      </c>
      <c r="B6141" t="inlineStr">
        <is>
          <t>2026-03</t>
        </is>
      </c>
      <c r="C6141" t="inlineStr">
        <is>
          <t>Sin cliente</t>
        </is>
      </c>
      <c r="D6141" t="inlineStr">
        <is>
          <t>Rellenos</t>
        </is>
      </c>
      <c r="E6141" s="34" t="n">
        <v>20500</v>
      </c>
      <c r="F6141" t="inlineStr">
        <is>
          <t>B</t>
        </is>
      </c>
      <c r="G6141" s="34" t="n">
        <v>3273</v>
      </c>
      <c r="H6141" s="34" t="n">
        <v>17227</v>
      </c>
      <c r="I6141" t="inlineStr">
        <is>
          <t>3.2</t>
        </is>
      </c>
      <c r="J6141" t="inlineStr">
        <is>
          <t>Ventas Personas (B2C)</t>
        </is>
      </c>
      <c r="K6141" t="inlineStr">
        <is>
          <t>CH2</t>
        </is>
      </c>
    </row>
    <row r="6142">
      <c r="A6142" s="33" t="n">
        <v>46108</v>
      </c>
      <c r="B6142" t="inlineStr">
        <is>
          <t>2026-03</t>
        </is>
      </c>
      <c r="C6142" t="inlineStr">
        <is>
          <t>Andrea San Martín San Martín</t>
        </is>
      </c>
      <c r="D6142" t="inlineStr">
        <is>
          <t>Petit Tradicional</t>
        </is>
      </c>
      <c r="E6142" s="34" t="n">
        <v>19290</v>
      </c>
      <c r="F6142" t="inlineStr">
        <is>
          <t>B</t>
        </is>
      </c>
      <c r="G6142" s="34" t="n">
        <v>3080</v>
      </c>
      <c r="H6142" s="34" t="n">
        <v>16210</v>
      </c>
      <c r="I6142" t="inlineStr">
        <is>
          <t>3.2</t>
        </is>
      </c>
      <c r="J6142" t="inlineStr">
        <is>
          <t>Ventas Personas (B2C)</t>
        </is>
      </c>
      <c r="K6142" t="inlineStr">
        <is>
          <t>CH2</t>
        </is>
      </c>
    </row>
    <row r="6143">
      <c r="A6143" s="33" t="n">
        <v>46108</v>
      </c>
      <c r="B6143" t="inlineStr">
        <is>
          <t>2026-03</t>
        </is>
      </c>
      <c r="C6143" t="inlineStr">
        <is>
          <t>Sin cliente</t>
        </is>
      </c>
      <c r="D6143" t="inlineStr">
        <is>
          <t>Rellenos</t>
        </is>
      </c>
      <c r="E6143" s="34" t="n">
        <v>25900</v>
      </c>
      <c r="F6143" t="inlineStr">
        <is>
          <t>B</t>
        </is>
      </c>
      <c r="G6143" s="34" t="n">
        <v>4135</v>
      </c>
      <c r="H6143" s="34" t="n">
        <v>21765</v>
      </c>
      <c r="I6143" t="inlineStr">
        <is>
          <t>3.2</t>
        </is>
      </c>
      <c r="J6143" t="inlineStr">
        <is>
          <t>Ventas Personas (B2C)</t>
        </is>
      </c>
      <c r="K6143" t="inlineStr">
        <is>
          <t>CH2</t>
        </is>
      </c>
    </row>
    <row r="6144">
      <c r="A6144" s="33" t="n">
        <v>46108</v>
      </c>
      <c r="B6144" t="inlineStr">
        <is>
          <t>2026-03</t>
        </is>
      </c>
      <c r="C6144" t="inlineStr">
        <is>
          <t>Sin cliente</t>
        </is>
      </c>
      <c r="D6144" t="inlineStr">
        <is>
          <t>PLATAFORMAS RAP-PEYA-UBER-GOOD</t>
        </is>
      </c>
      <c r="E6144" s="34" t="n">
        <v>37548</v>
      </c>
      <c r="F6144" t="inlineStr">
        <is>
          <t>B</t>
        </is>
      </c>
      <c r="G6144" s="34" t="n">
        <v>5995</v>
      </c>
      <c r="H6144" s="34" t="n">
        <v>31553</v>
      </c>
      <c r="I6144" t="inlineStr">
        <is>
          <t>3.6</t>
        </is>
      </c>
      <c r="J6144" t="inlineStr">
        <is>
          <t>Ventas Delivery Apps</t>
        </is>
      </c>
      <c r="K6144" t="inlineStr">
        <is>
          <t>CH3</t>
        </is>
      </c>
    </row>
    <row r="6145">
      <c r="A6145" s="33" t="n">
        <v>46108</v>
      </c>
      <c r="B6145" t="inlineStr">
        <is>
          <t>2026-03</t>
        </is>
      </c>
      <c r="C6145" t="inlineStr">
        <is>
          <t>Sin cliente</t>
        </is>
      </c>
      <c r="D6145" t="inlineStr">
        <is>
          <t>PLATAFORMAS RAP-PEYA-UBER-GOOD</t>
        </is>
      </c>
      <c r="E6145" s="34" t="n">
        <v>35148</v>
      </c>
      <c r="F6145" t="inlineStr">
        <is>
          <t>B</t>
        </is>
      </c>
      <c r="G6145" s="34" t="n">
        <v>5612</v>
      </c>
      <c r="H6145" s="34" t="n">
        <v>29536</v>
      </c>
      <c r="I6145" t="inlineStr">
        <is>
          <t>3.6</t>
        </is>
      </c>
      <c r="J6145" t="inlineStr">
        <is>
          <t>Ventas Delivery Apps</t>
        </is>
      </c>
      <c r="K6145" t="inlineStr">
        <is>
          <t>CH3</t>
        </is>
      </c>
    </row>
    <row r="6146">
      <c r="A6146" s="33" t="n">
        <v>46108</v>
      </c>
      <c r="B6146" t="inlineStr">
        <is>
          <t>2026-03</t>
        </is>
      </c>
      <c r="C6146" t="inlineStr">
        <is>
          <t>Maria Jose Grez</t>
        </is>
      </c>
      <c r="D6146" t="inlineStr">
        <is>
          <t>PLATAFORMAS RAP-PEYA-UBER-GOOD</t>
        </is>
      </c>
      <c r="E6146" s="34" t="n">
        <v>-31080</v>
      </c>
      <c r="F6146" t="inlineStr">
        <is>
          <t>NC</t>
        </is>
      </c>
      <c r="G6146" s="34" t="n">
        <v>-4962</v>
      </c>
      <c r="H6146" s="34" t="n">
        <v>-26118</v>
      </c>
      <c r="I6146" t="inlineStr">
        <is>
          <t>3.6</t>
        </is>
      </c>
      <c r="J6146" t="inlineStr">
        <is>
          <t>Ventas Delivery Apps</t>
        </is>
      </c>
      <c r="K6146" t="inlineStr">
        <is>
          <t>CH3</t>
        </is>
      </c>
    </row>
    <row r="6147">
      <c r="A6147" s="33" t="n">
        <v>46108</v>
      </c>
      <c r="B6147" t="inlineStr">
        <is>
          <t>2026-03</t>
        </is>
      </c>
      <c r="C6147" t="inlineStr">
        <is>
          <t>Stephan Godomar Encina</t>
        </is>
      </c>
      <c r="D6147" t="inlineStr">
        <is>
          <t>PACKAGING</t>
        </is>
      </c>
      <c r="E6147" s="34" t="n">
        <v>30700</v>
      </c>
      <c r="F6147" t="inlineStr">
        <is>
          <t>B</t>
        </is>
      </c>
      <c r="G6147" s="34" t="n">
        <v>4902</v>
      </c>
      <c r="H6147" s="34" t="n">
        <v>25798</v>
      </c>
      <c r="I6147" t="inlineStr">
        <is>
          <t>3.2</t>
        </is>
      </c>
      <c r="J6147" t="inlineStr">
        <is>
          <t>Ventas Personas (B2C)</t>
        </is>
      </c>
      <c r="K6147" t="inlineStr">
        <is>
          <t>CH2</t>
        </is>
      </c>
    </row>
    <row r="6148">
      <c r="A6148" s="33" t="n">
        <v>46108</v>
      </c>
      <c r="B6148" t="inlineStr">
        <is>
          <t>2026-03</t>
        </is>
      </c>
      <c r="C6148" t="inlineStr">
        <is>
          <t>María Fernanda Santiagos</t>
        </is>
      </c>
      <c r="D6148" t="inlineStr">
        <is>
          <t>Petit Tradicional</t>
        </is>
      </c>
      <c r="E6148" s="34" t="n">
        <v>25911</v>
      </c>
      <c r="F6148" t="inlineStr">
        <is>
          <t>B</t>
        </is>
      </c>
      <c r="G6148" s="34" t="n">
        <v>4137</v>
      </c>
      <c r="H6148" s="34" t="n">
        <v>21774</v>
      </c>
      <c r="I6148" t="inlineStr">
        <is>
          <t>3.2</t>
        </is>
      </c>
      <c r="J6148" t="inlineStr">
        <is>
          <t>Ventas Personas (B2C)</t>
        </is>
      </c>
      <c r="K6148" t="inlineStr">
        <is>
          <t>CH2</t>
        </is>
      </c>
    </row>
    <row r="6149">
      <c r="A6149" s="33" t="n">
        <v>46109</v>
      </c>
      <c r="B6149" t="inlineStr">
        <is>
          <t>2026-03</t>
        </is>
      </c>
      <c r="C6149" t="inlineStr">
        <is>
          <t>Andariego Coffee Spa</t>
        </is>
      </c>
      <c r="D6149" t="inlineStr">
        <is>
          <t>HORECA CAFETERIA</t>
        </is>
      </c>
      <c r="E6149" s="34" t="n">
        <v>348425</v>
      </c>
      <c r="F6149" t="inlineStr">
        <is>
          <t>F</t>
        </is>
      </c>
      <c r="G6149" s="34" t="n">
        <v>55631</v>
      </c>
      <c r="H6149" s="34" t="n">
        <v>292794</v>
      </c>
      <c r="I6149" t="inlineStr">
        <is>
          <t>3.1</t>
        </is>
      </c>
      <c r="J6149" t="inlineStr">
        <is>
          <t>Ventas HoReCa</t>
        </is>
      </c>
      <c r="K6149" t="inlineStr">
        <is>
          <t>CH1</t>
        </is>
      </c>
    </row>
    <row r="6150">
      <c r="A6150" s="33" t="n">
        <v>46109</v>
      </c>
      <c r="B6150" t="inlineStr">
        <is>
          <t>2026-03</t>
        </is>
      </c>
      <c r="C6150" t="inlineStr">
        <is>
          <t>Hernán Coronado Sarabia</t>
        </is>
      </c>
      <c r="D6150" t="inlineStr">
        <is>
          <t>Petit Crunchy</t>
        </is>
      </c>
      <c r="E6150" s="34" t="n">
        <v>39390</v>
      </c>
      <c r="F6150" t="inlineStr">
        <is>
          <t>B</t>
        </is>
      </c>
      <c r="G6150" s="34" t="n">
        <v>6289</v>
      </c>
      <c r="H6150" s="34" t="n">
        <v>33101</v>
      </c>
      <c r="I6150" t="inlineStr">
        <is>
          <t>3.2</t>
        </is>
      </c>
      <c r="J6150" t="inlineStr">
        <is>
          <t>Ventas Personas (B2C)</t>
        </is>
      </c>
      <c r="K6150" t="inlineStr">
        <is>
          <t>CH2</t>
        </is>
      </c>
    </row>
    <row r="6151">
      <c r="A6151" s="33" t="n">
        <v>46109</v>
      </c>
      <c r="B6151" t="inlineStr">
        <is>
          <t>2026-03</t>
        </is>
      </c>
      <c r="C6151" t="inlineStr">
        <is>
          <t>Victoria Fuentes morales</t>
        </is>
      </c>
      <c r="D6151" t="inlineStr">
        <is>
          <t>Pascua de Resurrección</t>
        </is>
      </c>
      <c r="E6151" s="34" t="n">
        <v>35290</v>
      </c>
      <c r="F6151" t="inlineStr">
        <is>
          <t>B</t>
        </is>
      </c>
      <c r="G6151" s="34" t="n">
        <v>5635</v>
      </c>
      <c r="H6151" s="34" t="n">
        <v>29655</v>
      </c>
      <c r="I6151" t="inlineStr">
        <is>
          <t>3.2</t>
        </is>
      </c>
      <c r="J6151" t="inlineStr">
        <is>
          <t>Ventas Personas (B2C)</t>
        </is>
      </c>
      <c r="K6151" t="inlineStr">
        <is>
          <t>CH2</t>
        </is>
      </c>
    </row>
    <row r="6152">
      <c r="A6152" s="33" t="n">
        <v>46109</v>
      </c>
      <c r="B6152" t="inlineStr">
        <is>
          <t>2026-03</t>
        </is>
      </c>
      <c r="C6152" t="inlineStr">
        <is>
          <t>Marcel Harrison</t>
        </is>
      </c>
      <c r="D6152" t="inlineStr">
        <is>
          <t>CANELÉ TRADICIONAL</t>
        </is>
      </c>
      <c r="E6152" s="34" t="n">
        <v>28390</v>
      </c>
      <c r="F6152" t="inlineStr">
        <is>
          <t>B</t>
        </is>
      </c>
      <c r="G6152" s="34" t="n">
        <v>4533</v>
      </c>
      <c r="H6152" s="34" t="n">
        <v>23857</v>
      </c>
      <c r="I6152" t="inlineStr">
        <is>
          <t>3.2</t>
        </is>
      </c>
      <c r="J6152" t="inlineStr">
        <is>
          <t>Ventas Personas (B2C)</t>
        </is>
      </c>
      <c r="K6152" t="inlineStr">
        <is>
          <t>CH2</t>
        </is>
      </c>
    </row>
    <row r="6153">
      <c r="A6153" s="33" t="n">
        <v>46109</v>
      </c>
      <c r="B6153" t="inlineStr">
        <is>
          <t>2026-03</t>
        </is>
      </c>
      <c r="C6153" t="inlineStr">
        <is>
          <t>SUSAN MIRANDA</t>
        </is>
      </c>
      <c r="D6153" t="inlineStr">
        <is>
          <t>CANELÉ TRADICIONAL</t>
        </is>
      </c>
      <c r="E6153" s="34" t="n">
        <v>20390</v>
      </c>
      <c r="F6153" t="inlineStr">
        <is>
          <t>B</t>
        </is>
      </c>
      <c r="G6153" s="34" t="n">
        <v>3256</v>
      </c>
      <c r="H6153" s="34" t="n">
        <v>17134</v>
      </c>
      <c r="I6153" t="inlineStr">
        <is>
          <t>3.2</t>
        </is>
      </c>
      <c r="J6153" t="inlineStr">
        <is>
          <t>Ventas Personas (B2C)</t>
        </is>
      </c>
      <c r="K6153" t="inlineStr">
        <is>
          <t>CH2</t>
        </is>
      </c>
    </row>
    <row r="6154">
      <c r="A6154" s="33" t="n">
        <v>46109</v>
      </c>
      <c r="B6154" t="inlineStr">
        <is>
          <t>2026-03</t>
        </is>
      </c>
      <c r="C6154" t="inlineStr">
        <is>
          <t>Sin cliente</t>
        </is>
      </c>
      <c r="D6154" t="inlineStr">
        <is>
          <t>CANELÉ TRADICIONAL</t>
        </is>
      </c>
      <c r="E6154" s="34" t="n">
        <v>5000</v>
      </c>
      <c r="F6154" t="inlineStr">
        <is>
          <t>B</t>
        </is>
      </c>
      <c r="G6154" s="34" t="n">
        <v>798</v>
      </c>
      <c r="H6154" s="34" t="n">
        <v>4202</v>
      </c>
      <c r="I6154" t="inlineStr">
        <is>
          <t>3.2</t>
        </is>
      </c>
      <c r="J6154" t="inlineStr">
        <is>
          <t>Ventas Personas (B2C)</t>
        </is>
      </c>
      <c r="K6154" t="inlineStr">
        <is>
          <t>CH2</t>
        </is>
      </c>
    </row>
    <row r="6155">
      <c r="A6155" s="33" t="n">
        <v>46109</v>
      </c>
      <c r="B6155" t="inlineStr">
        <is>
          <t>2026-03</t>
        </is>
      </c>
      <c r="C6155" t="inlineStr">
        <is>
          <t>Sin cliente</t>
        </is>
      </c>
      <c r="D6155" t="inlineStr">
        <is>
          <t>PLATAFORMAS RAP-PEYA-UBER-GOOD</t>
        </is>
      </c>
      <c r="E6155" s="34" t="n">
        <v>16560</v>
      </c>
      <c r="F6155" t="inlineStr">
        <is>
          <t>B</t>
        </is>
      </c>
      <c r="G6155" s="34" t="n">
        <v>2644</v>
      </c>
      <c r="H6155" s="34" t="n">
        <v>13916</v>
      </c>
      <c r="I6155" t="inlineStr">
        <is>
          <t>3.6</t>
        </is>
      </c>
      <c r="J6155" t="inlineStr">
        <is>
          <t>Ventas Delivery Apps</t>
        </is>
      </c>
      <c r="K6155" t="inlineStr">
        <is>
          <t>CH3</t>
        </is>
      </c>
    </row>
    <row r="6156">
      <c r="A6156" s="33" t="n">
        <v>46109</v>
      </c>
      <c r="B6156" t="inlineStr">
        <is>
          <t>2026-03</t>
        </is>
      </c>
      <c r="C6156" t="inlineStr">
        <is>
          <t>Sin cliente</t>
        </is>
      </c>
      <c r="D6156" t="inlineStr">
        <is>
          <t>CANELÉ TRADICIONAL</t>
        </is>
      </c>
      <c r="E6156" s="34" t="n">
        <v>7500</v>
      </c>
      <c r="F6156" t="inlineStr">
        <is>
          <t>B</t>
        </is>
      </c>
      <c r="G6156" s="34" t="n">
        <v>1197</v>
      </c>
      <c r="H6156" s="34" t="n">
        <v>6303</v>
      </c>
      <c r="I6156" t="inlineStr">
        <is>
          <t>3.2</t>
        </is>
      </c>
      <c r="J6156" t="inlineStr">
        <is>
          <t>Ventas Personas (B2C)</t>
        </is>
      </c>
      <c r="K6156" t="inlineStr">
        <is>
          <t>CH2</t>
        </is>
      </c>
    </row>
    <row r="6157">
      <c r="A6157" s="33" t="n">
        <v>46109</v>
      </c>
      <c r="B6157" t="inlineStr">
        <is>
          <t>2026-03</t>
        </is>
      </c>
      <c r="C6157" t="inlineStr">
        <is>
          <t>Sin cliente</t>
        </is>
      </c>
      <c r="D6157" t="inlineStr">
        <is>
          <t>Rellenos</t>
        </is>
      </c>
      <c r="E6157" s="34" t="n">
        <v>39890</v>
      </c>
      <c r="F6157" t="inlineStr">
        <is>
          <t>B</t>
        </is>
      </c>
      <c r="G6157" s="34" t="n">
        <v>6369</v>
      </c>
      <c r="H6157" s="34" t="n">
        <v>33521</v>
      </c>
      <c r="I6157" t="inlineStr">
        <is>
          <t>3.2</t>
        </is>
      </c>
      <c r="J6157" t="inlineStr">
        <is>
          <t>Ventas Personas (B2C)</t>
        </is>
      </c>
      <c r="K6157" t="inlineStr">
        <is>
          <t>CH2</t>
        </is>
      </c>
    </row>
    <row r="6158">
      <c r="A6158" s="33" t="n">
        <v>46109</v>
      </c>
      <c r="B6158" t="inlineStr">
        <is>
          <t>2026-03</t>
        </is>
      </c>
      <c r="C6158" t="inlineStr">
        <is>
          <t>Sin cliente</t>
        </is>
      </c>
      <c r="D6158" t="inlineStr">
        <is>
          <t>CANELÉ TRADICIONAL</t>
        </is>
      </c>
      <c r="E6158" s="34" t="n">
        <v>20800</v>
      </c>
      <c r="F6158" t="inlineStr">
        <is>
          <t>B</t>
        </is>
      </c>
      <c r="G6158" s="34" t="n">
        <v>3321</v>
      </c>
      <c r="H6158" s="34" t="n">
        <v>17479</v>
      </c>
      <c r="I6158" t="inlineStr">
        <is>
          <t>3.2</t>
        </is>
      </c>
      <c r="J6158" t="inlineStr">
        <is>
          <t>Ventas Personas (B2C)</t>
        </is>
      </c>
      <c r="K6158" t="inlineStr">
        <is>
          <t>CH2</t>
        </is>
      </c>
    </row>
    <row r="6159">
      <c r="A6159" s="33" t="n">
        <v>46109</v>
      </c>
      <c r="B6159" t="inlineStr">
        <is>
          <t>2026-03</t>
        </is>
      </c>
      <c r="C6159" t="inlineStr">
        <is>
          <t>Sin cliente</t>
        </is>
      </c>
      <c r="D6159" t="inlineStr">
        <is>
          <t>Rellenos</t>
        </is>
      </c>
      <c r="E6159" s="34" t="n">
        <v>22400</v>
      </c>
      <c r="F6159" t="inlineStr">
        <is>
          <t>B</t>
        </is>
      </c>
      <c r="G6159" s="34" t="n">
        <v>3576</v>
      </c>
      <c r="H6159" s="34" t="n">
        <v>18824</v>
      </c>
      <c r="I6159" t="inlineStr">
        <is>
          <t>3.2</t>
        </is>
      </c>
      <c r="J6159" t="inlineStr">
        <is>
          <t>Ventas Personas (B2C)</t>
        </is>
      </c>
      <c r="K6159" t="inlineStr">
        <is>
          <t>CH2</t>
        </is>
      </c>
    </row>
    <row r="6160">
      <c r="A6160" s="33" t="n">
        <v>46109</v>
      </c>
      <c r="B6160" t="inlineStr">
        <is>
          <t>2026-03</t>
        </is>
      </c>
      <c r="C6160" t="inlineStr">
        <is>
          <t>Sin cliente</t>
        </is>
      </c>
      <c r="D6160" t="inlineStr">
        <is>
          <t>PLATAFORMAS RAP-PEYA-UBER-GOOD</t>
        </is>
      </c>
      <c r="E6160" s="34" t="n">
        <v>17880</v>
      </c>
      <c r="F6160" t="inlineStr">
        <is>
          <t>B</t>
        </is>
      </c>
      <c r="G6160" s="34" t="n">
        <v>2855</v>
      </c>
      <c r="H6160" s="34" t="n">
        <v>15025</v>
      </c>
      <c r="I6160" t="inlineStr">
        <is>
          <t>3.6</t>
        </is>
      </c>
      <c r="J6160" t="inlineStr">
        <is>
          <t>Ventas Delivery Apps</t>
        </is>
      </c>
      <c r="K6160" t="inlineStr">
        <is>
          <t>CH3</t>
        </is>
      </c>
    </row>
    <row r="6161">
      <c r="A6161" s="33" t="n">
        <v>46109</v>
      </c>
      <c r="B6161" t="inlineStr">
        <is>
          <t>2026-03</t>
        </is>
      </c>
      <c r="C6161" t="inlineStr">
        <is>
          <t>Sin cliente</t>
        </is>
      </c>
      <c r="D6161" t="inlineStr">
        <is>
          <t>Rellenos</t>
        </is>
      </c>
      <c r="E6161" s="34" t="n">
        <v>18900</v>
      </c>
      <c r="F6161" t="inlineStr">
        <is>
          <t>B</t>
        </is>
      </c>
      <c r="G6161" s="34" t="n">
        <v>3018</v>
      </c>
      <c r="H6161" s="34" t="n">
        <v>15882</v>
      </c>
      <c r="I6161" t="inlineStr">
        <is>
          <t>3.2</t>
        </is>
      </c>
      <c r="J6161" t="inlineStr">
        <is>
          <t>Ventas Personas (B2C)</t>
        </is>
      </c>
      <c r="K6161" t="inlineStr">
        <is>
          <t>CH2</t>
        </is>
      </c>
    </row>
    <row r="6162">
      <c r="A6162" s="33" t="n">
        <v>46109</v>
      </c>
      <c r="B6162" t="inlineStr">
        <is>
          <t>2026-03</t>
        </is>
      </c>
      <c r="C6162" t="inlineStr">
        <is>
          <t>Sin cliente</t>
        </is>
      </c>
      <c r="D6162" t="inlineStr">
        <is>
          <t>CANELÉ TRADICIONAL</t>
        </is>
      </c>
      <c r="E6162" s="34" t="n">
        <v>15900</v>
      </c>
      <c r="F6162" t="inlineStr">
        <is>
          <t>B</t>
        </is>
      </c>
      <c r="G6162" s="34" t="n">
        <v>2539</v>
      </c>
      <c r="H6162" s="34" t="n">
        <v>13361</v>
      </c>
      <c r="I6162" t="inlineStr">
        <is>
          <t>3.2</t>
        </is>
      </c>
      <c r="J6162" t="inlineStr">
        <is>
          <t>Ventas Personas (B2C)</t>
        </is>
      </c>
      <c r="K6162" t="inlineStr">
        <is>
          <t>CH2</t>
        </is>
      </c>
    </row>
    <row r="6163">
      <c r="A6163" s="33" t="n">
        <v>46109</v>
      </c>
      <c r="B6163" t="inlineStr">
        <is>
          <t>2026-03</t>
        </is>
      </c>
      <c r="C6163" t="inlineStr">
        <is>
          <t>Sin cliente</t>
        </is>
      </c>
      <c r="D6163" t="inlineStr">
        <is>
          <t>Petit Crunchy</t>
        </is>
      </c>
      <c r="E6163" s="34" t="n">
        <v>14900</v>
      </c>
      <c r="F6163" t="inlineStr">
        <is>
          <t>B</t>
        </is>
      </c>
      <c r="G6163" s="34" t="n">
        <v>2379</v>
      </c>
      <c r="H6163" s="34" t="n">
        <v>12521</v>
      </c>
      <c r="I6163" t="inlineStr">
        <is>
          <t>3.2</t>
        </is>
      </c>
      <c r="J6163" t="inlineStr">
        <is>
          <t>Ventas Personas (B2C)</t>
        </is>
      </c>
      <c r="K6163" t="inlineStr">
        <is>
          <t>CH2</t>
        </is>
      </c>
    </row>
    <row r="6164">
      <c r="A6164" s="33" t="n">
        <v>46109</v>
      </c>
      <c r="B6164" t="inlineStr">
        <is>
          <t>2026-03</t>
        </is>
      </c>
      <c r="C6164" t="inlineStr">
        <is>
          <t>Sin cliente</t>
        </is>
      </c>
      <c r="D6164" t="inlineStr">
        <is>
          <t>Cafeteria Geronimo</t>
        </is>
      </c>
      <c r="E6164" s="34" t="n">
        <v>8900</v>
      </c>
      <c r="F6164" t="inlineStr">
        <is>
          <t>B</t>
        </is>
      </c>
      <c r="G6164" s="34" t="n">
        <v>1421</v>
      </c>
      <c r="H6164" s="34" t="n">
        <v>7479</v>
      </c>
      <c r="I6164" t="inlineStr">
        <is>
          <t>3.2</t>
        </is>
      </c>
      <c r="J6164" t="inlineStr">
        <is>
          <t>Ventas Personas (B2C)</t>
        </is>
      </c>
      <c r="K6164" t="inlineStr">
        <is>
          <t>CH2</t>
        </is>
      </c>
    </row>
    <row r="6165">
      <c r="A6165" s="33" t="n">
        <v>46109</v>
      </c>
      <c r="B6165" t="inlineStr">
        <is>
          <t>2026-03</t>
        </is>
      </c>
      <c r="C6165" t="inlineStr">
        <is>
          <t>Sin cliente</t>
        </is>
      </c>
      <c r="D6165" t="inlineStr">
        <is>
          <t>Cafeteria Geronimo</t>
        </is>
      </c>
      <c r="E6165" s="34" t="n">
        <v>6200</v>
      </c>
      <c r="F6165" t="inlineStr">
        <is>
          <t>B</t>
        </is>
      </c>
      <c r="G6165" s="34" t="n">
        <v>990</v>
      </c>
      <c r="H6165" s="34" t="n">
        <v>5210</v>
      </c>
      <c r="I6165" t="inlineStr">
        <is>
          <t>3.2</t>
        </is>
      </c>
      <c r="J6165" t="inlineStr">
        <is>
          <t>Ventas Personas (B2C)</t>
        </is>
      </c>
      <c r="K6165" t="inlineStr">
        <is>
          <t>CH2</t>
        </is>
      </c>
    </row>
    <row r="6166">
      <c r="A6166" s="33" t="n">
        <v>46109</v>
      </c>
      <c r="B6166" t="inlineStr">
        <is>
          <t>2026-03</t>
        </is>
      </c>
      <c r="C6166" t="inlineStr">
        <is>
          <t>Sin cliente</t>
        </is>
      </c>
      <c r="D6166" t="inlineStr">
        <is>
          <t>Cafeteria Geronimo</t>
        </is>
      </c>
      <c r="E6166" s="34" t="n">
        <v>22100</v>
      </c>
      <c r="F6166" t="inlineStr">
        <is>
          <t>B</t>
        </is>
      </c>
      <c r="G6166" s="34" t="n">
        <v>3529</v>
      </c>
      <c r="H6166" s="34" t="n">
        <v>18571</v>
      </c>
      <c r="I6166" t="inlineStr">
        <is>
          <t>3.2</t>
        </is>
      </c>
      <c r="J6166" t="inlineStr">
        <is>
          <t>Ventas Personas (B2C)</t>
        </is>
      </c>
      <c r="K6166" t="inlineStr">
        <is>
          <t>CH2</t>
        </is>
      </c>
    </row>
    <row r="6167">
      <c r="A6167" s="33" t="n">
        <v>46109</v>
      </c>
      <c r="B6167" t="inlineStr">
        <is>
          <t>2026-03</t>
        </is>
      </c>
      <c r="C6167" t="inlineStr">
        <is>
          <t>Sin cliente</t>
        </is>
      </c>
      <c r="D6167" t="inlineStr">
        <is>
          <t>Rellenos</t>
        </is>
      </c>
      <c r="E6167" s="34" t="n">
        <v>25900</v>
      </c>
      <c r="F6167" t="inlineStr">
        <is>
          <t>B</t>
        </is>
      </c>
      <c r="G6167" s="34" t="n">
        <v>4135</v>
      </c>
      <c r="H6167" s="34" t="n">
        <v>21765</v>
      </c>
      <c r="I6167" t="inlineStr">
        <is>
          <t>3.2</t>
        </is>
      </c>
      <c r="J6167" t="inlineStr">
        <is>
          <t>Ventas Personas (B2C)</t>
        </is>
      </c>
      <c r="K6167" t="inlineStr">
        <is>
          <t>CH2</t>
        </is>
      </c>
    </row>
    <row r="6168">
      <c r="A6168" s="33" t="n">
        <v>46109</v>
      </c>
      <c r="B6168" t="inlineStr">
        <is>
          <t>2026-03</t>
        </is>
      </c>
      <c r="C6168" t="inlineStr">
        <is>
          <t>Sin cliente</t>
        </is>
      </c>
      <c r="D6168" t="inlineStr">
        <is>
          <t>Cafeteria Geronimo</t>
        </is>
      </c>
      <c r="E6168" s="34" t="n">
        <v>37000</v>
      </c>
      <c r="F6168" t="inlineStr">
        <is>
          <t>B</t>
        </is>
      </c>
      <c r="G6168" s="34" t="n">
        <v>5908</v>
      </c>
      <c r="H6168" s="34" t="n">
        <v>31092</v>
      </c>
      <c r="I6168" t="inlineStr">
        <is>
          <t>3.2</t>
        </is>
      </c>
      <c r="J6168" t="inlineStr">
        <is>
          <t>Ventas Personas (B2C)</t>
        </is>
      </c>
      <c r="K6168" t="inlineStr">
        <is>
          <t>CH2</t>
        </is>
      </c>
    </row>
    <row r="6169">
      <c r="A6169" s="33" t="n">
        <v>46109</v>
      </c>
      <c r="B6169" t="inlineStr">
        <is>
          <t>2026-03</t>
        </is>
      </c>
      <c r="C6169" t="inlineStr">
        <is>
          <t>Sin cliente</t>
        </is>
      </c>
      <c r="D6169" t="inlineStr">
        <is>
          <t>PLATAFORMAS RAP-PEYA-UBER-GOOD</t>
        </is>
      </c>
      <c r="E6169" s="34" t="n">
        <v>11760</v>
      </c>
      <c r="F6169" t="inlineStr">
        <is>
          <t>B</t>
        </is>
      </c>
      <c r="G6169" s="34" t="n">
        <v>1878</v>
      </c>
      <c r="H6169" s="34" t="n">
        <v>9882</v>
      </c>
      <c r="I6169" t="inlineStr">
        <is>
          <t>3.6</t>
        </is>
      </c>
      <c r="J6169" t="inlineStr">
        <is>
          <t>Ventas Delivery Apps</t>
        </is>
      </c>
      <c r="K6169" t="inlineStr">
        <is>
          <t>CH3</t>
        </is>
      </c>
    </row>
    <row r="6170">
      <c r="A6170" s="33" t="n">
        <v>46109</v>
      </c>
      <c r="B6170" t="inlineStr">
        <is>
          <t>2026-03</t>
        </is>
      </c>
      <c r="C6170" t="inlineStr">
        <is>
          <t>Sin cliente</t>
        </is>
      </c>
      <c r="D6170" t="inlineStr">
        <is>
          <t>Delicatessen</t>
        </is>
      </c>
      <c r="E6170" s="34" t="n">
        <v>11000</v>
      </c>
      <c r="F6170" t="inlineStr">
        <is>
          <t>B</t>
        </is>
      </c>
      <c r="G6170" s="34" t="n">
        <v>1756</v>
      </c>
      <c r="H6170" s="34" t="n">
        <v>9244</v>
      </c>
      <c r="I6170" t="inlineStr">
        <is>
          <t>3.2</t>
        </is>
      </c>
      <c r="J6170" t="inlineStr">
        <is>
          <t>Ventas Personas (B2C)</t>
        </is>
      </c>
      <c r="K6170" t="inlineStr">
        <is>
          <t>CH2</t>
        </is>
      </c>
    </row>
    <row r="6171">
      <c r="A6171" s="33" t="n">
        <v>46109</v>
      </c>
      <c r="B6171" t="inlineStr">
        <is>
          <t>2026-03</t>
        </is>
      </c>
      <c r="C6171" t="inlineStr">
        <is>
          <t>Stephan Godomar Encina</t>
        </is>
      </c>
      <c r="D6171" t="inlineStr">
        <is>
          <t>PACKAGING</t>
        </is>
      </c>
      <c r="E6171" s="34" t="n">
        <v>-30700</v>
      </c>
      <c r="F6171" t="inlineStr">
        <is>
          <t>NC</t>
        </is>
      </c>
      <c r="G6171" s="34" t="n">
        <v>-4902</v>
      </c>
      <c r="H6171" s="34" t="n">
        <v>-25798</v>
      </c>
      <c r="I6171" t="inlineStr">
        <is>
          <t>3.2</t>
        </is>
      </c>
      <c r="J6171" t="inlineStr">
        <is>
          <t>Ventas Personas (B2C)</t>
        </is>
      </c>
      <c r="K6171" t="inlineStr">
        <is>
          <t>CH2</t>
        </is>
      </c>
    </row>
    <row r="6172">
      <c r="A6172" s="33" t="n">
        <v>46109</v>
      </c>
      <c r="B6172" t="inlineStr">
        <is>
          <t>2026-03</t>
        </is>
      </c>
      <c r="C6172" t="inlineStr">
        <is>
          <t>Stephan Godomar Encina</t>
        </is>
      </c>
      <c r="D6172" t="inlineStr">
        <is>
          <t>Mix Sabores</t>
        </is>
      </c>
      <c r="E6172" s="34" t="n">
        <v>33500</v>
      </c>
      <c r="F6172" t="inlineStr">
        <is>
          <t>B</t>
        </is>
      </c>
      <c r="G6172" s="34" t="n">
        <v>5349</v>
      </c>
      <c r="H6172" s="34" t="n">
        <v>28151</v>
      </c>
      <c r="I6172" t="inlineStr">
        <is>
          <t>3.2</t>
        </is>
      </c>
      <c r="J6172" t="inlineStr">
        <is>
          <t>Ventas Personas (B2C)</t>
        </is>
      </c>
      <c r="K6172" t="inlineStr">
        <is>
          <t>CH2</t>
        </is>
      </c>
    </row>
    <row r="6173">
      <c r="A6173" s="33" t="n">
        <v>46110</v>
      </c>
      <c r="B6173" t="inlineStr">
        <is>
          <t>2026-03</t>
        </is>
      </c>
      <c r="C6173" t="inlineStr">
        <is>
          <t>Liliana Bustamante Muñoz</t>
        </is>
      </c>
      <c r="D6173" t="inlineStr">
        <is>
          <t>CANELÉ TRADICIONAL</t>
        </is>
      </c>
      <c r="E6173" s="34" t="n">
        <v>18490</v>
      </c>
      <c r="F6173" t="inlineStr">
        <is>
          <t>B</t>
        </is>
      </c>
      <c r="G6173" s="34" t="n">
        <v>2952</v>
      </c>
      <c r="H6173" s="34" t="n">
        <v>15538</v>
      </c>
      <c r="I6173" t="inlineStr">
        <is>
          <t>3.2</t>
        </is>
      </c>
      <c r="J6173" t="inlineStr">
        <is>
          <t>Ventas Personas (B2C)</t>
        </is>
      </c>
      <c r="K6173" t="inlineStr">
        <is>
          <t>CH2</t>
        </is>
      </c>
    </row>
    <row r="6174">
      <c r="A6174" s="33" t="n">
        <v>46110</v>
      </c>
      <c r="B6174" t="inlineStr">
        <is>
          <t>2026-03</t>
        </is>
      </c>
      <c r="C6174" t="inlineStr">
        <is>
          <t>Miry Chung</t>
        </is>
      </c>
      <c r="D6174" t="inlineStr">
        <is>
          <t>Petit Tradicional</t>
        </is>
      </c>
      <c r="E6174" s="34" t="n">
        <v>32190</v>
      </c>
      <c r="F6174" t="inlineStr">
        <is>
          <t>B</t>
        </is>
      </c>
      <c r="G6174" s="34" t="n">
        <v>5140</v>
      </c>
      <c r="H6174" s="34" t="n">
        <v>27050</v>
      </c>
      <c r="I6174" t="inlineStr">
        <is>
          <t>3.2</t>
        </is>
      </c>
      <c r="J6174" t="inlineStr">
        <is>
          <t>Ventas Personas (B2C)</t>
        </is>
      </c>
      <c r="K6174" t="inlineStr">
        <is>
          <t>CH2</t>
        </is>
      </c>
    </row>
    <row r="6175">
      <c r="A6175" s="33" t="n">
        <v>46111</v>
      </c>
      <c r="B6175" t="inlineStr">
        <is>
          <t>2026-03</t>
        </is>
      </c>
      <c r="C6175" t="inlineStr">
        <is>
          <t>Sociedad de inversiones solari y acuña spa</t>
        </is>
      </c>
      <c r="D6175" t="inlineStr">
        <is>
          <t>HORECA CAFETERIA</t>
        </is>
      </c>
      <c r="E6175" s="34" t="n">
        <v>136410</v>
      </c>
      <c r="F6175" t="inlineStr">
        <is>
          <t>F</t>
        </is>
      </c>
      <c r="G6175" s="34" t="n">
        <v>21780</v>
      </c>
      <c r="H6175" s="34" t="n">
        <v>114630</v>
      </c>
      <c r="I6175" t="inlineStr">
        <is>
          <t>3.1</t>
        </is>
      </c>
      <c r="J6175" t="inlineStr">
        <is>
          <t>Ventas HoReCa</t>
        </is>
      </c>
      <c r="K6175" t="inlineStr">
        <is>
          <t>CH1</t>
        </is>
      </c>
    </row>
    <row r="6176">
      <c r="A6176" s="33" t="n">
        <v>46111</v>
      </c>
      <c r="B6176" t="inlineStr">
        <is>
          <t>2026-03</t>
        </is>
      </c>
      <c r="C6176" t="inlineStr">
        <is>
          <t>INVERSIONES Y ASESORIAS RAVAL LIMITADA</t>
        </is>
      </c>
      <c r="D6176" t="inlineStr">
        <is>
          <t>HORECA CAFETERIA</t>
        </is>
      </c>
      <c r="E6176" s="34" t="n">
        <v>107124</v>
      </c>
      <c r="F6176" t="inlineStr">
        <is>
          <t>F</t>
        </is>
      </c>
      <c r="G6176" s="34" t="n">
        <v>17104</v>
      </c>
      <c r="H6176" s="34" t="n">
        <v>90020</v>
      </c>
      <c r="I6176" t="inlineStr">
        <is>
          <t>3.1</t>
        </is>
      </c>
      <c r="J6176" t="inlineStr">
        <is>
          <t>Ventas HoReCa</t>
        </is>
      </c>
      <c r="K6176" t="inlineStr">
        <is>
          <t>CH1</t>
        </is>
      </c>
    </row>
    <row r="6177">
      <c r="A6177" s="33" t="n">
        <v>46111</v>
      </c>
      <c r="B6177" t="inlineStr">
        <is>
          <t>2026-03</t>
        </is>
      </c>
      <c r="C6177" t="inlineStr">
        <is>
          <t>Lulu Kuo</t>
        </is>
      </c>
      <c r="D6177" t="inlineStr">
        <is>
          <t>CANELÉ TRADICIONAL</t>
        </is>
      </c>
      <c r="E6177" s="34" t="n">
        <v>38300</v>
      </c>
      <c r="F6177" t="inlineStr">
        <is>
          <t>B</t>
        </is>
      </c>
      <c r="G6177" s="34" t="n">
        <v>6115</v>
      </c>
      <c r="H6177" s="34" t="n">
        <v>32185</v>
      </c>
      <c r="I6177" t="inlineStr">
        <is>
          <t>3.2</t>
        </is>
      </c>
      <c r="J6177" t="inlineStr">
        <is>
          <t>Ventas Personas (B2C)</t>
        </is>
      </c>
      <c r="K6177" t="inlineStr">
        <is>
          <t>CH2</t>
        </is>
      </c>
    </row>
    <row r="6178">
      <c r="A6178" s="33" t="n">
        <v>46111</v>
      </c>
      <c r="B6178" t="inlineStr">
        <is>
          <t>2026-03</t>
        </is>
      </c>
      <c r="C6178" t="inlineStr">
        <is>
          <t>Francisca Izquierdo</t>
        </is>
      </c>
      <c r="D6178" t="inlineStr">
        <is>
          <t>Pascua de Resurrección</t>
        </is>
      </c>
      <c r="E6178" s="34" t="n">
        <v>48190</v>
      </c>
      <c r="F6178" t="inlineStr">
        <is>
          <t>B</t>
        </is>
      </c>
      <c r="G6178" s="34" t="n">
        <v>7694</v>
      </c>
      <c r="H6178" s="34" t="n">
        <v>40496</v>
      </c>
      <c r="I6178" t="inlineStr">
        <is>
          <t>3.2</t>
        </is>
      </c>
      <c r="J6178" t="inlineStr">
        <is>
          <t>Ventas Personas (B2C)</t>
        </is>
      </c>
      <c r="K6178" t="inlineStr">
        <is>
          <t>CH2</t>
        </is>
      </c>
    </row>
    <row r="6179">
      <c r="A6179" s="33" t="n">
        <v>46111</v>
      </c>
      <c r="B6179" t="inlineStr">
        <is>
          <t>2026-03</t>
        </is>
      </c>
      <c r="C6179" t="inlineStr">
        <is>
          <t>Julio Ramirez</t>
        </is>
      </c>
      <c r="D6179" t="inlineStr">
        <is>
          <t>Petit Crunchy</t>
        </is>
      </c>
      <c r="E6179" s="34" t="n">
        <v>23390</v>
      </c>
      <c r="F6179" t="inlineStr">
        <is>
          <t>B</t>
        </is>
      </c>
      <c r="G6179" s="34" t="n">
        <v>3735</v>
      </c>
      <c r="H6179" s="34" t="n">
        <v>19655</v>
      </c>
      <c r="I6179" t="inlineStr">
        <is>
          <t>3.2</t>
        </is>
      </c>
      <c r="J6179" t="inlineStr">
        <is>
          <t>Ventas Personas (B2C)</t>
        </is>
      </c>
      <c r="K6179" t="inlineStr">
        <is>
          <t>CH2</t>
        </is>
      </c>
    </row>
    <row r="6180">
      <c r="A6180" s="33" t="n">
        <v>46111</v>
      </c>
      <c r="B6180" t="inlineStr">
        <is>
          <t>2026-03</t>
        </is>
      </c>
      <c r="C6180" t="inlineStr">
        <is>
          <t>Amanda Dittborn</t>
        </is>
      </c>
      <c r="D6180" t="inlineStr">
        <is>
          <t>Petit Crunchy</t>
        </is>
      </c>
      <c r="E6180" s="34" t="n">
        <v>53850</v>
      </c>
      <c r="F6180" t="inlineStr">
        <is>
          <t>B</t>
        </is>
      </c>
      <c r="G6180" s="34" t="n">
        <v>8598</v>
      </c>
      <c r="H6180" s="34" t="n">
        <v>45252</v>
      </c>
      <c r="I6180" t="inlineStr">
        <is>
          <t>3.2</t>
        </is>
      </c>
      <c r="J6180" t="inlineStr">
        <is>
          <t>Ventas Personas (B2C)</t>
        </is>
      </c>
      <c r="K6180" t="inlineStr">
        <is>
          <t>CH2</t>
        </is>
      </c>
    </row>
    <row r="6181">
      <c r="A6181" s="33" t="n">
        <v>46111</v>
      </c>
      <c r="B6181" t="inlineStr">
        <is>
          <t>2026-03</t>
        </is>
      </c>
      <c r="C6181" t="inlineStr">
        <is>
          <t>CANTABRIA SPA</t>
        </is>
      </c>
      <c r="D6181" t="inlineStr">
        <is>
          <t>HORECA CAFETERIA</t>
        </is>
      </c>
      <c r="E6181" s="34" t="n">
        <v>4775646</v>
      </c>
      <c r="F6181" t="inlineStr">
        <is>
          <t>F</t>
        </is>
      </c>
      <c r="G6181" s="34" t="n">
        <v>762498</v>
      </c>
      <c r="H6181" s="34" t="n">
        <v>4013148</v>
      </c>
      <c r="I6181" t="inlineStr">
        <is>
          <t>3.1</t>
        </is>
      </c>
      <c r="J6181" t="inlineStr">
        <is>
          <t>Ventas HoReCa</t>
        </is>
      </c>
      <c r="K6181" t="inlineStr">
        <is>
          <t>CH1</t>
        </is>
      </c>
    </row>
    <row r="6182">
      <c r="A6182" s="33" t="n">
        <v>46111</v>
      </c>
      <c r="B6182" t="inlineStr">
        <is>
          <t>2026-03</t>
        </is>
      </c>
      <c r="C6182" t="inlineStr">
        <is>
          <t>CANTABRIA SPA</t>
        </is>
      </c>
      <c r="D6182" t="inlineStr">
        <is>
          <t>Glosa Despacho centralizado (más de 100 cajas)</t>
        </is>
      </c>
      <c r="E6182" s="34" t="n">
        <v>95200</v>
      </c>
      <c r="F6182" t="inlineStr">
        <is>
          <t>F</t>
        </is>
      </c>
      <c r="G6182" s="34" t="n">
        <v>15200</v>
      </c>
      <c r="H6182" s="34" t="n">
        <v>80000</v>
      </c>
      <c r="I6182" t="inlineStr">
        <is>
          <t>3.1</t>
        </is>
      </c>
      <c r="J6182" t="inlineStr">
        <is>
          <t>Ventas HoReCa</t>
        </is>
      </c>
      <c r="K6182" t="inlineStr">
        <is>
          <t>CH1</t>
        </is>
      </c>
    </row>
    <row r="6183">
      <c r="A6183" s="33" t="n">
        <v>46111</v>
      </c>
      <c r="B6183" t="inlineStr">
        <is>
          <t>2026-03</t>
        </is>
      </c>
      <c r="C6183" t="inlineStr">
        <is>
          <t>Orietta Bascuñán</t>
        </is>
      </c>
      <c r="D6183" t="inlineStr">
        <is>
          <t>Rellenos</t>
        </is>
      </c>
      <c r="E6183" s="34" t="n">
        <v>33925</v>
      </c>
      <c r="F6183" t="inlineStr">
        <is>
          <t>B</t>
        </is>
      </c>
      <c r="G6183" s="34" t="n">
        <v>5417</v>
      </c>
      <c r="H6183" s="34" t="n">
        <v>28508</v>
      </c>
      <c r="I6183" t="inlineStr">
        <is>
          <t>3.2</t>
        </is>
      </c>
      <c r="J6183" t="inlineStr">
        <is>
          <t>Ventas Personas (B2C)</t>
        </is>
      </c>
      <c r="K6183" t="inlineStr">
        <is>
          <t>CH2</t>
        </is>
      </c>
    </row>
    <row r="6184">
      <c r="A6184" s="33" t="n">
        <v>46111</v>
      </c>
      <c r="B6184" t="inlineStr">
        <is>
          <t>2026-03</t>
        </is>
      </c>
      <c r="C6184" t="inlineStr">
        <is>
          <t>Pia Miljas</t>
        </is>
      </c>
      <c r="D6184" t="inlineStr">
        <is>
          <t>Canelé Petit Relleno</t>
        </is>
      </c>
      <c r="E6184" s="34" t="n">
        <v>23390</v>
      </c>
      <c r="F6184" t="inlineStr">
        <is>
          <t>B</t>
        </is>
      </c>
      <c r="G6184" s="34" t="n">
        <v>3735</v>
      </c>
      <c r="H6184" s="34" t="n">
        <v>19655</v>
      </c>
      <c r="I6184" t="inlineStr">
        <is>
          <t>3.2</t>
        </is>
      </c>
      <c r="J6184" t="inlineStr">
        <is>
          <t>Ventas Personas (B2C)</t>
        </is>
      </c>
      <c r="K6184" t="inlineStr">
        <is>
          <t>CH2</t>
        </is>
      </c>
    </row>
    <row r="6185">
      <c r="A6185" s="33" t="n">
        <v>46111</v>
      </c>
      <c r="B6185" t="inlineStr">
        <is>
          <t>2026-03</t>
        </is>
      </c>
      <c r="C6185" t="inlineStr">
        <is>
          <t>Helvia Granifo</t>
        </is>
      </c>
      <c r="D6185" t="inlineStr">
        <is>
          <t>Rellenos</t>
        </is>
      </c>
      <c r="E6185" s="34" t="n">
        <v>33390</v>
      </c>
      <c r="F6185" t="inlineStr">
        <is>
          <t>B</t>
        </is>
      </c>
      <c r="G6185" s="34" t="n">
        <v>5331</v>
      </c>
      <c r="H6185" s="34" t="n">
        <v>28059</v>
      </c>
      <c r="I6185" t="inlineStr">
        <is>
          <t>3.2</t>
        </is>
      </c>
      <c r="J6185" t="inlineStr">
        <is>
          <t>Ventas Personas (B2C)</t>
        </is>
      </c>
      <c r="K6185" t="inlineStr">
        <is>
          <t>CH2</t>
        </is>
      </c>
    </row>
    <row r="6186">
      <c r="A6186" s="33" t="n">
        <v>46111</v>
      </c>
      <c r="B6186" t="inlineStr">
        <is>
          <t>2026-03</t>
        </is>
      </c>
      <c r="C6186" t="inlineStr">
        <is>
          <t>Carolina Fernández</t>
        </is>
      </c>
      <c r="D6186" t="inlineStr">
        <is>
          <t>Canelé Petit Relleno</t>
        </is>
      </c>
      <c r="E6186" s="34" t="n">
        <v>22390</v>
      </c>
      <c r="F6186" t="inlineStr">
        <is>
          <t>B</t>
        </is>
      </c>
      <c r="G6186" s="34" t="n">
        <v>3575</v>
      </c>
      <c r="H6186" s="34" t="n">
        <v>18815</v>
      </c>
      <c r="I6186" t="inlineStr">
        <is>
          <t>3.2</t>
        </is>
      </c>
      <c r="J6186" t="inlineStr">
        <is>
          <t>Ventas Personas (B2C)</t>
        </is>
      </c>
      <c r="K6186" t="inlineStr">
        <is>
          <t>CH2</t>
        </is>
      </c>
    </row>
    <row r="6187">
      <c r="A6187" s="33" t="n">
        <v>46111</v>
      </c>
      <c r="B6187" t="inlineStr">
        <is>
          <t>2026-03</t>
        </is>
      </c>
      <c r="C6187" t="inlineStr">
        <is>
          <t>Felipe Huaiquiche</t>
        </is>
      </c>
      <c r="D6187" t="inlineStr">
        <is>
          <t>Petit Crunchy</t>
        </is>
      </c>
      <c r="E6187" s="34" t="n">
        <v>19390</v>
      </c>
      <c r="F6187" t="inlineStr">
        <is>
          <t>B</t>
        </is>
      </c>
      <c r="G6187" s="34" t="n">
        <v>3096</v>
      </c>
      <c r="H6187" s="34" t="n">
        <v>16294</v>
      </c>
      <c r="I6187" t="inlineStr">
        <is>
          <t>3.2</t>
        </is>
      </c>
      <c r="J6187" t="inlineStr">
        <is>
          <t>Ventas Personas (B2C)</t>
        </is>
      </c>
      <c r="K6187" t="inlineStr">
        <is>
          <t>CH2</t>
        </is>
      </c>
    </row>
    <row r="6188">
      <c r="A6188" s="33" t="n">
        <v>46111</v>
      </c>
      <c r="B6188" t="inlineStr">
        <is>
          <t>2026-03</t>
        </is>
      </c>
      <c r="C6188" t="inlineStr">
        <is>
          <t>Sin cliente</t>
        </is>
      </c>
      <c r="D6188" t="inlineStr">
        <is>
          <t>PLATAFORMAS RAP-PEYA-UBER-GOOD</t>
        </is>
      </c>
      <c r="E6188" s="34" t="n">
        <v>16560</v>
      </c>
      <c r="F6188" t="inlineStr">
        <is>
          <t>B</t>
        </is>
      </c>
      <c r="G6188" s="34" t="n">
        <v>2644</v>
      </c>
      <c r="H6188" s="34" t="n">
        <v>13916</v>
      </c>
      <c r="I6188" t="inlineStr">
        <is>
          <t>3.6</t>
        </is>
      </c>
      <c r="J6188" t="inlineStr">
        <is>
          <t>Ventas Delivery Apps</t>
        </is>
      </c>
      <c r="K6188" t="inlineStr">
        <is>
          <t>CH3</t>
        </is>
      </c>
    </row>
    <row r="6189">
      <c r="A6189" s="33" t="n">
        <v>46111</v>
      </c>
      <c r="B6189" t="inlineStr">
        <is>
          <t>2026-03</t>
        </is>
      </c>
      <c r="C6189" t="inlineStr">
        <is>
          <t>Sin cliente</t>
        </is>
      </c>
      <c r="D6189" t="inlineStr">
        <is>
          <t>CANELE SIN AZUCAR</t>
        </is>
      </c>
      <c r="E6189" s="34" t="n">
        <v>62600</v>
      </c>
      <c r="F6189" t="inlineStr">
        <is>
          <t>B</t>
        </is>
      </c>
      <c r="G6189" s="34" t="n">
        <v>9995</v>
      </c>
      <c r="H6189" s="34" t="n">
        <v>52605</v>
      </c>
      <c r="I6189" t="inlineStr">
        <is>
          <t>3.2</t>
        </is>
      </c>
      <c r="J6189" t="inlineStr">
        <is>
          <t>Ventas Personas (B2C)</t>
        </is>
      </c>
      <c r="K6189" t="inlineStr">
        <is>
          <t>CH2</t>
        </is>
      </c>
    </row>
    <row r="6190">
      <c r="A6190" s="33" t="n">
        <v>46111</v>
      </c>
      <c r="B6190" t="inlineStr">
        <is>
          <t>2026-03</t>
        </is>
      </c>
      <c r="C6190" t="inlineStr">
        <is>
          <t>Sin cliente</t>
        </is>
      </c>
      <c r="D6190" t="inlineStr">
        <is>
          <t>Cafeteria Geronimo</t>
        </is>
      </c>
      <c r="E6190" s="34" t="n">
        <v>2800</v>
      </c>
      <c r="F6190" t="inlineStr">
        <is>
          <t>B</t>
        </is>
      </c>
      <c r="G6190" s="34" t="n">
        <v>447</v>
      </c>
      <c r="H6190" s="34" t="n">
        <v>2353</v>
      </c>
      <c r="I6190" t="inlineStr">
        <is>
          <t>3.2</t>
        </is>
      </c>
      <c r="J6190" t="inlineStr">
        <is>
          <t>Ventas Personas (B2C)</t>
        </is>
      </c>
      <c r="K6190" t="inlineStr">
        <is>
          <t>CH2</t>
        </is>
      </c>
    </row>
    <row r="6191">
      <c r="A6191" s="33" t="n">
        <v>46111</v>
      </c>
      <c r="B6191" t="inlineStr">
        <is>
          <t>2026-03</t>
        </is>
      </c>
      <c r="C6191" t="inlineStr">
        <is>
          <t>Sin cliente</t>
        </is>
      </c>
      <c r="D6191" t="inlineStr">
        <is>
          <t>Cafeteria Geronimo</t>
        </is>
      </c>
      <c r="E6191" s="34" t="n">
        <v>3200</v>
      </c>
      <c r="F6191" t="inlineStr">
        <is>
          <t>B</t>
        </is>
      </c>
      <c r="G6191" s="34" t="n">
        <v>511</v>
      </c>
      <c r="H6191" s="34" t="n">
        <v>2689</v>
      </c>
      <c r="I6191" t="inlineStr">
        <is>
          <t>3.2</t>
        </is>
      </c>
      <c r="J6191" t="inlineStr">
        <is>
          <t>Ventas Personas (B2C)</t>
        </is>
      </c>
      <c r="K6191" t="inlineStr">
        <is>
          <t>CH2</t>
        </is>
      </c>
    </row>
    <row r="6192">
      <c r="A6192" s="33" t="n">
        <v>46111</v>
      </c>
      <c r="B6192" t="inlineStr">
        <is>
          <t>2026-03</t>
        </is>
      </c>
      <c r="C6192" t="inlineStr">
        <is>
          <t>Sin cliente</t>
        </is>
      </c>
      <c r="D6192" t="inlineStr">
        <is>
          <t>Cafeteria Geronimo</t>
        </is>
      </c>
      <c r="E6192" s="34" t="n">
        <v>22600</v>
      </c>
      <c r="F6192" t="inlineStr">
        <is>
          <t>B</t>
        </is>
      </c>
      <c r="G6192" s="34" t="n">
        <v>3608</v>
      </c>
      <c r="H6192" s="34" t="n">
        <v>18992</v>
      </c>
      <c r="I6192" t="inlineStr">
        <is>
          <t>3.2</t>
        </is>
      </c>
      <c r="J6192" t="inlineStr">
        <is>
          <t>Ventas Personas (B2C)</t>
        </is>
      </c>
      <c r="K6192" t="inlineStr">
        <is>
          <t>CH2</t>
        </is>
      </c>
    </row>
    <row r="6193">
      <c r="A6193" s="33" t="n">
        <v>46111</v>
      </c>
      <c r="B6193" t="inlineStr">
        <is>
          <t>2026-03</t>
        </is>
      </c>
      <c r="C6193" t="inlineStr">
        <is>
          <t>Sin cliente</t>
        </is>
      </c>
      <c r="D6193" t="inlineStr">
        <is>
          <t>CANELÉ TRADICIONAL</t>
        </is>
      </c>
      <c r="E6193" s="34" t="n">
        <v>5500</v>
      </c>
      <c r="F6193" t="inlineStr">
        <is>
          <t>B</t>
        </is>
      </c>
      <c r="G6193" s="34" t="n">
        <v>878</v>
      </c>
      <c r="H6193" s="34" t="n">
        <v>4622</v>
      </c>
      <c r="I6193" t="inlineStr">
        <is>
          <t>3.2</t>
        </is>
      </c>
      <c r="J6193" t="inlineStr">
        <is>
          <t>Ventas Personas (B2C)</t>
        </is>
      </c>
      <c r="K6193" t="inlineStr">
        <is>
          <t>CH2</t>
        </is>
      </c>
    </row>
    <row r="6194">
      <c r="A6194" s="33" t="n">
        <v>46111</v>
      </c>
      <c r="B6194" t="inlineStr">
        <is>
          <t>2026-03</t>
        </is>
      </c>
      <c r="C6194" t="inlineStr">
        <is>
          <t>Sin cliente</t>
        </is>
      </c>
      <c r="D6194" t="inlineStr">
        <is>
          <t>Canelé Petit Relleno</t>
        </is>
      </c>
      <c r="E6194" s="34" t="n">
        <v>13900</v>
      </c>
      <c r="F6194" t="inlineStr">
        <is>
          <t>B</t>
        </is>
      </c>
      <c r="G6194" s="34" t="n">
        <v>2219</v>
      </c>
      <c r="H6194" s="34" t="n">
        <v>11681</v>
      </c>
      <c r="I6194" t="inlineStr">
        <is>
          <t>3.2</t>
        </is>
      </c>
      <c r="J6194" t="inlineStr">
        <is>
          <t>Ventas Personas (B2C)</t>
        </is>
      </c>
      <c r="K6194" t="inlineStr">
        <is>
          <t>CH2</t>
        </is>
      </c>
    </row>
    <row r="6195">
      <c r="A6195" s="33" t="n">
        <v>46111</v>
      </c>
      <c r="B6195" t="inlineStr">
        <is>
          <t>2026-03</t>
        </is>
      </c>
      <c r="C6195" t="inlineStr">
        <is>
          <t>Sin cliente</t>
        </is>
      </c>
      <c r="D6195" t="inlineStr">
        <is>
          <t>PLATAFORMAS RAP-PEYA-UBER-GOOD</t>
        </is>
      </c>
      <c r="E6195" s="34" t="n">
        <v>21240</v>
      </c>
      <c r="F6195" t="inlineStr">
        <is>
          <t>B</t>
        </is>
      </c>
      <c r="G6195" s="34" t="n">
        <v>3391</v>
      </c>
      <c r="H6195" s="34" t="n">
        <v>17849</v>
      </c>
      <c r="I6195" t="inlineStr">
        <is>
          <t>3.6</t>
        </is>
      </c>
      <c r="J6195" t="inlineStr">
        <is>
          <t>Ventas Delivery Apps</t>
        </is>
      </c>
      <c r="K6195" t="inlineStr">
        <is>
          <t>CH3</t>
        </is>
      </c>
    </row>
    <row r="6196">
      <c r="A6196" s="33" t="n">
        <v>46111</v>
      </c>
      <c r="B6196" t="inlineStr">
        <is>
          <t>2026-03</t>
        </is>
      </c>
      <c r="C6196" t="inlineStr">
        <is>
          <t>Sin cliente</t>
        </is>
      </c>
      <c r="D6196" t="inlineStr">
        <is>
          <t>Cafeteria Geronimo</t>
        </is>
      </c>
      <c r="E6196" s="34" t="n">
        <v>3000</v>
      </c>
      <c r="F6196" t="inlineStr">
        <is>
          <t>B</t>
        </is>
      </c>
      <c r="G6196" s="34" t="n">
        <v>479</v>
      </c>
      <c r="H6196" s="34" t="n">
        <v>2521</v>
      </c>
      <c r="I6196" t="inlineStr">
        <is>
          <t>3.2</t>
        </is>
      </c>
      <c r="J6196" t="inlineStr">
        <is>
          <t>Ventas Personas (B2C)</t>
        </is>
      </c>
      <c r="K6196" t="inlineStr">
        <is>
          <t>CH2</t>
        </is>
      </c>
    </row>
    <row r="6197">
      <c r="A6197" s="33" t="n">
        <v>46111</v>
      </c>
      <c r="B6197" t="inlineStr">
        <is>
          <t>2026-03</t>
        </is>
      </c>
      <c r="C6197" t="inlineStr">
        <is>
          <t>Sin cliente</t>
        </is>
      </c>
      <c r="D6197" t="inlineStr">
        <is>
          <t>Cafeteria Geronimo</t>
        </is>
      </c>
      <c r="E6197" s="34" t="n">
        <v>4675</v>
      </c>
      <c r="F6197" t="inlineStr">
        <is>
          <t>B</t>
        </is>
      </c>
      <c r="G6197" s="34" t="n">
        <v>746</v>
      </c>
      <c r="H6197" s="34" t="n">
        <v>3929</v>
      </c>
      <c r="I6197" t="inlineStr">
        <is>
          <t>3.2</t>
        </is>
      </c>
      <c r="J6197" t="inlineStr">
        <is>
          <t>Ventas Personas (B2C)</t>
        </is>
      </c>
      <c r="K6197" t="inlineStr">
        <is>
          <t>CH2</t>
        </is>
      </c>
    </row>
    <row r="6198">
      <c r="A6198" s="33" t="n">
        <v>46111</v>
      </c>
      <c r="B6198" t="inlineStr">
        <is>
          <t>2026-03</t>
        </is>
      </c>
      <c r="C6198" t="inlineStr">
        <is>
          <t>Sin cliente</t>
        </is>
      </c>
      <c r="D6198" t="inlineStr">
        <is>
          <t>Delicatessen</t>
        </is>
      </c>
      <c r="E6198" s="34" t="n">
        <v>4250</v>
      </c>
      <c r="F6198" t="inlineStr">
        <is>
          <t>B</t>
        </is>
      </c>
      <c r="G6198" s="34" t="n">
        <v>679</v>
      </c>
      <c r="H6198" s="34" t="n">
        <v>3571</v>
      </c>
      <c r="I6198" t="inlineStr">
        <is>
          <t>3.2</t>
        </is>
      </c>
      <c r="J6198" t="inlineStr">
        <is>
          <t>Ventas Personas (B2C)</t>
        </is>
      </c>
      <c r="K6198" t="inlineStr">
        <is>
          <t>CH2</t>
        </is>
      </c>
    </row>
    <row r="6199">
      <c r="A6199" s="33" t="n">
        <v>46111</v>
      </c>
      <c r="B6199" t="inlineStr">
        <is>
          <t>2026-03</t>
        </is>
      </c>
      <c r="C6199" t="inlineStr">
        <is>
          <t>Sin cliente</t>
        </is>
      </c>
      <c r="D6199" t="inlineStr">
        <is>
          <t>Cafeteria Geronimo</t>
        </is>
      </c>
      <c r="E6199" s="34" t="n">
        <v>5700</v>
      </c>
      <c r="F6199" t="inlineStr">
        <is>
          <t>B</t>
        </is>
      </c>
      <c r="G6199" s="34" t="n">
        <v>910</v>
      </c>
      <c r="H6199" s="34" t="n">
        <v>4790</v>
      </c>
      <c r="I6199" t="inlineStr">
        <is>
          <t>3.2</t>
        </is>
      </c>
      <c r="J6199" t="inlineStr">
        <is>
          <t>Ventas Personas (B2C)</t>
        </is>
      </c>
      <c r="K6199" t="inlineStr">
        <is>
          <t>CH2</t>
        </is>
      </c>
    </row>
    <row r="6200">
      <c r="A6200" s="33" t="n">
        <v>46111</v>
      </c>
      <c r="B6200" t="inlineStr">
        <is>
          <t>2026-03</t>
        </is>
      </c>
      <c r="C6200" t="inlineStr">
        <is>
          <t>Sin cliente</t>
        </is>
      </c>
      <c r="D6200" t="inlineStr">
        <is>
          <t>PLATAFORMAS RAP-PEYA-UBER-GOOD</t>
        </is>
      </c>
      <c r="E6200" s="34" t="n">
        <v>16560</v>
      </c>
      <c r="F6200" t="inlineStr">
        <is>
          <t>B</t>
        </is>
      </c>
      <c r="G6200" s="34" t="n">
        <v>2644</v>
      </c>
      <c r="H6200" s="34" t="n">
        <v>13916</v>
      </c>
      <c r="I6200" t="inlineStr">
        <is>
          <t>3.6</t>
        </is>
      </c>
      <c r="J6200" t="inlineStr">
        <is>
          <t>Ventas Delivery Apps</t>
        </is>
      </c>
      <c r="K6200" t="inlineStr">
        <is>
          <t>CH3</t>
        </is>
      </c>
    </row>
    <row r="6201">
      <c r="A6201" s="33" t="n">
        <v>46111</v>
      </c>
      <c r="B6201" t="inlineStr">
        <is>
          <t>2026-03</t>
        </is>
      </c>
      <c r="C6201" t="inlineStr">
        <is>
          <t>Sin cliente</t>
        </is>
      </c>
      <c r="D6201" t="inlineStr">
        <is>
          <t>Cafeteria Geronimo</t>
        </is>
      </c>
      <c r="E6201" s="34" t="n">
        <v>16800</v>
      </c>
      <c r="F6201" t="inlineStr">
        <is>
          <t>B</t>
        </is>
      </c>
      <c r="G6201" s="34" t="n">
        <v>2682</v>
      </c>
      <c r="H6201" s="34" t="n">
        <v>14118</v>
      </c>
      <c r="I6201" t="inlineStr">
        <is>
          <t>3.2</t>
        </is>
      </c>
      <c r="J6201" t="inlineStr">
        <is>
          <t>Ventas Personas (B2C)</t>
        </is>
      </c>
      <c r="K6201" t="inlineStr">
        <is>
          <t>CH2</t>
        </is>
      </c>
    </row>
    <row r="6202">
      <c r="A6202" s="33" t="n">
        <v>46111</v>
      </c>
      <c r="B6202" t="inlineStr">
        <is>
          <t>2026-03</t>
        </is>
      </c>
      <c r="C6202" t="inlineStr">
        <is>
          <t>Daly Armijo Ampuero</t>
        </is>
      </c>
      <c r="D6202" t="inlineStr">
        <is>
          <t>CANELÉ TRADICIONAL</t>
        </is>
      </c>
      <c r="E6202" s="34" t="n">
        <v>25700</v>
      </c>
      <c r="F6202" t="inlineStr">
        <is>
          <t>B</t>
        </is>
      </c>
      <c r="G6202" s="34" t="n">
        <v>4103</v>
      </c>
      <c r="H6202" s="34" t="n">
        <v>21597</v>
      </c>
      <c r="I6202" t="inlineStr">
        <is>
          <t>3.2</t>
        </is>
      </c>
      <c r="J6202" t="inlineStr">
        <is>
          <t>Ventas Personas (B2C)</t>
        </is>
      </c>
      <c r="K6202" t="inlineStr">
        <is>
          <t>CH2</t>
        </is>
      </c>
    </row>
    <row r="6203">
      <c r="A6203" s="33" t="n">
        <v>46111</v>
      </c>
      <c r="B6203" t="inlineStr">
        <is>
          <t>2026-03</t>
        </is>
      </c>
      <c r="C6203" t="inlineStr">
        <is>
          <t>catalina vaccari vaccari</t>
        </is>
      </c>
      <c r="D6203" t="inlineStr">
        <is>
          <t>Petit Crunchy</t>
        </is>
      </c>
      <c r="E6203" s="34" t="n">
        <v>24233</v>
      </c>
      <c r="F6203" t="inlineStr">
        <is>
          <t>B</t>
        </is>
      </c>
      <c r="G6203" s="34" t="n">
        <v>3869</v>
      </c>
      <c r="H6203" s="34" t="n">
        <v>20364</v>
      </c>
      <c r="I6203" t="inlineStr">
        <is>
          <t>3.2</t>
        </is>
      </c>
      <c r="J6203" t="inlineStr">
        <is>
          <t>Ventas Personas (B2C)</t>
        </is>
      </c>
      <c r="K6203" t="inlineStr">
        <is>
          <t>CH2</t>
        </is>
      </c>
    </row>
    <row r="6204">
      <c r="A6204" s="33" t="n">
        <v>46111</v>
      </c>
      <c r="B6204" t="inlineStr">
        <is>
          <t>2026-03</t>
        </is>
      </c>
      <c r="C6204" t="inlineStr">
        <is>
          <t>Sin cliente</t>
        </is>
      </c>
      <c r="D6204" t="inlineStr">
        <is>
          <t>CANELE SIN AZUCAR</t>
        </is>
      </c>
      <c r="E6204" s="34" t="n">
        <v>46400</v>
      </c>
      <c r="F6204" t="inlineStr">
        <is>
          <t>B</t>
        </is>
      </c>
      <c r="G6204" s="34" t="n">
        <v>7408</v>
      </c>
      <c r="H6204" s="34" t="n">
        <v>38992</v>
      </c>
      <c r="I6204" t="inlineStr">
        <is>
          <t>3.2</t>
        </is>
      </c>
      <c r="J6204" t="inlineStr">
        <is>
          <t>Ventas Personas (B2C)</t>
        </is>
      </c>
      <c r="K6204" t="inlineStr">
        <is>
          <t>CH2</t>
        </is>
      </c>
    </row>
    <row r="6205">
      <c r="A6205" s="33" t="n">
        <v>46111</v>
      </c>
      <c r="B6205" t="inlineStr">
        <is>
          <t>2026-03</t>
        </is>
      </c>
      <c r="C6205" t="inlineStr">
        <is>
          <t>Paula Rodriguez</t>
        </is>
      </c>
      <c r="D6205" t="inlineStr">
        <is>
          <t>CANELE SIN AZUCAR</t>
        </is>
      </c>
      <c r="E6205" s="34" t="n">
        <v>40710</v>
      </c>
      <c r="F6205" t="inlineStr">
        <is>
          <t>B</t>
        </is>
      </c>
      <c r="G6205" s="34" t="n">
        <v>6500</v>
      </c>
      <c r="H6205" s="34" t="n">
        <v>34210</v>
      </c>
      <c r="I6205" t="inlineStr">
        <is>
          <t>3.2</t>
        </is>
      </c>
      <c r="J6205" t="inlineStr">
        <is>
          <t>Ventas Personas (B2C)</t>
        </is>
      </c>
      <c r="K6205" t="inlineStr">
        <is>
          <t>CH2</t>
        </is>
      </c>
    </row>
    <row r="6206">
      <c r="A6206" s="33" t="n">
        <v>46112</v>
      </c>
      <c r="B6206" t="inlineStr">
        <is>
          <t>2026-03</t>
        </is>
      </c>
      <c r="C6206" t="inlineStr">
        <is>
          <t>BUSTORF LARSEN Y COMPANIA LIMITADA</t>
        </is>
      </c>
      <c r="D6206" t="inlineStr">
        <is>
          <t>HORECA CAFETERIA</t>
        </is>
      </c>
      <c r="E6206" s="34" t="n">
        <v>71210</v>
      </c>
      <c r="F6206" t="inlineStr">
        <is>
          <t>F</t>
        </is>
      </c>
      <c r="G6206" s="34" t="n">
        <v>11370</v>
      </c>
      <c r="H6206" s="34" t="n">
        <v>59840</v>
      </c>
      <c r="I6206" t="inlineStr">
        <is>
          <t>3.1</t>
        </is>
      </c>
      <c r="J6206" t="inlineStr">
        <is>
          <t>Ventas HoReCa</t>
        </is>
      </c>
      <c r="K6206" t="inlineStr">
        <is>
          <t>CH1</t>
        </is>
      </c>
    </row>
    <row r="6207">
      <c r="A6207" s="33" t="n">
        <v>46112</v>
      </c>
      <c r="B6207" t="inlineStr">
        <is>
          <t>2026-03</t>
        </is>
      </c>
      <c r="C6207" t="inlineStr">
        <is>
          <t>BUSTORF LARSEN Y COMPANIA LIMITADA</t>
        </is>
      </c>
      <c r="D6207" t="inlineStr">
        <is>
          <t>HORECA CAFETERIA</t>
        </is>
      </c>
      <c r="E6207" s="34" t="n">
        <v>71210</v>
      </c>
      <c r="F6207" t="inlineStr">
        <is>
          <t>F</t>
        </is>
      </c>
      <c r="G6207" s="34" t="n">
        <v>11370</v>
      </c>
      <c r="H6207" s="34" t="n">
        <v>59840</v>
      </c>
      <c r="I6207" t="inlineStr">
        <is>
          <t>3.1</t>
        </is>
      </c>
      <c r="J6207" t="inlineStr">
        <is>
          <t>Ventas HoReCa</t>
        </is>
      </c>
      <c r="K6207" t="inlineStr">
        <is>
          <t>CH1</t>
        </is>
      </c>
    </row>
    <row r="6208">
      <c r="A6208" s="33" t="n">
        <v>46112</v>
      </c>
      <c r="B6208" t="inlineStr">
        <is>
          <t>2026-03</t>
        </is>
      </c>
      <c r="C6208" t="inlineStr">
        <is>
          <t>INVERSIONES Y COMERCIALIZADORA FED LIMITADA</t>
        </is>
      </c>
      <c r="D6208" t="inlineStr">
        <is>
          <t>HORECA CAFETERIA</t>
        </is>
      </c>
      <c r="E6208" s="34" t="n">
        <v>88862</v>
      </c>
      <c r="F6208" t="inlineStr">
        <is>
          <t>F</t>
        </is>
      </c>
      <c r="G6208" s="34" t="n">
        <v>14188</v>
      </c>
      <c r="H6208" s="34" t="n">
        <v>74674</v>
      </c>
      <c r="I6208" t="inlineStr">
        <is>
          <t>3.1</t>
        </is>
      </c>
      <c r="J6208" t="inlineStr">
        <is>
          <t>Ventas HoReCa</t>
        </is>
      </c>
      <c r="K6208" t="inlineStr">
        <is>
          <t>CH1</t>
        </is>
      </c>
    </row>
    <row r="6209">
      <c r="A6209" s="33" t="n">
        <v>46112</v>
      </c>
      <c r="B6209" t="inlineStr">
        <is>
          <t>2026-03</t>
        </is>
      </c>
      <c r="C6209" t="inlineStr">
        <is>
          <t>INVERSIONES Y COMERCIALIZADORA FED LIMITADA</t>
        </is>
      </c>
      <c r="D6209" t="inlineStr">
        <is>
          <t>HORECA CAFETERIA</t>
        </is>
      </c>
      <c r="E6209" s="34" t="n">
        <v>254923</v>
      </c>
      <c r="F6209" t="inlineStr">
        <is>
          <t>F</t>
        </is>
      </c>
      <c r="G6209" s="34" t="n">
        <v>40702</v>
      </c>
      <c r="H6209" s="34" t="n">
        <v>214221</v>
      </c>
      <c r="I6209" t="inlineStr">
        <is>
          <t>3.1</t>
        </is>
      </c>
      <c r="J6209" t="inlineStr">
        <is>
          <t>Ventas HoReCa</t>
        </is>
      </c>
      <c r="K6209" t="inlineStr">
        <is>
          <t>CH1</t>
        </is>
      </c>
    </row>
    <row r="6210">
      <c r="A6210" s="33" t="n">
        <v>46112</v>
      </c>
      <c r="B6210" t="inlineStr">
        <is>
          <t>2026-03</t>
        </is>
      </c>
      <c r="C6210" t="inlineStr">
        <is>
          <t xml:space="preserve">Café lucerna spa </t>
        </is>
      </c>
      <c r="D6210" t="inlineStr">
        <is>
          <t>HORECA CAFETERIA</t>
        </is>
      </c>
      <c r="E6210" s="34" t="n">
        <v>71210</v>
      </c>
      <c r="F6210" t="inlineStr">
        <is>
          <t>F</t>
        </is>
      </c>
      <c r="G6210" s="34" t="n">
        <v>11370</v>
      </c>
      <c r="H6210" s="34" t="n">
        <v>59840</v>
      </c>
      <c r="I6210" t="inlineStr">
        <is>
          <t>3.1</t>
        </is>
      </c>
      <c r="J6210" t="inlineStr">
        <is>
          <t>Ventas HoReCa</t>
        </is>
      </c>
      <c r="K6210" t="inlineStr">
        <is>
          <t>CH1</t>
        </is>
      </c>
    </row>
    <row r="6211">
      <c r="A6211" s="33" t="n">
        <v>46112</v>
      </c>
      <c r="B6211" t="inlineStr">
        <is>
          <t>2026-03</t>
        </is>
      </c>
      <c r="C6211" t="inlineStr">
        <is>
          <t>GALO SPA</t>
        </is>
      </c>
      <c r="D6211" t="inlineStr">
        <is>
          <t>HORECA CAFETERIA</t>
        </is>
      </c>
      <c r="E6211" s="34" t="n">
        <v>160436</v>
      </c>
      <c r="F6211" t="inlineStr">
        <is>
          <t>F</t>
        </is>
      </c>
      <c r="G6211" s="34" t="n">
        <v>25616</v>
      </c>
      <c r="H6211" s="34" t="n">
        <v>134820</v>
      </c>
      <c r="I6211" t="inlineStr">
        <is>
          <t>3.1</t>
        </is>
      </c>
      <c r="J6211" t="inlineStr">
        <is>
          <t>Ventas HoReCa</t>
        </is>
      </c>
      <c r="K6211" t="inlineStr">
        <is>
          <t>CH1</t>
        </is>
      </c>
    </row>
    <row r="6212">
      <c r="A6212" s="33" t="n">
        <v>46112</v>
      </c>
      <c r="B6212" t="inlineStr">
        <is>
          <t>2026-03</t>
        </is>
      </c>
      <c r="C6212" t="inlineStr">
        <is>
          <t>GALO SPA</t>
        </is>
      </c>
      <c r="D6212" t="inlineStr">
        <is>
          <t>HORECA CAFETERIA</t>
        </is>
      </c>
      <c r="E6212" s="34" t="n">
        <v>-160436</v>
      </c>
      <c r="F6212" t="inlineStr">
        <is>
          <t>NC</t>
        </is>
      </c>
      <c r="G6212" s="34" t="n">
        <v>-25616</v>
      </c>
      <c r="H6212" s="34" t="n">
        <v>-134820</v>
      </c>
      <c r="I6212" t="inlineStr">
        <is>
          <t>3.1</t>
        </is>
      </c>
      <c r="J6212" t="inlineStr">
        <is>
          <t>Ventas HoReCa</t>
        </is>
      </c>
      <c r="K6212" t="inlineStr">
        <is>
          <t>CH1</t>
        </is>
      </c>
    </row>
    <row r="6213">
      <c r="A6213" s="33" t="n">
        <v>46112</v>
      </c>
      <c r="B6213" t="inlineStr">
        <is>
          <t>2026-03</t>
        </is>
      </c>
      <c r="C6213" t="inlineStr">
        <is>
          <t>GALO SPA</t>
        </is>
      </c>
      <c r="D6213" t="inlineStr">
        <is>
          <t>HORECA CAFETERIA</t>
        </is>
      </c>
      <c r="E6213" s="34" t="n">
        <v>167457</v>
      </c>
      <c r="F6213" t="inlineStr">
        <is>
          <t>F</t>
        </is>
      </c>
      <c r="G6213" s="34" t="n">
        <v>26737</v>
      </c>
      <c r="H6213" s="34" t="n">
        <v>140720</v>
      </c>
      <c r="I6213" t="inlineStr">
        <is>
          <t>3.1</t>
        </is>
      </c>
      <c r="J6213" t="inlineStr">
        <is>
          <t>Ventas HoReCa</t>
        </is>
      </c>
      <c r="K6213" t="inlineStr">
        <is>
          <t>CH1</t>
        </is>
      </c>
    </row>
    <row r="6214">
      <c r="A6214" s="33" t="n">
        <v>46112</v>
      </c>
      <c r="B6214" t="inlineStr">
        <is>
          <t>2026-03</t>
        </is>
      </c>
      <c r="C6214" t="inlineStr">
        <is>
          <t>Okinawa Spa</t>
        </is>
      </c>
      <c r="D6214" t="inlineStr">
        <is>
          <t>HORECA CAFETERIA</t>
        </is>
      </c>
      <c r="E6214" s="34" t="n">
        <v>71210</v>
      </c>
      <c r="F6214" t="inlineStr">
        <is>
          <t>F</t>
        </is>
      </c>
      <c r="G6214" s="34" t="n">
        <v>11370</v>
      </c>
      <c r="H6214" s="34" t="n">
        <v>59840</v>
      </c>
      <c r="I6214" t="inlineStr">
        <is>
          <t>3.1</t>
        </is>
      </c>
      <c r="J6214" t="inlineStr">
        <is>
          <t>Ventas HoReCa</t>
        </is>
      </c>
      <c r="K6214" t="inlineStr">
        <is>
          <t>CH1</t>
        </is>
      </c>
    </row>
    <row r="6215">
      <c r="A6215" s="33" t="n">
        <v>46112</v>
      </c>
      <c r="B6215" t="inlineStr">
        <is>
          <t>2026-03</t>
        </is>
      </c>
      <c r="C6215" t="inlineStr">
        <is>
          <t>Giovanna Muñoz</t>
        </is>
      </c>
      <c r="D6215" t="inlineStr">
        <is>
          <t>Canelé Petit Relleno</t>
        </is>
      </c>
      <c r="E6215" s="34" t="n">
        <v>24390</v>
      </c>
      <c r="F6215" t="inlineStr">
        <is>
          <t>B</t>
        </is>
      </c>
      <c r="G6215" s="34" t="n">
        <v>3894</v>
      </c>
      <c r="H6215" s="34" t="n">
        <v>20496</v>
      </c>
      <c r="I6215" t="inlineStr">
        <is>
          <t>3.2</t>
        </is>
      </c>
      <c r="J6215" t="inlineStr">
        <is>
          <t>Ventas Personas (B2C)</t>
        </is>
      </c>
      <c r="K6215" t="inlineStr">
        <is>
          <t>CH2</t>
        </is>
      </c>
    </row>
    <row r="6216">
      <c r="A6216" s="33" t="n">
        <v>46112</v>
      </c>
      <c r="B6216" t="inlineStr">
        <is>
          <t>2026-03</t>
        </is>
      </c>
      <c r="C6216" t="inlineStr">
        <is>
          <t>Jesus antonio Villavicencio viena</t>
        </is>
      </c>
      <c r="D6216" t="inlineStr">
        <is>
          <t>Petit Crunchy</t>
        </is>
      </c>
      <c r="E6216" s="34" t="n">
        <v>26925</v>
      </c>
      <c r="F6216" t="inlineStr">
        <is>
          <t>B</t>
        </is>
      </c>
      <c r="G6216" s="34" t="n">
        <v>4299</v>
      </c>
      <c r="H6216" s="34" t="n">
        <v>22626</v>
      </c>
      <c r="I6216" t="inlineStr">
        <is>
          <t>3.2</t>
        </is>
      </c>
      <c r="J6216" t="inlineStr">
        <is>
          <t>Ventas Personas (B2C)</t>
        </is>
      </c>
      <c r="K6216" t="inlineStr">
        <is>
          <t>CH2</t>
        </is>
      </c>
    </row>
    <row r="6217">
      <c r="A6217" s="33" t="n">
        <v>46112</v>
      </c>
      <c r="B6217" t="inlineStr">
        <is>
          <t>2026-03</t>
        </is>
      </c>
      <c r="C6217" t="inlineStr">
        <is>
          <t>Daniela Crisostomo</t>
        </is>
      </c>
      <c r="D6217" t="inlineStr">
        <is>
          <t>CANELÉ TRADICIONAL</t>
        </is>
      </c>
      <c r="E6217" s="34" t="n">
        <v>26390</v>
      </c>
      <c r="F6217" t="inlineStr">
        <is>
          <t>B</t>
        </is>
      </c>
      <c r="G6217" s="34" t="n">
        <v>4214</v>
      </c>
      <c r="H6217" s="34" t="n">
        <v>22176</v>
      </c>
      <c r="I6217" t="inlineStr">
        <is>
          <t>3.2</t>
        </is>
      </c>
      <c r="J6217" t="inlineStr">
        <is>
          <t>Ventas Personas (B2C)</t>
        </is>
      </c>
      <c r="K6217" t="inlineStr">
        <is>
          <t>CH2</t>
        </is>
      </c>
    </row>
    <row r="6218">
      <c r="A6218" s="33" t="n">
        <v>46112</v>
      </c>
      <c r="B6218" t="inlineStr">
        <is>
          <t>2026-03</t>
        </is>
      </c>
      <c r="C6218" t="inlineStr">
        <is>
          <t>Anahi García Fernandez</t>
        </is>
      </c>
      <c r="D6218" t="inlineStr">
        <is>
          <t>Petit Crunchy</t>
        </is>
      </c>
      <c r="E6218" s="34" t="n">
        <v>26925</v>
      </c>
      <c r="F6218" t="inlineStr">
        <is>
          <t>B</t>
        </is>
      </c>
      <c r="G6218" s="34" t="n">
        <v>4299</v>
      </c>
      <c r="H6218" s="34" t="n">
        <v>22626</v>
      </c>
      <c r="I6218" t="inlineStr">
        <is>
          <t>3.2</t>
        </is>
      </c>
      <c r="J6218" t="inlineStr">
        <is>
          <t>Ventas Personas (B2C)</t>
        </is>
      </c>
      <c r="K6218" t="inlineStr">
        <is>
          <t>CH2</t>
        </is>
      </c>
    </row>
    <row r="6219">
      <c r="A6219" s="33" t="n">
        <v>46112</v>
      </c>
      <c r="B6219" t="inlineStr">
        <is>
          <t>2026-03</t>
        </is>
      </c>
      <c r="C6219" t="inlineStr">
        <is>
          <t>Analuisa Analuisa Perez</t>
        </is>
      </c>
      <c r="D6219" t="inlineStr">
        <is>
          <t>Canelé Petit Relleno</t>
        </is>
      </c>
      <c r="E6219" s="34" t="n">
        <v>55792</v>
      </c>
      <c r="F6219" t="inlineStr">
        <is>
          <t>B</t>
        </is>
      </c>
      <c r="G6219" s="34" t="n">
        <v>8908</v>
      </c>
      <c r="H6219" s="34" t="n">
        <v>46884</v>
      </c>
      <c r="I6219" t="inlineStr">
        <is>
          <t>3.2</t>
        </is>
      </c>
      <c r="J6219" t="inlineStr">
        <is>
          <t>Ventas Personas (B2C)</t>
        </is>
      </c>
      <c r="K6219" t="inlineStr">
        <is>
          <t>CH2</t>
        </is>
      </c>
    </row>
    <row r="6220">
      <c r="A6220" s="33" t="n">
        <v>46112</v>
      </c>
      <c r="B6220" t="inlineStr">
        <is>
          <t>2026-03</t>
        </is>
      </c>
      <c r="C6220" t="inlineStr">
        <is>
          <t>Daly Armijo Ampuero</t>
        </is>
      </c>
      <c r="D6220" t="inlineStr">
        <is>
          <t>PACKAGING</t>
        </is>
      </c>
      <c r="E6220" s="34" t="n">
        <v>6390</v>
      </c>
      <c r="F6220" t="inlineStr">
        <is>
          <t>B</t>
        </is>
      </c>
      <c r="G6220" s="34" t="n">
        <v>1020</v>
      </c>
      <c r="H6220" s="34" t="n">
        <v>5370</v>
      </c>
      <c r="I6220" t="inlineStr">
        <is>
          <t>3.2</t>
        </is>
      </c>
      <c r="J6220" t="inlineStr">
        <is>
          <t>Ventas Personas (B2C)</t>
        </is>
      </c>
      <c r="K6220" t="inlineStr">
        <is>
          <t>CH2</t>
        </is>
      </c>
    </row>
    <row r="6221">
      <c r="A6221" s="33" t="n">
        <v>46112</v>
      </c>
      <c r="B6221" t="inlineStr">
        <is>
          <t>2026-03</t>
        </is>
      </c>
      <c r="C6221" t="inlineStr">
        <is>
          <t>Soledad Veliz</t>
        </is>
      </c>
      <c r="D6221" t="inlineStr">
        <is>
          <t>Petit Crunchy</t>
        </is>
      </c>
      <c r="E6221" s="34" t="n">
        <v>26925</v>
      </c>
      <c r="F6221" t="inlineStr">
        <is>
          <t>B</t>
        </is>
      </c>
      <c r="G6221" s="34" t="n">
        <v>4299</v>
      </c>
      <c r="H6221" s="34" t="n">
        <v>22626</v>
      </c>
      <c r="I6221" t="inlineStr">
        <is>
          <t>3.2</t>
        </is>
      </c>
      <c r="J6221" t="inlineStr">
        <is>
          <t>Ventas Personas (B2C)</t>
        </is>
      </c>
      <c r="K6221" t="inlineStr">
        <is>
          <t>CH2</t>
        </is>
      </c>
    </row>
    <row r="6222">
      <c r="A6222" s="33" t="n">
        <v>46112</v>
      </c>
      <c r="B6222" t="inlineStr">
        <is>
          <t>2026-03</t>
        </is>
      </c>
      <c r="C6222" t="inlineStr">
        <is>
          <t>jenol murua</t>
        </is>
      </c>
      <c r="D6222" t="inlineStr">
        <is>
          <t>Petit Crunchy</t>
        </is>
      </c>
      <c r="E6222" s="34" t="n">
        <v>29723</v>
      </c>
      <c r="F6222" t="inlineStr">
        <is>
          <t>B</t>
        </is>
      </c>
      <c r="G6222" s="34" t="n">
        <v>4746</v>
      </c>
      <c r="H6222" s="34" t="n">
        <v>24977</v>
      </c>
      <c r="I6222" t="inlineStr">
        <is>
          <t>3.2</t>
        </is>
      </c>
      <c r="J6222" t="inlineStr">
        <is>
          <t>Ventas Personas (B2C)</t>
        </is>
      </c>
      <c r="K6222" t="inlineStr">
        <is>
          <t>CH2</t>
        </is>
      </c>
    </row>
    <row r="6223">
      <c r="A6223" s="33" t="n">
        <v>46112</v>
      </c>
      <c r="B6223" t="inlineStr">
        <is>
          <t>2026-03</t>
        </is>
      </c>
      <c r="C6223" t="inlineStr">
        <is>
          <t>Pamela Iglesias</t>
        </is>
      </c>
      <c r="D6223" t="inlineStr">
        <is>
          <t>CANELÉ TRADICIONAL</t>
        </is>
      </c>
      <c r="E6223" s="34" t="n">
        <v>26390</v>
      </c>
      <c r="F6223" t="inlineStr">
        <is>
          <t>B</t>
        </is>
      </c>
      <c r="G6223" s="34" t="n">
        <v>4214</v>
      </c>
      <c r="H6223" s="34" t="n">
        <v>22176</v>
      </c>
      <c r="I6223" t="inlineStr">
        <is>
          <t>3.2</t>
        </is>
      </c>
      <c r="J6223" t="inlineStr">
        <is>
          <t>Ventas Personas (B2C)</t>
        </is>
      </c>
      <c r="K6223" t="inlineStr">
        <is>
          <t>CH2</t>
        </is>
      </c>
    </row>
    <row r="6224">
      <c r="A6224" s="33" t="n">
        <v>46112</v>
      </c>
      <c r="B6224" t="inlineStr">
        <is>
          <t>2026-03</t>
        </is>
      </c>
      <c r="C6224" t="inlineStr">
        <is>
          <t>Marisol Valencia Moya</t>
        </is>
      </c>
      <c r="D6224" t="inlineStr">
        <is>
          <t>Pascua de Resurrección</t>
        </is>
      </c>
      <c r="E6224" s="34" t="n">
        <v>56690</v>
      </c>
      <c r="F6224" t="inlineStr">
        <is>
          <t>B</t>
        </is>
      </c>
      <c r="G6224" s="34" t="n">
        <v>9051</v>
      </c>
      <c r="H6224" s="34" t="n">
        <v>47639</v>
      </c>
      <c r="I6224" t="inlineStr">
        <is>
          <t>3.2</t>
        </is>
      </c>
      <c r="J6224" t="inlineStr">
        <is>
          <t>Ventas Personas (B2C)</t>
        </is>
      </c>
      <c r="K6224" t="inlineStr">
        <is>
          <t>CH2</t>
        </is>
      </c>
    </row>
    <row r="6225">
      <c r="A6225" s="33" t="n">
        <v>46112</v>
      </c>
      <c r="B6225" t="inlineStr">
        <is>
          <t>2026-03</t>
        </is>
      </c>
      <c r="C6225" t="inlineStr">
        <is>
          <t>Analuisa Analuisa Perez</t>
        </is>
      </c>
      <c r="D6225" t="inlineStr">
        <is>
          <t>Glosa Despacho express ñuñoa</t>
        </is>
      </c>
      <c r="E6225" s="34" t="n">
        <v>5490</v>
      </c>
      <c r="F6225" t="inlineStr">
        <is>
          <t>B</t>
        </is>
      </c>
      <c r="G6225" s="34" t="n">
        <v>877</v>
      </c>
      <c r="H6225" s="34" t="n">
        <v>4613</v>
      </c>
      <c r="I6225" t="inlineStr">
        <is>
          <t>3.2</t>
        </is>
      </c>
      <c r="J6225" t="inlineStr">
        <is>
          <t>Ventas Personas (B2C)</t>
        </is>
      </c>
      <c r="K6225" t="inlineStr">
        <is>
          <t>CH2</t>
        </is>
      </c>
    </row>
    <row r="6226">
      <c r="A6226" s="33" t="n">
        <v>46112</v>
      </c>
      <c r="B6226" t="inlineStr">
        <is>
          <t>2026-03</t>
        </is>
      </c>
      <c r="C6226" t="inlineStr">
        <is>
          <t>Marco Antonio Da Costa Silva</t>
        </is>
      </c>
      <c r="D6226" t="inlineStr">
        <is>
          <t>Delicatessen</t>
        </is>
      </c>
      <c r="E6226" s="34" t="n">
        <v>36725</v>
      </c>
      <c r="F6226" t="inlineStr">
        <is>
          <t>B</t>
        </is>
      </c>
      <c r="G6226" s="34" t="n">
        <v>5864</v>
      </c>
      <c r="H6226" s="34" t="n">
        <v>30861</v>
      </c>
      <c r="I6226" t="inlineStr">
        <is>
          <t>3.2</t>
        </is>
      </c>
      <c r="J6226" t="inlineStr">
        <is>
          <t>Ventas Personas (B2C)</t>
        </is>
      </c>
      <c r="K6226" t="inlineStr">
        <is>
          <t>CH2</t>
        </is>
      </c>
    </row>
    <row r="6227">
      <c r="A6227" s="33" t="n">
        <v>46112</v>
      </c>
      <c r="B6227" t="inlineStr">
        <is>
          <t>2026-03</t>
        </is>
      </c>
      <c r="C6227" t="inlineStr">
        <is>
          <t>Sin cliente</t>
        </is>
      </c>
      <c r="D6227" t="inlineStr">
        <is>
          <t>CANELÉ TRADICIONAL</t>
        </is>
      </c>
      <c r="E6227" s="34" t="n">
        <v>2500</v>
      </c>
      <c r="F6227" t="inlineStr">
        <is>
          <t>B</t>
        </is>
      </c>
      <c r="G6227" s="34" t="n">
        <v>399</v>
      </c>
      <c r="H6227" s="34" t="n">
        <v>2101</v>
      </c>
      <c r="I6227" t="inlineStr">
        <is>
          <t>3.2</t>
        </is>
      </c>
      <c r="J6227" t="inlineStr">
        <is>
          <t>Ventas Personas (B2C)</t>
        </is>
      </c>
      <c r="K6227" t="inlineStr">
        <is>
          <t>CH2</t>
        </is>
      </c>
    </row>
    <row r="6228">
      <c r="A6228" s="33" t="n">
        <v>46112</v>
      </c>
      <c r="B6228" t="inlineStr">
        <is>
          <t>2026-03</t>
        </is>
      </c>
      <c r="C6228" t="inlineStr">
        <is>
          <t>Sin cliente</t>
        </is>
      </c>
      <c r="D6228" t="inlineStr">
        <is>
          <t>CANELÉ TRADICIONAL</t>
        </is>
      </c>
      <c r="E6228" s="34" t="n">
        <v>20900</v>
      </c>
      <c r="F6228" t="inlineStr">
        <is>
          <t>B</t>
        </is>
      </c>
      <c r="G6228" s="34" t="n">
        <v>3337</v>
      </c>
      <c r="H6228" s="34" t="n">
        <v>17563</v>
      </c>
      <c r="I6228" t="inlineStr">
        <is>
          <t>3.2</t>
        </is>
      </c>
      <c r="J6228" t="inlineStr">
        <is>
          <t>Ventas Personas (B2C)</t>
        </is>
      </c>
      <c r="K6228" t="inlineStr">
        <is>
          <t>CH2</t>
        </is>
      </c>
    </row>
    <row r="6229">
      <c r="A6229" s="33" t="n">
        <v>46112</v>
      </c>
      <c r="B6229" t="inlineStr">
        <is>
          <t>2026-03</t>
        </is>
      </c>
      <c r="C6229" t="inlineStr">
        <is>
          <t>Sin cliente</t>
        </is>
      </c>
      <c r="D6229" t="inlineStr">
        <is>
          <t>Cafeteria Geronimo</t>
        </is>
      </c>
      <c r="E6229" s="34" t="n">
        <v>6900</v>
      </c>
      <c r="F6229" t="inlineStr">
        <is>
          <t>B</t>
        </is>
      </c>
      <c r="G6229" s="34" t="n">
        <v>1102</v>
      </c>
      <c r="H6229" s="34" t="n">
        <v>5798</v>
      </c>
      <c r="I6229" t="inlineStr">
        <is>
          <t>3.2</t>
        </is>
      </c>
      <c r="J6229" t="inlineStr">
        <is>
          <t>Ventas Personas (B2C)</t>
        </is>
      </c>
      <c r="K6229" t="inlineStr">
        <is>
          <t>CH2</t>
        </is>
      </c>
    </row>
    <row r="6230">
      <c r="A6230" s="33" t="n">
        <v>46112</v>
      </c>
      <c r="B6230" t="inlineStr">
        <is>
          <t>2026-03</t>
        </is>
      </c>
      <c r="C6230" t="inlineStr">
        <is>
          <t>Sin cliente</t>
        </is>
      </c>
      <c r="D6230" t="inlineStr">
        <is>
          <t>CANELÉ TRADICIONAL</t>
        </is>
      </c>
      <c r="E6230" s="34" t="n">
        <v>27900</v>
      </c>
      <c r="F6230" t="inlineStr">
        <is>
          <t>B</t>
        </is>
      </c>
      <c r="G6230" s="34" t="n">
        <v>4455</v>
      </c>
      <c r="H6230" s="34" t="n">
        <v>23445</v>
      </c>
      <c r="I6230" t="inlineStr">
        <is>
          <t>3.2</t>
        </is>
      </c>
      <c r="J6230" t="inlineStr">
        <is>
          <t>Ventas Personas (B2C)</t>
        </is>
      </c>
      <c r="K6230" t="inlineStr">
        <is>
          <t>CH2</t>
        </is>
      </c>
    </row>
    <row r="6231">
      <c r="A6231" s="33" t="n">
        <v>46112</v>
      </c>
      <c r="B6231" t="inlineStr">
        <is>
          <t>2026-03</t>
        </is>
      </c>
      <c r="C6231" t="inlineStr">
        <is>
          <t>Sin cliente</t>
        </is>
      </c>
      <c r="D6231" t="inlineStr">
        <is>
          <t>CANELÉ TRADICIONAL</t>
        </is>
      </c>
      <c r="E6231" s="34" t="n">
        <v>25400</v>
      </c>
      <c r="F6231" t="inlineStr">
        <is>
          <t>B</t>
        </is>
      </c>
      <c r="G6231" s="34" t="n">
        <v>4055</v>
      </c>
      <c r="H6231" s="34" t="n">
        <v>21345</v>
      </c>
      <c r="I6231" t="inlineStr">
        <is>
          <t>3.2</t>
        </is>
      </c>
      <c r="J6231" t="inlineStr">
        <is>
          <t>Ventas Personas (B2C)</t>
        </is>
      </c>
      <c r="K6231" t="inlineStr">
        <is>
          <t>CH2</t>
        </is>
      </c>
    </row>
    <row r="6232">
      <c r="A6232" s="33" t="n">
        <v>46112</v>
      </c>
      <c r="B6232" t="inlineStr">
        <is>
          <t>2026-03</t>
        </is>
      </c>
      <c r="C6232" t="inlineStr">
        <is>
          <t>Sin cliente</t>
        </is>
      </c>
      <c r="D6232" t="inlineStr">
        <is>
          <t>Rellenos</t>
        </is>
      </c>
      <c r="E6232" s="34" t="n">
        <v>39200</v>
      </c>
      <c r="F6232" t="inlineStr">
        <is>
          <t>B</t>
        </is>
      </c>
      <c r="G6232" s="34" t="n">
        <v>6259</v>
      </c>
      <c r="H6232" s="34" t="n">
        <v>32941</v>
      </c>
      <c r="I6232" t="inlineStr">
        <is>
          <t>3.2</t>
        </is>
      </c>
      <c r="J6232" t="inlineStr">
        <is>
          <t>Ventas Personas (B2C)</t>
        </is>
      </c>
      <c r="K6232" t="inlineStr">
        <is>
          <t>CH2</t>
        </is>
      </c>
    </row>
    <row r="6233">
      <c r="A6233" s="33" t="n">
        <v>46112</v>
      </c>
      <c r="B6233" t="inlineStr">
        <is>
          <t>2026-03</t>
        </is>
      </c>
      <c r="C6233" t="inlineStr">
        <is>
          <t>Sin cliente</t>
        </is>
      </c>
      <c r="D6233" t="inlineStr">
        <is>
          <t>PLATAFORMAS RAP-PEYA-UBER-GOOD</t>
        </is>
      </c>
      <c r="E6233" s="34" t="n">
        <v>27480</v>
      </c>
      <c r="F6233" t="inlineStr">
        <is>
          <t>B</t>
        </is>
      </c>
      <c r="G6233" s="34" t="n">
        <v>4388</v>
      </c>
      <c r="H6233" s="34" t="n">
        <v>23092</v>
      </c>
      <c r="I6233" t="inlineStr">
        <is>
          <t>3.6</t>
        </is>
      </c>
      <c r="J6233" t="inlineStr">
        <is>
          <t>Ventas Delivery Apps</t>
        </is>
      </c>
      <c r="K6233" t="inlineStr">
        <is>
          <t>CH3</t>
        </is>
      </c>
    </row>
    <row r="6234">
      <c r="A6234" s="33" t="n">
        <v>46112</v>
      </c>
      <c r="B6234" t="inlineStr">
        <is>
          <t>2026-03</t>
        </is>
      </c>
      <c r="C6234" t="inlineStr">
        <is>
          <t>Sin cliente</t>
        </is>
      </c>
      <c r="D6234" t="inlineStr">
        <is>
          <t>Cafeteria Geronimo</t>
        </is>
      </c>
      <c r="E6234" s="34" t="n">
        <v>21900</v>
      </c>
      <c r="F6234" t="inlineStr">
        <is>
          <t>B</t>
        </is>
      </c>
      <c r="G6234" s="34" t="n">
        <v>3497</v>
      </c>
      <c r="H6234" s="34" t="n">
        <v>18403</v>
      </c>
      <c r="I6234" t="inlineStr">
        <is>
          <t>3.2</t>
        </is>
      </c>
      <c r="J6234" t="inlineStr">
        <is>
          <t>Ventas Personas (B2C)</t>
        </is>
      </c>
      <c r="K6234" t="inlineStr">
        <is>
          <t>CH2</t>
        </is>
      </c>
    </row>
    <row r="6235">
      <c r="A6235" s="33" t="n">
        <v>46112</v>
      </c>
      <c r="B6235" t="inlineStr">
        <is>
          <t>2026-03</t>
        </is>
      </c>
      <c r="C6235" t="inlineStr">
        <is>
          <t>Sin cliente</t>
        </is>
      </c>
      <c r="D6235" t="inlineStr">
        <is>
          <t>Cafeteria Geronimo</t>
        </is>
      </c>
      <c r="E6235" s="34" t="n">
        <v>20400</v>
      </c>
      <c r="F6235" t="inlineStr">
        <is>
          <t>B</t>
        </is>
      </c>
      <c r="G6235" s="34" t="n">
        <v>3257</v>
      </c>
      <c r="H6235" s="34" t="n">
        <v>17143</v>
      </c>
      <c r="I6235" t="inlineStr">
        <is>
          <t>3.2</t>
        </is>
      </c>
      <c r="J6235" t="inlineStr">
        <is>
          <t>Ventas Personas (B2C)</t>
        </is>
      </c>
      <c r="K6235" t="inlineStr">
        <is>
          <t>CH2</t>
        </is>
      </c>
    </row>
    <row r="6236">
      <c r="A6236" s="33" t="n">
        <v>46112</v>
      </c>
      <c r="B6236" t="inlineStr">
        <is>
          <t>2026-03</t>
        </is>
      </c>
      <c r="C6236" t="inlineStr">
        <is>
          <t>Sin cliente</t>
        </is>
      </c>
      <c r="D6236" t="inlineStr">
        <is>
          <t>Cafeteria Geronimo</t>
        </is>
      </c>
      <c r="E6236" s="34" t="n">
        <v>29900</v>
      </c>
      <c r="F6236" t="inlineStr">
        <is>
          <t>B</t>
        </is>
      </c>
      <c r="G6236" s="34" t="n">
        <v>4774</v>
      </c>
      <c r="H6236" s="34" t="n">
        <v>25126</v>
      </c>
      <c r="I6236" t="inlineStr">
        <is>
          <t>3.2</t>
        </is>
      </c>
      <c r="J6236" t="inlineStr">
        <is>
          <t>Ventas Personas (B2C)</t>
        </is>
      </c>
      <c r="K6236" t="inlineStr">
        <is>
          <t>CH2</t>
        </is>
      </c>
    </row>
    <row r="6237">
      <c r="A6237" s="33" t="n">
        <v>46112</v>
      </c>
      <c r="B6237" t="inlineStr">
        <is>
          <t>2026-03</t>
        </is>
      </c>
      <c r="C6237" t="inlineStr">
        <is>
          <t>Sin cliente</t>
        </is>
      </c>
      <c r="D6237" t="inlineStr">
        <is>
          <t>PLATAFORMAS RAP-PEYA-UBER-GOOD</t>
        </is>
      </c>
      <c r="E6237" s="34" t="n">
        <v>17880</v>
      </c>
      <c r="F6237" t="inlineStr">
        <is>
          <t>B</t>
        </is>
      </c>
      <c r="G6237" s="34" t="n">
        <v>2855</v>
      </c>
      <c r="H6237" s="34" t="n">
        <v>15025</v>
      </c>
      <c r="I6237" t="inlineStr">
        <is>
          <t>3.6</t>
        </is>
      </c>
      <c r="J6237" t="inlineStr">
        <is>
          <t>Ventas Delivery Apps</t>
        </is>
      </c>
      <c r="K6237" t="inlineStr">
        <is>
          <t>CH3</t>
        </is>
      </c>
    </row>
    <row r="6238">
      <c r="A6238" s="33" t="n">
        <v>46112</v>
      </c>
      <c r="B6238" t="inlineStr">
        <is>
          <t>2026-03</t>
        </is>
      </c>
      <c r="C6238" t="inlineStr">
        <is>
          <t>Sin cliente</t>
        </is>
      </c>
      <c r="D6238" t="inlineStr">
        <is>
          <t>Cafeteria Geronimo</t>
        </is>
      </c>
      <c r="E6238" s="34" t="n">
        <v>14500</v>
      </c>
      <c r="F6238" t="inlineStr">
        <is>
          <t>B</t>
        </is>
      </c>
      <c r="G6238" s="34" t="n">
        <v>2315</v>
      </c>
      <c r="H6238" s="34" t="n">
        <v>12185</v>
      </c>
      <c r="I6238" t="inlineStr">
        <is>
          <t>3.2</t>
        </is>
      </c>
      <c r="J6238" t="inlineStr">
        <is>
          <t>Ventas Personas (B2C)</t>
        </is>
      </c>
      <c r="K6238" t="inlineStr">
        <is>
          <t>CH2</t>
        </is>
      </c>
    </row>
    <row r="6239">
      <c r="A6239" s="33" t="n">
        <v>46113</v>
      </c>
      <c r="B6239" t="inlineStr">
        <is>
          <t>2026-04</t>
        </is>
      </c>
      <c r="C6239" t="inlineStr">
        <is>
          <t>BLUE OAK COFFE SPA</t>
        </is>
      </c>
      <c r="D6239" t="inlineStr">
        <is>
          <t>HORECA CAFETERIA</t>
        </is>
      </c>
      <c r="E6239" s="34" t="n">
        <v>183379</v>
      </c>
      <c r="F6239" t="inlineStr">
        <is>
          <t>F</t>
        </is>
      </c>
      <c r="G6239" s="34" t="n">
        <v>29279</v>
      </c>
      <c r="H6239" s="34" t="n">
        <v>154100</v>
      </c>
      <c r="I6239" t="inlineStr">
        <is>
          <t>3.1</t>
        </is>
      </c>
      <c r="J6239" t="inlineStr">
        <is>
          <t>Ventas HoReCa</t>
        </is>
      </c>
      <c r="K6239" t="inlineStr">
        <is>
          <t>CH1</t>
        </is>
      </c>
    </row>
    <row r="6240">
      <c r="A6240" s="33" t="n">
        <v>46113</v>
      </c>
      <c r="B6240" t="inlineStr">
        <is>
          <t>2026-04</t>
        </is>
      </c>
      <c r="C6240" t="inlineStr">
        <is>
          <t>BLUE OAK COFFE SPA</t>
        </is>
      </c>
      <c r="D6240" t="inlineStr">
        <is>
          <t>HORECA CAFETERIA</t>
        </is>
      </c>
      <c r="E6240" s="34" t="n">
        <v>94117</v>
      </c>
      <c r="F6240" t="inlineStr">
        <is>
          <t>F</t>
        </is>
      </c>
      <c r="G6240" s="34" t="n">
        <v>15027</v>
      </c>
      <c r="H6240" s="34" t="n">
        <v>79090</v>
      </c>
      <c r="I6240" t="inlineStr">
        <is>
          <t>3.1</t>
        </is>
      </c>
      <c r="J6240" t="inlineStr">
        <is>
          <t>Ventas HoReCa</t>
        </is>
      </c>
      <c r="K6240" t="inlineStr">
        <is>
          <t>CH1</t>
        </is>
      </c>
    </row>
    <row r="6241">
      <c r="A6241" s="33" t="n">
        <v>46113</v>
      </c>
      <c r="B6241" t="inlineStr">
        <is>
          <t>2026-04</t>
        </is>
      </c>
      <c r="C6241" t="inlineStr">
        <is>
          <t>Better Food Spa</t>
        </is>
      </c>
      <c r="D6241" t="inlineStr">
        <is>
          <t>HORECA CAFETERIA</t>
        </is>
      </c>
      <c r="E6241" s="34" t="n">
        <v>449320</v>
      </c>
      <c r="F6241" t="inlineStr">
        <is>
          <t>F</t>
        </is>
      </c>
      <c r="G6241" s="34" t="n">
        <v>71740</v>
      </c>
      <c r="H6241" s="34" t="n">
        <v>377580</v>
      </c>
      <c r="I6241" t="inlineStr">
        <is>
          <t>3.1</t>
        </is>
      </c>
      <c r="J6241" t="inlineStr">
        <is>
          <t>Ventas HoReCa</t>
        </is>
      </c>
      <c r="K6241" t="inlineStr">
        <is>
          <t>CH1</t>
        </is>
      </c>
    </row>
    <row r="6242">
      <c r="A6242" s="33" t="n">
        <v>46113</v>
      </c>
      <c r="B6242" t="inlineStr">
        <is>
          <t>2026-04</t>
        </is>
      </c>
      <c r="C6242" t="inlineStr">
        <is>
          <t>Better Food Spa</t>
        </is>
      </c>
      <c r="D6242" t="inlineStr">
        <is>
          <t>REGION METROPOLITANA</t>
        </is>
      </c>
      <c r="E6242" s="34" t="n">
        <v>9401</v>
      </c>
      <c r="F6242" t="inlineStr">
        <is>
          <t>F</t>
        </is>
      </c>
      <c r="G6242" s="34" t="n">
        <v>1501</v>
      </c>
      <c r="H6242" s="34" t="n">
        <v>7900</v>
      </c>
      <c r="I6242" t="inlineStr">
        <is>
          <t>3.1</t>
        </is>
      </c>
      <c r="J6242" t="inlineStr">
        <is>
          <t>Ventas HoReCa</t>
        </is>
      </c>
      <c r="K6242" t="inlineStr">
        <is>
          <t>CH1</t>
        </is>
      </c>
    </row>
    <row r="6243">
      <c r="A6243" s="33" t="n">
        <v>46113</v>
      </c>
      <c r="B6243" t="inlineStr">
        <is>
          <t>2026-04</t>
        </is>
      </c>
      <c r="C6243" t="inlineStr">
        <is>
          <t>Cocoshouse Spa</t>
        </is>
      </c>
      <c r="D6243" t="inlineStr">
        <is>
          <t>HORECA CAFETERIA</t>
        </is>
      </c>
      <c r="E6243" s="34" t="n">
        <v>77564</v>
      </c>
      <c r="F6243" t="inlineStr">
        <is>
          <t>F</t>
        </is>
      </c>
      <c r="G6243" s="34" t="n">
        <v>12384</v>
      </c>
      <c r="H6243" s="34" t="n">
        <v>65180</v>
      </c>
      <c r="I6243" t="inlineStr">
        <is>
          <t>3.1</t>
        </is>
      </c>
      <c r="J6243" t="inlineStr">
        <is>
          <t>Ventas HoReCa</t>
        </is>
      </c>
      <c r="K6243" t="inlineStr">
        <is>
          <t>CH1</t>
        </is>
      </c>
    </row>
    <row r="6244">
      <c r="A6244" s="33" t="n">
        <v>46113</v>
      </c>
      <c r="B6244" t="inlineStr">
        <is>
          <t>2026-04</t>
        </is>
      </c>
      <c r="C6244" t="inlineStr">
        <is>
          <t>BACOLIO SPA</t>
        </is>
      </c>
      <c r="D6244" t="inlineStr">
        <is>
          <t>HORECA CAFETERIA</t>
        </is>
      </c>
      <c r="E6244" s="34" t="n">
        <v>77564</v>
      </c>
      <c r="F6244" t="inlineStr">
        <is>
          <t>F</t>
        </is>
      </c>
      <c r="G6244" s="34" t="n">
        <v>12384</v>
      </c>
      <c r="H6244" s="34" t="n">
        <v>65180</v>
      </c>
      <c r="I6244" t="inlineStr">
        <is>
          <t>3.1</t>
        </is>
      </c>
      <c r="J6244" t="inlineStr">
        <is>
          <t>Ventas HoReCa</t>
        </is>
      </c>
      <c r="K6244" t="inlineStr">
        <is>
          <t>CH1</t>
        </is>
      </c>
    </row>
    <row r="6245">
      <c r="A6245" s="33" t="n">
        <v>46113</v>
      </c>
      <c r="B6245" t="inlineStr">
        <is>
          <t>2026-04</t>
        </is>
      </c>
      <c r="C6245" t="inlineStr">
        <is>
          <t>BLUE OAK COFFE SPA</t>
        </is>
      </c>
      <c r="D6245" t="inlineStr">
        <is>
          <t>HORECA CAFETERIA</t>
        </is>
      </c>
      <c r="E6245" s="34" t="n">
        <v>148107</v>
      </c>
      <c r="F6245" t="inlineStr">
        <is>
          <t>F</t>
        </is>
      </c>
      <c r="G6245" s="34" t="n">
        <v>23647</v>
      </c>
      <c r="H6245" s="34" t="n">
        <v>124460</v>
      </c>
      <c r="I6245" t="inlineStr">
        <is>
          <t>3.1</t>
        </is>
      </c>
      <c r="J6245" t="inlineStr">
        <is>
          <t>Ventas HoReCa</t>
        </is>
      </c>
      <c r="K6245" t="inlineStr">
        <is>
          <t>CH1</t>
        </is>
      </c>
    </row>
    <row r="6246">
      <c r="A6246" s="33" t="n">
        <v>46113</v>
      </c>
      <c r="B6246" t="inlineStr">
        <is>
          <t>2026-04</t>
        </is>
      </c>
      <c r="C6246" t="inlineStr">
        <is>
          <t>TAVELLI S.A.</t>
        </is>
      </c>
      <c r="D6246" t="inlineStr">
        <is>
          <t>HORECA CAFETERIA</t>
        </is>
      </c>
      <c r="E6246" s="34" t="n">
        <v>818405</v>
      </c>
      <c r="F6246" t="inlineStr">
        <is>
          <t>F</t>
        </is>
      </c>
      <c r="G6246" s="34" t="n">
        <v>130670</v>
      </c>
      <c r="H6246" s="34" t="n">
        <v>687735</v>
      </c>
      <c r="I6246" t="inlineStr">
        <is>
          <t>3.1</t>
        </is>
      </c>
      <c r="J6246" t="inlineStr">
        <is>
          <t>Ventas HoReCa</t>
        </is>
      </c>
      <c r="K6246" t="inlineStr">
        <is>
          <t>CH1</t>
        </is>
      </c>
    </row>
    <row r="6247">
      <c r="A6247" s="33" t="n">
        <v>46113</v>
      </c>
      <c r="B6247" t="inlineStr">
        <is>
          <t>2026-04</t>
        </is>
      </c>
      <c r="C6247" t="inlineStr">
        <is>
          <t>TAVELLI S.A.</t>
        </is>
      </c>
      <c r="D6247" t="inlineStr">
        <is>
          <t>REGION METROPOLITANA</t>
        </is>
      </c>
      <c r="E6247" s="34" t="n">
        <v>35700</v>
      </c>
      <c r="F6247" t="inlineStr">
        <is>
          <t>F</t>
        </is>
      </c>
      <c r="G6247" s="34" t="n">
        <v>5700</v>
      </c>
      <c r="H6247" s="34" t="n">
        <v>30000</v>
      </c>
      <c r="I6247" t="inlineStr">
        <is>
          <t>3.1</t>
        </is>
      </c>
      <c r="J6247" t="inlineStr">
        <is>
          <t>Ventas HoReCa</t>
        </is>
      </c>
      <c r="K6247" t="inlineStr">
        <is>
          <t>CH1</t>
        </is>
      </c>
    </row>
    <row r="6248">
      <c r="A6248" s="33" t="n">
        <v>46113</v>
      </c>
      <c r="B6248" t="inlineStr">
        <is>
          <t>2026-04</t>
        </is>
      </c>
      <c r="C6248" t="inlineStr">
        <is>
          <t>Inversiones Fofoca SpA</t>
        </is>
      </c>
      <c r="D6248" t="inlineStr">
        <is>
          <t>HORECA CAFETERIA</t>
        </is>
      </c>
      <c r="E6248" s="34" t="n">
        <v>77564</v>
      </c>
      <c r="F6248" t="inlineStr">
        <is>
          <t>F</t>
        </is>
      </c>
      <c r="G6248" s="34" t="n">
        <v>12384</v>
      </c>
      <c r="H6248" s="34" t="n">
        <v>65180</v>
      </c>
      <c r="I6248" t="inlineStr">
        <is>
          <t>3.1</t>
        </is>
      </c>
      <c r="J6248" t="inlineStr">
        <is>
          <t>Ventas HoReCa</t>
        </is>
      </c>
      <c r="K6248" t="inlineStr">
        <is>
          <t>CH1</t>
        </is>
      </c>
    </row>
    <row r="6249">
      <c r="A6249" s="33" t="n">
        <v>46113</v>
      </c>
      <c r="B6249" t="inlineStr">
        <is>
          <t>2026-04</t>
        </is>
      </c>
      <c r="C6249" t="inlineStr">
        <is>
          <t>JAVIERA GAZITUA GOURMET Y EVENTOS EIRL</t>
        </is>
      </c>
      <c r="D6249" t="inlineStr">
        <is>
          <t>HORECA CATERING</t>
        </is>
      </c>
      <c r="E6249" s="34" t="n">
        <v>153867</v>
      </c>
      <c r="F6249" t="inlineStr">
        <is>
          <t>F</t>
        </is>
      </c>
      <c r="G6249" s="34" t="n">
        <v>24567</v>
      </c>
      <c r="H6249" s="34" t="n">
        <v>129300</v>
      </c>
      <c r="I6249" t="inlineStr">
        <is>
          <t>3.1</t>
        </is>
      </c>
      <c r="J6249" t="inlineStr">
        <is>
          <t>Ventas HoReCa</t>
        </is>
      </c>
      <c r="K6249" t="inlineStr">
        <is>
          <t>CH1</t>
        </is>
      </c>
    </row>
    <row r="6250">
      <c r="A6250" s="33" t="n">
        <v>46113</v>
      </c>
      <c r="B6250" t="inlineStr">
        <is>
          <t>2026-04</t>
        </is>
      </c>
      <c r="C6250" t="inlineStr">
        <is>
          <t>Cecilia Camacho Neira</t>
        </is>
      </c>
      <c r="D6250" t="inlineStr">
        <is>
          <t>Pascua de Resurrección</t>
        </is>
      </c>
      <c r="E6250" s="34" t="n">
        <v>18390</v>
      </c>
      <c r="F6250" t="inlineStr">
        <is>
          <t>B</t>
        </is>
      </c>
      <c r="G6250" s="34" t="n">
        <v>2936</v>
      </c>
      <c r="H6250" s="34" t="n">
        <v>15454</v>
      </c>
      <c r="I6250" t="inlineStr">
        <is>
          <t>3.2</t>
        </is>
      </c>
      <c r="J6250" t="inlineStr">
        <is>
          <t>Ventas Personas (B2C)</t>
        </is>
      </c>
      <c r="K6250" t="inlineStr">
        <is>
          <t>CH2</t>
        </is>
      </c>
    </row>
    <row r="6251">
      <c r="A6251" s="33" t="n">
        <v>46113</v>
      </c>
      <c r="B6251" t="inlineStr">
        <is>
          <t>2026-04</t>
        </is>
      </c>
      <c r="C6251" t="inlineStr">
        <is>
          <t>Andrea Córdova Ratti</t>
        </is>
      </c>
      <c r="D6251" t="inlineStr">
        <is>
          <t>Petit Tradicional</t>
        </is>
      </c>
      <c r="E6251" s="34" t="n">
        <v>18290</v>
      </c>
      <c r="F6251" t="inlineStr">
        <is>
          <t>B</t>
        </is>
      </c>
      <c r="G6251" s="34" t="n">
        <v>2920</v>
      </c>
      <c r="H6251" s="34" t="n">
        <v>15370</v>
      </c>
      <c r="I6251" t="inlineStr">
        <is>
          <t>3.2</t>
        </is>
      </c>
      <c r="J6251" t="inlineStr">
        <is>
          <t>Ventas Personas (B2C)</t>
        </is>
      </c>
      <c r="K6251" t="inlineStr">
        <is>
          <t>CH2</t>
        </is>
      </c>
    </row>
    <row r="6252">
      <c r="A6252" s="33" t="n">
        <v>46113</v>
      </c>
      <c r="B6252" t="inlineStr">
        <is>
          <t>2026-04</t>
        </is>
      </c>
      <c r="C6252" t="inlineStr">
        <is>
          <t>Javiera Hernandez</t>
        </is>
      </c>
      <c r="D6252" t="inlineStr">
        <is>
          <t>PACKAGING</t>
        </is>
      </c>
      <c r="E6252" s="34" t="n">
        <v>33930</v>
      </c>
      <c r="F6252" t="inlineStr">
        <is>
          <t>B</t>
        </is>
      </c>
      <c r="G6252" s="34" t="n">
        <v>5417</v>
      </c>
      <c r="H6252" s="34" t="n">
        <v>28513</v>
      </c>
      <c r="I6252" t="inlineStr">
        <is>
          <t>3.2</t>
        </is>
      </c>
      <c r="J6252" t="inlineStr">
        <is>
          <t>Ventas Personas (B2C)</t>
        </is>
      </c>
      <c r="K6252" t="inlineStr">
        <is>
          <t>CH2</t>
        </is>
      </c>
    </row>
    <row r="6253">
      <c r="A6253" s="33" t="n">
        <v>46113</v>
      </c>
      <c r="B6253" t="inlineStr">
        <is>
          <t>2026-04</t>
        </is>
      </c>
      <c r="C6253" t="inlineStr">
        <is>
          <t>PABLO FERNANDEZ CESPEDES</t>
        </is>
      </c>
      <c r="D6253" t="inlineStr">
        <is>
          <t>Pascua de Resurrección</t>
        </is>
      </c>
      <c r="E6253" s="34" t="n">
        <v>14900</v>
      </c>
      <c r="F6253" t="inlineStr">
        <is>
          <t>B</t>
        </is>
      </c>
      <c r="G6253" s="34" t="n">
        <v>2379</v>
      </c>
      <c r="H6253" s="34" t="n">
        <v>12521</v>
      </c>
      <c r="I6253" t="inlineStr">
        <is>
          <t>3.2</t>
        </is>
      </c>
      <c r="J6253" t="inlineStr">
        <is>
          <t>Ventas Personas (B2C)</t>
        </is>
      </c>
      <c r="K6253" t="inlineStr">
        <is>
          <t>CH2</t>
        </is>
      </c>
    </row>
    <row r="6254">
      <c r="A6254" s="33" t="n">
        <v>46113</v>
      </c>
      <c r="B6254" t="inlineStr">
        <is>
          <t>2026-04</t>
        </is>
      </c>
      <c r="C6254" t="inlineStr">
        <is>
          <t>Barbara Lopez Crisostomo</t>
        </is>
      </c>
      <c r="D6254" t="inlineStr">
        <is>
          <t>Petit Tradicional</t>
        </is>
      </c>
      <c r="E6254" s="34" t="n">
        <v>19290</v>
      </c>
      <c r="F6254" t="inlineStr">
        <is>
          <t>B</t>
        </is>
      </c>
      <c r="G6254" s="34" t="n">
        <v>3080</v>
      </c>
      <c r="H6254" s="34" t="n">
        <v>16210</v>
      </c>
      <c r="I6254" t="inlineStr">
        <is>
          <t>3.2</t>
        </is>
      </c>
      <c r="J6254" t="inlineStr">
        <is>
          <t>Ventas Personas (B2C)</t>
        </is>
      </c>
      <c r="K6254" t="inlineStr">
        <is>
          <t>CH2</t>
        </is>
      </c>
    </row>
    <row r="6255">
      <c r="A6255" s="33" t="n">
        <v>46113</v>
      </c>
      <c r="B6255" t="inlineStr">
        <is>
          <t>2026-04</t>
        </is>
      </c>
      <c r="C6255" t="inlineStr">
        <is>
          <t>Annelyd Reveti</t>
        </is>
      </c>
      <c r="D6255" t="inlineStr">
        <is>
          <t>Petit Crunchy</t>
        </is>
      </c>
      <c r="E6255" s="34" t="n">
        <v>31415</v>
      </c>
      <c r="F6255" t="inlineStr">
        <is>
          <t>B</t>
        </is>
      </c>
      <c r="G6255" s="34" t="n">
        <v>5016</v>
      </c>
      <c r="H6255" s="34" t="n">
        <v>26399</v>
      </c>
      <c r="I6255" t="inlineStr">
        <is>
          <t>3.2</t>
        </is>
      </c>
      <c r="J6255" t="inlineStr">
        <is>
          <t>Ventas Personas (B2C)</t>
        </is>
      </c>
      <c r="K6255" t="inlineStr">
        <is>
          <t>CH2</t>
        </is>
      </c>
    </row>
    <row r="6256">
      <c r="A6256" s="33" t="n">
        <v>46113</v>
      </c>
      <c r="B6256" t="inlineStr">
        <is>
          <t>2026-04</t>
        </is>
      </c>
      <c r="C6256" t="inlineStr">
        <is>
          <t>Francisca Levin</t>
        </is>
      </c>
      <c r="D6256" t="inlineStr">
        <is>
          <t>Petit Crunchy</t>
        </is>
      </c>
      <c r="E6256" s="34" t="n">
        <v>31415</v>
      </c>
      <c r="F6256" t="inlineStr">
        <is>
          <t>B</t>
        </is>
      </c>
      <c r="G6256" s="34" t="n">
        <v>5016</v>
      </c>
      <c r="H6256" s="34" t="n">
        <v>26399</v>
      </c>
      <c r="I6256" t="inlineStr">
        <is>
          <t>3.2</t>
        </is>
      </c>
      <c r="J6256" t="inlineStr">
        <is>
          <t>Ventas Personas (B2C)</t>
        </is>
      </c>
      <c r="K6256" t="inlineStr">
        <is>
          <t>CH2</t>
        </is>
      </c>
    </row>
    <row r="6257">
      <c r="A6257" s="33" t="n">
        <v>46113</v>
      </c>
      <c r="B6257" t="inlineStr">
        <is>
          <t>2026-04</t>
        </is>
      </c>
      <c r="C6257" t="inlineStr">
        <is>
          <t>Pablo Traverso</t>
        </is>
      </c>
      <c r="D6257" t="inlineStr">
        <is>
          <t>Petit Crunchy</t>
        </is>
      </c>
      <c r="E6257" s="34" t="n">
        <v>15300</v>
      </c>
      <c r="F6257" t="inlineStr">
        <is>
          <t>B</t>
        </is>
      </c>
      <c r="G6257" s="34" t="n">
        <v>2443</v>
      </c>
      <c r="H6257" s="34" t="n">
        <v>12857</v>
      </c>
      <c r="I6257" t="inlineStr">
        <is>
          <t>3.2</t>
        </is>
      </c>
      <c r="J6257" t="inlineStr">
        <is>
          <t>Ventas Personas (B2C)</t>
        </is>
      </c>
      <c r="K6257" t="inlineStr">
        <is>
          <t>CH2</t>
        </is>
      </c>
    </row>
    <row r="6258">
      <c r="A6258" s="33" t="n">
        <v>46113</v>
      </c>
      <c r="B6258" t="inlineStr">
        <is>
          <t>2026-04</t>
        </is>
      </c>
      <c r="C6258" t="inlineStr">
        <is>
          <t>Carolina Prieto del Río</t>
        </is>
      </c>
      <c r="D6258" t="inlineStr">
        <is>
          <t>Pascua de Resurrección</t>
        </is>
      </c>
      <c r="E6258" s="34" t="n">
        <v>33290</v>
      </c>
      <c r="F6258" t="inlineStr">
        <is>
          <t>B</t>
        </is>
      </c>
      <c r="G6258" s="34" t="n">
        <v>5315</v>
      </c>
      <c r="H6258" s="34" t="n">
        <v>27975</v>
      </c>
      <c r="I6258" t="inlineStr">
        <is>
          <t>3.2</t>
        </is>
      </c>
      <c r="J6258" t="inlineStr">
        <is>
          <t>Ventas Personas (B2C)</t>
        </is>
      </c>
      <c r="K6258" t="inlineStr">
        <is>
          <t>CH2</t>
        </is>
      </c>
    </row>
    <row r="6259">
      <c r="A6259" s="33" t="n">
        <v>46113</v>
      </c>
      <c r="B6259" t="inlineStr">
        <is>
          <t>2026-04</t>
        </is>
      </c>
      <c r="C6259" t="inlineStr">
        <is>
          <t>Sol Ubeda Cortes</t>
        </is>
      </c>
      <c r="D6259" t="inlineStr">
        <is>
          <t>Pascua de Resurrección</t>
        </is>
      </c>
      <c r="E6259" s="34" t="n">
        <v>48190</v>
      </c>
      <c r="F6259" t="inlineStr">
        <is>
          <t>B</t>
        </is>
      </c>
      <c r="G6259" s="34" t="n">
        <v>7694</v>
      </c>
      <c r="H6259" s="34" t="n">
        <v>40496</v>
      </c>
      <c r="I6259" t="inlineStr">
        <is>
          <t>3.2</t>
        </is>
      </c>
      <c r="J6259" t="inlineStr">
        <is>
          <t>Ventas Personas (B2C)</t>
        </is>
      </c>
      <c r="K6259" t="inlineStr">
        <is>
          <t>CH2</t>
        </is>
      </c>
    </row>
    <row r="6260">
      <c r="A6260" s="33" t="n">
        <v>46113</v>
      </c>
      <c r="B6260" t="inlineStr">
        <is>
          <t>2026-04</t>
        </is>
      </c>
      <c r="C6260" t="inlineStr">
        <is>
          <t>Arlette Haeger</t>
        </is>
      </c>
      <c r="D6260" t="inlineStr">
        <is>
          <t>Pascua de Resurrección</t>
        </is>
      </c>
      <c r="E6260" s="34" t="n">
        <v>18900</v>
      </c>
      <c r="F6260" t="inlineStr">
        <is>
          <t>B</t>
        </is>
      </c>
      <c r="G6260" s="34" t="n">
        <v>3018</v>
      </c>
      <c r="H6260" s="34" t="n">
        <v>15882</v>
      </c>
      <c r="I6260" t="inlineStr">
        <is>
          <t>3.2</t>
        </is>
      </c>
      <c r="J6260" t="inlineStr">
        <is>
          <t>Ventas Personas (B2C)</t>
        </is>
      </c>
      <c r="K6260" t="inlineStr">
        <is>
          <t>CH2</t>
        </is>
      </c>
    </row>
    <row r="6261">
      <c r="A6261" s="33" t="n">
        <v>46113</v>
      </c>
      <c r="B6261" t="inlineStr">
        <is>
          <t>2026-04</t>
        </is>
      </c>
      <c r="C6261" t="inlineStr">
        <is>
          <t>Maureen Jux</t>
        </is>
      </c>
      <c r="D6261" t="inlineStr">
        <is>
          <t>Pascua de Resurrección</t>
        </is>
      </c>
      <c r="E6261" s="34" t="n">
        <v>33290</v>
      </c>
      <c r="F6261" t="inlineStr">
        <is>
          <t>B</t>
        </is>
      </c>
      <c r="G6261" s="34" t="n">
        <v>5315</v>
      </c>
      <c r="H6261" s="34" t="n">
        <v>27975</v>
      </c>
      <c r="I6261" t="inlineStr">
        <is>
          <t>3.2</t>
        </is>
      </c>
      <c r="J6261" t="inlineStr">
        <is>
          <t>Ventas Personas (B2C)</t>
        </is>
      </c>
      <c r="K6261" t="inlineStr">
        <is>
          <t>CH2</t>
        </is>
      </c>
    </row>
    <row r="6262">
      <c r="A6262" s="33" t="n">
        <v>46113</v>
      </c>
      <c r="B6262" t="inlineStr">
        <is>
          <t>2026-04</t>
        </is>
      </c>
      <c r="C6262" t="inlineStr">
        <is>
          <t>Sin cliente</t>
        </is>
      </c>
      <c r="D6262" t="inlineStr">
        <is>
          <t>PLATAFORMAS RAP-PEYA-UBER-GOOD</t>
        </is>
      </c>
      <c r="E6262" s="34" t="n">
        <v>17880</v>
      </c>
      <c r="F6262" t="inlineStr">
        <is>
          <t>B</t>
        </is>
      </c>
      <c r="G6262" s="34" t="n">
        <v>2855</v>
      </c>
      <c r="H6262" s="34" t="n">
        <v>15025</v>
      </c>
      <c r="I6262" t="inlineStr">
        <is>
          <t>3.6</t>
        </is>
      </c>
      <c r="J6262" t="inlineStr">
        <is>
          <t>Ventas Delivery Apps</t>
        </is>
      </c>
      <c r="K6262" t="inlineStr">
        <is>
          <t>CH3</t>
        </is>
      </c>
    </row>
    <row r="6263">
      <c r="A6263" s="33" t="n">
        <v>46113</v>
      </c>
      <c r="B6263" t="inlineStr">
        <is>
          <t>2026-04</t>
        </is>
      </c>
      <c r="C6263" t="inlineStr">
        <is>
          <t>Sin cliente</t>
        </is>
      </c>
      <c r="D6263" t="inlineStr">
        <is>
          <t>Petit Tradicional</t>
        </is>
      </c>
      <c r="E6263" s="34" t="n">
        <v>13800</v>
      </c>
      <c r="F6263" t="inlineStr">
        <is>
          <t>B</t>
        </is>
      </c>
      <c r="G6263" s="34" t="n">
        <v>2203</v>
      </c>
      <c r="H6263" s="34" t="n">
        <v>11597</v>
      </c>
      <c r="I6263" t="inlineStr">
        <is>
          <t>3.2</t>
        </is>
      </c>
      <c r="J6263" t="inlineStr">
        <is>
          <t>Ventas Personas (B2C)</t>
        </is>
      </c>
      <c r="K6263" t="inlineStr">
        <is>
          <t>CH2</t>
        </is>
      </c>
    </row>
    <row r="6264">
      <c r="A6264" s="33" t="n">
        <v>46113</v>
      </c>
      <c r="B6264" t="inlineStr">
        <is>
          <t>2026-04</t>
        </is>
      </c>
      <c r="C6264" t="inlineStr">
        <is>
          <t>Sin cliente</t>
        </is>
      </c>
      <c r="D6264" t="inlineStr">
        <is>
          <t>Petit Tradicional</t>
        </is>
      </c>
      <c r="E6264" s="34" t="n">
        <v>37500</v>
      </c>
      <c r="F6264" t="inlineStr">
        <is>
          <t>B</t>
        </is>
      </c>
      <c r="G6264" s="34" t="n">
        <v>5987</v>
      </c>
      <c r="H6264" s="34" t="n">
        <v>31513</v>
      </c>
      <c r="I6264" t="inlineStr">
        <is>
          <t>3.2</t>
        </is>
      </c>
      <c r="J6264" t="inlineStr">
        <is>
          <t>Ventas Personas (B2C)</t>
        </is>
      </c>
      <c r="K6264" t="inlineStr">
        <is>
          <t>CH2</t>
        </is>
      </c>
    </row>
    <row r="6265">
      <c r="A6265" s="33" t="n">
        <v>46113</v>
      </c>
      <c r="B6265" t="inlineStr">
        <is>
          <t>2026-04</t>
        </is>
      </c>
      <c r="C6265" t="inlineStr">
        <is>
          <t>ALIMENTOS NILO SPA</t>
        </is>
      </c>
      <c r="D6265" t="inlineStr">
        <is>
          <t>HORECA CAFETERIA</t>
        </is>
      </c>
      <c r="E6265" s="34" t="n">
        <v>70543</v>
      </c>
      <c r="F6265" t="inlineStr">
        <is>
          <t>F</t>
        </is>
      </c>
      <c r="G6265" s="34" t="n">
        <v>11263</v>
      </c>
      <c r="H6265" s="34" t="n">
        <v>59280</v>
      </c>
      <c r="I6265" t="inlineStr">
        <is>
          <t>3.1</t>
        </is>
      </c>
      <c r="J6265" t="inlineStr">
        <is>
          <t>Ventas HoReCa</t>
        </is>
      </c>
      <c r="K6265" t="inlineStr">
        <is>
          <t>CH1</t>
        </is>
      </c>
    </row>
    <row r="6266">
      <c r="A6266" s="33" t="n">
        <v>46113</v>
      </c>
      <c r="B6266" t="inlineStr">
        <is>
          <t>2026-04</t>
        </is>
      </c>
      <c r="C6266" t="inlineStr">
        <is>
          <t>Sin cliente</t>
        </is>
      </c>
      <c r="D6266" t="inlineStr">
        <is>
          <t>Cafeteria Geronimo</t>
        </is>
      </c>
      <c r="E6266" s="34" t="n">
        <v>15700</v>
      </c>
      <c r="F6266" t="inlineStr">
        <is>
          <t>B</t>
        </is>
      </c>
      <c r="G6266" s="34" t="n">
        <v>2507</v>
      </c>
      <c r="H6266" s="34" t="n">
        <v>13193</v>
      </c>
      <c r="I6266" t="inlineStr">
        <is>
          <t>3.2</t>
        </is>
      </c>
      <c r="J6266" t="inlineStr">
        <is>
          <t>Ventas Personas (B2C)</t>
        </is>
      </c>
      <c r="K6266" t="inlineStr">
        <is>
          <t>CH2</t>
        </is>
      </c>
    </row>
    <row r="6267">
      <c r="A6267" s="33" t="n">
        <v>46113</v>
      </c>
      <c r="B6267" t="inlineStr">
        <is>
          <t>2026-04</t>
        </is>
      </c>
      <c r="C6267" t="inlineStr">
        <is>
          <t>Sin cliente</t>
        </is>
      </c>
      <c r="D6267" t="inlineStr">
        <is>
          <t>CANELÉ TRADICIONAL</t>
        </is>
      </c>
      <c r="E6267" s="34" t="n">
        <v>5000</v>
      </c>
      <c r="F6267" t="inlineStr">
        <is>
          <t>B</t>
        </is>
      </c>
      <c r="G6267" s="34" t="n">
        <v>798</v>
      </c>
      <c r="H6267" s="34" t="n">
        <v>4202</v>
      </c>
      <c r="I6267" t="inlineStr">
        <is>
          <t>3.2</t>
        </is>
      </c>
      <c r="J6267" t="inlineStr">
        <is>
          <t>Ventas Personas (B2C)</t>
        </is>
      </c>
      <c r="K6267" t="inlineStr">
        <is>
          <t>CH2</t>
        </is>
      </c>
    </row>
    <row r="6268">
      <c r="A6268" s="33" t="n">
        <v>46113</v>
      </c>
      <c r="B6268" t="inlineStr">
        <is>
          <t>2026-04</t>
        </is>
      </c>
      <c r="C6268" t="inlineStr">
        <is>
          <t>Sin cliente</t>
        </is>
      </c>
      <c r="D6268" t="inlineStr">
        <is>
          <t>Rellenos</t>
        </is>
      </c>
      <c r="E6268" s="34" t="n">
        <v>63600</v>
      </c>
      <c r="F6268" t="inlineStr">
        <is>
          <t>B</t>
        </is>
      </c>
      <c r="G6268" s="34" t="n">
        <v>10155</v>
      </c>
      <c r="H6268" s="34" t="n">
        <v>53445</v>
      </c>
      <c r="I6268" t="inlineStr">
        <is>
          <t>3.2</t>
        </is>
      </c>
      <c r="J6268" t="inlineStr">
        <is>
          <t>Ventas Personas (B2C)</t>
        </is>
      </c>
      <c r="K6268" t="inlineStr">
        <is>
          <t>CH2</t>
        </is>
      </c>
    </row>
    <row r="6269">
      <c r="A6269" s="33" t="n">
        <v>46113</v>
      </c>
      <c r="B6269" t="inlineStr">
        <is>
          <t>2026-04</t>
        </is>
      </c>
      <c r="C6269" t="inlineStr">
        <is>
          <t>Sin cliente</t>
        </is>
      </c>
      <c r="D6269" t="inlineStr">
        <is>
          <t>PLATAFORMAS RAP-PEYA-UBER-GOOD</t>
        </is>
      </c>
      <c r="E6269" s="34" t="n">
        <v>33000</v>
      </c>
      <c r="F6269" t="inlineStr">
        <is>
          <t>B</t>
        </is>
      </c>
      <c r="G6269" s="34" t="n">
        <v>5269</v>
      </c>
      <c r="H6269" s="34" t="n">
        <v>27731</v>
      </c>
      <c r="I6269" t="inlineStr">
        <is>
          <t>3.6</t>
        </is>
      </c>
      <c r="J6269" t="inlineStr">
        <is>
          <t>Ventas Delivery Apps</t>
        </is>
      </c>
      <c r="K6269" t="inlineStr">
        <is>
          <t>CH3</t>
        </is>
      </c>
    </row>
    <row r="6270">
      <c r="A6270" s="33" t="n">
        <v>46113</v>
      </c>
      <c r="B6270" t="inlineStr">
        <is>
          <t>2026-04</t>
        </is>
      </c>
      <c r="C6270" t="inlineStr">
        <is>
          <t>Sin cliente</t>
        </is>
      </c>
      <c r="D6270" t="inlineStr">
        <is>
          <t>CANELÉ TRADICIONAL</t>
        </is>
      </c>
      <c r="E6270" s="34" t="n">
        <v>29890</v>
      </c>
      <c r="F6270" t="inlineStr">
        <is>
          <t>B</t>
        </is>
      </c>
      <c r="G6270" s="34" t="n">
        <v>4772</v>
      </c>
      <c r="H6270" s="34" t="n">
        <v>25118</v>
      </c>
      <c r="I6270" t="inlineStr">
        <is>
          <t>3.2</t>
        </is>
      </c>
      <c r="J6270" t="inlineStr">
        <is>
          <t>Ventas Personas (B2C)</t>
        </is>
      </c>
      <c r="K6270" t="inlineStr">
        <is>
          <t>CH2</t>
        </is>
      </c>
    </row>
    <row r="6271">
      <c r="A6271" s="33" t="n">
        <v>46113</v>
      </c>
      <c r="B6271" t="inlineStr">
        <is>
          <t>2026-04</t>
        </is>
      </c>
      <c r="C6271" t="inlineStr">
        <is>
          <t>Sin cliente</t>
        </is>
      </c>
      <c r="D6271" t="inlineStr">
        <is>
          <t xml:space="preserve">Glosa Producto sin identificar </t>
        </is>
      </c>
      <c r="E6271" s="34" t="n">
        <v>38800</v>
      </c>
      <c r="F6271" t="inlineStr">
        <is>
          <t>B</t>
        </is>
      </c>
      <c r="G6271" s="34" t="n">
        <v>6195</v>
      </c>
      <c r="H6271" s="34" t="n">
        <v>32605</v>
      </c>
      <c r="I6271" t="inlineStr">
        <is>
          <t>3.2</t>
        </is>
      </c>
      <c r="J6271" t="inlineStr">
        <is>
          <t>Ventas Personas (B2C)</t>
        </is>
      </c>
      <c r="K6271" t="inlineStr">
        <is>
          <t>CH2</t>
        </is>
      </c>
    </row>
    <row r="6272">
      <c r="A6272" s="33" t="n">
        <v>46113</v>
      </c>
      <c r="B6272" t="inlineStr">
        <is>
          <t>2026-04</t>
        </is>
      </c>
      <c r="C6272" t="inlineStr">
        <is>
          <t>Sin cliente</t>
        </is>
      </c>
      <c r="D6272" t="inlineStr">
        <is>
          <t>Cafeteria Geronimo</t>
        </is>
      </c>
      <c r="E6272" s="34" t="n">
        <v>2800</v>
      </c>
      <c r="F6272" t="inlineStr">
        <is>
          <t>B</t>
        </is>
      </c>
      <c r="G6272" s="34" t="n">
        <v>447</v>
      </c>
      <c r="H6272" s="34" t="n">
        <v>2353</v>
      </c>
      <c r="I6272" t="inlineStr">
        <is>
          <t>3.2</t>
        </is>
      </c>
      <c r="J6272" t="inlineStr">
        <is>
          <t>Ventas Personas (B2C)</t>
        </is>
      </c>
      <c r="K6272" t="inlineStr">
        <is>
          <t>CH2</t>
        </is>
      </c>
    </row>
    <row r="6273">
      <c r="A6273" s="33" t="n">
        <v>46113</v>
      </c>
      <c r="B6273" t="inlineStr">
        <is>
          <t>2026-04</t>
        </is>
      </c>
      <c r="C6273" t="inlineStr">
        <is>
          <t>Sin cliente</t>
        </is>
      </c>
      <c r="D6273" t="inlineStr">
        <is>
          <t>Petit Crunchy</t>
        </is>
      </c>
      <c r="E6273" s="34" t="n">
        <v>10900</v>
      </c>
      <c r="F6273" t="inlineStr">
        <is>
          <t>B</t>
        </is>
      </c>
      <c r="G6273" s="34" t="n">
        <v>1740</v>
      </c>
      <c r="H6273" s="34" t="n">
        <v>9160</v>
      </c>
      <c r="I6273" t="inlineStr">
        <is>
          <t>3.2</t>
        </is>
      </c>
      <c r="J6273" t="inlineStr">
        <is>
          <t>Ventas Personas (B2C)</t>
        </is>
      </c>
      <c r="K6273" t="inlineStr">
        <is>
          <t>CH2</t>
        </is>
      </c>
    </row>
    <row r="6274">
      <c r="A6274" s="33" t="n">
        <v>46113</v>
      </c>
      <c r="B6274" t="inlineStr">
        <is>
          <t>2026-04</t>
        </is>
      </c>
      <c r="C6274" t="inlineStr">
        <is>
          <t>Sin cliente</t>
        </is>
      </c>
      <c r="D6274" t="inlineStr">
        <is>
          <t>CANELE SIN AZUCAR</t>
        </is>
      </c>
      <c r="E6274" s="34" t="n">
        <v>5200</v>
      </c>
      <c r="F6274" t="inlineStr">
        <is>
          <t>B</t>
        </is>
      </c>
      <c r="G6274" s="34" t="n">
        <v>830</v>
      </c>
      <c r="H6274" s="34" t="n">
        <v>4370</v>
      </c>
      <c r="I6274" t="inlineStr">
        <is>
          <t>3.2</t>
        </is>
      </c>
      <c r="J6274" t="inlineStr">
        <is>
          <t>Ventas Personas (B2C)</t>
        </is>
      </c>
      <c r="K6274" t="inlineStr">
        <is>
          <t>CH2</t>
        </is>
      </c>
    </row>
    <row r="6275">
      <c r="A6275" s="33" t="n">
        <v>46113</v>
      </c>
      <c r="B6275" t="inlineStr">
        <is>
          <t>2026-04</t>
        </is>
      </c>
      <c r="C6275" t="inlineStr">
        <is>
          <t>Sin cliente</t>
        </is>
      </c>
      <c r="D6275" t="inlineStr">
        <is>
          <t>Cafeteria Geronimo</t>
        </is>
      </c>
      <c r="E6275" s="34" t="n">
        <v>6500</v>
      </c>
      <c r="F6275" t="inlineStr">
        <is>
          <t>B</t>
        </is>
      </c>
      <c r="G6275" s="34" t="n">
        <v>1038</v>
      </c>
      <c r="H6275" s="34" t="n">
        <v>5462</v>
      </c>
      <c r="I6275" t="inlineStr">
        <is>
          <t>3.2</t>
        </is>
      </c>
      <c r="J6275" t="inlineStr">
        <is>
          <t>Ventas Personas (B2C)</t>
        </is>
      </c>
      <c r="K6275" t="inlineStr">
        <is>
          <t>CH2</t>
        </is>
      </c>
    </row>
    <row r="6276">
      <c r="A6276" s="33" t="n">
        <v>46113</v>
      </c>
      <c r="B6276" t="inlineStr">
        <is>
          <t>2026-04</t>
        </is>
      </c>
      <c r="C6276" t="inlineStr">
        <is>
          <t>Sin cliente</t>
        </is>
      </c>
      <c r="D6276" t="inlineStr">
        <is>
          <t>Cafeteria Geronimo</t>
        </is>
      </c>
      <c r="E6276" s="34" t="n">
        <v>30400</v>
      </c>
      <c r="F6276" t="inlineStr">
        <is>
          <t>B</t>
        </is>
      </c>
      <c r="G6276" s="34" t="n">
        <v>4854</v>
      </c>
      <c r="H6276" s="34" t="n">
        <v>25546</v>
      </c>
      <c r="I6276" t="inlineStr">
        <is>
          <t>3.2</t>
        </is>
      </c>
      <c r="J6276" t="inlineStr">
        <is>
          <t>Ventas Personas (B2C)</t>
        </is>
      </c>
      <c r="K6276" t="inlineStr">
        <is>
          <t>CH2</t>
        </is>
      </c>
    </row>
    <row r="6277">
      <c r="A6277" s="33" t="n">
        <v>46113</v>
      </c>
      <c r="B6277" t="inlineStr">
        <is>
          <t>2026-04</t>
        </is>
      </c>
      <c r="C6277" t="inlineStr">
        <is>
          <t>Sin cliente</t>
        </is>
      </c>
      <c r="D6277" t="inlineStr">
        <is>
          <t>Cafeteria Geronimo</t>
        </is>
      </c>
      <c r="E6277" s="34" t="n">
        <v>11300</v>
      </c>
      <c r="F6277" t="inlineStr">
        <is>
          <t>B</t>
        </is>
      </c>
      <c r="G6277" s="34" t="n">
        <v>1804</v>
      </c>
      <c r="H6277" s="34" t="n">
        <v>9496</v>
      </c>
      <c r="I6277" t="inlineStr">
        <is>
          <t>3.2</t>
        </is>
      </c>
      <c r="J6277" t="inlineStr">
        <is>
          <t>Ventas Personas (B2C)</t>
        </is>
      </c>
      <c r="K6277" t="inlineStr">
        <is>
          <t>CH2</t>
        </is>
      </c>
    </row>
    <row r="6278">
      <c r="A6278" s="33" t="n">
        <v>46113</v>
      </c>
      <c r="B6278" t="inlineStr">
        <is>
          <t>2026-04</t>
        </is>
      </c>
      <c r="C6278" t="inlineStr">
        <is>
          <t>Sin cliente</t>
        </is>
      </c>
      <c r="D6278" t="inlineStr">
        <is>
          <t>Cafeteria Geronimo</t>
        </is>
      </c>
      <c r="E6278" s="34" t="n">
        <v>10000</v>
      </c>
      <c r="F6278" t="inlineStr">
        <is>
          <t>B</t>
        </is>
      </c>
      <c r="G6278" s="34" t="n">
        <v>1597</v>
      </c>
      <c r="H6278" s="34" t="n">
        <v>8403</v>
      </c>
      <c r="I6278" t="inlineStr">
        <is>
          <t>3.2</t>
        </is>
      </c>
      <c r="J6278" t="inlineStr">
        <is>
          <t>Ventas Personas (B2C)</t>
        </is>
      </c>
      <c r="K6278" t="inlineStr">
        <is>
          <t>CH2</t>
        </is>
      </c>
    </row>
    <row r="6279">
      <c r="A6279" s="33" t="n">
        <v>46113</v>
      </c>
      <c r="B6279" t="inlineStr">
        <is>
          <t>2026-04</t>
        </is>
      </c>
      <c r="C6279" t="inlineStr">
        <is>
          <t>Sin cliente</t>
        </is>
      </c>
      <c r="D6279" t="inlineStr">
        <is>
          <t>Delicatessen</t>
        </is>
      </c>
      <c r="E6279" s="34" t="n">
        <v>5100</v>
      </c>
      <c r="F6279" t="inlineStr">
        <is>
          <t>B</t>
        </is>
      </c>
      <c r="G6279" s="34" t="n">
        <v>814</v>
      </c>
      <c r="H6279" s="34" t="n">
        <v>4286</v>
      </c>
      <c r="I6279" t="inlineStr">
        <is>
          <t>3.2</t>
        </is>
      </c>
      <c r="J6279" t="inlineStr">
        <is>
          <t>Ventas Personas (B2C)</t>
        </is>
      </c>
      <c r="K6279" t="inlineStr">
        <is>
          <t>CH2</t>
        </is>
      </c>
    </row>
    <row r="6280">
      <c r="A6280" s="33" t="n">
        <v>46113</v>
      </c>
      <c r="B6280" t="inlineStr">
        <is>
          <t>2026-04</t>
        </is>
      </c>
      <c r="C6280" t="inlineStr">
        <is>
          <t>Osvaldo Osorio</t>
        </is>
      </c>
      <c r="D6280" t="inlineStr">
        <is>
          <t>Petit Crunchy</t>
        </is>
      </c>
      <c r="E6280" s="34" t="n">
        <v>19390</v>
      </c>
      <c r="F6280" t="inlineStr">
        <is>
          <t>B</t>
        </is>
      </c>
      <c r="G6280" s="34" t="n">
        <v>3096</v>
      </c>
      <c r="H6280" s="34" t="n">
        <v>16294</v>
      </c>
      <c r="I6280" t="inlineStr">
        <is>
          <t>3.2</t>
        </is>
      </c>
      <c r="J6280" t="inlineStr">
        <is>
          <t>Ventas Personas (B2C)</t>
        </is>
      </c>
      <c r="K6280" t="inlineStr">
        <is>
          <t>CH2</t>
        </is>
      </c>
    </row>
    <row r="6281">
      <c r="A6281" s="33" t="n">
        <v>46113</v>
      </c>
      <c r="B6281" t="inlineStr">
        <is>
          <t>2026-04</t>
        </is>
      </c>
      <c r="C6281" t="inlineStr">
        <is>
          <t>Sofia Valdes</t>
        </is>
      </c>
      <c r="D6281" t="inlineStr">
        <is>
          <t>Petit Crunchy</t>
        </is>
      </c>
      <c r="E6281" s="34" t="n">
        <v>33800</v>
      </c>
      <c r="F6281" t="inlineStr">
        <is>
          <t>B</t>
        </is>
      </c>
      <c r="G6281" s="34" t="n">
        <v>5397</v>
      </c>
      <c r="H6281" s="34" t="n">
        <v>28403</v>
      </c>
      <c r="I6281" t="inlineStr">
        <is>
          <t>3.2</t>
        </is>
      </c>
      <c r="J6281" t="inlineStr">
        <is>
          <t>Ventas Personas (B2C)</t>
        </is>
      </c>
      <c r="K6281" t="inlineStr">
        <is>
          <t>CH2</t>
        </is>
      </c>
    </row>
    <row r="6282">
      <c r="A6282" s="33" t="n">
        <v>46113</v>
      </c>
      <c r="B6282" t="inlineStr">
        <is>
          <t>2026-04</t>
        </is>
      </c>
      <c r="C6282" t="inlineStr">
        <is>
          <t>Gail Rybertt</t>
        </is>
      </c>
      <c r="D6282" t="inlineStr">
        <is>
          <t>Petit Crunchy</t>
        </is>
      </c>
      <c r="E6282" s="34" t="n">
        <v>57340</v>
      </c>
      <c r="F6282" t="inlineStr">
        <is>
          <t>B</t>
        </is>
      </c>
      <c r="G6282" s="34" t="n">
        <v>9155</v>
      </c>
      <c r="H6282" s="34" t="n">
        <v>48185</v>
      </c>
      <c r="I6282" t="inlineStr">
        <is>
          <t>3.2</t>
        </is>
      </c>
      <c r="J6282" t="inlineStr">
        <is>
          <t>Ventas Personas (B2C)</t>
        </is>
      </c>
      <c r="K6282" t="inlineStr">
        <is>
          <t>CH2</t>
        </is>
      </c>
    </row>
    <row r="6283">
      <c r="A6283" s="33" t="n">
        <v>46114</v>
      </c>
      <c r="B6283" t="inlineStr">
        <is>
          <t>2026-04</t>
        </is>
      </c>
      <c r="C6283" t="inlineStr">
        <is>
          <t>BLUE OAK COFFE SPA</t>
        </is>
      </c>
      <c r="D6283" t="inlineStr">
        <is>
          <t>HORECA CAFETERIA</t>
        </is>
      </c>
      <c r="E6283" s="34" t="n">
        <v>94117</v>
      </c>
      <c r="F6283" t="inlineStr">
        <is>
          <t>F</t>
        </is>
      </c>
      <c r="G6283" s="34" t="n">
        <v>15027</v>
      </c>
      <c r="H6283" s="34" t="n">
        <v>79090</v>
      </c>
      <c r="I6283" t="inlineStr">
        <is>
          <t>3.1</t>
        </is>
      </c>
      <c r="J6283" t="inlineStr">
        <is>
          <t>Ventas HoReCa</t>
        </is>
      </c>
      <c r="K6283" t="inlineStr">
        <is>
          <t>CH1</t>
        </is>
      </c>
    </row>
    <row r="6284">
      <c r="A6284" s="33" t="n">
        <v>46114</v>
      </c>
      <c r="B6284" t="inlineStr">
        <is>
          <t>2026-04</t>
        </is>
      </c>
      <c r="C6284" t="inlineStr">
        <is>
          <t>CAFE DIARIO ENCOMENDEROS SPA</t>
        </is>
      </c>
      <c r="D6284" t="inlineStr">
        <is>
          <t>HORECA CAFETERIA</t>
        </is>
      </c>
      <c r="E6284" s="34" t="n">
        <v>137326</v>
      </c>
      <c r="F6284" t="inlineStr">
        <is>
          <t>F</t>
        </is>
      </c>
      <c r="G6284" s="34" t="n">
        <v>21926</v>
      </c>
      <c r="H6284" s="34" t="n">
        <v>115400</v>
      </c>
      <c r="I6284" t="inlineStr">
        <is>
          <t>3.1</t>
        </is>
      </c>
      <c r="J6284" t="inlineStr">
        <is>
          <t>Ventas HoReCa</t>
        </is>
      </c>
      <c r="K6284" t="inlineStr">
        <is>
          <t>CH1</t>
        </is>
      </c>
    </row>
    <row r="6285">
      <c r="A6285" s="33" t="n">
        <v>46114</v>
      </c>
      <c r="B6285" t="inlineStr">
        <is>
          <t>2026-04</t>
        </is>
      </c>
      <c r="C6285" t="inlineStr">
        <is>
          <t>ivan hurtado</t>
        </is>
      </c>
      <c r="D6285" t="inlineStr">
        <is>
          <t>Petit Crunchy</t>
        </is>
      </c>
      <c r="E6285" s="34" t="n">
        <v>26925</v>
      </c>
      <c r="F6285" t="inlineStr">
        <is>
          <t>B</t>
        </is>
      </c>
      <c r="G6285" s="34" t="n">
        <v>4299</v>
      </c>
      <c r="H6285" s="34" t="n">
        <v>22626</v>
      </c>
      <c r="I6285" t="inlineStr">
        <is>
          <t>3.2</t>
        </is>
      </c>
      <c r="J6285" t="inlineStr">
        <is>
          <t>Ventas Personas (B2C)</t>
        </is>
      </c>
      <c r="K6285" t="inlineStr">
        <is>
          <t>CH2</t>
        </is>
      </c>
    </row>
    <row r="6286">
      <c r="A6286" s="33" t="n">
        <v>46114</v>
      </c>
      <c r="B6286" t="inlineStr">
        <is>
          <t>2026-04</t>
        </is>
      </c>
      <c r="C6286" t="inlineStr">
        <is>
          <t>Mariela Jana Aguilera</t>
        </is>
      </c>
      <c r="D6286" t="inlineStr">
        <is>
          <t>Pascua de Resurrección</t>
        </is>
      </c>
      <c r="E6286" s="34" t="n">
        <v>35290</v>
      </c>
      <c r="F6286" t="inlineStr">
        <is>
          <t>B</t>
        </is>
      </c>
      <c r="G6286" s="34" t="n">
        <v>5635</v>
      </c>
      <c r="H6286" s="34" t="n">
        <v>29655</v>
      </c>
      <c r="I6286" t="inlineStr">
        <is>
          <t>3.2</t>
        </is>
      </c>
      <c r="J6286" t="inlineStr">
        <is>
          <t>Ventas Personas (B2C)</t>
        </is>
      </c>
      <c r="K6286" t="inlineStr">
        <is>
          <t>CH2</t>
        </is>
      </c>
    </row>
    <row r="6287">
      <c r="A6287" s="33" t="n">
        <v>46114</v>
      </c>
      <c r="B6287" t="inlineStr">
        <is>
          <t>2026-04</t>
        </is>
      </c>
      <c r="C6287" t="inlineStr">
        <is>
          <t>Mariela Ponce manriquez</t>
        </is>
      </c>
      <c r="D6287" t="inlineStr">
        <is>
          <t>Petit Crunchy</t>
        </is>
      </c>
      <c r="E6287" s="34" t="n">
        <v>26925</v>
      </c>
      <c r="F6287" t="inlineStr">
        <is>
          <t>B</t>
        </is>
      </c>
      <c r="G6287" s="34" t="n">
        <v>4299</v>
      </c>
      <c r="H6287" s="34" t="n">
        <v>22626</v>
      </c>
      <c r="I6287" t="inlineStr">
        <is>
          <t>3.2</t>
        </is>
      </c>
      <c r="J6287" t="inlineStr">
        <is>
          <t>Ventas Personas (B2C)</t>
        </is>
      </c>
      <c r="K6287" t="inlineStr">
        <is>
          <t>CH2</t>
        </is>
      </c>
    </row>
    <row r="6288">
      <c r="A6288" s="33" t="n">
        <v>46114</v>
      </c>
      <c r="B6288" t="inlineStr">
        <is>
          <t>2026-04</t>
        </is>
      </c>
      <c r="C6288" t="inlineStr">
        <is>
          <t>Claudia Cumplido</t>
        </is>
      </c>
      <c r="D6288" t="inlineStr">
        <is>
          <t>SALSAS</t>
        </is>
      </c>
      <c r="E6288" s="34" t="n">
        <v>34756</v>
      </c>
      <c r="F6288" t="inlineStr">
        <is>
          <t>B</t>
        </is>
      </c>
      <c r="G6288" s="34" t="n">
        <v>5549</v>
      </c>
      <c r="H6288" s="34" t="n">
        <v>29207</v>
      </c>
      <c r="I6288" t="inlineStr">
        <is>
          <t>3.2</t>
        </is>
      </c>
      <c r="J6288" t="inlineStr">
        <is>
          <t>Ventas Personas (B2C)</t>
        </is>
      </c>
      <c r="K6288" t="inlineStr">
        <is>
          <t>CH2</t>
        </is>
      </c>
    </row>
    <row r="6289">
      <c r="A6289" s="33" t="n">
        <v>46114</v>
      </c>
      <c r="B6289" t="inlineStr">
        <is>
          <t>2026-04</t>
        </is>
      </c>
      <c r="C6289" t="inlineStr">
        <is>
          <t>Carolina Torres Pascal</t>
        </is>
      </c>
      <c r="D6289" t="inlineStr">
        <is>
          <t>Petit Crunchy</t>
        </is>
      </c>
      <c r="E6289" s="34" t="n">
        <v>30415</v>
      </c>
      <c r="F6289" t="inlineStr">
        <is>
          <t>B</t>
        </is>
      </c>
      <c r="G6289" s="34" t="n">
        <v>4856</v>
      </c>
      <c r="H6289" s="34" t="n">
        <v>25559</v>
      </c>
      <c r="I6289" t="inlineStr">
        <is>
          <t>3.2</t>
        </is>
      </c>
      <c r="J6289" t="inlineStr">
        <is>
          <t>Ventas Personas (B2C)</t>
        </is>
      </c>
      <c r="K6289" t="inlineStr">
        <is>
          <t>CH2</t>
        </is>
      </c>
    </row>
    <row r="6290">
      <c r="A6290" s="33" t="n">
        <v>46114</v>
      </c>
      <c r="B6290" t="inlineStr">
        <is>
          <t>2026-04</t>
        </is>
      </c>
      <c r="C6290" t="inlineStr">
        <is>
          <t>Pablo Cárdenas Carvajal</t>
        </is>
      </c>
      <c r="D6290" t="inlineStr">
        <is>
          <t>Petit Crunchy</t>
        </is>
      </c>
      <c r="E6290" s="34" t="n">
        <v>19390</v>
      </c>
      <c r="F6290" t="inlineStr">
        <is>
          <t>B</t>
        </is>
      </c>
      <c r="G6290" s="34" t="n">
        <v>3096</v>
      </c>
      <c r="H6290" s="34" t="n">
        <v>16294</v>
      </c>
      <c r="I6290" t="inlineStr">
        <is>
          <t>3.2</t>
        </is>
      </c>
      <c r="J6290" t="inlineStr">
        <is>
          <t>Ventas Personas (B2C)</t>
        </is>
      </c>
      <c r="K6290" t="inlineStr">
        <is>
          <t>CH2</t>
        </is>
      </c>
    </row>
    <row r="6291">
      <c r="A6291" s="33" t="n">
        <v>46114</v>
      </c>
      <c r="B6291" t="inlineStr">
        <is>
          <t>2026-04</t>
        </is>
      </c>
      <c r="C6291" t="inlineStr">
        <is>
          <t>Angela Reyes</t>
        </is>
      </c>
      <c r="D6291" t="inlineStr">
        <is>
          <t>CANELÉ TRADICIONAL</t>
        </is>
      </c>
      <c r="E6291" s="34" t="n">
        <v>27390</v>
      </c>
      <c r="F6291" t="inlineStr">
        <is>
          <t>B</t>
        </is>
      </c>
      <c r="G6291" s="34" t="n">
        <v>4373</v>
      </c>
      <c r="H6291" s="34" t="n">
        <v>23017</v>
      </c>
      <c r="I6291" t="inlineStr">
        <is>
          <t>3.2</t>
        </is>
      </c>
      <c r="J6291" t="inlineStr">
        <is>
          <t>Ventas Personas (B2C)</t>
        </is>
      </c>
      <c r="K6291" t="inlineStr">
        <is>
          <t>CH2</t>
        </is>
      </c>
    </row>
    <row r="6292">
      <c r="A6292" s="33" t="n">
        <v>46114</v>
      </c>
      <c r="B6292" t="inlineStr">
        <is>
          <t>2026-04</t>
        </is>
      </c>
      <c r="C6292" t="inlineStr">
        <is>
          <t>Carolina Sanchez Romero</t>
        </is>
      </c>
      <c r="D6292" t="inlineStr">
        <is>
          <t>Pascua de Resurrección</t>
        </is>
      </c>
      <c r="E6292" s="34" t="n">
        <v>35290</v>
      </c>
      <c r="F6292" t="inlineStr">
        <is>
          <t>B</t>
        </is>
      </c>
      <c r="G6292" s="34" t="n">
        <v>5635</v>
      </c>
      <c r="H6292" s="34" t="n">
        <v>29655</v>
      </c>
      <c r="I6292" t="inlineStr">
        <is>
          <t>3.2</t>
        </is>
      </c>
      <c r="J6292" t="inlineStr">
        <is>
          <t>Ventas Personas (B2C)</t>
        </is>
      </c>
      <c r="K6292" t="inlineStr">
        <is>
          <t>CH2</t>
        </is>
      </c>
    </row>
    <row r="6293">
      <c r="A6293" s="33" t="n">
        <v>46114</v>
      </c>
      <c r="B6293" t="inlineStr">
        <is>
          <t>2026-04</t>
        </is>
      </c>
      <c r="C6293" t="inlineStr">
        <is>
          <t>Paula Acuña</t>
        </is>
      </c>
      <c r="D6293" t="inlineStr">
        <is>
          <t>Pascua de Resurrección</t>
        </is>
      </c>
      <c r="E6293" s="34" t="n">
        <v>38990</v>
      </c>
      <c r="F6293" t="inlineStr">
        <is>
          <t>B</t>
        </is>
      </c>
      <c r="G6293" s="34" t="n">
        <v>6225</v>
      </c>
      <c r="H6293" s="34" t="n">
        <v>32765</v>
      </c>
      <c r="I6293" t="inlineStr">
        <is>
          <t>3.2</t>
        </is>
      </c>
      <c r="J6293" t="inlineStr">
        <is>
          <t>Ventas Personas (B2C)</t>
        </is>
      </c>
      <c r="K6293" t="inlineStr">
        <is>
          <t>CH2</t>
        </is>
      </c>
    </row>
    <row r="6294">
      <c r="A6294" s="33" t="n">
        <v>46114</v>
      </c>
      <c r="B6294" t="inlineStr">
        <is>
          <t>2026-04</t>
        </is>
      </c>
      <c r="C6294" t="inlineStr">
        <is>
          <t>Manuela Gutierrez</t>
        </is>
      </c>
      <c r="D6294" t="inlineStr">
        <is>
          <t>Petit Crunchy</t>
        </is>
      </c>
      <c r="E6294" s="34" t="n">
        <v>26925</v>
      </c>
      <c r="F6294" t="inlineStr">
        <is>
          <t>B</t>
        </is>
      </c>
      <c r="G6294" s="34" t="n">
        <v>4299</v>
      </c>
      <c r="H6294" s="34" t="n">
        <v>22626</v>
      </c>
      <c r="I6294" t="inlineStr">
        <is>
          <t>3.2</t>
        </is>
      </c>
      <c r="J6294" t="inlineStr">
        <is>
          <t>Ventas Personas (B2C)</t>
        </is>
      </c>
      <c r="K6294" t="inlineStr">
        <is>
          <t>CH2</t>
        </is>
      </c>
    </row>
    <row r="6295">
      <c r="A6295" s="33" t="n">
        <v>46114</v>
      </c>
      <c r="B6295" t="inlineStr">
        <is>
          <t>2026-04</t>
        </is>
      </c>
      <c r="C6295" t="inlineStr">
        <is>
          <t>Pedro Philippi</t>
        </is>
      </c>
      <c r="D6295" t="inlineStr">
        <is>
          <t>Pascua de Resurrección</t>
        </is>
      </c>
      <c r="E6295" s="34" t="n">
        <v>14900</v>
      </c>
      <c r="F6295" t="inlineStr">
        <is>
          <t>B</t>
        </is>
      </c>
      <c r="G6295" s="34" t="n">
        <v>2379</v>
      </c>
      <c r="H6295" s="34" t="n">
        <v>12521</v>
      </c>
      <c r="I6295" t="inlineStr">
        <is>
          <t>3.2</t>
        </is>
      </c>
      <c r="J6295" t="inlineStr">
        <is>
          <t>Ventas Personas (B2C)</t>
        </is>
      </c>
      <c r="K6295" t="inlineStr">
        <is>
          <t>CH2</t>
        </is>
      </c>
    </row>
    <row r="6296">
      <c r="A6296" s="33" t="n">
        <v>46114</v>
      </c>
      <c r="B6296" t="inlineStr">
        <is>
          <t>2026-04</t>
        </is>
      </c>
      <c r="C6296" t="inlineStr">
        <is>
          <t>Sin cliente</t>
        </is>
      </c>
      <c r="D6296" t="inlineStr">
        <is>
          <t>Cafeteria Geronimo</t>
        </is>
      </c>
      <c r="E6296" s="34" t="n">
        <v>3200</v>
      </c>
      <c r="F6296" t="inlineStr">
        <is>
          <t>B</t>
        </is>
      </c>
      <c r="G6296" s="34" t="n">
        <v>511</v>
      </c>
      <c r="H6296" s="34" t="n">
        <v>2689</v>
      </c>
      <c r="I6296" t="inlineStr">
        <is>
          <t>3.2</t>
        </is>
      </c>
      <c r="J6296" t="inlineStr">
        <is>
          <t>Ventas Personas (B2C)</t>
        </is>
      </c>
      <c r="K6296" t="inlineStr">
        <is>
          <t>CH2</t>
        </is>
      </c>
    </row>
    <row r="6297">
      <c r="A6297" s="33" t="n">
        <v>46114</v>
      </c>
      <c r="B6297" t="inlineStr">
        <is>
          <t>2026-04</t>
        </is>
      </c>
      <c r="C6297" t="inlineStr">
        <is>
          <t>Sin cliente</t>
        </is>
      </c>
      <c r="D6297" t="inlineStr">
        <is>
          <t>CANELÉ TRADICIONAL</t>
        </is>
      </c>
      <c r="E6297" s="34" t="n">
        <v>30800</v>
      </c>
      <c r="F6297" t="inlineStr">
        <is>
          <t>B</t>
        </is>
      </c>
      <c r="G6297" s="34" t="n">
        <v>4918</v>
      </c>
      <c r="H6297" s="34" t="n">
        <v>25882</v>
      </c>
      <c r="I6297" t="inlineStr">
        <is>
          <t>3.2</t>
        </is>
      </c>
      <c r="J6297" t="inlineStr">
        <is>
          <t>Ventas Personas (B2C)</t>
        </is>
      </c>
      <c r="K6297" t="inlineStr">
        <is>
          <t>CH2</t>
        </is>
      </c>
    </row>
    <row r="6298">
      <c r="A6298" s="33" t="n">
        <v>46114</v>
      </c>
      <c r="B6298" t="inlineStr">
        <is>
          <t>2026-04</t>
        </is>
      </c>
      <c r="C6298" t="inlineStr">
        <is>
          <t>Sin cliente</t>
        </is>
      </c>
      <c r="D6298" t="inlineStr">
        <is>
          <t>Delicatessen</t>
        </is>
      </c>
      <c r="E6298" s="34" t="n">
        <v>10965</v>
      </c>
      <c r="F6298" t="inlineStr">
        <is>
          <t>B</t>
        </is>
      </c>
      <c r="G6298" s="34" t="n">
        <v>1751</v>
      </c>
      <c r="H6298" s="34" t="n">
        <v>9214</v>
      </c>
      <c r="I6298" t="inlineStr">
        <is>
          <t>3.2</t>
        </is>
      </c>
      <c r="J6298" t="inlineStr">
        <is>
          <t>Ventas Personas (B2C)</t>
        </is>
      </c>
      <c r="K6298" t="inlineStr">
        <is>
          <t>CH2</t>
        </is>
      </c>
    </row>
    <row r="6299">
      <c r="A6299" s="33" t="n">
        <v>46114</v>
      </c>
      <c r="B6299" t="inlineStr">
        <is>
          <t>2026-04</t>
        </is>
      </c>
      <c r="C6299" t="inlineStr">
        <is>
          <t>Sin cliente</t>
        </is>
      </c>
      <c r="D6299" t="inlineStr">
        <is>
          <t>PLATAFORMAS RAP-PEYA-UBER-GOOD</t>
        </is>
      </c>
      <c r="E6299" s="34" t="n">
        <v>27480</v>
      </c>
      <c r="F6299" t="inlineStr">
        <is>
          <t>B</t>
        </is>
      </c>
      <c r="G6299" s="34" t="n">
        <v>4388</v>
      </c>
      <c r="H6299" s="34" t="n">
        <v>23092</v>
      </c>
      <c r="I6299" t="inlineStr">
        <is>
          <t>3.6</t>
        </is>
      </c>
      <c r="J6299" t="inlineStr">
        <is>
          <t>Ventas Delivery Apps</t>
        </is>
      </c>
      <c r="K6299" t="inlineStr">
        <is>
          <t>CH3</t>
        </is>
      </c>
    </row>
    <row r="6300">
      <c r="A6300" s="33" t="n">
        <v>46114</v>
      </c>
      <c r="B6300" t="inlineStr">
        <is>
          <t>2026-04</t>
        </is>
      </c>
      <c r="C6300" t="inlineStr">
        <is>
          <t>Sin cliente</t>
        </is>
      </c>
      <c r="D6300" t="inlineStr">
        <is>
          <t>PLATAFORMAS RAP-PEYA-UBER-GOOD</t>
        </is>
      </c>
      <c r="E6300" s="34" t="n">
        <v>26160</v>
      </c>
      <c r="F6300" t="inlineStr">
        <is>
          <t>B</t>
        </is>
      </c>
      <c r="G6300" s="34" t="n">
        <v>4177</v>
      </c>
      <c r="H6300" s="34" t="n">
        <v>21983</v>
      </c>
      <c r="I6300" t="inlineStr">
        <is>
          <t>3.6</t>
        </is>
      </c>
      <c r="J6300" t="inlineStr">
        <is>
          <t>Ventas Delivery Apps</t>
        </is>
      </c>
      <c r="K6300" t="inlineStr">
        <is>
          <t>CH3</t>
        </is>
      </c>
    </row>
    <row r="6301">
      <c r="A6301" s="33" t="n">
        <v>46114</v>
      </c>
      <c r="B6301" t="inlineStr">
        <is>
          <t>2026-04</t>
        </is>
      </c>
      <c r="C6301" t="inlineStr">
        <is>
          <t>Sin cliente</t>
        </is>
      </c>
      <c r="D6301" t="inlineStr">
        <is>
          <t>Rellenos</t>
        </is>
      </c>
      <c r="E6301" s="34" t="n">
        <v>18900</v>
      </c>
      <c r="F6301" t="inlineStr">
        <is>
          <t>B</t>
        </is>
      </c>
      <c r="G6301" s="34" t="n">
        <v>3018</v>
      </c>
      <c r="H6301" s="34" t="n">
        <v>15882</v>
      </c>
      <c r="I6301" t="inlineStr">
        <is>
          <t>3.2</t>
        </is>
      </c>
      <c r="J6301" t="inlineStr">
        <is>
          <t>Ventas Personas (B2C)</t>
        </is>
      </c>
      <c r="K6301" t="inlineStr">
        <is>
          <t>CH2</t>
        </is>
      </c>
    </row>
    <row r="6302">
      <c r="A6302" s="33" t="n">
        <v>46114</v>
      </c>
      <c r="B6302" t="inlineStr">
        <is>
          <t>2026-04</t>
        </is>
      </c>
      <c r="C6302" t="inlineStr">
        <is>
          <t>Sin cliente</t>
        </is>
      </c>
      <c r="D6302" t="inlineStr">
        <is>
          <t>Delicatessen</t>
        </is>
      </c>
      <c r="E6302" s="34" t="n">
        <v>2125</v>
      </c>
      <c r="F6302" t="inlineStr">
        <is>
          <t>B</t>
        </is>
      </c>
      <c r="G6302" s="34" t="n">
        <v>339</v>
      </c>
      <c r="H6302" s="34" t="n">
        <v>1786</v>
      </c>
      <c r="I6302" t="inlineStr">
        <is>
          <t>3.2</t>
        </is>
      </c>
      <c r="J6302" t="inlineStr">
        <is>
          <t>Ventas Personas (B2C)</t>
        </is>
      </c>
      <c r="K6302" t="inlineStr">
        <is>
          <t>CH2</t>
        </is>
      </c>
    </row>
    <row r="6303">
      <c r="A6303" s="33" t="n">
        <v>46114</v>
      </c>
      <c r="B6303" t="inlineStr">
        <is>
          <t>2026-04</t>
        </is>
      </c>
      <c r="C6303" t="inlineStr">
        <is>
          <t>Sin cliente</t>
        </is>
      </c>
      <c r="D6303" t="inlineStr">
        <is>
          <t>CANELE SIN AZUCAR</t>
        </is>
      </c>
      <c r="E6303" s="34" t="n">
        <v>2700</v>
      </c>
      <c r="F6303" t="inlineStr">
        <is>
          <t>B</t>
        </is>
      </c>
      <c r="G6303" s="34" t="n">
        <v>431</v>
      </c>
      <c r="H6303" s="34" t="n">
        <v>2269</v>
      </c>
      <c r="I6303" t="inlineStr">
        <is>
          <t>3.2</t>
        </is>
      </c>
      <c r="J6303" t="inlineStr">
        <is>
          <t>Ventas Personas (B2C)</t>
        </is>
      </c>
      <c r="K6303" t="inlineStr">
        <is>
          <t>CH2</t>
        </is>
      </c>
    </row>
    <row r="6304">
      <c r="A6304" s="33" t="n">
        <v>46114</v>
      </c>
      <c r="B6304" t="inlineStr">
        <is>
          <t>2026-04</t>
        </is>
      </c>
      <c r="C6304" t="inlineStr">
        <is>
          <t>Sin cliente</t>
        </is>
      </c>
      <c r="D6304" t="inlineStr">
        <is>
          <t>CANELÉ TRADICIONAL</t>
        </is>
      </c>
      <c r="E6304" s="34" t="n">
        <v>22900</v>
      </c>
      <c r="F6304" t="inlineStr">
        <is>
          <t>B</t>
        </is>
      </c>
      <c r="G6304" s="34" t="n">
        <v>3656</v>
      </c>
      <c r="H6304" s="34" t="n">
        <v>19244</v>
      </c>
      <c r="I6304" t="inlineStr">
        <is>
          <t>3.2</t>
        </is>
      </c>
      <c r="J6304" t="inlineStr">
        <is>
          <t>Ventas Personas (B2C)</t>
        </is>
      </c>
      <c r="K6304" t="inlineStr">
        <is>
          <t>CH2</t>
        </is>
      </c>
    </row>
    <row r="6305">
      <c r="A6305" s="33" t="n">
        <v>46114</v>
      </c>
      <c r="B6305" t="inlineStr">
        <is>
          <t>2026-04</t>
        </is>
      </c>
      <c r="C6305" t="inlineStr">
        <is>
          <t>Sin cliente</t>
        </is>
      </c>
      <c r="D6305" t="inlineStr">
        <is>
          <t>Petit Crunchy</t>
        </is>
      </c>
      <c r="E6305" s="34" t="n">
        <v>14900</v>
      </c>
      <c r="F6305" t="inlineStr">
        <is>
          <t>B</t>
        </is>
      </c>
      <c r="G6305" s="34" t="n">
        <v>2379</v>
      </c>
      <c r="H6305" s="34" t="n">
        <v>12521</v>
      </c>
      <c r="I6305" t="inlineStr">
        <is>
          <t>3.2</t>
        </is>
      </c>
      <c r="J6305" t="inlineStr">
        <is>
          <t>Ventas Personas (B2C)</t>
        </is>
      </c>
      <c r="K6305" t="inlineStr">
        <is>
          <t>CH2</t>
        </is>
      </c>
    </row>
    <row r="6306">
      <c r="A6306" s="33" t="n">
        <v>46114</v>
      </c>
      <c r="B6306" t="inlineStr">
        <is>
          <t>2026-04</t>
        </is>
      </c>
      <c r="C6306" t="inlineStr">
        <is>
          <t>Sin cliente</t>
        </is>
      </c>
      <c r="D6306" t="inlineStr">
        <is>
          <t>Rellenos</t>
        </is>
      </c>
      <c r="E6306" s="34" t="n">
        <v>27900</v>
      </c>
      <c r="F6306" t="inlineStr">
        <is>
          <t>B</t>
        </is>
      </c>
      <c r="G6306" s="34" t="n">
        <v>4455</v>
      </c>
      <c r="H6306" s="34" t="n">
        <v>23445</v>
      </c>
      <c r="I6306" t="inlineStr">
        <is>
          <t>3.2</t>
        </is>
      </c>
      <c r="J6306" t="inlineStr">
        <is>
          <t>Ventas Personas (B2C)</t>
        </is>
      </c>
      <c r="K6306" t="inlineStr">
        <is>
          <t>CH2</t>
        </is>
      </c>
    </row>
    <row r="6307">
      <c r="A6307" s="33" t="n">
        <v>46114</v>
      </c>
      <c r="B6307" t="inlineStr">
        <is>
          <t>2026-04</t>
        </is>
      </c>
      <c r="C6307" t="inlineStr">
        <is>
          <t>Sin cliente</t>
        </is>
      </c>
      <c r="D6307" t="inlineStr">
        <is>
          <t>PLATAFORMAS RAP-PEYA-UBER-GOOD</t>
        </is>
      </c>
      <c r="E6307" s="34" t="n">
        <v>29880</v>
      </c>
      <c r="F6307" t="inlineStr">
        <is>
          <t>B</t>
        </is>
      </c>
      <c r="G6307" s="34" t="n">
        <v>4771</v>
      </c>
      <c r="H6307" s="34" t="n">
        <v>25109</v>
      </c>
      <c r="I6307" t="inlineStr">
        <is>
          <t>3.6</t>
        </is>
      </c>
      <c r="J6307" t="inlineStr">
        <is>
          <t>Ventas Delivery Apps</t>
        </is>
      </c>
      <c r="K6307" t="inlineStr">
        <is>
          <t>CH3</t>
        </is>
      </c>
    </row>
    <row r="6308">
      <c r="A6308" s="33" t="n">
        <v>46114</v>
      </c>
      <c r="B6308" t="inlineStr">
        <is>
          <t>2026-04</t>
        </is>
      </c>
      <c r="C6308" t="inlineStr">
        <is>
          <t>Sin cliente</t>
        </is>
      </c>
      <c r="D6308" t="inlineStr">
        <is>
          <t>CANELE SIN AZUCAR</t>
        </is>
      </c>
      <c r="E6308" s="34" t="n">
        <v>34300</v>
      </c>
      <c r="F6308" t="inlineStr">
        <is>
          <t>B</t>
        </is>
      </c>
      <c r="G6308" s="34" t="n">
        <v>5476</v>
      </c>
      <c r="H6308" s="34" t="n">
        <v>28824</v>
      </c>
      <c r="I6308" t="inlineStr">
        <is>
          <t>3.2</t>
        </is>
      </c>
      <c r="J6308" t="inlineStr">
        <is>
          <t>Ventas Personas (B2C)</t>
        </is>
      </c>
      <c r="K6308" t="inlineStr">
        <is>
          <t>CH2</t>
        </is>
      </c>
    </row>
    <row r="6309">
      <c r="A6309" s="33" t="n">
        <v>46114</v>
      </c>
      <c r="B6309" t="inlineStr">
        <is>
          <t>2026-04</t>
        </is>
      </c>
      <c r="C6309" t="inlineStr">
        <is>
          <t>Sin cliente</t>
        </is>
      </c>
      <c r="D6309" t="inlineStr">
        <is>
          <t>Rellenos</t>
        </is>
      </c>
      <c r="E6309" s="34" t="n">
        <v>18900</v>
      </c>
      <c r="F6309" t="inlineStr">
        <is>
          <t>B</t>
        </is>
      </c>
      <c r="G6309" s="34" t="n">
        <v>3018</v>
      </c>
      <c r="H6309" s="34" t="n">
        <v>15882</v>
      </c>
      <c r="I6309" t="inlineStr">
        <is>
          <t>3.2</t>
        </is>
      </c>
      <c r="J6309" t="inlineStr">
        <is>
          <t>Ventas Personas (B2C)</t>
        </is>
      </c>
      <c r="K6309" t="inlineStr">
        <is>
          <t>CH2</t>
        </is>
      </c>
    </row>
    <row r="6310">
      <c r="A6310" s="33" t="n">
        <v>46114</v>
      </c>
      <c r="B6310" t="inlineStr">
        <is>
          <t>2026-04</t>
        </is>
      </c>
      <c r="C6310" t="inlineStr">
        <is>
          <t>Sin cliente</t>
        </is>
      </c>
      <c r="D6310" t="inlineStr">
        <is>
          <t>CANELÉ TRADICIONAL</t>
        </is>
      </c>
      <c r="E6310" s="34" t="n">
        <v>27900</v>
      </c>
      <c r="F6310" t="inlineStr">
        <is>
          <t>B</t>
        </is>
      </c>
      <c r="G6310" s="34" t="n">
        <v>4455</v>
      </c>
      <c r="H6310" s="34" t="n">
        <v>23445</v>
      </c>
      <c r="I6310" t="inlineStr">
        <is>
          <t>3.2</t>
        </is>
      </c>
      <c r="J6310" t="inlineStr">
        <is>
          <t>Ventas Personas (B2C)</t>
        </is>
      </c>
      <c r="K6310" t="inlineStr">
        <is>
          <t>CH2</t>
        </is>
      </c>
    </row>
    <row r="6311">
      <c r="A6311" s="33" t="n">
        <v>46114</v>
      </c>
      <c r="B6311" t="inlineStr">
        <is>
          <t>2026-04</t>
        </is>
      </c>
      <c r="C6311" t="inlineStr">
        <is>
          <t>Sin cliente</t>
        </is>
      </c>
      <c r="D6311" t="inlineStr">
        <is>
          <t>PLATAFORMAS RAP-PEYA-UBER-GOOD</t>
        </is>
      </c>
      <c r="E6311" s="34" t="n">
        <v>27480</v>
      </c>
      <c r="F6311" t="inlineStr">
        <is>
          <t>B</t>
        </is>
      </c>
      <c r="G6311" s="34" t="n">
        <v>4388</v>
      </c>
      <c r="H6311" s="34" t="n">
        <v>23092</v>
      </c>
      <c r="I6311" t="inlineStr">
        <is>
          <t>3.6</t>
        </is>
      </c>
      <c r="J6311" t="inlineStr">
        <is>
          <t>Ventas Delivery Apps</t>
        </is>
      </c>
      <c r="K6311" t="inlineStr">
        <is>
          <t>CH3</t>
        </is>
      </c>
    </row>
    <row r="6312">
      <c r="A6312" s="33" t="n">
        <v>46114</v>
      </c>
      <c r="B6312" t="inlineStr">
        <is>
          <t>2026-04</t>
        </is>
      </c>
      <c r="C6312" t="inlineStr">
        <is>
          <t>Sin cliente</t>
        </is>
      </c>
      <c r="D6312" t="inlineStr">
        <is>
          <t>Cafeteria Geronimo</t>
        </is>
      </c>
      <c r="E6312" s="34" t="n">
        <v>5500</v>
      </c>
      <c r="F6312" t="inlineStr">
        <is>
          <t>B</t>
        </is>
      </c>
      <c r="G6312" s="34" t="n">
        <v>878</v>
      </c>
      <c r="H6312" s="34" t="n">
        <v>4622</v>
      </c>
      <c r="I6312" t="inlineStr">
        <is>
          <t>3.2</t>
        </is>
      </c>
      <c r="J6312" t="inlineStr">
        <is>
          <t>Ventas Personas (B2C)</t>
        </is>
      </c>
      <c r="K6312" t="inlineStr">
        <is>
          <t>CH2</t>
        </is>
      </c>
    </row>
    <row r="6313">
      <c r="A6313" s="33" t="n">
        <v>46114</v>
      </c>
      <c r="B6313" t="inlineStr">
        <is>
          <t>2026-04</t>
        </is>
      </c>
      <c r="C6313" t="inlineStr">
        <is>
          <t>Sin cliente</t>
        </is>
      </c>
      <c r="D6313" t="inlineStr">
        <is>
          <t>Cafeteria Geronimo</t>
        </is>
      </c>
      <c r="E6313" s="34" t="n">
        <v>3500</v>
      </c>
      <c r="F6313" t="inlineStr">
        <is>
          <t>B</t>
        </is>
      </c>
      <c r="G6313" s="34" t="n">
        <v>559</v>
      </c>
      <c r="H6313" s="34" t="n">
        <v>2941</v>
      </c>
      <c r="I6313" t="inlineStr">
        <is>
          <t>3.2</t>
        </is>
      </c>
      <c r="J6313" t="inlineStr">
        <is>
          <t>Ventas Personas (B2C)</t>
        </is>
      </c>
      <c r="K6313" t="inlineStr">
        <is>
          <t>CH2</t>
        </is>
      </c>
    </row>
    <row r="6314">
      <c r="A6314" s="33" t="n">
        <v>46114</v>
      </c>
      <c r="B6314" t="inlineStr">
        <is>
          <t>2026-04</t>
        </is>
      </c>
      <c r="C6314" t="inlineStr">
        <is>
          <t>Sin cliente</t>
        </is>
      </c>
      <c r="D6314" t="inlineStr">
        <is>
          <t>Cafeteria Geronimo</t>
        </is>
      </c>
      <c r="E6314" s="34" t="n">
        <v>10500</v>
      </c>
      <c r="F6314" t="inlineStr">
        <is>
          <t>B</t>
        </is>
      </c>
      <c r="G6314" s="34" t="n">
        <v>1676</v>
      </c>
      <c r="H6314" s="34" t="n">
        <v>8824</v>
      </c>
      <c r="I6314" t="inlineStr">
        <is>
          <t>3.2</t>
        </is>
      </c>
      <c r="J6314" t="inlineStr">
        <is>
          <t>Ventas Personas (B2C)</t>
        </is>
      </c>
      <c r="K6314" t="inlineStr">
        <is>
          <t>CH2</t>
        </is>
      </c>
    </row>
    <row r="6315">
      <c r="A6315" s="33" t="n">
        <v>46114</v>
      </c>
      <c r="B6315" t="inlineStr">
        <is>
          <t>2026-04</t>
        </is>
      </c>
      <c r="C6315" t="inlineStr">
        <is>
          <t>Sin cliente</t>
        </is>
      </c>
      <c r="D6315" t="inlineStr">
        <is>
          <t>Rellenos</t>
        </is>
      </c>
      <c r="E6315" s="34" t="n">
        <v>22400</v>
      </c>
      <c r="F6315" t="inlineStr">
        <is>
          <t>B</t>
        </is>
      </c>
      <c r="G6315" s="34" t="n">
        <v>3576</v>
      </c>
      <c r="H6315" s="34" t="n">
        <v>18824</v>
      </c>
      <c r="I6315" t="inlineStr">
        <is>
          <t>3.2</t>
        </is>
      </c>
      <c r="J6315" t="inlineStr">
        <is>
          <t>Ventas Personas (B2C)</t>
        </is>
      </c>
      <c r="K6315" t="inlineStr">
        <is>
          <t>CH2</t>
        </is>
      </c>
    </row>
    <row r="6316">
      <c r="A6316" s="33" t="n">
        <v>46114</v>
      </c>
      <c r="B6316" t="inlineStr">
        <is>
          <t>2026-04</t>
        </is>
      </c>
      <c r="C6316" t="inlineStr">
        <is>
          <t>Sin cliente</t>
        </is>
      </c>
      <c r="D6316" t="inlineStr">
        <is>
          <t>Petit Tradicional</t>
        </is>
      </c>
      <c r="E6316" s="34" t="n">
        <v>21800</v>
      </c>
      <c r="F6316" t="inlineStr">
        <is>
          <t>B</t>
        </is>
      </c>
      <c r="G6316" s="34" t="n">
        <v>3481</v>
      </c>
      <c r="H6316" s="34" t="n">
        <v>18319</v>
      </c>
      <c r="I6316" t="inlineStr">
        <is>
          <t>3.2</t>
        </is>
      </c>
      <c r="J6316" t="inlineStr">
        <is>
          <t>Ventas Personas (B2C)</t>
        </is>
      </c>
      <c r="K6316" t="inlineStr">
        <is>
          <t>CH2</t>
        </is>
      </c>
    </row>
    <row r="6317">
      <c r="A6317" s="33" t="n">
        <v>46114</v>
      </c>
      <c r="B6317" t="inlineStr">
        <is>
          <t>2026-04</t>
        </is>
      </c>
      <c r="C6317" t="inlineStr">
        <is>
          <t>Sin cliente</t>
        </is>
      </c>
      <c r="D6317" t="inlineStr">
        <is>
          <t>SALSAS</t>
        </is>
      </c>
      <c r="E6317" s="34" t="n">
        <v>13980</v>
      </c>
      <c r="F6317" t="inlineStr">
        <is>
          <t>B</t>
        </is>
      </c>
      <c r="G6317" s="34" t="n">
        <v>2232</v>
      </c>
      <c r="H6317" s="34" t="n">
        <v>11748</v>
      </c>
      <c r="I6317" t="inlineStr">
        <is>
          <t>3.2</t>
        </is>
      </c>
      <c r="J6317" t="inlineStr">
        <is>
          <t>Ventas Personas (B2C)</t>
        </is>
      </c>
      <c r="K6317" t="inlineStr">
        <is>
          <t>CH2</t>
        </is>
      </c>
    </row>
    <row r="6318">
      <c r="A6318" s="33" t="n">
        <v>46114</v>
      </c>
      <c r="B6318" t="inlineStr">
        <is>
          <t>2026-04</t>
        </is>
      </c>
      <c r="C6318" t="inlineStr">
        <is>
          <t>Sin cliente</t>
        </is>
      </c>
      <c r="D6318" t="inlineStr">
        <is>
          <t>PLATAFORMAS RAP-PEYA-UBER-GOOD</t>
        </is>
      </c>
      <c r="E6318" s="34" t="n">
        <v>39240</v>
      </c>
      <c r="F6318" t="inlineStr">
        <is>
          <t>B</t>
        </is>
      </c>
      <c r="G6318" s="34" t="n">
        <v>6265</v>
      </c>
      <c r="H6318" s="34" t="n">
        <v>32975</v>
      </c>
      <c r="I6318" t="inlineStr">
        <is>
          <t>3.6</t>
        </is>
      </c>
      <c r="J6318" t="inlineStr">
        <is>
          <t>Ventas Delivery Apps</t>
        </is>
      </c>
      <c r="K6318" t="inlineStr">
        <is>
          <t>CH3</t>
        </is>
      </c>
    </row>
    <row r="6319">
      <c r="A6319" s="33" t="n">
        <v>46114</v>
      </c>
      <c r="B6319" t="inlineStr">
        <is>
          <t>2026-04</t>
        </is>
      </c>
      <c r="C6319" t="inlineStr">
        <is>
          <t>Manuel Alvarez Espinoza</t>
        </is>
      </c>
      <c r="D6319" t="inlineStr">
        <is>
          <t>Rellenos</t>
        </is>
      </c>
      <c r="E6319" s="34" t="n">
        <v>33390</v>
      </c>
      <c r="F6319" t="inlineStr">
        <is>
          <t>B</t>
        </is>
      </c>
      <c r="G6319" s="34" t="n">
        <v>5331</v>
      </c>
      <c r="H6319" s="34" t="n">
        <v>28059</v>
      </c>
      <c r="I6319" t="inlineStr">
        <is>
          <t>3.2</t>
        </is>
      </c>
      <c r="J6319" t="inlineStr">
        <is>
          <t>Ventas Personas (B2C)</t>
        </is>
      </c>
      <c r="K6319" t="inlineStr">
        <is>
          <t>CH2</t>
        </is>
      </c>
    </row>
    <row r="6320">
      <c r="A6320" s="33" t="n">
        <v>46114</v>
      </c>
      <c r="B6320" t="inlineStr">
        <is>
          <t>2026-04</t>
        </is>
      </c>
      <c r="C6320" t="inlineStr">
        <is>
          <t>Romy Abarca Verdugo</t>
        </is>
      </c>
      <c r="D6320" t="inlineStr">
        <is>
          <t>Pascua de Resurrección</t>
        </is>
      </c>
      <c r="E6320" s="34" t="n">
        <v>20390</v>
      </c>
      <c r="F6320" t="inlineStr">
        <is>
          <t>B</t>
        </is>
      </c>
      <c r="G6320" s="34" t="n">
        <v>3256</v>
      </c>
      <c r="H6320" s="34" t="n">
        <v>17134</v>
      </c>
      <c r="I6320" t="inlineStr">
        <is>
          <t>3.2</t>
        </is>
      </c>
      <c r="J6320" t="inlineStr">
        <is>
          <t>Ventas Personas (B2C)</t>
        </is>
      </c>
      <c r="K6320" t="inlineStr">
        <is>
          <t>CH2</t>
        </is>
      </c>
    </row>
    <row r="6321">
      <c r="A6321" s="33" t="n">
        <v>46115</v>
      </c>
      <c r="B6321" t="inlineStr">
        <is>
          <t>2026-04</t>
        </is>
      </c>
      <c r="C6321" t="inlineStr">
        <is>
          <t>Hernán Coronado Sarabia</t>
        </is>
      </c>
      <c r="D6321" t="inlineStr">
        <is>
          <t>Delicatessen</t>
        </is>
      </c>
      <c r="E6321" s="34" t="n">
        <v>54255</v>
      </c>
      <c r="F6321" t="inlineStr">
        <is>
          <t>B</t>
        </is>
      </c>
      <c r="G6321" s="34" t="n">
        <v>8663</v>
      </c>
      <c r="H6321" s="34" t="n">
        <v>45592</v>
      </c>
      <c r="I6321" t="inlineStr">
        <is>
          <t>3.2</t>
        </is>
      </c>
      <c r="J6321" t="inlineStr">
        <is>
          <t>Ventas Personas (B2C)</t>
        </is>
      </c>
      <c r="K6321" t="inlineStr">
        <is>
          <t>CH2</t>
        </is>
      </c>
    </row>
    <row r="6322">
      <c r="A6322" s="33" t="n">
        <v>46115</v>
      </c>
      <c r="B6322" t="inlineStr">
        <is>
          <t>2026-04</t>
        </is>
      </c>
      <c r="C6322" t="inlineStr">
        <is>
          <t>José Tomas Vergara</t>
        </is>
      </c>
      <c r="D6322" t="inlineStr">
        <is>
          <t>Pascua de Resurrección</t>
        </is>
      </c>
      <c r="E6322" s="34" t="n">
        <v>19390</v>
      </c>
      <c r="F6322" t="inlineStr">
        <is>
          <t>B</t>
        </is>
      </c>
      <c r="G6322" s="34" t="n">
        <v>3096</v>
      </c>
      <c r="H6322" s="34" t="n">
        <v>16294</v>
      </c>
      <c r="I6322" t="inlineStr">
        <is>
          <t>3.2</t>
        </is>
      </c>
      <c r="J6322" t="inlineStr">
        <is>
          <t>Ventas Personas (B2C)</t>
        </is>
      </c>
      <c r="K6322" t="inlineStr">
        <is>
          <t>CH2</t>
        </is>
      </c>
    </row>
    <row r="6323">
      <c r="A6323" s="33" t="n">
        <v>46115</v>
      </c>
      <c r="B6323" t="inlineStr">
        <is>
          <t>2026-04</t>
        </is>
      </c>
      <c r="C6323" t="inlineStr">
        <is>
          <t>Vicente Poblete</t>
        </is>
      </c>
      <c r="D6323" t="inlineStr">
        <is>
          <t>CANELÉ TRADICIONAL</t>
        </is>
      </c>
      <c r="E6323" s="34" t="n">
        <v>35290</v>
      </c>
      <c r="F6323" t="inlineStr">
        <is>
          <t>B</t>
        </is>
      </c>
      <c r="G6323" s="34" t="n">
        <v>5635</v>
      </c>
      <c r="H6323" s="34" t="n">
        <v>29655</v>
      </c>
      <c r="I6323" t="inlineStr">
        <is>
          <t>3.2</t>
        </is>
      </c>
      <c r="J6323" t="inlineStr">
        <is>
          <t>Ventas Personas (B2C)</t>
        </is>
      </c>
      <c r="K6323" t="inlineStr">
        <is>
          <t>CH2</t>
        </is>
      </c>
    </row>
    <row r="6324">
      <c r="A6324" s="33" t="n">
        <v>46115</v>
      </c>
      <c r="B6324" t="inlineStr">
        <is>
          <t>2026-04</t>
        </is>
      </c>
      <c r="C6324" t="inlineStr">
        <is>
          <t>Daniela Ramírez Castro</t>
        </is>
      </c>
      <c r="D6324" t="inlineStr">
        <is>
          <t>CANELÉ TRADICIONAL</t>
        </is>
      </c>
      <c r="E6324" s="34" t="n">
        <v>22900</v>
      </c>
      <c r="F6324" t="inlineStr">
        <is>
          <t>B</t>
        </is>
      </c>
      <c r="G6324" s="34" t="n">
        <v>3656</v>
      </c>
      <c r="H6324" s="34" t="n">
        <v>19244</v>
      </c>
      <c r="I6324" t="inlineStr">
        <is>
          <t>3.2</t>
        </is>
      </c>
      <c r="J6324" t="inlineStr">
        <is>
          <t>Ventas Personas (B2C)</t>
        </is>
      </c>
      <c r="K6324" t="inlineStr">
        <is>
          <t>CH2</t>
        </is>
      </c>
    </row>
    <row r="6325">
      <c r="A6325" s="33" t="n">
        <v>46115</v>
      </c>
      <c r="B6325" t="inlineStr">
        <is>
          <t>2026-04</t>
        </is>
      </c>
      <c r="C6325" t="inlineStr">
        <is>
          <t>Natalia Troncoso</t>
        </is>
      </c>
      <c r="D6325" t="inlineStr">
        <is>
          <t>Petit Crunchy</t>
        </is>
      </c>
      <c r="E6325" s="34" t="n">
        <v>26925</v>
      </c>
      <c r="F6325" t="inlineStr">
        <is>
          <t>B</t>
        </is>
      </c>
      <c r="G6325" s="34" t="n">
        <v>4299</v>
      </c>
      <c r="H6325" s="34" t="n">
        <v>22626</v>
      </c>
      <c r="I6325" t="inlineStr">
        <is>
          <t>3.2</t>
        </is>
      </c>
      <c r="J6325" t="inlineStr">
        <is>
          <t>Ventas Personas (B2C)</t>
        </is>
      </c>
      <c r="K6325" t="inlineStr">
        <is>
          <t>CH2</t>
        </is>
      </c>
    </row>
    <row r="6326">
      <c r="A6326" s="33" t="n">
        <v>46115</v>
      </c>
      <c r="B6326" t="inlineStr">
        <is>
          <t>2026-04</t>
        </is>
      </c>
      <c r="C6326" t="inlineStr">
        <is>
          <t>Bruno Frigoli</t>
        </is>
      </c>
      <c r="D6326" t="inlineStr">
        <is>
          <t>Rellenos</t>
        </is>
      </c>
      <c r="E6326" s="34" t="n">
        <v>31790</v>
      </c>
      <c r="F6326" t="inlineStr">
        <is>
          <t>B</t>
        </is>
      </c>
      <c r="G6326" s="34" t="n">
        <v>5076</v>
      </c>
      <c r="H6326" s="34" t="n">
        <v>26714</v>
      </c>
      <c r="I6326" t="inlineStr">
        <is>
          <t>3.2</t>
        </is>
      </c>
      <c r="J6326" t="inlineStr">
        <is>
          <t>Ventas Personas (B2C)</t>
        </is>
      </c>
      <c r="K6326" t="inlineStr">
        <is>
          <t>CH2</t>
        </is>
      </c>
    </row>
    <row r="6327">
      <c r="A6327" s="33" t="n">
        <v>46115</v>
      </c>
      <c r="B6327" t="inlineStr">
        <is>
          <t>2026-04</t>
        </is>
      </c>
      <c r="C6327" t="inlineStr">
        <is>
          <t>Maria Salinas</t>
        </is>
      </c>
      <c r="D6327" t="inlineStr">
        <is>
          <t>Rellenos</t>
        </is>
      </c>
      <c r="E6327" s="34" t="n">
        <v>24390</v>
      </c>
      <c r="F6327" t="inlineStr">
        <is>
          <t>B</t>
        </is>
      </c>
      <c r="G6327" s="34" t="n">
        <v>3894</v>
      </c>
      <c r="H6327" s="34" t="n">
        <v>20496</v>
      </c>
      <c r="I6327" t="inlineStr">
        <is>
          <t>3.2</t>
        </is>
      </c>
      <c r="J6327" t="inlineStr">
        <is>
          <t>Ventas Personas (B2C)</t>
        </is>
      </c>
      <c r="K6327" t="inlineStr">
        <is>
          <t>CH2</t>
        </is>
      </c>
    </row>
    <row r="6328">
      <c r="A6328" s="33" t="n">
        <v>46115</v>
      </c>
      <c r="B6328" t="inlineStr">
        <is>
          <t>2026-04</t>
        </is>
      </c>
      <c r="C6328" t="inlineStr">
        <is>
          <t>Constanza Farias</t>
        </is>
      </c>
      <c r="D6328" t="inlineStr">
        <is>
          <t>Petit Crunchy</t>
        </is>
      </c>
      <c r="E6328" s="34" t="n">
        <v>31415</v>
      </c>
      <c r="F6328" t="inlineStr">
        <is>
          <t>B</t>
        </is>
      </c>
      <c r="G6328" s="34" t="n">
        <v>5016</v>
      </c>
      <c r="H6328" s="34" t="n">
        <v>26399</v>
      </c>
      <c r="I6328" t="inlineStr">
        <is>
          <t>3.2</t>
        </is>
      </c>
      <c r="J6328" t="inlineStr">
        <is>
          <t>Ventas Personas (B2C)</t>
        </is>
      </c>
      <c r="K6328" t="inlineStr">
        <is>
          <t>CH2</t>
        </is>
      </c>
    </row>
    <row r="6329">
      <c r="A6329" s="33" t="n">
        <v>46115</v>
      </c>
      <c r="B6329" t="inlineStr">
        <is>
          <t>2026-04</t>
        </is>
      </c>
      <c r="C6329" t="inlineStr">
        <is>
          <t>Sin cliente</t>
        </is>
      </c>
      <c r="D6329" t="inlineStr">
        <is>
          <t>Rellenos</t>
        </is>
      </c>
      <c r="E6329" s="34" t="n">
        <v>32900</v>
      </c>
      <c r="F6329" t="inlineStr">
        <is>
          <t>B</t>
        </is>
      </c>
      <c r="G6329" s="34" t="n">
        <v>5253</v>
      </c>
      <c r="H6329" s="34" t="n">
        <v>27647</v>
      </c>
      <c r="I6329" t="inlineStr">
        <is>
          <t>3.2</t>
        </is>
      </c>
      <c r="J6329" t="inlineStr">
        <is>
          <t>Ventas Personas (B2C)</t>
        </is>
      </c>
      <c r="K6329" t="inlineStr">
        <is>
          <t>CH2</t>
        </is>
      </c>
    </row>
    <row r="6330">
      <c r="A6330" s="33" t="n">
        <v>46115</v>
      </c>
      <c r="B6330" t="inlineStr">
        <is>
          <t>2026-04</t>
        </is>
      </c>
      <c r="C6330" t="inlineStr">
        <is>
          <t>Sin cliente</t>
        </is>
      </c>
      <c r="D6330" t="inlineStr">
        <is>
          <t>Petit Crunchy</t>
        </is>
      </c>
      <c r="E6330" s="34" t="n">
        <v>13400</v>
      </c>
      <c r="F6330" t="inlineStr">
        <is>
          <t>B</t>
        </is>
      </c>
      <c r="G6330" s="34" t="n">
        <v>2139</v>
      </c>
      <c r="H6330" s="34" t="n">
        <v>11261</v>
      </c>
      <c r="I6330" t="inlineStr">
        <is>
          <t>3.2</t>
        </is>
      </c>
      <c r="J6330" t="inlineStr">
        <is>
          <t>Ventas Personas (B2C)</t>
        </is>
      </c>
      <c r="K6330" t="inlineStr">
        <is>
          <t>CH2</t>
        </is>
      </c>
    </row>
    <row r="6331">
      <c r="A6331" s="33" t="n">
        <v>46115</v>
      </c>
      <c r="B6331" t="inlineStr">
        <is>
          <t>2026-04</t>
        </is>
      </c>
      <c r="C6331" t="inlineStr">
        <is>
          <t>Sin cliente</t>
        </is>
      </c>
      <c r="D6331" t="inlineStr">
        <is>
          <t>Cafeteria Geronimo</t>
        </is>
      </c>
      <c r="E6331" s="34" t="n">
        <v>25800</v>
      </c>
      <c r="F6331" t="inlineStr">
        <is>
          <t>B</t>
        </is>
      </c>
      <c r="G6331" s="34" t="n">
        <v>4119</v>
      </c>
      <c r="H6331" s="34" t="n">
        <v>21681</v>
      </c>
      <c r="I6331" t="inlineStr">
        <is>
          <t>3.2</t>
        </is>
      </c>
      <c r="J6331" t="inlineStr">
        <is>
          <t>Ventas Personas (B2C)</t>
        </is>
      </c>
      <c r="K6331" t="inlineStr">
        <is>
          <t>CH2</t>
        </is>
      </c>
    </row>
    <row r="6332">
      <c r="A6332" s="33" t="n">
        <v>46115</v>
      </c>
      <c r="B6332" t="inlineStr">
        <is>
          <t>2026-04</t>
        </is>
      </c>
      <c r="C6332" t="inlineStr">
        <is>
          <t>Sin cliente</t>
        </is>
      </c>
      <c r="D6332" t="inlineStr">
        <is>
          <t>PLATAFORMAS RAP-PEYA-UBER-GOOD</t>
        </is>
      </c>
      <c r="E6332" s="34" t="n">
        <v>9469</v>
      </c>
      <c r="F6332" t="inlineStr">
        <is>
          <t>B</t>
        </is>
      </c>
      <c r="G6332" s="34" t="n">
        <v>1512</v>
      </c>
      <c r="H6332" s="34" t="n">
        <v>7957</v>
      </c>
      <c r="I6332" t="inlineStr">
        <is>
          <t>3.6</t>
        </is>
      </c>
      <c r="J6332" t="inlineStr">
        <is>
          <t>Ventas Delivery Apps</t>
        </is>
      </c>
      <c r="K6332" t="inlineStr">
        <is>
          <t>CH3</t>
        </is>
      </c>
    </row>
    <row r="6333">
      <c r="A6333" s="33" t="n">
        <v>46115</v>
      </c>
      <c r="B6333" t="inlineStr">
        <is>
          <t>2026-04</t>
        </is>
      </c>
      <c r="C6333" t="inlineStr">
        <is>
          <t>Sin cliente</t>
        </is>
      </c>
      <c r="D6333" t="inlineStr">
        <is>
          <t>Cafeteria Geronimo</t>
        </is>
      </c>
      <c r="E6333" s="34" t="n">
        <v>17100</v>
      </c>
      <c r="F6333" t="inlineStr">
        <is>
          <t>B</t>
        </is>
      </c>
      <c r="G6333" s="34" t="n">
        <v>2730</v>
      </c>
      <c r="H6333" s="34" t="n">
        <v>14370</v>
      </c>
      <c r="I6333" t="inlineStr">
        <is>
          <t>3.2</t>
        </is>
      </c>
      <c r="J6333" t="inlineStr">
        <is>
          <t>Ventas Personas (B2C)</t>
        </is>
      </c>
      <c r="K6333" t="inlineStr">
        <is>
          <t>CH2</t>
        </is>
      </c>
    </row>
    <row r="6334">
      <c r="A6334" s="33" t="n">
        <v>46115</v>
      </c>
      <c r="B6334" t="inlineStr">
        <is>
          <t>2026-04</t>
        </is>
      </c>
      <c r="C6334" t="inlineStr">
        <is>
          <t>Sin cliente</t>
        </is>
      </c>
      <c r="D6334" t="inlineStr">
        <is>
          <t>Canelé Petit Relleno</t>
        </is>
      </c>
      <c r="E6334" s="34" t="n">
        <v>18900</v>
      </c>
      <c r="F6334" t="inlineStr">
        <is>
          <t>B</t>
        </is>
      </c>
      <c r="G6334" s="34" t="n">
        <v>3018</v>
      </c>
      <c r="H6334" s="34" t="n">
        <v>15882</v>
      </c>
      <c r="I6334" t="inlineStr">
        <is>
          <t>3.2</t>
        </is>
      </c>
      <c r="J6334" t="inlineStr">
        <is>
          <t>Ventas Personas (B2C)</t>
        </is>
      </c>
      <c r="K6334" t="inlineStr">
        <is>
          <t>CH2</t>
        </is>
      </c>
    </row>
    <row r="6335">
      <c r="A6335" s="33" t="n">
        <v>46115</v>
      </c>
      <c r="B6335" t="inlineStr">
        <is>
          <t>2026-04</t>
        </is>
      </c>
      <c r="C6335" t="inlineStr">
        <is>
          <t>Sin cliente</t>
        </is>
      </c>
      <c r="D6335" t="inlineStr">
        <is>
          <t>CANELÉ TRADICIONAL</t>
        </is>
      </c>
      <c r="E6335" s="34" t="n">
        <v>15900</v>
      </c>
      <c r="F6335" t="inlineStr">
        <is>
          <t>B</t>
        </is>
      </c>
      <c r="G6335" s="34" t="n">
        <v>2539</v>
      </c>
      <c r="H6335" s="34" t="n">
        <v>13361</v>
      </c>
      <c r="I6335" t="inlineStr">
        <is>
          <t>3.2</t>
        </is>
      </c>
      <c r="J6335" t="inlineStr">
        <is>
          <t>Ventas Personas (B2C)</t>
        </is>
      </c>
      <c r="K6335" t="inlineStr">
        <is>
          <t>CH2</t>
        </is>
      </c>
    </row>
    <row r="6336">
      <c r="A6336" s="33" t="n">
        <v>46115</v>
      </c>
      <c r="B6336" t="inlineStr">
        <is>
          <t>2026-04</t>
        </is>
      </c>
      <c r="C6336" t="inlineStr">
        <is>
          <t>Sin cliente</t>
        </is>
      </c>
      <c r="D6336" t="inlineStr">
        <is>
          <t>Delicatessen</t>
        </is>
      </c>
      <c r="E6336" s="34" t="n">
        <v>9800</v>
      </c>
      <c r="F6336" t="inlineStr">
        <is>
          <t>B</t>
        </is>
      </c>
      <c r="G6336" s="34" t="n">
        <v>1565</v>
      </c>
      <c r="H6336" s="34" t="n">
        <v>8235</v>
      </c>
      <c r="I6336" t="inlineStr">
        <is>
          <t>3.2</t>
        </is>
      </c>
      <c r="J6336" t="inlineStr">
        <is>
          <t>Ventas Personas (B2C)</t>
        </is>
      </c>
      <c r="K6336" t="inlineStr">
        <is>
          <t>CH2</t>
        </is>
      </c>
    </row>
    <row r="6337">
      <c r="A6337" s="33" t="n">
        <v>46115</v>
      </c>
      <c r="B6337" t="inlineStr">
        <is>
          <t>2026-04</t>
        </is>
      </c>
      <c r="C6337" t="inlineStr">
        <is>
          <t>Sin cliente</t>
        </is>
      </c>
      <c r="D6337" t="inlineStr">
        <is>
          <t>Petit Crunchy</t>
        </is>
      </c>
      <c r="E6337" s="34" t="n">
        <v>10900</v>
      </c>
      <c r="F6337" t="inlineStr">
        <is>
          <t>B</t>
        </is>
      </c>
      <c r="G6337" s="34" t="n">
        <v>1740</v>
      </c>
      <c r="H6337" s="34" t="n">
        <v>9160</v>
      </c>
      <c r="I6337" t="inlineStr">
        <is>
          <t>3.2</t>
        </is>
      </c>
      <c r="J6337" t="inlineStr">
        <is>
          <t>Ventas Personas (B2C)</t>
        </is>
      </c>
      <c r="K6337" t="inlineStr">
        <is>
          <t>CH2</t>
        </is>
      </c>
    </row>
    <row r="6338">
      <c r="A6338" s="33" t="n">
        <v>46115</v>
      </c>
      <c r="B6338" t="inlineStr">
        <is>
          <t>2026-04</t>
        </is>
      </c>
      <c r="C6338" t="inlineStr">
        <is>
          <t>Sin cliente</t>
        </is>
      </c>
      <c r="D6338" t="inlineStr">
        <is>
          <t>Petit Crunchy</t>
        </is>
      </c>
      <c r="E6338" s="34" t="n">
        <v>20655</v>
      </c>
      <c r="F6338" t="inlineStr">
        <is>
          <t>B</t>
        </is>
      </c>
      <c r="G6338" s="34" t="n">
        <v>3298</v>
      </c>
      <c r="H6338" s="34" t="n">
        <v>17357</v>
      </c>
      <c r="I6338" t="inlineStr">
        <is>
          <t>3.2</t>
        </is>
      </c>
      <c r="J6338" t="inlineStr">
        <is>
          <t>Ventas Personas (B2C)</t>
        </is>
      </c>
      <c r="K6338" t="inlineStr">
        <is>
          <t>CH2</t>
        </is>
      </c>
    </row>
    <row r="6339">
      <c r="A6339" s="33" t="n">
        <v>46116</v>
      </c>
      <c r="B6339" t="inlineStr">
        <is>
          <t>2026-04</t>
        </is>
      </c>
      <c r="C6339" t="inlineStr">
        <is>
          <t>Bruno Frigoli</t>
        </is>
      </c>
      <c r="D6339" t="inlineStr">
        <is>
          <t>CANELÉ TRADICIONAL</t>
        </is>
      </c>
      <c r="E6339" s="34" t="n">
        <v>33890</v>
      </c>
      <c r="F6339" t="inlineStr">
        <is>
          <t>B</t>
        </is>
      </c>
      <c r="G6339" s="34" t="n">
        <v>5411</v>
      </c>
      <c r="H6339" s="34" t="n">
        <v>28479</v>
      </c>
      <c r="I6339" t="inlineStr">
        <is>
          <t>3.2</t>
        </is>
      </c>
      <c r="J6339" t="inlineStr">
        <is>
          <t>Ventas Personas (B2C)</t>
        </is>
      </c>
      <c r="K6339" t="inlineStr">
        <is>
          <t>CH2</t>
        </is>
      </c>
    </row>
    <row r="6340">
      <c r="A6340" s="33" t="n">
        <v>46116</v>
      </c>
      <c r="B6340" t="inlineStr">
        <is>
          <t>2026-04</t>
        </is>
      </c>
      <c r="C6340" t="inlineStr">
        <is>
          <t>Francisca Ossa</t>
        </is>
      </c>
      <c r="D6340" t="inlineStr">
        <is>
          <t>Pascua de Resurrección</t>
        </is>
      </c>
      <c r="E6340" s="34" t="n">
        <v>19390</v>
      </c>
      <c r="F6340" t="inlineStr">
        <is>
          <t>B</t>
        </is>
      </c>
      <c r="G6340" s="34" t="n">
        <v>3096</v>
      </c>
      <c r="H6340" s="34" t="n">
        <v>16294</v>
      </c>
      <c r="I6340" t="inlineStr">
        <is>
          <t>3.2</t>
        </is>
      </c>
      <c r="J6340" t="inlineStr">
        <is>
          <t>Ventas Personas (B2C)</t>
        </is>
      </c>
      <c r="K6340" t="inlineStr">
        <is>
          <t>CH2</t>
        </is>
      </c>
    </row>
    <row r="6341">
      <c r="A6341" s="33" t="n">
        <v>46116</v>
      </c>
      <c r="B6341" t="inlineStr">
        <is>
          <t>2026-04</t>
        </is>
      </c>
      <c r="C6341" t="inlineStr">
        <is>
          <t>Pilar Morice</t>
        </is>
      </c>
      <c r="D6341" t="inlineStr">
        <is>
          <t>Petit Crunchy</t>
        </is>
      </c>
      <c r="E6341" s="34" t="n">
        <v>31415</v>
      </c>
      <c r="F6341" t="inlineStr">
        <is>
          <t>B</t>
        </is>
      </c>
      <c r="G6341" s="34" t="n">
        <v>5016</v>
      </c>
      <c r="H6341" s="34" t="n">
        <v>26399</v>
      </c>
      <c r="I6341" t="inlineStr">
        <is>
          <t>3.2</t>
        </is>
      </c>
      <c r="J6341" t="inlineStr">
        <is>
          <t>Ventas Personas (B2C)</t>
        </is>
      </c>
      <c r="K6341" t="inlineStr">
        <is>
          <t>CH2</t>
        </is>
      </c>
    </row>
    <row r="6342">
      <c r="A6342" s="33" t="n">
        <v>46116</v>
      </c>
      <c r="B6342" t="inlineStr">
        <is>
          <t>2026-04</t>
        </is>
      </c>
      <c r="C6342" t="inlineStr">
        <is>
          <t>Camila Robles</t>
        </is>
      </c>
      <c r="D6342" t="inlineStr">
        <is>
          <t>Petit Crunchy</t>
        </is>
      </c>
      <c r="E6342" s="34" t="n">
        <v>30290</v>
      </c>
      <c r="F6342" t="inlineStr">
        <is>
          <t>B</t>
        </is>
      </c>
      <c r="G6342" s="34" t="n">
        <v>4836</v>
      </c>
      <c r="H6342" s="34" t="n">
        <v>25454</v>
      </c>
      <c r="I6342" t="inlineStr">
        <is>
          <t>3.2</t>
        </is>
      </c>
      <c r="J6342" t="inlineStr">
        <is>
          <t>Ventas Personas (B2C)</t>
        </is>
      </c>
      <c r="K6342" t="inlineStr">
        <is>
          <t>CH2</t>
        </is>
      </c>
    </row>
    <row r="6343">
      <c r="A6343" s="33" t="n">
        <v>46116</v>
      </c>
      <c r="B6343" t="inlineStr">
        <is>
          <t>2026-04</t>
        </is>
      </c>
      <c r="C6343" t="inlineStr">
        <is>
          <t>Maria Salinas</t>
        </is>
      </c>
      <c r="D6343" t="inlineStr">
        <is>
          <t>Pascua de Resurrección</t>
        </is>
      </c>
      <c r="E6343" s="34" t="n">
        <v>54292</v>
      </c>
      <c r="F6343" t="inlineStr">
        <is>
          <t>B</t>
        </is>
      </c>
      <c r="G6343" s="34" t="n">
        <v>8668</v>
      </c>
      <c r="H6343" s="34" t="n">
        <v>45624</v>
      </c>
      <c r="I6343" t="inlineStr">
        <is>
          <t>3.2</t>
        </is>
      </c>
      <c r="J6343" t="inlineStr">
        <is>
          <t>Ventas Personas (B2C)</t>
        </is>
      </c>
      <c r="K6343" t="inlineStr">
        <is>
          <t>CH2</t>
        </is>
      </c>
    </row>
    <row r="6344">
      <c r="A6344" s="33" t="n">
        <v>46116</v>
      </c>
      <c r="B6344" t="inlineStr">
        <is>
          <t>2026-04</t>
        </is>
      </c>
      <c r="C6344" t="inlineStr">
        <is>
          <t>Claudio Acosta Espina</t>
        </is>
      </c>
      <c r="D6344" t="inlineStr">
        <is>
          <t>Petit Crunchy</t>
        </is>
      </c>
      <c r="E6344" s="34" t="n">
        <v>26925</v>
      </c>
      <c r="F6344" t="inlineStr">
        <is>
          <t>B</t>
        </is>
      </c>
      <c r="G6344" s="34" t="n">
        <v>4299</v>
      </c>
      <c r="H6344" s="34" t="n">
        <v>22626</v>
      </c>
      <c r="I6344" t="inlineStr">
        <is>
          <t>3.2</t>
        </is>
      </c>
      <c r="J6344" t="inlineStr">
        <is>
          <t>Ventas Personas (B2C)</t>
        </is>
      </c>
      <c r="K6344" t="inlineStr">
        <is>
          <t>CH2</t>
        </is>
      </c>
    </row>
    <row r="6345">
      <c r="A6345" s="33" t="n">
        <v>46116</v>
      </c>
      <c r="B6345" t="inlineStr">
        <is>
          <t>2026-04</t>
        </is>
      </c>
      <c r="C6345" t="inlineStr">
        <is>
          <t>Sin cliente</t>
        </is>
      </c>
      <c r="D6345" t="inlineStr">
        <is>
          <t>CANELE SIN AZUCAR</t>
        </is>
      </c>
      <c r="E6345" s="34" t="n">
        <v>27800</v>
      </c>
      <c r="F6345" t="inlineStr">
        <is>
          <t>B</t>
        </is>
      </c>
      <c r="G6345" s="34" t="n">
        <v>4439</v>
      </c>
      <c r="H6345" s="34" t="n">
        <v>23361</v>
      </c>
      <c r="I6345" t="inlineStr">
        <is>
          <t>3.2</t>
        </is>
      </c>
      <c r="J6345" t="inlineStr">
        <is>
          <t>Ventas Personas (B2C)</t>
        </is>
      </c>
      <c r="K6345" t="inlineStr">
        <is>
          <t>CH2</t>
        </is>
      </c>
    </row>
    <row r="6346">
      <c r="A6346" s="33" t="n">
        <v>46116</v>
      </c>
      <c r="B6346" t="inlineStr">
        <is>
          <t>2026-04</t>
        </is>
      </c>
      <c r="C6346" t="inlineStr">
        <is>
          <t>Sin cliente</t>
        </is>
      </c>
      <c r="D6346" t="inlineStr">
        <is>
          <t>Cafeteria Geronimo</t>
        </is>
      </c>
      <c r="E6346" s="34" t="n">
        <v>4800</v>
      </c>
      <c r="F6346" t="inlineStr">
        <is>
          <t>B</t>
        </is>
      </c>
      <c r="G6346" s="34" t="n">
        <v>766</v>
      </c>
      <c r="H6346" s="34" t="n">
        <v>4034</v>
      </c>
      <c r="I6346" t="inlineStr">
        <is>
          <t>3.2</t>
        </is>
      </c>
      <c r="J6346" t="inlineStr">
        <is>
          <t>Ventas Personas (B2C)</t>
        </is>
      </c>
      <c r="K6346" t="inlineStr">
        <is>
          <t>CH2</t>
        </is>
      </c>
    </row>
    <row r="6347">
      <c r="A6347" s="33" t="n">
        <v>46116</v>
      </c>
      <c r="B6347" t="inlineStr">
        <is>
          <t>2026-04</t>
        </is>
      </c>
      <c r="C6347" t="inlineStr">
        <is>
          <t>Sin cliente</t>
        </is>
      </c>
      <c r="D6347" t="inlineStr">
        <is>
          <t>Petit Crunchy</t>
        </is>
      </c>
      <c r="E6347" s="34" t="n">
        <v>26900</v>
      </c>
      <c r="F6347" t="inlineStr">
        <is>
          <t>B</t>
        </is>
      </c>
      <c r="G6347" s="34" t="n">
        <v>4295</v>
      </c>
      <c r="H6347" s="34" t="n">
        <v>22605</v>
      </c>
      <c r="I6347" t="inlineStr">
        <is>
          <t>3.2</t>
        </is>
      </c>
      <c r="J6347" t="inlineStr">
        <is>
          <t>Ventas Personas (B2C)</t>
        </is>
      </c>
      <c r="K6347" t="inlineStr">
        <is>
          <t>CH2</t>
        </is>
      </c>
    </row>
    <row r="6348">
      <c r="A6348" s="33" t="n">
        <v>46116</v>
      </c>
      <c r="B6348" t="inlineStr">
        <is>
          <t>2026-04</t>
        </is>
      </c>
      <c r="C6348" t="inlineStr">
        <is>
          <t>Sin cliente</t>
        </is>
      </c>
      <c r="D6348" t="inlineStr">
        <is>
          <t>Cafeteria Geronimo</t>
        </is>
      </c>
      <c r="E6348" s="34" t="n">
        <v>3500</v>
      </c>
      <c r="F6348" t="inlineStr">
        <is>
          <t>B</t>
        </is>
      </c>
      <c r="G6348" s="34" t="n">
        <v>559</v>
      </c>
      <c r="H6348" s="34" t="n">
        <v>2941</v>
      </c>
      <c r="I6348" t="inlineStr">
        <is>
          <t>3.2</t>
        </is>
      </c>
      <c r="J6348" t="inlineStr">
        <is>
          <t>Ventas Personas (B2C)</t>
        </is>
      </c>
      <c r="K6348" t="inlineStr">
        <is>
          <t>CH2</t>
        </is>
      </c>
    </row>
    <row r="6349">
      <c r="A6349" s="33" t="n">
        <v>46116</v>
      </c>
      <c r="B6349" t="inlineStr">
        <is>
          <t>2026-04</t>
        </is>
      </c>
      <c r="C6349" t="inlineStr">
        <is>
          <t>Sin cliente</t>
        </is>
      </c>
      <c r="D6349" t="inlineStr">
        <is>
          <t>Petit Crunchy</t>
        </is>
      </c>
      <c r="E6349" s="34" t="n">
        <v>17400</v>
      </c>
      <c r="F6349" t="inlineStr">
        <is>
          <t>B</t>
        </is>
      </c>
      <c r="G6349" s="34" t="n">
        <v>2778</v>
      </c>
      <c r="H6349" s="34" t="n">
        <v>14622</v>
      </c>
      <c r="I6349" t="inlineStr">
        <is>
          <t>3.2</t>
        </is>
      </c>
      <c r="J6349" t="inlineStr">
        <is>
          <t>Ventas Personas (B2C)</t>
        </is>
      </c>
      <c r="K6349" t="inlineStr">
        <is>
          <t>CH2</t>
        </is>
      </c>
    </row>
    <row r="6350">
      <c r="A6350" s="33" t="n">
        <v>46116</v>
      </c>
      <c r="B6350" t="inlineStr">
        <is>
          <t>2026-04</t>
        </is>
      </c>
      <c r="C6350" t="inlineStr">
        <is>
          <t>Sin cliente</t>
        </is>
      </c>
      <c r="D6350" t="inlineStr">
        <is>
          <t>Cafeteria Geronimo</t>
        </is>
      </c>
      <c r="E6350" s="34" t="n">
        <v>5500</v>
      </c>
      <c r="F6350" t="inlineStr">
        <is>
          <t>B</t>
        </is>
      </c>
      <c r="G6350" s="34" t="n">
        <v>878</v>
      </c>
      <c r="H6350" s="34" t="n">
        <v>4622</v>
      </c>
      <c r="I6350" t="inlineStr">
        <is>
          <t>3.2</t>
        </is>
      </c>
      <c r="J6350" t="inlineStr">
        <is>
          <t>Ventas Personas (B2C)</t>
        </is>
      </c>
      <c r="K6350" t="inlineStr">
        <is>
          <t>CH2</t>
        </is>
      </c>
    </row>
    <row r="6351">
      <c r="A6351" s="33" t="n">
        <v>46116</v>
      </c>
      <c r="B6351" t="inlineStr">
        <is>
          <t>2026-04</t>
        </is>
      </c>
      <c r="C6351" t="inlineStr">
        <is>
          <t>Sin cliente</t>
        </is>
      </c>
      <c r="D6351" t="inlineStr">
        <is>
          <t>CANELÉ TRADICIONAL</t>
        </is>
      </c>
      <c r="E6351" s="34" t="n">
        <v>15900</v>
      </c>
      <c r="F6351" t="inlineStr">
        <is>
          <t>B</t>
        </is>
      </c>
      <c r="G6351" s="34" t="n">
        <v>2539</v>
      </c>
      <c r="H6351" s="34" t="n">
        <v>13361</v>
      </c>
      <c r="I6351" t="inlineStr">
        <is>
          <t>3.2</t>
        </is>
      </c>
      <c r="J6351" t="inlineStr">
        <is>
          <t>Ventas Personas (B2C)</t>
        </is>
      </c>
      <c r="K6351" t="inlineStr">
        <is>
          <t>CH2</t>
        </is>
      </c>
    </row>
    <row r="6352">
      <c r="A6352" s="33" t="n">
        <v>46116</v>
      </c>
      <c r="B6352" t="inlineStr">
        <is>
          <t>2026-04</t>
        </is>
      </c>
      <c r="C6352" t="inlineStr">
        <is>
          <t>Sin cliente</t>
        </is>
      </c>
      <c r="D6352" t="inlineStr">
        <is>
          <t>Cafeteria Geronimo</t>
        </is>
      </c>
      <c r="E6352" s="34" t="n">
        <v>13400</v>
      </c>
      <c r="F6352" t="inlineStr">
        <is>
          <t>B</t>
        </is>
      </c>
      <c r="G6352" s="34" t="n">
        <v>2139</v>
      </c>
      <c r="H6352" s="34" t="n">
        <v>11261</v>
      </c>
      <c r="I6352" t="inlineStr">
        <is>
          <t>3.2</t>
        </is>
      </c>
      <c r="J6352" t="inlineStr">
        <is>
          <t>Ventas Personas (B2C)</t>
        </is>
      </c>
      <c r="K6352" t="inlineStr">
        <is>
          <t>CH2</t>
        </is>
      </c>
    </row>
    <row r="6353">
      <c r="A6353" s="33" t="n">
        <v>46116</v>
      </c>
      <c r="B6353" t="inlineStr">
        <is>
          <t>2026-04</t>
        </is>
      </c>
      <c r="C6353" t="inlineStr">
        <is>
          <t>Sin cliente</t>
        </is>
      </c>
      <c r="D6353" t="inlineStr">
        <is>
          <t>CANELÉ TRADICIONAL</t>
        </is>
      </c>
      <c r="E6353" s="34" t="n">
        <v>24300</v>
      </c>
      <c r="F6353" t="inlineStr">
        <is>
          <t>B</t>
        </is>
      </c>
      <c r="G6353" s="34" t="n">
        <v>3880</v>
      </c>
      <c r="H6353" s="34" t="n">
        <v>20420</v>
      </c>
      <c r="I6353" t="inlineStr">
        <is>
          <t>3.2</t>
        </is>
      </c>
      <c r="J6353" t="inlineStr">
        <is>
          <t>Ventas Personas (B2C)</t>
        </is>
      </c>
      <c r="K6353" t="inlineStr">
        <is>
          <t>CH2</t>
        </is>
      </c>
    </row>
    <row r="6354">
      <c r="A6354" s="33" t="n">
        <v>46116</v>
      </c>
      <c r="B6354" t="inlineStr">
        <is>
          <t>2026-04</t>
        </is>
      </c>
      <c r="C6354" t="inlineStr">
        <is>
          <t>Sin cliente</t>
        </is>
      </c>
      <c r="D6354" t="inlineStr">
        <is>
          <t>CANELÉ TRADICIONAL</t>
        </is>
      </c>
      <c r="E6354" s="34" t="n">
        <v>41765</v>
      </c>
      <c r="F6354" t="inlineStr">
        <is>
          <t>B</t>
        </is>
      </c>
      <c r="G6354" s="34" t="n">
        <v>6668</v>
      </c>
      <c r="H6354" s="34" t="n">
        <v>35097</v>
      </c>
      <c r="I6354" t="inlineStr">
        <is>
          <t>3.2</t>
        </is>
      </c>
      <c r="J6354" t="inlineStr">
        <is>
          <t>Ventas Personas (B2C)</t>
        </is>
      </c>
      <c r="K6354" t="inlineStr">
        <is>
          <t>CH2</t>
        </is>
      </c>
    </row>
    <row r="6355">
      <c r="A6355" s="33" t="n">
        <v>46116</v>
      </c>
      <c r="B6355" t="inlineStr">
        <is>
          <t>2026-04</t>
        </is>
      </c>
      <c r="C6355" t="inlineStr">
        <is>
          <t>Sin cliente</t>
        </is>
      </c>
      <c r="D6355" t="inlineStr">
        <is>
          <t>CANELÉ TRADICIONAL</t>
        </is>
      </c>
      <c r="E6355" s="34" t="n">
        <v>15900</v>
      </c>
      <c r="F6355" t="inlineStr">
        <is>
          <t>B</t>
        </is>
      </c>
      <c r="G6355" s="34" t="n">
        <v>2539</v>
      </c>
      <c r="H6355" s="34" t="n">
        <v>13361</v>
      </c>
      <c r="I6355" t="inlineStr">
        <is>
          <t>3.2</t>
        </is>
      </c>
      <c r="J6355" t="inlineStr">
        <is>
          <t>Ventas Personas (B2C)</t>
        </is>
      </c>
      <c r="K6355" t="inlineStr">
        <is>
          <t>CH2</t>
        </is>
      </c>
    </row>
    <row r="6356">
      <c r="A6356" s="33" t="n">
        <v>46116</v>
      </c>
      <c r="B6356" t="inlineStr">
        <is>
          <t>2026-04</t>
        </is>
      </c>
      <c r="C6356" t="inlineStr">
        <is>
          <t>Sin cliente</t>
        </is>
      </c>
      <c r="D6356" t="inlineStr">
        <is>
          <t>Rellenos</t>
        </is>
      </c>
      <c r="E6356" s="34" t="n">
        <v>50700</v>
      </c>
      <c r="F6356" t="inlineStr">
        <is>
          <t>B</t>
        </is>
      </c>
      <c r="G6356" s="34" t="n">
        <v>8095</v>
      </c>
      <c r="H6356" s="34" t="n">
        <v>42605</v>
      </c>
      <c r="I6356" t="inlineStr">
        <is>
          <t>3.2</t>
        </is>
      </c>
      <c r="J6356" t="inlineStr">
        <is>
          <t>Ventas Personas (B2C)</t>
        </is>
      </c>
      <c r="K6356" t="inlineStr">
        <is>
          <t>CH2</t>
        </is>
      </c>
    </row>
    <row r="6357">
      <c r="A6357" s="33" t="n">
        <v>46116</v>
      </c>
      <c r="B6357" t="inlineStr">
        <is>
          <t>2026-04</t>
        </is>
      </c>
      <c r="C6357" t="inlineStr">
        <is>
          <t>Sin cliente</t>
        </is>
      </c>
      <c r="D6357" t="inlineStr">
        <is>
          <t>Pascua de Resurrección</t>
        </is>
      </c>
      <c r="E6357" s="34" t="n">
        <v>29800</v>
      </c>
      <c r="F6357" t="inlineStr">
        <is>
          <t>B</t>
        </is>
      </c>
      <c r="G6357" s="34" t="n">
        <v>4758</v>
      </c>
      <c r="H6357" s="34" t="n">
        <v>25042</v>
      </c>
      <c r="I6357" t="inlineStr">
        <is>
          <t>3.2</t>
        </is>
      </c>
      <c r="J6357" t="inlineStr">
        <is>
          <t>Ventas Personas (B2C)</t>
        </is>
      </c>
      <c r="K6357" t="inlineStr">
        <is>
          <t>CH2</t>
        </is>
      </c>
    </row>
    <row r="6358">
      <c r="A6358" s="33" t="n">
        <v>46116</v>
      </c>
      <c r="B6358" t="inlineStr">
        <is>
          <t>2026-04</t>
        </is>
      </c>
      <c r="C6358" t="inlineStr">
        <is>
          <t>Sin cliente</t>
        </is>
      </c>
      <c r="D6358" t="inlineStr">
        <is>
          <t>Cafeteria Geronimo</t>
        </is>
      </c>
      <c r="E6358" s="34" t="n">
        <v>43100</v>
      </c>
      <c r="F6358" t="inlineStr">
        <is>
          <t>B</t>
        </is>
      </c>
      <c r="G6358" s="34" t="n">
        <v>6882</v>
      </c>
      <c r="H6358" s="34" t="n">
        <v>36218</v>
      </c>
      <c r="I6358" t="inlineStr">
        <is>
          <t>3.2</t>
        </is>
      </c>
      <c r="J6358" t="inlineStr">
        <is>
          <t>Ventas Personas (B2C)</t>
        </is>
      </c>
      <c r="K6358" t="inlineStr">
        <is>
          <t>CH2</t>
        </is>
      </c>
    </row>
    <row r="6359">
      <c r="A6359" s="33" t="n">
        <v>46116</v>
      </c>
      <c r="B6359" t="inlineStr">
        <is>
          <t>2026-04</t>
        </is>
      </c>
      <c r="C6359" t="inlineStr">
        <is>
          <t>Sin cliente</t>
        </is>
      </c>
      <c r="D6359" t="inlineStr">
        <is>
          <t>Petit Tradicional</t>
        </is>
      </c>
      <c r="E6359" s="34" t="n">
        <v>40000</v>
      </c>
      <c r="F6359" t="inlineStr">
        <is>
          <t>B</t>
        </is>
      </c>
      <c r="G6359" s="34" t="n">
        <v>6387</v>
      </c>
      <c r="H6359" s="34" t="n">
        <v>33613</v>
      </c>
      <c r="I6359" t="inlineStr">
        <is>
          <t>3.2</t>
        </is>
      </c>
      <c r="J6359" t="inlineStr">
        <is>
          <t>Ventas Personas (B2C)</t>
        </is>
      </c>
      <c r="K6359" t="inlineStr">
        <is>
          <t>CH2</t>
        </is>
      </c>
    </row>
    <row r="6360">
      <c r="A6360" s="33" t="n">
        <v>46117</v>
      </c>
      <c r="B6360" t="inlineStr">
        <is>
          <t>2026-04</t>
        </is>
      </c>
      <c r="C6360" t="inlineStr">
        <is>
          <t>Julio Santos</t>
        </is>
      </c>
      <c r="D6360" t="inlineStr">
        <is>
          <t>Petit Crunchy</t>
        </is>
      </c>
      <c r="E6360" s="34" t="n">
        <v>31415</v>
      </c>
      <c r="F6360" t="inlineStr">
        <is>
          <t>B</t>
        </is>
      </c>
      <c r="G6360" s="34" t="n">
        <v>5016</v>
      </c>
      <c r="H6360" s="34" t="n">
        <v>26399</v>
      </c>
      <c r="I6360" t="inlineStr">
        <is>
          <t>3.2</t>
        </is>
      </c>
      <c r="J6360" t="inlineStr">
        <is>
          <t>Ventas Personas (B2C)</t>
        </is>
      </c>
      <c r="K6360" t="inlineStr">
        <is>
          <t>CH2</t>
        </is>
      </c>
    </row>
    <row r="6361">
      <c r="A6361" s="33" t="n">
        <v>46118</v>
      </c>
      <c r="B6361" t="inlineStr">
        <is>
          <t>2026-04</t>
        </is>
      </c>
      <c r="C6361" t="inlineStr">
        <is>
          <t>INVERSIONES Y COMERCIALIZADORA FED LIMITADA</t>
        </is>
      </c>
      <c r="D6361" t="inlineStr">
        <is>
          <t>REGION METROPOLITANA</t>
        </is>
      </c>
      <c r="E6361" s="34" t="n">
        <v>686582</v>
      </c>
      <c r="F6361" t="inlineStr">
        <is>
          <t>F</t>
        </is>
      </c>
      <c r="G6361" s="34" t="n">
        <v>109622</v>
      </c>
      <c r="H6361" s="34" t="n">
        <v>576960</v>
      </c>
      <c r="I6361" t="inlineStr">
        <is>
          <t>3.1</t>
        </is>
      </c>
      <c r="J6361" t="inlineStr">
        <is>
          <t>Ventas HoReCa</t>
        </is>
      </c>
      <c r="K6361" t="inlineStr">
        <is>
          <t>CH1</t>
        </is>
      </c>
    </row>
    <row r="6362">
      <c r="A6362" s="33" t="n">
        <v>46118</v>
      </c>
      <c r="B6362" t="inlineStr">
        <is>
          <t>2026-04</t>
        </is>
      </c>
      <c r="C6362" t="inlineStr">
        <is>
          <t>CAFETERÍAS MISTER SPA</t>
        </is>
      </c>
      <c r="D6362" t="inlineStr">
        <is>
          <t>HORECA CAFETERIA</t>
        </is>
      </c>
      <c r="E6362" s="34" t="n">
        <v>77564</v>
      </c>
      <c r="F6362" t="inlineStr">
        <is>
          <t>F</t>
        </is>
      </c>
      <c r="G6362" s="34" t="n">
        <v>12384</v>
      </c>
      <c r="H6362" s="34" t="n">
        <v>65180</v>
      </c>
      <c r="I6362" t="inlineStr">
        <is>
          <t>3.1</t>
        </is>
      </c>
      <c r="J6362" t="inlineStr">
        <is>
          <t>Ventas HoReCa</t>
        </is>
      </c>
      <c r="K6362" t="inlineStr">
        <is>
          <t>CH1</t>
        </is>
      </c>
    </row>
    <row r="6363">
      <c r="A6363" s="33" t="n">
        <v>46118</v>
      </c>
      <c r="B6363" t="inlineStr">
        <is>
          <t>2026-04</t>
        </is>
      </c>
      <c r="C6363" t="inlineStr">
        <is>
          <t>INVERSIONES Y ASESORIAS RAVAL LIMITADA</t>
        </is>
      </c>
      <c r="D6363" t="inlineStr">
        <is>
          <t>HORECA CAFETERIA</t>
        </is>
      </c>
      <c r="E6363" s="34" t="n">
        <v>118619</v>
      </c>
      <c r="F6363" t="inlineStr">
        <is>
          <t>F</t>
        </is>
      </c>
      <c r="G6363" s="34" t="n">
        <v>18939</v>
      </c>
      <c r="H6363" s="34" t="n">
        <v>99680</v>
      </c>
      <c r="I6363" t="inlineStr">
        <is>
          <t>3.1</t>
        </is>
      </c>
      <c r="J6363" t="inlineStr">
        <is>
          <t>Ventas HoReCa</t>
        </is>
      </c>
      <c r="K6363" t="inlineStr">
        <is>
          <t>CH1</t>
        </is>
      </c>
    </row>
    <row r="6364">
      <c r="A6364" s="33" t="n">
        <v>46118</v>
      </c>
      <c r="B6364" t="inlineStr">
        <is>
          <t>2026-04</t>
        </is>
      </c>
      <c r="C6364" t="inlineStr">
        <is>
          <t>BUSTORF LARSEN Y COMPANIA LIMITADA</t>
        </is>
      </c>
      <c r="D6364" t="inlineStr">
        <is>
          <t>HORECA CAFETERIA</t>
        </is>
      </c>
      <c r="E6364" s="34" t="n">
        <v>77564</v>
      </c>
      <c r="F6364" t="inlineStr">
        <is>
          <t>F</t>
        </is>
      </c>
      <c r="G6364" s="34" t="n">
        <v>12384</v>
      </c>
      <c r="H6364" s="34" t="n">
        <v>65180</v>
      </c>
      <c r="I6364" t="inlineStr">
        <is>
          <t>3.1</t>
        </is>
      </c>
      <c r="J6364" t="inlineStr">
        <is>
          <t>Ventas HoReCa</t>
        </is>
      </c>
      <c r="K6364" t="inlineStr">
        <is>
          <t>CH1</t>
        </is>
      </c>
    </row>
    <row r="6365">
      <c r="A6365" s="33" t="n">
        <v>46118</v>
      </c>
      <c r="B6365" t="inlineStr">
        <is>
          <t>2026-04</t>
        </is>
      </c>
      <c r="C6365" t="inlineStr">
        <is>
          <t>BUSTORF LARSEN Y COMPANIA LIMITADA</t>
        </is>
      </c>
      <c r="D6365" t="inlineStr">
        <is>
          <t>HORECA CAFETERIA</t>
        </is>
      </c>
      <c r="E6365" s="34" t="n">
        <v>77564</v>
      </c>
      <c r="F6365" t="inlineStr">
        <is>
          <t>F</t>
        </is>
      </c>
      <c r="G6365" s="34" t="n">
        <v>12384</v>
      </c>
      <c r="H6365" s="34" t="n">
        <v>65180</v>
      </c>
      <c r="I6365" t="inlineStr">
        <is>
          <t>3.1</t>
        </is>
      </c>
      <c r="J6365" t="inlineStr">
        <is>
          <t>Ventas HoReCa</t>
        </is>
      </c>
      <c r="K6365" t="inlineStr">
        <is>
          <t>CH1</t>
        </is>
      </c>
    </row>
    <row r="6366">
      <c r="A6366" s="33" t="n">
        <v>46118</v>
      </c>
      <c r="B6366" t="inlineStr">
        <is>
          <t>2026-04</t>
        </is>
      </c>
      <c r="C6366" t="inlineStr">
        <is>
          <t>Francisca Fuentes</t>
        </is>
      </c>
      <c r="D6366" t="inlineStr">
        <is>
          <t>Petit Tradicional</t>
        </is>
      </c>
      <c r="E6366" s="34" t="n">
        <v>29190</v>
      </c>
      <c r="F6366" t="inlineStr">
        <is>
          <t>B</t>
        </is>
      </c>
      <c r="G6366" s="34" t="n">
        <v>4661</v>
      </c>
      <c r="H6366" s="34" t="n">
        <v>24529</v>
      </c>
      <c r="I6366" t="inlineStr">
        <is>
          <t>3.2</t>
        </is>
      </c>
      <c r="J6366" t="inlineStr">
        <is>
          <t>Ventas Personas (B2C)</t>
        </is>
      </c>
      <c r="K6366" t="inlineStr">
        <is>
          <t>CH2</t>
        </is>
      </c>
    </row>
    <row r="6367">
      <c r="A6367" s="33" t="n">
        <v>46118</v>
      </c>
      <c r="B6367" t="inlineStr">
        <is>
          <t>2026-04</t>
        </is>
      </c>
      <c r="C6367" t="inlineStr">
        <is>
          <t>Carolina Lillo Pacheco</t>
        </is>
      </c>
      <c r="D6367" t="inlineStr">
        <is>
          <t>Petit Crunchy</t>
        </is>
      </c>
      <c r="E6367" s="34" t="n">
        <v>31415</v>
      </c>
      <c r="F6367" t="inlineStr">
        <is>
          <t>B</t>
        </is>
      </c>
      <c r="G6367" s="34" t="n">
        <v>5016</v>
      </c>
      <c r="H6367" s="34" t="n">
        <v>26399</v>
      </c>
      <c r="I6367" t="inlineStr">
        <is>
          <t>3.2</t>
        </is>
      </c>
      <c r="J6367" t="inlineStr">
        <is>
          <t>Ventas Personas (B2C)</t>
        </is>
      </c>
      <c r="K6367" t="inlineStr">
        <is>
          <t>CH2</t>
        </is>
      </c>
    </row>
    <row r="6368">
      <c r="A6368" s="33" t="n">
        <v>46118</v>
      </c>
      <c r="B6368" t="inlineStr">
        <is>
          <t>2026-04</t>
        </is>
      </c>
      <c r="C6368" t="inlineStr">
        <is>
          <t>Carolina Rigol Olsen</t>
        </is>
      </c>
      <c r="D6368" t="inlineStr">
        <is>
          <t>Canelé Petit Relleno</t>
        </is>
      </c>
      <c r="E6368" s="34" t="n">
        <v>23390</v>
      </c>
      <c r="F6368" t="inlineStr">
        <is>
          <t>B</t>
        </is>
      </c>
      <c r="G6368" s="34" t="n">
        <v>3735</v>
      </c>
      <c r="H6368" s="34" t="n">
        <v>19655</v>
      </c>
      <c r="I6368" t="inlineStr">
        <is>
          <t>3.2</t>
        </is>
      </c>
      <c r="J6368" t="inlineStr">
        <is>
          <t>Ventas Personas (B2C)</t>
        </is>
      </c>
      <c r="K6368" t="inlineStr">
        <is>
          <t>CH2</t>
        </is>
      </c>
    </row>
    <row r="6369">
      <c r="A6369" s="33" t="n">
        <v>46118</v>
      </c>
      <c r="B6369" t="inlineStr">
        <is>
          <t>2026-04</t>
        </is>
      </c>
      <c r="C6369" t="inlineStr">
        <is>
          <t>Anastasia Dashkevich</t>
        </is>
      </c>
      <c r="D6369" t="inlineStr">
        <is>
          <t>Rellenos</t>
        </is>
      </c>
      <c r="E6369" s="34" t="n">
        <v>22390</v>
      </c>
      <c r="F6369" t="inlineStr">
        <is>
          <t>B</t>
        </is>
      </c>
      <c r="G6369" s="34" t="n">
        <v>3575</v>
      </c>
      <c r="H6369" s="34" t="n">
        <v>18815</v>
      </c>
      <c r="I6369" t="inlineStr">
        <is>
          <t>3.2</t>
        </is>
      </c>
      <c r="J6369" t="inlineStr">
        <is>
          <t>Ventas Personas (B2C)</t>
        </is>
      </c>
      <c r="K6369" t="inlineStr">
        <is>
          <t>CH2</t>
        </is>
      </c>
    </row>
    <row r="6370">
      <c r="A6370" s="33" t="n">
        <v>46118</v>
      </c>
      <c r="B6370" t="inlineStr">
        <is>
          <t>2026-04</t>
        </is>
      </c>
      <c r="C6370" t="inlineStr">
        <is>
          <t>angie morillo</t>
        </is>
      </c>
      <c r="D6370" t="inlineStr">
        <is>
          <t>Petit Crunchy</t>
        </is>
      </c>
      <c r="E6370" s="34" t="n">
        <v>29800</v>
      </c>
      <c r="F6370" t="inlineStr">
        <is>
          <t>B</t>
        </is>
      </c>
      <c r="G6370" s="34" t="n">
        <v>4758</v>
      </c>
      <c r="H6370" s="34" t="n">
        <v>25042</v>
      </c>
      <c r="I6370" t="inlineStr">
        <is>
          <t>3.2</t>
        </is>
      </c>
      <c r="J6370" t="inlineStr">
        <is>
          <t>Ventas Personas (B2C)</t>
        </is>
      </c>
      <c r="K6370" t="inlineStr">
        <is>
          <t>CH2</t>
        </is>
      </c>
    </row>
    <row r="6371">
      <c r="A6371" s="33" t="n">
        <v>46118</v>
      </c>
      <c r="B6371" t="inlineStr">
        <is>
          <t>2026-04</t>
        </is>
      </c>
      <c r="C6371" t="inlineStr">
        <is>
          <t>Javiera Ziehe</t>
        </is>
      </c>
      <c r="D6371" t="inlineStr">
        <is>
          <t>Petit Crunchy</t>
        </is>
      </c>
      <c r="E6371" s="34" t="n">
        <v>19390</v>
      </c>
      <c r="F6371" t="inlineStr">
        <is>
          <t>B</t>
        </is>
      </c>
      <c r="G6371" s="34" t="n">
        <v>3096</v>
      </c>
      <c r="H6371" s="34" t="n">
        <v>16294</v>
      </c>
      <c r="I6371" t="inlineStr">
        <is>
          <t>3.2</t>
        </is>
      </c>
      <c r="J6371" t="inlineStr">
        <is>
          <t>Ventas Personas (B2C)</t>
        </is>
      </c>
      <c r="K6371" t="inlineStr">
        <is>
          <t>CH2</t>
        </is>
      </c>
    </row>
    <row r="6372">
      <c r="A6372" s="33" t="n">
        <v>46118</v>
      </c>
      <c r="B6372" t="inlineStr">
        <is>
          <t>2026-04</t>
        </is>
      </c>
      <c r="C6372" t="inlineStr">
        <is>
          <t>Maria Oyarzun</t>
        </is>
      </c>
      <c r="D6372" t="inlineStr">
        <is>
          <t>Tandas Delicatessen</t>
        </is>
      </c>
      <c r="E6372" s="34" t="n">
        <v>85200</v>
      </c>
      <c r="F6372" t="inlineStr">
        <is>
          <t>B</t>
        </is>
      </c>
      <c r="G6372" s="34" t="n">
        <v>13603</v>
      </c>
      <c r="H6372" s="34" t="n">
        <v>71597</v>
      </c>
      <c r="I6372" t="inlineStr">
        <is>
          <t>3.2</t>
        </is>
      </c>
      <c r="J6372" t="inlineStr">
        <is>
          <t>Ventas Personas (B2C)</t>
        </is>
      </c>
      <c r="K6372" t="inlineStr">
        <is>
          <t>CH2</t>
        </is>
      </c>
    </row>
    <row r="6373">
      <c r="A6373" s="33" t="n">
        <v>46118</v>
      </c>
      <c r="B6373" t="inlineStr">
        <is>
          <t>2026-04</t>
        </is>
      </c>
      <c r="C6373" t="inlineStr">
        <is>
          <t>SOC PUNTA DEL COBRE S A</t>
        </is>
      </c>
      <c r="D6373" t="inlineStr">
        <is>
          <t>Petit Crunchy</t>
        </is>
      </c>
      <c r="E6373" s="34" t="n">
        <v>491221</v>
      </c>
      <c r="F6373" t="inlineStr">
        <is>
          <t>F</t>
        </is>
      </c>
      <c r="G6373" s="34" t="n">
        <v>78430</v>
      </c>
      <c r="H6373" s="34" t="n">
        <v>412791</v>
      </c>
      <c r="I6373" t="inlineStr">
        <is>
          <t>3.1</t>
        </is>
      </c>
      <c r="J6373" t="inlineStr">
        <is>
          <t>Ventas HoReCa</t>
        </is>
      </c>
      <c r="K6373" t="inlineStr">
        <is>
          <t>CH1</t>
        </is>
      </c>
    </row>
    <row r="6374">
      <c r="A6374" s="33" t="n">
        <v>46118</v>
      </c>
      <c r="B6374" t="inlineStr">
        <is>
          <t>2026-04</t>
        </is>
      </c>
      <c r="C6374" t="inlineStr">
        <is>
          <t>Sin cliente</t>
        </is>
      </c>
      <c r="D6374" t="inlineStr">
        <is>
          <t>Glosa Despacho express la reina</t>
        </is>
      </c>
      <c r="E6374" s="34" t="n">
        <v>4990</v>
      </c>
      <c r="F6374" t="inlineStr">
        <is>
          <t>B</t>
        </is>
      </c>
      <c r="G6374" s="34" t="n">
        <v>797</v>
      </c>
      <c r="H6374" s="34" t="n">
        <v>4193</v>
      </c>
      <c r="I6374" t="inlineStr">
        <is>
          <t>3.2</t>
        </is>
      </c>
      <c r="J6374" t="inlineStr">
        <is>
          <t>Ventas Personas (B2C)</t>
        </is>
      </c>
      <c r="K6374" t="inlineStr">
        <is>
          <t>CH2</t>
        </is>
      </c>
    </row>
    <row r="6375">
      <c r="A6375" s="33" t="n">
        <v>46118</v>
      </c>
      <c r="B6375" t="inlineStr">
        <is>
          <t>2026-04</t>
        </is>
      </c>
      <c r="C6375" t="inlineStr">
        <is>
          <t>Sin cliente</t>
        </is>
      </c>
      <c r="D6375" t="inlineStr">
        <is>
          <t>PLATAFORMAS RAP-PEYA-UBER-GOOD</t>
        </is>
      </c>
      <c r="E6375" s="34" t="n">
        <v>13080</v>
      </c>
      <c r="F6375" t="inlineStr">
        <is>
          <t>B</t>
        </is>
      </c>
      <c r="G6375" s="34" t="n">
        <v>2088</v>
      </c>
      <c r="H6375" s="34" t="n">
        <v>10992</v>
      </c>
      <c r="I6375" t="inlineStr">
        <is>
          <t>3.6</t>
        </is>
      </c>
      <c r="J6375" t="inlineStr">
        <is>
          <t>Ventas Delivery Apps</t>
        </is>
      </c>
      <c r="K6375" t="inlineStr">
        <is>
          <t>CH3</t>
        </is>
      </c>
    </row>
    <row r="6376">
      <c r="A6376" s="33" t="n">
        <v>46118</v>
      </c>
      <c r="B6376" t="inlineStr">
        <is>
          <t>2026-04</t>
        </is>
      </c>
      <c r="C6376" t="inlineStr">
        <is>
          <t>Sin cliente</t>
        </is>
      </c>
      <c r="D6376" t="inlineStr">
        <is>
          <t>Cafeteria Geronimo</t>
        </is>
      </c>
      <c r="E6376" s="34" t="n">
        <v>13600</v>
      </c>
      <c r="F6376" t="inlineStr">
        <is>
          <t>B</t>
        </is>
      </c>
      <c r="G6376" s="34" t="n">
        <v>2171</v>
      </c>
      <c r="H6376" s="34" t="n">
        <v>11429</v>
      </c>
      <c r="I6376" t="inlineStr">
        <is>
          <t>3.2</t>
        </is>
      </c>
      <c r="J6376" t="inlineStr">
        <is>
          <t>Ventas Personas (B2C)</t>
        </is>
      </c>
      <c r="K6376" t="inlineStr">
        <is>
          <t>CH2</t>
        </is>
      </c>
    </row>
    <row r="6377">
      <c r="A6377" s="33" t="n">
        <v>46118</v>
      </c>
      <c r="B6377" t="inlineStr">
        <is>
          <t>2026-04</t>
        </is>
      </c>
      <c r="C6377" t="inlineStr">
        <is>
          <t>Sin cliente</t>
        </is>
      </c>
      <c r="D6377" t="inlineStr">
        <is>
          <t>Cafeteria Geronimo</t>
        </is>
      </c>
      <c r="E6377" s="34" t="n">
        <v>12100</v>
      </c>
      <c r="F6377" t="inlineStr">
        <is>
          <t>B</t>
        </is>
      </c>
      <c r="G6377" s="34" t="n">
        <v>1932</v>
      </c>
      <c r="H6377" s="34" t="n">
        <v>10168</v>
      </c>
      <c r="I6377" t="inlineStr">
        <is>
          <t>3.2</t>
        </is>
      </c>
      <c r="J6377" t="inlineStr">
        <is>
          <t>Ventas Personas (B2C)</t>
        </is>
      </c>
      <c r="K6377" t="inlineStr">
        <is>
          <t>CH2</t>
        </is>
      </c>
    </row>
    <row r="6378">
      <c r="A6378" s="33" t="n">
        <v>46118</v>
      </c>
      <c r="B6378" t="inlineStr">
        <is>
          <t>2026-04</t>
        </is>
      </c>
      <c r="C6378" t="inlineStr">
        <is>
          <t>Sin cliente</t>
        </is>
      </c>
      <c r="D6378" t="inlineStr">
        <is>
          <t>Rellenos</t>
        </is>
      </c>
      <c r="E6378" s="34" t="n">
        <v>18900</v>
      </c>
      <c r="F6378" t="inlineStr">
        <is>
          <t>B</t>
        </is>
      </c>
      <c r="G6378" s="34" t="n">
        <v>3018</v>
      </c>
      <c r="H6378" s="34" t="n">
        <v>15882</v>
      </c>
      <c r="I6378" t="inlineStr">
        <is>
          <t>3.2</t>
        </is>
      </c>
      <c r="J6378" t="inlineStr">
        <is>
          <t>Ventas Personas (B2C)</t>
        </is>
      </c>
      <c r="K6378" t="inlineStr">
        <is>
          <t>CH2</t>
        </is>
      </c>
    </row>
    <row r="6379">
      <c r="A6379" s="33" t="n">
        <v>46118</v>
      </c>
      <c r="B6379" t="inlineStr">
        <is>
          <t>2026-04</t>
        </is>
      </c>
      <c r="C6379" t="inlineStr">
        <is>
          <t>Sin cliente</t>
        </is>
      </c>
      <c r="D6379" t="inlineStr">
        <is>
          <t>Rellenos</t>
        </is>
      </c>
      <c r="E6379" s="34" t="n">
        <v>3500</v>
      </c>
      <c r="F6379" t="inlineStr">
        <is>
          <t>B</t>
        </is>
      </c>
      <c r="G6379" s="34" t="n">
        <v>559</v>
      </c>
      <c r="H6379" s="34" t="n">
        <v>2941</v>
      </c>
      <c r="I6379" t="inlineStr">
        <is>
          <t>3.2</t>
        </is>
      </c>
      <c r="J6379" t="inlineStr">
        <is>
          <t>Ventas Personas (B2C)</t>
        </is>
      </c>
      <c r="K6379" t="inlineStr">
        <is>
          <t>CH2</t>
        </is>
      </c>
    </row>
    <row r="6380">
      <c r="A6380" s="33" t="n">
        <v>46118</v>
      </c>
      <c r="B6380" t="inlineStr">
        <is>
          <t>2026-04</t>
        </is>
      </c>
      <c r="C6380" t="inlineStr">
        <is>
          <t>Sin cliente</t>
        </is>
      </c>
      <c r="D6380" t="inlineStr">
        <is>
          <t>Rellenos</t>
        </is>
      </c>
      <c r="E6380" s="34" t="n">
        <v>7000</v>
      </c>
      <c r="F6380" t="inlineStr">
        <is>
          <t>B</t>
        </is>
      </c>
      <c r="G6380" s="34" t="n">
        <v>1118</v>
      </c>
      <c r="H6380" s="34" t="n">
        <v>5882</v>
      </c>
      <c r="I6380" t="inlineStr">
        <is>
          <t>3.2</t>
        </is>
      </c>
      <c r="J6380" t="inlineStr">
        <is>
          <t>Ventas Personas (B2C)</t>
        </is>
      </c>
      <c r="K6380" t="inlineStr">
        <is>
          <t>CH2</t>
        </is>
      </c>
    </row>
    <row r="6381">
      <c r="A6381" s="33" t="n">
        <v>46118</v>
      </c>
      <c r="B6381" t="inlineStr">
        <is>
          <t>2026-04</t>
        </is>
      </c>
      <c r="C6381" t="inlineStr">
        <is>
          <t>Sin cliente</t>
        </is>
      </c>
      <c r="D6381" t="inlineStr">
        <is>
          <t>Cafeteria Geronimo</t>
        </is>
      </c>
      <c r="E6381" s="34" t="n">
        <v>2800</v>
      </c>
      <c r="F6381" t="inlineStr">
        <is>
          <t>B</t>
        </is>
      </c>
      <c r="G6381" s="34" t="n">
        <v>447</v>
      </c>
      <c r="H6381" s="34" t="n">
        <v>2353</v>
      </c>
      <c r="I6381" t="inlineStr">
        <is>
          <t>3.2</t>
        </is>
      </c>
      <c r="J6381" t="inlineStr">
        <is>
          <t>Ventas Personas (B2C)</t>
        </is>
      </c>
      <c r="K6381" t="inlineStr">
        <is>
          <t>CH2</t>
        </is>
      </c>
    </row>
    <row r="6382">
      <c r="A6382" s="33" t="n">
        <v>46118</v>
      </c>
      <c r="B6382" t="inlineStr">
        <is>
          <t>2026-04</t>
        </is>
      </c>
      <c r="C6382" t="inlineStr">
        <is>
          <t>Sin cliente</t>
        </is>
      </c>
      <c r="D6382" t="inlineStr">
        <is>
          <t>CANELÉ TRADICIONAL</t>
        </is>
      </c>
      <c r="E6382" s="34" t="n">
        <v>18500</v>
      </c>
      <c r="F6382" t="inlineStr">
        <is>
          <t>B</t>
        </is>
      </c>
      <c r="G6382" s="34" t="n">
        <v>2954</v>
      </c>
      <c r="H6382" s="34" t="n">
        <v>15546</v>
      </c>
      <c r="I6382" t="inlineStr">
        <is>
          <t>3.2</t>
        </is>
      </c>
      <c r="J6382" t="inlineStr">
        <is>
          <t>Ventas Personas (B2C)</t>
        </is>
      </c>
      <c r="K6382" t="inlineStr">
        <is>
          <t>CH2</t>
        </is>
      </c>
    </row>
    <row r="6383">
      <c r="A6383" s="33" t="n">
        <v>46118</v>
      </c>
      <c r="B6383" t="inlineStr">
        <is>
          <t>2026-04</t>
        </is>
      </c>
      <c r="C6383" t="inlineStr">
        <is>
          <t>Alejandra Solar</t>
        </is>
      </c>
      <c r="D6383" t="inlineStr">
        <is>
          <t>Rellenos</t>
        </is>
      </c>
      <c r="E6383" s="34" t="n">
        <v>43890</v>
      </c>
      <c r="F6383" t="inlineStr">
        <is>
          <t>B</t>
        </is>
      </c>
      <c r="G6383" s="34" t="n">
        <v>7008</v>
      </c>
      <c r="H6383" s="34" t="n">
        <v>36882</v>
      </c>
      <c r="I6383" t="inlineStr">
        <is>
          <t>3.2</t>
        </is>
      </c>
      <c r="J6383" t="inlineStr">
        <is>
          <t>Ventas Personas (B2C)</t>
        </is>
      </c>
      <c r="K6383" t="inlineStr">
        <is>
          <t>CH2</t>
        </is>
      </c>
    </row>
    <row r="6384">
      <c r="A6384" s="33" t="n">
        <v>46119</v>
      </c>
      <c r="B6384" t="inlineStr">
        <is>
          <t>2026-04</t>
        </is>
      </c>
      <c r="C6384" t="inlineStr">
        <is>
          <t>ASG PRODUCCIONES</t>
        </is>
      </c>
      <c r="D6384" t="inlineStr">
        <is>
          <t>HORECA CATERING</t>
        </is>
      </c>
      <c r="E6384" s="34" t="n">
        <v>127330</v>
      </c>
      <c r="F6384" t="inlineStr">
        <is>
          <t>F</t>
        </is>
      </c>
      <c r="G6384" s="34" t="n">
        <v>20330</v>
      </c>
      <c r="H6384" s="34" t="n">
        <v>107000</v>
      </c>
      <c r="I6384" t="inlineStr">
        <is>
          <t>3.1</t>
        </is>
      </c>
      <c r="J6384" t="inlineStr">
        <is>
          <t>Ventas HoReCa</t>
        </is>
      </c>
      <c r="K6384" t="inlineStr">
        <is>
          <t>CH1</t>
        </is>
      </c>
    </row>
    <row r="6385">
      <c r="A6385" s="33" t="n">
        <v>46119</v>
      </c>
      <c r="B6385" t="inlineStr">
        <is>
          <t>2026-04</t>
        </is>
      </c>
      <c r="C6385" t="inlineStr">
        <is>
          <t>JORGE Muñoz HIDALGO</t>
        </is>
      </c>
      <c r="D6385" t="inlineStr">
        <is>
          <t>Canelé Petit Relleno</t>
        </is>
      </c>
      <c r="E6385" s="34" t="n">
        <v>17010</v>
      </c>
      <c r="F6385" t="inlineStr">
        <is>
          <t>B</t>
        </is>
      </c>
      <c r="G6385" s="34" t="n">
        <v>2716</v>
      </c>
      <c r="H6385" s="34" t="n">
        <v>14294</v>
      </c>
      <c r="I6385" t="inlineStr">
        <is>
          <t>3.2</t>
        </is>
      </c>
      <c r="J6385" t="inlineStr">
        <is>
          <t>Ventas Personas (B2C)</t>
        </is>
      </c>
      <c r="K6385" t="inlineStr">
        <is>
          <t>CH2</t>
        </is>
      </c>
    </row>
    <row r="6386">
      <c r="A6386" s="33" t="n">
        <v>46119</v>
      </c>
      <c r="B6386" t="inlineStr">
        <is>
          <t>2026-04</t>
        </is>
      </c>
      <c r="C6386" t="inlineStr">
        <is>
          <t>Elisa Cousiño</t>
        </is>
      </c>
      <c r="D6386" t="inlineStr">
        <is>
          <t>Rellenos</t>
        </is>
      </c>
      <c r="E6386" s="34" t="n">
        <v>18400</v>
      </c>
      <c r="F6386" t="inlineStr">
        <is>
          <t>B</t>
        </is>
      </c>
      <c r="G6386" s="34" t="n">
        <v>2938</v>
      </c>
      <c r="H6386" s="34" t="n">
        <v>15462</v>
      </c>
      <c r="I6386" t="inlineStr">
        <is>
          <t>3.2</t>
        </is>
      </c>
      <c r="J6386" t="inlineStr">
        <is>
          <t>Ventas Personas (B2C)</t>
        </is>
      </c>
      <c r="K6386" t="inlineStr">
        <is>
          <t>CH2</t>
        </is>
      </c>
    </row>
    <row r="6387">
      <c r="A6387" s="33" t="n">
        <v>46119</v>
      </c>
      <c r="B6387" t="inlineStr">
        <is>
          <t>2026-04</t>
        </is>
      </c>
      <c r="C6387" t="inlineStr">
        <is>
          <t>Inversiones Nagua SPA</t>
        </is>
      </c>
      <c r="D6387" t="inlineStr">
        <is>
          <t>HORECA CAFETERIA</t>
        </is>
      </c>
      <c r="E6387" s="34" t="n">
        <v>159674</v>
      </c>
      <c r="F6387" t="inlineStr">
        <is>
          <t>F</t>
        </is>
      </c>
      <c r="G6387" s="34" t="n">
        <v>25494</v>
      </c>
      <c r="H6387" s="34" t="n">
        <v>134180</v>
      </c>
      <c r="I6387" t="inlineStr">
        <is>
          <t>3.1</t>
        </is>
      </c>
      <c r="J6387" t="inlineStr">
        <is>
          <t>Ventas HoReCa</t>
        </is>
      </c>
      <c r="K6387" t="inlineStr">
        <is>
          <t>CH1</t>
        </is>
      </c>
    </row>
    <row r="6388">
      <c r="A6388" s="33" t="n">
        <v>46119</v>
      </c>
      <c r="B6388" t="inlineStr">
        <is>
          <t>2026-04</t>
        </is>
      </c>
      <c r="C6388" t="inlineStr">
        <is>
          <t>Sin cliente</t>
        </is>
      </c>
      <c r="D6388" t="inlineStr">
        <is>
          <t>CANELÉ TRADICIONAL</t>
        </is>
      </c>
      <c r="E6388" s="34" t="n">
        <v>19100</v>
      </c>
      <c r="F6388" t="inlineStr">
        <is>
          <t>B</t>
        </is>
      </c>
      <c r="G6388" s="34" t="n">
        <v>3050</v>
      </c>
      <c r="H6388" s="34" t="n">
        <v>16050</v>
      </c>
      <c r="I6388" t="inlineStr">
        <is>
          <t>3.2</t>
        </is>
      </c>
      <c r="J6388" t="inlineStr">
        <is>
          <t>Ventas Personas (B2C)</t>
        </is>
      </c>
      <c r="K6388" t="inlineStr">
        <is>
          <t>CH2</t>
        </is>
      </c>
    </row>
    <row r="6389">
      <c r="A6389" s="33" t="n">
        <v>46119</v>
      </c>
      <c r="B6389" t="inlineStr">
        <is>
          <t>2026-04</t>
        </is>
      </c>
      <c r="C6389" t="inlineStr">
        <is>
          <t>Sin cliente</t>
        </is>
      </c>
      <c r="D6389" t="inlineStr">
        <is>
          <t>Rellenos</t>
        </is>
      </c>
      <c r="E6389" s="34" t="n">
        <v>9500</v>
      </c>
      <c r="F6389" t="inlineStr">
        <is>
          <t>B</t>
        </is>
      </c>
      <c r="G6389" s="34" t="n">
        <v>1517</v>
      </c>
      <c r="H6389" s="34" t="n">
        <v>7983</v>
      </c>
      <c r="I6389" t="inlineStr">
        <is>
          <t>3.2</t>
        </is>
      </c>
      <c r="J6389" t="inlineStr">
        <is>
          <t>Ventas Personas (B2C)</t>
        </is>
      </c>
      <c r="K6389" t="inlineStr">
        <is>
          <t>CH2</t>
        </is>
      </c>
    </row>
    <row r="6390">
      <c r="A6390" s="33" t="n">
        <v>46119</v>
      </c>
      <c r="B6390" t="inlineStr">
        <is>
          <t>2026-04</t>
        </is>
      </c>
      <c r="C6390" t="inlineStr">
        <is>
          <t>Sin cliente</t>
        </is>
      </c>
      <c r="D6390" t="inlineStr">
        <is>
          <t>Cafeteria Geronimo</t>
        </is>
      </c>
      <c r="E6390" s="34" t="n">
        <v>2000</v>
      </c>
      <c r="F6390" t="inlineStr">
        <is>
          <t>B</t>
        </is>
      </c>
      <c r="G6390" s="34" t="n">
        <v>319</v>
      </c>
      <c r="H6390" s="34" t="n">
        <v>1681</v>
      </c>
      <c r="I6390" t="inlineStr">
        <is>
          <t>3.2</t>
        </is>
      </c>
      <c r="J6390" t="inlineStr">
        <is>
          <t>Ventas Personas (B2C)</t>
        </is>
      </c>
      <c r="K6390" t="inlineStr">
        <is>
          <t>CH2</t>
        </is>
      </c>
    </row>
    <row r="6391">
      <c r="A6391" s="33" t="n">
        <v>46119</v>
      </c>
      <c r="B6391" t="inlineStr">
        <is>
          <t>2026-04</t>
        </is>
      </c>
      <c r="C6391" t="inlineStr">
        <is>
          <t>Sin cliente</t>
        </is>
      </c>
      <c r="D6391" t="inlineStr">
        <is>
          <t>Rellenos</t>
        </is>
      </c>
      <c r="E6391" s="34" t="n">
        <v>18900</v>
      </c>
      <c r="F6391" t="inlineStr">
        <is>
          <t>B</t>
        </is>
      </c>
      <c r="G6391" s="34" t="n">
        <v>3018</v>
      </c>
      <c r="H6391" s="34" t="n">
        <v>15882</v>
      </c>
      <c r="I6391" t="inlineStr">
        <is>
          <t>3.2</t>
        </is>
      </c>
      <c r="J6391" t="inlineStr">
        <is>
          <t>Ventas Personas (B2C)</t>
        </is>
      </c>
      <c r="K6391" t="inlineStr">
        <is>
          <t>CH2</t>
        </is>
      </c>
    </row>
    <row r="6392">
      <c r="A6392" s="33" t="n">
        <v>46119</v>
      </c>
      <c r="B6392" t="inlineStr">
        <is>
          <t>2026-04</t>
        </is>
      </c>
      <c r="C6392" t="inlineStr">
        <is>
          <t>Sin cliente</t>
        </is>
      </c>
      <c r="D6392" t="inlineStr">
        <is>
          <t>CANELÉ TRADICIONAL</t>
        </is>
      </c>
      <c r="E6392" s="34" t="n">
        <v>62790</v>
      </c>
      <c r="F6392" t="inlineStr">
        <is>
          <t>B</t>
        </is>
      </c>
      <c r="G6392" s="34" t="n">
        <v>10025</v>
      </c>
      <c r="H6392" s="34" t="n">
        <v>52765</v>
      </c>
      <c r="I6392" t="inlineStr">
        <is>
          <t>3.2</t>
        </is>
      </c>
      <c r="J6392" t="inlineStr">
        <is>
          <t>Ventas Personas (B2C)</t>
        </is>
      </c>
      <c r="K6392" t="inlineStr">
        <is>
          <t>CH2</t>
        </is>
      </c>
    </row>
    <row r="6393">
      <c r="A6393" s="33" t="n">
        <v>46119</v>
      </c>
      <c r="B6393" t="inlineStr">
        <is>
          <t>2026-04</t>
        </is>
      </c>
      <c r="C6393" t="inlineStr">
        <is>
          <t>Sin cliente</t>
        </is>
      </c>
      <c r="D6393" t="inlineStr">
        <is>
          <t>CANELÉ TRADICIONAL</t>
        </is>
      </c>
      <c r="E6393" s="34" t="n">
        <v>15900</v>
      </c>
      <c r="F6393" t="inlineStr">
        <is>
          <t>B</t>
        </is>
      </c>
      <c r="G6393" s="34" t="n">
        <v>2539</v>
      </c>
      <c r="H6393" s="34" t="n">
        <v>13361</v>
      </c>
      <c r="I6393" t="inlineStr">
        <is>
          <t>3.2</t>
        </is>
      </c>
      <c r="J6393" t="inlineStr">
        <is>
          <t>Ventas Personas (B2C)</t>
        </is>
      </c>
      <c r="K6393" t="inlineStr">
        <is>
          <t>CH2</t>
        </is>
      </c>
    </row>
    <row r="6394">
      <c r="A6394" s="33" t="n">
        <v>46119</v>
      </c>
      <c r="B6394" t="inlineStr">
        <is>
          <t>2026-04</t>
        </is>
      </c>
      <c r="C6394" t="inlineStr">
        <is>
          <t>Sin cliente</t>
        </is>
      </c>
      <c r="D6394" t="inlineStr">
        <is>
          <t>Cafeteria Geronimo</t>
        </is>
      </c>
      <c r="E6394" s="34" t="n">
        <v>13400</v>
      </c>
      <c r="F6394" t="inlineStr">
        <is>
          <t>B</t>
        </is>
      </c>
      <c r="G6394" s="34" t="n">
        <v>2139</v>
      </c>
      <c r="H6394" s="34" t="n">
        <v>11261</v>
      </c>
      <c r="I6394" t="inlineStr">
        <is>
          <t>3.2</t>
        </is>
      </c>
      <c r="J6394" t="inlineStr">
        <is>
          <t>Ventas Personas (B2C)</t>
        </is>
      </c>
      <c r="K6394" t="inlineStr">
        <is>
          <t>CH2</t>
        </is>
      </c>
    </row>
    <row r="6395">
      <c r="A6395" s="33" t="n">
        <v>46119</v>
      </c>
      <c r="B6395" t="inlineStr">
        <is>
          <t>2026-04</t>
        </is>
      </c>
      <c r="C6395" t="inlineStr">
        <is>
          <t>Sin cliente</t>
        </is>
      </c>
      <c r="D6395" t="inlineStr">
        <is>
          <t>Delicatessen</t>
        </is>
      </c>
      <c r="E6395" s="34" t="n">
        <v>4250</v>
      </c>
      <c r="F6395" t="inlineStr">
        <is>
          <t>B</t>
        </is>
      </c>
      <c r="G6395" s="34" t="n">
        <v>679</v>
      </c>
      <c r="H6395" s="34" t="n">
        <v>3571</v>
      </c>
      <c r="I6395" t="inlineStr">
        <is>
          <t>3.2</t>
        </is>
      </c>
      <c r="J6395" t="inlineStr">
        <is>
          <t>Ventas Personas (B2C)</t>
        </is>
      </c>
      <c r="K6395" t="inlineStr">
        <is>
          <t>CH2</t>
        </is>
      </c>
    </row>
    <row r="6396">
      <c r="A6396" s="33" t="n">
        <v>46119</v>
      </c>
      <c r="B6396" t="inlineStr">
        <is>
          <t>2026-04</t>
        </is>
      </c>
      <c r="C6396" t="inlineStr">
        <is>
          <t>Sin cliente</t>
        </is>
      </c>
      <c r="D6396" t="inlineStr">
        <is>
          <t>CANELÉ TRADICIONAL</t>
        </is>
      </c>
      <c r="E6396" s="34" t="n">
        <v>29890</v>
      </c>
      <c r="F6396" t="inlineStr">
        <is>
          <t>B</t>
        </is>
      </c>
      <c r="G6396" s="34" t="n">
        <v>4772</v>
      </c>
      <c r="H6396" s="34" t="n">
        <v>25118</v>
      </c>
      <c r="I6396" t="inlineStr">
        <is>
          <t>3.2</t>
        </is>
      </c>
      <c r="J6396" t="inlineStr">
        <is>
          <t>Ventas Personas (B2C)</t>
        </is>
      </c>
      <c r="K6396" t="inlineStr">
        <is>
          <t>CH2</t>
        </is>
      </c>
    </row>
    <row r="6397">
      <c r="A6397" s="33" t="n">
        <v>46119</v>
      </c>
      <c r="B6397" t="inlineStr">
        <is>
          <t>2026-04</t>
        </is>
      </c>
      <c r="C6397" t="inlineStr">
        <is>
          <t>Sin cliente</t>
        </is>
      </c>
      <c r="D6397" t="inlineStr">
        <is>
          <t>CANELÉ TRADICIONAL</t>
        </is>
      </c>
      <c r="E6397" s="34" t="n">
        <v>31800</v>
      </c>
      <c r="F6397" t="inlineStr">
        <is>
          <t>B</t>
        </is>
      </c>
      <c r="G6397" s="34" t="n">
        <v>5077</v>
      </c>
      <c r="H6397" s="34" t="n">
        <v>26723</v>
      </c>
      <c r="I6397" t="inlineStr">
        <is>
          <t>3.2</t>
        </is>
      </c>
      <c r="J6397" t="inlineStr">
        <is>
          <t>Ventas Personas (B2C)</t>
        </is>
      </c>
      <c r="K6397" t="inlineStr">
        <is>
          <t>CH2</t>
        </is>
      </c>
    </row>
    <row r="6398">
      <c r="A6398" s="33" t="n">
        <v>46119</v>
      </c>
      <c r="B6398" t="inlineStr">
        <is>
          <t>2026-04</t>
        </is>
      </c>
      <c r="C6398" t="inlineStr">
        <is>
          <t>Sin cliente</t>
        </is>
      </c>
      <c r="D6398" t="inlineStr">
        <is>
          <t>CANELÉ TRADICIONAL</t>
        </is>
      </c>
      <c r="E6398" s="34" t="n">
        <v>2500</v>
      </c>
      <c r="F6398" t="inlineStr">
        <is>
          <t>B</t>
        </is>
      </c>
      <c r="G6398" s="34" t="n">
        <v>399</v>
      </c>
      <c r="H6398" s="34" t="n">
        <v>2101</v>
      </c>
      <c r="I6398" t="inlineStr">
        <is>
          <t>3.2</t>
        </is>
      </c>
      <c r="J6398" t="inlineStr">
        <is>
          <t>Ventas Personas (B2C)</t>
        </is>
      </c>
      <c r="K6398" t="inlineStr">
        <is>
          <t>CH2</t>
        </is>
      </c>
    </row>
    <row r="6399">
      <c r="A6399" s="33" t="n">
        <v>46119</v>
      </c>
      <c r="B6399" t="inlineStr">
        <is>
          <t>2026-04</t>
        </is>
      </c>
      <c r="C6399" t="inlineStr">
        <is>
          <t>Sin cliente</t>
        </is>
      </c>
      <c r="D6399" t="inlineStr">
        <is>
          <t>PLATAFORMAS RAP-PEYA-UBER-GOOD</t>
        </is>
      </c>
      <c r="E6399" s="34" t="n">
        <v>11760</v>
      </c>
      <c r="F6399" t="inlineStr">
        <is>
          <t>B</t>
        </is>
      </c>
      <c r="G6399" s="34" t="n">
        <v>1878</v>
      </c>
      <c r="H6399" s="34" t="n">
        <v>9882</v>
      </c>
      <c r="I6399" t="inlineStr">
        <is>
          <t>3.6</t>
        </is>
      </c>
      <c r="J6399" t="inlineStr">
        <is>
          <t>Ventas Delivery Apps</t>
        </is>
      </c>
      <c r="K6399" t="inlineStr">
        <is>
          <t>CH3</t>
        </is>
      </c>
    </row>
    <row r="6400">
      <c r="A6400" s="33" t="n">
        <v>46119</v>
      </c>
      <c r="B6400" t="inlineStr">
        <is>
          <t>2026-04</t>
        </is>
      </c>
      <c r="C6400" t="inlineStr">
        <is>
          <t>Sin cliente</t>
        </is>
      </c>
      <c r="D6400" t="inlineStr">
        <is>
          <t>Rellenos</t>
        </is>
      </c>
      <c r="E6400" s="34" t="n">
        <v>6000</v>
      </c>
      <c r="F6400" t="inlineStr">
        <is>
          <t>B</t>
        </is>
      </c>
      <c r="G6400" s="34" t="n">
        <v>958</v>
      </c>
      <c r="H6400" s="34" t="n">
        <v>5042</v>
      </c>
      <c r="I6400" t="inlineStr">
        <is>
          <t>3.2</t>
        </is>
      </c>
      <c r="J6400" t="inlineStr">
        <is>
          <t>Ventas Personas (B2C)</t>
        </is>
      </c>
      <c r="K6400" t="inlineStr">
        <is>
          <t>CH2</t>
        </is>
      </c>
    </row>
    <row r="6401">
      <c r="A6401" s="33" t="n">
        <v>46119</v>
      </c>
      <c r="B6401" t="inlineStr">
        <is>
          <t>2026-04</t>
        </is>
      </c>
      <c r="C6401" t="inlineStr">
        <is>
          <t>Maria Paz Castaño Ferralis</t>
        </is>
      </c>
      <c r="D6401" t="inlineStr">
        <is>
          <t>PACKAGING</t>
        </is>
      </c>
      <c r="E6401" s="34" t="n">
        <v>36713</v>
      </c>
      <c r="F6401" t="inlineStr">
        <is>
          <t>B</t>
        </is>
      </c>
      <c r="G6401" s="34" t="n">
        <v>5862</v>
      </c>
      <c r="H6401" s="34" t="n">
        <v>30851</v>
      </c>
      <c r="I6401" t="inlineStr">
        <is>
          <t>3.2</t>
        </is>
      </c>
      <c r="J6401" t="inlineStr">
        <is>
          <t>Ventas Personas (B2C)</t>
        </is>
      </c>
      <c r="K6401" t="inlineStr">
        <is>
          <t>CH2</t>
        </is>
      </c>
    </row>
    <row r="6402">
      <c r="A6402" s="33" t="n">
        <v>46120</v>
      </c>
      <c r="B6402" t="inlineStr">
        <is>
          <t>2026-04</t>
        </is>
      </c>
      <c r="C6402" t="inlineStr">
        <is>
          <t>Sociedad de inversiones solari y acuña spa</t>
        </is>
      </c>
      <c r="D6402" t="inlineStr">
        <is>
          <t>HORECA CAFETERIA</t>
        </is>
      </c>
      <c r="E6402" s="34" t="n">
        <v>148107</v>
      </c>
      <c r="F6402" t="inlineStr">
        <is>
          <t>F</t>
        </is>
      </c>
      <c r="G6402" s="34" t="n">
        <v>23647</v>
      </c>
      <c r="H6402" s="34" t="n">
        <v>124460</v>
      </c>
      <c r="I6402" t="inlineStr">
        <is>
          <t>3.1</t>
        </is>
      </c>
      <c r="J6402" t="inlineStr">
        <is>
          <t>Ventas HoReCa</t>
        </is>
      </c>
      <c r="K6402" t="inlineStr">
        <is>
          <t>CH1</t>
        </is>
      </c>
    </row>
    <row r="6403">
      <c r="A6403" s="33" t="n">
        <v>46120</v>
      </c>
      <c r="B6403" t="inlineStr">
        <is>
          <t>2026-04</t>
        </is>
      </c>
      <c r="C6403" t="inlineStr">
        <is>
          <t>Sociedad de inversiones solari y acuña spa</t>
        </is>
      </c>
      <c r="D6403" t="inlineStr">
        <is>
          <t>HORECA CAFETERIA</t>
        </is>
      </c>
      <c r="E6403" s="34" t="n">
        <v>-148107</v>
      </c>
      <c r="F6403" t="inlineStr">
        <is>
          <t>NC</t>
        </is>
      </c>
      <c r="G6403" s="34" t="n">
        <v>-23647</v>
      </c>
      <c r="H6403" s="34" t="n">
        <v>-124460</v>
      </c>
      <c r="I6403" t="inlineStr">
        <is>
          <t>3.1</t>
        </is>
      </c>
      <c r="J6403" t="inlineStr">
        <is>
          <t>Ventas HoReCa</t>
        </is>
      </c>
      <c r="K6403" t="inlineStr">
        <is>
          <t>CH1</t>
        </is>
      </c>
    </row>
    <row r="6404">
      <c r="A6404" s="33" t="n">
        <v>46120</v>
      </c>
      <c r="B6404" t="inlineStr">
        <is>
          <t>2026-04</t>
        </is>
      </c>
      <c r="C6404" t="inlineStr">
        <is>
          <t>Sociedad de inversiones solari y acuña spa</t>
        </is>
      </c>
      <c r="D6404" t="inlineStr">
        <is>
          <t>HORECA CAFETERIA</t>
        </is>
      </c>
      <c r="E6404" s="34" t="n">
        <v>135398</v>
      </c>
      <c r="F6404" t="inlineStr">
        <is>
          <t>F</t>
        </is>
      </c>
      <c r="G6404" s="34" t="n">
        <v>21618</v>
      </c>
      <c r="H6404" s="34" t="n">
        <v>113780</v>
      </c>
      <c r="I6404" t="inlineStr">
        <is>
          <t>3.1</t>
        </is>
      </c>
      <c r="J6404" t="inlineStr">
        <is>
          <t>Ventas HoReCa</t>
        </is>
      </c>
      <c r="K6404" t="inlineStr">
        <is>
          <t>CH1</t>
        </is>
      </c>
    </row>
    <row r="6405">
      <c r="A6405" s="33" t="n">
        <v>46120</v>
      </c>
      <c r="B6405" t="inlineStr">
        <is>
          <t>2026-04</t>
        </is>
      </c>
      <c r="C6405" t="inlineStr">
        <is>
          <t>Sociedad de inversiones solari y acuña spa</t>
        </is>
      </c>
      <c r="D6405" t="inlineStr">
        <is>
          <t>HORECA CAFETERIA</t>
        </is>
      </c>
      <c r="E6405" s="34" t="n">
        <v>87763</v>
      </c>
      <c r="F6405" t="inlineStr">
        <is>
          <t>F</t>
        </is>
      </c>
      <c r="G6405" s="34" t="n">
        <v>14013</v>
      </c>
      <c r="H6405" s="34" t="n">
        <v>73750</v>
      </c>
      <c r="I6405" t="inlineStr">
        <is>
          <t>3.1</t>
        </is>
      </c>
      <c r="J6405" t="inlineStr">
        <is>
          <t>Ventas HoReCa</t>
        </is>
      </c>
      <c r="K6405" t="inlineStr">
        <is>
          <t>CH1</t>
        </is>
      </c>
    </row>
    <row r="6406">
      <c r="A6406" s="33" t="n">
        <v>46120</v>
      </c>
      <c r="B6406" t="inlineStr">
        <is>
          <t>2026-04</t>
        </is>
      </c>
      <c r="C6406" t="inlineStr">
        <is>
          <t>Okinawa Spa</t>
        </is>
      </c>
      <c r="D6406" t="inlineStr">
        <is>
          <t>HORECA CAFETERIA</t>
        </is>
      </c>
      <c r="E6406" s="34" t="n">
        <v>72221</v>
      </c>
      <c r="F6406" t="inlineStr">
        <is>
          <t>F</t>
        </is>
      </c>
      <c r="G6406" s="34" t="n">
        <v>11531</v>
      </c>
      <c r="H6406" s="34" t="n">
        <v>60690</v>
      </c>
      <c r="I6406" t="inlineStr">
        <is>
          <t>3.1</t>
        </is>
      </c>
      <c r="J6406" t="inlineStr">
        <is>
          <t>Ventas HoReCa</t>
        </is>
      </c>
      <c r="K6406" t="inlineStr">
        <is>
          <t>CH1</t>
        </is>
      </c>
    </row>
    <row r="6407">
      <c r="A6407" s="33" t="n">
        <v>46120</v>
      </c>
      <c r="B6407" t="inlineStr">
        <is>
          <t>2026-04</t>
        </is>
      </c>
      <c r="C6407" t="inlineStr">
        <is>
          <t>BLUE OAK COFFE SPA</t>
        </is>
      </c>
      <c r="D6407" t="inlineStr">
        <is>
          <t>HORECA CAFETERIA</t>
        </is>
      </c>
      <c r="E6407" s="34" t="n">
        <v>71210</v>
      </c>
      <c r="F6407" t="inlineStr">
        <is>
          <t>F</t>
        </is>
      </c>
      <c r="G6407" s="34" t="n">
        <v>11370</v>
      </c>
      <c r="H6407" s="34" t="n">
        <v>59840</v>
      </c>
      <c r="I6407" t="inlineStr">
        <is>
          <t>3.1</t>
        </is>
      </c>
      <c r="J6407" t="inlineStr">
        <is>
          <t>Ventas HoReCa</t>
        </is>
      </c>
      <c r="K6407" t="inlineStr">
        <is>
          <t>CH1</t>
        </is>
      </c>
    </row>
    <row r="6408">
      <c r="A6408" s="33" t="n">
        <v>46120</v>
      </c>
      <c r="B6408" t="inlineStr">
        <is>
          <t>2026-04</t>
        </is>
      </c>
      <c r="C6408" t="inlineStr">
        <is>
          <t>Cocoshouse Spa</t>
        </is>
      </c>
      <c r="D6408" t="inlineStr">
        <is>
          <t>HORECA CAFETERIA</t>
        </is>
      </c>
      <c r="E6408" s="34" t="n">
        <v>77564</v>
      </c>
      <c r="F6408" t="inlineStr">
        <is>
          <t>F</t>
        </is>
      </c>
      <c r="G6408" s="34" t="n">
        <v>12384</v>
      </c>
      <c r="H6408" s="34" t="n">
        <v>65180</v>
      </c>
      <c r="I6408" t="inlineStr">
        <is>
          <t>3.1</t>
        </is>
      </c>
      <c r="J6408" t="inlineStr">
        <is>
          <t>Ventas HoReCa</t>
        </is>
      </c>
      <c r="K6408" t="inlineStr">
        <is>
          <t>CH1</t>
        </is>
      </c>
    </row>
    <row r="6409">
      <c r="A6409" s="33" t="n">
        <v>46120</v>
      </c>
      <c r="B6409" t="inlineStr">
        <is>
          <t>2026-04</t>
        </is>
      </c>
      <c r="C6409" t="inlineStr">
        <is>
          <t>BUSTORF LARSEN Y COMPANIA LIMITADA</t>
        </is>
      </c>
      <c r="D6409" t="inlineStr">
        <is>
          <t>HORECA CAFETERIA</t>
        </is>
      </c>
      <c r="E6409" s="34" t="n">
        <v>77564</v>
      </c>
      <c r="F6409" t="inlineStr">
        <is>
          <t>F</t>
        </is>
      </c>
      <c r="G6409" s="34" t="n">
        <v>12384</v>
      </c>
      <c r="H6409" s="34" t="n">
        <v>65180</v>
      </c>
      <c r="I6409" t="inlineStr">
        <is>
          <t>3.1</t>
        </is>
      </c>
      <c r="J6409" t="inlineStr">
        <is>
          <t>Ventas HoReCa</t>
        </is>
      </c>
      <c r="K6409" t="inlineStr">
        <is>
          <t>CH1</t>
        </is>
      </c>
    </row>
    <row r="6410">
      <c r="A6410" s="33" t="n">
        <v>46120</v>
      </c>
      <c r="B6410" t="inlineStr">
        <is>
          <t>2026-04</t>
        </is>
      </c>
      <c r="C6410" t="inlineStr">
        <is>
          <t>Katy Bielefeldt Aranzubia</t>
        </is>
      </c>
      <c r="D6410" t="inlineStr">
        <is>
          <t>Mix Sabores</t>
        </is>
      </c>
      <c r="E6410" s="34" t="n">
        <v>22890</v>
      </c>
      <c r="F6410" t="inlineStr">
        <is>
          <t>B</t>
        </is>
      </c>
      <c r="G6410" s="34" t="n">
        <v>3655</v>
      </c>
      <c r="H6410" s="34" t="n">
        <v>19235</v>
      </c>
      <c r="I6410" t="inlineStr">
        <is>
          <t>3.2</t>
        </is>
      </c>
      <c r="J6410" t="inlineStr">
        <is>
          <t>Ventas Personas (B2C)</t>
        </is>
      </c>
      <c r="K6410" t="inlineStr">
        <is>
          <t>CH2</t>
        </is>
      </c>
    </row>
    <row r="6411">
      <c r="A6411" s="33" t="n">
        <v>46120</v>
      </c>
      <c r="B6411" t="inlineStr">
        <is>
          <t>2026-04</t>
        </is>
      </c>
      <c r="C6411" t="inlineStr">
        <is>
          <t>Max Wilder Cvitanic</t>
        </is>
      </c>
      <c r="D6411" t="inlineStr">
        <is>
          <t>CANELÉ TRADICIONAL</t>
        </is>
      </c>
      <c r="E6411" s="34" t="n">
        <v>7990</v>
      </c>
      <c r="F6411" t="inlineStr">
        <is>
          <t>B</t>
        </is>
      </c>
      <c r="G6411" s="34" t="n">
        <v>1276</v>
      </c>
      <c r="H6411" s="34" t="n">
        <v>6714</v>
      </c>
      <c r="I6411" t="inlineStr">
        <is>
          <t>3.2</t>
        </is>
      </c>
      <c r="J6411" t="inlineStr">
        <is>
          <t>Ventas Personas (B2C)</t>
        </is>
      </c>
      <c r="K6411" t="inlineStr">
        <is>
          <t>CH2</t>
        </is>
      </c>
    </row>
    <row r="6412">
      <c r="A6412" s="33" t="n">
        <v>46120</v>
      </c>
      <c r="B6412" t="inlineStr">
        <is>
          <t>2026-04</t>
        </is>
      </c>
      <c r="C6412" t="inlineStr">
        <is>
          <t>Maria Oyarzun</t>
        </is>
      </c>
      <c r="D6412" t="inlineStr">
        <is>
          <t>Otras Regiones</t>
        </is>
      </c>
      <c r="E6412" s="34" t="n">
        <v>9990</v>
      </c>
      <c r="F6412" t="inlineStr">
        <is>
          <t>B</t>
        </is>
      </c>
      <c r="G6412" s="34" t="n">
        <v>1595</v>
      </c>
      <c r="H6412" s="34" t="n">
        <v>8395</v>
      </c>
      <c r="I6412" t="inlineStr">
        <is>
          <t>3.2</t>
        </is>
      </c>
      <c r="J6412" t="inlineStr">
        <is>
          <t>Ventas Personas (B2C)</t>
        </is>
      </c>
      <c r="K6412" t="inlineStr">
        <is>
          <t>CH2</t>
        </is>
      </c>
    </row>
    <row r="6413">
      <c r="A6413" s="33" t="n">
        <v>46120</v>
      </c>
      <c r="B6413" t="inlineStr">
        <is>
          <t>2026-04</t>
        </is>
      </c>
      <c r="C6413" t="inlineStr">
        <is>
          <t>Karina Santacruz</t>
        </is>
      </c>
      <c r="D6413" t="inlineStr">
        <is>
          <t>CANELE SIN AZUCAR</t>
        </is>
      </c>
      <c r="E6413" s="34" t="n">
        <v>15110</v>
      </c>
      <c r="F6413" t="inlineStr">
        <is>
          <t>B</t>
        </is>
      </c>
      <c r="G6413" s="34" t="n">
        <v>2413</v>
      </c>
      <c r="H6413" s="34" t="n">
        <v>12697</v>
      </c>
      <c r="I6413" t="inlineStr">
        <is>
          <t>3.2</t>
        </is>
      </c>
      <c r="J6413" t="inlineStr">
        <is>
          <t>Ventas Personas (B2C)</t>
        </is>
      </c>
      <c r="K6413" t="inlineStr">
        <is>
          <t>CH2</t>
        </is>
      </c>
    </row>
    <row r="6414">
      <c r="A6414" s="33" t="n">
        <v>46120</v>
      </c>
      <c r="B6414" t="inlineStr">
        <is>
          <t>2026-04</t>
        </is>
      </c>
      <c r="C6414" t="inlineStr">
        <is>
          <t>INFLUENCE LATAM SPA</t>
        </is>
      </c>
      <c r="D6414" t="inlineStr">
        <is>
          <t>Rellenos</t>
        </is>
      </c>
      <c r="E6414" s="34" t="n">
        <v>708276</v>
      </c>
      <c r="F6414" t="inlineStr">
        <is>
          <t>F</t>
        </is>
      </c>
      <c r="G6414" s="34" t="n">
        <v>113086</v>
      </c>
      <c r="H6414" s="34" t="n">
        <v>595190</v>
      </c>
      <c r="I6414" t="inlineStr">
        <is>
          <t>3.1</t>
        </is>
      </c>
      <c r="J6414" t="inlineStr">
        <is>
          <t>Ventas HoReCa</t>
        </is>
      </c>
      <c r="K6414" t="inlineStr">
        <is>
          <t>CH1</t>
        </is>
      </c>
    </row>
    <row r="6415">
      <c r="A6415" s="33" t="n">
        <v>46120</v>
      </c>
      <c r="B6415" t="inlineStr">
        <is>
          <t>2026-04</t>
        </is>
      </c>
      <c r="C6415" t="inlineStr">
        <is>
          <t>Sin cliente</t>
        </is>
      </c>
      <c r="D6415" t="inlineStr">
        <is>
          <t>CANELE SIN AZUCAR</t>
        </is>
      </c>
      <c r="E6415" s="34" t="n">
        <v>55600</v>
      </c>
      <c r="F6415" t="inlineStr">
        <is>
          <t>B</t>
        </is>
      </c>
      <c r="G6415" s="34" t="n">
        <v>8877</v>
      </c>
      <c r="H6415" s="34" t="n">
        <v>46723</v>
      </c>
      <c r="I6415" t="inlineStr">
        <is>
          <t>3.2</t>
        </is>
      </c>
      <c r="J6415" t="inlineStr">
        <is>
          <t>Ventas Personas (B2C)</t>
        </is>
      </c>
      <c r="K6415" t="inlineStr">
        <is>
          <t>CH2</t>
        </is>
      </c>
    </row>
    <row r="6416">
      <c r="A6416" s="33" t="n">
        <v>46120</v>
      </c>
      <c r="B6416" t="inlineStr">
        <is>
          <t>2026-04</t>
        </is>
      </c>
      <c r="C6416" t="inlineStr">
        <is>
          <t>Sin cliente</t>
        </is>
      </c>
      <c r="D6416" t="inlineStr">
        <is>
          <t>PLATAFORMAS RAP-PEYA-UBER-GOOD</t>
        </is>
      </c>
      <c r="E6416" s="34" t="n">
        <v>33120</v>
      </c>
      <c r="F6416" t="inlineStr">
        <is>
          <t>B</t>
        </is>
      </c>
      <c r="G6416" s="34" t="n">
        <v>5288</v>
      </c>
      <c r="H6416" s="34" t="n">
        <v>27832</v>
      </c>
      <c r="I6416" t="inlineStr">
        <is>
          <t>3.6</t>
        </is>
      </c>
      <c r="J6416" t="inlineStr">
        <is>
          <t>Ventas Delivery Apps</t>
        </is>
      </c>
      <c r="K6416" t="inlineStr">
        <is>
          <t>CH3</t>
        </is>
      </c>
    </row>
    <row r="6417">
      <c r="A6417" s="33" t="n">
        <v>46120</v>
      </c>
      <c r="B6417" t="inlineStr">
        <is>
          <t>2026-04</t>
        </is>
      </c>
      <c r="C6417" t="inlineStr">
        <is>
          <t>Sin cliente</t>
        </is>
      </c>
      <c r="D6417" t="inlineStr">
        <is>
          <t>Petit Crunchy</t>
        </is>
      </c>
      <c r="E6417" s="34" t="n">
        <v>36700</v>
      </c>
      <c r="F6417" t="inlineStr">
        <is>
          <t>B</t>
        </is>
      </c>
      <c r="G6417" s="34" t="n">
        <v>5860</v>
      </c>
      <c r="H6417" s="34" t="n">
        <v>30840</v>
      </c>
      <c r="I6417" t="inlineStr">
        <is>
          <t>3.2</t>
        </is>
      </c>
      <c r="J6417" t="inlineStr">
        <is>
          <t>Ventas Personas (B2C)</t>
        </is>
      </c>
      <c r="K6417" t="inlineStr">
        <is>
          <t>CH2</t>
        </is>
      </c>
    </row>
    <row r="6418">
      <c r="A6418" s="33" t="n">
        <v>46120</v>
      </c>
      <c r="B6418" t="inlineStr">
        <is>
          <t>2026-04</t>
        </is>
      </c>
      <c r="C6418" t="inlineStr">
        <is>
          <t>Sin cliente</t>
        </is>
      </c>
      <c r="D6418" t="inlineStr">
        <is>
          <t>Cafeteria Geronimo</t>
        </is>
      </c>
      <c r="E6418" s="34" t="n">
        <v>11500</v>
      </c>
      <c r="F6418" t="inlineStr">
        <is>
          <t>B</t>
        </is>
      </c>
      <c r="G6418" s="34" t="n">
        <v>1836</v>
      </c>
      <c r="H6418" s="34" t="n">
        <v>9664</v>
      </c>
      <c r="I6418" t="inlineStr">
        <is>
          <t>3.2</t>
        </is>
      </c>
      <c r="J6418" t="inlineStr">
        <is>
          <t>Ventas Personas (B2C)</t>
        </is>
      </c>
      <c r="K6418" t="inlineStr">
        <is>
          <t>CH2</t>
        </is>
      </c>
    </row>
    <row r="6419">
      <c r="A6419" s="33" t="n">
        <v>46120</v>
      </c>
      <c r="B6419" t="inlineStr">
        <is>
          <t>2026-04</t>
        </is>
      </c>
      <c r="C6419" t="inlineStr">
        <is>
          <t>Sin cliente</t>
        </is>
      </c>
      <c r="D6419" t="inlineStr">
        <is>
          <t>Rellenos</t>
        </is>
      </c>
      <c r="E6419" s="34" t="n">
        <v>7000</v>
      </c>
      <c r="F6419" t="inlineStr">
        <is>
          <t>B</t>
        </is>
      </c>
      <c r="G6419" s="34" t="n">
        <v>1118</v>
      </c>
      <c r="H6419" s="34" t="n">
        <v>5882</v>
      </c>
      <c r="I6419" t="inlineStr">
        <is>
          <t>3.2</t>
        </is>
      </c>
      <c r="J6419" t="inlineStr">
        <is>
          <t>Ventas Personas (B2C)</t>
        </is>
      </c>
      <c r="K6419" t="inlineStr">
        <is>
          <t>CH2</t>
        </is>
      </c>
    </row>
    <row r="6420">
      <c r="A6420" s="33" t="n">
        <v>46120</v>
      </c>
      <c r="B6420" t="inlineStr">
        <is>
          <t>2026-04</t>
        </is>
      </c>
      <c r="C6420" t="inlineStr">
        <is>
          <t>Sin cliente</t>
        </is>
      </c>
      <c r="D6420" t="inlineStr">
        <is>
          <t>PLATAFORMAS RAP-PEYA-UBER-GOOD</t>
        </is>
      </c>
      <c r="E6420" s="34" t="n">
        <v>26160</v>
      </c>
      <c r="F6420" t="inlineStr">
        <is>
          <t>B</t>
        </is>
      </c>
      <c r="G6420" s="34" t="n">
        <v>4177</v>
      </c>
      <c r="H6420" s="34" t="n">
        <v>21983</v>
      </c>
      <c r="I6420" t="inlineStr">
        <is>
          <t>3.6</t>
        </is>
      </c>
      <c r="J6420" t="inlineStr">
        <is>
          <t>Ventas Delivery Apps</t>
        </is>
      </c>
      <c r="K6420" t="inlineStr">
        <is>
          <t>CH3</t>
        </is>
      </c>
    </row>
    <row r="6421">
      <c r="A6421" s="33" t="n">
        <v>46120</v>
      </c>
      <c r="B6421" t="inlineStr">
        <is>
          <t>2026-04</t>
        </is>
      </c>
      <c r="C6421" t="inlineStr">
        <is>
          <t>Sin cliente</t>
        </is>
      </c>
      <c r="D6421" t="inlineStr">
        <is>
          <t>Petit Crunchy</t>
        </is>
      </c>
      <c r="E6421" s="34" t="n">
        <v>14400</v>
      </c>
      <c r="F6421" t="inlineStr">
        <is>
          <t>B</t>
        </is>
      </c>
      <c r="G6421" s="34" t="n">
        <v>2299</v>
      </c>
      <c r="H6421" s="34" t="n">
        <v>12101</v>
      </c>
      <c r="I6421" t="inlineStr">
        <is>
          <t>3.2</t>
        </is>
      </c>
      <c r="J6421" t="inlineStr">
        <is>
          <t>Ventas Personas (B2C)</t>
        </is>
      </c>
      <c r="K6421" t="inlineStr">
        <is>
          <t>CH2</t>
        </is>
      </c>
    </row>
    <row r="6422">
      <c r="A6422" s="33" t="n">
        <v>46120</v>
      </c>
      <c r="B6422" t="inlineStr">
        <is>
          <t>2026-04</t>
        </is>
      </c>
      <c r="C6422" t="inlineStr">
        <is>
          <t>Sin cliente</t>
        </is>
      </c>
      <c r="D6422" t="inlineStr">
        <is>
          <t>Cafeteria Geronimo</t>
        </is>
      </c>
      <c r="E6422" s="34" t="n">
        <v>4800</v>
      </c>
      <c r="F6422" t="inlineStr">
        <is>
          <t>B</t>
        </is>
      </c>
      <c r="G6422" s="34" t="n">
        <v>766</v>
      </c>
      <c r="H6422" s="34" t="n">
        <v>4034</v>
      </c>
      <c r="I6422" t="inlineStr">
        <is>
          <t>3.2</t>
        </is>
      </c>
      <c r="J6422" t="inlineStr">
        <is>
          <t>Ventas Personas (B2C)</t>
        </is>
      </c>
      <c r="K6422" t="inlineStr">
        <is>
          <t>CH2</t>
        </is>
      </c>
    </row>
    <row r="6423">
      <c r="A6423" s="33" t="n">
        <v>46120</v>
      </c>
      <c r="B6423" t="inlineStr">
        <is>
          <t>2026-04</t>
        </is>
      </c>
      <c r="C6423" t="inlineStr">
        <is>
          <t>Sin cliente</t>
        </is>
      </c>
      <c r="D6423" t="inlineStr">
        <is>
          <t>CANELÉ TRADICIONAL</t>
        </is>
      </c>
      <c r="E6423" s="34" t="n">
        <v>5000</v>
      </c>
      <c r="F6423" t="inlineStr">
        <is>
          <t>B</t>
        </is>
      </c>
      <c r="G6423" s="34" t="n">
        <v>798</v>
      </c>
      <c r="H6423" s="34" t="n">
        <v>4202</v>
      </c>
      <c r="I6423" t="inlineStr">
        <is>
          <t>3.2</t>
        </is>
      </c>
      <c r="J6423" t="inlineStr">
        <is>
          <t>Ventas Personas (B2C)</t>
        </is>
      </c>
      <c r="K6423" t="inlineStr">
        <is>
          <t>CH2</t>
        </is>
      </c>
    </row>
    <row r="6424">
      <c r="A6424" s="33" t="n">
        <v>46120</v>
      </c>
      <c r="B6424" t="inlineStr">
        <is>
          <t>2026-04</t>
        </is>
      </c>
      <c r="C6424" t="inlineStr">
        <is>
          <t>Sin cliente</t>
        </is>
      </c>
      <c r="D6424" t="inlineStr">
        <is>
          <t>Petit Crunchy</t>
        </is>
      </c>
      <c r="E6424" s="34" t="n">
        <v>10900</v>
      </c>
      <c r="F6424" t="inlineStr">
        <is>
          <t>B</t>
        </is>
      </c>
      <c r="G6424" s="34" t="n">
        <v>1740</v>
      </c>
      <c r="H6424" s="34" t="n">
        <v>9160</v>
      </c>
      <c r="I6424" t="inlineStr">
        <is>
          <t>3.2</t>
        </is>
      </c>
      <c r="J6424" t="inlineStr">
        <is>
          <t>Ventas Personas (B2C)</t>
        </is>
      </c>
      <c r="K6424" t="inlineStr">
        <is>
          <t>CH2</t>
        </is>
      </c>
    </row>
    <row r="6425">
      <c r="A6425" s="33" t="n">
        <v>46120</v>
      </c>
      <c r="B6425" t="inlineStr">
        <is>
          <t>2026-04</t>
        </is>
      </c>
      <c r="C6425" t="inlineStr">
        <is>
          <t>Sin cliente</t>
        </is>
      </c>
      <c r="D6425" t="inlineStr">
        <is>
          <t>PLATAFORMAS RAP-PEYA-UBER-GOOD</t>
        </is>
      </c>
      <c r="E6425" s="34" t="n">
        <v>13680</v>
      </c>
      <c r="F6425" t="inlineStr">
        <is>
          <t>B</t>
        </is>
      </c>
      <c r="G6425" s="34" t="n">
        <v>2184</v>
      </c>
      <c r="H6425" s="34" t="n">
        <v>11496</v>
      </c>
      <c r="I6425" t="inlineStr">
        <is>
          <t>3.6</t>
        </is>
      </c>
      <c r="J6425" t="inlineStr">
        <is>
          <t>Ventas Delivery Apps</t>
        </is>
      </c>
      <c r="K6425" t="inlineStr">
        <is>
          <t>CH3</t>
        </is>
      </c>
    </row>
    <row r="6426">
      <c r="A6426" s="33" t="n">
        <v>46120</v>
      </c>
      <c r="B6426" t="inlineStr">
        <is>
          <t>2026-04</t>
        </is>
      </c>
      <c r="C6426" t="inlineStr">
        <is>
          <t>Sin cliente</t>
        </is>
      </c>
      <c r="D6426" t="inlineStr">
        <is>
          <t>PLATAFORMAS RAP-PEYA-UBER-GOOD</t>
        </is>
      </c>
      <c r="E6426" s="34" t="n">
        <v>27480</v>
      </c>
      <c r="F6426" t="inlineStr">
        <is>
          <t>B</t>
        </is>
      </c>
      <c r="G6426" s="34" t="n">
        <v>4388</v>
      </c>
      <c r="H6426" s="34" t="n">
        <v>23092</v>
      </c>
      <c r="I6426" t="inlineStr">
        <is>
          <t>3.6</t>
        </is>
      </c>
      <c r="J6426" t="inlineStr">
        <is>
          <t>Ventas Delivery Apps</t>
        </is>
      </c>
      <c r="K6426" t="inlineStr">
        <is>
          <t>CH3</t>
        </is>
      </c>
    </row>
    <row r="6427">
      <c r="A6427" s="33" t="n">
        <v>46120</v>
      </c>
      <c r="B6427" t="inlineStr">
        <is>
          <t>2026-04</t>
        </is>
      </c>
      <c r="C6427" t="inlineStr">
        <is>
          <t>Sin cliente</t>
        </is>
      </c>
      <c r="D6427" t="inlineStr">
        <is>
          <t>CANELÉ TRADICIONAL</t>
        </is>
      </c>
      <c r="E6427" s="34" t="n">
        <v>5000</v>
      </c>
      <c r="F6427" t="inlineStr">
        <is>
          <t>B</t>
        </is>
      </c>
      <c r="G6427" s="34" t="n">
        <v>798</v>
      </c>
      <c r="H6427" s="34" t="n">
        <v>4202</v>
      </c>
      <c r="I6427" t="inlineStr">
        <is>
          <t>3.2</t>
        </is>
      </c>
      <c r="J6427" t="inlineStr">
        <is>
          <t>Ventas Personas (B2C)</t>
        </is>
      </c>
      <c r="K6427" t="inlineStr">
        <is>
          <t>CH2</t>
        </is>
      </c>
    </row>
    <row r="6428">
      <c r="A6428" s="33" t="n">
        <v>46120</v>
      </c>
      <c r="B6428" t="inlineStr">
        <is>
          <t>2026-04</t>
        </is>
      </c>
      <c r="C6428" t="inlineStr">
        <is>
          <t>Sin cliente</t>
        </is>
      </c>
      <c r="D6428" t="inlineStr">
        <is>
          <t>PLATAFORMAS RAP-PEYA-UBER-GOOD</t>
        </is>
      </c>
      <c r="E6428" s="34" t="n">
        <v>37800</v>
      </c>
      <c r="F6428" t="inlineStr">
        <is>
          <t>B</t>
        </is>
      </c>
      <c r="G6428" s="34" t="n">
        <v>6035</v>
      </c>
      <c r="H6428" s="34" t="n">
        <v>31765</v>
      </c>
      <c r="I6428" t="inlineStr">
        <is>
          <t>3.6</t>
        </is>
      </c>
      <c r="J6428" t="inlineStr">
        <is>
          <t>Ventas Delivery Apps</t>
        </is>
      </c>
      <c r="K6428" t="inlineStr">
        <is>
          <t>CH3</t>
        </is>
      </c>
    </row>
    <row r="6429">
      <c r="A6429" s="33" t="n">
        <v>46120</v>
      </c>
      <c r="B6429" t="inlineStr">
        <is>
          <t>2026-04</t>
        </is>
      </c>
      <c r="C6429" t="inlineStr">
        <is>
          <t>Amelia Jarpa</t>
        </is>
      </c>
      <c r="D6429" t="inlineStr">
        <is>
          <t>Petit Tradicional</t>
        </is>
      </c>
      <c r="E6429" s="34" t="n">
        <v>23110</v>
      </c>
      <c r="F6429" t="inlineStr">
        <is>
          <t>B</t>
        </is>
      </c>
      <c r="G6429" s="34" t="n">
        <v>3690</v>
      </c>
      <c r="H6429" s="34" t="n">
        <v>19420</v>
      </c>
      <c r="I6429" t="inlineStr">
        <is>
          <t>3.2</t>
        </is>
      </c>
      <c r="J6429" t="inlineStr">
        <is>
          <t>Ventas Personas (B2C)</t>
        </is>
      </c>
      <c r="K6429" t="inlineStr">
        <is>
          <t>CH2</t>
        </is>
      </c>
    </row>
    <row r="6430">
      <c r="A6430" s="33" t="n">
        <v>46121</v>
      </c>
      <c r="B6430" t="inlineStr">
        <is>
          <t>2026-04</t>
        </is>
      </c>
      <c r="C6430" t="inlineStr">
        <is>
          <t>TAVELLI S.A.</t>
        </is>
      </c>
      <c r="D6430" t="inlineStr">
        <is>
          <t>HORECA CAFETERIA</t>
        </is>
      </c>
      <c r="E6430" s="34" t="n">
        <v>818405</v>
      </c>
      <c r="F6430" t="inlineStr">
        <is>
          <t>F</t>
        </is>
      </c>
      <c r="G6430" s="34" t="n">
        <v>130670</v>
      </c>
      <c r="H6430" s="34" t="n">
        <v>687735</v>
      </c>
      <c r="I6430" t="inlineStr">
        <is>
          <t>3.1</t>
        </is>
      </c>
      <c r="J6430" t="inlineStr">
        <is>
          <t>Ventas HoReCa</t>
        </is>
      </c>
      <c r="K6430" t="inlineStr">
        <is>
          <t>CH1</t>
        </is>
      </c>
    </row>
    <row r="6431">
      <c r="A6431" s="33" t="n">
        <v>46121</v>
      </c>
      <c r="B6431" t="inlineStr">
        <is>
          <t>2026-04</t>
        </is>
      </c>
      <c r="C6431" t="inlineStr">
        <is>
          <t>TAVELLI S.A.</t>
        </is>
      </c>
      <c r="D6431" t="inlineStr">
        <is>
          <t>REGION METROPOLITANA</t>
        </is>
      </c>
      <c r="E6431" s="34" t="n">
        <v>35700</v>
      </c>
      <c r="F6431" t="inlineStr">
        <is>
          <t>F</t>
        </is>
      </c>
      <c r="G6431" s="34" t="n">
        <v>5700</v>
      </c>
      <c r="H6431" s="34" t="n">
        <v>30000</v>
      </c>
      <c r="I6431" t="inlineStr">
        <is>
          <t>3.1</t>
        </is>
      </c>
      <c r="J6431" t="inlineStr">
        <is>
          <t>Ventas HoReCa</t>
        </is>
      </c>
      <c r="K6431" t="inlineStr">
        <is>
          <t>CH1</t>
        </is>
      </c>
    </row>
    <row r="6432">
      <c r="A6432" s="33" t="n">
        <v>46121</v>
      </c>
      <c r="B6432" t="inlineStr">
        <is>
          <t>2026-04</t>
        </is>
      </c>
      <c r="C6432" t="inlineStr">
        <is>
          <t>D&amp;S SERVICIOS DE ALIMENTACIÓN SpA</t>
        </is>
      </c>
      <c r="D6432" t="inlineStr">
        <is>
          <t xml:space="preserve">THE COFFEE STORE </t>
        </is>
      </c>
      <c r="E6432" s="34" t="n">
        <v>44705</v>
      </c>
      <c r="F6432" t="inlineStr">
        <is>
          <t>F</t>
        </is>
      </c>
      <c r="G6432" s="34" t="n">
        <v>7138</v>
      </c>
      <c r="H6432" s="34" t="n">
        <v>37567</v>
      </c>
      <c r="I6432" t="inlineStr">
        <is>
          <t>3.1</t>
        </is>
      </c>
      <c r="J6432" t="inlineStr">
        <is>
          <t>Ventas HoReCa</t>
        </is>
      </c>
      <c r="K6432" t="inlineStr">
        <is>
          <t>CH1</t>
        </is>
      </c>
    </row>
    <row r="6433">
      <c r="A6433" s="33" t="n">
        <v>46121</v>
      </c>
      <c r="B6433" t="inlineStr">
        <is>
          <t>2026-04</t>
        </is>
      </c>
      <c r="C6433" t="inlineStr">
        <is>
          <t>Better Food Spa</t>
        </is>
      </c>
      <c r="D6433" t="inlineStr">
        <is>
          <t>HORECA CAFETERIA</t>
        </is>
      </c>
      <c r="E6433" s="34" t="n">
        <v>353037</v>
      </c>
      <c r="F6433" t="inlineStr">
        <is>
          <t>F</t>
        </is>
      </c>
      <c r="G6433" s="34" t="n">
        <v>56367</v>
      </c>
      <c r="H6433" s="34" t="n">
        <v>296670</v>
      </c>
      <c r="I6433" t="inlineStr">
        <is>
          <t>3.1</t>
        </is>
      </c>
      <c r="J6433" t="inlineStr">
        <is>
          <t>Ventas HoReCa</t>
        </is>
      </c>
      <c r="K6433" t="inlineStr">
        <is>
          <t>CH1</t>
        </is>
      </c>
    </row>
    <row r="6434">
      <c r="A6434" s="33" t="n">
        <v>46121</v>
      </c>
      <c r="B6434" t="inlineStr">
        <is>
          <t>2026-04</t>
        </is>
      </c>
      <c r="C6434" t="inlineStr">
        <is>
          <t>Better Food Spa</t>
        </is>
      </c>
      <c r="D6434" t="inlineStr">
        <is>
          <t>REGION METROPOLITANA</t>
        </is>
      </c>
      <c r="E6434" s="34" t="n">
        <v>9401</v>
      </c>
      <c r="F6434" t="inlineStr">
        <is>
          <t>F</t>
        </is>
      </c>
      <c r="G6434" s="34" t="n">
        <v>1501</v>
      </c>
      <c r="H6434" s="34" t="n">
        <v>7900</v>
      </c>
      <c r="I6434" t="inlineStr">
        <is>
          <t>3.1</t>
        </is>
      </c>
      <c r="J6434" t="inlineStr">
        <is>
          <t>Ventas HoReCa</t>
        </is>
      </c>
      <c r="K6434" t="inlineStr">
        <is>
          <t>CH1</t>
        </is>
      </c>
    </row>
    <row r="6435">
      <c r="A6435" s="33" t="n">
        <v>46121</v>
      </c>
      <c r="B6435" t="inlineStr">
        <is>
          <t>2026-04</t>
        </is>
      </c>
      <c r="C6435" t="inlineStr">
        <is>
          <t>VILAS BANQUETERIAS SPA</t>
        </is>
      </c>
      <c r="D6435" t="inlineStr">
        <is>
          <t>HORECA CATERING</t>
        </is>
      </c>
      <c r="E6435" s="34" t="n">
        <v>219079</v>
      </c>
      <c r="F6435" t="inlineStr">
        <is>
          <t>F</t>
        </is>
      </c>
      <c r="G6435" s="34" t="n">
        <v>34979</v>
      </c>
      <c r="H6435" s="34" t="n">
        <v>184100</v>
      </c>
      <c r="I6435" t="inlineStr">
        <is>
          <t>3.1</t>
        </is>
      </c>
      <c r="J6435" t="inlineStr">
        <is>
          <t>Ventas HoReCa</t>
        </is>
      </c>
      <c r="K6435" t="inlineStr">
        <is>
          <t>CH1</t>
        </is>
      </c>
    </row>
    <row r="6436">
      <c r="A6436" s="33" t="n">
        <v>46121</v>
      </c>
      <c r="B6436" t="inlineStr">
        <is>
          <t>2026-04</t>
        </is>
      </c>
      <c r="C6436" t="inlineStr">
        <is>
          <t>Paola Mazo</t>
        </is>
      </c>
      <c r="D6436" t="inlineStr">
        <is>
          <t>CANELÉ TRADICIONAL</t>
        </is>
      </c>
      <c r="E6436" s="34" t="n">
        <v>31390</v>
      </c>
      <c r="F6436" t="inlineStr">
        <is>
          <t>B</t>
        </is>
      </c>
      <c r="G6436" s="34" t="n">
        <v>5012</v>
      </c>
      <c r="H6436" s="34" t="n">
        <v>26378</v>
      </c>
      <c r="I6436" t="inlineStr">
        <is>
          <t>3.2</t>
        </is>
      </c>
      <c r="J6436" t="inlineStr">
        <is>
          <t>Ventas Personas (B2C)</t>
        </is>
      </c>
      <c r="K6436" t="inlineStr">
        <is>
          <t>CH2</t>
        </is>
      </c>
    </row>
    <row r="6437">
      <c r="A6437" s="33" t="n">
        <v>46121</v>
      </c>
      <c r="B6437" t="inlineStr">
        <is>
          <t>2026-04</t>
        </is>
      </c>
      <c r="C6437" t="inlineStr">
        <is>
          <t>Fernanda Mayo</t>
        </is>
      </c>
      <c r="D6437" t="inlineStr">
        <is>
          <t>Petit Tradicional</t>
        </is>
      </c>
      <c r="E6437" s="34" t="n">
        <v>31800</v>
      </c>
      <c r="F6437" t="inlineStr">
        <is>
          <t>B</t>
        </is>
      </c>
      <c r="G6437" s="34" t="n">
        <v>5077</v>
      </c>
      <c r="H6437" s="34" t="n">
        <v>26723</v>
      </c>
      <c r="I6437" t="inlineStr">
        <is>
          <t>3.2</t>
        </is>
      </c>
      <c r="J6437" t="inlineStr">
        <is>
          <t>Ventas Personas (B2C)</t>
        </is>
      </c>
      <c r="K6437" t="inlineStr">
        <is>
          <t>CH2</t>
        </is>
      </c>
    </row>
    <row r="6438">
      <c r="A6438" s="33" t="n">
        <v>46121</v>
      </c>
      <c r="B6438" t="inlineStr">
        <is>
          <t>2026-04</t>
        </is>
      </c>
      <c r="C6438" t="inlineStr">
        <is>
          <t>Mario Vilches</t>
        </is>
      </c>
      <c r="D6438" t="inlineStr">
        <is>
          <t>Petit Crunchy</t>
        </is>
      </c>
      <c r="E6438" s="34" t="n">
        <v>20390</v>
      </c>
      <c r="F6438" t="inlineStr">
        <is>
          <t>B</t>
        </is>
      </c>
      <c r="G6438" s="34" t="n">
        <v>3256</v>
      </c>
      <c r="H6438" s="34" t="n">
        <v>17134</v>
      </c>
      <c r="I6438" t="inlineStr">
        <is>
          <t>3.2</t>
        </is>
      </c>
      <c r="J6438" t="inlineStr">
        <is>
          <t>Ventas Personas (B2C)</t>
        </is>
      </c>
      <c r="K6438" t="inlineStr">
        <is>
          <t>CH2</t>
        </is>
      </c>
    </row>
    <row r="6439">
      <c r="A6439" s="33" t="n">
        <v>46121</v>
      </c>
      <c r="B6439" t="inlineStr">
        <is>
          <t>2026-04</t>
        </is>
      </c>
      <c r="C6439" t="inlineStr">
        <is>
          <t>Sin cliente</t>
        </is>
      </c>
      <c r="D6439" t="inlineStr">
        <is>
          <t>SALSAS</t>
        </is>
      </c>
      <c r="E6439" s="34" t="n">
        <v>51380</v>
      </c>
      <c r="F6439" t="inlineStr">
        <is>
          <t>B</t>
        </is>
      </c>
      <c r="G6439" s="34" t="n">
        <v>8204</v>
      </c>
      <c r="H6439" s="34" t="n">
        <v>43176</v>
      </c>
      <c r="I6439" t="inlineStr">
        <is>
          <t>3.2</t>
        </is>
      </c>
      <c r="J6439" t="inlineStr">
        <is>
          <t>Ventas Personas (B2C)</t>
        </is>
      </c>
      <c r="K6439" t="inlineStr">
        <is>
          <t>CH2</t>
        </is>
      </c>
    </row>
    <row r="6440">
      <c r="A6440" s="33" t="n">
        <v>46121</v>
      </c>
      <c r="B6440" t="inlineStr">
        <is>
          <t>2026-04</t>
        </is>
      </c>
      <c r="C6440" t="inlineStr">
        <is>
          <t>Sin cliente</t>
        </is>
      </c>
      <c r="D6440" t="inlineStr">
        <is>
          <t>Rellenos</t>
        </is>
      </c>
      <c r="E6440" s="34" t="n">
        <v>18900</v>
      </c>
      <c r="F6440" t="inlineStr">
        <is>
          <t>B</t>
        </is>
      </c>
      <c r="G6440" s="34" t="n">
        <v>3018</v>
      </c>
      <c r="H6440" s="34" t="n">
        <v>15882</v>
      </c>
      <c r="I6440" t="inlineStr">
        <is>
          <t>3.2</t>
        </is>
      </c>
      <c r="J6440" t="inlineStr">
        <is>
          <t>Ventas Personas (B2C)</t>
        </is>
      </c>
      <c r="K6440" t="inlineStr">
        <is>
          <t>CH2</t>
        </is>
      </c>
    </row>
    <row r="6441">
      <c r="A6441" s="33" t="n">
        <v>46121</v>
      </c>
      <c r="B6441" t="inlineStr">
        <is>
          <t>2026-04</t>
        </is>
      </c>
      <c r="C6441" t="inlineStr">
        <is>
          <t>Sin cliente</t>
        </is>
      </c>
      <c r="D6441" t="inlineStr">
        <is>
          <t>Cafeteria Geronimo</t>
        </is>
      </c>
      <c r="E6441" s="34" t="n">
        <v>9700</v>
      </c>
      <c r="F6441" t="inlineStr">
        <is>
          <t>B</t>
        </is>
      </c>
      <c r="G6441" s="34" t="n">
        <v>1549</v>
      </c>
      <c r="H6441" s="34" t="n">
        <v>8151</v>
      </c>
      <c r="I6441" t="inlineStr">
        <is>
          <t>3.2</t>
        </is>
      </c>
      <c r="J6441" t="inlineStr">
        <is>
          <t>Ventas Personas (B2C)</t>
        </is>
      </c>
      <c r="K6441" t="inlineStr">
        <is>
          <t>CH2</t>
        </is>
      </c>
    </row>
    <row r="6442">
      <c r="A6442" s="33" t="n">
        <v>46121</v>
      </c>
      <c r="B6442" t="inlineStr">
        <is>
          <t>2026-04</t>
        </is>
      </c>
      <c r="C6442" t="inlineStr">
        <is>
          <t>Sin cliente</t>
        </is>
      </c>
      <c r="D6442" t="inlineStr">
        <is>
          <t>Cafeteria Geronimo</t>
        </is>
      </c>
      <c r="E6442" s="34" t="n">
        <v>9800</v>
      </c>
      <c r="F6442" t="inlineStr">
        <is>
          <t>B</t>
        </is>
      </c>
      <c r="G6442" s="34" t="n">
        <v>1565</v>
      </c>
      <c r="H6442" s="34" t="n">
        <v>8235</v>
      </c>
      <c r="I6442" t="inlineStr">
        <is>
          <t>3.2</t>
        </is>
      </c>
      <c r="J6442" t="inlineStr">
        <is>
          <t>Ventas Personas (B2C)</t>
        </is>
      </c>
      <c r="K6442" t="inlineStr">
        <is>
          <t>CH2</t>
        </is>
      </c>
    </row>
    <row r="6443">
      <c r="A6443" s="33" t="n">
        <v>46121</v>
      </c>
      <c r="B6443" t="inlineStr">
        <is>
          <t>2026-04</t>
        </is>
      </c>
      <c r="C6443" t="inlineStr">
        <is>
          <t>Sin cliente</t>
        </is>
      </c>
      <c r="D6443" t="inlineStr">
        <is>
          <t>Rellenos</t>
        </is>
      </c>
      <c r="E6443" s="34" t="n">
        <v>2975</v>
      </c>
      <c r="F6443" t="inlineStr">
        <is>
          <t>B</t>
        </is>
      </c>
      <c r="G6443" s="34" t="n">
        <v>475</v>
      </c>
      <c r="H6443" s="34" t="n">
        <v>2500</v>
      </c>
      <c r="I6443" t="inlineStr">
        <is>
          <t>3.2</t>
        </is>
      </c>
      <c r="J6443" t="inlineStr">
        <is>
          <t>Ventas Personas (B2C)</t>
        </is>
      </c>
      <c r="K6443" t="inlineStr">
        <is>
          <t>CH2</t>
        </is>
      </c>
    </row>
    <row r="6444">
      <c r="A6444" s="33" t="n">
        <v>46121</v>
      </c>
      <c r="B6444" t="inlineStr">
        <is>
          <t>2026-04</t>
        </is>
      </c>
      <c r="C6444" t="inlineStr">
        <is>
          <t>Sin cliente</t>
        </is>
      </c>
      <c r="D6444" t="inlineStr">
        <is>
          <t>PLATAFORMAS RAP-PEYA-UBER-GOOD</t>
        </is>
      </c>
      <c r="E6444" s="34" t="n">
        <v>18960</v>
      </c>
      <c r="F6444" t="inlineStr">
        <is>
          <t>B</t>
        </is>
      </c>
      <c r="G6444" s="34" t="n">
        <v>3027</v>
      </c>
      <c r="H6444" s="34" t="n">
        <v>15933</v>
      </c>
      <c r="I6444" t="inlineStr">
        <is>
          <t>3.6</t>
        </is>
      </c>
      <c r="J6444" t="inlineStr">
        <is>
          <t>Ventas Delivery Apps</t>
        </is>
      </c>
      <c r="K6444" t="inlineStr">
        <is>
          <t>CH3</t>
        </is>
      </c>
    </row>
    <row r="6445">
      <c r="A6445" s="33" t="n">
        <v>46121</v>
      </c>
      <c r="B6445" t="inlineStr">
        <is>
          <t>2026-04</t>
        </is>
      </c>
      <c r="C6445" t="inlineStr">
        <is>
          <t>Sin cliente</t>
        </is>
      </c>
      <c r="D6445" t="inlineStr">
        <is>
          <t>CANELÉ TRADICIONAL</t>
        </is>
      </c>
      <c r="E6445" s="34" t="n">
        <v>22900</v>
      </c>
      <c r="F6445" t="inlineStr">
        <is>
          <t>B</t>
        </is>
      </c>
      <c r="G6445" s="34" t="n">
        <v>3656</v>
      </c>
      <c r="H6445" s="34" t="n">
        <v>19244</v>
      </c>
      <c r="I6445" t="inlineStr">
        <is>
          <t>3.2</t>
        </is>
      </c>
      <c r="J6445" t="inlineStr">
        <is>
          <t>Ventas Personas (B2C)</t>
        </is>
      </c>
      <c r="K6445" t="inlineStr">
        <is>
          <t>CH2</t>
        </is>
      </c>
    </row>
    <row r="6446">
      <c r="A6446" s="33" t="n">
        <v>46121</v>
      </c>
      <c r="B6446" t="inlineStr">
        <is>
          <t>2026-04</t>
        </is>
      </c>
      <c r="C6446" t="inlineStr">
        <is>
          <t>Sin cliente</t>
        </is>
      </c>
      <c r="D6446" t="inlineStr">
        <is>
          <t>Rellenos</t>
        </is>
      </c>
      <c r="E6446" s="34" t="n">
        <v>17280</v>
      </c>
      <c r="F6446" t="inlineStr">
        <is>
          <t>B</t>
        </is>
      </c>
      <c r="G6446" s="34" t="n">
        <v>2759</v>
      </c>
      <c r="H6446" s="34" t="n">
        <v>14521</v>
      </c>
      <c r="I6446" t="inlineStr">
        <is>
          <t>3.6</t>
        </is>
      </c>
      <c r="J6446" t="inlineStr">
        <is>
          <t>Ventas Delivery Apps</t>
        </is>
      </c>
      <c r="K6446" t="inlineStr">
        <is>
          <t>CH3</t>
        </is>
      </c>
    </row>
    <row r="6447">
      <c r="A6447" s="33" t="n">
        <v>46121</v>
      </c>
      <c r="B6447" t="inlineStr">
        <is>
          <t>2026-04</t>
        </is>
      </c>
      <c r="C6447" t="inlineStr">
        <is>
          <t>Sin cliente</t>
        </is>
      </c>
      <c r="D6447" t="inlineStr">
        <is>
          <t>CANELÉ TRADICIONAL</t>
        </is>
      </c>
      <c r="E6447" s="34" t="n">
        <v>22900</v>
      </c>
      <c r="F6447" t="inlineStr">
        <is>
          <t>B</t>
        </is>
      </c>
      <c r="G6447" s="34" t="n">
        <v>3656</v>
      </c>
      <c r="H6447" s="34" t="n">
        <v>19244</v>
      </c>
      <c r="I6447" t="inlineStr">
        <is>
          <t>3.2</t>
        </is>
      </c>
      <c r="J6447" t="inlineStr">
        <is>
          <t>Ventas Personas (B2C)</t>
        </is>
      </c>
      <c r="K6447" t="inlineStr">
        <is>
          <t>CH2</t>
        </is>
      </c>
    </row>
    <row r="6448">
      <c r="A6448" s="33" t="n">
        <v>46121</v>
      </c>
      <c r="B6448" t="inlineStr">
        <is>
          <t>2026-04</t>
        </is>
      </c>
      <c r="C6448" t="inlineStr">
        <is>
          <t>Sin cliente</t>
        </is>
      </c>
      <c r="D6448" t="inlineStr">
        <is>
          <t>CANELE SIN AZUCAR</t>
        </is>
      </c>
      <c r="E6448" s="34" t="n">
        <v>22800</v>
      </c>
      <c r="F6448" t="inlineStr">
        <is>
          <t>B</t>
        </is>
      </c>
      <c r="G6448" s="34" t="n">
        <v>3640</v>
      </c>
      <c r="H6448" s="34" t="n">
        <v>19160</v>
      </c>
      <c r="I6448" t="inlineStr">
        <is>
          <t>3.2</t>
        </is>
      </c>
      <c r="J6448" t="inlineStr">
        <is>
          <t>Ventas Personas (B2C)</t>
        </is>
      </c>
      <c r="K6448" t="inlineStr">
        <is>
          <t>CH2</t>
        </is>
      </c>
    </row>
    <row r="6449">
      <c r="A6449" s="33" t="n">
        <v>46121</v>
      </c>
      <c r="B6449" t="inlineStr">
        <is>
          <t>2026-04</t>
        </is>
      </c>
      <c r="C6449" t="inlineStr">
        <is>
          <t>Maria Jose Grez</t>
        </is>
      </c>
      <c r="D6449" t="inlineStr">
        <is>
          <t>CANELÉ TRADICIONAL</t>
        </is>
      </c>
      <c r="E6449" s="34" t="n">
        <v>-22900</v>
      </c>
      <c r="F6449" t="inlineStr">
        <is>
          <t>NC</t>
        </is>
      </c>
      <c r="G6449" s="34" t="n">
        <v>-3656</v>
      </c>
      <c r="H6449" s="34" t="n">
        <v>-19244</v>
      </c>
      <c r="I6449" t="inlineStr">
        <is>
          <t>3.2</t>
        </is>
      </c>
      <c r="J6449" t="inlineStr">
        <is>
          <t>Ventas Personas (B2C)</t>
        </is>
      </c>
      <c r="K6449" t="inlineStr">
        <is>
          <t>CH2</t>
        </is>
      </c>
    </row>
    <row r="6450">
      <c r="A6450" s="33" t="n">
        <v>46121</v>
      </c>
      <c r="B6450" t="inlineStr">
        <is>
          <t>2026-04</t>
        </is>
      </c>
      <c r="C6450" t="inlineStr">
        <is>
          <t>Sin cliente</t>
        </is>
      </c>
      <c r="D6450" t="inlineStr">
        <is>
          <t>Rellenos</t>
        </is>
      </c>
      <c r="E6450" s="34" t="n">
        <v>25900</v>
      </c>
      <c r="F6450" t="inlineStr">
        <is>
          <t>B</t>
        </is>
      </c>
      <c r="G6450" s="34" t="n">
        <v>4135</v>
      </c>
      <c r="H6450" s="34" t="n">
        <v>21765</v>
      </c>
      <c r="I6450" t="inlineStr">
        <is>
          <t>3.2</t>
        </is>
      </c>
      <c r="J6450" t="inlineStr">
        <is>
          <t>Ventas Personas (B2C)</t>
        </is>
      </c>
      <c r="K6450" t="inlineStr">
        <is>
          <t>CH2</t>
        </is>
      </c>
    </row>
    <row r="6451">
      <c r="A6451" s="33" t="n">
        <v>46122</v>
      </c>
      <c r="B6451" t="inlineStr">
        <is>
          <t>2026-04</t>
        </is>
      </c>
      <c r="C6451" t="inlineStr">
        <is>
          <t>DIEGO VARGAS BANQUETERIA Y EVENTOS SPA</t>
        </is>
      </c>
      <c r="D6451" t="inlineStr">
        <is>
          <t>HORECA CATERING</t>
        </is>
      </c>
      <c r="E6451" s="34" t="n">
        <v>221459</v>
      </c>
      <c r="F6451" t="inlineStr">
        <is>
          <t>F</t>
        </is>
      </c>
      <c r="G6451" s="34" t="n">
        <v>35359</v>
      </c>
      <c r="H6451" s="34" t="n">
        <v>186100</v>
      </c>
      <c r="I6451" t="inlineStr">
        <is>
          <t>3.1</t>
        </is>
      </c>
      <c r="J6451" t="inlineStr">
        <is>
          <t>Ventas HoReCa</t>
        </is>
      </c>
      <c r="K6451" t="inlineStr">
        <is>
          <t>CH1</t>
        </is>
      </c>
    </row>
    <row r="6452">
      <c r="A6452" s="33" t="n">
        <v>46122</v>
      </c>
      <c r="B6452" t="inlineStr">
        <is>
          <t>2026-04</t>
        </is>
      </c>
      <c r="C6452" t="inlineStr">
        <is>
          <t>Sin cliente</t>
        </is>
      </c>
      <c r="D6452" t="inlineStr">
        <is>
          <t>Canelé Petit Relleno</t>
        </is>
      </c>
      <c r="E6452" s="34" t="n">
        <v>34390</v>
      </c>
      <c r="F6452" t="inlineStr">
        <is>
          <t>B</t>
        </is>
      </c>
      <c r="G6452" s="34" t="n">
        <v>5491</v>
      </c>
      <c r="H6452" s="34" t="n">
        <v>28899</v>
      </c>
      <c r="I6452" t="inlineStr">
        <is>
          <t>3.2</t>
        </is>
      </c>
      <c r="J6452" t="inlineStr">
        <is>
          <t>Ventas Personas (B2C)</t>
        </is>
      </c>
      <c r="K6452" t="inlineStr">
        <is>
          <t>CH2</t>
        </is>
      </c>
    </row>
    <row r="6453">
      <c r="A6453" s="33" t="n">
        <v>46122</v>
      </c>
      <c r="B6453" t="inlineStr">
        <is>
          <t>2026-04</t>
        </is>
      </c>
      <c r="C6453" t="inlineStr">
        <is>
          <t>Nury Benavides</t>
        </is>
      </c>
      <c r="D6453" t="inlineStr">
        <is>
          <t>Petit Tradicional</t>
        </is>
      </c>
      <c r="E6453" s="34" t="n">
        <v>37090</v>
      </c>
      <c r="F6453" t="inlineStr">
        <is>
          <t>B</t>
        </is>
      </c>
      <c r="G6453" s="34" t="n">
        <v>5922</v>
      </c>
      <c r="H6453" s="34" t="n">
        <v>31168</v>
      </c>
      <c r="I6453" t="inlineStr">
        <is>
          <t>3.2</t>
        </is>
      </c>
      <c r="J6453" t="inlineStr">
        <is>
          <t>Ventas Personas (B2C)</t>
        </is>
      </c>
      <c r="K6453" t="inlineStr">
        <is>
          <t>CH2</t>
        </is>
      </c>
    </row>
    <row r="6454">
      <c r="A6454" s="33" t="n">
        <v>46122</v>
      </c>
      <c r="B6454" t="inlineStr">
        <is>
          <t>2026-04</t>
        </is>
      </c>
      <c r="C6454" t="inlineStr">
        <is>
          <t>Juan Cassis</t>
        </is>
      </c>
      <c r="D6454" t="inlineStr">
        <is>
          <t>Petit Crunchy</t>
        </is>
      </c>
      <c r="E6454" s="34" t="n">
        <v>13410</v>
      </c>
      <c r="F6454" t="inlineStr">
        <is>
          <t>B</t>
        </is>
      </c>
      <c r="G6454" s="34" t="n">
        <v>2141</v>
      </c>
      <c r="H6454" s="34" t="n">
        <v>11269</v>
      </c>
      <c r="I6454" t="inlineStr">
        <is>
          <t>3.2</t>
        </is>
      </c>
      <c r="J6454" t="inlineStr">
        <is>
          <t>Ventas Personas (B2C)</t>
        </is>
      </c>
      <c r="K6454" t="inlineStr">
        <is>
          <t>CH2</t>
        </is>
      </c>
    </row>
    <row r="6455">
      <c r="A6455" s="33" t="n">
        <v>46122</v>
      </c>
      <c r="B6455" t="inlineStr">
        <is>
          <t>2026-04</t>
        </is>
      </c>
      <c r="C6455" t="inlineStr">
        <is>
          <t>Ana Karina Salazar Cespedes</t>
        </is>
      </c>
      <c r="D6455" t="inlineStr">
        <is>
          <t>Petit Tradicional</t>
        </is>
      </c>
      <c r="E6455" s="34" t="n">
        <v>27290</v>
      </c>
      <c r="F6455" t="inlineStr">
        <is>
          <t>B</t>
        </is>
      </c>
      <c r="G6455" s="34" t="n">
        <v>4357</v>
      </c>
      <c r="H6455" s="34" t="n">
        <v>22933</v>
      </c>
      <c r="I6455" t="inlineStr">
        <is>
          <t>3.2</t>
        </is>
      </c>
      <c r="J6455" t="inlineStr">
        <is>
          <t>Ventas Personas (B2C)</t>
        </is>
      </c>
      <c r="K6455" t="inlineStr">
        <is>
          <t>CH2</t>
        </is>
      </c>
    </row>
    <row r="6456">
      <c r="A6456" s="33" t="n">
        <v>46122</v>
      </c>
      <c r="B6456" t="inlineStr">
        <is>
          <t>2026-04</t>
        </is>
      </c>
      <c r="C6456" t="inlineStr">
        <is>
          <t>Sin cliente</t>
        </is>
      </c>
      <c r="D6456" t="inlineStr">
        <is>
          <t>Rellenos</t>
        </is>
      </c>
      <c r="E6456" s="34" t="n">
        <v>7000</v>
      </c>
      <c r="F6456" t="inlineStr">
        <is>
          <t>B</t>
        </is>
      </c>
      <c r="G6456" s="34" t="n">
        <v>1118</v>
      </c>
      <c r="H6456" s="34" t="n">
        <v>5882</v>
      </c>
      <c r="I6456" t="inlineStr">
        <is>
          <t>3.2</t>
        </is>
      </c>
      <c r="J6456" t="inlineStr">
        <is>
          <t>Ventas Personas (B2C)</t>
        </is>
      </c>
      <c r="K6456" t="inlineStr">
        <is>
          <t>CH2</t>
        </is>
      </c>
    </row>
    <row r="6457">
      <c r="A6457" s="33" t="n">
        <v>46122</v>
      </c>
      <c r="B6457" t="inlineStr">
        <is>
          <t>2026-04</t>
        </is>
      </c>
      <c r="C6457" t="inlineStr">
        <is>
          <t>Sin cliente</t>
        </is>
      </c>
      <c r="D6457" t="inlineStr">
        <is>
          <t>CANELÉ TRADICIONAL</t>
        </is>
      </c>
      <c r="E6457" s="34" t="n">
        <v>25900</v>
      </c>
      <c r="F6457" t="inlineStr">
        <is>
          <t>B</t>
        </is>
      </c>
      <c r="G6457" s="34" t="n">
        <v>4135</v>
      </c>
      <c r="H6457" s="34" t="n">
        <v>21765</v>
      </c>
      <c r="I6457" t="inlineStr">
        <is>
          <t>3.2</t>
        </is>
      </c>
      <c r="J6457" t="inlineStr">
        <is>
          <t>Ventas Personas (B2C)</t>
        </is>
      </c>
      <c r="K6457" t="inlineStr">
        <is>
          <t>CH2</t>
        </is>
      </c>
    </row>
    <row r="6458">
      <c r="A6458" s="33" t="n">
        <v>46122</v>
      </c>
      <c r="B6458" t="inlineStr">
        <is>
          <t>2026-04</t>
        </is>
      </c>
      <c r="C6458" t="inlineStr">
        <is>
          <t>Sin cliente</t>
        </is>
      </c>
      <c r="D6458" t="inlineStr">
        <is>
          <t>Cafeteria Geronimo</t>
        </is>
      </c>
      <c r="E6458" s="34" t="n">
        <v>14900</v>
      </c>
      <c r="F6458" t="inlineStr">
        <is>
          <t>B</t>
        </is>
      </c>
      <c r="G6458" s="34" t="n">
        <v>2379</v>
      </c>
      <c r="H6458" s="34" t="n">
        <v>12521</v>
      </c>
      <c r="I6458" t="inlineStr">
        <is>
          <t>3.2</t>
        </is>
      </c>
      <c r="J6458" t="inlineStr">
        <is>
          <t>Ventas Personas (B2C)</t>
        </is>
      </c>
      <c r="K6458" t="inlineStr">
        <is>
          <t>CH2</t>
        </is>
      </c>
    </row>
    <row r="6459">
      <c r="A6459" s="33" t="n">
        <v>46122</v>
      </c>
      <c r="B6459" t="inlineStr">
        <is>
          <t>2026-04</t>
        </is>
      </c>
      <c r="C6459" t="inlineStr">
        <is>
          <t>Sin cliente</t>
        </is>
      </c>
      <c r="D6459" t="inlineStr">
        <is>
          <t>PLATAFORMAS RAP-PEYA-UBER-GOOD</t>
        </is>
      </c>
      <c r="E6459" s="34" t="n">
        <v>26160</v>
      </c>
      <c r="F6459" t="inlineStr">
        <is>
          <t>B</t>
        </is>
      </c>
      <c r="G6459" s="34" t="n">
        <v>4177</v>
      </c>
      <c r="H6459" s="34" t="n">
        <v>21983</v>
      </c>
      <c r="I6459" t="inlineStr">
        <is>
          <t>3.6</t>
        </is>
      </c>
      <c r="J6459" t="inlineStr">
        <is>
          <t>Ventas Delivery Apps</t>
        </is>
      </c>
      <c r="K6459" t="inlineStr">
        <is>
          <t>CH3</t>
        </is>
      </c>
    </row>
    <row r="6460">
      <c r="A6460" s="33" t="n">
        <v>46122</v>
      </c>
      <c r="B6460" t="inlineStr">
        <is>
          <t>2026-04</t>
        </is>
      </c>
      <c r="C6460" t="inlineStr">
        <is>
          <t>Sin cliente</t>
        </is>
      </c>
      <c r="D6460" t="inlineStr">
        <is>
          <t>Delicatessen</t>
        </is>
      </c>
      <c r="E6460" s="34" t="n">
        <v>12900</v>
      </c>
      <c r="F6460" t="inlineStr">
        <is>
          <t>B</t>
        </is>
      </c>
      <c r="G6460" s="34" t="n">
        <v>2060</v>
      </c>
      <c r="H6460" s="34" t="n">
        <v>10840</v>
      </c>
      <c r="I6460" t="inlineStr">
        <is>
          <t>3.2</t>
        </is>
      </c>
      <c r="J6460" t="inlineStr">
        <is>
          <t>Ventas Personas (B2C)</t>
        </is>
      </c>
      <c r="K6460" t="inlineStr">
        <is>
          <t>CH2</t>
        </is>
      </c>
    </row>
    <row r="6461">
      <c r="A6461" s="33" t="n">
        <v>46122</v>
      </c>
      <c r="B6461" t="inlineStr">
        <is>
          <t>2026-04</t>
        </is>
      </c>
      <c r="C6461" t="inlineStr">
        <is>
          <t>Sin cliente</t>
        </is>
      </c>
      <c r="D6461" t="inlineStr">
        <is>
          <t>Rellenos</t>
        </is>
      </c>
      <c r="E6461" s="34" t="n">
        <v>3500</v>
      </c>
      <c r="F6461" t="inlineStr">
        <is>
          <t>B</t>
        </is>
      </c>
      <c r="G6461" s="34" t="n">
        <v>559</v>
      </c>
      <c r="H6461" s="34" t="n">
        <v>2941</v>
      </c>
      <c r="I6461" t="inlineStr">
        <is>
          <t>3.2</t>
        </is>
      </c>
      <c r="J6461" t="inlineStr">
        <is>
          <t>Ventas Personas (B2C)</t>
        </is>
      </c>
      <c r="K6461" t="inlineStr">
        <is>
          <t>CH2</t>
        </is>
      </c>
    </row>
    <row r="6462">
      <c r="A6462" s="33" t="n">
        <v>46122</v>
      </c>
      <c r="B6462" t="inlineStr">
        <is>
          <t>2026-04</t>
        </is>
      </c>
      <c r="C6462" t="inlineStr">
        <is>
          <t>Sin cliente</t>
        </is>
      </c>
      <c r="D6462" t="inlineStr">
        <is>
          <t>Petit Crunchy</t>
        </is>
      </c>
      <c r="E6462" s="34" t="n">
        <v>32800</v>
      </c>
      <c r="F6462" t="inlineStr">
        <is>
          <t>B</t>
        </is>
      </c>
      <c r="G6462" s="34" t="n">
        <v>5237</v>
      </c>
      <c r="H6462" s="34" t="n">
        <v>27563</v>
      </c>
      <c r="I6462" t="inlineStr">
        <is>
          <t>3.2</t>
        </is>
      </c>
      <c r="J6462" t="inlineStr">
        <is>
          <t>Ventas Personas (B2C)</t>
        </is>
      </c>
      <c r="K6462" t="inlineStr">
        <is>
          <t>CH2</t>
        </is>
      </c>
    </row>
    <row r="6463">
      <c r="A6463" s="33" t="n">
        <v>46122</v>
      </c>
      <c r="B6463" t="inlineStr">
        <is>
          <t>2026-04</t>
        </is>
      </c>
      <c r="C6463" t="inlineStr">
        <is>
          <t>Sin cliente</t>
        </is>
      </c>
      <c r="D6463" t="inlineStr">
        <is>
          <t>PLATAFORMAS RAP-PEYA-UBER-GOOD</t>
        </is>
      </c>
      <c r="E6463" s="34" t="n">
        <v>26160</v>
      </c>
      <c r="F6463" t="inlineStr">
        <is>
          <t>B</t>
        </is>
      </c>
      <c r="G6463" s="34" t="n">
        <v>4177</v>
      </c>
      <c r="H6463" s="34" t="n">
        <v>21983</v>
      </c>
      <c r="I6463" t="inlineStr">
        <is>
          <t>3.6</t>
        </is>
      </c>
      <c r="J6463" t="inlineStr">
        <is>
          <t>Ventas Delivery Apps</t>
        </is>
      </c>
      <c r="K6463" t="inlineStr">
        <is>
          <t>CH3</t>
        </is>
      </c>
    </row>
    <row r="6464">
      <c r="A6464" s="33" t="n">
        <v>46122</v>
      </c>
      <c r="B6464" t="inlineStr">
        <is>
          <t>2026-04</t>
        </is>
      </c>
      <c r="C6464" t="inlineStr">
        <is>
          <t>Sin cliente</t>
        </is>
      </c>
      <c r="D6464" t="inlineStr">
        <is>
          <t>Rellenos</t>
        </is>
      </c>
      <c r="E6464" s="34" t="n">
        <v>11400</v>
      </c>
      <c r="F6464" t="inlineStr">
        <is>
          <t>B</t>
        </is>
      </c>
      <c r="G6464" s="34" t="n">
        <v>1820</v>
      </c>
      <c r="H6464" s="34" t="n">
        <v>9580</v>
      </c>
      <c r="I6464" t="inlineStr">
        <is>
          <t>3.6</t>
        </is>
      </c>
      <c r="J6464" t="inlineStr">
        <is>
          <t>Ventas Delivery Apps</t>
        </is>
      </c>
      <c r="K6464" t="inlineStr">
        <is>
          <t>CH3</t>
        </is>
      </c>
    </row>
    <row r="6465">
      <c r="A6465" s="33" t="n">
        <v>46122</v>
      </c>
      <c r="B6465" t="inlineStr">
        <is>
          <t>2026-04</t>
        </is>
      </c>
      <c r="C6465" t="inlineStr">
        <is>
          <t>Sin cliente</t>
        </is>
      </c>
      <c r="D6465" t="inlineStr">
        <is>
          <t>PLATAFORMAS RAP-PEYA-UBER-GOOD</t>
        </is>
      </c>
      <c r="E6465" s="34" t="n">
        <v>30720</v>
      </c>
      <c r="F6465" t="inlineStr">
        <is>
          <t>B</t>
        </is>
      </c>
      <c r="G6465" s="34" t="n">
        <v>4905</v>
      </c>
      <c r="H6465" s="34" t="n">
        <v>25815</v>
      </c>
      <c r="I6465" t="inlineStr">
        <is>
          <t>3.6</t>
        </is>
      </c>
      <c r="J6465" t="inlineStr">
        <is>
          <t>Ventas Delivery Apps</t>
        </is>
      </c>
      <c r="K6465" t="inlineStr">
        <is>
          <t>CH3</t>
        </is>
      </c>
    </row>
    <row r="6466">
      <c r="A6466" s="33" t="n">
        <v>46122</v>
      </c>
      <c r="B6466" t="inlineStr">
        <is>
          <t>2026-04</t>
        </is>
      </c>
      <c r="C6466" t="inlineStr">
        <is>
          <t>Sin cliente</t>
        </is>
      </c>
      <c r="D6466" t="inlineStr">
        <is>
          <t>CANELÉ TRADICIONAL</t>
        </is>
      </c>
      <c r="E6466" s="34" t="n">
        <v>7500</v>
      </c>
      <c r="F6466" t="inlineStr">
        <is>
          <t>B</t>
        </is>
      </c>
      <c r="G6466" s="34" t="n">
        <v>1197</v>
      </c>
      <c r="H6466" s="34" t="n">
        <v>6303</v>
      </c>
      <c r="I6466" t="inlineStr">
        <is>
          <t>3.2</t>
        </is>
      </c>
      <c r="J6466" t="inlineStr">
        <is>
          <t>Ventas Personas (B2C)</t>
        </is>
      </c>
      <c r="K6466" t="inlineStr">
        <is>
          <t>CH2</t>
        </is>
      </c>
    </row>
    <row r="6467">
      <c r="A6467" s="33" t="n">
        <v>46122</v>
      </c>
      <c r="B6467" t="inlineStr">
        <is>
          <t>2026-04</t>
        </is>
      </c>
      <c r="C6467" t="inlineStr">
        <is>
          <t>Sin cliente</t>
        </is>
      </c>
      <c r="D6467" t="inlineStr">
        <is>
          <t>SALSAS</t>
        </is>
      </c>
      <c r="E6467" s="34" t="n">
        <v>39690</v>
      </c>
      <c r="F6467" t="inlineStr">
        <is>
          <t>B</t>
        </is>
      </c>
      <c r="G6467" s="34" t="n">
        <v>6337</v>
      </c>
      <c r="H6467" s="34" t="n">
        <v>33353</v>
      </c>
      <c r="I6467" t="inlineStr">
        <is>
          <t>3.2</t>
        </is>
      </c>
      <c r="J6467" t="inlineStr">
        <is>
          <t>Ventas Personas (B2C)</t>
        </is>
      </c>
      <c r="K6467" t="inlineStr">
        <is>
          <t>CH2</t>
        </is>
      </c>
    </row>
    <row r="6468">
      <c r="A6468" s="33" t="n">
        <v>46122</v>
      </c>
      <c r="B6468" t="inlineStr">
        <is>
          <t>2026-04</t>
        </is>
      </c>
      <c r="C6468" t="inlineStr">
        <is>
          <t>Sin cliente</t>
        </is>
      </c>
      <c r="D6468" t="inlineStr">
        <is>
          <t>Rellenos</t>
        </is>
      </c>
      <c r="E6468" s="34" t="n">
        <v>18900</v>
      </c>
      <c r="F6468" t="inlineStr">
        <is>
          <t>B</t>
        </is>
      </c>
      <c r="G6468" s="34" t="n">
        <v>3018</v>
      </c>
      <c r="H6468" s="34" t="n">
        <v>15882</v>
      </c>
      <c r="I6468" t="inlineStr">
        <is>
          <t>3.2</t>
        </is>
      </c>
      <c r="J6468" t="inlineStr">
        <is>
          <t>Ventas Personas (B2C)</t>
        </is>
      </c>
      <c r="K6468" t="inlineStr">
        <is>
          <t>CH2</t>
        </is>
      </c>
    </row>
    <row r="6469">
      <c r="A6469" s="33" t="n">
        <v>46123</v>
      </c>
      <c r="B6469" t="inlineStr">
        <is>
          <t>2026-04</t>
        </is>
      </c>
      <c r="C6469" t="inlineStr">
        <is>
          <t>Rossana Egaña Farias</t>
        </is>
      </c>
      <c r="D6469" t="inlineStr">
        <is>
          <t>Rellenos</t>
        </is>
      </c>
      <c r="E6469" s="34" t="n">
        <v>23390</v>
      </c>
      <c r="F6469" t="inlineStr">
        <is>
          <t>B</t>
        </is>
      </c>
      <c r="G6469" s="34" t="n">
        <v>3735</v>
      </c>
      <c r="H6469" s="34" t="n">
        <v>19655</v>
      </c>
      <c r="I6469" t="inlineStr">
        <is>
          <t>3.2</t>
        </is>
      </c>
      <c r="J6469" t="inlineStr">
        <is>
          <t>Ventas Personas (B2C)</t>
        </is>
      </c>
      <c r="K6469" t="inlineStr">
        <is>
          <t>CH2</t>
        </is>
      </c>
    </row>
    <row r="6470">
      <c r="A6470" s="33" t="n">
        <v>46123</v>
      </c>
      <c r="B6470" t="inlineStr">
        <is>
          <t>2026-04</t>
        </is>
      </c>
      <c r="C6470" t="inlineStr">
        <is>
          <t>Jorge Muñoz Hidalgo</t>
        </is>
      </c>
      <c r="D6470" t="inlineStr">
        <is>
          <t>Rellenos</t>
        </is>
      </c>
      <c r="E6470" s="34" t="n">
        <v>29610</v>
      </c>
      <c r="F6470" t="inlineStr">
        <is>
          <t>B</t>
        </is>
      </c>
      <c r="G6470" s="34" t="n">
        <v>4728</v>
      </c>
      <c r="H6470" s="34" t="n">
        <v>24882</v>
      </c>
      <c r="I6470" t="inlineStr">
        <is>
          <t>3.2</t>
        </is>
      </c>
      <c r="J6470" t="inlineStr">
        <is>
          <t>Ventas Personas (B2C)</t>
        </is>
      </c>
      <c r="K6470" t="inlineStr">
        <is>
          <t>CH2</t>
        </is>
      </c>
    </row>
    <row r="6471">
      <c r="A6471" s="33" t="n">
        <v>46123</v>
      </c>
      <c r="B6471" t="inlineStr">
        <is>
          <t>2026-04</t>
        </is>
      </c>
      <c r="C6471" t="inlineStr">
        <is>
          <t>Catalina Alvarado Alarcón</t>
        </is>
      </c>
      <c r="D6471" t="inlineStr">
        <is>
          <t>Petit Crunchy</t>
        </is>
      </c>
      <c r="E6471" s="34" t="n">
        <v>21900</v>
      </c>
      <c r="F6471" t="inlineStr">
        <is>
          <t>B</t>
        </is>
      </c>
      <c r="G6471" s="34" t="n">
        <v>3497</v>
      </c>
      <c r="H6471" s="34" t="n">
        <v>18403</v>
      </c>
      <c r="I6471" t="inlineStr">
        <is>
          <t>3.2</t>
        </is>
      </c>
      <c r="J6471" t="inlineStr">
        <is>
          <t>Ventas Personas (B2C)</t>
        </is>
      </c>
      <c r="K6471" t="inlineStr">
        <is>
          <t>CH2</t>
        </is>
      </c>
    </row>
    <row r="6472">
      <c r="A6472" s="33" t="n">
        <v>46123</v>
      </c>
      <c r="B6472" t="inlineStr">
        <is>
          <t>2026-04</t>
        </is>
      </c>
      <c r="C6472" t="inlineStr">
        <is>
          <t>María Pía Gutiérrez</t>
        </is>
      </c>
      <c r="D6472" t="inlineStr">
        <is>
          <t>Canelé Petit Relleno</t>
        </is>
      </c>
      <c r="E6472" s="34" t="n">
        <v>22500</v>
      </c>
      <c r="F6472" t="inlineStr">
        <is>
          <t>B</t>
        </is>
      </c>
      <c r="G6472" s="34" t="n">
        <v>3592</v>
      </c>
      <c r="H6472" s="34" t="n">
        <v>18908</v>
      </c>
      <c r="I6472" t="inlineStr">
        <is>
          <t>3.2</t>
        </is>
      </c>
      <c r="J6472" t="inlineStr">
        <is>
          <t>Ventas Personas (B2C)</t>
        </is>
      </c>
      <c r="K6472" t="inlineStr">
        <is>
          <t>CH2</t>
        </is>
      </c>
    </row>
    <row r="6473">
      <c r="A6473" s="33" t="n">
        <v>46123</v>
      </c>
      <c r="B6473" t="inlineStr">
        <is>
          <t>2026-04</t>
        </is>
      </c>
      <c r="C6473" t="inlineStr">
        <is>
          <t>Shady Shahwan Causa</t>
        </is>
      </c>
      <c r="D6473" t="inlineStr">
        <is>
          <t>Rellenos</t>
        </is>
      </c>
      <c r="E6473" s="34" t="n">
        <v>25900</v>
      </c>
      <c r="F6473" t="inlineStr">
        <is>
          <t>B</t>
        </is>
      </c>
      <c r="G6473" s="34" t="n">
        <v>4135</v>
      </c>
      <c r="H6473" s="34" t="n">
        <v>21765</v>
      </c>
      <c r="I6473" t="inlineStr">
        <is>
          <t>3.2</t>
        </is>
      </c>
      <c r="J6473" t="inlineStr">
        <is>
          <t>Ventas Personas (B2C)</t>
        </is>
      </c>
      <c r="K6473" t="inlineStr">
        <is>
          <t>CH2</t>
        </is>
      </c>
    </row>
    <row r="6474">
      <c r="A6474" s="33" t="n">
        <v>46123</v>
      </c>
      <c r="B6474" t="inlineStr">
        <is>
          <t>2026-04</t>
        </is>
      </c>
      <c r="C6474" t="inlineStr">
        <is>
          <t>Pri Moubarak Ylätalo</t>
        </is>
      </c>
      <c r="D6474" t="inlineStr">
        <is>
          <t>Petit Crunchy</t>
        </is>
      </c>
      <c r="E6474" s="34" t="n">
        <v>43830</v>
      </c>
      <c r="F6474" t="inlineStr">
        <is>
          <t>B</t>
        </is>
      </c>
      <c r="G6474" s="34" t="n">
        <v>6998</v>
      </c>
      <c r="H6474" s="34" t="n">
        <v>36832</v>
      </c>
      <c r="I6474" t="inlineStr">
        <is>
          <t>3.2</t>
        </is>
      </c>
      <c r="J6474" t="inlineStr">
        <is>
          <t>Ventas Personas (B2C)</t>
        </is>
      </c>
      <c r="K6474" t="inlineStr">
        <is>
          <t>CH2</t>
        </is>
      </c>
    </row>
    <row r="6475">
      <c r="A6475" s="33" t="n">
        <v>46123</v>
      </c>
      <c r="B6475" t="inlineStr">
        <is>
          <t>2026-04</t>
        </is>
      </c>
      <c r="C6475" t="inlineStr">
        <is>
          <t>Sin cliente</t>
        </is>
      </c>
      <c r="D6475" t="inlineStr">
        <is>
          <t>PLATAFORMAS RAP-PEYA-UBER-GOOD</t>
        </is>
      </c>
      <c r="E6475" s="34" t="n">
        <v>44040</v>
      </c>
      <c r="F6475" t="inlineStr">
        <is>
          <t>B</t>
        </is>
      </c>
      <c r="G6475" s="34" t="n">
        <v>7032</v>
      </c>
      <c r="H6475" s="34" t="n">
        <v>37008</v>
      </c>
      <c r="I6475" t="inlineStr">
        <is>
          <t>3.6</t>
        </is>
      </c>
      <c r="J6475" t="inlineStr">
        <is>
          <t>Ventas Delivery Apps</t>
        </is>
      </c>
      <c r="K6475" t="inlineStr">
        <is>
          <t>CH3</t>
        </is>
      </c>
    </row>
    <row r="6476">
      <c r="A6476" s="33" t="n">
        <v>46123</v>
      </c>
      <c r="B6476" t="inlineStr">
        <is>
          <t>2026-04</t>
        </is>
      </c>
      <c r="C6476" t="inlineStr">
        <is>
          <t>Sin cliente</t>
        </is>
      </c>
      <c r="D6476" t="inlineStr">
        <is>
          <t>Petit Tradicional</t>
        </is>
      </c>
      <c r="E6476" s="34" t="n">
        <v>21800</v>
      </c>
      <c r="F6476" t="inlineStr">
        <is>
          <t>B</t>
        </is>
      </c>
      <c r="G6476" s="34" t="n">
        <v>3481</v>
      </c>
      <c r="H6476" s="34" t="n">
        <v>18319</v>
      </c>
      <c r="I6476" t="inlineStr">
        <is>
          <t>3.2</t>
        </is>
      </c>
      <c r="J6476" t="inlineStr">
        <is>
          <t>Ventas Personas (B2C)</t>
        </is>
      </c>
      <c r="K6476" t="inlineStr">
        <is>
          <t>CH2</t>
        </is>
      </c>
    </row>
    <row r="6477">
      <c r="A6477" s="33" t="n">
        <v>46123</v>
      </c>
      <c r="B6477" t="inlineStr">
        <is>
          <t>2026-04</t>
        </is>
      </c>
      <c r="C6477" t="inlineStr">
        <is>
          <t>Sin cliente</t>
        </is>
      </c>
      <c r="D6477" t="inlineStr">
        <is>
          <t>Cafeteria Geronimo</t>
        </is>
      </c>
      <c r="E6477" s="34" t="n">
        <v>11700</v>
      </c>
      <c r="F6477" t="inlineStr">
        <is>
          <t>B</t>
        </is>
      </c>
      <c r="G6477" s="34" t="n">
        <v>1868</v>
      </c>
      <c r="H6477" s="34" t="n">
        <v>9832</v>
      </c>
      <c r="I6477" t="inlineStr">
        <is>
          <t>3.2</t>
        </is>
      </c>
      <c r="J6477" t="inlineStr">
        <is>
          <t>Ventas Personas (B2C)</t>
        </is>
      </c>
      <c r="K6477" t="inlineStr">
        <is>
          <t>CH2</t>
        </is>
      </c>
    </row>
    <row r="6478">
      <c r="A6478" s="33" t="n">
        <v>46123</v>
      </c>
      <c r="B6478" t="inlineStr">
        <is>
          <t>2026-04</t>
        </is>
      </c>
      <c r="C6478" t="inlineStr">
        <is>
          <t>Sin cliente</t>
        </is>
      </c>
      <c r="D6478" t="inlineStr">
        <is>
          <t>Rellenos</t>
        </is>
      </c>
      <c r="E6478" s="34" t="n">
        <v>25900</v>
      </c>
      <c r="F6478" t="inlineStr">
        <is>
          <t>B</t>
        </is>
      </c>
      <c r="G6478" s="34" t="n">
        <v>4135</v>
      </c>
      <c r="H6478" s="34" t="n">
        <v>21765</v>
      </c>
      <c r="I6478" t="inlineStr">
        <is>
          <t>3.2</t>
        </is>
      </c>
      <c r="J6478" t="inlineStr">
        <is>
          <t>Ventas Personas (B2C)</t>
        </is>
      </c>
      <c r="K6478" t="inlineStr">
        <is>
          <t>CH2</t>
        </is>
      </c>
    </row>
    <row r="6479">
      <c r="A6479" s="33" t="n">
        <v>46123</v>
      </c>
      <c r="B6479" t="inlineStr">
        <is>
          <t>2026-04</t>
        </is>
      </c>
      <c r="C6479" t="inlineStr">
        <is>
          <t>Sin cliente</t>
        </is>
      </c>
      <c r="D6479" t="inlineStr">
        <is>
          <t>CANELÉ TRADICIONAL</t>
        </is>
      </c>
      <c r="E6479" s="34" t="n">
        <v>2500</v>
      </c>
      <c r="F6479" t="inlineStr">
        <is>
          <t>B</t>
        </is>
      </c>
      <c r="G6479" s="34" t="n">
        <v>399</v>
      </c>
      <c r="H6479" s="34" t="n">
        <v>2101</v>
      </c>
      <c r="I6479" t="inlineStr">
        <is>
          <t>3.2</t>
        </is>
      </c>
      <c r="J6479" t="inlineStr">
        <is>
          <t>Ventas Personas (B2C)</t>
        </is>
      </c>
      <c r="K6479" t="inlineStr">
        <is>
          <t>CH2</t>
        </is>
      </c>
    </row>
    <row r="6480">
      <c r="A6480" s="33" t="n">
        <v>46123</v>
      </c>
      <c r="B6480" t="inlineStr">
        <is>
          <t>2026-04</t>
        </is>
      </c>
      <c r="C6480" t="inlineStr">
        <is>
          <t>Sin cliente</t>
        </is>
      </c>
      <c r="D6480" t="inlineStr">
        <is>
          <t>CANELÉ TRADICIONAL</t>
        </is>
      </c>
      <c r="E6480" s="34" t="n">
        <v>22900</v>
      </c>
      <c r="F6480" t="inlineStr">
        <is>
          <t>B</t>
        </is>
      </c>
      <c r="G6480" s="34" t="n">
        <v>3656</v>
      </c>
      <c r="H6480" s="34" t="n">
        <v>19244</v>
      </c>
      <c r="I6480" t="inlineStr">
        <is>
          <t>3.2</t>
        </is>
      </c>
      <c r="J6480" t="inlineStr">
        <is>
          <t>Ventas Personas (B2C)</t>
        </is>
      </c>
      <c r="K6480" t="inlineStr">
        <is>
          <t>CH2</t>
        </is>
      </c>
    </row>
    <row r="6481">
      <c r="A6481" s="33" t="n">
        <v>46123</v>
      </c>
      <c r="B6481" t="inlineStr">
        <is>
          <t>2026-04</t>
        </is>
      </c>
      <c r="C6481" t="inlineStr">
        <is>
          <t>Sin cliente</t>
        </is>
      </c>
      <c r="D6481" t="inlineStr">
        <is>
          <t>Cafeteria Geronimo</t>
        </is>
      </c>
      <c r="E6481" s="34" t="n">
        <v>15000</v>
      </c>
      <c r="F6481" t="inlineStr">
        <is>
          <t>B</t>
        </is>
      </c>
      <c r="G6481" s="34" t="n">
        <v>2395</v>
      </c>
      <c r="H6481" s="34" t="n">
        <v>12605</v>
      </c>
      <c r="I6481" t="inlineStr">
        <is>
          <t>3.2</t>
        </is>
      </c>
      <c r="J6481" t="inlineStr">
        <is>
          <t>Ventas Personas (B2C)</t>
        </is>
      </c>
      <c r="K6481" t="inlineStr">
        <is>
          <t>CH2</t>
        </is>
      </c>
    </row>
    <row r="6482">
      <c r="A6482" s="33" t="n">
        <v>46123</v>
      </c>
      <c r="B6482" t="inlineStr">
        <is>
          <t>2026-04</t>
        </is>
      </c>
      <c r="C6482" t="inlineStr">
        <is>
          <t>Sin cliente</t>
        </is>
      </c>
      <c r="D6482" t="inlineStr">
        <is>
          <t>CANELÉ TRADICIONAL</t>
        </is>
      </c>
      <c r="E6482" s="34" t="n">
        <v>33700</v>
      </c>
      <c r="F6482" t="inlineStr">
        <is>
          <t>B</t>
        </is>
      </c>
      <c r="G6482" s="34" t="n">
        <v>5381</v>
      </c>
      <c r="H6482" s="34" t="n">
        <v>28319</v>
      </c>
      <c r="I6482" t="inlineStr">
        <is>
          <t>3.2</t>
        </is>
      </c>
      <c r="J6482" t="inlineStr">
        <is>
          <t>Ventas Personas (B2C)</t>
        </is>
      </c>
      <c r="K6482" t="inlineStr">
        <is>
          <t>CH2</t>
        </is>
      </c>
    </row>
    <row r="6483">
      <c r="A6483" s="33" t="n">
        <v>46123</v>
      </c>
      <c r="B6483" t="inlineStr">
        <is>
          <t>2026-04</t>
        </is>
      </c>
      <c r="C6483" t="inlineStr">
        <is>
          <t>Sin cliente</t>
        </is>
      </c>
      <c r="D6483" t="inlineStr">
        <is>
          <t>CANELÉ TRADICIONAL</t>
        </is>
      </c>
      <c r="E6483" s="34" t="n">
        <v>38800</v>
      </c>
      <c r="F6483" t="inlineStr">
        <is>
          <t>B</t>
        </is>
      </c>
      <c r="G6483" s="34" t="n">
        <v>6195</v>
      </c>
      <c r="H6483" s="34" t="n">
        <v>32605</v>
      </c>
      <c r="I6483" t="inlineStr">
        <is>
          <t>3.2</t>
        </is>
      </c>
      <c r="J6483" t="inlineStr">
        <is>
          <t>Ventas Personas (B2C)</t>
        </is>
      </c>
      <c r="K6483" t="inlineStr">
        <is>
          <t>CH2</t>
        </is>
      </c>
    </row>
    <row r="6484">
      <c r="A6484" s="33" t="n">
        <v>46123</v>
      </c>
      <c r="B6484" t="inlineStr">
        <is>
          <t>2026-04</t>
        </is>
      </c>
      <c r="C6484" t="inlineStr">
        <is>
          <t>Sin cliente</t>
        </is>
      </c>
      <c r="D6484" t="inlineStr">
        <is>
          <t>PLATAFORMAS RAP-PEYA-UBER-GOOD</t>
        </is>
      </c>
      <c r="E6484" s="34" t="n">
        <v>59040</v>
      </c>
      <c r="F6484" t="inlineStr">
        <is>
          <t>B</t>
        </is>
      </c>
      <c r="G6484" s="34" t="n">
        <v>9427</v>
      </c>
      <c r="H6484" s="34" t="n">
        <v>49613</v>
      </c>
      <c r="I6484" t="inlineStr">
        <is>
          <t>3.6</t>
        </is>
      </c>
      <c r="J6484" t="inlineStr">
        <is>
          <t>Ventas Delivery Apps</t>
        </is>
      </c>
      <c r="K6484" t="inlineStr">
        <is>
          <t>CH3</t>
        </is>
      </c>
    </row>
    <row r="6485">
      <c r="A6485" s="33" t="n">
        <v>46123</v>
      </c>
      <c r="B6485" t="inlineStr">
        <is>
          <t>2026-04</t>
        </is>
      </c>
      <c r="C6485" t="inlineStr">
        <is>
          <t>Sin cliente</t>
        </is>
      </c>
      <c r="D6485" t="inlineStr">
        <is>
          <t>Petit Crunchy</t>
        </is>
      </c>
      <c r="E6485" s="34" t="n">
        <v>26900</v>
      </c>
      <c r="F6485" t="inlineStr">
        <is>
          <t>B</t>
        </is>
      </c>
      <c r="G6485" s="34" t="n">
        <v>4295</v>
      </c>
      <c r="H6485" s="34" t="n">
        <v>22605</v>
      </c>
      <c r="I6485" t="inlineStr">
        <is>
          <t>3.2</t>
        </is>
      </c>
      <c r="J6485" t="inlineStr">
        <is>
          <t>Ventas Personas (B2C)</t>
        </is>
      </c>
      <c r="K6485" t="inlineStr">
        <is>
          <t>CH2</t>
        </is>
      </c>
    </row>
    <row r="6486">
      <c r="A6486" s="33" t="n">
        <v>46123</v>
      </c>
      <c r="B6486" t="inlineStr">
        <is>
          <t>2026-04</t>
        </is>
      </c>
      <c r="C6486" t="inlineStr">
        <is>
          <t>Sin cliente</t>
        </is>
      </c>
      <c r="D6486" t="inlineStr">
        <is>
          <t>CANELÉ TRADICIONAL</t>
        </is>
      </c>
      <c r="E6486" s="34" t="n">
        <v>22900</v>
      </c>
      <c r="F6486" t="inlineStr">
        <is>
          <t>B</t>
        </is>
      </c>
      <c r="G6486" s="34" t="n">
        <v>3656</v>
      </c>
      <c r="H6486" s="34" t="n">
        <v>19244</v>
      </c>
      <c r="I6486" t="inlineStr">
        <is>
          <t>3.2</t>
        </is>
      </c>
      <c r="J6486" t="inlineStr">
        <is>
          <t>Ventas Personas (B2C)</t>
        </is>
      </c>
      <c r="K6486" t="inlineStr">
        <is>
          <t>CH2</t>
        </is>
      </c>
    </row>
    <row r="6487">
      <c r="A6487" s="33" t="n">
        <v>46123</v>
      </c>
      <c r="B6487" t="inlineStr">
        <is>
          <t>2026-04</t>
        </is>
      </c>
      <c r="C6487" t="inlineStr">
        <is>
          <t>Sin cliente</t>
        </is>
      </c>
      <c r="D6487" t="inlineStr">
        <is>
          <t>Petit Tradicional</t>
        </is>
      </c>
      <c r="E6487" s="34" t="n">
        <v>21800</v>
      </c>
      <c r="F6487" t="inlineStr">
        <is>
          <t>B</t>
        </is>
      </c>
      <c r="G6487" s="34" t="n">
        <v>3481</v>
      </c>
      <c r="H6487" s="34" t="n">
        <v>18319</v>
      </c>
      <c r="I6487" t="inlineStr">
        <is>
          <t>3.2</t>
        </is>
      </c>
      <c r="J6487" t="inlineStr">
        <is>
          <t>Ventas Personas (B2C)</t>
        </is>
      </c>
      <c r="K6487" t="inlineStr">
        <is>
          <t>CH2</t>
        </is>
      </c>
    </row>
    <row r="6488">
      <c r="A6488" s="33" t="n">
        <v>46123</v>
      </c>
      <c r="B6488" t="inlineStr">
        <is>
          <t>2026-04</t>
        </is>
      </c>
      <c r="C6488" t="inlineStr">
        <is>
          <t>Sin cliente</t>
        </is>
      </c>
      <c r="D6488" t="inlineStr">
        <is>
          <t>Petit Crunchy</t>
        </is>
      </c>
      <c r="E6488" s="34" t="n">
        <v>35900</v>
      </c>
      <c r="F6488" t="inlineStr">
        <is>
          <t>B</t>
        </is>
      </c>
      <c r="G6488" s="34" t="n">
        <v>5732</v>
      </c>
      <c r="H6488" s="34" t="n">
        <v>30168</v>
      </c>
      <c r="I6488" t="inlineStr">
        <is>
          <t>3.2</t>
        </is>
      </c>
      <c r="J6488" t="inlineStr">
        <is>
          <t>Ventas Personas (B2C)</t>
        </is>
      </c>
      <c r="K6488" t="inlineStr">
        <is>
          <t>CH2</t>
        </is>
      </c>
    </row>
    <row r="6489">
      <c r="A6489" s="33" t="n">
        <v>46123</v>
      </c>
      <c r="B6489" t="inlineStr">
        <is>
          <t>2026-04</t>
        </is>
      </c>
      <c r="C6489" t="inlineStr">
        <is>
          <t>Sin cliente</t>
        </is>
      </c>
      <c r="D6489" t="inlineStr">
        <is>
          <t>CANELE SIN AZUCAR</t>
        </is>
      </c>
      <c r="E6489" s="34" t="n">
        <v>45200</v>
      </c>
      <c r="F6489" t="inlineStr">
        <is>
          <t>B</t>
        </is>
      </c>
      <c r="G6489" s="34" t="n">
        <v>7217</v>
      </c>
      <c r="H6489" s="34" t="n">
        <v>37983</v>
      </c>
      <c r="I6489" t="inlineStr">
        <is>
          <t>3.2</t>
        </is>
      </c>
      <c r="J6489" t="inlineStr">
        <is>
          <t>Ventas Personas (B2C)</t>
        </is>
      </c>
      <c r="K6489" t="inlineStr">
        <is>
          <t>CH2</t>
        </is>
      </c>
    </row>
    <row r="6490">
      <c r="A6490" s="33" t="n">
        <v>46123</v>
      </c>
      <c r="B6490" t="inlineStr">
        <is>
          <t>2026-04</t>
        </is>
      </c>
      <c r="C6490" t="inlineStr">
        <is>
          <t>Sin cliente</t>
        </is>
      </c>
      <c r="D6490" t="inlineStr">
        <is>
          <t>PLATAFORMAS RAP-PEYA-UBER-GOOD</t>
        </is>
      </c>
      <c r="E6490" s="34" t="n">
        <v>20148</v>
      </c>
      <c r="F6490" t="inlineStr">
        <is>
          <t>B</t>
        </is>
      </c>
      <c r="G6490" s="34" t="n">
        <v>3217</v>
      </c>
      <c r="H6490" s="34" t="n">
        <v>16931</v>
      </c>
      <c r="I6490" t="inlineStr">
        <is>
          <t>3.6</t>
        </is>
      </c>
      <c r="J6490" t="inlineStr">
        <is>
          <t>Ventas Delivery Apps</t>
        </is>
      </c>
      <c r="K6490" t="inlineStr">
        <is>
          <t>CH3</t>
        </is>
      </c>
    </row>
    <row r="6491">
      <c r="A6491" s="33" t="n">
        <v>46123</v>
      </c>
      <c r="B6491" t="inlineStr">
        <is>
          <t>2026-04</t>
        </is>
      </c>
      <c r="C6491" t="inlineStr">
        <is>
          <t>Sin cliente</t>
        </is>
      </c>
      <c r="D6491" t="inlineStr">
        <is>
          <t>PLATAFORMAS RAP-PEYA-UBER-GOOD</t>
        </is>
      </c>
      <c r="E6491" s="34" t="n">
        <v>27480</v>
      </c>
      <c r="F6491" t="inlineStr">
        <is>
          <t>B</t>
        </is>
      </c>
      <c r="G6491" s="34" t="n">
        <v>4388</v>
      </c>
      <c r="H6491" s="34" t="n">
        <v>23092</v>
      </c>
      <c r="I6491" t="inlineStr">
        <is>
          <t>3.6</t>
        </is>
      </c>
      <c r="J6491" t="inlineStr">
        <is>
          <t>Ventas Delivery Apps</t>
        </is>
      </c>
      <c r="K6491" t="inlineStr">
        <is>
          <t>CH3</t>
        </is>
      </c>
    </row>
    <row r="6492">
      <c r="A6492" s="33" t="n">
        <v>46123</v>
      </c>
      <c r="B6492" t="inlineStr">
        <is>
          <t>2026-04</t>
        </is>
      </c>
      <c r="C6492" t="inlineStr">
        <is>
          <t>Sin cliente</t>
        </is>
      </c>
      <c r="D6492" t="inlineStr">
        <is>
          <t>Cafeteria Geronimo</t>
        </is>
      </c>
      <c r="E6492" s="34" t="n">
        <v>31900</v>
      </c>
      <c r="F6492" t="inlineStr">
        <is>
          <t>B</t>
        </is>
      </c>
      <c r="G6492" s="34" t="n">
        <v>5093</v>
      </c>
      <c r="H6492" s="34" t="n">
        <v>26807</v>
      </c>
      <c r="I6492" t="inlineStr">
        <is>
          <t>3.2</t>
        </is>
      </c>
      <c r="J6492" t="inlineStr">
        <is>
          <t>Ventas Personas (B2C)</t>
        </is>
      </c>
      <c r="K6492" t="inlineStr">
        <is>
          <t>CH2</t>
        </is>
      </c>
    </row>
    <row r="6493">
      <c r="A6493" s="33" t="n">
        <v>46125</v>
      </c>
      <c r="B6493" t="inlineStr">
        <is>
          <t>2026-04</t>
        </is>
      </c>
      <c r="C6493" t="inlineStr">
        <is>
          <t>DOMINGUEZ TORREALBA SPA</t>
        </is>
      </c>
      <c r="D6493" t="inlineStr">
        <is>
          <t>HORECA CAFETERIA</t>
        </is>
      </c>
      <c r="E6493" s="34" t="n">
        <v>246211</v>
      </c>
      <c r="F6493" t="inlineStr">
        <is>
          <t>F</t>
        </is>
      </c>
      <c r="G6493" s="34" t="n">
        <v>39311</v>
      </c>
      <c r="H6493" s="34" t="n">
        <v>206900</v>
      </c>
      <c r="I6493" t="inlineStr">
        <is>
          <t>3.1</t>
        </is>
      </c>
      <c r="J6493" t="inlineStr">
        <is>
          <t>Ventas HoReCa</t>
        </is>
      </c>
      <c r="K6493" t="inlineStr">
        <is>
          <t>CH1</t>
        </is>
      </c>
    </row>
    <row r="6494">
      <c r="A6494" s="33" t="n">
        <v>46125</v>
      </c>
      <c r="B6494" t="inlineStr">
        <is>
          <t>2026-04</t>
        </is>
      </c>
      <c r="C6494" t="inlineStr">
        <is>
          <t>La Pastora Roasters SpA</t>
        </is>
      </c>
      <c r="D6494" t="inlineStr">
        <is>
          <t>HORECA CAFETERIA</t>
        </is>
      </c>
      <c r="E6494" s="34" t="n">
        <v>289194</v>
      </c>
      <c r="F6494" t="inlineStr">
        <is>
          <t>F</t>
        </is>
      </c>
      <c r="G6494" s="34" t="n">
        <v>46174</v>
      </c>
      <c r="H6494" s="34" t="n">
        <v>243020</v>
      </c>
      <c r="I6494" t="inlineStr">
        <is>
          <t>3.1</t>
        </is>
      </c>
      <c r="J6494" t="inlineStr">
        <is>
          <t>Ventas HoReCa</t>
        </is>
      </c>
      <c r="K6494" t="inlineStr">
        <is>
          <t>CH1</t>
        </is>
      </c>
    </row>
    <row r="6495">
      <c r="A6495" s="33" t="n">
        <v>46125</v>
      </c>
      <c r="B6495" t="inlineStr">
        <is>
          <t>2026-04</t>
        </is>
      </c>
      <c r="C6495" t="inlineStr">
        <is>
          <t>BLUE OAK COFFE SPA</t>
        </is>
      </c>
      <c r="D6495" t="inlineStr">
        <is>
          <t>HORECA CAFETERIA</t>
        </is>
      </c>
      <c r="E6495" s="34" t="n">
        <v>56680</v>
      </c>
      <c r="F6495" t="inlineStr">
        <is>
          <t>F</t>
        </is>
      </c>
      <c r="G6495" s="34" t="n">
        <v>9050</v>
      </c>
      <c r="H6495" s="34" t="n">
        <v>47630</v>
      </c>
      <c r="I6495" t="inlineStr">
        <is>
          <t>3.1</t>
        </is>
      </c>
      <c r="J6495" t="inlineStr">
        <is>
          <t>Ventas HoReCa</t>
        </is>
      </c>
      <c r="K6495" t="inlineStr">
        <is>
          <t>CH1</t>
        </is>
      </c>
    </row>
    <row r="6496">
      <c r="A6496" s="33" t="n">
        <v>46125</v>
      </c>
      <c r="B6496" t="inlineStr">
        <is>
          <t>2026-04</t>
        </is>
      </c>
      <c r="C6496" t="inlineStr">
        <is>
          <t>HUERTO SUR LIMITADA</t>
        </is>
      </c>
      <c r="D6496" t="inlineStr">
        <is>
          <t>REGION METROPOLITANA</t>
        </is>
      </c>
      <c r="E6496" s="34" t="n">
        <v>1048554</v>
      </c>
      <c r="F6496" t="inlineStr">
        <is>
          <t>F</t>
        </is>
      </c>
      <c r="G6496" s="34" t="n">
        <v>167416</v>
      </c>
      <c r="H6496" s="34" t="n">
        <v>881138</v>
      </c>
      <c r="I6496" t="inlineStr">
        <is>
          <t>3.1</t>
        </is>
      </c>
      <c r="J6496" t="inlineStr">
        <is>
          <t>Ventas HoReCa</t>
        </is>
      </c>
      <c r="K6496" t="inlineStr">
        <is>
          <t>CH1</t>
        </is>
      </c>
    </row>
    <row r="6497">
      <c r="A6497" s="33" t="n">
        <v>46125</v>
      </c>
      <c r="B6497" t="inlineStr">
        <is>
          <t>2026-04</t>
        </is>
      </c>
      <c r="C6497" t="inlineStr">
        <is>
          <t>INVERSIONES Y ASESORIAS RAVAL LIMITADA</t>
        </is>
      </c>
      <c r="D6497" t="inlineStr">
        <is>
          <t>HORECA CAFETERIA</t>
        </is>
      </c>
      <c r="E6497" s="34" t="n">
        <v>175132</v>
      </c>
      <c r="F6497" t="inlineStr">
        <is>
          <t>F</t>
        </is>
      </c>
      <c r="G6497" s="34" t="n">
        <v>27962</v>
      </c>
      <c r="H6497" s="34" t="n">
        <v>147170</v>
      </c>
      <c r="I6497" t="inlineStr">
        <is>
          <t>3.1</t>
        </is>
      </c>
      <c r="J6497" t="inlineStr">
        <is>
          <t>Ventas HoReCa</t>
        </is>
      </c>
      <c r="K6497" t="inlineStr">
        <is>
          <t>CH1</t>
        </is>
      </c>
    </row>
    <row r="6498">
      <c r="A6498" s="33" t="n">
        <v>46125</v>
      </c>
      <c r="B6498" t="inlineStr">
        <is>
          <t>2026-04</t>
        </is>
      </c>
      <c r="C6498" t="inlineStr">
        <is>
          <t>CANTABRIA SPA</t>
        </is>
      </c>
      <c r="D6498" t="inlineStr">
        <is>
          <t>REGION METROPOLITANA</t>
        </is>
      </c>
      <c r="E6498" s="34" t="n">
        <v>305997</v>
      </c>
      <c r="F6498" t="inlineStr">
        <is>
          <t>B</t>
        </is>
      </c>
      <c r="G6498" s="34" t="n">
        <v>48857</v>
      </c>
      <c r="H6498" s="34" t="n">
        <v>257140</v>
      </c>
      <c r="I6498" t="inlineStr">
        <is>
          <t>3.1</t>
        </is>
      </c>
      <c r="J6498" t="inlineStr">
        <is>
          <t>Ventas HoReCa</t>
        </is>
      </c>
      <c r="K6498" t="inlineStr">
        <is>
          <t>CH1</t>
        </is>
      </c>
    </row>
    <row r="6499">
      <c r="A6499" s="33" t="n">
        <v>46125</v>
      </c>
      <c r="B6499" t="inlineStr">
        <is>
          <t>2026-04</t>
        </is>
      </c>
      <c r="C6499" t="inlineStr">
        <is>
          <t>CANTABRIA SPA</t>
        </is>
      </c>
      <c r="D6499" t="inlineStr">
        <is>
          <t>REGION METROPOLITANA</t>
        </is>
      </c>
      <c r="E6499" s="34" t="n">
        <v>-305997</v>
      </c>
      <c r="F6499" t="inlineStr">
        <is>
          <t>NC</t>
        </is>
      </c>
      <c r="G6499" s="34" t="n">
        <v>-48857</v>
      </c>
      <c r="H6499" s="34" t="n">
        <v>-257140</v>
      </c>
      <c r="I6499" t="inlineStr">
        <is>
          <t>3.1</t>
        </is>
      </c>
      <c r="J6499" t="inlineStr">
        <is>
          <t>Ventas HoReCa</t>
        </is>
      </c>
      <c r="K6499" t="inlineStr">
        <is>
          <t>CH1</t>
        </is>
      </c>
    </row>
    <row r="6500">
      <c r="A6500" s="33" t="n">
        <v>46125</v>
      </c>
      <c r="B6500" t="inlineStr">
        <is>
          <t>2026-04</t>
        </is>
      </c>
      <c r="C6500" t="inlineStr">
        <is>
          <t>CANTABRIA SPA</t>
        </is>
      </c>
      <c r="D6500" t="inlineStr">
        <is>
          <t>HORECA CAFETERIA</t>
        </is>
      </c>
      <c r="E6500" s="34" t="n">
        <v>305997</v>
      </c>
      <c r="F6500" t="inlineStr">
        <is>
          <t>F</t>
        </is>
      </c>
      <c r="G6500" s="34" t="n">
        <v>48857</v>
      </c>
      <c r="H6500" s="34" t="n">
        <v>257140</v>
      </c>
      <c r="I6500" t="inlineStr">
        <is>
          <t>3.1</t>
        </is>
      </c>
      <c r="J6500" t="inlineStr">
        <is>
          <t>Ventas HoReCa</t>
        </is>
      </c>
      <c r="K6500" t="inlineStr">
        <is>
          <t>CH1</t>
        </is>
      </c>
    </row>
    <row r="6501">
      <c r="A6501" s="33" t="n">
        <v>46125</v>
      </c>
      <c r="B6501" t="inlineStr">
        <is>
          <t>2026-04</t>
        </is>
      </c>
      <c r="C6501" t="inlineStr">
        <is>
          <t>BLUE OAK COFFE SPA</t>
        </is>
      </c>
      <c r="D6501" t="inlineStr">
        <is>
          <t>HORECA CAFETERIA</t>
        </is>
      </c>
      <c r="E6501" s="34" t="n">
        <v>128377</v>
      </c>
      <c r="F6501" t="inlineStr">
        <is>
          <t>F</t>
        </is>
      </c>
      <c r="G6501" s="34" t="n">
        <v>20497</v>
      </c>
      <c r="H6501" s="34" t="n">
        <v>107880</v>
      </c>
      <c r="I6501" t="inlineStr">
        <is>
          <t>3.1</t>
        </is>
      </c>
      <c r="J6501" t="inlineStr">
        <is>
          <t>Ventas HoReCa</t>
        </is>
      </c>
      <c r="K6501" t="inlineStr">
        <is>
          <t>CH1</t>
        </is>
      </c>
    </row>
    <row r="6502">
      <c r="A6502" s="33" t="n">
        <v>46125</v>
      </c>
      <c r="B6502" t="inlineStr">
        <is>
          <t>2026-04</t>
        </is>
      </c>
      <c r="C6502" t="inlineStr">
        <is>
          <t>INVERSIONES Y ASESORIAS RAVAL LIMITADA</t>
        </is>
      </c>
      <c r="D6502" t="inlineStr">
        <is>
          <t>HORECA CAFETERIA</t>
        </is>
      </c>
      <c r="E6502" s="34" t="n">
        <v>-175132</v>
      </c>
      <c r="F6502" t="inlineStr">
        <is>
          <t>NC</t>
        </is>
      </c>
      <c r="G6502" s="34" t="n">
        <v>-27962</v>
      </c>
      <c r="H6502" s="34" t="n">
        <v>-147170</v>
      </c>
      <c r="I6502" t="inlineStr">
        <is>
          <t>3.1</t>
        </is>
      </c>
      <c r="J6502" t="inlineStr">
        <is>
          <t>Ventas HoReCa</t>
        </is>
      </c>
      <c r="K6502" t="inlineStr">
        <is>
          <t>CH1</t>
        </is>
      </c>
    </row>
    <row r="6503">
      <c r="A6503" s="33" t="n">
        <v>46125</v>
      </c>
      <c r="B6503" t="inlineStr">
        <is>
          <t>2026-04</t>
        </is>
      </c>
      <c r="C6503" t="inlineStr">
        <is>
          <t>INVERSIONES Y ASESORIAS RAVAL LIMITADA</t>
        </is>
      </c>
      <c r="D6503" t="inlineStr">
        <is>
          <t>HORECA CAFETERIA</t>
        </is>
      </c>
      <c r="E6503" s="34" t="n">
        <v>194946</v>
      </c>
      <c r="F6503" t="inlineStr">
        <is>
          <t>F</t>
        </is>
      </c>
      <c r="G6503" s="34" t="n">
        <v>31126</v>
      </c>
      <c r="H6503" s="34" t="n">
        <v>163820</v>
      </c>
      <c r="I6503" t="inlineStr">
        <is>
          <t>3.1</t>
        </is>
      </c>
      <c r="J6503" t="inlineStr">
        <is>
          <t>Ventas HoReCa</t>
        </is>
      </c>
      <c r="K6503" t="inlineStr">
        <is>
          <t>CH1</t>
        </is>
      </c>
    </row>
    <row r="6504">
      <c r="A6504" s="33" t="n">
        <v>46125</v>
      </c>
      <c r="B6504" t="inlineStr">
        <is>
          <t>2026-04</t>
        </is>
      </c>
      <c r="C6504" t="inlineStr">
        <is>
          <t>Pont. Universidad Catolica de Chile</t>
        </is>
      </c>
      <c r="D6504" t="inlineStr">
        <is>
          <t>PACKAGING</t>
        </is>
      </c>
      <c r="E6504" s="34" t="n">
        <v>15842</v>
      </c>
      <c r="F6504" t="inlineStr">
        <is>
          <t>F</t>
        </is>
      </c>
      <c r="G6504" s="34" t="n">
        <v>2529</v>
      </c>
      <c r="H6504" s="34" t="n">
        <v>13313</v>
      </c>
      <c r="I6504" t="inlineStr">
        <is>
          <t>3.1</t>
        </is>
      </c>
      <c r="J6504" t="inlineStr">
        <is>
          <t>Ventas HoReCa</t>
        </is>
      </c>
      <c r="K6504" t="inlineStr">
        <is>
          <t>CH1</t>
        </is>
      </c>
    </row>
    <row r="6505">
      <c r="A6505" s="33" t="n">
        <v>46125</v>
      </c>
      <c r="B6505" t="inlineStr">
        <is>
          <t>2026-04</t>
        </is>
      </c>
      <c r="C6505" t="inlineStr">
        <is>
          <t>Fernando Suarez</t>
        </is>
      </c>
      <c r="D6505" t="inlineStr">
        <is>
          <t>Rellenos</t>
        </is>
      </c>
      <c r="E6505" s="34" t="n">
        <v>34100</v>
      </c>
      <c r="F6505" t="inlineStr">
        <is>
          <t>B</t>
        </is>
      </c>
      <c r="G6505" s="34" t="n">
        <v>5445</v>
      </c>
      <c r="H6505" s="34" t="n">
        <v>28655</v>
      </c>
      <c r="I6505" t="inlineStr">
        <is>
          <t>3.2</t>
        </is>
      </c>
      <c r="J6505" t="inlineStr">
        <is>
          <t>Ventas Personas (B2C)</t>
        </is>
      </c>
      <c r="K6505" t="inlineStr">
        <is>
          <t>CH2</t>
        </is>
      </c>
    </row>
    <row r="6506">
      <c r="A6506" s="33" t="n">
        <v>46125</v>
      </c>
      <c r="B6506" t="inlineStr">
        <is>
          <t>2026-04</t>
        </is>
      </c>
      <c r="C6506" t="inlineStr">
        <is>
          <t>Pamela Iglesias</t>
        </is>
      </c>
      <c r="D6506" t="inlineStr">
        <is>
          <t>CANELÉ TRADICIONAL</t>
        </is>
      </c>
      <c r="E6506" s="34" t="n">
        <v>27390</v>
      </c>
      <c r="F6506" t="inlineStr">
        <is>
          <t>B</t>
        </is>
      </c>
      <c r="G6506" s="34" t="n">
        <v>4373</v>
      </c>
      <c r="H6506" s="34" t="n">
        <v>23017</v>
      </c>
      <c r="I6506" t="inlineStr">
        <is>
          <t>3.2</t>
        </is>
      </c>
      <c r="J6506" t="inlineStr">
        <is>
          <t>Ventas Personas (B2C)</t>
        </is>
      </c>
      <c r="K6506" t="inlineStr">
        <is>
          <t>CH2</t>
        </is>
      </c>
    </row>
    <row r="6507">
      <c r="A6507" s="33" t="n">
        <v>46125</v>
      </c>
      <c r="B6507" t="inlineStr">
        <is>
          <t>2026-04</t>
        </is>
      </c>
      <c r="C6507" t="inlineStr">
        <is>
          <t>marisol Urrutia</t>
        </is>
      </c>
      <c r="D6507" t="inlineStr">
        <is>
          <t>Rellenos</t>
        </is>
      </c>
      <c r="E6507" s="34" t="n">
        <v>22790</v>
      </c>
      <c r="F6507" t="inlineStr">
        <is>
          <t>B</t>
        </is>
      </c>
      <c r="G6507" s="34" t="n">
        <v>3639</v>
      </c>
      <c r="H6507" s="34" t="n">
        <v>19151</v>
      </c>
      <c r="I6507" t="inlineStr">
        <is>
          <t>3.2</t>
        </is>
      </c>
      <c r="J6507" t="inlineStr">
        <is>
          <t>Ventas Personas (B2C)</t>
        </is>
      </c>
      <c r="K6507" t="inlineStr">
        <is>
          <t>CH2</t>
        </is>
      </c>
    </row>
    <row r="6508">
      <c r="A6508" s="33" t="n">
        <v>46125</v>
      </c>
      <c r="B6508" t="inlineStr">
        <is>
          <t>2026-04</t>
        </is>
      </c>
      <c r="C6508" t="inlineStr">
        <is>
          <t>Pont. Universidad Catolica de Chile</t>
        </is>
      </c>
      <c r="D6508" t="inlineStr">
        <is>
          <t>PACKAGING</t>
        </is>
      </c>
      <c r="E6508" s="34" t="n">
        <v>-15842</v>
      </c>
      <c r="F6508" t="inlineStr">
        <is>
          <t>NC</t>
        </is>
      </c>
      <c r="G6508" s="34" t="n">
        <v>-2529</v>
      </c>
      <c r="H6508" s="34" t="n">
        <v>-13313</v>
      </c>
      <c r="I6508" t="inlineStr">
        <is>
          <t>3.1</t>
        </is>
      </c>
      <c r="J6508" t="inlineStr">
        <is>
          <t>Ventas HoReCa</t>
        </is>
      </c>
      <c r="K6508" t="inlineStr">
        <is>
          <t>CH1</t>
        </is>
      </c>
    </row>
    <row r="6509">
      <c r="A6509" s="33" t="n">
        <v>46125</v>
      </c>
      <c r="B6509" t="inlineStr">
        <is>
          <t>2026-04</t>
        </is>
      </c>
      <c r="C6509" t="inlineStr">
        <is>
          <t>Oscar Larrain</t>
        </is>
      </c>
      <c r="D6509" t="inlineStr">
        <is>
          <t>CANELE SIN AZUCAR</t>
        </is>
      </c>
      <c r="E6509" s="34" t="n">
        <v>43920</v>
      </c>
      <c r="F6509" t="inlineStr">
        <is>
          <t>B</t>
        </is>
      </c>
      <c r="G6509" s="34" t="n">
        <v>7012</v>
      </c>
      <c r="H6509" s="34" t="n">
        <v>36908</v>
      </c>
      <c r="I6509" t="inlineStr">
        <is>
          <t>3.2</t>
        </is>
      </c>
      <c r="J6509" t="inlineStr">
        <is>
          <t>Ventas Personas (B2C)</t>
        </is>
      </c>
      <c r="K6509" t="inlineStr">
        <is>
          <t>CH2</t>
        </is>
      </c>
    </row>
    <row r="6510">
      <c r="A6510" s="33" t="n">
        <v>46125</v>
      </c>
      <c r="B6510" t="inlineStr">
        <is>
          <t>2026-04</t>
        </is>
      </c>
      <c r="C6510" t="inlineStr">
        <is>
          <t>Sin cliente</t>
        </is>
      </c>
      <c r="D6510" t="inlineStr">
        <is>
          <t>PLATAFORMAS RAP-PEYA-UBER-GOOD</t>
        </is>
      </c>
      <c r="E6510" s="34" t="n">
        <v>26160</v>
      </c>
      <c r="F6510" t="inlineStr">
        <is>
          <t>B</t>
        </is>
      </c>
      <c r="G6510" s="34" t="n">
        <v>4177</v>
      </c>
      <c r="H6510" s="34" t="n">
        <v>21983</v>
      </c>
      <c r="I6510" t="inlineStr">
        <is>
          <t>3.6</t>
        </is>
      </c>
      <c r="J6510" t="inlineStr">
        <is>
          <t>Ventas Delivery Apps</t>
        </is>
      </c>
      <c r="K6510" t="inlineStr">
        <is>
          <t>CH3</t>
        </is>
      </c>
    </row>
    <row r="6511">
      <c r="A6511" s="33" t="n">
        <v>46125</v>
      </c>
      <c r="B6511" t="inlineStr">
        <is>
          <t>2026-04</t>
        </is>
      </c>
      <c r="C6511" t="inlineStr">
        <is>
          <t>Sin cliente</t>
        </is>
      </c>
      <c r="D6511" t="inlineStr">
        <is>
          <t>Rellenos</t>
        </is>
      </c>
      <c r="E6511" s="34" t="n">
        <v>38200</v>
      </c>
      <c r="F6511" t="inlineStr">
        <is>
          <t>B</t>
        </is>
      </c>
      <c r="G6511" s="34" t="n">
        <v>6099</v>
      </c>
      <c r="H6511" s="34" t="n">
        <v>32101</v>
      </c>
      <c r="I6511" t="inlineStr">
        <is>
          <t>3.2</t>
        </is>
      </c>
      <c r="J6511" t="inlineStr">
        <is>
          <t>Ventas Personas (B2C)</t>
        </is>
      </c>
      <c r="K6511" t="inlineStr">
        <is>
          <t>CH2</t>
        </is>
      </c>
    </row>
    <row r="6512">
      <c r="A6512" s="33" t="n">
        <v>46125</v>
      </c>
      <c r="B6512" t="inlineStr">
        <is>
          <t>2026-04</t>
        </is>
      </c>
      <c r="C6512" t="inlineStr">
        <is>
          <t>Ivonne Peña</t>
        </is>
      </c>
      <c r="D6512" t="inlineStr">
        <is>
          <t>PACKAGING</t>
        </is>
      </c>
      <c r="E6512" s="34" t="n">
        <v>15842</v>
      </c>
      <c r="F6512" t="inlineStr">
        <is>
          <t>B</t>
        </is>
      </c>
      <c r="G6512" s="34" t="n">
        <v>2529</v>
      </c>
      <c r="H6512" s="34" t="n">
        <v>13313</v>
      </c>
      <c r="I6512" t="inlineStr">
        <is>
          <t>3.1</t>
        </is>
      </c>
      <c r="J6512" t="inlineStr">
        <is>
          <t>Ventas HoReCa</t>
        </is>
      </c>
      <c r="K6512" t="inlineStr">
        <is>
          <t>CH1</t>
        </is>
      </c>
    </row>
    <row r="6513">
      <c r="A6513" s="33" t="n">
        <v>46125</v>
      </c>
      <c r="B6513" t="inlineStr">
        <is>
          <t>2026-04</t>
        </is>
      </c>
      <c r="C6513" t="inlineStr">
        <is>
          <t>Sin cliente</t>
        </is>
      </c>
      <c r="D6513" t="inlineStr">
        <is>
          <t>Rellenos</t>
        </is>
      </c>
      <c r="E6513" s="34" t="n">
        <v>13860</v>
      </c>
      <c r="F6513" t="inlineStr">
        <is>
          <t>B</t>
        </is>
      </c>
      <c r="G6513" s="34" t="n">
        <v>2213</v>
      </c>
      <c r="H6513" s="34" t="n">
        <v>11647</v>
      </c>
      <c r="I6513" t="inlineStr">
        <is>
          <t>3.2</t>
        </is>
      </c>
      <c r="J6513" t="inlineStr">
        <is>
          <t>Ventas Personas (B2C)</t>
        </is>
      </c>
      <c r="K6513" t="inlineStr">
        <is>
          <t>CH2</t>
        </is>
      </c>
    </row>
    <row r="6514">
      <c r="A6514" s="33" t="n">
        <v>46125</v>
      </c>
      <c r="B6514" t="inlineStr">
        <is>
          <t>2026-04</t>
        </is>
      </c>
      <c r="C6514" t="inlineStr">
        <is>
          <t>Sin cliente</t>
        </is>
      </c>
      <c r="D6514" t="inlineStr">
        <is>
          <t>CANELÉ TRADICIONAL</t>
        </is>
      </c>
      <c r="E6514" s="34" t="n">
        <v>15900</v>
      </c>
      <c r="F6514" t="inlineStr">
        <is>
          <t>B</t>
        </is>
      </c>
      <c r="G6514" s="34" t="n">
        <v>2539</v>
      </c>
      <c r="H6514" s="34" t="n">
        <v>13361</v>
      </c>
      <c r="I6514" t="inlineStr">
        <is>
          <t>3.2</t>
        </is>
      </c>
      <c r="J6514" t="inlineStr">
        <is>
          <t>Ventas Personas (B2C)</t>
        </is>
      </c>
      <c r="K6514" t="inlineStr">
        <is>
          <t>CH2</t>
        </is>
      </c>
    </row>
    <row r="6515">
      <c r="A6515" s="33" t="n">
        <v>46125</v>
      </c>
      <c r="B6515" t="inlineStr">
        <is>
          <t>2026-04</t>
        </is>
      </c>
      <c r="C6515" t="inlineStr">
        <is>
          <t>Sin cliente</t>
        </is>
      </c>
      <c r="D6515" t="inlineStr">
        <is>
          <t>Delicatessen</t>
        </is>
      </c>
      <c r="E6515" s="34" t="n">
        <v>4250</v>
      </c>
      <c r="F6515" t="inlineStr">
        <is>
          <t>B</t>
        </is>
      </c>
      <c r="G6515" s="34" t="n">
        <v>679</v>
      </c>
      <c r="H6515" s="34" t="n">
        <v>3571</v>
      </c>
      <c r="I6515" t="inlineStr">
        <is>
          <t>3.2</t>
        </is>
      </c>
      <c r="J6515" t="inlineStr">
        <is>
          <t>Ventas Personas (B2C)</t>
        </is>
      </c>
      <c r="K6515" t="inlineStr">
        <is>
          <t>CH2</t>
        </is>
      </c>
    </row>
    <row r="6516">
      <c r="A6516" s="33" t="n">
        <v>46125</v>
      </c>
      <c r="B6516" t="inlineStr">
        <is>
          <t>2026-04</t>
        </is>
      </c>
      <c r="C6516" t="inlineStr">
        <is>
          <t>Sin cliente</t>
        </is>
      </c>
      <c r="D6516" t="inlineStr">
        <is>
          <t>PLATAFORMAS RAP-PEYA-UBER-GOOD</t>
        </is>
      </c>
      <c r="E6516" s="34" t="n">
        <v>7200</v>
      </c>
      <c r="F6516" t="inlineStr">
        <is>
          <t>B</t>
        </is>
      </c>
      <c r="G6516" s="34" t="n">
        <v>1150</v>
      </c>
      <c r="H6516" s="34" t="n">
        <v>6050</v>
      </c>
      <c r="I6516" t="inlineStr">
        <is>
          <t>3.6</t>
        </is>
      </c>
      <c r="J6516" t="inlineStr">
        <is>
          <t>Ventas Delivery Apps</t>
        </is>
      </c>
      <c r="K6516" t="inlineStr">
        <is>
          <t>CH3</t>
        </is>
      </c>
    </row>
    <row r="6517">
      <c r="A6517" s="33" t="n">
        <v>46125</v>
      </c>
      <c r="B6517" t="inlineStr">
        <is>
          <t>2026-04</t>
        </is>
      </c>
      <c r="C6517" t="inlineStr">
        <is>
          <t>Juan Serrano</t>
        </is>
      </c>
      <c r="D6517" t="inlineStr">
        <is>
          <t>Petit Crunchy</t>
        </is>
      </c>
      <c r="E6517" s="34" t="n">
        <v>31390</v>
      </c>
      <c r="F6517" t="inlineStr">
        <is>
          <t>B</t>
        </is>
      </c>
      <c r="G6517" s="34" t="n">
        <v>5012</v>
      </c>
      <c r="H6517" s="34" t="n">
        <v>26378</v>
      </c>
      <c r="I6517" t="inlineStr">
        <is>
          <t>3.2</t>
        </is>
      </c>
      <c r="J6517" t="inlineStr">
        <is>
          <t>Ventas Personas (B2C)</t>
        </is>
      </c>
      <c r="K6517" t="inlineStr">
        <is>
          <t>CH2</t>
        </is>
      </c>
    </row>
    <row r="6518">
      <c r="A6518" s="33" t="n">
        <v>46126</v>
      </c>
      <c r="B6518" t="inlineStr">
        <is>
          <t>2026-04</t>
        </is>
      </c>
      <c r="C6518" t="inlineStr">
        <is>
          <t>BUSTORF LARSEN Y COMPANIA LIMITADA</t>
        </is>
      </c>
      <c r="D6518" t="inlineStr">
        <is>
          <t>HORECA CAFETERIA</t>
        </is>
      </c>
      <c r="E6518" s="34" t="n">
        <v>77564</v>
      </c>
      <c r="F6518" t="inlineStr">
        <is>
          <t>F</t>
        </is>
      </c>
      <c r="G6518" s="34" t="n">
        <v>12384</v>
      </c>
      <c r="H6518" s="34" t="n">
        <v>65180</v>
      </c>
      <c r="I6518" t="inlineStr">
        <is>
          <t>3.1</t>
        </is>
      </c>
      <c r="J6518" t="inlineStr">
        <is>
          <t>Ventas HoReCa</t>
        </is>
      </c>
      <c r="K6518" t="inlineStr">
        <is>
          <t>CH1</t>
        </is>
      </c>
    </row>
    <row r="6519">
      <c r="A6519" s="33" t="n">
        <v>46126</v>
      </c>
      <c r="B6519" t="inlineStr">
        <is>
          <t>2026-04</t>
        </is>
      </c>
      <c r="C6519" t="inlineStr">
        <is>
          <t>INVERSIONES Y COMERCIALIZADORA FED LIMITADA</t>
        </is>
      </c>
      <c r="D6519" t="inlineStr">
        <is>
          <t>REGION METROPOLITANA</t>
        </is>
      </c>
      <c r="E6519" s="34" t="n">
        <v>442856</v>
      </c>
      <c r="F6519" t="inlineStr">
        <is>
          <t>F</t>
        </is>
      </c>
      <c r="G6519" s="34" t="n">
        <v>70708</v>
      </c>
      <c r="H6519" s="34" t="n">
        <v>372148</v>
      </c>
      <c r="I6519" t="inlineStr">
        <is>
          <t>3.1</t>
        </is>
      </c>
      <c r="J6519" t="inlineStr">
        <is>
          <t>Ventas HoReCa</t>
        </is>
      </c>
      <c r="K6519" t="inlineStr">
        <is>
          <t>CH1</t>
        </is>
      </c>
    </row>
    <row r="6520">
      <c r="A6520" s="33" t="n">
        <v>46126</v>
      </c>
      <c r="B6520" t="inlineStr">
        <is>
          <t>2026-04</t>
        </is>
      </c>
      <c r="C6520" t="inlineStr">
        <is>
          <t>Andar Café SpA</t>
        </is>
      </c>
      <c r="D6520" t="inlineStr">
        <is>
          <t>HORECA CAFETERIA</t>
        </is>
      </c>
      <c r="E6520" s="34" t="n">
        <v>156104</v>
      </c>
      <c r="F6520" t="inlineStr">
        <is>
          <t>F</t>
        </is>
      </c>
      <c r="G6520" s="34" t="n">
        <v>24924</v>
      </c>
      <c r="H6520" s="34" t="n">
        <v>131180</v>
      </c>
      <c r="I6520" t="inlineStr">
        <is>
          <t>3.1</t>
        </is>
      </c>
      <c r="J6520" t="inlineStr">
        <is>
          <t>Ventas HoReCa</t>
        </is>
      </c>
      <c r="K6520" t="inlineStr">
        <is>
          <t>CH1</t>
        </is>
      </c>
    </row>
    <row r="6521">
      <c r="A6521" s="33" t="n">
        <v>46126</v>
      </c>
      <c r="B6521" t="inlineStr">
        <is>
          <t>2026-04</t>
        </is>
      </c>
      <c r="C6521" t="inlineStr">
        <is>
          <t>RESTAURANT LA COSECHA SPA</t>
        </is>
      </c>
      <c r="D6521" t="inlineStr">
        <is>
          <t>HORECA CAFETERIA</t>
        </is>
      </c>
      <c r="E6521" s="34" t="n">
        <v>171067</v>
      </c>
      <c r="F6521" t="inlineStr">
        <is>
          <t>F</t>
        </is>
      </c>
      <c r="G6521" s="34" t="n">
        <v>27313</v>
      </c>
      <c r="H6521" s="34" t="n">
        <v>143754</v>
      </c>
      <c r="I6521" t="inlineStr">
        <is>
          <t>3.1</t>
        </is>
      </c>
      <c r="J6521" t="inlineStr">
        <is>
          <t>Ventas HoReCa</t>
        </is>
      </c>
      <c r="K6521" t="inlineStr">
        <is>
          <t>CH1</t>
        </is>
      </c>
    </row>
    <row r="6522">
      <c r="A6522" s="33" t="n">
        <v>46126</v>
      </c>
      <c r="B6522" t="inlineStr">
        <is>
          <t>2026-04</t>
        </is>
      </c>
      <c r="C6522" t="inlineStr">
        <is>
          <t>LAURA Moreira</t>
        </is>
      </c>
      <c r="D6522" t="inlineStr">
        <is>
          <t>SALSAS</t>
        </is>
      </c>
      <c r="E6522" s="34" t="n">
        <v>48880</v>
      </c>
      <c r="F6522" t="inlineStr">
        <is>
          <t>B</t>
        </is>
      </c>
      <c r="G6522" s="34" t="n">
        <v>7804</v>
      </c>
      <c r="H6522" s="34" t="n">
        <v>41076</v>
      </c>
      <c r="I6522" t="inlineStr">
        <is>
          <t>3.2</t>
        </is>
      </c>
      <c r="J6522" t="inlineStr">
        <is>
          <t>Ventas Personas (B2C)</t>
        </is>
      </c>
      <c r="K6522" t="inlineStr">
        <is>
          <t>CH2</t>
        </is>
      </c>
    </row>
    <row r="6523">
      <c r="A6523" s="33" t="n">
        <v>46126</v>
      </c>
      <c r="B6523" t="inlineStr">
        <is>
          <t>2026-04</t>
        </is>
      </c>
      <c r="C6523" t="inlineStr">
        <is>
          <t>VILAS BANQUETERIAS SPA</t>
        </is>
      </c>
      <c r="D6523" t="inlineStr">
        <is>
          <t>HORECA CATERING</t>
        </is>
      </c>
      <c r="E6523" s="34" t="n">
        <v>141372</v>
      </c>
      <c r="F6523" t="inlineStr">
        <is>
          <t>F</t>
        </is>
      </c>
      <c r="G6523" s="34" t="n">
        <v>22572</v>
      </c>
      <c r="H6523" s="34" t="n">
        <v>118800</v>
      </c>
      <c r="I6523" t="inlineStr">
        <is>
          <t>3.1</t>
        </is>
      </c>
      <c r="J6523" t="inlineStr">
        <is>
          <t>Ventas HoReCa</t>
        </is>
      </c>
      <c r="K6523" t="inlineStr">
        <is>
          <t>CH1</t>
        </is>
      </c>
    </row>
    <row r="6524">
      <c r="A6524" s="33" t="n">
        <v>46126</v>
      </c>
      <c r="B6524" t="inlineStr">
        <is>
          <t>2026-04</t>
        </is>
      </c>
      <c r="C6524" t="inlineStr">
        <is>
          <t>Subcargo SPA</t>
        </is>
      </c>
      <c r="D6524" t="inlineStr">
        <is>
          <t>Petit Crunchy</t>
        </is>
      </c>
      <c r="E6524" s="34" t="n">
        <v>42700</v>
      </c>
      <c r="F6524" t="inlineStr">
        <is>
          <t>F</t>
        </is>
      </c>
      <c r="G6524" s="34" t="n">
        <v>6818</v>
      </c>
      <c r="H6524" s="34" t="n">
        <v>35882</v>
      </c>
      <c r="I6524" t="inlineStr">
        <is>
          <t>3.1</t>
        </is>
      </c>
      <c r="J6524" t="inlineStr">
        <is>
          <t>Ventas HoReCa</t>
        </is>
      </c>
      <c r="K6524" t="inlineStr">
        <is>
          <t>CH1</t>
        </is>
      </c>
    </row>
    <row r="6525">
      <c r="A6525" s="33" t="n">
        <v>46126</v>
      </c>
      <c r="B6525" t="inlineStr">
        <is>
          <t>2026-04</t>
        </is>
      </c>
      <c r="C6525" t="inlineStr">
        <is>
          <t>Sin cliente</t>
        </is>
      </c>
      <c r="D6525" t="inlineStr">
        <is>
          <t>Canelé Petit Relleno</t>
        </is>
      </c>
      <c r="E6525" s="34" t="n">
        <v>16400</v>
      </c>
      <c r="F6525" t="inlineStr">
        <is>
          <t>B</t>
        </is>
      </c>
      <c r="G6525" s="34" t="n">
        <v>2618</v>
      </c>
      <c r="H6525" s="34" t="n">
        <v>13782</v>
      </c>
      <c r="I6525" t="inlineStr">
        <is>
          <t>3.2</t>
        </is>
      </c>
      <c r="J6525" t="inlineStr">
        <is>
          <t>Ventas Personas (B2C)</t>
        </is>
      </c>
      <c r="K6525" t="inlineStr">
        <is>
          <t>CH2</t>
        </is>
      </c>
    </row>
    <row r="6526">
      <c r="A6526" s="33" t="n">
        <v>46126</v>
      </c>
      <c r="B6526" t="inlineStr">
        <is>
          <t>2026-04</t>
        </is>
      </c>
      <c r="C6526" t="inlineStr">
        <is>
          <t>Sin cliente</t>
        </is>
      </c>
      <c r="D6526" t="inlineStr">
        <is>
          <t>Cafeteria Geronimo</t>
        </is>
      </c>
      <c r="E6526" s="34" t="n">
        <v>28300</v>
      </c>
      <c r="F6526" t="inlineStr">
        <is>
          <t>B</t>
        </is>
      </c>
      <c r="G6526" s="34" t="n">
        <v>4518</v>
      </c>
      <c r="H6526" s="34" t="n">
        <v>23782</v>
      </c>
      <c r="I6526" t="inlineStr">
        <is>
          <t>3.2</t>
        </is>
      </c>
      <c r="J6526" t="inlineStr">
        <is>
          <t>Ventas Personas (B2C)</t>
        </is>
      </c>
      <c r="K6526" t="inlineStr">
        <is>
          <t>CH2</t>
        </is>
      </c>
    </row>
    <row r="6527">
      <c r="A6527" s="33" t="n">
        <v>46126</v>
      </c>
      <c r="B6527" t="inlineStr">
        <is>
          <t>2026-04</t>
        </is>
      </c>
      <c r="C6527" t="inlineStr">
        <is>
          <t>Sin cliente</t>
        </is>
      </c>
      <c r="D6527" t="inlineStr">
        <is>
          <t>Rellenos</t>
        </is>
      </c>
      <c r="E6527" s="34" t="n">
        <v>7000</v>
      </c>
      <c r="F6527" t="inlineStr">
        <is>
          <t>B</t>
        </is>
      </c>
      <c r="G6527" s="34" t="n">
        <v>1118</v>
      </c>
      <c r="H6527" s="34" t="n">
        <v>5882</v>
      </c>
      <c r="I6527" t="inlineStr">
        <is>
          <t>3.2</t>
        </is>
      </c>
      <c r="J6527" t="inlineStr">
        <is>
          <t>Ventas Personas (B2C)</t>
        </is>
      </c>
      <c r="K6527" t="inlineStr">
        <is>
          <t>CH2</t>
        </is>
      </c>
    </row>
    <row r="6528">
      <c r="A6528" s="33" t="n">
        <v>46126</v>
      </c>
      <c r="B6528" t="inlineStr">
        <is>
          <t>2026-04</t>
        </is>
      </c>
      <c r="C6528" t="inlineStr">
        <is>
          <t>Sin cliente</t>
        </is>
      </c>
      <c r="D6528" t="inlineStr">
        <is>
          <t>PLATAFORMAS RAP-PEYA-UBER-GOOD</t>
        </is>
      </c>
      <c r="E6528" s="34" t="n">
        <v>16560</v>
      </c>
      <c r="F6528" t="inlineStr">
        <is>
          <t>B</t>
        </is>
      </c>
      <c r="G6528" s="34" t="n">
        <v>2644</v>
      </c>
      <c r="H6528" s="34" t="n">
        <v>13916</v>
      </c>
      <c r="I6528" t="inlineStr">
        <is>
          <t>3.6</t>
        </is>
      </c>
      <c r="J6528" t="inlineStr">
        <is>
          <t>Ventas Delivery Apps</t>
        </is>
      </c>
      <c r="K6528" t="inlineStr">
        <is>
          <t>CH3</t>
        </is>
      </c>
    </row>
    <row r="6529">
      <c r="A6529" s="33" t="n">
        <v>46126</v>
      </c>
      <c r="B6529" t="inlineStr">
        <is>
          <t>2026-04</t>
        </is>
      </c>
      <c r="C6529" t="inlineStr">
        <is>
          <t>Andar Café SpA</t>
        </is>
      </c>
      <c r="D6529" t="inlineStr">
        <is>
          <t>HORECA CAFETERIA</t>
        </is>
      </c>
      <c r="E6529" s="34" t="n">
        <v>-78540</v>
      </c>
      <c r="F6529" t="inlineStr">
        <is>
          <t>NC</t>
        </is>
      </c>
      <c r="G6529" s="34" t="n">
        <v>-12540</v>
      </c>
      <c r="H6529" s="34" t="n">
        <v>-66000</v>
      </c>
      <c r="I6529" t="inlineStr">
        <is>
          <t>3.1</t>
        </is>
      </c>
      <c r="J6529" t="inlineStr">
        <is>
          <t>Ventas HoReCa</t>
        </is>
      </c>
      <c r="K6529" t="inlineStr">
        <is>
          <t>CH1</t>
        </is>
      </c>
    </row>
    <row r="6530">
      <c r="A6530" s="33" t="n">
        <v>46126</v>
      </c>
      <c r="B6530" t="inlineStr">
        <is>
          <t>2026-04</t>
        </is>
      </c>
      <c r="C6530" t="inlineStr">
        <is>
          <t>Sin cliente</t>
        </is>
      </c>
      <c r="D6530" t="inlineStr">
        <is>
          <t>CANELE SIN AZUCAR</t>
        </is>
      </c>
      <c r="E6530" s="34" t="n">
        <v>13400</v>
      </c>
      <c r="F6530" t="inlineStr">
        <is>
          <t>B</t>
        </is>
      </c>
      <c r="G6530" s="34" t="n">
        <v>2139</v>
      </c>
      <c r="H6530" s="34" t="n">
        <v>11261</v>
      </c>
      <c r="I6530" t="inlineStr">
        <is>
          <t>3.2</t>
        </is>
      </c>
      <c r="J6530" t="inlineStr">
        <is>
          <t>Ventas Personas (B2C)</t>
        </is>
      </c>
      <c r="K6530" t="inlineStr">
        <is>
          <t>CH2</t>
        </is>
      </c>
    </row>
    <row r="6531">
      <c r="A6531" s="33" t="n">
        <v>46126</v>
      </c>
      <c r="B6531" t="inlineStr">
        <is>
          <t>2026-04</t>
        </is>
      </c>
      <c r="C6531" t="inlineStr">
        <is>
          <t>Gonzalo Poblete</t>
        </is>
      </c>
      <c r="D6531" t="inlineStr">
        <is>
          <t>Mix Sabores</t>
        </is>
      </c>
      <c r="E6531" s="34" t="n">
        <v>44590</v>
      </c>
      <c r="F6531" t="inlineStr">
        <is>
          <t>B</t>
        </is>
      </c>
      <c r="G6531" s="34" t="n">
        <v>7119</v>
      </c>
      <c r="H6531" s="34" t="n">
        <v>37471</v>
      </c>
      <c r="I6531" t="inlineStr">
        <is>
          <t>3.2</t>
        </is>
      </c>
      <c r="J6531" t="inlineStr">
        <is>
          <t>Ventas Personas (B2C)</t>
        </is>
      </c>
      <c r="K6531" t="inlineStr">
        <is>
          <t>CH2</t>
        </is>
      </c>
    </row>
    <row r="6532">
      <c r="A6532" s="33" t="n">
        <v>46126</v>
      </c>
      <c r="B6532" t="inlineStr">
        <is>
          <t>2026-04</t>
        </is>
      </c>
      <c r="C6532" t="inlineStr">
        <is>
          <t>Sin cliente</t>
        </is>
      </c>
      <c r="D6532" t="inlineStr">
        <is>
          <t>Rellenos</t>
        </is>
      </c>
      <c r="E6532" s="34" t="n">
        <v>14700</v>
      </c>
      <c r="F6532" t="inlineStr">
        <is>
          <t>B</t>
        </is>
      </c>
      <c r="G6532" s="34" t="n">
        <v>2347</v>
      </c>
      <c r="H6532" s="34" t="n">
        <v>12353</v>
      </c>
      <c r="I6532" t="inlineStr">
        <is>
          <t>3.2</t>
        </is>
      </c>
      <c r="J6532" t="inlineStr">
        <is>
          <t>Ventas Personas (B2C)</t>
        </is>
      </c>
      <c r="K6532" t="inlineStr">
        <is>
          <t>CH2</t>
        </is>
      </c>
    </row>
    <row r="6533">
      <c r="A6533" s="33" t="n">
        <v>46126</v>
      </c>
      <c r="B6533" t="inlineStr">
        <is>
          <t>2026-04</t>
        </is>
      </c>
      <c r="C6533" t="inlineStr">
        <is>
          <t>Sin cliente</t>
        </is>
      </c>
      <c r="D6533" t="inlineStr">
        <is>
          <t>CANELÉ TRADICIONAL</t>
        </is>
      </c>
      <c r="E6533" s="34" t="n">
        <v>27900</v>
      </c>
      <c r="F6533" t="inlineStr">
        <is>
          <t>B</t>
        </is>
      </c>
      <c r="G6533" s="34" t="n">
        <v>4455</v>
      </c>
      <c r="H6533" s="34" t="n">
        <v>23445</v>
      </c>
      <c r="I6533" t="inlineStr">
        <is>
          <t>3.2</t>
        </is>
      </c>
      <c r="J6533" t="inlineStr">
        <is>
          <t>Ventas Personas (B2C)</t>
        </is>
      </c>
      <c r="K6533" t="inlineStr">
        <is>
          <t>CH2</t>
        </is>
      </c>
    </row>
    <row r="6534">
      <c r="A6534" s="33" t="n">
        <v>46126</v>
      </c>
      <c r="B6534" t="inlineStr">
        <is>
          <t>2026-04</t>
        </is>
      </c>
      <c r="C6534" t="inlineStr">
        <is>
          <t>Sin cliente</t>
        </is>
      </c>
      <c r="D6534" t="inlineStr">
        <is>
          <t>PLATAFORMAS RAP-PEYA-UBER-GOOD</t>
        </is>
      </c>
      <c r="E6534" s="34" t="n">
        <v>22080</v>
      </c>
      <c r="F6534" t="inlineStr">
        <is>
          <t>B</t>
        </is>
      </c>
      <c r="G6534" s="34" t="n">
        <v>3525</v>
      </c>
      <c r="H6534" s="34" t="n">
        <v>18555</v>
      </c>
      <c r="I6534" t="inlineStr">
        <is>
          <t>3.6</t>
        </is>
      </c>
      <c r="J6534" t="inlineStr">
        <is>
          <t>Ventas Delivery Apps</t>
        </is>
      </c>
      <c r="K6534" t="inlineStr">
        <is>
          <t>CH3</t>
        </is>
      </c>
    </row>
    <row r="6535">
      <c r="A6535" s="33" t="n">
        <v>46126</v>
      </c>
      <c r="B6535" t="inlineStr">
        <is>
          <t>2026-04</t>
        </is>
      </c>
      <c r="C6535" t="inlineStr">
        <is>
          <t>Sin cliente</t>
        </is>
      </c>
      <c r="D6535" t="inlineStr">
        <is>
          <t>PLATAFORMAS RAP-PEYA-UBER-GOOD</t>
        </is>
      </c>
      <c r="E6535" s="34" t="n">
        <v>17880</v>
      </c>
      <c r="F6535" t="inlineStr">
        <is>
          <t>B</t>
        </is>
      </c>
      <c r="G6535" s="34" t="n">
        <v>2855</v>
      </c>
      <c r="H6535" s="34" t="n">
        <v>15025</v>
      </c>
      <c r="I6535" t="inlineStr">
        <is>
          <t>3.6</t>
        </is>
      </c>
      <c r="J6535" t="inlineStr">
        <is>
          <t>Ventas Delivery Apps</t>
        </is>
      </c>
      <c r="K6535" t="inlineStr">
        <is>
          <t>CH3</t>
        </is>
      </c>
    </row>
    <row r="6536">
      <c r="A6536" s="33" t="n">
        <v>46127</v>
      </c>
      <c r="B6536" t="inlineStr">
        <is>
          <t>2026-04</t>
        </is>
      </c>
      <c r="C6536" t="inlineStr">
        <is>
          <t>Sociedad gastronómica L&amp;A Limitada</t>
        </is>
      </c>
      <c r="D6536" t="inlineStr">
        <is>
          <t>HORECA CAFETERIA</t>
        </is>
      </c>
      <c r="E6536" s="34" t="n">
        <v>71210</v>
      </c>
      <c r="F6536" t="inlineStr">
        <is>
          <t>F</t>
        </is>
      </c>
      <c r="G6536" s="34" t="n">
        <v>11370</v>
      </c>
      <c r="H6536" s="34" t="n">
        <v>59840</v>
      </c>
      <c r="I6536" t="inlineStr">
        <is>
          <t>3.1</t>
        </is>
      </c>
      <c r="J6536" t="inlineStr">
        <is>
          <t>Ventas HoReCa</t>
        </is>
      </c>
      <c r="K6536" t="inlineStr">
        <is>
          <t>CH1</t>
        </is>
      </c>
    </row>
    <row r="6537">
      <c r="A6537" s="33" t="n">
        <v>46127</v>
      </c>
      <c r="B6537" t="inlineStr">
        <is>
          <t>2026-04</t>
        </is>
      </c>
      <c r="C6537" t="inlineStr">
        <is>
          <t>CAFE DIARIO ENCOMENDEROS SPA</t>
        </is>
      </c>
      <c r="D6537" t="inlineStr">
        <is>
          <t>HORECA CAFETERIA</t>
        </is>
      </c>
      <c r="E6537" s="34" t="n">
        <v>131971</v>
      </c>
      <c r="F6537" t="inlineStr">
        <is>
          <t>F</t>
        </is>
      </c>
      <c r="G6537" s="34" t="n">
        <v>21071</v>
      </c>
      <c r="H6537" s="34" t="n">
        <v>110900</v>
      </c>
      <c r="I6537" t="inlineStr">
        <is>
          <t>3.1</t>
        </is>
      </c>
      <c r="J6537" t="inlineStr">
        <is>
          <t>Ventas HoReCa</t>
        </is>
      </c>
      <c r="K6537" t="inlineStr">
        <is>
          <t>CH1</t>
        </is>
      </c>
    </row>
    <row r="6538">
      <c r="A6538" s="33" t="n">
        <v>46127</v>
      </c>
      <c r="B6538" t="inlineStr">
        <is>
          <t>2026-04</t>
        </is>
      </c>
      <c r="C6538" t="inlineStr">
        <is>
          <t>BLUE OAK COFFE SPA</t>
        </is>
      </c>
      <c r="D6538" t="inlineStr">
        <is>
          <t>HORECA CAFETERIA</t>
        </is>
      </c>
      <c r="E6538" s="34" t="n">
        <v>195785</v>
      </c>
      <c r="F6538" t="inlineStr">
        <is>
          <t>F</t>
        </is>
      </c>
      <c r="G6538" s="34" t="n">
        <v>31260</v>
      </c>
      <c r="H6538" s="34" t="n">
        <v>164525</v>
      </c>
      <c r="I6538" t="inlineStr">
        <is>
          <t>3.1</t>
        </is>
      </c>
      <c r="J6538" t="inlineStr">
        <is>
          <t>Ventas HoReCa</t>
        </is>
      </c>
      <c r="K6538" t="inlineStr">
        <is>
          <t>CH1</t>
        </is>
      </c>
    </row>
    <row r="6539">
      <c r="A6539" s="33" t="n">
        <v>46127</v>
      </c>
      <c r="B6539" t="inlineStr">
        <is>
          <t>2026-04</t>
        </is>
      </c>
      <c r="C6539" t="inlineStr">
        <is>
          <t>BACOLIO SPA</t>
        </is>
      </c>
      <c r="D6539" t="inlineStr">
        <is>
          <t>HORECA CAFETERIA</t>
        </is>
      </c>
      <c r="E6539" s="34" t="n">
        <v>120868</v>
      </c>
      <c r="F6539" t="inlineStr">
        <is>
          <t>F</t>
        </is>
      </c>
      <c r="G6539" s="34" t="n">
        <v>19298</v>
      </c>
      <c r="H6539" s="34" t="n">
        <v>101570</v>
      </c>
      <c r="I6539" t="inlineStr">
        <is>
          <t>3.1</t>
        </is>
      </c>
      <c r="J6539" t="inlineStr">
        <is>
          <t>Ventas HoReCa</t>
        </is>
      </c>
      <c r="K6539" t="inlineStr">
        <is>
          <t>CH1</t>
        </is>
      </c>
    </row>
    <row r="6540">
      <c r="A6540" s="33" t="n">
        <v>46127</v>
      </c>
      <c r="B6540" t="inlineStr">
        <is>
          <t>2026-04</t>
        </is>
      </c>
      <c r="C6540" t="inlineStr">
        <is>
          <t>Producciones la Martina Limitada</t>
        </is>
      </c>
      <c r="D6540" t="inlineStr">
        <is>
          <t>HORECA CATERING</t>
        </is>
      </c>
      <c r="E6540" s="34" t="n">
        <v>63665</v>
      </c>
      <c r="F6540" t="inlineStr">
        <is>
          <t>F</t>
        </is>
      </c>
      <c r="G6540" s="34" t="n">
        <v>10165</v>
      </c>
      <c r="H6540" s="34" t="n">
        <v>53500</v>
      </c>
      <c r="I6540" t="inlineStr">
        <is>
          <t>3.1</t>
        </is>
      </c>
      <c r="J6540" t="inlineStr">
        <is>
          <t>Ventas HoReCa</t>
        </is>
      </c>
      <c r="K6540" t="inlineStr">
        <is>
          <t>CH1</t>
        </is>
      </c>
    </row>
    <row r="6541">
      <c r="A6541" s="33" t="n">
        <v>46127</v>
      </c>
      <c r="B6541" t="inlineStr">
        <is>
          <t>2026-04</t>
        </is>
      </c>
      <c r="C6541" t="inlineStr">
        <is>
          <t>Pilar Morice</t>
        </is>
      </c>
      <c r="D6541" t="inlineStr">
        <is>
          <t>Petit Crunchy</t>
        </is>
      </c>
      <c r="E6541" s="34" t="n">
        <v>40390</v>
      </c>
      <c r="F6541" t="inlineStr">
        <is>
          <t>B</t>
        </is>
      </c>
      <c r="G6541" s="34" t="n">
        <v>6449</v>
      </c>
      <c r="H6541" s="34" t="n">
        <v>33941</v>
      </c>
      <c r="I6541" t="inlineStr">
        <is>
          <t>3.2</t>
        </is>
      </c>
      <c r="J6541" t="inlineStr">
        <is>
          <t>Ventas Personas (B2C)</t>
        </is>
      </c>
      <c r="K6541" t="inlineStr">
        <is>
          <t>CH2</t>
        </is>
      </c>
    </row>
    <row r="6542">
      <c r="A6542" s="33" t="n">
        <v>46127</v>
      </c>
      <c r="B6542" t="inlineStr">
        <is>
          <t>2026-04</t>
        </is>
      </c>
      <c r="C6542" t="inlineStr">
        <is>
          <t>Sin cliente</t>
        </is>
      </c>
      <c r="D6542" t="inlineStr">
        <is>
          <t>Cafeteria Geronimo</t>
        </is>
      </c>
      <c r="E6542" s="34" t="n">
        <v>9000</v>
      </c>
      <c r="F6542" t="inlineStr">
        <is>
          <t>B</t>
        </is>
      </c>
      <c r="G6542" s="34" t="n">
        <v>1437</v>
      </c>
      <c r="H6542" s="34" t="n">
        <v>7563</v>
      </c>
      <c r="I6542" t="inlineStr">
        <is>
          <t>3.2</t>
        </is>
      </c>
      <c r="J6542" t="inlineStr">
        <is>
          <t>Ventas Personas (B2C)</t>
        </is>
      </c>
      <c r="K6542" t="inlineStr">
        <is>
          <t>CH2</t>
        </is>
      </c>
    </row>
    <row r="6543">
      <c r="A6543" s="33" t="n">
        <v>46127</v>
      </c>
      <c r="B6543" t="inlineStr">
        <is>
          <t>2026-04</t>
        </is>
      </c>
      <c r="C6543" t="inlineStr">
        <is>
          <t>Luis Jara</t>
        </is>
      </c>
      <c r="D6543" t="inlineStr">
        <is>
          <t>Mix Sabores</t>
        </is>
      </c>
      <c r="E6543" s="34" t="n">
        <v>25010</v>
      </c>
      <c r="F6543" t="inlineStr">
        <is>
          <t>B</t>
        </is>
      </c>
      <c r="G6543" s="34" t="n">
        <v>3993</v>
      </c>
      <c r="H6543" s="34" t="n">
        <v>21017</v>
      </c>
      <c r="I6543" t="inlineStr">
        <is>
          <t>3.2</t>
        </is>
      </c>
      <c r="J6543" t="inlineStr">
        <is>
          <t>Ventas Personas (B2C)</t>
        </is>
      </c>
      <c r="K6543" t="inlineStr">
        <is>
          <t>CH2</t>
        </is>
      </c>
    </row>
    <row r="6544">
      <c r="A6544" s="33" t="n">
        <v>46127</v>
      </c>
      <c r="B6544" t="inlineStr">
        <is>
          <t>2026-04</t>
        </is>
      </c>
      <c r="C6544" t="inlineStr">
        <is>
          <t>Sin cliente</t>
        </is>
      </c>
      <c r="D6544" t="inlineStr">
        <is>
          <t>Cafeteria Geronimo</t>
        </is>
      </c>
      <c r="E6544" s="34" t="n">
        <v>11000</v>
      </c>
      <c r="F6544" t="inlineStr">
        <is>
          <t>B</t>
        </is>
      </c>
      <c r="G6544" s="34" t="n">
        <v>1756</v>
      </c>
      <c r="H6544" s="34" t="n">
        <v>9244</v>
      </c>
      <c r="I6544" t="inlineStr">
        <is>
          <t>3.2</t>
        </is>
      </c>
      <c r="J6544" t="inlineStr">
        <is>
          <t>Ventas Personas (B2C)</t>
        </is>
      </c>
      <c r="K6544" t="inlineStr">
        <is>
          <t>CH2</t>
        </is>
      </c>
    </row>
    <row r="6545">
      <c r="A6545" s="33" t="n">
        <v>46127</v>
      </c>
      <c r="B6545" t="inlineStr">
        <is>
          <t>2026-04</t>
        </is>
      </c>
      <c r="C6545" t="inlineStr">
        <is>
          <t>Sin cliente</t>
        </is>
      </c>
      <c r="D6545" t="inlineStr">
        <is>
          <t>CANELÉ TRADICIONAL</t>
        </is>
      </c>
      <c r="E6545" s="34" t="n">
        <v>34290</v>
      </c>
      <c r="F6545" t="inlineStr">
        <is>
          <t>B</t>
        </is>
      </c>
      <c r="G6545" s="34" t="n">
        <v>5475</v>
      </c>
      <c r="H6545" s="34" t="n">
        <v>28815</v>
      </c>
      <c r="I6545" t="inlineStr">
        <is>
          <t>3.2</t>
        </is>
      </c>
      <c r="J6545" t="inlineStr">
        <is>
          <t>Ventas Personas (B2C)</t>
        </is>
      </c>
      <c r="K6545" t="inlineStr">
        <is>
          <t>CH2</t>
        </is>
      </c>
    </row>
    <row r="6546">
      <c r="A6546" s="33" t="n">
        <v>46127</v>
      </c>
      <c r="B6546" t="inlineStr">
        <is>
          <t>2026-04</t>
        </is>
      </c>
      <c r="C6546" t="inlineStr">
        <is>
          <t>Sin cliente</t>
        </is>
      </c>
      <c r="D6546" t="inlineStr">
        <is>
          <t>Petit Crunchy</t>
        </is>
      </c>
      <c r="E6546" s="34" t="n">
        <v>104910</v>
      </c>
      <c r="F6546" t="inlineStr">
        <is>
          <t>B</t>
        </is>
      </c>
      <c r="G6546" s="34" t="n">
        <v>16750</v>
      </c>
      <c r="H6546" s="34" t="n">
        <v>88160</v>
      </c>
      <c r="I6546" t="inlineStr">
        <is>
          <t>3.2</t>
        </is>
      </c>
      <c r="J6546" t="inlineStr">
        <is>
          <t>Ventas Personas (B2C)</t>
        </is>
      </c>
      <c r="K6546" t="inlineStr">
        <is>
          <t>CH2</t>
        </is>
      </c>
    </row>
    <row r="6547">
      <c r="A6547" s="33" t="n">
        <v>46127</v>
      </c>
      <c r="B6547" t="inlineStr">
        <is>
          <t>2026-04</t>
        </is>
      </c>
      <c r="C6547" t="inlineStr">
        <is>
          <t>Sin cliente</t>
        </is>
      </c>
      <c r="D6547" t="inlineStr">
        <is>
          <t>Delicatessen</t>
        </is>
      </c>
      <c r="E6547" s="34" t="n">
        <v>14700</v>
      </c>
      <c r="F6547" t="inlineStr">
        <is>
          <t>B</t>
        </is>
      </c>
      <c r="G6547" s="34" t="n">
        <v>2347</v>
      </c>
      <c r="H6547" s="34" t="n">
        <v>12353</v>
      </c>
      <c r="I6547" t="inlineStr">
        <is>
          <t>3.2</t>
        </is>
      </c>
      <c r="J6547" t="inlineStr">
        <is>
          <t>Ventas Personas (B2C)</t>
        </is>
      </c>
      <c r="K6547" t="inlineStr">
        <is>
          <t>CH2</t>
        </is>
      </c>
    </row>
    <row r="6548">
      <c r="A6548" s="33" t="n">
        <v>46127</v>
      </c>
      <c r="B6548" t="inlineStr">
        <is>
          <t>2026-04</t>
        </is>
      </c>
      <c r="C6548" t="inlineStr">
        <is>
          <t>Sin cliente</t>
        </is>
      </c>
      <c r="D6548" t="inlineStr">
        <is>
          <t>Rellenos</t>
        </is>
      </c>
      <c r="E6548" s="34" t="n">
        <v>25900</v>
      </c>
      <c r="F6548" t="inlineStr">
        <is>
          <t>B</t>
        </is>
      </c>
      <c r="G6548" s="34" t="n">
        <v>4135</v>
      </c>
      <c r="H6548" s="34" t="n">
        <v>21765</v>
      </c>
      <c r="I6548" t="inlineStr">
        <is>
          <t>3.2</t>
        </is>
      </c>
      <c r="J6548" t="inlineStr">
        <is>
          <t>Ventas Personas (B2C)</t>
        </is>
      </c>
      <c r="K6548" t="inlineStr">
        <is>
          <t>CH2</t>
        </is>
      </c>
    </row>
    <row r="6549">
      <c r="A6549" s="33" t="n">
        <v>46127</v>
      </c>
      <c r="B6549" t="inlineStr">
        <is>
          <t>2026-04</t>
        </is>
      </c>
      <c r="C6549" t="inlineStr">
        <is>
          <t>Sin cliente</t>
        </is>
      </c>
      <c r="D6549" t="inlineStr">
        <is>
          <t>PLATAFORMAS RAP-PEYA-UBER-GOOD</t>
        </is>
      </c>
      <c r="E6549" s="34" t="n">
        <v>17880</v>
      </c>
      <c r="F6549" t="inlineStr">
        <is>
          <t>B</t>
        </is>
      </c>
      <c r="G6549" s="34" t="n">
        <v>2855</v>
      </c>
      <c r="H6549" s="34" t="n">
        <v>15025</v>
      </c>
      <c r="I6549" t="inlineStr">
        <is>
          <t>3.6</t>
        </is>
      </c>
      <c r="J6549" t="inlineStr">
        <is>
          <t>Ventas Delivery Apps</t>
        </is>
      </c>
      <c r="K6549" t="inlineStr">
        <is>
          <t>CH3</t>
        </is>
      </c>
    </row>
    <row r="6550">
      <c r="A6550" s="33" t="n">
        <v>46127</v>
      </c>
      <c r="B6550" t="inlineStr">
        <is>
          <t>2026-04</t>
        </is>
      </c>
      <c r="C6550" t="inlineStr">
        <is>
          <t>GUDFUD S.P.A.</t>
        </is>
      </c>
      <c r="D6550" t="inlineStr">
        <is>
          <t>Mix Sabores</t>
        </is>
      </c>
      <c r="E6550" s="34" t="n">
        <v>33901</v>
      </c>
      <c r="F6550" t="inlineStr">
        <is>
          <t>F</t>
        </is>
      </c>
      <c r="G6550" s="34" t="n">
        <v>5413</v>
      </c>
      <c r="H6550" s="34" t="n">
        <v>28488</v>
      </c>
      <c r="I6550" t="inlineStr">
        <is>
          <t>3.1</t>
        </is>
      </c>
      <c r="J6550" t="inlineStr">
        <is>
          <t>Ventas HoReCa</t>
        </is>
      </c>
      <c r="K6550" t="inlineStr">
        <is>
          <t>CH1</t>
        </is>
      </c>
    </row>
    <row r="6551">
      <c r="A6551" s="33" t="n">
        <v>46127</v>
      </c>
      <c r="B6551" t="inlineStr">
        <is>
          <t>2026-04</t>
        </is>
      </c>
      <c r="C6551" t="inlineStr">
        <is>
          <t>Sin cliente</t>
        </is>
      </c>
      <c r="D6551" t="inlineStr">
        <is>
          <t>Delicatessen</t>
        </is>
      </c>
      <c r="E6551" s="34" t="n">
        <v>10000</v>
      </c>
      <c r="F6551" t="inlineStr">
        <is>
          <t>B</t>
        </is>
      </c>
      <c r="G6551" s="34" t="n">
        <v>1597</v>
      </c>
      <c r="H6551" s="34" t="n">
        <v>8403</v>
      </c>
      <c r="I6551" t="inlineStr">
        <is>
          <t>3.2</t>
        </is>
      </c>
      <c r="J6551" t="inlineStr">
        <is>
          <t>Ventas Personas (B2C)</t>
        </is>
      </c>
      <c r="K6551" t="inlineStr">
        <is>
          <t>CH2</t>
        </is>
      </c>
    </row>
    <row r="6552">
      <c r="A6552" s="33" t="n">
        <v>46127</v>
      </c>
      <c r="B6552" t="inlineStr">
        <is>
          <t>2026-04</t>
        </is>
      </c>
      <c r="C6552" t="inlineStr">
        <is>
          <t>Sin cliente</t>
        </is>
      </c>
      <c r="D6552" t="inlineStr">
        <is>
          <t>Petit Crunchy</t>
        </is>
      </c>
      <c r="E6552" s="34" t="n">
        <v>36700</v>
      </c>
      <c r="F6552" t="inlineStr">
        <is>
          <t>B</t>
        </is>
      </c>
      <c r="G6552" s="34" t="n">
        <v>5860</v>
      </c>
      <c r="H6552" s="34" t="n">
        <v>30840</v>
      </c>
      <c r="I6552" t="inlineStr">
        <is>
          <t>3.2</t>
        </is>
      </c>
      <c r="J6552" t="inlineStr">
        <is>
          <t>Ventas Personas (B2C)</t>
        </is>
      </c>
      <c r="K6552" t="inlineStr">
        <is>
          <t>CH2</t>
        </is>
      </c>
    </row>
    <row r="6553">
      <c r="A6553" s="33" t="n">
        <v>46127</v>
      </c>
      <c r="B6553" t="inlineStr">
        <is>
          <t>2026-04</t>
        </is>
      </c>
      <c r="C6553" t="inlineStr">
        <is>
          <t>Viviana Orrego</t>
        </is>
      </c>
      <c r="D6553" t="inlineStr">
        <is>
          <t>Rellenos</t>
        </is>
      </c>
      <c r="E6553" s="34" t="n">
        <v>17490</v>
      </c>
      <c r="F6553" t="inlineStr">
        <is>
          <t>B</t>
        </is>
      </c>
      <c r="G6553" s="34" t="n">
        <v>2793</v>
      </c>
      <c r="H6553" s="34" t="n">
        <v>14697</v>
      </c>
      <c r="I6553" t="inlineStr">
        <is>
          <t>3.2</t>
        </is>
      </c>
      <c r="J6553" t="inlineStr">
        <is>
          <t>Ventas Personas (B2C)</t>
        </is>
      </c>
      <c r="K6553" t="inlineStr">
        <is>
          <t>CH2</t>
        </is>
      </c>
    </row>
    <row r="6554">
      <c r="A6554" s="33" t="n">
        <v>46127</v>
      </c>
      <c r="B6554" t="inlineStr">
        <is>
          <t>2026-04</t>
        </is>
      </c>
      <c r="C6554" t="inlineStr">
        <is>
          <t>Sin cliente</t>
        </is>
      </c>
      <c r="D6554" t="inlineStr">
        <is>
          <t>Rellenos</t>
        </is>
      </c>
      <c r="E6554" s="34" t="n">
        <v>17000</v>
      </c>
      <c r="F6554" t="inlineStr">
        <is>
          <t>B</t>
        </is>
      </c>
      <c r="G6554" s="34" t="n">
        <v>2714</v>
      </c>
      <c r="H6554" s="34" t="n">
        <v>14286</v>
      </c>
      <c r="I6554" t="inlineStr">
        <is>
          <t>3.2</t>
        </is>
      </c>
      <c r="J6554" t="inlineStr">
        <is>
          <t>Ventas Personas (B2C)</t>
        </is>
      </c>
      <c r="K6554" t="inlineStr">
        <is>
          <t>CH2</t>
        </is>
      </c>
    </row>
    <row r="6555">
      <c r="A6555" s="33" t="n">
        <v>46127</v>
      </c>
      <c r="B6555" t="inlineStr">
        <is>
          <t>2026-04</t>
        </is>
      </c>
      <c r="C6555" t="inlineStr">
        <is>
          <t>Sin cliente</t>
        </is>
      </c>
      <c r="D6555" t="inlineStr">
        <is>
          <t>Mix Sabores</t>
        </is>
      </c>
      <c r="E6555" s="34" t="n">
        <v>10200</v>
      </c>
      <c r="F6555" t="inlineStr">
        <is>
          <t>B</t>
        </is>
      </c>
      <c r="G6555" s="34" t="n">
        <v>1629</v>
      </c>
      <c r="H6555" s="34" t="n">
        <v>8571</v>
      </c>
      <c r="I6555" t="inlineStr">
        <is>
          <t>3.2</t>
        </is>
      </c>
      <c r="J6555" t="inlineStr">
        <is>
          <t>Ventas Personas (B2C)</t>
        </is>
      </c>
      <c r="K6555" t="inlineStr">
        <is>
          <t>CH2</t>
        </is>
      </c>
    </row>
    <row r="6556">
      <c r="A6556" s="33" t="n">
        <v>46127</v>
      </c>
      <c r="B6556" t="inlineStr">
        <is>
          <t>2026-04</t>
        </is>
      </c>
      <c r="C6556" t="inlineStr">
        <is>
          <t>Sin cliente</t>
        </is>
      </c>
      <c r="D6556" t="inlineStr">
        <is>
          <t>CANELE SIN AZUCAR</t>
        </is>
      </c>
      <c r="E6556" s="34" t="n">
        <v>11800</v>
      </c>
      <c r="F6556" t="inlineStr">
        <is>
          <t>B</t>
        </is>
      </c>
      <c r="G6556" s="34" t="n">
        <v>1884</v>
      </c>
      <c r="H6556" s="34" t="n">
        <v>9916</v>
      </c>
      <c r="I6556" t="inlineStr">
        <is>
          <t>3.2</t>
        </is>
      </c>
      <c r="J6556" t="inlineStr">
        <is>
          <t>Ventas Personas (B2C)</t>
        </is>
      </c>
      <c r="K6556" t="inlineStr">
        <is>
          <t>CH2</t>
        </is>
      </c>
    </row>
    <row r="6557">
      <c r="A6557" s="33" t="n">
        <v>46127</v>
      </c>
      <c r="B6557" t="inlineStr">
        <is>
          <t>2026-04</t>
        </is>
      </c>
      <c r="C6557" t="inlineStr">
        <is>
          <t>Sin cliente</t>
        </is>
      </c>
      <c r="D6557" t="inlineStr">
        <is>
          <t>PLATAFORMAS RAP-PEYA-UBER-GOOD</t>
        </is>
      </c>
      <c r="E6557" s="34" t="n">
        <v>30960</v>
      </c>
      <c r="F6557" t="inlineStr">
        <is>
          <t>B</t>
        </is>
      </c>
      <c r="G6557" s="34" t="n">
        <v>4943</v>
      </c>
      <c r="H6557" s="34" t="n">
        <v>26017</v>
      </c>
      <c r="I6557" t="inlineStr">
        <is>
          <t>3.6</t>
        </is>
      </c>
      <c r="J6557" t="inlineStr">
        <is>
          <t>Ventas Delivery Apps</t>
        </is>
      </c>
      <c r="K6557" t="inlineStr">
        <is>
          <t>CH3</t>
        </is>
      </c>
    </row>
    <row r="6558">
      <c r="A6558" s="33" t="n">
        <v>46127</v>
      </c>
      <c r="B6558" t="inlineStr">
        <is>
          <t>2026-04</t>
        </is>
      </c>
      <c r="C6558" t="inlineStr">
        <is>
          <t>Sin cliente</t>
        </is>
      </c>
      <c r="D6558" t="inlineStr">
        <is>
          <t>Petit Tradicional</t>
        </is>
      </c>
      <c r="E6558" s="34" t="n">
        <v>21800</v>
      </c>
      <c r="F6558" t="inlineStr">
        <is>
          <t>B</t>
        </is>
      </c>
      <c r="G6558" s="34" t="n">
        <v>3481</v>
      </c>
      <c r="H6558" s="34" t="n">
        <v>18319</v>
      </c>
      <c r="I6558" t="inlineStr">
        <is>
          <t>3.2</t>
        </is>
      </c>
      <c r="J6558" t="inlineStr">
        <is>
          <t>Ventas Personas (B2C)</t>
        </is>
      </c>
      <c r="K6558" t="inlineStr">
        <is>
          <t>CH2</t>
        </is>
      </c>
    </row>
    <row r="6559">
      <c r="A6559" s="33" t="n">
        <v>46128</v>
      </c>
      <c r="B6559" t="inlineStr">
        <is>
          <t>2026-04</t>
        </is>
      </c>
      <c r="C6559" t="inlineStr">
        <is>
          <t>TAVELLI S.A.</t>
        </is>
      </c>
      <c r="D6559" t="inlineStr">
        <is>
          <t>HORECA CAFETERIA</t>
        </is>
      </c>
      <c r="E6559" s="34" t="n">
        <v>818405</v>
      </c>
      <c r="F6559" t="inlineStr">
        <is>
          <t>F</t>
        </is>
      </c>
      <c r="G6559" s="34" t="n">
        <v>130670</v>
      </c>
      <c r="H6559" s="34" t="n">
        <v>687735</v>
      </c>
      <c r="I6559" t="inlineStr">
        <is>
          <t>3.1</t>
        </is>
      </c>
      <c r="J6559" t="inlineStr">
        <is>
          <t>Ventas HoReCa</t>
        </is>
      </c>
      <c r="K6559" t="inlineStr">
        <is>
          <t>CH1</t>
        </is>
      </c>
    </row>
    <row r="6560">
      <c r="A6560" s="33" t="n">
        <v>46128</v>
      </c>
      <c r="B6560" t="inlineStr">
        <is>
          <t>2026-04</t>
        </is>
      </c>
      <c r="C6560" t="inlineStr">
        <is>
          <t>TAVELLI S.A.</t>
        </is>
      </c>
      <c r="D6560" t="inlineStr">
        <is>
          <t>REGION METROPOLITANA</t>
        </is>
      </c>
      <c r="E6560" s="34" t="n">
        <v>35700</v>
      </c>
      <c r="F6560" t="inlineStr">
        <is>
          <t>F</t>
        </is>
      </c>
      <c r="G6560" s="34" t="n">
        <v>5700</v>
      </c>
      <c r="H6560" s="34" t="n">
        <v>30000</v>
      </c>
      <c r="I6560" t="inlineStr">
        <is>
          <t>3.1</t>
        </is>
      </c>
      <c r="J6560" t="inlineStr">
        <is>
          <t>Ventas HoReCa</t>
        </is>
      </c>
      <c r="K6560" t="inlineStr">
        <is>
          <t>CH1</t>
        </is>
      </c>
    </row>
    <row r="6561">
      <c r="A6561" s="33" t="n">
        <v>46128</v>
      </c>
      <c r="B6561" t="inlineStr">
        <is>
          <t>2026-04</t>
        </is>
      </c>
      <c r="C6561" t="inlineStr">
        <is>
          <t>Better Food Spa</t>
        </is>
      </c>
      <c r="D6561" t="inlineStr">
        <is>
          <t>HORECA CAFETERIA</t>
        </is>
      </c>
      <c r="E6561" s="34" t="n">
        <v>385132</v>
      </c>
      <c r="F6561" t="inlineStr">
        <is>
          <t>F</t>
        </is>
      </c>
      <c r="G6561" s="34" t="n">
        <v>61492</v>
      </c>
      <c r="H6561" s="34" t="n">
        <v>323640</v>
      </c>
      <c r="I6561" t="inlineStr">
        <is>
          <t>3.1</t>
        </is>
      </c>
      <c r="J6561" t="inlineStr">
        <is>
          <t>Ventas HoReCa</t>
        </is>
      </c>
      <c r="K6561" t="inlineStr">
        <is>
          <t>CH1</t>
        </is>
      </c>
    </row>
    <row r="6562">
      <c r="A6562" s="33" t="n">
        <v>46128</v>
      </c>
      <c r="B6562" t="inlineStr">
        <is>
          <t>2026-04</t>
        </is>
      </c>
      <c r="C6562" t="inlineStr">
        <is>
          <t>Better Food Spa</t>
        </is>
      </c>
      <c r="D6562" t="inlineStr">
        <is>
          <t>REGION METROPOLITANA</t>
        </is>
      </c>
      <c r="E6562" s="34" t="n">
        <v>9401</v>
      </c>
      <c r="F6562" t="inlineStr">
        <is>
          <t>F</t>
        </is>
      </c>
      <c r="G6562" s="34" t="n">
        <v>1501</v>
      </c>
      <c r="H6562" s="34" t="n">
        <v>7900</v>
      </c>
      <c r="I6562" t="inlineStr">
        <is>
          <t>3.1</t>
        </is>
      </c>
      <c r="J6562" t="inlineStr">
        <is>
          <t>Ventas HoReCa</t>
        </is>
      </c>
      <c r="K6562" t="inlineStr">
        <is>
          <t>CH1</t>
        </is>
      </c>
    </row>
    <row r="6563">
      <c r="A6563" s="33" t="n">
        <v>46128</v>
      </c>
      <c r="B6563" t="inlineStr">
        <is>
          <t>2026-04</t>
        </is>
      </c>
      <c r="C6563" t="inlineStr">
        <is>
          <t>ALIMENTOS NILO SPA</t>
        </is>
      </c>
      <c r="D6563" t="inlineStr">
        <is>
          <t>HORECA CAFETERIA</t>
        </is>
      </c>
      <c r="E6563" s="34" t="n">
        <v>77564</v>
      </c>
      <c r="F6563" t="inlineStr">
        <is>
          <t>F</t>
        </is>
      </c>
      <c r="G6563" s="34" t="n">
        <v>12384</v>
      </c>
      <c r="H6563" s="34" t="n">
        <v>65180</v>
      </c>
      <c r="I6563" t="inlineStr">
        <is>
          <t>3.1</t>
        </is>
      </c>
      <c r="J6563" t="inlineStr">
        <is>
          <t>Ventas HoReCa</t>
        </is>
      </c>
      <c r="K6563" t="inlineStr">
        <is>
          <t>CH1</t>
        </is>
      </c>
    </row>
    <row r="6564">
      <c r="A6564" s="33" t="n">
        <v>46128</v>
      </c>
      <c r="B6564" t="inlineStr">
        <is>
          <t>2026-04</t>
        </is>
      </c>
      <c r="C6564" t="inlineStr">
        <is>
          <t>DIEGO VARGAS BANQUETERIA Y EVENTOS SPA</t>
        </is>
      </c>
      <c r="D6564" t="inlineStr">
        <is>
          <t>HORECA CATERING</t>
        </is>
      </c>
      <c r="E6564" s="34" t="n">
        <v>80087</v>
      </c>
      <c r="F6564" t="inlineStr">
        <is>
          <t>F</t>
        </is>
      </c>
      <c r="G6564" s="34" t="n">
        <v>12787</v>
      </c>
      <c r="H6564" s="34" t="n">
        <v>67300</v>
      </c>
      <c r="I6564" t="inlineStr">
        <is>
          <t>3.1</t>
        </is>
      </c>
      <c r="J6564" t="inlineStr">
        <is>
          <t>Ventas HoReCa</t>
        </is>
      </c>
      <c r="K6564" t="inlineStr">
        <is>
          <t>CH1</t>
        </is>
      </c>
    </row>
    <row r="6565">
      <c r="A6565" s="33" t="n">
        <v>46128</v>
      </c>
      <c r="B6565" t="inlineStr">
        <is>
          <t>2026-04</t>
        </is>
      </c>
      <c r="C6565" t="inlineStr">
        <is>
          <t>Sin cliente</t>
        </is>
      </c>
      <c r="D6565" t="inlineStr">
        <is>
          <t>CANELÉ TRADICIONAL</t>
        </is>
      </c>
      <c r="E6565" s="34" t="n">
        <v>27900</v>
      </c>
      <c r="F6565" t="inlineStr">
        <is>
          <t>B</t>
        </is>
      </c>
      <c r="G6565" s="34" t="n">
        <v>4455</v>
      </c>
      <c r="H6565" s="34" t="n">
        <v>23445</v>
      </c>
      <c r="I6565" t="inlineStr">
        <is>
          <t>3.2</t>
        </is>
      </c>
      <c r="J6565" t="inlineStr">
        <is>
          <t>Ventas Personas (B2C)</t>
        </is>
      </c>
      <c r="K6565" t="inlineStr">
        <is>
          <t>CH2</t>
        </is>
      </c>
    </row>
    <row r="6566">
      <c r="A6566" s="33" t="n">
        <v>46128</v>
      </c>
      <c r="B6566" t="inlineStr">
        <is>
          <t>2026-04</t>
        </is>
      </c>
      <c r="C6566" t="inlineStr">
        <is>
          <t>Sin cliente</t>
        </is>
      </c>
      <c r="D6566" t="inlineStr">
        <is>
          <t>Rellenos</t>
        </is>
      </c>
      <c r="E6566" s="34" t="n">
        <v>18900</v>
      </c>
      <c r="F6566" t="inlineStr">
        <is>
          <t>B</t>
        </is>
      </c>
      <c r="G6566" s="34" t="n">
        <v>3018</v>
      </c>
      <c r="H6566" s="34" t="n">
        <v>15882</v>
      </c>
      <c r="I6566" t="inlineStr">
        <is>
          <t>3.2</t>
        </is>
      </c>
      <c r="J6566" t="inlineStr">
        <is>
          <t>Ventas Personas (B2C)</t>
        </is>
      </c>
      <c r="K6566" t="inlineStr">
        <is>
          <t>CH2</t>
        </is>
      </c>
    </row>
    <row r="6567">
      <c r="A6567" s="33" t="n">
        <v>46128</v>
      </c>
      <c r="B6567" t="inlineStr">
        <is>
          <t>2026-04</t>
        </is>
      </c>
      <c r="C6567" t="inlineStr">
        <is>
          <t>PAulina DReyer</t>
        </is>
      </c>
      <c r="D6567" t="inlineStr">
        <is>
          <t>Delicatessen</t>
        </is>
      </c>
      <c r="E6567" s="34" t="n">
        <v>59290</v>
      </c>
      <c r="F6567" t="inlineStr">
        <is>
          <t>B</t>
        </is>
      </c>
      <c r="G6567" s="34" t="n">
        <v>9466</v>
      </c>
      <c r="H6567" s="34" t="n">
        <v>49824</v>
      </c>
      <c r="I6567" t="inlineStr">
        <is>
          <t>3.2</t>
        </is>
      </c>
      <c r="J6567" t="inlineStr">
        <is>
          <t>Ventas Personas (B2C)</t>
        </is>
      </c>
      <c r="K6567" t="inlineStr">
        <is>
          <t>CH2</t>
        </is>
      </c>
    </row>
    <row r="6568">
      <c r="A6568" s="33" t="n">
        <v>46128</v>
      </c>
      <c r="B6568" t="inlineStr">
        <is>
          <t>2026-04</t>
        </is>
      </c>
      <c r="C6568" t="inlineStr">
        <is>
          <t>Sin cliente</t>
        </is>
      </c>
      <c r="D6568" t="inlineStr">
        <is>
          <t>Cafeteria Geronimo</t>
        </is>
      </c>
      <c r="E6568" s="34" t="n">
        <v>9400</v>
      </c>
      <c r="F6568" t="inlineStr">
        <is>
          <t>B</t>
        </is>
      </c>
      <c r="G6568" s="34" t="n">
        <v>1501</v>
      </c>
      <c r="H6568" s="34" t="n">
        <v>7899</v>
      </c>
      <c r="I6568" t="inlineStr">
        <is>
          <t>3.2</t>
        </is>
      </c>
      <c r="J6568" t="inlineStr">
        <is>
          <t>Ventas Personas (B2C)</t>
        </is>
      </c>
      <c r="K6568" t="inlineStr">
        <is>
          <t>CH2</t>
        </is>
      </c>
    </row>
    <row r="6569">
      <c r="A6569" s="33" t="n">
        <v>46128</v>
      </c>
      <c r="B6569" t="inlineStr">
        <is>
          <t>2026-04</t>
        </is>
      </c>
      <c r="C6569" t="inlineStr">
        <is>
          <t>Francisca Roman Trujillo</t>
        </is>
      </c>
      <c r="D6569" t="inlineStr">
        <is>
          <t>Canelé Petit Relleno</t>
        </is>
      </c>
      <c r="E6569" s="34" t="n">
        <v>73290</v>
      </c>
      <c r="F6569" t="inlineStr">
        <is>
          <t>B</t>
        </is>
      </c>
      <c r="G6569" s="34" t="n">
        <v>11702</v>
      </c>
      <c r="H6569" s="34" t="n">
        <v>61588</v>
      </c>
      <c r="I6569" t="inlineStr">
        <is>
          <t>3.2</t>
        </is>
      </c>
      <c r="J6569" t="inlineStr">
        <is>
          <t>Ventas Personas (B2C)</t>
        </is>
      </c>
      <c r="K6569" t="inlineStr">
        <is>
          <t>CH2</t>
        </is>
      </c>
    </row>
    <row r="6570">
      <c r="A6570" s="33" t="n">
        <v>46128</v>
      </c>
      <c r="B6570" t="inlineStr">
        <is>
          <t>2026-04</t>
        </is>
      </c>
      <c r="C6570" t="inlineStr">
        <is>
          <t>Sin cliente</t>
        </is>
      </c>
      <c r="D6570" t="inlineStr">
        <is>
          <t>Cafeteria Geronimo</t>
        </is>
      </c>
      <c r="E6570" s="34" t="n">
        <v>6700</v>
      </c>
      <c r="F6570" t="inlineStr">
        <is>
          <t>B</t>
        </is>
      </c>
      <c r="G6570" s="34" t="n">
        <v>1070</v>
      </c>
      <c r="H6570" s="34" t="n">
        <v>5630</v>
      </c>
      <c r="I6570" t="inlineStr">
        <is>
          <t>3.2</t>
        </is>
      </c>
      <c r="J6570" t="inlineStr">
        <is>
          <t>Ventas Personas (B2C)</t>
        </is>
      </c>
      <c r="K6570" t="inlineStr">
        <is>
          <t>CH2</t>
        </is>
      </c>
    </row>
    <row r="6571">
      <c r="A6571" s="33" t="n">
        <v>46128</v>
      </c>
      <c r="B6571" t="inlineStr">
        <is>
          <t>2026-04</t>
        </is>
      </c>
      <c r="C6571" t="inlineStr">
        <is>
          <t>Sin cliente</t>
        </is>
      </c>
      <c r="D6571" t="inlineStr">
        <is>
          <t>PLATAFORMAS RAP-PEYA-UBER-GOOD</t>
        </is>
      </c>
      <c r="E6571" s="34" t="n">
        <v>16560</v>
      </c>
      <c r="F6571" t="inlineStr">
        <is>
          <t>B</t>
        </is>
      </c>
      <c r="G6571" s="34" t="n">
        <v>2644</v>
      </c>
      <c r="H6571" s="34" t="n">
        <v>13916</v>
      </c>
      <c r="I6571" t="inlineStr">
        <is>
          <t>3.6</t>
        </is>
      </c>
      <c r="J6571" t="inlineStr">
        <is>
          <t>Ventas Delivery Apps</t>
        </is>
      </c>
      <c r="K6571" t="inlineStr">
        <is>
          <t>CH3</t>
        </is>
      </c>
    </row>
    <row r="6572">
      <c r="A6572" s="33" t="n">
        <v>46128</v>
      </c>
      <c r="B6572" t="inlineStr">
        <is>
          <t>2026-04</t>
        </is>
      </c>
      <c r="C6572" t="inlineStr">
        <is>
          <t>Sin cliente</t>
        </is>
      </c>
      <c r="D6572" t="inlineStr">
        <is>
          <t>CANELÉ TRADICIONAL</t>
        </is>
      </c>
      <c r="E6572" s="34" t="n">
        <v>15900</v>
      </c>
      <c r="F6572" t="inlineStr">
        <is>
          <t>B</t>
        </is>
      </c>
      <c r="G6572" s="34" t="n">
        <v>2539</v>
      </c>
      <c r="H6572" s="34" t="n">
        <v>13361</v>
      </c>
      <c r="I6572" t="inlineStr">
        <is>
          <t>3.2</t>
        </is>
      </c>
      <c r="J6572" t="inlineStr">
        <is>
          <t>Ventas Personas (B2C)</t>
        </is>
      </c>
      <c r="K6572" t="inlineStr">
        <is>
          <t>CH2</t>
        </is>
      </c>
    </row>
    <row r="6573">
      <c r="A6573" s="33" t="n">
        <v>46128</v>
      </c>
      <c r="B6573" t="inlineStr">
        <is>
          <t>2026-04</t>
        </is>
      </c>
      <c r="C6573" t="inlineStr">
        <is>
          <t>Sin cliente</t>
        </is>
      </c>
      <c r="D6573" t="inlineStr">
        <is>
          <t>Rellenos</t>
        </is>
      </c>
      <c r="E6573" s="34" t="n">
        <v>9800</v>
      </c>
      <c r="F6573" t="inlineStr">
        <is>
          <t>B</t>
        </is>
      </c>
      <c r="G6573" s="34" t="n">
        <v>1565</v>
      </c>
      <c r="H6573" s="34" t="n">
        <v>8235</v>
      </c>
      <c r="I6573" t="inlineStr">
        <is>
          <t>3.2</t>
        </is>
      </c>
      <c r="J6573" t="inlineStr">
        <is>
          <t>Ventas Personas (B2C)</t>
        </is>
      </c>
      <c r="K6573" t="inlineStr">
        <is>
          <t>CH2</t>
        </is>
      </c>
    </row>
    <row r="6574">
      <c r="A6574" s="33" t="n">
        <v>46128</v>
      </c>
      <c r="B6574" t="inlineStr">
        <is>
          <t>2026-04</t>
        </is>
      </c>
      <c r="C6574" t="inlineStr">
        <is>
          <t>Sin cliente</t>
        </is>
      </c>
      <c r="D6574" t="inlineStr">
        <is>
          <t>Rellenos</t>
        </is>
      </c>
      <c r="E6574" s="34" t="n">
        <v>9000</v>
      </c>
      <c r="F6574" t="inlineStr">
        <is>
          <t>B</t>
        </is>
      </c>
      <c r="G6574" s="34" t="n">
        <v>1437</v>
      </c>
      <c r="H6574" s="34" t="n">
        <v>7563</v>
      </c>
      <c r="I6574" t="inlineStr">
        <is>
          <t>3.2</t>
        </is>
      </c>
      <c r="J6574" t="inlineStr">
        <is>
          <t>Ventas Personas (B2C)</t>
        </is>
      </c>
      <c r="K6574" t="inlineStr">
        <is>
          <t>CH2</t>
        </is>
      </c>
    </row>
    <row r="6575">
      <c r="A6575" s="33" t="n">
        <v>46128</v>
      </c>
      <c r="B6575" t="inlineStr">
        <is>
          <t>2026-04</t>
        </is>
      </c>
      <c r="C6575" t="inlineStr">
        <is>
          <t>ESTUDIO DE PILATES MARIA ANGELICA LAMARCA ROSS EIR</t>
        </is>
      </c>
      <c r="D6575" t="inlineStr">
        <is>
          <t>Canelé Petit Relleno</t>
        </is>
      </c>
      <c r="E6575" s="34" t="n">
        <v>46390</v>
      </c>
      <c r="F6575" t="inlineStr">
        <is>
          <t>F</t>
        </is>
      </c>
      <c r="G6575" s="34" t="n">
        <v>7407</v>
      </c>
      <c r="H6575" s="34" t="n">
        <v>38983</v>
      </c>
      <c r="I6575" t="inlineStr">
        <is>
          <t>3.1</t>
        </is>
      </c>
      <c r="J6575" t="inlineStr">
        <is>
          <t>Ventas HoReCa</t>
        </is>
      </c>
      <c r="K6575" t="inlineStr">
        <is>
          <t>CH1</t>
        </is>
      </c>
    </row>
    <row r="6576">
      <c r="A6576" s="33" t="n">
        <v>46128</v>
      </c>
      <c r="B6576" t="inlineStr">
        <is>
          <t>2026-04</t>
        </is>
      </c>
      <c r="C6576" t="inlineStr">
        <is>
          <t>Sin cliente</t>
        </is>
      </c>
      <c r="D6576" t="inlineStr">
        <is>
          <t>Petit Tradicional</t>
        </is>
      </c>
      <c r="E6576" s="34" t="n">
        <v>9800</v>
      </c>
      <c r="F6576" t="inlineStr">
        <is>
          <t>B</t>
        </is>
      </c>
      <c r="G6576" s="34" t="n">
        <v>1565</v>
      </c>
      <c r="H6576" s="34" t="n">
        <v>8235</v>
      </c>
      <c r="I6576" t="inlineStr">
        <is>
          <t>3.2</t>
        </is>
      </c>
      <c r="J6576" t="inlineStr">
        <is>
          <t>Ventas Personas (B2C)</t>
        </is>
      </c>
      <c r="K6576" t="inlineStr">
        <is>
          <t>CH2</t>
        </is>
      </c>
    </row>
    <row r="6577">
      <c r="A6577" s="33" t="n">
        <v>46128</v>
      </c>
      <c r="B6577" t="inlineStr">
        <is>
          <t>2026-04</t>
        </is>
      </c>
      <c r="C6577" t="inlineStr">
        <is>
          <t>Florencia Espinoza</t>
        </is>
      </c>
      <c r="D6577" t="inlineStr">
        <is>
          <t>Canelé Petit Relleno</t>
        </is>
      </c>
      <c r="E6577" s="34" t="n">
        <v>87090</v>
      </c>
      <c r="F6577" t="inlineStr">
        <is>
          <t>B</t>
        </is>
      </c>
      <c r="G6577" s="34" t="n">
        <v>13905</v>
      </c>
      <c r="H6577" s="34" t="n">
        <v>73185</v>
      </c>
      <c r="I6577" t="inlineStr">
        <is>
          <t>3.2</t>
        </is>
      </c>
      <c r="J6577" t="inlineStr">
        <is>
          <t>Ventas Personas (B2C)</t>
        </is>
      </c>
      <c r="K6577" t="inlineStr">
        <is>
          <t>CH2</t>
        </is>
      </c>
    </row>
    <row r="6578">
      <c r="A6578" s="33" t="n">
        <v>46128</v>
      </c>
      <c r="B6578" t="inlineStr">
        <is>
          <t>2026-04</t>
        </is>
      </c>
      <c r="C6578" t="inlineStr">
        <is>
          <t>Sin cliente</t>
        </is>
      </c>
      <c r="D6578" t="inlineStr">
        <is>
          <t>Petit Tradicional</t>
        </is>
      </c>
      <c r="E6578" s="34" t="n">
        <v>35090</v>
      </c>
      <c r="F6578" t="inlineStr">
        <is>
          <t>B</t>
        </is>
      </c>
      <c r="G6578" s="34" t="n">
        <v>5603</v>
      </c>
      <c r="H6578" s="34" t="n">
        <v>29487</v>
      </c>
      <c r="I6578" t="inlineStr">
        <is>
          <t>3.2</t>
        </is>
      </c>
      <c r="J6578" t="inlineStr">
        <is>
          <t>Ventas Personas (B2C)</t>
        </is>
      </c>
      <c r="K6578" t="inlineStr">
        <is>
          <t>CH2</t>
        </is>
      </c>
    </row>
    <row r="6579">
      <c r="A6579" s="33" t="n">
        <v>46128</v>
      </c>
      <c r="B6579" t="inlineStr">
        <is>
          <t>2026-04</t>
        </is>
      </c>
      <c r="C6579" t="inlineStr">
        <is>
          <t>Sin cliente</t>
        </is>
      </c>
      <c r="D6579" t="inlineStr">
        <is>
          <t>CANELÉ TRADICIONAL</t>
        </is>
      </c>
      <c r="E6579" s="34" t="n">
        <v>32800</v>
      </c>
      <c r="F6579" t="inlineStr">
        <is>
          <t>B</t>
        </is>
      </c>
      <c r="G6579" s="34" t="n">
        <v>5237</v>
      </c>
      <c r="H6579" s="34" t="n">
        <v>27563</v>
      </c>
      <c r="I6579" t="inlineStr">
        <is>
          <t>3.2</t>
        </is>
      </c>
      <c r="J6579" t="inlineStr">
        <is>
          <t>Ventas Personas (B2C)</t>
        </is>
      </c>
      <c r="K6579" t="inlineStr">
        <is>
          <t>CH2</t>
        </is>
      </c>
    </row>
    <row r="6580">
      <c r="A6580" s="33" t="n">
        <v>46128</v>
      </c>
      <c r="B6580" t="inlineStr">
        <is>
          <t>2026-04</t>
        </is>
      </c>
      <c r="C6580" t="inlineStr">
        <is>
          <t>Sin cliente</t>
        </is>
      </c>
      <c r="D6580" t="inlineStr">
        <is>
          <t>Rellenos</t>
        </is>
      </c>
      <c r="E6580" s="34" t="n">
        <v>18900</v>
      </c>
      <c r="F6580" t="inlineStr">
        <is>
          <t>B</t>
        </is>
      </c>
      <c r="G6580" s="34" t="n">
        <v>3018</v>
      </c>
      <c r="H6580" s="34" t="n">
        <v>15882</v>
      </c>
      <c r="I6580" t="inlineStr">
        <is>
          <t>3.2</t>
        </is>
      </c>
      <c r="J6580" t="inlineStr">
        <is>
          <t>Ventas Personas (B2C)</t>
        </is>
      </c>
      <c r="K6580" t="inlineStr">
        <is>
          <t>CH2</t>
        </is>
      </c>
    </row>
    <row r="6581">
      <c r="A6581" s="33" t="n">
        <v>46128</v>
      </c>
      <c r="B6581" t="inlineStr">
        <is>
          <t>2026-04</t>
        </is>
      </c>
      <c r="C6581" t="inlineStr">
        <is>
          <t>Thamara oteiza</t>
        </is>
      </c>
      <c r="D6581" t="inlineStr">
        <is>
          <t>Canelé Petit Relleno</t>
        </is>
      </c>
      <c r="E6581" s="34" t="n">
        <v>17010</v>
      </c>
      <c r="F6581" t="inlineStr">
        <is>
          <t>B</t>
        </is>
      </c>
      <c r="G6581" s="34" t="n">
        <v>2716</v>
      </c>
      <c r="H6581" s="34" t="n">
        <v>14294</v>
      </c>
      <c r="I6581" t="inlineStr">
        <is>
          <t>3.2</t>
        </is>
      </c>
      <c r="J6581" t="inlineStr">
        <is>
          <t>Ventas Personas (B2C)</t>
        </is>
      </c>
      <c r="K6581" t="inlineStr">
        <is>
          <t>CH2</t>
        </is>
      </c>
    </row>
    <row r="6582">
      <c r="A6582" s="33" t="n">
        <v>46128</v>
      </c>
      <c r="B6582" t="inlineStr">
        <is>
          <t>2026-04</t>
        </is>
      </c>
      <c r="C6582" t="inlineStr">
        <is>
          <t>Julieta Palma</t>
        </is>
      </c>
      <c r="D6582" t="inlineStr">
        <is>
          <t>Canelé Petit Relleno</t>
        </is>
      </c>
      <c r="E6582" s="34" t="n">
        <v>34390</v>
      </c>
      <c r="F6582" t="inlineStr">
        <is>
          <t>B</t>
        </is>
      </c>
      <c r="G6582" s="34" t="n">
        <v>5491</v>
      </c>
      <c r="H6582" s="34" t="n">
        <v>28899</v>
      </c>
      <c r="I6582" t="inlineStr">
        <is>
          <t>3.2</t>
        </is>
      </c>
      <c r="J6582" t="inlineStr">
        <is>
          <t>Ventas Personas (B2C)</t>
        </is>
      </c>
      <c r="K6582" t="inlineStr">
        <is>
          <t>CH2</t>
        </is>
      </c>
    </row>
    <row r="6583">
      <c r="A6583" s="33" t="n">
        <v>46128</v>
      </c>
      <c r="B6583" t="inlineStr">
        <is>
          <t>2026-04</t>
        </is>
      </c>
      <c r="C6583" t="inlineStr">
        <is>
          <t>Claudia Vergara Cepeda</t>
        </is>
      </c>
      <c r="D6583" t="inlineStr">
        <is>
          <t>Petit Crunchy</t>
        </is>
      </c>
      <c r="E6583" s="34" t="n">
        <v>32390</v>
      </c>
      <c r="F6583" t="inlineStr">
        <is>
          <t>B</t>
        </is>
      </c>
      <c r="G6583" s="34" t="n">
        <v>5172</v>
      </c>
      <c r="H6583" s="34" t="n">
        <v>27218</v>
      </c>
      <c r="I6583" t="inlineStr">
        <is>
          <t>3.2</t>
        </is>
      </c>
      <c r="J6583" t="inlineStr">
        <is>
          <t>Ventas Personas (B2C)</t>
        </is>
      </c>
      <c r="K6583" t="inlineStr">
        <is>
          <t>CH2</t>
        </is>
      </c>
    </row>
    <row r="6584">
      <c r="A6584" s="33" t="n">
        <v>46128</v>
      </c>
      <c r="B6584" t="inlineStr">
        <is>
          <t>2026-04</t>
        </is>
      </c>
      <c r="C6584" t="inlineStr">
        <is>
          <t>Javier Ignacio Ramos Márquez</t>
        </is>
      </c>
      <c r="D6584" t="inlineStr">
        <is>
          <t>Canelé Petit Relleno</t>
        </is>
      </c>
      <c r="E6584" s="34" t="n">
        <v>22500</v>
      </c>
      <c r="F6584" t="inlineStr">
        <is>
          <t>B</t>
        </is>
      </c>
      <c r="G6584" s="34" t="n">
        <v>3592</v>
      </c>
      <c r="H6584" s="34" t="n">
        <v>18908</v>
      </c>
      <c r="I6584" t="inlineStr">
        <is>
          <t>3.2</t>
        </is>
      </c>
      <c r="J6584" t="inlineStr">
        <is>
          <t>Ventas Personas (B2C)</t>
        </is>
      </c>
      <c r="K6584" t="inlineStr">
        <is>
          <t>CH2</t>
        </is>
      </c>
    </row>
    <row r="6585">
      <c r="A6585" s="33" t="n">
        <v>46128</v>
      </c>
      <c r="B6585" t="inlineStr">
        <is>
          <t>2026-04</t>
        </is>
      </c>
      <c r="C6585" t="inlineStr">
        <is>
          <t>Sin cliente</t>
        </is>
      </c>
      <c r="D6585" t="inlineStr">
        <is>
          <t>Petit Tradicional</t>
        </is>
      </c>
      <c r="E6585" s="34" t="n">
        <v>24300</v>
      </c>
      <c r="F6585" t="inlineStr">
        <is>
          <t>B</t>
        </is>
      </c>
      <c r="G6585" s="34" t="n">
        <v>3880</v>
      </c>
      <c r="H6585" s="34" t="n">
        <v>20420</v>
      </c>
      <c r="I6585" t="inlineStr">
        <is>
          <t>3.2</t>
        </is>
      </c>
      <c r="J6585" t="inlineStr">
        <is>
          <t>Ventas Personas (B2C)</t>
        </is>
      </c>
      <c r="K6585" t="inlineStr">
        <is>
          <t>CH2</t>
        </is>
      </c>
    </row>
    <row r="6586">
      <c r="A6586" s="33" t="n">
        <v>46128</v>
      </c>
      <c r="B6586" t="inlineStr">
        <is>
          <t>2026-04</t>
        </is>
      </c>
      <c r="C6586" t="inlineStr">
        <is>
          <t>Sin cliente</t>
        </is>
      </c>
      <c r="D6586" t="inlineStr">
        <is>
          <t>PLATAFORMAS RAP-PEYA-UBER-GOOD</t>
        </is>
      </c>
      <c r="E6586" s="34" t="n">
        <v>26160</v>
      </c>
      <c r="F6586" t="inlineStr">
        <is>
          <t>B</t>
        </is>
      </c>
      <c r="G6586" s="34" t="n">
        <v>4177</v>
      </c>
      <c r="H6586" s="34" t="n">
        <v>21983</v>
      </c>
      <c r="I6586" t="inlineStr">
        <is>
          <t>3.6</t>
        </is>
      </c>
      <c r="J6586" t="inlineStr">
        <is>
          <t>Ventas Delivery Apps</t>
        </is>
      </c>
      <c r="K6586" t="inlineStr">
        <is>
          <t>CH3</t>
        </is>
      </c>
    </row>
    <row r="6587">
      <c r="A6587" s="33" t="n">
        <v>46128</v>
      </c>
      <c r="B6587" t="inlineStr">
        <is>
          <t>2026-04</t>
        </is>
      </c>
      <c r="C6587" t="inlineStr">
        <is>
          <t>Elisa Grez</t>
        </is>
      </c>
      <c r="D6587" t="inlineStr">
        <is>
          <t>Delicatessen</t>
        </is>
      </c>
      <c r="E6587" s="34" t="n">
        <v>22785</v>
      </c>
      <c r="F6587" t="inlineStr">
        <is>
          <t>B</t>
        </is>
      </c>
      <c r="G6587" s="34" t="n">
        <v>3638</v>
      </c>
      <c r="H6587" s="34" t="n">
        <v>19147</v>
      </c>
      <c r="I6587" t="inlineStr">
        <is>
          <t>3.2</t>
        </is>
      </c>
      <c r="J6587" t="inlineStr">
        <is>
          <t>Ventas Personas (B2C)</t>
        </is>
      </c>
      <c r="K6587" t="inlineStr">
        <is>
          <t>CH2</t>
        </is>
      </c>
    </row>
    <row r="6588">
      <c r="A6588" s="33" t="n">
        <v>46128</v>
      </c>
      <c r="B6588" t="inlineStr">
        <is>
          <t>2026-04</t>
        </is>
      </c>
      <c r="C6588" t="inlineStr">
        <is>
          <t>Sin cliente</t>
        </is>
      </c>
      <c r="D6588" t="inlineStr">
        <is>
          <t>Petit Tradicional</t>
        </is>
      </c>
      <c r="E6588" s="34" t="n">
        <v>12300</v>
      </c>
      <c r="F6588" t="inlineStr">
        <is>
          <t>B</t>
        </is>
      </c>
      <c r="G6588" s="34" t="n">
        <v>1964</v>
      </c>
      <c r="H6588" s="34" t="n">
        <v>10336</v>
      </c>
      <c r="I6588" t="inlineStr">
        <is>
          <t>3.2</t>
        </is>
      </c>
      <c r="J6588" t="inlineStr">
        <is>
          <t>Ventas Personas (B2C)</t>
        </is>
      </c>
      <c r="K6588" t="inlineStr">
        <is>
          <t>CH2</t>
        </is>
      </c>
    </row>
    <row r="6589">
      <c r="A6589" s="33" t="n">
        <v>46128</v>
      </c>
      <c r="B6589" t="inlineStr">
        <is>
          <t>2026-04</t>
        </is>
      </c>
      <c r="C6589" t="inlineStr">
        <is>
          <t>Felipe Vásquez Frías</t>
        </is>
      </c>
      <c r="D6589" t="inlineStr">
        <is>
          <t>Petit Tradicional</t>
        </is>
      </c>
      <c r="E6589" s="34" t="n">
        <v>21690</v>
      </c>
      <c r="F6589" t="inlineStr">
        <is>
          <t>B</t>
        </is>
      </c>
      <c r="G6589" s="34" t="n">
        <v>3463</v>
      </c>
      <c r="H6589" s="34" t="n">
        <v>18227</v>
      </c>
      <c r="I6589" t="inlineStr">
        <is>
          <t>3.2</t>
        </is>
      </c>
      <c r="J6589" t="inlineStr">
        <is>
          <t>Ventas Personas (B2C)</t>
        </is>
      </c>
      <c r="K6589" t="inlineStr">
        <is>
          <t>CH2</t>
        </is>
      </c>
    </row>
    <row r="6590">
      <c r="A6590" s="33" t="n">
        <v>46129</v>
      </c>
      <c r="B6590" t="inlineStr">
        <is>
          <t>2026-04</t>
        </is>
      </c>
      <c r="C6590" t="inlineStr">
        <is>
          <t>Cocoshouse Spa</t>
        </is>
      </c>
      <c r="D6590" t="inlineStr">
        <is>
          <t>HORECA CAFETERIA</t>
        </is>
      </c>
      <c r="E6590" s="34" t="n">
        <v>77564</v>
      </c>
      <c r="F6590" t="inlineStr">
        <is>
          <t>F</t>
        </is>
      </c>
      <c r="G6590" s="34" t="n">
        <v>12384</v>
      </c>
      <c r="H6590" s="34" t="n">
        <v>65180</v>
      </c>
      <c r="I6590" t="inlineStr">
        <is>
          <t>3.1</t>
        </is>
      </c>
      <c r="J6590" t="inlineStr">
        <is>
          <t>Ventas HoReCa</t>
        </is>
      </c>
      <c r="K6590" t="inlineStr">
        <is>
          <t>CH1</t>
        </is>
      </c>
    </row>
    <row r="6591">
      <c r="A6591" s="33" t="n">
        <v>46129</v>
      </c>
      <c r="B6591" t="inlineStr">
        <is>
          <t>2026-04</t>
        </is>
      </c>
      <c r="C6591" t="inlineStr">
        <is>
          <t>Inversiones Café Dominicos SpA</t>
        </is>
      </c>
      <c r="D6591" t="inlineStr">
        <is>
          <t>HORECA CAFETERIA</t>
        </is>
      </c>
      <c r="E6591" s="34" t="n">
        <v>77564</v>
      </c>
      <c r="F6591" t="inlineStr">
        <is>
          <t>F</t>
        </is>
      </c>
      <c r="G6591" s="34" t="n">
        <v>12384</v>
      </c>
      <c r="H6591" s="34" t="n">
        <v>65180</v>
      </c>
      <c r="I6591" t="inlineStr">
        <is>
          <t>3.1</t>
        </is>
      </c>
      <c r="J6591" t="inlineStr">
        <is>
          <t>Ventas HoReCa</t>
        </is>
      </c>
      <c r="K6591" t="inlineStr">
        <is>
          <t>CH1</t>
        </is>
      </c>
    </row>
    <row r="6592">
      <c r="A6592" s="33" t="n">
        <v>46129</v>
      </c>
      <c r="B6592" t="inlineStr">
        <is>
          <t>2026-04</t>
        </is>
      </c>
      <c r="C6592" t="inlineStr">
        <is>
          <t>Inversiones Nagua SPA</t>
        </is>
      </c>
      <c r="D6592" t="inlineStr">
        <is>
          <t>HORECA CAFETERIA</t>
        </is>
      </c>
      <c r="E6592" s="34" t="n">
        <v>159674</v>
      </c>
      <c r="F6592" t="inlineStr">
        <is>
          <t>F</t>
        </is>
      </c>
      <c r="G6592" s="34" t="n">
        <v>25494</v>
      </c>
      <c r="H6592" s="34" t="n">
        <v>134180</v>
      </c>
      <c r="I6592" t="inlineStr">
        <is>
          <t>3.1</t>
        </is>
      </c>
      <c r="J6592" t="inlineStr">
        <is>
          <t>Ventas HoReCa</t>
        </is>
      </c>
      <c r="K6592" t="inlineStr">
        <is>
          <t>CH1</t>
        </is>
      </c>
    </row>
    <row r="6593">
      <c r="A6593" s="33" t="n">
        <v>46129</v>
      </c>
      <c r="B6593" t="inlineStr">
        <is>
          <t>2026-04</t>
        </is>
      </c>
      <c r="C6593" t="inlineStr">
        <is>
          <t>CAFETERIA THE ELEPHANT COFFEE LIMITADA</t>
        </is>
      </c>
      <c r="D6593" t="inlineStr">
        <is>
          <t>HORECA CAFETERIA</t>
        </is>
      </c>
      <c r="E6593" s="34" t="n">
        <v>212302</v>
      </c>
      <c r="F6593" t="inlineStr">
        <is>
          <t>F</t>
        </is>
      </c>
      <c r="G6593" s="34" t="n">
        <v>33897</v>
      </c>
      <c r="H6593" s="34" t="n">
        <v>178405</v>
      </c>
      <c r="I6593" t="inlineStr">
        <is>
          <t>3.1</t>
        </is>
      </c>
      <c r="J6593" t="inlineStr">
        <is>
          <t>Ventas HoReCa</t>
        </is>
      </c>
      <c r="K6593" t="inlineStr">
        <is>
          <t>CH1</t>
        </is>
      </c>
    </row>
    <row r="6594">
      <c r="A6594" s="33" t="n">
        <v>46129</v>
      </c>
      <c r="B6594" t="inlineStr">
        <is>
          <t>2026-04</t>
        </is>
      </c>
      <c r="C6594" t="inlineStr">
        <is>
          <t>Sociedad de inversiones solari y acuña spa</t>
        </is>
      </c>
      <c r="D6594" t="inlineStr">
        <is>
          <t>HORECA CAFETERIA</t>
        </is>
      </c>
      <c r="E6594" s="34" t="n">
        <v>77564</v>
      </c>
      <c r="F6594" t="inlineStr">
        <is>
          <t>F</t>
        </is>
      </c>
      <c r="G6594" s="34" t="n">
        <v>12384</v>
      </c>
      <c r="H6594" s="34" t="n">
        <v>65180</v>
      </c>
      <c r="I6594" t="inlineStr">
        <is>
          <t>3.1</t>
        </is>
      </c>
      <c r="J6594" t="inlineStr">
        <is>
          <t>Ventas HoReCa</t>
        </is>
      </c>
      <c r="K6594" t="inlineStr">
        <is>
          <t>CH1</t>
        </is>
      </c>
    </row>
    <row r="6595">
      <c r="A6595" s="33" t="n">
        <v>46129</v>
      </c>
      <c r="B6595" t="inlineStr">
        <is>
          <t>2026-04</t>
        </is>
      </c>
      <c r="C6595" t="inlineStr">
        <is>
          <t>Sin cliente</t>
        </is>
      </c>
      <c r="D6595" t="inlineStr">
        <is>
          <t>CANELÉ TRADICIONAL</t>
        </is>
      </c>
      <c r="E6595" s="34" t="n">
        <v>10000</v>
      </c>
      <c r="F6595" t="inlineStr">
        <is>
          <t>B</t>
        </is>
      </c>
      <c r="G6595" s="34" t="n">
        <v>1597</v>
      </c>
      <c r="H6595" s="34" t="n">
        <v>8403</v>
      </c>
      <c r="I6595" t="inlineStr">
        <is>
          <t>3.2</t>
        </is>
      </c>
      <c r="J6595" t="inlineStr">
        <is>
          <t>Ventas Personas (B2C)</t>
        </is>
      </c>
      <c r="K6595" t="inlineStr">
        <is>
          <t>CH2</t>
        </is>
      </c>
    </row>
    <row r="6596">
      <c r="A6596" s="33" t="n">
        <v>46129</v>
      </c>
      <c r="B6596" t="inlineStr">
        <is>
          <t>2026-04</t>
        </is>
      </c>
      <c r="C6596" t="inlineStr">
        <is>
          <t>Sin cliente</t>
        </is>
      </c>
      <c r="D6596" t="inlineStr">
        <is>
          <t>PLATAFORMAS RAP-PEYA-UBER-GOOD</t>
        </is>
      </c>
      <c r="E6596" s="34" t="n">
        <v>22680</v>
      </c>
      <c r="F6596" t="inlineStr">
        <is>
          <t>B</t>
        </is>
      </c>
      <c r="G6596" s="34" t="n">
        <v>3621</v>
      </c>
      <c r="H6596" s="34" t="n">
        <v>19059</v>
      </c>
      <c r="I6596" t="inlineStr">
        <is>
          <t>3.6</t>
        </is>
      </c>
      <c r="J6596" t="inlineStr">
        <is>
          <t>Ventas Delivery Apps</t>
        </is>
      </c>
      <c r="K6596" t="inlineStr">
        <is>
          <t>CH3</t>
        </is>
      </c>
    </row>
    <row r="6597">
      <c r="A6597" s="33" t="n">
        <v>46129</v>
      </c>
      <c r="B6597" t="inlineStr">
        <is>
          <t>2026-04</t>
        </is>
      </c>
      <c r="C6597" t="inlineStr">
        <is>
          <t>Daniela Sprohnle</t>
        </is>
      </c>
      <c r="D6597" t="inlineStr">
        <is>
          <t>CANELÉ TRADICIONAL</t>
        </is>
      </c>
      <c r="E6597" s="34" t="n">
        <v>22900</v>
      </c>
      <c r="F6597" t="inlineStr">
        <is>
          <t>B</t>
        </is>
      </c>
      <c r="G6597" s="34" t="n">
        <v>3656</v>
      </c>
      <c r="H6597" s="34" t="n">
        <v>19244</v>
      </c>
      <c r="I6597" t="inlineStr">
        <is>
          <t>3.2</t>
        </is>
      </c>
      <c r="J6597" t="inlineStr">
        <is>
          <t>Ventas Personas (B2C)</t>
        </is>
      </c>
      <c r="K6597" t="inlineStr">
        <is>
          <t>CH2</t>
        </is>
      </c>
    </row>
    <row r="6598">
      <c r="A6598" s="33" t="n">
        <v>46129</v>
      </c>
      <c r="B6598" t="inlineStr">
        <is>
          <t>2026-04</t>
        </is>
      </c>
      <c r="C6598" t="inlineStr">
        <is>
          <t>Cristian Benavente</t>
        </is>
      </c>
      <c r="D6598" t="inlineStr">
        <is>
          <t>PACKAGING</t>
        </is>
      </c>
      <c r="E6598" s="34" t="n">
        <v>18090</v>
      </c>
      <c r="F6598" t="inlineStr">
        <is>
          <t>B</t>
        </is>
      </c>
      <c r="G6598" s="34" t="n">
        <v>2888</v>
      </c>
      <c r="H6598" s="34" t="n">
        <v>15202</v>
      </c>
      <c r="I6598" t="inlineStr">
        <is>
          <t>3.2</t>
        </is>
      </c>
      <c r="J6598" t="inlineStr">
        <is>
          <t>Ventas Personas (B2C)</t>
        </is>
      </c>
      <c r="K6598" t="inlineStr">
        <is>
          <t>CH2</t>
        </is>
      </c>
    </row>
    <row r="6599">
      <c r="A6599" s="33" t="n">
        <v>46129</v>
      </c>
      <c r="B6599" t="inlineStr">
        <is>
          <t>2026-04</t>
        </is>
      </c>
      <c r="C6599" t="inlineStr">
        <is>
          <t>Natalia Jeraldo Contreras</t>
        </is>
      </c>
      <c r="D6599" t="inlineStr">
        <is>
          <t>Petit Crunchy</t>
        </is>
      </c>
      <c r="E6599" s="34" t="n">
        <v>10900</v>
      </c>
      <c r="F6599" t="inlineStr">
        <is>
          <t>B</t>
        </is>
      </c>
      <c r="G6599" s="34" t="n">
        <v>1740</v>
      </c>
      <c r="H6599" s="34" t="n">
        <v>9160</v>
      </c>
      <c r="I6599" t="inlineStr">
        <is>
          <t>3.2</t>
        </is>
      </c>
      <c r="J6599" t="inlineStr">
        <is>
          <t>Ventas Personas (B2C)</t>
        </is>
      </c>
      <c r="K6599" t="inlineStr">
        <is>
          <t>CH2</t>
        </is>
      </c>
    </row>
    <row r="6600">
      <c r="A6600" s="33" t="n">
        <v>46129</v>
      </c>
      <c r="B6600" t="inlineStr">
        <is>
          <t>2026-04</t>
        </is>
      </c>
      <c r="C6600" t="inlineStr">
        <is>
          <t>Sin cliente</t>
        </is>
      </c>
      <c r="D6600" t="inlineStr">
        <is>
          <t>Rellenos</t>
        </is>
      </c>
      <c r="E6600" s="34" t="n">
        <v>32900</v>
      </c>
      <c r="F6600" t="inlineStr">
        <is>
          <t>B</t>
        </is>
      </c>
      <c r="G6600" s="34" t="n">
        <v>5253</v>
      </c>
      <c r="H6600" s="34" t="n">
        <v>27647</v>
      </c>
      <c r="I6600" t="inlineStr">
        <is>
          <t>3.2</t>
        </is>
      </c>
      <c r="J6600" t="inlineStr">
        <is>
          <t>Ventas Personas (B2C)</t>
        </is>
      </c>
      <c r="K6600" t="inlineStr">
        <is>
          <t>CH2</t>
        </is>
      </c>
    </row>
    <row r="6601">
      <c r="A6601" s="33" t="n">
        <v>46129</v>
      </c>
      <c r="B6601" t="inlineStr">
        <is>
          <t>2026-04</t>
        </is>
      </c>
      <c r="C6601" t="inlineStr">
        <is>
          <t>Sin cliente</t>
        </is>
      </c>
      <c r="D6601" t="inlineStr">
        <is>
          <t>Cafeteria Geronimo</t>
        </is>
      </c>
      <c r="E6601" s="34" t="n">
        <v>4700</v>
      </c>
      <c r="F6601" t="inlineStr">
        <is>
          <t>B</t>
        </is>
      </c>
      <c r="G6601" s="34" t="n">
        <v>750</v>
      </c>
      <c r="H6601" s="34" t="n">
        <v>3950</v>
      </c>
      <c r="I6601" t="inlineStr">
        <is>
          <t>3.2</t>
        </is>
      </c>
      <c r="J6601" t="inlineStr">
        <is>
          <t>Ventas Personas (B2C)</t>
        </is>
      </c>
      <c r="K6601" t="inlineStr">
        <is>
          <t>CH2</t>
        </is>
      </c>
    </row>
    <row r="6602">
      <c r="A6602" s="33" t="n">
        <v>46129</v>
      </c>
      <c r="B6602" t="inlineStr">
        <is>
          <t>2026-04</t>
        </is>
      </c>
      <c r="C6602" t="inlineStr">
        <is>
          <t>Sin cliente</t>
        </is>
      </c>
      <c r="D6602" t="inlineStr">
        <is>
          <t>PLATAFORMAS RAP-PEYA-UBER-GOOD</t>
        </is>
      </c>
      <c r="E6602" s="34" t="n">
        <v>31080</v>
      </c>
      <c r="F6602" t="inlineStr">
        <is>
          <t>B</t>
        </is>
      </c>
      <c r="G6602" s="34" t="n">
        <v>4962</v>
      </c>
      <c r="H6602" s="34" t="n">
        <v>26118</v>
      </c>
      <c r="I6602" t="inlineStr">
        <is>
          <t>3.6</t>
        </is>
      </c>
      <c r="J6602" t="inlineStr">
        <is>
          <t>Ventas Delivery Apps</t>
        </is>
      </c>
      <c r="K6602" t="inlineStr">
        <is>
          <t>CH3</t>
        </is>
      </c>
    </row>
    <row r="6603">
      <c r="A6603" s="33" t="n">
        <v>46129</v>
      </c>
      <c r="B6603" t="inlineStr">
        <is>
          <t>2026-04</t>
        </is>
      </c>
      <c r="C6603" t="inlineStr">
        <is>
          <t>Sin cliente</t>
        </is>
      </c>
      <c r="D6603" t="inlineStr">
        <is>
          <t>Cafeteria Geronimo</t>
        </is>
      </c>
      <c r="E6603" s="34" t="n">
        <v>2000</v>
      </c>
      <c r="F6603" t="inlineStr">
        <is>
          <t>B</t>
        </is>
      </c>
      <c r="G6603" s="34" t="n">
        <v>319</v>
      </c>
      <c r="H6603" s="34" t="n">
        <v>1681</v>
      </c>
      <c r="I6603" t="inlineStr">
        <is>
          <t>3.2</t>
        </is>
      </c>
      <c r="J6603" t="inlineStr">
        <is>
          <t>Ventas Personas (B2C)</t>
        </is>
      </c>
      <c r="K6603" t="inlineStr">
        <is>
          <t>CH2</t>
        </is>
      </c>
    </row>
    <row r="6604">
      <c r="A6604" s="33" t="n">
        <v>46129</v>
      </c>
      <c r="B6604" t="inlineStr">
        <is>
          <t>2026-04</t>
        </is>
      </c>
      <c r="C6604" t="inlineStr">
        <is>
          <t>Sin cliente</t>
        </is>
      </c>
      <c r="D6604" t="inlineStr">
        <is>
          <t>PACKAGING</t>
        </is>
      </c>
      <c r="E6604" s="34" t="n">
        <v>900</v>
      </c>
      <c r="F6604" t="inlineStr">
        <is>
          <t>B</t>
        </is>
      </c>
      <c r="G6604" s="34" t="n">
        <v>144</v>
      </c>
      <c r="H6604" s="34" t="n">
        <v>756</v>
      </c>
      <c r="I6604" t="inlineStr">
        <is>
          <t>3.2</t>
        </is>
      </c>
      <c r="J6604" t="inlineStr">
        <is>
          <t>Ventas Personas (B2C)</t>
        </is>
      </c>
      <c r="K6604" t="inlineStr">
        <is>
          <t>CH2</t>
        </is>
      </c>
    </row>
    <row r="6605">
      <c r="A6605" s="33" t="n">
        <v>46129</v>
      </c>
      <c r="B6605" t="inlineStr">
        <is>
          <t>2026-04</t>
        </is>
      </c>
      <c r="C6605" t="inlineStr">
        <is>
          <t>Sin cliente</t>
        </is>
      </c>
      <c r="D6605" t="inlineStr">
        <is>
          <t>Cafeteria Geronimo</t>
        </is>
      </c>
      <c r="E6605" s="34" t="n">
        <v>10200</v>
      </c>
      <c r="F6605" t="inlineStr">
        <is>
          <t>B</t>
        </is>
      </c>
      <c r="G6605" s="34" t="n">
        <v>1629</v>
      </c>
      <c r="H6605" s="34" t="n">
        <v>8571</v>
      </c>
      <c r="I6605" t="inlineStr">
        <is>
          <t>3.2</t>
        </is>
      </c>
      <c r="J6605" t="inlineStr">
        <is>
          <t>Ventas Personas (B2C)</t>
        </is>
      </c>
      <c r="K6605" t="inlineStr">
        <is>
          <t>CH2</t>
        </is>
      </c>
    </row>
    <row r="6606">
      <c r="A6606" s="33" t="n">
        <v>46129</v>
      </c>
      <c r="B6606" t="inlineStr">
        <is>
          <t>2026-04</t>
        </is>
      </c>
      <c r="C6606" t="inlineStr">
        <is>
          <t>Sin cliente</t>
        </is>
      </c>
      <c r="D6606" t="inlineStr">
        <is>
          <t>PLATAFORMAS RAP-PEYA-UBER-GOOD</t>
        </is>
      </c>
      <c r="E6606" s="34" t="n">
        <v>16560</v>
      </c>
      <c r="F6606" t="inlineStr">
        <is>
          <t>B</t>
        </is>
      </c>
      <c r="G6606" s="34" t="n">
        <v>2644</v>
      </c>
      <c r="H6606" s="34" t="n">
        <v>13916</v>
      </c>
      <c r="I6606" t="inlineStr">
        <is>
          <t>3.6</t>
        </is>
      </c>
      <c r="J6606" t="inlineStr">
        <is>
          <t>Ventas Delivery Apps</t>
        </is>
      </c>
      <c r="K6606" t="inlineStr">
        <is>
          <t>CH3</t>
        </is>
      </c>
    </row>
    <row r="6607">
      <c r="A6607" s="33" t="n">
        <v>46129</v>
      </c>
      <c r="B6607" t="inlineStr">
        <is>
          <t>2026-04</t>
        </is>
      </c>
      <c r="C6607" t="inlineStr">
        <is>
          <t>María Pia Salazar Trabucco</t>
        </is>
      </c>
      <c r="D6607" t="inlineStr">
        <is>
          <t>CANELÉ TRADICIONAL</t>
        </is>
      </c>
      <c r="E6607" s="34" t="n">
        <v>49290</v>
      </c>
      <c r="F6607" t="inlineStr">
        <is>
          <t>B</t>
        </is>
      </c>
      <c r="G6607" s="34" t="n">
        <v>7870</v>
      </c>
      <c r="H6607" s="34" t="n">
        <v>41420</v>
      </c>
      <c r="I6607" t="inlineStr">
        <is>
          <t>3.2</t>
        </is>
      </c>
      <c r="J6607" t="inlineStr">
        <is>
          <t>Ventas Personas (B2C)</t>
        </is>
      </c>
      <c r="K6607" t="inlineStr">
        <is>
          <t>CH2</t>
        </is>
      </c>
    </row>
    <row r="6608">
      <c r="A6608" s="33" t="n">
        <v>46129</v>
      </c>
      <c r="B6608" t="inlineStr">
        <is>
          <t>2026-04</t>
        </is>
      </c>
      <c r="C6608" t="inlineStr">
        <is>
          <t>Sin cliente</t>
        </is>
      </c>
      <c r="D6608" t="inlineStr">
        <is>
          <t>Rellenos</t>
        </is>
      </c>
      <c r="E6608" s="34" t="n">
        <v>27400</v>
      </c>
      <c r="F6608" t="inlineStr">
        <is>
          <t>B</t>
        </is>
      </c>
      <c r="G6608" s="34" t="n">
        <v>4375</v>
      </c>
      <c r="H6608" s="34" t="n">
        <v>23025</v>
      </c>
      <c r="I6608" t="inlineStr">
        <is>
          <t>3.2</t>
        </is>
      </c>
      <c r="J6608" t="inlineStr">
        <is>
          <t>Ventas Personas (B2C)</t>
        </is>
      </c>
      <c r="K6608" t="inlineStr">
        <is>
          <t>CH2</t>
        </is>
      </c>
    </row>
    <row r="6609">
      <c r="A6609" s="33" t="n">
        <v>46129</v>
      </c>
      <c r="B6609" t="inlineStr">
        <is>
          <t>2026-04</t>
        </is>
      </c>
      <c r="C6609" t="inlineStr">
        <is>
          <t>Nicolás Cooper</t>
        </is>
      </c>
      <c r="D6609" t="inlineStr">
        <is>
          <t>Canelé Petit Relleno</t>
        </is>
      </c>
      <c r="E6609" s="34" t="n">
        <v>22390</v>
      </c>
      <c r="F6609" t="inlineStr">
        <is>
          <t>B</t>
        </is>
      </c>
      <c r="G6609" s="34" t="n">
        <v>3575</v>
      </c>
      <c r="H6609" s="34" t="n">
        <v>18815</v>
      </c>
      <c r="I6609" t="inlineStr">
        <is>
          <t>3.2</t>
        </is>
      </c>
      <c r="J6609" t="inlineStr">
        <is>
          <t>Ventas Personas (B2C)</t>
        </is>
      </c>
      <c r="K6609" t="inlineStr">
        <is>
          <t>CH2</t>
        </is>
      </c>
    </row>
    <row r="6610">
      <c r="A6610" s="33" t="n">
        <v>46129</v>
      </c>
      <c r="B6610" t="inlineStr">
        <is>
          <t>2026-04</t>
        </is>
      </c>
      <c r="C6610" t="inlineStr">
        <is>
          <t>Sin cliente</t>
        </is>
      </c>
      <c r="D6610" t="inlineStr">
        <is>
          <t>CANELÉ TRADICIONAL</t>
        </is>
      </c>
      <c r="E6610" s="34" t="n">
        <v>5000</v>
      </c>
      <c r="F6610" t="inlineStr">
        <is>
          <t>B</t>
        </is>
      </c>
      <c r="G6610" s="34" t="n">
        <v>798</v>
      </c>
      <c r="H6610" s="34" t="n">
        <v>4202</v>
      </c>
      <c r="I6610" t="inlineStr">
        <is>
          <t>3.2</t>
        </is>
      </c>
      <c r="J6610" t="inlineStr">
        <is>
          <t>Ventas Personas (B2C)</t>
        </is>
      </c>
      <c r="K6610" t="inlineStr">
        <is>
          <t>CH2</t>
        </is>
      </c>
    </row>
    <row r="6611">
      <c r="A6611" s="33" t="n">
        <v>46129</v>
      </c>
      <c r="B6611" t="inlineStr">
        <is>
          <t>2026-04</t>
        </is>
      </c>
      <c r="C6611" t="inlineStr">
        <is>
          <t>Sin cliente</t>
        </is>
      </c>
      <c r="D6611" t="inlineStr">
        <is>
          <t>Rellenos</t>
        </is>
      </c>
      <c r="E6611" s="34" t="n">
        <v>4200</v>
      </c>
      <c r="F6611" t="inlineStr">
        <is>
          <t>B</t>
        </is>
      </c>
      <c r="G6611" s="34" t="n">
        <v>671</v>
      </c>
      <c r="H6611" s="34" t="n">
        <v>3529</v>
      </c>
      <c r="I6611" t="inlineStr">
        <is>
          <t>3.2</t>
        </is>
      </c>
      <c r="J6611" t="inlineStr">
        <is>
          <t>Ventas Personas (B2C)</t>
        </is>
      </c>
      <c r="K6611" t="inlineStr">
        <is>
          <t>CH2</t>
        </is>
      </c>
    </row>
    <row r="6612">
      <c r="A6612" s="33" t="n">
        <v>46129</v>
      </c>
      <c r="B6612" t="inlineStr">
        <is>
          <t>2026-04</t>
        </is>
      </c>
      <c r="C6612" t="inlineStr">
        <is>
          <t>Ratanaporn Singhasakda</t>
        </is>
      </c>
      <c r="D6612" t="inlineStr">
        <is>
          <t>CANELÉ TRADICIONAL</t>
        </is>
      </c>
      <c r="E6612" s="34" t="n">
        <v>34800</v>
      </c>
      <c r="F6612" t="inlineStr">
        <is>
          <t>B</t>
        </is>
      </c>
      <c r="G6612" s="34" t="n">
        <v>5556</v>
      </c>
      <c r="H6612" s="34" t="n">
        <v>29244</v>
      </c>
      <c r="I6612" t="inlineStr">
        <is>
          <t>3.2</t>
        </is>
      </c>
      <c r="J6612" t="inlineStr">
        <is>
          <t>Ventas Personas (B2C)</t>
        </is>
      </c>
      <c r="K6612" t="inlineStr">
        <is>
          <t>CH2</t>
        </is>
      </c>
    </row>
    <row r="6613">
      <c r="A6613" s="33" t="n">
        <v>46129</v>
      </c>
      <c r="B6613" t="inlineStr">
        <is>
          <t>2026-04</t>
        </is>
      </c>
      <c r="C6613" t="inlineStr">
        <is>
          <t>Sin cliente</t>
        </is>
      </c>
      <c r="D6613" t="inlineStr">
        <is>
          <t>PLATAFORMAS RAP-PEYA-UBER-GOOD</t>
        </is>
      </c>
      <c r="E6613" s="34" t="n">
        <v>17880</v>
      </c>
      <c r="F6613" t="inlineStr">
        <is>
          <t>B</t>
        </is>
      </c>
      <c r="G6613" s="34" t="n">
        <v>2855</v>
      </c>
      <c r="H6613" s="34" t="n">
        <v>15025</v>
      </c>
      <c r="I6613" t="inlineStr">
        <is>
          <t>3.6</t>
        </is>
      </c>
      <c r="J6613" t="inlineStr">
        <is>
          <t>Ventas Delivery Apps</t>
        </is>
      </c>
      <c r="K6613" t="inlineStr">
        <is>
          <t>CH3</t>
        </is>
      </c>
    </row>
    <row r="6614">
      <c r="A6614" s="33" t="n">
        <v>46129</v>
      </c>
      <c r="B6614" t="inlineStr">
        <is>
          <t>2026-04</t>
        </is>
      </c>
      <c r="C6614" t="inlineStr">
        <is>
          <t>Sin cliente</t>
        </is>
      </c>
      <c r="D6614" t="inlineStr">
        <is>
          <t>Mix Sabores</t>
        </is>
      </c>
      <c r="E6614" s="34" t="n">
        <v>10200</v>
      </c>
      <c r="F6614" t="inlineStr">
        <is>
          <t>B</t>
        </is>
      </c>
      <c r="G6614" s="34" t="n">
        <v>1629</v>
      </c>
      <c r="H6614" s="34" t="n">
        <v>8571</v>
      </c>
      <c r="I6614" t="inlineStr">
        <is>
          <t>3.2</t>
        </is>
      </c>
      <c r="J6614" t="inlineStr">
        <is>
          <t>Ventas Personas (B2C)</t>
        </is>
      </c>
      <c r="K6614" t="inlineStr">
        <is>
          <t>CH2</t>
        </is>
      </c>
    </row>
    <row r="6615">
      <c r="A6615" s="33" t="n">
        <v>46129</v>
      </c>
      <c r="B6615" t="inlineStr">
        <is>
          <t>2026-04</t>
        </is>
      </c>
      <c r="C6615" t="inlineStr">
        <is>
          <t>ALEJANDRO MARTIC</t>
        </is>
      </c>
      <c r="D6615" t="inlineStr">
        <is>
          <t>Petit Tradicional</t>
        </is>
      </c>
      <c r="E6615" s="34" t="n">
        <v>17290</v>
      </c>
      <c r="F6615" t="inlineStr">
        <is>
          <t>B</t>
        </is>
      </c>
      <c r="G6615" s="34" t="n">
        <v>2761</v>
      </c>
      <c r="H6615" s="34" t="n">
        <v>14529</v>
      </c>
      <c r="I6615" t="inlineStr">
        <is>
          <t>3.2</t>
        </is>
      </c>
      <c r="J6615" t="inlineStr">
        <is>
          <t>Ventas Personas (B2C)</t>
        </is>
      </c>
      <c r="K6615" t="inlineStr">
        <is>
          <t>CH2</t>
        </is>
      </c>
    </row>
    <row r="6616">
      <c r="A6616" s="33" t="n">
        <v>46129</v>
      </c>
      <c r="B6616" t="inlineStr">
        <is>
          <t>2026-04</t>
        </is>
      </c>
      <c r="C6616" t="inlineStr">
        <is>
          <t>Sin cliente</t>
        </is>
      </c>
      <c r="D6616" t="inlineStr">
        <is>
          <t>Rellenos</t>
        </is>
      </c>
      <c r="E6616" s="34" t="n">
        <v>9500</v>
      </c>
      <c r="F6616" t="inlineStr">
        <is>
          <t>B</t>
        </is>
      </c>
      <c r="G6616" s="34" t="n">
        <v>1517</v>
      </c>
      <c r="H6616" s="34" t="n">
        <v>7983</v>
      </c>
      <c r="I6616" t="inlineStr">
        <is>
          <t>3.2</t>
        </is>
      </c>
      <c r="J6616" t="inlineStr">
        <is>
          <t>Ventas Personas (B2C)</t>
        </is>
      </c>
      <c r="K6616" t="inlineStr">
        <is>
          <t>CH2</t>
        </is>
      </c>
    </row>
    <row r="6617">
      <c r="A6617" s="33" t="n">
        <v>46129</v>
      </c>
      <c r="B6617" t="inlineStr">
        <is>
          <t>2026-04</t>
        </is>
      </c>
      <c r="C6617" t="inlineStr">
        <is>
          <t>Sin cliente</t>
        </is>
      </c>
      <c r="D6617" t="inlineStr">
        <is>
          <t>Petit Tradicional</t>
        </is>
      </c>
      <c r="E6617" s="34" t="n">
        <v>13800</v>
      </c>
      <c r="F6617" t="inlineStr">
        <is>
          <t>B</t>
        </is>
      </c>
      <c r="G6617" s="34" t="n">
        <v>2203</v>
      </c>
      <c r="H6617" s="34" t="n">
        <v>11597</v>
      </c>
      <c r="I6617" t="inlineStr">
        <is>
          <t>3.2</t>
        </is>
      </c>
      <c r="J6617" t="inlineStr">
        <is>
          <t>Ventas Personas (B2C)</t>
        </is>
      </c>
      <c r="K6617" t="inlineStr">
        <is>
          <t>CH2</t>
        </is>
      </c>
    </row>
    <row r="6618">
      <c r="A6618" s="33" t="n">
        <v>46129</v>
      </c>
      <c r="B6618" t="inlineStr">
        <is>
          <t>2026-04</t>
        </is>
      </c>
      <c r="C6618" t="inlineStr">
        <is>
          <t>Sin cliente</t>
        </is>
      </c>
      <c r="D6618" t="inlineStr">
        <is>
          <t>Petit Tradicional</t>
        </is>
      </c>
      <c r="E6618" s="34" t="n">
        <v>13800</v>
      </c>
      <c r="F6618" t="inlineStr">
        <is>
          <t>B</t>
        </is>
      </c>
      <c r="G6618" s="34" t="n">
        <v>2203</v>
      </c>
      <c r="H6618" s="34" t="n">
        <v>11597</v>
      </c>
      <c r="I6618" t="inlineStr">
        <is>
          <t>3.2</t>
        </is>
      </c>
      <c r="J6618" t="inlineStr">
        <is>
          <t>Ventas Personas (B2C)</t>
        </is>
      </c>
      <c r="K6618" t="inlineStr">
        <is>
          <t>CH2</t>
        </is>
      </c>
    </row>
    <row r="6619">
      <c r="A6619" s="33" t="n">
        <v>46129</v>
      </c>
      <c r="B6619" t="inlineStr">
        <is>
          <t>2026-04</t>
        </is>
      </c>
      <c r="C6619" t="inlineStr">
        <is>
          <t>Sin cliente</t>
        </is>
      </c>
      <c r="D6619" t="inlineStr">
        <is>
          <t>Petit Tradicional</t>
        </is>
      </c>
      <c r="E6619" s="34" t="n">
        <v>13800</v>
      </c>
      <c r="F6619" t="inlineStr">
        <is>
          <t>B</t>
        </is>
      </c>
      <c r="G6619" s="34" t="n">
        <v>2203</v>
      </c>
      <c r="H6619" s="34" t="n">
        <v>11597</v>
      </c>
      <c r="I6619" t="inlineStr">
        <is>
          <t>3.2</t>
        </is>
      </c>
      <c r="J6619" t="inlineStr">
        <is>
          <t>Ventas Personas (B2C)</t>
        </is>
      </c>
      <c r="K6619" t="inlineStr">
        <is>
          <t>CH2</t>
        </is>
      </c>
    </row>
    <row r="6620">
      <c r="A6620" s="33" t="n">
        <v>46129</v>
      </c>
      <c r="B6620" t="inlineStr">
        <is>
          <t>2026-04</t>
        </is>
      </c>
      <c r="C6620" t="inlineStr">
        <is>
          <t>Sin cliente</t>
        </is>
      </c>
      <c r="D6620" t="inlineStr">
        <is>
          <t>Cafeteria Geronimo</t>
        </is>
      </c>
      <c r="E6620" s="34" t="n">
        <v>2550</v>
      </c>
      <c r="F6620" t="inlineStr">
        <is>
          <t>B</t>
        </is>
      </c>
      <c r="G6620" s="34" t="n">
        <v>407</v>
      </c>
      <c r="H6620" s="34" t="n">
        <v>2143</v>
      </c>
      <c r="I6620" t="inlineStr">
        <is>
          <t>3.2</t>
        </is>
      </c>
      <c r="J6620" t="inlineStr">
        <is>
          <t>Ventas Personas (B2C)</t>
        </is>
      </c>
      <c r="K6620" t="inlineStr">
        <is>
          <t>CH2</t>
        </is>
      </c>
    </row>
    <row r="6621">
      <c r="A6621" s="33" t="n">
        <v>46129</v>
      </c>
      <c r="B6621" t="inlineStr">
        <is>
          <t>2026-04</t>
        </is>
      </c>
      <c r="C6621" t="inlineStr">
        <is>
          <t>Sin cliente</t>
        </is>
      </c>
      <c r="D6621" t="inlineStr">
        <is>
          <t>PLATAFORMAS RAP-PEYA-UBER-GOOD</t>
        </is>
      </c>
      <c r="E6621" s="34" t="n">
        <v>47520</v>
      </c>
      <c r="F6621" t="inlineStr">
        <is>
          <t>B</t>
        </is>
      </c>
      <c r="G6621" s="34" t="n">
        <v>7587</v>
      </c>
      <c r="H6621" s="34" t="n">
        <v>39933</v>
      </c>
      <c r="I6621" t="inlineStr">
        <is>
          <t>3.6</t>
        </is>
      </c>
      <c r="J6621" t="inlineStr">
        <is>
          <t>Ventas Delivery Apps</t>
        </is>
      </c>
      <c r="K6621" t="inlineStr">
        <is>
          <t>CH3</t>
        </is>
      </c>
    </row>
    <row r="6622">
      <c r="A6622" s="33" t="n">
        <v>46129</v>
      </c>
      <c r="B6622" t="inlineStr">
        <is>
          <t>2026-04</t>
        </is>
      </c>
      <c r="C6622" t="inlineStr">
        <is>
          <t>Sin cliente</t>
        </is>
      </c>
      <c r="D6622" t="inlineStr">
        <is>
          <t>Petit Crunchy</t>
        </is>
      </c>
      <c r="E6622" s="34" t="n">
        <v>26800</v>
      </c>
      <c r="F6622" t="inlineStr">
        <is>
          <t>B</t>
        </is>
      </c>
      <c r="G6622" s="34" t="n">
        <v>4279</v>
      </c>
      <c r="H6622" s="34" t="n">
        <v>22521</v>
      </c>
      <c r="I6622" t="inlineStr">
        <is>
          <t>3.2</t>
        </is>
      </c>
      <c r="J6622" t="inlineStr">
        <is>
          <t>Ventas Personas (B2C)</t>
        </is>
      </c>
      <c r="K6622" t="inlineStr">
        <is>
          <t>CH2</t>
        </is>
      </c>
    </row>
    <row r="6623">
      <c r="A6623" s="33" t="n">
        <v>46129</v>
      </c>
      <c r="B6623" t="inlineStr">
        <is>
          <t>2026-04</t>
        </is>
      </c>
      <c r="C6623" t="inlineStr">
        <is>
          <t>Sin cliente</t>
        </is>
      </c>
      <c r="D6623" t="inlineStr">
        <is>
          <t>Petit Crunchy</t>
        </is>
      </c>
      <c r="E6623" s="34" t="n">
        <v>17890</v>
      </c>
      <c r="F6623" t="inlineStr">
        <is>
          <t>B</t>
        </is>
      </c>
      <c r="G6623" s="34" t="n">
        <v>2856</v>
      </c>
      <c r="H6623" s="34" t="n">
        <v>15034</v>
      </c>
      <c r="I6623" t="inlineStr">
        <is>
          <t>3.2</t>
        </is>
      </c>
      <c r="J6623" t="inlineStr">
        <is>
          <t>Ventas Personas (B2C)</t>
        </is>
      </c>
      <c r="K6623" t="inlineStr">
        <is>
          <t>CH2</t>
        </is>
      </c>
    </row>
    <row r="6624">
      <c r="A6624" s="33" t="n">
        <v>46129</v>
      </c>
      <c r="B6624" t="inlineStr">
        <is>
          <t>2026-04</t>
        </is>
      </c>
      <c r="C6624" t="inlineStr">
        <is>
          <t>Yasna Yurisch</t>
        </is>
      </c>
      <c r="D6624" t="inlineStr">
        <is>
          <t>Rellenos</t>
        </is>
      </c>
      <c r="E6624" s="34" t="n">
        <v>38390</v>
      </c>
      <c r="F6624" t="inlineStr">
        <is>
          <t>B</t>
        </is>
      </c>
      <c r="G6624" s="34" t="n">
        <v>6129</v>
      </c>
      <c r="H6624" s="34" t="n">
        <v>32261</v>
      </c>
      <c r="I6624" t="inlineStr">
        <is>
          <t>3.2</t>
        </is>
      </c>
      <c r="J6624" t="inlineStr">
        <is>
          <t>Ventas Personas (B2C)</t>
        </is>
      </c>
      <c r="K6624" t="inlineStr">
        <is>
          <t>CH2</t>
        </is>
      </c>
    </row>
    <row r="6625">
      <c r="A6625" s="33" t="n">
        <v>46130</v>
      </c>
      <c r="B6625" t="inlineStr">
        <is>
          <t>2026-04</t>
        </is>
      </c>
      <c r="C6625" t="inlineStr">
        <is>
          <t>Rona Barel</t>
        </is>
      </c>
      <c r="D6625" t="inlineStr">
        <is>
          <t>Petit Crunchy</t>
        </is>
      </c>
      <c r="E6625" s="34" t="n">
        <v>14300</v>
      </c>
      <c r="F6625" t="inlineStr">
        <is>
          <t>B</t>
        </is>
      </c>
      <c r="G6625" s="34" t="n">
        <v>2283</v>
      </c>
      <c r="H6625" s="34" t="n">
        <v>12017</v>
      </c>
      <c r="I6625" t="inlineStr">
        <is>
          <t>3.2</t>
        </is>
      </c>
      <c r="J6625" t="inlineStr">
        <is>
          <t>Ventas Personas (B2C)</t>
        </is>
      </c>
      <c r="K6625" t="inlineStr">
        <is>
          <t>CH2</t>
        </is>
      </c>
    </row>
    <row r="6626">
      <c r="A6626" s="33" t="n">
        <v>46130</v>
      </c>
      <c r="B6626" t="inlineStr">
        <is>
          <t>2026-04</t>
        </is>
      </c>
      <c r="C6626" t="inlineStr">
        <is>
          <t>Carolin Adam</t>
        </is>
      </c>
      <c r="D6626" t="inlineStr">
        <is>
          <t>Rellenos</t>
        </is>
      </c>
      <c r="E6626" s="34" t="n">
        <v>30800</v>
      </c>
      <c r="F6626" t="inlineStr">
        <is>
          <t>B</t>
        </is>
      </c>
      <c r="G6626" s="34" t="n">
        <v>4918</v>
      </c>
      <c r="H6626" s="34" t="n">
        <v>25882</v>
      </c>
      <c r="I6626" t="inlineStr">
        <is>
          <t>3.2</t>
        </is>
      </c>
      <c r="J6626" t="inlineStr">
        <is>
          <t>Ventas Personas (B2C)</t>
        </is>
      </c>
      <c r="K6626" t="inlineStr">
        <is>
          <t>CH2</t>
        </is>
      </c>
    </row>
    <row r="6627">
      <c r="A6627" s="33" t="n">
        <v>46130</v>
      </c>
      <c r="B6627" t="inlineStr">
        <is>
          <t>2026-04</t>
        </is>
      </c>
      <c r="C6627" t="inlineStr">
        <is>
          <t>IGNACIO RIED</t>
        </is>
      </c>
      <c r="D6627" t="inlineStr">
        <is>
          <t>SALSAS</t>
        </is>
      </c>
      <c r="E6627" s="34" t="n">
        <v>32202</v>
      </c>
      <c r="F6627" t="inlineStr">
        <is>
          <t>B</t>
        </is>
      </c>
      <c r="G6627" s="34" t="n">
        <v>5141</v>
      </c>
      <c r="H6627" s="34" t="n">
        <v>27061</v>
      </c>
      <c r="I6627" t="inlineStr">
        <is>
          <t>3.2</t>
        </is>
      </c>
      <c r="J6627" t="inlineStr">
        <is>
          <t>Ventas Personas (B2C)</t>
        </is>
      </c>
      <c r="K6627" t="inlineStr">
        <is>
          <t>CH2</t>
        </is>
      </c>
    </row>
    <row r="6628">
      <c r="A6628" s="33" t="n">
        <v>46130</v>
      </c>
      <c r="B6628" t="inlineStr">
        <is>
          <t>2026-04</t>
        </is>
      </c>
      <c r="C6628" t="inlineStr">
        <is>
          <t>Veronica Giakoni</t>
        </is>
      </c>
      <c r="D6628" t="inlineStr">
        <is>
          <t>Canelé Petit Relleno</t>
        </is>
      </c>
      <c r="E6628" s="34" t="n">
        <v>17000</v>
      </c>
      <c r="F6628" t="inlineStr">
        <is>
          <t>B</t>
        </is>
      </c>
      <c r="G6628" s="34" t="n">
        <v>2714</v>
      </c>
      <c r="H6628" s="34" t="n">
        <v>14286</v>
      </c>
      <c r="I6628" t="inlineStr">
        <is>
          <t>3.2</t>
        </is>
      </c>
      <c r="J6628" t="inlineStr">
        <is>
          <t>Ventas Personas (B2C)</t>
        </is>
      </c>
      <c r="K6628" t="inlineStr">
        <is>
          <t>CH2</t>
        </is>
      </c>
    </row>
    <row r="6629">
      <c r="A6629" s="33" t="n">
        <v>46130</v>
      </c>
      <c r="B6629" t="inlineStr">
        <is>
          <t>2026-04</t>
        </is>
      </c>
      <c r="C6629" t="inlineStr">
        <is>
          <t>Natalia Toso</t>
        </is>
      </c>
      <c r="D6629" t="inlineStr">
        <is>
          <t>Rellenos</t>
        </is>
      </c>
      <c r="E6629" s="34" t="n">
        <v>25900</v>
      </c>
      <c r="F6629" t="inlineStr">
        <is>
          <t>B</t>
        </is>
      </c>
      <c r="G6629" s="34" t="n">
        <v>4135</v>
      </c>
      <c r="H6629" s="34" t="n">
        <v>21765</v>
      </c>
      <c r="I6629" t="inlineStr">
        <is>
          <t>3.2</t>
        </is>
      </c>
      <c r="J6629" t="inlineStr">
        <is>
          <t>Ventas Personas (B2C)</t>
        </is>
      </c>
      <c r="K6629" t="inlineStr">
        <is>
          <t>CH2</t>
        </is>
      </c>
    </row>
    <row r="6630">
      <c r="A6630" s="33" t="n">
        <v>46130</v>
      </c>
      <c r="B6630" t="inlineStr">
        <is>
          <t>2026-04</t>
        </is>
      </c>
      <c r="C6630" t="inlineStr">
        <is>
          <t>Sin cliente</t>
        </is>
      </c>
      <c r="D6630" t="inlineStr">
        <is>
          <t>Rellenos</t>
        </is>
      </c>
      <c r="E6630" s="34" t="n">
        <v>67700</v>
      </c>
      <c r="F6630" t="inlineStr">
        <is>
          <t>B</t>
        </is>
      </c>
      <c r="G6630" s="34" t="n">
        <v>10809</v>
      </c>
      <c r="H6630" s="34" t="n">
        <v>56891</v>
      </c>
      <c r="I6630" t="inlineStr">
        <is>
          <t>3.2</t>
        </is>
      </c>
      <c r="J6630" t="inlineStr">
        <is>
          <t>Ventas Personas (B2C)</t>
        </is>
      </c>
      <c r="K6630" t="inlineStr">
        <is>
          <t>CH2</t>
        </is>
      </c>
    </row>
    <row r="6631">
      <c r="A6631" s="33" t="n">
        <v>46130</v>
      </c>
      <c r="B6631" t="inlineStr">
        <is>
          <t>2026-04</t>
        </is>
      </c>
      <c r="C6631" t="inlineStr">
        <is>
          <t>Sin cliente</t>
        </is>
      </c>
      <c r="D6631" t="inlineStr">
        <is>
          <t>Cafeteria Geronimo</t>
        </is>
      </c>
      <c r="E6631" s="34" t="n">
        <v>16900</v>
      </c>
      <c r="F6631" t="inlineStr">
        <is>
          <t>B</t>
        </is>
      </c>
      <c r="G6631" s="34" t="n">
        <v>2698</v>
      </c>
      <c r="H6631" s="34" t="n">
        <v>14202</v>
      </c>
      <c r="I6631" t="inlineStr">
        <is>
          <t>3.2</t>
        </is>
      </c>
      <c r="J6631" t="inlineStr">
        <is>
          <t>Ventas Personas (B2C)</t>
        </is>
      </c>
      <c r="K6631" t="inlineStr">
        <is>
          <t>CH2</t>
        </is>
      </c>
    </row>
    <row r="6632">
      <c r="A6632" s="33" t="n">
        <v>46130</v>
      </c>
      <c r="B6632" t="inlineStr">
        <is>
          <t>2026-04</t>
        </is>
      </c>
      <c r="C6632" t="inlineStr">
        <is>
          <t>Sin cliente</t>
        </is>
      </c>
      <c r="D6632" t="inlineStr">
        <is>
          <t>Rellenos</t>
        </is>
      </c>
      <c r="E6632" s="34" t="n">
        <v>7000</v>
      </c>
      <c r="F6632" t="inlineStr">
        <is>
          <t>B</t>
        </is>
      </c>
      <c r="G6632" s="34" t="n">
        <v>1118</v>
      </c>
      <c r="H6632" s="34" t="n">
        <v>5882</v>
      </c>
      <c r="I6632" t="inlineStr">
        <is>
          <t>3.2</t>
        </is>
      </c>
      <c r="J6632" t="inlineStr">
        <is>
          <t>Ventas Personas (B2C)</t>
        </is>
      </c>
      <c r="K6632" t="inlineStr">
        <is>
          <t>CH2</t>
        </is>
      </c>
    </row>
    <row r="6633">
      <c r="A6633" s="33" t="n">
        <v>46130</v>
      </c>
      <c r="B6633" t="inlineStr">
        <is>
          <t>2026-04</t>
        </is>
      </c>
      <c r="C6633" t="inlineStr">
        <is>
          <t>Sin cliente</t>
        </is>
      </c>
      <c r="D6633" t="inlineStr">
        <is>
          <t>CANELÉ TRADICIONAL</t>
        </is>
      </c>
      <c r="E6633" s="34" t="n">
        <v>15900</v>
      </c>
      <c r="F6633" t="inlineStr">
        <is>
          <t>B</t>
        </is>
      </c>
      <c r="G6633" s="34" t="n">
        <v>2539</v>
      </c>
      <c r="H6633" s="34" t="n">
        <v>13361</v>
      </c>
      <c r="I6633" t="inlineStr">
        <is>
          <t>3.2</t>
        </is>
      </c>
      <c r="J6633" t="inlineStr">
        <is>
          <t>Ventas Personas (B2C)</t>
        </is>
      </c>
      <c r="K6633" t="inlineStr">
        <is>
          <t>CH2</t>
        </is>
      </c>
    </row>
    <row r="6634">
      <c r="A6634" s="33" t="n">
        <v>46130</v>
      </c>
      <c r="B6634" t="inlineStr">
        <is>
          <t>2026-04</t>
        </is>
      </c>
      <c r="C6634" t="inlineStr">
        <is>
          <t>Sin cliente</t>
        </is>
      </c>
      <c r="D6634" t="inlineStr">
        <is>
          <t>Canelé Petit Relleno</t>
        </is>
      </c>
      <c r="E6634" s="34" t="n">
        <v>18900</v>
      </c>
      <c r="F6634" t="inlineStr">
        <is>
          <t>B</t>
        </is>
      </c>
      <c r="G6634" s="34" t="n">
        <v>3018</v>
      </c>
      <c r="H6634" s="34" t="n">
        <v>15882</v>
      </c>
      <c r="I6634" t="inlineStr">
        <is>
          <t>3.2</t>
        </is>
      </c>
      <c r="J6634" t="inlineStr">
        <is>
          <t>Ventas Personas (B2C)</t>
        </is>
      </c>
      <c r="K6634" t="inlineStr">
        <is>
          <t>CH2</t>
        </is>
      </c>
    </row>
    <row r="6635">
      <c r="A6635" s="33" t="n">
        <v>46130</v>
      </c>
      <c r="B6635" t="inlineStr">
        <is>
          <t>2026-04</t>
        </is>
      </c>
      <c r="C6635" t="inlineStr">
        <is>
          <t>Sin cliente</t>
        </is>
      </c>
      <c r="D6635" t="inlineStr">
        <is>
          <t>CANELÉ TRADICIONAL</t>
        </is>
      </c>
      <c r="E6635" s="34" t="n">
        <v>22900</v>
      </c>
      <c r="F6635" t="inlineStr">
        <is>
          <t>B</t>
        </is>
      </c>
      <c r="G6635" s="34" t="n">
        <v>3656</v>
      </c>
      <c r="H6635" s="34" t="n">
        <v>19244</v>
      </c>
      <c r="I6635" t="inlineStr">
        <is>
          <t>3.2</t>
        </is>
      </c>
      <c r="J6635" t="inlineStr">
        <is>
          <t>Ventas Personas (B2C)</t>
        </is>
      </c>
      <c r="K6635" t="inlineStr">
        <is>
          <t>CH2</t>
        </is>
      </c>
    </row>
    <row r="6636">
      <c r="A6636" s="33" t="n">
        <v>46130</v>
      </c>
      <c r="B6636" t="inlineStr">
        <is>
          <t>2026-04</t>
        </is>
      </c>
      <c r="C6636" t="inlineStr">
        <is>
          <t>Sin cliente</t>
        </is>
      </c>
      <c r="D6636" t="inlineStr">
        <is>
          <t>Mix Sabores</t>
        </is>
      </c>
      <c r="E6636" s="34" t="n">
        <v>54600</v>
      </c>
      <c r="F6636" t="inlineStr">
        <is>
          <t>B</t>
        </is>
      </c>
      <c r="G6636" s="34" t="n">
        <v>8718</v>
      </c>
      <c r="H6636" s="34" t="n">
        <v>45882</v>
      </c>
      <c r="I6636" t="inlineStr">
        <is>
          <t>3.2</t>
        </is>
      </c>
      <c r="J6636" t="inlineStr">
        <is>
          <t>Ventas Personas (B2C)</t>
        </is>
      </c>
      <c r="K6636" t="inlineStr">
        <is>
          <t>CH2</t>
        </is>
      </c>
    </row>
    <row r="6637">
      <c r="A6637" s="33" t="n">
        <v>46130</v>
      </c>
      <c r="B6637" t="inlineStr">
        <is>
          <t>2026-04</t>
        </is>
      </c>
      <c r="C6637" t="inlineStr">
        <is>
          <t>Sin cliente</t>
        </is>
      </c>
      <c r="D6637" t="inlineStr">
        <is>
          <t>Cafeteria Geronimo</t>
        </is>
      </c>
      <c r="E6637" s="34" t="n">
        <v>6700</v>
      </c>
      <c r="F6637" t="inlineStr">
        <is>
          <t>B</t>
        </is>
      </c>
      <c r="G6637" s="34" t="n">
        <v>1070</v>
      </c>
      <c r="H6637" s="34" t="n">
        <v>5630</v>
      </c>
      <c r="I6637" t="inlineStr">
        <is>
          <t>3.2</t>
        </is>
      </c>
      <c r="J6637" t="inlineStr">
        <is>
          <t>Ventas Personas (B2C)</t>
        </is>
      </c>
      <c r="K6637" t="inlineStr">
        <is>
          <t>CH2</t>
        </is>
      </c>
    </row>
    <row r="6638">
      <c r="A6638" s="33" t="n">
        <v>46130</v>
      </c>
      <c r="B6638" t="inlineStr">
        <is>
          <t>2026-04</t>
        </is>
      </c>
      <c r="C6638" t="inlineStr">
        <is>
          <t>Sin cliente</t>
        </is>
      </c>
      <c r="D6638" t="inlineStr">
        <is>
          <t>Canelé Petit Relleno</t>
        </is>
      </c>
      <c r="E6638" s="34" t="n">
        <v>13900</v>
      </c>
      <c r="F6638" t="inlineStr">
        <is>
          <t>B</t>
        </is>
      </c>
      <c r="G6638" s="34" t="n">
        <v>2219</v>
      </c>
      <c r="H6638" s="34" t="n">
        <v>11681</v>
      </c>
      <c r="I6638" t="inlineStr">
        <is>
          <t>3.2</t>
        </is>
      </c>
      <c r="J6638" t="inlineStr">
        <is>
          <t>Ventas Personas (B2C)</t>
        </is>
      </c>
      <c r="K6638" t="inlineStr">
        <is>
          <t>CH2</t>
        </is>
      </c>
    </row>
    <row r="6639">
      <c r="A6639" s="33" t="n">
        <v>46130</v>
      </c>
      <c r="B6639" t="inlineStr">
        <is>
          <t>2026-04</t>
        </is>
      </c>
      <c r="C6639" t="inlineStr">
        <is>
          <t>Sin cliente</t>
        </is>
      </c>
      <c r="D6639" t="inlineStr">
        <is>
          <t>PLATAFORMAS RAP-PEYA-UBER-GOOD</t>
        </is>
      </c>
      <c r="E6639" s="34" t="n">
        <v>54936</v>
      </c>
      <c r="F6639" t="inlineStr">
        <is>
          <t>B</t>
        </is>
      </c>
      <c r="G6639" s="34" t="n">
        <v>8771</v>
      </c>
      <c r="H6639" s="34" t="n">
        <v>46165</v>
      </c>
      <c r="I6639" t="inlineStr">
        <is>
          <t>3.6</t>
        </is>
      </c>
      <c r="J6639" t="inlineStr">
        <is>
          <t>Ventas Delivery Apps</t>
        </is>
      </c>
      <c r="K6639" t="inlineStr">
        <is>
          <t>CH3</t>
        </is>
      </c>
    </row>
    <row r="6640">
      <c r="A6640" s="33" t="n">
        <v>46130</v>
      </c>
      <c r="B6640" t="inlineStr">
        <is>
          <t>2026-04</t>
        </is>
      </c>
      <c r="C6640" t="inlineStr">
        <is>
          <t>Sin cliente</t>
        </is>
      </c>
      <c r="D6640" t="inlineStr">
        <is>
          <t>PLATAFORMAS RAP-PEYA-UBER-GOOD</t>
        </is>
      </c>
      <c r="E6640" s="34" t="n">
        <v>10227</v>
      </c>
      <c r="F6640" t="inlineStr">
        <is>
          <t>B</t>
        </is>
      </c>
      <c r="G6640" s="34" t="n">
        <v>1633</v>
      </c>
      <c r="H6640" s="34" t="n">
        <v>8594</v>
      </c>
      <c r="I6640" t="inlineStr">
        <is>
          <t>3.6</t>
        </is>
      </c>
      <c r="J6640" t="inlineStr">
        <is>
          <t>Ventas Delivery Apps</t>
        </is>
      </c>
      <c r="K6640" t="inlineStr">
        <is>
          <t>CH3</t>
        </is>
      </c>
    </row>
    <row r="6641">
      <c r="A6641" s="33" t="n">
        <v>46130</v>
      </c>
      <c r="B6641" t="inlineStr">
        <is>
          <t>2026-04</t>
        </is>
      </c>
      <c r="C6641" t="inlineStr">
        <is>
          <t>Sin cliente</t>
        </is>
      </c>
      <c r="D6641" t="inlineStr">
        <is>
          <t>PLATAFORMAS RAP-PEYA-UBER-GOOD</t>
        </is>
      </c>
      <c r="E6641" s="34" t="n">
        <v>16560</v>
      </c>
      <c r="F6641" t="inlineStr">
        <is>
          <t>B</t>
        </is>
      </c>
      <c r="G6641" s="34" t="n">
        <v>2644</v>
      </c>
      <c r="H6641" s="34" t="n">
        <v>13916</v>
      </c>
      <c r="I6641" t="inlineStr">
        <is>
          <t>3.6</t>
        </is>
      </c>
      <c r="J6641" t="inlineStr">
        <is>
          <t>Ventas Delivery Apps</t>
        </is>
      </c>
      <c r="K6641" t="inlineStr">
        <is>
          <t>CH3</t>
        </is>
      </c>
    </row>
    <row r="6642">
      <c r="A6642" s="33" t="n">
        <v>46130</v>
      </c>
      <c r="B6642" t="inlineStr">
        <is>
          <t>2026-04</t>
        </is>
      </c>
      <c r="C6642" t="inlineStr">
        <is>
          <t>Sin cliente</t>
        </is>
      </c>
      <c r="D6642" t="inlineStr">
        <is>
          <t>Cafeteria Geronimo</t>
        </is>
      </c>
      <c r="E6642" s="34" t="n">
        <v>8300</v>
      </c>
      <c r="F6642" t="inlineStr">
        <is>
          <t>B</t>
        </is>
      </c>
      <c r="G6642" s="34" t="n">
        <v>1325</v>
      </c>
      <c r="H6642" s="34" t="n">
        <v>6975</v>
      </c>
      <c r="I6642" t="inlineStr">
        <is>
          <t>3.2</t>
        </is>
      </c>
      <c r="J6642" t="inlineStr">
        <is>
          <t>Ventas Personas (B2C)</t>
        </is>
      </c>
      <c r="K6642" t="inlineStr">
        <is>
          <t>CH2</t>
        </is>
      </c>
    </row>
    <row r="6643">
      <c r="A6643" s="33" t="n">
        <v>46130</v>
      </c>
      <c r="B6643" t="inlineStr">
        <is>
          <t>2026-04</t>
        </is>
      </c>
      <c r="C6643" t="inlineStr">
        <is>
          <t>Sin cliente</t>
        </is>
      </c>
      <c r="D6643" t="inlineStr">
        <is>
          <t>Rellenos</t>
        </is>
      </c>
      <c r="E6643" s="34" t="n">
        <v>9500</v>
      </c>
      <c r="F6643" t="inlineStr">
        <is>
          <t>B</t>
        </is>
      </c>
      <c r="G6643" s="34" t="n">
        <v>1517</v>
      </c>
      <c r="H6643" s="34" t="n">
        <v>7983</v>
      </c>
      <c r="I6643" t="inlineStr">
        <is>
          <t>3.2</t>
        </is>
      </c>
      <c r="J6643" t="inlineStr">
        <is>
          <t>Ventas Personas (B2C)</t>
        </is>
      </c>
      <c r="K6643" t="inlineStr">
        <is>
          <t>CH2</t>
        </is>
      </c>
    </row>
    <row r="6644">
      <c r="A6644" s="33" t="n">
        <v>46130</v>
      </c>
      <c r="B6644" t="inlineStr">
        <is>
          <t>2026-04</t>
        </is>
      </c>
      <c r="C6644" t="inlineStr">
        <is>
          <t>Sin cliente</t>
        </is>
      </c>
      <c r="D6644" t="inlineStr">
        <is>
          <t>PLATAFORMAS RAP-PEYA-UBER-GOOD</t>
        </is>
      </c>
      <c r="E6644" s="34" t="n">
        <v>18960</v>
      </c>
      <c r="F6644" t="inlineStr">
        <is>
          <t>B</t>
        </is>
      </c>
      <c r="G6644" s="34" t="n">
        <v>3027</v>
      </c>
      <c r="H6644" s="34" t="n">
        <v>15933</v>
      </c>
      <c r="I6644" t="inlineStr">
        <is>
          <t>3.6</t>
        </is>
      </c>
      <c r="J6644" t="inlineStr">
        <is>
          <t>Ventas Delivery Apps</t>
        </is>
      </c>
      <c r="K6644" t="inlineStr">
        <is>
          <t>CH3</t>
        </is>
      </c>
    </row>
    <row r="6645">
      <c r="A6645" s="33" t="n">
        <v>46130</v>
      </c>
      <c r="B6645" t="inlineStr">
        <is>
          <t>2026-04</t>
        </is>
      </c>
      <c r="C6645" t="inlineStr">
        <is>
          <t>Sin cliente</t>
        </is>
      </c>
      <c r="D6645" t="inlineStr">
        <is>
          <t>Rellenos</t>
        </is>
      </c>
      <c r="E6645" s="34" t="n">
        <v>14000</v>
      </c>
      <c r="F6645" t="inlineStr">
        <is>
          <t>B</t>
        </is>
      </c>
      <c r="G6645" s="34" t="n">
        <v>2235</v>
      </c>
      <c r="H6645" s="34" t="n">
        <v>11765</v>
      </c>
      <c r="I6645" t="inlineStr">
        <is>
          <t>3.2</t>
        </is>
      </c>
      <c r="J6645" t="inlineStr">
        <is>
          <t>Ventas Personas (B2C)</t>
        </is>
      </c>
      <c r="K6645" t="inlineStr">
        <is>
          <t>CH2</t>
        </is>
      </c>
    </row>
    <row r="6646">
      <c r="A6646" s="33" t="n">
        <v>46130</v>
      </c>
      <c r="B6646" t="inlineStr">
        <is>
          <t>2026-04</t>
        </is>
      </c>
      <c r="C6646" t="inlineStr">
        <is>
          <t>Sin cliente</t>
        </is>
      </c>
      <c r="D6646" t="inlineStr">
        <is>
          <t>CANELE SIN AZUCAR</t>
        </is>
      </c>
      <c r="E6646" s="34" t="n">
        <v>16900</v>
      </c>
      <c r="F6646" t="inlineStr">
        <is>
          <t>B</t>
        </is>
      </c>
      <c r="G6646" s="34" t="n">
        <v>2698</v>
      </c>
      <c r="H6646" s="34" t="n">
        <v>14202</v>
      </c>
      <c r="I6646" t="inlineStr">
        <is>
          <t>3.2</t>
        </is>
      </c>
      <c r="J6646" t="inlineStr">
        <is>
          <t>Ventas Personas (B2C)</t>
        </is>
      </c>
      <c r="K6646" t="inlineStr">
        <is>
          <t>CH2</t>
        </is>
      </c>
    </row>
    <row r="6647">
      <c r="A6647" s="33" t="n">
        <v>46130</v>
      </c>
      <c r="B6647" t="inlineStr">
        <is>
          <t>2026-04</t>
        </is>
      </c>
      <c r="C6647" t="inlineStr">
        <is>
          <t>Sin cliente</t>
        </is>
      </c>
      <c r="D6647" t="inlineStr">
        <is>
          <t>Delicatessen</t>
        </is>
      </c>
      <c r="E6647" s="34" t="n">
        <v>2125</v>
      </c>
      <c r="F6647" t="inlineStr">
        <is>
          <t>B</t>
        </is>
      </c>
      <c r="G6647" s="34" t="n">
        <v>339</v>
      </c>
      <c r="H6647" s="34" t="n">
        <v>1786</v>
      </c>
      <c r="I6647" t="inlineStr">
        <is>
          <t>3.2</t>
        </is>
      </c>
      <c r="J6647" t="inlineStr">
        <is>
          <t>Ventas Personas (B2C)</t>
        </is>
      </c>
      <c r="K6647" t="inlineStr">
        <is>
          <t>CH2</t>
        </is>
      </c>
    </row>
    <row r="6648">
      <c r="A6648" s="33" t="n">
        <v>46130</v>
      </c>
      <c r="B6648" t="inlineStr">
        <is>
          <t>2026-04</t>
        </is>
      </c>
      <c r="C6648" t="inlineStr">
        <is>
          <t>Sin cliente</t>
        </is>
      </c>
      <c r="D6648" t="inlineStr">
        <is>
          <t>PLATAFORMAS RAP-PEYA-UBER-GOOD</t>
        </is>
      </c>
      <c r="E6648" s="34" t="n">
        <v>11749</v>
      </c>
      <c r="F6648" t="inlineStr">
        <is>
          <t>B</t>
        </is>
      </c>
      <c r="G6648" s="34" t="n">
        <v>1876</v>
      </c>
      <c r="H6648" s="34" t="n">
        <v>9873</v>
      </c>
      <c r="I6648" t="inlineStr">
        <is>
          <t>3.6</t>
        </is>
      </c>
      <c r="J6648" t="inlineStr">
        <is>
          <t>Ventas Delivery Apps</t>
        </is>
      </c>
      <c r="K6648" t="inlineStr">
        <is>
          <t>CH3</t>
        </is>
      </c>
    </row>
    <row r="6649">
      <c r="A6649" s="33" t="n">
        <v>46130</v>
      </c>
      <c r="B6649" t="inlineStr">
        <is>
          <t>2026-04</t>
        </is>
      </c>
      <c r="C6649" t="inlineStr">
        <is>
          <t>Sin cliente</t>
        </is>
      </c>
      <c r="D6649" t="inlineStr">
        <is>
          <t>Cafeteria Geronimo</t>
        </is>
      </c>
      <c r="E6649" s="34" t="n">
        <v>11200</v>
      </c>
      <c r="F6649" t="inlineStr">
        <is>
          <t>B</t>
        </is>
      </c>
      <c r="G6649" s="34" t="n">
        <v>1788</v>
      </c>
      <c r="H6649" s="34" t="n">
        <v>9412</v>
      </c>
      <c r="I6649" t="inlineStr">
        <is>
          <t>3.2</t>
        </is>
      </c>
      <c r="J6649" t="inlineStr">
        <is>
          <t>Ventas Personas (B2C)</t>
        </is>
      </c>
      <c r="K6649" t="inlineStr">
        <is>
          <t>CH2</t>
        </is>
      </c>
    </row>
    <row r="6650">
      <c r="A6650" s="33" t="n">
        <v>46130</v>
      </c>
      <c r="B6650" t="inlineStr">
        <is>
          <t>2026-04</t>
        </is>
      </c>
      <c r="C6650" t="inlineStr">
        <is>
          <t>Sin cliente</t>
        </is>
      </c>
      <c r="D6650" t="inlineStr">
        <is>
          <t>Delicatessen</t>
        </is>
      </c>
      <c r="E6650" s="34" t="n">
        <v>2125</v>
      </c>
      <c r="F6650" t="inlineStr">
        <is>
          <t>B</t>
        </is>
      </c>
      <c r="G6650" s="34" t="n">
        <v>339</v>
      </c>
      <c r="H6650" s="34" t="n">
        <v>1786</v>
      </c>
      <c r="I6650" t="inlineStr">
        <is>
          <t>3.2</t>
        </is>
      </c>
      <c r="J6650" t="inlineStr">
        <is>
          <t>Ventas Personas (B2C)</t>
        </is>
      </c>
      <c r="K6650" t="inlineStr">
        <is>
          <t>CH2</t>
        </is>
      </c>
    </row>
    <row r="6651">
      <c r="A6651" s="33" t="n">
        <v>46130</v>
      </c>
      <c r="B6651" t="inlineStr">
        <is>
          <t>2026-04</t>
        </is>
      </c>
      <c r="C6651" t="inlineStr">
        <is>
          <t>Sin cliente</t>
        </is>
      </c>
      <c r="D6651" t="inlineStr">
        <is>
          <t>Delicatessen</t>
        </is>
      </c>
      <c r="E6651" s="34" t="n">
        <v>2125</v>
      </c>
      <c r="F6651" t="inlineStr">
        <is>
          <t>B</t>
        </is>
      </c>
      <c r="G6651" s="34" t="n">
        <v>339</v>
      </c>
      <c r="H6651" s="34" t="n">
        <v>1786</v>
      </c>
      <c r="I6651" t="inlineStr">
        <is>
          <t>3.2</t>
        </is>
      </c>
      <c r="J6651" t="inlineStr">
        <is>
          <t>Ventas Personas (B2C)</t>
        </is>
      </c>
      <c r="K6651" t="inlineStr">
        <is>
          <t>CH2</t>
        </is>
      </c>
    </row>
    <row r="6652">
      <c r="A6652" s="33" t="n">
        <v>46131</v>
      </c>
      <c r="B6652" t="inlineStr">
        <is>
          <t>2026-04</t>
        </is>
      </c>
      <c r="C6652" t="inlineStr">
        <is>
          <t>Paula RODRIGUEZ</t>
        </is>
      </c>
      <c r="D6652" t="inlineStr">
        <is>
          <t>Petit Tradicional</t>
        </is>
      </c>
      <c r="E6652" s="34" t="n">
        <v>19290</v>
      </c>
      <c r="F6652" t="inlineStr">
        <is>
          <t>B</t>
        </is>
      </c>
      <c r="G6652" s="34" t="n">
        <v>3080</v>
      </c>
      <c r="H6652" s="34" t="n">
        <v>16210</v>
      </c>
      <c r="I6652" t="inlineStr">
        <is>
          <t>3.2</t>
        </is>
      </c>
      <c r="J6652" t="inlineStr">
        <is>
          <t>Ventas Personas (B2C)</t>
        </is>
      </c>
      <c r="K6652" t="inlineStr">
        <is>
          <t>CH2</t>
        </is>
      </c>
    </row>
    <row r="6653">
      <c r="A6653" s="33" t="n">
        <v>46132</v>
      </c>
      <c r="B6653" t="inlineStr">
        <is>
          <t>2026-04</t>
        </is>
      </c>
      <c r="C6653" t="inlineStr">
        <is>
          <t>Sociedad de inversiones solari y acuña spa</t>
        </is>
      </c>
      <c r="D6653" t="inlineStr">
        <is>
          <t>HORECA CAFETERIA</t>
        </is>
      </c>
      <c r="E6653" s="34" t="n">
        <v>145942</v>
      </c>
      <c r="F6653" t="inlineStr">
        <is>
          <t>F</t>
        </is>
      </c>
      <c r="G6653" s="34" t="n">
        <v>23302</v>
      </c>
      <c r="H6653" s="34" t="n">
        <v>122640</v>
      </c>
      <c r="I6653" t="inlineStr">
        <is>
          <t>3.1</t>
        </is>
      </c>
      <c r="J6653" t="inlineStr">
        <is>
          <t>Ventas HoReCa</t>
        </is>
      </c>
      <c r="K6653" t="inlineStr">
        <is>
          <t>CH1</t>
        </is>
      </c>
    </row>
    <row r="6654">
      <c r="A6654" s="33" t="n">
        <v>46132</v>
      </c>
      <c r="B6654" t="inlineStr">
        <is>
          <t>2026-04</t>
        </is>
      </c>
      <c r="C6654" t="inlineStr">
        <is>
          <t>INVERSIONES Y COMERCIALIZADORA FED LIMITADA</t>
        </is>
      </c>
      <c r="D6654" t="inlineStr">
        <is>
          <t>REGION METROPOLITANA</t>
        </is>
      </c>
      <c r="E6654" s="34" t="n">
        <v>474953</v>
      </c>
      <c r="F6654" t="inlineStr">
        <is>
          <t>F</t>
        </is>
      </c>
      <c r="G6654" s="34" t="n">
        <v>75833</v>
      </c>
      <c r="H6654" s="34" t="n">
        <v>399120</v>
      </c>
      <c r="I6654" t="inlineStr">
        <is>
          <t>3.1</t>
        </is>
      </c>
      <c r="J6654" t="inlineStr">
        <is>
          <t>Ventas HoReCa</t>
        </is>
      </c>
      <c r="K6654" t="inlineStr">
        <is>
          <t>CH1</t>
        </is>
      </c>
    </row>
    <row r="6655">
      <c r="A6655" s="33" t="n">
        <v>46132</v>
      </c>
      <c r="B6655" t="inlineStr">
        <is>
          <t>2026-04</t>
        </is>
      </c>
      <c r="C6655" t="inlineStr">
        <is>
          <t>INVERSIONES Y COMERCIALIZADORA FED LIMITADA</t>
        </is>
      </c>
      <c r="D6655" t="inlineStr">
        <is>
          <t>REGION METROPOLITANA</t>
        </is>
      </c>
      <c r="E6655" s="34" t="n">
        <v>-474953</v>
      </c>
      <c r="F6655" t="inlineStr">
        <is>
          <t>NC</t>
        </is>
      </c>
      <c r="G6655" s="34" t="n">
        <v>-75833</v>
      </c>
      <c r="H6655" s="34" t="n">
        <v>-399120</v>
      </c>
      <c r="I6655" t="inlineStr">
        <is>
          <t>3.1</t>
        </is>
      </c>
      <c r="J6655" t="inlineStr">
        <is>
          <t>Ventas HoReCa</t>
        </is>
      </c>
      <c r="K6655" t="inlineStr">
        <is>
          <t>CH1</t>
        </is>
      </c>
    </row>
    <row r="6656">
      <c r="A6656" s="33" t="n">
        <v>46132</v>
      </c>
      <c r="B6656" t="inlineStr">
        <is>
          <t>2026-04</t>
        </is>
      </c>
      <c r="C6656" t="inlineStr">
        <is>
          <t>INVERSIONES Y COMERCIALIZADORA FED LIMITADA</t>
        </is>
      </c>
      <c r="D6656" t="inlineStr">
        <is>
          <t>REGION METROPOLITANA</t>
        </is>
      </c>
      <c r="E6656" s="34" t="n">
        <v>442856</v>
      </c>
      <c r="F6656" t="inlineStr">
        <is>
          <t>F</t>
        </is>
      </c>
      <c r="G6656" s="34" t="n">
        <v>70708</v>
      </c>
      <c r="H6656" s="34" t="n">
        <v>372148</v>
      </c>
      <c r="I6656" t="inlineStr">
        <is>
          <t>3.1</t>
        </is>
      </c>
      <c r="J6656" t="inlineStr">
        <is>
          <t>Ventas HoReCa</t>
        </is>
      </c>
      <c r="K6656" t="inlineStr">
        <is>
          <t>CH1</t>
        </is>
      </c>
    </row>
    <row r="6657">
      <c r="A6657" s="33" t="n">
        <v>46132</v>
      </c>
      <c r="B6657" t="inlineStr">
        <is>
          <t>2026-04</t>
        </is>
      </c>
      <c r="C6657" t="inlineStr">
        <is>
          <t>Tren al Sur SpA</t>
        </is>
      </c>
      <c r="D6657" t="inlineStr">
        <is>
          <t>HORECA CAFETERIA</t>
        </is>
      </c>
      <c r="E6657" s="34" t="n">
        <v>112836</v>
      </c>
      <c r="F6657" t="inlineStr">
        <is>
          <t>F</t>
        </is>
      </c>
      <c r="G6657" s="34" t="n">
        <v>18016</v>
      </c>
      <c r="H6657" s="34" t="n">
        <v>94820</v>
      </c>
      <c r="I6657" t="inlineStr">
        <is>
          <t>3.1</t>
        </is>
      </c>
      <c r="J6657" t="inlineStr">
        <is>
          <t>Ventas HoReCa</t>
        </is>
      </c>
      <c r="K6657" t="inlineStr">
        <is>
          <t>CH1</t>
        </is>
      </c>
    </row>
    <row r="6658">
      <c r="A6658" s="33" t="n">
        <v>46132</v>
      </c>
      <c r="B6658" t="inlineStr">
        <is>
          <t>2026-04</t>
        </is>
      </c>
      <c r="C6658" t="inlineStr">
        <is>
          <t>INVERSIONES Y ASESORIAS RAVAL LIMITADA</t>
        </is>
      </c>
      <c r="D6658" t="inlineStr">
        <is>
          <t>HORECA CAFETERIA</t>
        </is>
      </c>
      <c r="E6658" s="34" t="n">
        <v>118619</v>
      </c>
      <c r="F6658" t="inlineStr">
        <is>
          <t>F</t>
        </is>
      </c>
      <c r="G6658" s="34" t="n">
        <v>18939</v>
      </c>
      <c r="H6658" s="34" t="n">
        <v>99680</v>
      </c>
      <c r="I6658" t="inlineStr">
        <is>
          <t>3.1</t>
        </is>
      </c>
      <c r="J6658" t="inlineStr">
        <is>
          <t>Ventas HoReCa</t>
        </is>
      </c>
      <c r="K6658" t="inlineStr">
        <is>
          <t>CH1</t>
        </is>
      </c>
    </row>
    <row r="6659">
      <c r="A6659" s="33" t="n">
        <v>46132</v>
      </c>
      <c r="B6659" t="inlineStr">
        <is>
          <t>2026-04</t>
        </is>
      </c>
      <c r="C6659" t="inlineStr">
        <is>
          <t>BLUE OAK COFFE SPA</t>
        </is>
      </c>
      <c r="D6659" t="inlineStr">
        <is>
          <t>HORECA CAFETERIA</t>
        </is>
      </c>
      <c r="E6659" s="34" t="n">
        <v>157639</v>
      </c>
      <c r="F6659" t="inlineStr">
        <is>
          <t>F</t>
        </is>
      </c>
      <c r="G6659" s="34" t="n">
        <v>25169</v>
      </c>
      <c r="H6659" s="34" t="n">
        <v>132470</v>
      </c>
      <c r="I6659" t="inlineStr">
        <is>
          <t>3.1</t>
        </is>
      </c>
      <c r="J6659" t="inlineStr">
        <is>
          <t>Ventas HoReCa</t>
        </is>
      </c>
      <c r="K6659" t="inlineStr">
        <is>
          <t>CH1</t>
        </is>
      </c>
    </row>
    <row r="6660">
      <c r="A6660" s="33" t="n">
        <v>46132</v>
      </c>
      <c r="B6660" t="inlineStr">
        <is>
          <t>2026-04</t>
        </is>
      </c>
      <c r="C6660" t="inlineStr">
        <is>
          <t>Sin cliente</t>
        </is>
      </c>
      <c r="D6660" t="inlineStr">
        <is>
          <t>Cafeteria Geronimo</t>
        </is>
      </c>
      <c r="E6660" s="34" t="n">
        <v>7900</v>
      </c>
      <c r="F6660" t="inlineStr">
        <is>
          <t>B</t>
        </is>
      </c>
      <c r="G6660" s="34" t="n">
        <v>1261</v>
      </c>
      <c r="H6660" s="34" t="n">
        <v>6639</v>
      </c>
      <c r="I6660" t="inlineStr">
        <is>
          <t>3.2</t>
        </is>
      </c>
      <c r="J6660" t="inlineStr">
        <is>
          <t>Ventas Personas (B2C)</t>
        </is>
      </c>
      <c r="K6660" t="inlineStr">
        <is>
          <t>CH2</t>
        </is>
      </c>
    </row>
    <row r="6661">
      <c r="A6661" s="33" t="n">
        <v>46132</v>
      </c>
      <c r="B6661" t="inlineStr">
        <is>
          <t>2026-04</t>
        </is>
      </c>
      <c r="C6661" t="inlineStr">
        <is>
          <t>Sin cliente</t>
        </is>
      </c>
      <c r="D6661" t="inlineStr">
        <is>
          <t>Cafeteria Geronimo</t>
        </is>
      </c>
      <c r="E6661" s="34" t="n">
        <v>6400</v>
      </c>
      <c r="F6661" t="inlineStr">
        <is>
          <t>B</t>
        </is>
      </c>
      <c r="G6661" s="34" t="n">
        <v>1022</v>
      </c>
      <c r="H6661" s="34" t="n">
        <v>5378</v>
      </c>
      <c r="I6661" t="inlineStr">
        <is>
          <t>3.2</t>
        </is>
      </c>
      <c r="J6661" t="inlineStr">
        <is>
          <t>Ventas Personas (B2C)</t>
        </is>
      </c>
      <c r="K6661" t="inlineStr">
        <is>
          <t>CH2</t>
        </is>
      </c>
    </row>
    <row r="6662">
      <c r="A6662" s="33" t="n">
        <v>46132</v>
      </c>
      <c r="B6662" t="inlineStr">
        <is>
          <t>2026-04</t>
        </is>
      </c>
      <c r="C6662" t="inlineStr">
        <is>
          <t>Bruno Frigoli</t>
        </is>
      </c>
      <c r="D6662" t="inlineStr">
        <is>
          <t>CANELÉ TRADICIONAL</t>
        </is>
      </c>
      <c r="E6662" s="34" t="n">
        <v>45290</v>
      </c>
      <c r="F6662" t="inlineStr">
        <is>
          <t>B</t>
        </is>
      </c>
      <c r="G6662" s="34" t="n">
        <v>7231</v>
      </c>
      <c r="H6662" s="34" t="n">
        <v>38059</v>
      </c>
      <c r="I6662" t="inlineStr">
        <is>
          <t>3.2</t>
        </is>
      </c>
      <c r="J6662" t="inlineStr">
        <is>
          <t>Ventas Personas (B2C)</t>
        </is>
      </c>
      <c r="K6662" t="inlineStr">
        <is>
          <t>CH2</t>
        </is>
      </c>
    </row>
    <row r="6663">
      <c r="A6663" s="33" t="n">
        <v>46132</v>
      </c>
      <c r="B6663" t="inlineStr">
        <is>
          <t>2026-04</t>
        </is>
      </c>
      <c r="C6663" t="inlineStr">
        <is>
          <t>Ignacia oyarzun</t>
        </is>
      </c>
      <c r="D6663" t="inlineStr">
        <is>
          <t>Rellenos</t>
        </is>
      </c>
      <c r="E6663" s="34" t="n">
        <v>38390</v>
      </c>
      <c r="F6663" t="inlineStr">
        <is>
          <t>B</t>
        </is>
      </c>
      <c r="G6663" s="34" t="n">
        <v>6129</v>
      </c>
      <c r="H6663" s="34" t="n">
        <v>32261</v>
      </c>
      <c r="I6663" t="inlineStr">
        <is>
          <t>3.2</t>
        </is>
      </c>
      <c r="J6663" t="inlineStr">
        <is>
          <t>Ventas Personas (B2C)</t>
        </is>
      </c>
      <c r="K6663" t="inlineStr">
        <is>
          <t>CH2</t>
        </is>
      </c>
    </row>
    <row r="6664">
      <c r="A6664" s="33" t="n">
        <v>46132</v>
      </c>
      <c r="B6664" t="inlineStr">
        <is>
          <t>2026-04</t>
        </is>
      </c>
      <c r="C6664" t="inlineStr">
        <is>
          <t>Sin cliente</t>
        </is>
      </c>
      <c r="D6664" t="inlineStr">
        <is>
          <t>PLATAFORMAS RAP-PEYA-UBER-GOOD</t>
        </is>
      </c>
      <c r="E6664" s="34" t="n">
        <v>35760</v>
      </c>
      <c r="F6664" t="inlineStr">
        <is>
          <t>B</t>
        </is>
      </c>
      <c r="G6664" s="34" t="n">
        <v>5710</v>
      </c>
      <c r="H6664" s="34" t="n">
        <v>30050</v>
      </c>
      <c r="I6664" t="inlineStr">
        <is>
          <t>3.6</t>
        </is>
      </c>
      <c r="J6664" t="inlineStr">
        <is>
          <t>Ventas Delivery Apps</t>
        </is>
      </c>
      <c r="K6664" t="inlineStr">
        <is>
          <t>CH3</t>
        </is>
      </c>
    </row>
    <row r="6665">
      <c r="A6665" s="33" t="n">
        <v>46132</v>
      </c>
      <c r="B6665" t="inlineStr">
        <is>
          <t>2026-04</t>
        </is>
      </c>
      <c r="C6665" t="inlineStr">
        <is>
          <t>PANE Y PASTA SPA</t>
        </is>
      </c>
      <c r="D6665" t="inlineStr">
        <is>
          <t>HORECA CATERING</t>
        </is>
      </c>
      <c r="E6665" s="34" t="n">
        <v>73066</v>
      </c>
      <c r="F6665" t="inlineStr">
        <is>
          <t>F</t>
        </is>
      </c>
      <c r="G6665" s="34" t="n">
        <v>11666</v>
      </c>
      <c r="H6665" s="34" t="n">
        <v>61400</v>
      </c>
      <c r="I6665" t="inlineStr">
        <is>
          <t>3.1</t>
        </is>
      </c>
      <c r="J6665" t="inlineStr">
        <is>
          <t>Ventas HoReCa</t>
        </is>
      </c>
      <c r="K6665" t="inlineStr">
        <is>
          <t>CH1</t>
        </is>
      </c>
    </row>
    <row r="6666">
      <c r="A6666" s="33" t="n">
        <v>46132</v>
      </c>
      <c r="B6666" t="inlineStr">
        <is>
          <t>2026-04</t>
        </is>
      </c>
      <c r="C6666" t="inlineStr">
        <is>
          <t>RC BANQUETERIA SPA</t>
        </is>
      </c>
      <c r="D6666" t="inlineStr">
        <is>
          <t>Petit Crunchy</t>
        </is>
      </c>
      <c r="E6666" s="34" t="n">
        <v>56821</v>
      </c>
      <c r="F6666" t="inlineStr">
        <is>
          <t>F</t>
        </is>
      </c>
      <c r="G6666" s="34" t="n">
        <v>9072</v>
      </c>
      <c r="H6666" s="34" t="n">
        <v>47749</v>
      </c>
      <c r="I6666" t="inlineStr">
        <is>
          <t>3.1</t>
        </is>
      </c>
      <c r="J6666" t="inlineStr">
        <is>
          <t>Ventas HoReCa</t>
        </is>
      </c>
      <c r="K6666" t="inlineStr">
        <is>
          <t>CH1</t>
        </is>
      </c>
    </row>
    <row r="6667">
      <c r="A6667" s="33" t="n">
        <v>46132</v>
      </c>
      <c r="B6667" t="inlineStr">
        <is>
          <t>2026-04</t>
        </is>
      </c>
      <c r="C6667" t="inlineStr">
        <is>
          <t>Sin cliente</t>
        </is>
      </c>
      <c r="D6667" t="inlineStr">
        <is>
          <t>Rellenos</t>
        </is>
      </c>
      <c r="E6667" s="34" t="n">
        <v>22400</v>
      </c>
      <c r="F6667" t="inlineStr">
        <is>
          <t>B</t>
        </is>
      </c>
      <c r="G6667" s="34" t="n">
        <v>3576</v>
      </c>
      <c r="H6667" s="34" t="n">
        <v>18824</v>
      </c>
      <c r="I6667" t="inlineStr">
        <is>
          <t>3.2</t>
        </is>
      </c>
      <c r="J6667" t="inlineStr">
        <is>
          <t>Ventas Personas (B2C)</t>
        </is>
      </c>
      <c r="K6667" t="inlineStr">
        <is>
          <t>CH2</t>
        </is>
      </c>
    </row>
    <row r="6668">
      <c r="A6668" s="33" t="n">
        <v>46132</v>
      </c>
      <c r="B6668" t="inlineStr">
        <is>
          <t>2026-04</t>
        </is>
      </c>
      <c r="C6668" t="inlineStr">
        <is>
          <t>Sin cliente</t>
        </is>
      </c>
      <c r="D6668" t="inlineStr">
        <is>
          <t>Cafeteria Geronimo</t>
        </is>
      </c>
      <c r="E6668" s="34" t="n">
        <v>11200</v>
      </c>
      <c r="F6668" t="inlineStr">
        <is>
          <t>B</t>
        </is>
      </c>
      <c r="G6668" s="34" t="n">
        <v>1788</v>
      </c>
      <c r="H6668" s="34" t="n">
        <v>9412</v>
      </c>
      <c r="I6668" t="inlineStr">
        <is>
          <t>3.2</t>
        </is>
      </c>
      <c r="J6668" t="inlineStr">
        <is>
          <t>Ventas Personas (B2C)</t>
        </is>
      </c>
      <c r="K6668" t="inlineStr">
        <is>
          <t>CH2</t>
        </is>
      </c>
    </row>
    <row r="6669">
      <c r="A6669" s="33" t="n">
        <v>46132</v>
      </c>
      <c r="B6669" t="inlineStr">
        <is>
          <t>2026-04</t>
        </is>
      </c>
      <c r="C6669" t="inlineStr">
        <is>
          <t>Sin cliente</t>
        </is>
      </c>
      <c r="D6669" t="inlineStr">
        <is>
          <t>Cafeteria Geronimo</t>
        </is>
      </c>
      <c r="E6669" s="34" t="n">
        <v>2550</v>
      </c>
      <c r="F6669" t="inlineStr">
        <is>
          <t>B</t>
        </is>
      </c>
      <c r="G6669" s="34" t="n">
        <v>407</v>
      </c>
      <c r="H6669" s="34" t="n">
        <v>2143</v>
      </c>
      <c r="I6669" t="inlineStr">
        <is>
          <t>3.2</t>
        </is>
      </c>
      <c r="J6669" t="inlineStr">
        <is>
          <t>Ventas Personas (B2C)</t>
        </is>
      </c>
      <c r="K6669" t="inlineStr">
        <is>
          <t>CH2</t>
        </is>
      </c>
    </row>
    <row r="6670">
      <c r="A6670" s="33" t="n">
        <v>46132</v>
      </c>
      <c r="B6670" t="inlineStr">
        <is>
          <t>2026-04</t>
        </is>
      </c>
      <c r="C6670" t="inlineStr">
        <is>
          <t>Isabel Henriquez</t>
        </is>
      </c>
      <c r="D6670" t="inlineStr">
        <is>
          <t>CANELÉ TRADICIONAL</t>
        </is>
      </c>
      <c r="E6670" s="34" t="n">
        <v>20950</v>
      </c>
      <c r="F6670" t="inlineStr">
        <is>
          <t>B</t>
        </is>
      </c>
      <c r="G6670" s="34" t="n">
        <v>3345</v>
      </c>
      <c r="H6670" s="34" t="n">
        <v>17605</v>
      </c>
      <c r="I6670" t="inlineStr">
        <is>
          <t>3.2</t>
        </is>
      </c>
      <c r="J6670" t="inlineStr">
        <is>
          <t>Ventas Personas (B2C)</t>
        </is>
      </c>
      <c r="K6670" t="inlineStr">
        <is>
          <t>CH2</t>
        </is>
      </c>
    </row>
    <row r="6671">
      <c r="A6671" s="33" t="n">
        <v>46132</v>
      </c>
      <c r="B6671" t="inlineStr">
        <is>
          <t>2026-04</t>
        </is>
      </c>
      <c r="C6671" t="inlineStr">
        <is>
          <t>Sin cliente</t>
        </is>
      </c>
      <c r="D6671" t="inlineStr">
        <is>
          <t>Canelé Petit Relleno</t>
        </is>
      </c>
      <c r="E6671" s="34" t="n">
        <v>18900</v>
      </c>
      <c r="F6671" t="inlineStr">
        <is>
          <t>B</t>
        </is>
      </c>
      <c r="G6671" s="34" t="n">
        <v>3018</v>
      </c>
      <c r="H6671" s="34" t="n">
        <v>15882</v>
      </c>
      <c r="I6671" t="inlineStr">
        <is>
          <t>3.2</t>
        </is>
      </c>
      <c r="J6671" t="inlineStr">
        <is>
          <t>Ventas Personas (B2C)</t>
        </is>
      </c>
      <c r="K6671" t="inlineStr">
        <is>
          <t>CH2</t>
        </is>
      </c>
    </row>
    <row r="6672">
      <c r="A6672" s="33" t="n">
        <v>46132</v>
      </c>
      <c r="B6672" t="inlineStr">
        <is>
          <t>2026-04</t>
        </is>
      </c>
      <c r="C6672" t="inlineStr">
        <is>
          <t>Sin cliente</t>
        </is>
      </c>
      <c r="D6672" t="inlineStr">
        <is>
          <t>Cafeteria Geronimo</t>
        </is>
      </c>
      <c r="E6672" s="34" t="n">
        <v>17300</v>
      </c>
      <c r="F6672" t="inlineStr">
        <is>
          <t>B</t>
        </is>
      </c>
      <c r="G6672" s="34" t="n">
        <v>2762</v>
      </c>
      <c r="H6672" s="34" t="n">
        <v>14538</v>
      </c>
      <c r="I6672" t="inlineStr">
        <is>
          <t>3.2</t>
        </is>
      </c>
      <c r="J6672" t="inlineStr">
        <is>
          <t>Ventas Personas (B2C)</t>
        </is>
      </c>
      <c r="K6672" t="inlineStr">
        <is>
          <t>CH2</t>
        </is>
      </c>
    </row>
    <row r="6673">
      <c r="A6673" s="33" t="n">
        <v>46132</v>
      </c>
      <c r="B6673" t="inlineStr">
        <is>
          <t>2026-04</t>
        </is>
      </c>
      <c r="C6673" t="inlineStr">
        <is>
          <t>TAVELLI S.A.</t>
        </is>
      </c>
      <c r="D6673" t="inlineStr">
        <is>
          <t>HORECA CAFETERIA</t>
        </is>
      </c>
      <c r="E6673" s="34" t="n">
        <v>-27281</v>
      </c>
      <c r="F6673" t="inlineStr">
        <is>
          <t>NC</t>
        </is>
      </c>
      <c r="G6673" s="34" t="n">
        <v>-4356</v>
      </c>
      <c r="H6673" s="34" t="n">
        <v>-22925</v>
      </c>
      <c r="I6673" t="inlineStr">
        <is>
          <t>3.1</t>
        </is>
      </c>
      <c r="J6673" t="inlineStr">
        <is>
          <t>Ventas HoReCa</t>
        </is>
      </c>
      <c r="K6673" t="inlineStr">
        <is>
          <t>CH1</t>
        </is>
      </c>
    </row>
    <row r="6674">
      <c r="A6674" s="33" t="n">
        <v>46132</v>
      </c>
      <c r="B6674" t="inlineStr">
        <is>
          <t>2026-04</t>
        </is>
      </c>
      <c r="C6674" t="inlineStr">
        <is>
          <t>Sin cliente</t>
        </is>
      </c>
      <c r="D6674" t="inlineStr">
        <is>
          <t>Cafeteria Geronimo</t>
        </is>
      </c>
      <c r="E6674" s="34" t="n">
        <v>11200</v>
      </c>
      <c r="F6674" t="inlineStr">
        <is>
          <t>B</t>
        </is>
      </c>
      <c r="G6674" s="34" t="n">
        <v>1788</v>
      </c>
      <c r="H6674" s="34" t="n">
        <v>9412</v>
      </c>
      <c r="I6674" t="inlineStr">
        <is>
          <t>3.2</t>
        </is>
      </c>
      <c r="J6674" t="inlineStr">
        <is>
          <t>Ventas Personas (B2C)</t>
        </is>
      </c>
      <c r="K6674" t="inlineStr">
        <is>
          <t>CH2</t>
        </is>
      </c>
    </row>
    <row r="6675">
      <c r="A6675" s="33" t="n">
        <v>46132</v>
      </c>
      <c r="B6675" t="inlineStr">
        <is>
          <t>2026-04</t>
        </is>
      </c>
      <c r="C6675" t="inlineStr">
        <is>
          <t>MARIA IGNACIA GREZ</t>
        </is>
      </c>
      <c r="D6675" t="inlineStr">
        <is>
          <t>Cafeteria Geronimo</t>
        </is>
      </c>
      <c r="E6675" s="34" t="n">
        <v>-11200</v>
      </c>
      <c r="F6675" t="inlineStr">
        <is>
          <t>NC</t>
        </is>
      </c>
      <c r="G6675" s="34" t="n">
        <v>-1788</v>
      </c>
      <c r="H6675" s="34" t="n">
        <v>-9412</v>
      </c>
      <c r="I6675" t="inlineStr">
        <is>
          <t>3.2</t>
        </is>
      </c>
      <c r="J6675" t="inlineStr">
        <is>
          <t>Ventas Personas (B2C)</t>
        </is>
      </c>
      <c r="K6675" t="inlineStr">
        <is>
          <t>CH2</t>
        </is>
      </c>
    </row>
    <row r="6676">
      <c r="A6676" s="33" t="n">
        <v>46132</v>
      </c>
      <c r="B6676" t="inlineStr">
        <is>
          <t>2026-04</t>
        </is>
      </c>
      <c r="C6676" t="inlineStr">
        <is>
          <t>Sin cliente</t>
        </is>
      </c>
      <c r="D6676" t="inlineStr">
        <is>
          <t>PLATAFORMAS RAP-PEYA-UBER-GOOD</t>
        </is>
      </c>
      <c r="E6676" s="34" t="n">
        <v>6075</v>
      </c>
      <c r="F6676" t="inlineStr">
        <is>
          <t>B</t>
        </is>
      </c>
      <c r="G6676" s="34" t="n">
        <v>970</v>
      </c>
      <c r="H6676" s="34" t="n">
        <v>5105</v>
      </c>
      <c r="I6676" t="inlineStr">
        <is>
          <t>3.6</t>
        </is>
      </c>
      <c r="J6676" t="inlineStr">
        <is>
          <t>Ventas Delivery Apps</t>
        </is>
      </c>
      <c r="K6676" t="inlineStr">
        <is>
          <t>CH3</t>
        </is>
      </c>
    </row>
    <row r="6677">
      <c r="A6677" s="33" t="n">
        <v>46132</v>
      </c>
      <c r="B6677" t="inlineStr">
        <is>
          <t>2026-04</t>
        </is>
      </c>
      <c r="C6677" t="inlineStr">
        <is>
          <t>Karen Mansilla zamora spa</t>
        </is>
      </c>
      <c r="D6677" t="inlineStr">
        <is>
          <t>Petit Crunchy</t>
        </is>
      </c>
      <c r="E6677" s="34" t="n">
        <v>35900</v>
      </c>
      <c r="F6677" t="inlineStr">
        <is>
          <t>B</t>
        </is>
      </c>
      <c r="G6677" s="34" t="n">
        <v>5732</v>
      </c>
      <c r="H6677" s="34" t="n">
        <v>30168</v>
      </c>
      <c r="I6677" t="inlineStr">
        <is>
          <t>3.2</t>
        </is>
      </c>
      <c r="J6677" t="inlineStr">
        <is>
          <t>Ventas Personas (B2C)</t>
        </is>
      </c>
      <c r="K6677" t="inlineStr">
        <is>
          <t>CH2</t>
        </is>
      </c>
    </row>
    <row r="6678">
      <c r="A6678" s="33" t="n">
        <v>46133</v>
      </c>
      <c r="B6678" t="inlineStr">
        <is>
          <t>2026-04</t>
        </is>
      </c>
      <c r="C6678" t="inlineStr">
        <is>
          <t>Cocoshouse Spa</t>
        </is>
      </c>
      <c r="D6678" t="inlineStr">
        <is>
          <t>HORECA CAFETERIA</t>
        </is>
      </c>
      <c r="E6678" s="34" t="n">
        <v>77564</v>
      </c>
      <c r="F6678" t="inlineStr">
        <is>
          <t>F</t>
        </is>
      </c>
      <c r="G6678" s="34" t="n">
        <v>12384</v>
      </c>
      <c r="H6678" s="34" t="n">
        <v>65180</v>
      </c>
      <c r="I6678" t="inlineStr">
        <is>
          <t>3.1</t>
        </is>
      </c>
      <c r="J6678" t="inlineStr">
        <is>
          <t>Ventas HoReCa</t>
        </is>
      </c>
      <c r="K6678" t="inlineStr">
        <is>
          <t>CH1</t>
        </is>
      </c>
    </row>
    <row r="6679">
      <c r="A6679" s="33" t="n">
        <v>46133</v>
      </c>
      <c r="B6679" t="inlineStr">
        <is>
          <t>2026-04</t>
        </is>
      </c>
      <c r="C6679" t="inlineStr">
        <is>
          <t>CAFE DIARIO ENCOMENDEROS SPA</t>
        </is>
      </c>
      <c r="D6679" t="inlineStr">
        <is>
          <t>HORECA CAFETERIA</t>
        </is>
      </c>
      <c r="E6679" s="34" t="n">
        <v>177191</v>
      </c>
      <c r="F6679" t="inlineStr">
        <is>
          <t>F</t>
        </is>
      </c>
      <c r="G6679" s="34" t="n">
        <v>28291</v>
      </c>
      <c r="H6679" s="34" t="n">
        <v>148900</v>
      </c>
      <c r="I6679" t="inlineStr">
        <is>
          <t>3.1</t>
        </is>
      </c>
      <c r="J6679" t="inlineStr">
        <is>
          <t>Ventas HoReCa</t>
        </is>
      </c>
      <c r="K6679" t="inlineStr">
        <is>
          <t>CH1</t>
        </is>
      </c>
    </row>
    <row r="6680">
      <c r="A6680" s="33" t="n">
        <v>46133</v>
      </c>
      <c r="B6680" t="inlineStr">
        <is>
          <t>2026-04</t>
        </is>
      </c>
      <c r="C6680" t="inlineStr">
        <is>
          <t>Florencia Espinoza Orellana</t>
        </is>
      </c>
      <c r="D6680" t="inlineStr">
        <is>
          <t>Canelé Petit Relleno</t>
        </is>
      </c>
      <c r="E6680" s="34" t="n">
        <v>18390</v>
      </c>
      <c r="F6680" t="inlineStr">
        <is>
          <t>B</t>
        </is>
      </c>
      <c r="G6680" s="34" t="n">
        <v>2936</v>
      </c>
      <c r="H6680" s="34" t="n">
        <v>15454</v>
      </c>
      <c r="I6680" t="inlineStr">
        <is>
          <t>3.2</t>
        </is>
      </c>
      <c r="J6680" t="inlineStr">
        <is>
          <t>Ventas Personas (B2C)</t>
        </is>
      </c>
      <c r="K6680" t="inlineStr">
        <is>
          <t>CH2</t>
        </is>
      </c>
    </row>
    <row r="6681">
      <c r="A6681" s="33" t="n">
        <v>46133</v>
      </c>
      <c r="B6681" t="inlineStr">
        <is>
          <t>2026-04</t>
        </is>
      </c>
      <c r="C6681" t="inlineStr">
        <is>
          <t>Gendrix Blackwood</t>
        </is>
      </c>
      <c r="D6681" t="inlineStr">
        <is>
          <t>CANELÉ TRADICIONAL</t>
        </is>
      </c>
      <c r="E6681" s="34" t="n">
        <v>18800</v>
      </c>
      <c r="F6681" t="inlineStr">
        <is>
          <t>B</t>
        </is>
      </c>
      <c r="G6681" s="34" t="n">
        <v>3002</v>
      </c>
      <c r="H6681" s="34" t="n">
        <v>15798</v>
      </c>
      <c r="I6681" t="inlineStr">
        <is>
          <t>3.2</t>
        </is>
      </c>
      <c r="J6681" t="inlineStr">
        <is>
          <t>Ventas Personas (B2C)</t>
        </is>
      </c>
      <c r="K6681" t="inlineStr">
        <is>
          <t>CH2</t>
        </is>
      </c>
    </row>
    <row r="6682">
      <c r="A6682" s="33" t="n">
        <v>46133</v>
      </c>
      <c r="B6682" t="inlineStr">
        <is>
          <t>2026-04</t>
        </is>
      </c>
      <c r="C6682" t="inlineStr">
        <is>
          <t>UN TOQUE SPA</t>
        </is>
      </c>
      <c r="D6682" t="inlineStr">
        <is>
          <t>Petit Crunchy</t>
        </is>
      </c>
      <c r="E6682" s="34" t="n">
        <v>35900</v>
      </c>
      <c r="F6682" t="inlineStr">
        <is>
          <t>F</t>
        </is>
      </c>
      <c r="G6682" s="34" t="n">
        <v>5732</v>
      </c>
      <c r="H6682" s="34" t="n">
        <v>30168</v>
      </c>
      <c r="I6682" t="inlineStr">
        <is>
          <t>3.1</t>
        </is>
      </c>
      <c r="J6682" t="inlineStr">
        <is>
          <t>Ventas HoReCa</t>
        </is>
      </c>
      <c r="K6682" t="inlineStr">
        <is>
          <t>CH1</t>
        </is>
      </c>
    </row>
    <row r="6683">
      <c r="A6683" s="33" t="n">
        <v>46133</v>
      </c>
      <c r="B6683" t="inlineStr">
        <is>
          <t>2026-04</t>
        </is>
      </c>
      <c r="C6683" t="inlineStr">
        <is>
          <t>Sin cliente</t>
        </is>
      </c>
      <c r="D6683" t="inlineStr">
        <is>
          <t>Petit Tradicional</t>
        </is>
      </c>
      <c r="E6683" s="34" t="n">
        <v>20600</v>
      </c>
      <c r="F6683" t="inlineStr">
        <is>
          <t>B</t>
        </is>
      </c>
      <c r="G6683" s="34" t="n">
        <v>3289</v>
      </c>
      <c r="H6683" s="34" t="n">
        <v>17311</v>
      </c>
      <c r="I6683" t="inlineStr">
        <is>
          <t>3.2</t>
        </is>
      </c>
      <c r="J6683" t="inlineStr">
        <is>
          <t>Ventas Personas (B2C)</t>
        </is>
      </c>
      <c r="K6683" t="inlineStr">
        <is>
          <t>CH2</t>
        </is>
      </c>
    </row>
    <row r="6684">
      <c r="A6684" s="33" t="n">
        <v>46133</v>
      </c>
      <c r="B6684" t="inlineStr">
        <is>
          <t>2026-04</t>
        </is>
      </c>
      <c r="C6684" t="inlineStr">
        <is>
          <t>Sin cliente</t>
        </is>
      </c>
      <c r="D6684" t="inlineStr">
        <is>
          <t>PLATAFORMAS RAP-PEYA-UBER-GOOD</t>
        </is>
      </c>
      <c r="E6684" s="34" t="n">
        <v>33120</v>
      </c>
      <c r="F6684" t="inlineStr">
        <is>
          <t>B</t>
        </is>
      </c>
      <c r="G6684" s="34" t="n">
        <v>5288</v>
      </c>
      <c r="H6684" s="34" t="n">
        <v>27832</v>
      </c>
      <c r="I6684" t="inlineStr">
        <is>
          <t>3.6</t>
        </is>
      </c>
      <c r="J6684" t="inlineStr">
        <is>
          <t>Ventas Delivery Apps</t>
        </is>
      </c>
      <c r="K6684" t="inlineStr">
        <is>
          <t>CH3</t>
        </is>
      </c>
    </row>
    <row r="6685">
      <c r="A6685" s="33" t="n">
        <v>46133</v>
      </c>
      <c r="B6685" t="inlineStr">
        <is>
          <t>2026-04</t>
        </is>
      </c>
      <c r="C6685" t="inlineStr">
        <is>
          <t>Andrelhys Ruiz</t>
        </is>
      </c>
      <c r="D6685" t="inlineStr">
        <is>
          <t>Canelé Petit Relleno</t>
        </is>
      </c>
      <c r="E6685" s="34" t="n">
        <v>21500</v>
      </c>
      <c r="F6685" t="inlineStr">
        <is>
          <t>B</t>
        </is>
      </c>
      <c r="G6685" s="34" t="n">
        <v>3433</v>
      </c>
      <c r="H6685" s="34" t="n">
        <v>18067</v>
      </c>
      <c r="I6685" t="inlineStr">
        <is>
          <t>3.2</t>
        </is>
      </c>
      <c r="J6685" t="inlineStr">
        <is>
          <t>Ventas Personas (B2C)</t>
        </is>
      </c>
      <c r="K6685" t="inlineStr">
        <is>
          <t>CH2</t>
        </is>
      </c>
    </row>
    <row r="6686">
      <c r="A6686" s="33" t="n">
        <v>46133</v>
      </c>
      <c r="B6686" t="inlineStr">
        <is>
          <t>2026-04</t>
        </is>
      </c>
      <c r="C6686" t="inlineStr">
        <is>
          <t>Sin cliente</t>
        </is>
      </c>
      <c r="D6686" t="inlineStr">
        <is>
          <t>Cafeteria Geronimo</t>
        </is>
      </c>
      <c r="E6686" s="34" t="n">
        <v>3200</v>
      </c>
      <c r="F6686" t="inlineStr">
        <is>
          <t>B</t>
        </is>
      </c>
      <c r="G6686" s="34" t="n">
        <v>511</v>
      </c>
      <c r="H6686" s="34" t="n">
        <v>2689</v>
      </c>
      <c r="I6686" t="inlineStr">
        <is>
          <t>3.2</t>
        </is>
      </c>
      <c r="J6686" t="inlineStr">
        <is>
          <t>Ventas Personas (B2C)</t>
        </is>
      </c>
      <c r="K6686" t="inlineStr">
        <is>
          <t>CH2</t>
        </is>
      </c>
    </row>
    <row r="6687">
      <c r="A6687" s="33" t="n">
        <v>46133</v>
      </c>
      <c r="B6687" t="inlineStr">
        <is>
          <t>2026-04</t>
        </is>
      </c>
      <c r="C6687" t="inlineStr">
        <is>
          <t>Bruno Frigoli</t>
        </is>
      </c>
      <c r="D6687" t="inlineStr">
        <is>
          <t>Petit Tradicional</t>
        </is>
      </c>
      <c r="E6687" s="34" t="n">
        <v>38790</v>
      </c>
      <c r="F6687" t="inlineStr">
        <is>
          <t>B</t>
        </is>
      </c>
      <c r="G6687" s="34" t="n">
        <v>6193</v>
      </c>
      <c r="H6687" s="34" t="n">
        <v>32597</v>
      </c>
      <c r="I6687" t="inlineStr">
        <is>
          <t>3.2</t>
        </is>
      </c>
      <c r="J6687" t="inlineStr">
        <is>
          <t>Ventas Personas (B2C)</t>
        </is>
      </c>
      <c r="K6687" t="inlineStr">
        <is>
          <t>CH2</t>
        </is>
      </c>
    </row>
    <row r="6688">
      <c r="A6688" s="33" t="n">
        <v>46133</v>
      </c>
      <c r="B6688" t="inlineStr">
        <is>
          <t>2026-04</t>
        </is>
      </c>
      <c r="C6688" t="inlineStr">
        <is>
          <t>Sin cliente</t>
        </is>
      </c>
      <c r="D6688" t="inlineStr">
        <is>
          <t>Cafeteria Geronimo</t>
        </is>
      </c>
      <c r="E6688" s="34" t="n">
        <v>12700</v>
      </c>
      <c r="F6688" t="inlineStr">
        <is>
          <t>B</t>
        </is>
      </c>
      <c r="G6688" s="34" t="n">
        <v>2028</v>
      </c>
      <c r="H6688" s="34" t="n">
        <v>10672</v>
      </c>
      <c r="I6688" t="inlineStr">
        <is>
          <t>3.2</t>
        </is>
      </c>
      <c r="J6688" t="inlineStr">
        <is>
          <t>Ventas Personas (B2C)</t>
        </is>
      </c>
      <c r="K6688" t="inlineStr">
        <is>
          <t>CH2</t>
        </is>
      </c>
    </row>
    <row r="6689">
      <c r="A6689" s="33" t="n">
        <v>46133</v>
      </c>
      <c r="B6689" t="inlineStr">
        <is>
          <t>2026-04</t>
        </is>
      </c>
      <c r="C6689" t="inlineStr">
        <is>
          <t>Sin cliente</t>
        </is>
      </c>
      <c r="D6689" t="inlineStr">
        <is>
          <t>Rellenos</t>
        </is>
      </c>
      <c r="E6689" s="34" t="n">
        <v>53300</v>
      </c>
      <c r="F6689" t="inlineStr">
        <is>
          <t>B</t>
        </is>
      </c>
      <c r="G6689" s="34" t="n">
        <v>8510</v>
      </c>
      <c r="H6689" s="34" t="n">
        <v>44790</v>
      </c>
      <c r="I6689" t="inlineStr">
        <is>
          <t>3.2</t>
        </is>
      </c>
      <c r="J6689" t="inlineStr">
        <is>
          <t>Ventas Personas (B2C)</t>
        </is>
      </c>
      <c r="K6689" t="inlineStr">
        <is>
          <t>CH2</t>
        </is>
      </c>
    </row>
    <row r="6690">
      <c r="A6690" s="33" t="n">
        <v>46133</v>
      </c>
      <c r="B6690" t="inlineStr">
        <is>
          <t>2026-04</t>
        </is>
      </c>
      <c r="C6690" t="inlineStr">
        <is>
          <t>Diana Arencibia</t>
        </is>
      </c>
      <c r="D6690" t="inlineStr">
        <is>
          <t>CANELÉ TRADICIONAL</t>
        </is>
      </c>
      <c r="E6690" s="34" t="n">
        <v>76590</v>
      </c>
      <c r="F6690" t="inlineStr">
        <is>
          <t>B</t>
        </is>
      </c>
      <c r="G6690" s="34" t="n">
        <v>12229</v>
      </c>
      <c r="H6690" s="34" t="n">
        <v>64361</v>
      </c>
      <c r="I6690" t="inlineStr">
        <is>
          <t>3.2</t>
        </is>
      </c>
      <c r="J6690" t="inlineStr">
        <is>
          <t>Ventas Personas (B2C)</t>
        </is>
      </c>
      <c r="K6690" t="inlineStr">
        <is>
          <t>CH2</t>
        </is>
      </c>
    </row>
    <row r="6691">
      <c r="A6691" s="33" t="n">
        <v>46133</v>
      </c>
      <c r="B6691" t="inlineStr">
        <is>
          <t>2026-04</t>
        </is>
      </c>
      <c r="C6691" t="inlineStr">
        <is>
          <t>Sin cliente</t>
        </is>
      </c>
      <c r="D6691" t="inlineStr">
        <is>
          <t>Cafeteria Geronimo</t>
        </is>
      </c>
      <c r="E6691" s="34" t="n">
        <v>22400</v>
      </c>
      <c r="F6691" t="inlineStr">
        <is>
          <t>B</t>
        </is>
      </c>
      <c r="G6691" s="34" t="n">
        <v>3576</v>
      </c>
      <c r="H6691" s="34" t="n">
        <v>18824</v>
      </c>
      <c r="I6691" t="inlineStr">
        <is>
          <t>3.2</t>
        </is>
      </c>
      <c r="J6691" t="inlineStr">
        <is>
          <t>Ventas Personas (B2C)</t>
        </is>
      </c>
      <c r="K6691" t="inlineStr">
        <is>
          <t>CH2</t>
        </is>
      </c>
    </row>
    <row r="6692">
      <c r="A6692" s="33" t="n">
        <v>46133</v>
      </c>
      <c r="B6692" t="inlineStr">
        <is>
          <t>2026-04</t>
        </is>
      </c>
      <c r="C6692" t="inlineStr">
        <is>
          <t>Sin cliente</t>
        </is>
      </c>
      <c r="D6692" t="inlineStr">
        <is>
          <t>PLATAFORMAS RAP-PEYA-UBER-GOOD</t>
        </is>
      </c>
      <c r="E6692" s="34" t="n">
        <v>42720</v>
      </c>
      <c r="F6692" t="inlineStr">
        <is>
          <t>B</t>
        </is>
      </c>
      <c r="G6692" s="34" t="n">
        <v>6821</v>
      </c>
      <c r="H6692" s="34" t="n">
        <v>35899</v>
      </c>
      <c r="I6692" t="inlineStr">
        <is>
          <t>3.6</t>
        </is>
      </c>
      <c r="J6692" t="inlineStr">
        <is>
          <t>Ventas Delivery Apps</t>
        </is>
      </c>
      <c r="K6692" t="inlineStr">
        <is>
          <t>CH3</t>
        </is>
      </c>
    </row>
    <row r="6693">
      <c r="A6693" s="33" t="n">
        <v>46133</v>
      </c>
      <c r="B6693" t="inlineStr">
        <is>
          <t>2026-04</t>
        </is>
      </c>
      <c r="C6693" t="inlineStr">
        <is>
          <t>SILVIA BISTOLFI PETRETTO</t>
        </is>
      </c>
      <c r="D6693" t="inlineStr">
        <is>
          <t>Petit Crunchy</t>
        </is>
      </c>
      <c r="E6693" s="34" t="n">
        <v>32390</v>
      </c>
      <c r="F6693" t="inlineStr">
        <is>
          <t>B</t>
        </is>
      </c>
      <c r="G6693" s="34" t="n">
        <v>5172</v>
      </c>
      <c r="H6693" s="34" t="n">
        <v>27218</v>
      </c>
      <c r="I6693" t="inlineStr">
        <is>
          <t>3.2</t>
        </is>
      </c>
      <c r="J6693" t="inlineStr">
        <is>
          <t>Ventas Personas (B2C)</t>
        </is>
      </c>
      <c r="K6693" t="inlineStr">
        <is>
          <t>CH2</t>
        </is>
      </c>
    </row>
    <row r="6694">
      <c r="A6694" s="33" t="n">
        <v>46133</v>
      </c>
      <c r="B6694" t="inlineStr">
        <is>
          <t>2026-04</t>
        </is>
      </c>
      <c r="C6694" t="inlineStr">
        <is>
          <t>Sin cliente</t>
        </is>
      </c>
      <c r="D6694" t="inlineStr">
        <is>
          <t>Cafeteria Geronimo</t>
        </is>
      </c>
      <c r="E6694" s="34" t="n">
        <v>40900</v>
      </c>
      <c r="F6694" t="inlineStr">
        <is>
          <t>B</t>
        </is>
      </c>
      <c r="G6694" s="34" t="n">
        <v>6530</v>
      </c>
      <c r="H6694" s="34" t="n">
        <v>34370</v>
      </c>
      <c r="I6694" t="inlineStr">
        <is>
          <t>3.2</t>
        </is>
      </c>
      <c r="J6694" t="inlineStr">
        <is>
          <t>Ventas Personas (B2C)</t>
        </is>
      </c>
      <c r="K6694" t="inlineStr">
        <is>
          <t>CH2</t>
        </is>
      </c>
    </row>
    <row r="6695">
      <c r="A6695" s="33" t="n">
        <v>46133</v>
      </c>
      <c r="B6695" t="inlineStr">
        <is>
          <t>2026-04</t>
        </is>
      </c>
      <c r="C6695" t="inlineStr">
        <is>
          <t>Consuelo Campana</t>
        </is>
      </c>
      <c r="D6695" t="inlineStr">
        <is>
          <t>CANELÉ TRADICIONAL</t>
        </is>
      </c>
      <c r="E6695" s="34" t="n">
        <v>33110</v>
      </c>
      <c r="F6695" t="inlineStr">
        <is>
          <t>B</t>
        </is>
      </c>
      <c r="G6695" s="34" t="n">
        <v>5286</v>
      </c>
      <c r="H6695" s="34" t="n">
        <v>27824</v>
      </c>
      <c r="I6695" t="inlineStr">
        <is>
          <t>3.2</t>
        </is>
      </c>
      <c r="J6695" t="inlineStr">
        <is>
          <t>Ventas Personas (B2C)</t>
        </is>
      </c>
      <c r="K6695" t="inlineStr">
        <is>
          <t>CH2</t>
        </is>
      </c>
    </row>
    <row r="6696">
      <c r="A6696" s="33" t="n">
        <v>46133</v>
      </c>
      <c r="B6696" t="inlineStr">
        <is>
          <t>2026-04</t>
        </is>
      </c>
      <c r="C6696" t="inlineStr">
        <is>
          <t>Sin cliente</t>
        </is>
      </c>
      <c r="D6696" t="inlineStr">
        <is>
          <t>PLATAFORMAS RAP-PEYA-UBER-GOOD</t>
        </is>
      </c>
      <c r="E6696" s="34" t="n">
        <v>37560</v>
      </c>
      <c r="F6696" t="inlineStr">
        <is>
          <t>B</t>
        </is>
      </c>
      <c r="G6696" s="34" t="n">
        <v>5997</v>
      </c>
      <c r="H6696" s="34" t="n">
        <v>31563</v>
      </c>
      <c r="I6696" t="inlineStr">
        <is>
          <t>3.6</t>
        </is>
      </c>
      <c r="J6696" t="inlineStr">
        <is>
          <t>Ventas Delivery Apps</t>
        </is>
      </c>
      <c r="K6696" t="inlineStr">
        <is>
          <t>CH3</t>
        </is>
      </c>
    </row>
    <row r="6697">
      <c r="A6697" s="33" t="n">
        <v>46133</v>
      </c>
      <c r="B6697" t="inlineStr">
        <is>
          <t>2026-04</t>
        </is>
      </c>
      <c r="C6697" t="inlineStr">
        <is>
          <t>Sin cliente</t>
        </is>
      </c>
      <c r="D6697" t="inlineStr">
        <is>
          <t>PLATAFORMAS RAP-PEYA-UBER-GOOD</t>
        </is>
      </c>
      <c r="E6697" s="34" t="n">
        <v>14160</v>
      </c>
      <c r="F6697" t="inlineStr">
        <is>
          <t>B</t>
        </is>
      </c>
      <c r="G6697" s="34" t="n">
        <v>2261</v>
      </c>
      <c r="H6697" s="34" t="n">
        <v>11899</v>
      </c>
      <c r="I6697" t="inlineStr">
        <is>
          <t>3.6</t>
        </is>
      </c>
      <c r="J6697" t="inlineStr">
        <is>
          <t>Ventas Delivery Apps</t>
        </is>
      </c>
      <c r="K6697" t="inlineStr">
        <is>
          <t>CH3</t>
        </is>
      </c>
    </row>
    <row r="6698">
      <c r="A6698" s="33" t="n">
        <v>46133</v>
      </c>
      <c r="B6698" t="inlineStr">
        <is>
          <t>2026-04</t>
        </is>
      </c>
      <c r="C6698" t="inlineStr">
        <is>
          <t>Sin cliente</t>
        </is>
      </c>
      <c r="D6698" t="inlineStr">
        <is>
          <t>Cafeteria Geronimo</t>
        </is>
      </c>
      <c r="E6698" s="34" t="n">
        <v>26800</v>
      </c>
      <c r="F6698" t="inlineStr">
        <is>
          <t>B</t>
        </is>
      </c>
      <c r="G6698" s="34" t="n">
        <v>4279</v>
      </c>
      <c r="H6698" s="34" t="n">
        <v>22521</v>
      </c>
      <c r="I6698" t="inlineStr">
        <is>
          <t>3.2</t>
        </is>
      </c>
      <c r="J6698" t="inlineStr">
        <is>
          <t>Ventas Personas (B2C)</t>
        </is>
      </c>
      <c r="K6698" t="inlineStr">
        <is>
          <t>CH2</t>
        </is>
      </c>
    </row>
    <row r="6699">
      <c r="A6699" s="33" t="n">
        <v>46133</v>
      </c>
      <c r="B6699" t="inlineStr">
        <is>
          <t>2026-04</t>
        </is>
      </c>
      <c r="C6699" t="inlineStr">
        <is>
          <t>Sin cliente</t>
        </is>
      </c>
      <c r="D6699" t="inlineStr">
        <is>
          <t>PLATAFORMAS RAP-PEYA-UBER-GOOD</t>
        </is>
      </c>
      <c r="E6699" s="34" t="n">
        <v>31080</v>
      </c>
      <c r="F6699" t="inlineStr">
        <is>
          <t>B</t>
        </is>
      </c>
      <c r="G6699" s="34" t="n">
        <v>4962</v>
      </c>
      <c r="H6699" s="34" t="n">
        <v>26118</v>
      </c>
      <c r="I6699" t="inlineStr">
        <is>
          <t>3.6</t>
        </is>
      </c>
      <c r="J6699" t="inlineStr">
        <is>
          <t>Ventas Delivery Apps</t>
        </is>
      </c>
      <c r="K6699" t="inlineStr">
        <is>
          <t>CH3</t>
        </is>
      </c>
    </row>
    <row r="6700">
      <c r="A6700" s="33" t="n">
        <v>46133</v>
      </c>
      <c r="B6700" t="inlineStr">
        <is>
          <t>2026-04</t>
        </is>
      </c>
      <c r="C6700" t="inlineStr">
        <is>
          <t>Nicolas Ulloa</t>
        </is>
      </c>
      <c r="D6700" t="inlineStr">
        <is>
          <t>Canelé Petit Relleno</t>
        </is>
      </c>
      <c r="E6700" s="34" t="n">
        <v>34390</v>
      </c>
      <c r="F6700" t="inlineStr">
        <is>
          <t>B</t>
        </is>
      </c>
      <c r="G6700" s="34" t="n">
        <v>5491</v>
      </c>
      <c r="H6700" s="34" t="n">
        <v>28899</v>
      </c>
      <c r="I6700" t="inlineStr">
        <is>
          <t>3.2</t>
        </is>
      </c>
      <c r="J6700" t="inlineStr">
        <is>
          <t>Ventas Personas (B2C)</t>
        </is>
      </c>
      <c r="K6700" t="inlineStr">
        <is>
          <t>CH2</t>
        </is>
      </c>
    </row>
    <row r="6701">
      <c r="A6701" s="33" t="n">
        <v>46134</v>
      </c>
      <c r="B6701" t="inlineStr">
        <is>
          <t>2026-04</t>
        </is>
      </c>
      <c r="C6701" t="inlineStr">
        <is>
          <t>BACOLIO SPA</t>
        </is>
      </c>
      <c r="D6701" t="inlineStr">
        <is>
          <t>HORECA CAFETERIA</t>
        </is>
      </c>
      <c r="E6701" s="34" t="n">
        <v>77564</v>
      </c>
      <c r="F6701" t="inlineStr">
        <is>
          <t>F</t>
        </is>
      </c>
      <c r="G6701" s="34" t="n">
        <v>12384</v>
      </c>
      <c r="H6701" s="34" t="n">
        <v>65180</v>
      </c>
      <c r="I6701" t="inlineStr">
        <is>
          <t>3.1</t>
        </is>
      </c>
      <c r="J6701" t="inlineStr">
        <is>
          <t>Ventas HoReCa</t>
        </is>
      </c>
      <c r="K6701" t="inlineStr">
        <is>
          <t>CH1</t>
        </is>
      </c>
    </row>
    <row r="6702">
      <c r="A6702" s="33" t="n">
        <v>46134</v>
      </c>
      <c r="B6702" t="inlineStr">
        <is>
          <t>2026-04</t>
        </is>
      </c>
      <c r="C6702" t="inlineStr">
        <is>
          <t>CAFETERÍAS MISTER SPA</t>
        </is>
      </c>
      <c r="D6702" t="inlineStr">
        <is>
          <t>HORECA CAFETERIA</t>
        </is>
      </c>
      <c r="E6702" s="34" t="n">
        <v>71210</v>
      </c>
      <c r="F6702" t="inlineStr">
        <is>
          <t>F</t>
        </is>
      </c>
      <c r="G6702" s="34" t="n">
        <v>11370</v>
      </c>
      <c r="H6702" s="34" t="n">
        <v>59840</v>
      </c>
      <c r="I6702" t="inlineStr">
        <is>
          <t>3.1</t>
        </is>
      </c>
      <c r="J6702" t="inlineStr">
        <is>
          <t>Ventas HoReCa</t>
        </is>
      </c>
      <c r="K6702" t="inlineStr">
        <is>
          <t>CH1</t>
        </is>
      </c>
    </row>
    <row r="6703">
      <c r="A6703" s="33" t="n">
        <v>46134</v>
      </c>
      <c r="B6703" t="inlineStr">
        <is>
          <t>2026-04</t>
        </is>
      </c>
      <c r="C6703" t="inlineStr">
        <is>
          <t>CAFÉ UNDER SPA</t>
        </is>
      </c>
      <c r="D6703" t="inlineStr">
        <is>
          <t>HORECA CAFETERIA</t>
        </is>
      </c>
      <c r="E6703" s="34" t="n">
        <v>77564</v>
      </c>
      <c r="F6703" t="inlineStr">
        <is>
          <t>F</t>
        </is>
      </c>
      <c r="G6703" s="34" t="n">
        <v>12384</v>
      </c>
      <c r="H6703" s="34" t="n">
        <v>65180</v>
      </c>
      <c r="I6703" t="inlineStr">
        <is>
          <t>3.1</t>
        </is>
      </c>
      <c r="J6703" t="inlineStr">
        <is>
          <t>Ventas HoReCa</t>
        </is>
      </c>
      <c r="K6703" t="inlineStr">
        <is>
          <t>CH1</t>
        </is>
      </c>
    </row>
    <row r="6704">
      <c r="A6704" s="33" t="n">
        <v>46134</v>
      </c>
      <c r="B6704" t="inlineStr">
        <is>
          <t>2026-04</t>
        </is>
      </c>
      <c r="C6704" t="inlineStr">
        <is>
          <t>Better Food Spa</t>
        </is>
      </c>
      <c r="D6704" t="inlineStr">
        <is>
          <t>HORECA CAFETERIA</t>
        </is>
      </c>
      <c r="E6704" s="34" t="n">
        <v>481415</v>
      </c>
      <c r="F6704" t="inlineStr">
        <is>
          <t>F</t>
        </is>
      </c>
      <c r="G6704" s="34" t="n">
        <v>76865</v>
      </c>
      <c r="H6704" s="34" t="n">
        <v>404550</v>
      </c>
      <c r="I6704" t="inlineStr">
        <is>
          <t>3.1</t>
        </is>
      </c>
      <c r="J6704" t="inlineStr">
        <is>
          <t>Ventas HoReCa</t>
        </is>
      </c>
      <c r="K6704" t="inlineStr">
        <is>
          <t>CH1</t>
        </is>
      </c>
    </row>
    <row r="6705">
      <c r="A6705" s="33" t="n">
        <v>46134</v>
      </c>
      <c r="B6705" t="inlineStr">
        <is>
          <t>2026-04</t>
        </is>
      </c>
      <c r="C6705" t="inlineStr">
        <is>
          <t>Better Food Spa</t>
        </is>
      </c>
      <c r="D6705" t="inlineStr">
        <is>
          <t>REGION METROPOLITANA</t>
        </is>
      </c>
      <c r="E6705" s="34" t="n">
        <v>9401</v>
      </c>
      <c r="F6705" t="inlineStr">
        <is>
          <t>F</t>
        </is>
      </c>
      <c r="G6705" s="34" t="n">
        <v>1501</v>
      </c>
      <c r="H6705" s="34" t="n">
        <v>7900</v>
      </c>
      <c r="I6705" t="inlineStr">
        <is>
          <t>3.1</t>
        </is>
      </c>
      <c r="J6705" t="inlineStr">
        <is>
          <t>Ventas HoReCa</t>
        </is>
      </c>
      <c r="K6705" t="inlineStr">
        <is>
          <t>CH1</t>
        </is>
      </c>
    </row>
    <row r="6706">
      <c r="A6706" s="33" t="n">
        <v>46134</v>
      </c>
      <c r="B6706" t="inlineStr">
        <is>
          <t>2026-04</t>
        </is>
      </c>
      <c r="C6706" t="inlineStr">
        <is>
          <t>Sin cliente</t>
        </is>
      </c>
      <c r="D6706" t="inlineStr">
        <is>
          <t>Rellenos</t>
        </is>
      </c>
      <c r="E6706" s="34" t="n">
        <v>34800</v>
      </c>
      <c r="F6706" t="inlineStr">
        <is>
          <t>B</t>
        </is>
      </c>
      <c r="G6706" s="34" t="n">
        <v>5556</v>
      </c>
      <c r="H6706" s="34" t="n">
        <v>29244</v>
      </c>
      <c r="I6706" t="inlineStr">
        <is>
          <t>3.2</t>
        </is>
      </c>
      <c r="J6706" t="inlineStr">
        <is>
          <t>Ventas Personas (B2C)</t>
        </is>
      </c>
      <c r="K6706" t="inlineStr">
        <is>
          <t>CH2</t>
        </is>
      </c>
    </row>
    <row r="6707">
      <c r="A6707" s="33" t="n">
        <v>46134</v>
      </c>
      <c r="B6707" t="inlineStr">
        <is>
          <t>2026-04</t>
        </is>
      </c>
      <c r="C6707" t="inlineStr">
        <is>
          <t>María teresa Alonso</t>
        </is>
      </c>
      <c r="D6707" t="inlineStr">
        <is>
          <t>Canelé Petit Relleno</t>
        </is>
      </c>
      <c r="E6707" s="34" t="n">
        <v>21500</v>
      </c>
      <c r="F6707" t="inlineStr">
        <is>
          <t>B</t>
        </is>
      </c>
      <c r="G6707" s="34" t="n">
        <v>3433</v>
      </c>
      <c r="H6707" s="34" t="n">
        <v>18067</v>
      </c>
      <c r="I6707" t="inlineStr">
        <is>
          <t>3.2</t>
        </is>
      </c>
      <c r="J6707" t="inlineStr">
        <is>
          <t>Ventas Personas (B2C)</t>
        </is>
      </c>
      <c r="K6707" t="inlineStr">
        <is>
          <t>CH2</t>
        </is>
      </c>
    </row>
    <row r="6708">
      <c r="A6708" s="33" t="n">
        <v>46134</v>
      </c>
      <c r="B6708" t="inlineStr">
        <is>
          <t>2026-04</t>
        </is>
      </c>
      <c r="C6708" t="inlineStr">
        <is>
          <t>Sin cliente</t>
        </is>
      </c>
      <c r="D6708" t="inlineStr">
        <is>
          <t>PLATAFORMAS RAP-PEYA-UBER-GOOD</t>
        </is>
      </c>
      <c r="E6708" s="34" t="n">
        <v>16560</v>
      </c>
      <c r="F6708" t="inlineStr">
        <is>
          <t>B</t>
        </is>
      </c>
      <c r="G6708" s="34" t="n">
        <v>2644</v>
      </c>
      <c r="H6708" s="34" t="n">
        <v>13916</v>
      </c>
      <c r="I6708" t="inlineStr">
        <is>
          <t>3.6</t>
        </is>
      </c>
      <c r="J6708" t="inlineStr">
        <is>
          <t>Ventas Delivery Apps</t>
        </is>
      </c>
      <c r="K6708" t="inlineStr">
        <is>
          <t>CH3</t>
        </is>
      </c>
    </row>
    <row r="6709">
      <c r="A6709" s="33" t="n">
        <v>46134</v>
      </c>
      <c r="B6709" t="inlineStr">
        <is>
          <t>2026-04</t>
        </is>
      </c>
      <c r="C6709" t="inlineStr">
        <is>
          <t>Sin cliente</t>
        </is>
      </c>
      <c r="D6709" t="inlineStr">
        <is>
          <t>Cafeteria Geronimo</t>
        </is>
      </c>
      <c r="E6709" s="34" t="n">
        <v>2500</v>
      </c>
      <c r="F6709" t="inlineStr">
        <is>
          <t>B</t>
        </is>
      </c>
      <c r="G6709" s="34" t="n">
        <v>399</v>
      </c>
      <c r="H6709" s="34" t="n">
        <v>2101</v>
      </c>
      <c r="I6709" t="inlineStr">
        <is>
          <t>3.2</t>
        </is>
      </c>
      <c r="J6709" t="inlineStr">
        <is>
          <t>Ventas Personas (B2C)</t>
        </is>
      </c>
      <c r="K6709" t="inlineStr">
        <is>
          <t>CH2</t>
        </is>
      </c>
    </row>
    <row r="6710">
      <c r="A6710" s="33" t="n">
        <v>46134</v>
      </c>
      <c r="B6710" t="inlineStr">
        <is>
          <t>2026-04</t>
        </is>
      </c>
      <c r="C6710" t="inlineStr">
        <is>
          <t>Sin cliente</t>
        </is>
      </c>
      <c r="D6710" t="inlineStr">
        <is>
          <t>Rellenos</t>
        </is>
      </c>
      <c r="E6710" s="34" t="n">
        <v>25900</v>
      </c>
      <c r="F6710" t="inlineStr">
        <is>
          <t>B</t>
        </is>
      </c>
      <c r="G6710" s="34" t="n">
        <v>4135</v>
      </c>
      <c r="H6710" s="34" t="n">
        <v>21765</v>
      </c>
      <c r="I6710" t="inlineStr">
        <is>
          <t>3.2</t>
        </is>
      </c>
      <c r="J6710" t="inlineStr">
        <is>
          <t>Ventas Personas (B2C)</t>
        </is>
      </c>
      <c r="K6710" t="inlineStr">
        <is>
          <t>CH2</t>
        </is>
      </c>
    </row>
    <row r="6711">
      <c r="A6711" s="33" t="n">
        <v>46134</v>
      </c>
      <c r="B6711" t="inlineStr">
        <is>
          <t>2026-04</t>
        </is>
      </c>
      <c r="C6711" t="inlineStr">
        <is>
          <t>Sin cliente</t>
        </is>
      </c>
      <c r="D6711" t="inlineStr">
        <is>
          <t>Cafeteria Geronimo</t>
        </is>
      </c>
      <c r="E6711" s="34" t="n">
        <v>7700</v>
      </c>
      <c r="F6711" t="inlineStr">
        <is>
          <t>B</t>
        </is>
      </c>
      <c r="G6711" s="34" t="n">
        <v>1229</v>
      </c>
      <c r="H6711" s="34" t="n">
        <v>6471</v>
      </c>
      <c r="I6711" t="inlineStr">
        <is>
          <t>3.2</t>
        </is>
      </c>
      <c r="J6711" t="inlineStr">
        <is>
          <t>Ventas Personas (B2C)</t>
        </is>
      </c>
      <c r="K6711" t="inlineStr">
        <is>
          <t>CH2</t>
        </is>
      </c>
    </row>
    <row r="6712">
      <c r="A6712" s="33" t="n">
        <v>46134</v>
      </c>
      <c r="B6712" t="inlineStr">
        <is>
          <t>2026-04</t>
        </is>
      </c>
      <c r="C6712" t="inlineStr">
        <is>
          <t>Daniela Sprohnle</t>
        </is>
      </c>
      <c r="D6712" t="inlineStr">
        <is>
          <t>Delicatessen</t>
        </is>
      </c>
      <c r="E6712" s="34" t="n">
        <v>46090</v>
      </c>
      <c r="F6712" t="inlineStr">
        <is>
          <t>B</t>
        </is>
      </c>
      <c r="G6712" s="34" t="n">
        <v>7359</v>
      </c>
      <c r="H6712" s="34" t="n">
        <v>38731</v>
      </c>
      <c r="I6712" t="inlineStr">
        <is>
          <t>3.2</t>
        </is>
      </c>
      <c r="J6712" t="inlineStr">
        <is>
          <t>Ventas Personas (B2C)</t>
        </is>
      </c>
      <c r="K6712" t="inlineStr">
        <is>
          <t>CH2</t>
        </is>
      </c>
    </row>
    <row r="6713">
      <c r="A6713" s="33" t="n">
        <v>46134</v>
      </c>
      <c r="B6713" t="inlineStr">
        <is>
          <t>2026-04</t>
        </is>
      </c>
      <c r="C6713" t="inlineStr">
        <is>
          <t>Sin cliente</t>
        </is>
      </c>
      <c r="D6713" t="inlineStr">
        <is>
          <t>Cafeteria Geronimo</t>
        </is>
      </c>
      <c r="E6713" s="34" t="n">
        <v>7500</v>
      </c>
      <c r="F6713" t="inlineStr">
        <is>
          <t>B</t>
        </is>
      </c>
      <c r="G6713" s="34" t="n">
        <v>1197</v>
      </c>
      <c r="H6713" s="34" t="n">
        <v>6303</v>
      </c>
      <c r="I6713" t="inlineStr">
        <is>
          <t>3.2</t>
        </is>
      </c>
      <c r="J6713" t="inlineStr">
        <is>
          <t>Ventas Personas (B2C)</t>
        </is>
      </c>
      <c r="K6713" t="inlineStr">
        <is>
          <t>CH2</t>
        </is>
      </c>
    </row>
    <row r="6714">
      <c r="A6714" s="33" t="n">
        <v>46134</v>
      </c>
      <c r="B6714" t="inlineStr">
        <is>
          <t>2026-04</t>
        </is>
      </c>
      <c r="C6714" t="inlineStr">
        <is>
          <t>Roxana Maldonado</t>
        </is>
      </c>
      <c r="D6714" t="inlineStr">
        <is>
          <t>Rellenos</t>
        </is>
      </c>
      <c r="E6714" s="34" t="n">
        <v>38890</v>
      </c>
      <c r="F6714" t="inlineStr">
        <is>
          <t>B</t>
        </is>
      </c>
      <c r="G6714" s="34" t="n">
        <v>6209</v>
      </c>
      <c r="H6714" s="34" t="n">
        <v>32681</v>
      </c>
      <c r="I6714" t="inlineStr">
        <is>
          <t>3.2</t>
        </is>
      </c>
      <c r="J6714" t="inlineStr">
        <is>
          <t>Ventas Personas (B2C)</t>
        </is>
      </c>
      <c r="K6714" t="inlineStr">
        <is>
          <t>CH2</t>
        </is>
      </c>
    </row>
    <row r="6715">
      <c r="A6715" s="33" t="n">
        <v>46134</v>
      </c>
      <c r="B6715" t="inlineStr">
        <is>
          <t>2026-04</t>
        </is>
      </c>
      <c r="C6715" t="inlineStr">
        <is>
          <t>Sin cliente</t>
        </is>
      </c>
      <c r="D6715" t="inlineStr">
        <is>
          <t>PLATAFORMAS RAP-PEYA-UBER-GOOD</t>
        </is>
      </c>
      <c r="E6715" s="34" t="n">
        <v>7560</v>
      </c>
      <c r="F6715" t="inlineStr">
        <is>
          <t>B</t>
        </is>
      </c>
      <c r="G6715" s="34" t="n">
        <v>1207</v>
      </c>
      <c r="H6715" s="34" t="n">
        <v>6353</v>
      </c>
      <c r="I6715" t="inlineStr">
        <is>
          <t>3.6</t>
        </is>
      </c>
      <c r="J6715" t="inlineStr">
        <is>
          <t>Ventas Delivery Apps</t>
        </is>
      </c>
      <c r="K6715" t="inlineStr">
        <is>
          <t>CH3</t>
        </is>
      </c>
    </row>
    <row r="6716">
      <c r="A6716" s="33" t="n">
        <v>46134</v>
      </c>
      <c r="B6716" t="inlineStr">
        <is>
          <t>2026-04</t>
        </is>
      </c>
      <c r="C6716" t="inlineStr">
        <is>
          <t>Sin cliente</t>
        </is>
      </c>
      <c r="D6716" t="inlineStr">
        <is>
          <t>Cafeteria Geronimo</t>
        </is>
      </c>
      <c r="E6716" s="34" t="n">
        <v>7500</v>
      </c>
      <c r="F6716" t="inlineStr">
        <is>
          <t>B</t>
        </is>
      </c>
      <c r="G6716" s="34" t="n">
        <v>1197</v>
      </c>
      <c r="H6716" s="34" t="n">
        <v>6303</v>
      </c>
      <c r="I6716" t="inlineStr">
        <is>
          <t>3.2</t>
        </is>
      </c>
      <c r="J6716" t="inlineStr">
        <is>
          <t>Ventas Personas (B2C)</t>
        </is>
      </c>
      <c r="K6716" t="inlineStr">
        <is>
          <t>CH2</t>
        </is>
      </c>
    </row>
    <row r="6717">
      <c r="A6717" s="33" t="n">
        <v>46134</v>
      </c>
      <c r="B6717" t="inlineStr">
        <is>
          <t>2026-04</t>
        </is>
      </c>
      <c r="C6717" t="inlineStr">
        <is>
          <t>Sin cliente</t>
        </is>
      </c>
      <c r="D6717" t="inlineStr">
        <is>
          <t>PLATAFORMAS RAP-PEYA-UBER-GOOD</t>
        </is>
      </c>
      <c r="E6717" s="34" t="n">
        <v>4200</v>
      </c>
      <c r="F6717" t="inlineStr">
        <is>
          <t>B</t>
        </is>
      </c>
      <c r="G6717" s="34" t="n">
        <v>671</v>
      </c>
      <c r="H6717" s="34" t="n">
        <v>3529</v>
      </c>
      <c r="I6717" t="inlineStr">
        <is>
          <t>3.6</t>
        </is>
      </c>
      <c r="J6717" t="inlineStr">
        <is>
          <t>Ventas Delivery Apps</t>
        </is>
      </c>
      <c r="K6717" t="inlineStr">
        <is>
          <t>CH3</t>
        </is>
      </c>
    </row>
    <row r="6718">
      <c r="A6718" s="33" t="n">
        <v>46134</v>
      </c>
      <c r="B6718" t="inlineStr">
        <is>
          <t>2026-04</t>
        </is>
      </c>
      <c r="C6718" t="inlineStr">
        <is>
          <t>Sin cliente</t>
        </is>
      </c>
      <c r="D6718" t="inlineStr">
        <is>
          <t>PLATAFORMAS RAP-PEYA-UBER-GOOD</t>
        </is>
      </c>
      <c r="E6718" s="34" t="n">
        <v>26160</v>
      </c>
      <c r="F6718" t="inlineStr">
        <is>
          <t>B</t>
        </is>
      </c>
      <c r="G6718" s="34" t="n">
        <v>4177</v>
      </c>
      <c r="H6718" s="34" t="n">
        <v>21983</v>
      </c>
      <c r="I6718" t="inlineStr">
        <is>
          <t>3.6</t>
        </is>
      </c>
      <c r="J6718" t="inlineStr">
        <is>
          <t>Ventas Delivery Apps</t>
        </is>
      </c>
      <c r="K6718" t="inlineStr">
        <is>
          <t>CH3</t>
        </is>
      </c>
    </row>
    <row r="6719">
      <c r="A6719" s="33" t="n">
        <v>46134</v>
      </c>
      <c r="B6719" t="inlineStr">
        <is>
          <t>2026-04</t>
        </is>
      </c>
      <c r="C6719" t="inlineStr">
        <is>
          <t>Sin cliente</t>
        </is>
      </c>
      <c r="D6719" t="inlineStr">
        <is>
          <t>Rellenos</t>
        </is>
      </c>
      <c r="E6719" s="34" t="n">
        <v>18900</v>
      </c>
      <c r="F6719" t="inlineStr">
        <is>
          <t>B</t>
        </is>
      </c>
      <c r="G6719" s="34" t="n">
        <v>3018</v>
      </c>
      <c r="H6719" s="34" t="n">
        <v>15882</v>
      </c>
      <c r="I6719" t="inlineStr">
        <is>
          <t>3.2</t>
        </is>
      </c>
      <c r="J6719" t="inlineStr">
        <is>
          <t>Ventas Personas (B2C)</t>
        </is>
      </c>
      <c r="K6719" t="inlineStr">
        <is>
          <t>CH2</t>
        </is>
      </c>
    </row>
    <row r="6720">
      <c r="A6720" s="33" t="n">
        <v>46134</v>
      </c>
      <c r="B6720" t="inlineStr">
        <is>
          <t>2026-04</t>
        </is>
      </c>
      <c r="C6720" t="inlineStr">
        <is>
          <t>Sin cliente</t>
        </is>
      </c>
      <c r="D6720" t="inlineStr">
        <is>
          <t>PLATAFORMAS RAP-PEYA-UBER-GOOD</t>
        </is>
      </c>
      <c r="E6720" s="34" t="n">
        <v>27480</v>
      </c>
      <c r="F6720" t="inlineStr">
        <is>
          <t>B</t>
        </is>
      </c>
      <c r="G6720" s="34" t="n">
        <v>4388</v>
      </c>
      <c r="H6720" s="34" t="n">
        <v>23092</v>
      </c>
      <c r="I6720" t="inlineStr">
        <is>
          <t>3.6</t>
        </is>
      </c>
      <c r="J6720" t="inlineStr">
        <is>
          <t>Ventas Delivery Apps</t>
        </is>
      </c>
      <c r="K6720" t="inlineStr">
        <is>
          <t>CH3</t>
        </is>
      </c>
    </row>
    <row r="6721">
      <c r="A6721" s="33" t="n">
        <v>46134</v>
      </c>
      <c r="B6721" t="inlineStr">
        <is>
          <t>2026-04</t>
        </is>
      </c>
      <c r="C6721" t="inlineStr">
        <is>
          <t>Sin cliente</t>
        </is>
      </c>
      <c r="D6721" t="inlineStr">
        <is>
          <t>CANELE SIN AZUCAR</t>
        </is>
      </c>
      <c r="E6721" s="34" t="n">
        <v>35755</v>
      </c>
      <c r="F6721" t="inlineStr">
        <is>
          <t>B</t>
        </is>
      </c>
      <c r="G6721" s="34" t="n">
        <v>5709</v>
      </c>
      <c r="H6721" s="34" t="n">
        <v>30046</v>
      </c>
      <c r="I6721" t="inlineStr">
        <is>
          <t>3.2</t>
        </is>
      </c>
      <c r="J6721" t="inlineStr">
        <is>
          <t>Ventas Personas (B2C)</t>
        </is>
      </c>
      <c r="K6721" t="inlineStr">
        <is>
          <t>CH2</t>
        </is>
      </c>
    </row>
    <row r="6722">
      <c r="A6722" s="33" t="n">
        <v>46134</v>
      </c>
      <c r="B6722" t="inlineStr">
        <is>
          <t>2026-04</t>
        </is>
      </c>
      <c r="C6722" t="inlineStr">
        <is>
          <t>Sin cliente</t>
        </is>
      </c>
      <c r="D6722" t="inlineStr">
        <is>
          <t>Rellenos</t>
        </is>
      </c>
      <c r="E6722" s="34" t="n">
        <v>21900</v>
      </c>
      <c r="F6722" t="inlineStr">
        <is>
          <t>B</t>
        </is>
      </c>
      <c r="G6722" s="34" t="n">
        <v>3497</v>
      </c>
      <c r="H6722" s="34" t="n">
        <v>18403</v>
      </c>
      <c r="I6722" t="inlineStr">
        <is>
          <t>3.2</t>
        </is>
      </c>
      <c r="J6722" t="inlineStr">
        <is>
          <t>Ventas Personas (B2C)</t>
        </is>
      </c>
      <c r="K6722" t="inlineStr">
        <is>
          <t>CH2</t>
        </is>
      </c>
    </row>
    <row r="6723">
      <c r="A6723" s="33" t="n">
        <v>46134</v>
      </c>
      <c r="B6723" t="inlineStr">
        <is>
          <t>2026-04</t>
        </is>
      </c>
      <c r="C6723" t="inlineStr">
        <is>
          <t>Sin cliente</t>
        </is>
      </c>
      <c r="D6723" t="inlineStr">
        <is>
          <t>Cafeteria Geronimo</t>
        </is>
      </c>
      <c r="E6723" s="34" t="n">
        <v>12900</v>
      </c>
      <c r="F6723" t="inlineStr">
        <is>
          <t>B</t>
        </is>
      </c>
      <c r="G6723" s="34" t="n">
        <v>2060</v>
      </c>
      <c r="H6723" s="34" t="n">
        <v>10840</v>
      </c>
      <c r="I6723" t="inlineStr">
        <is>
          <t>3.2</t>
        </is>
      </c>
      <c r="J6723" t="inlineStr">
        <is>
          <t>Ventas Personas (B2C)</t>
        </is>
      </c>
      <c r="K6723" t="inlineStr">
        <is>
          <t>CH2</t>
        </is>
      </c>
    </row>
    <row r="6724">
      <c r="A6724" s="33" t="n">
        <v>46134</v>
      </c>
      <c r="B6724" t="inlineStr">
        <is>
          <t>2026-04</t>
        </is>
      </c>
      <c r="C6724" t="inlineStr">
        <is>
          <t>Sin cliente</t>
        </is>
      </c>
      <c r="D6724" t="inlineStr">
        <is>
          <t>Petit Tradicional</t>
        </is>
      </c>
      <c r="E6724" s="34" t="n">
        <v>27800</v>
      </c>
      <c r="F6724" t="inlineStr">
        <is>
          <t>B</t>
        </is>
      </c>
      <c r="G6724" s="34" t="n">
        <v>4439</v>
      </c>
      <c r="H6724" s="34" t="n">
        <v>23361</v>
      </c>
      <c r="I6724" t="inlineStr">
        <is>
          <t>3.2</t>
        </is>
      </c>
      <c r="J6724" t="inlineStr">
        <is>
          <t>Ventas Personas (B2C)</t>
        </is>
      </c>
      <c r="K6724" t="inlineStr">
        <is>
          <t>CH2</t>
        </is>
      </c>
    </row>
    <row r="6725">
      <c r="A6725" s="33" t="n">
        <v>46134</v>
      </c>
      <c r="B6725" t="inlineStr">
        <is>
          <t>2026-04</t>
        </is>
      </c>
      <c r="C6725" t="inlineStr">
        <is>
          <t>Sin cliente</t>
        </is>
      </c>
      <c r="D6725" t="inlineStr">
        <is>
          <t>Petit Crunchy</t>
        </is>
      </c>
      <c r="E6725" s="34" t="n">
        <v>10900</v>
      </c>
      <c r="F6725" t="inlineStr">
        <is>
          <t>B</t>
        </is>
      </c>
      <c r="G6725" s="34" t="n">
        <v>1740</v>
      </c>
      <c r="H6725" s="34" t="n">
        <v>9160</v>
      </c>
      <c r="I6725" t="inlineStr">
        <is>
          <t>3.2</t>
        </is>
      </c>
      <c r="J6725" t="inlineStr">
        <is>
          <t>Ventas Personas (B2C)</t>
        </is>
      </c>
      <c r="K6725" t="inlineStr">
        <is>
          <t>CH2</t>
        </is>
      </c>
    </row>
    <row r="6726">
      <c r="A6726" s="33" t="n">
        <v>46134</v>
      </c>
      <c r="B6726" t="inlineStr">
        <is>
          <t>2026-04</t>
        </is>
      </c>
      <c r="C6726" t="inlineStr">
        <is>
          <t>Sin cliente</t>
        </is>
      </c>
      <c r="D6726" t="inlineStr">
        <is>
          <t>Cafeteria Geronimo</t>
        </is>
      </c>
      <c r="E6726" s="34" t="n">
        <v>7700</v>
      </c>
      <c r="F6726" t="inlineStr">
        <is>
          <t>B</t>
        </is>
      </c>
      <c r="G6726" s="34" t="n">
        <v>1229</v>
      </c>
      <c r="H6726" s="34" t="n">
        <v>6471</v>
      </c>
      <c r="I6726" t="inlineStr">
        <is>
          <t>3.2</t>
        </is>
      </c>
      <c r="J6726" t="inlineStr">
        <is>
          <t>Ventas Personas (B2C)</t>
        </is>
      </c>
      <c r="K6726" t="inlineStr">
        <is>
          <t>CH2</t>
        </is>
      </c>
    </row>
    <row r="6727">
      <c r="A6727" s="33" t="n">
        <v>46134</v>
      </c>
      <c r="B6727" t="inlineStr">
        <is>
          <t>2026-04</t>
        </is>
      </c>
      <c r="C6727" t="inlineStr">
        <is>
          <t>Sin cliente</t>
        </is>
      </c>
      <c r="D6727" t="inlineStr">
        <is>
          <t>Petit Tradicional</t>
        </is>
      </c>
      <c r="E6727" s="34" t="n">
        <v>13800</v>
      </c>
      <c r="F6727" t="inlineStr">
        <is>
          <t>B</t>
        </is>
      </c>
      <c r="G6727" s="34" t="n">
        <v>2203</v>
      </c>
      <c r="H6727" s="34" t="n">
        <v>11597</v>
      </c>
      <c r="I6727" t="inlineStr">
        <is>
          <t>3.2</t>
        </is>
      </c>
      <c r="J6727" t="inlineStr">
        <is>
          <t>Ventas Personas (B2C)</t>
        </is>
      </c>
      <c r="K6727" t="inlineStr">
        <is>
          <t>CH2</t>
        </is>
      </c>
    </row>
    <row r="6728">
      <c r="A6728" s="33" t="n">
        <v>46134</v>
      </c>
      <c r="B6728" t="inlineStr">
        <is>
          <t>2026-04</t>
        </is>
      </c>
      <c r="C6728" t="inlineStr">
        <is>
          <t>Sin cliente</t>
        </is>
      </c>
      <c r="D6728" t="inlineStr">
        <is>
          <t>PLATAFORMAS RAP-PEYA-UBER-GOOD</t>
        </is>
      </c>
      <c r="E6728" s="34" t="n">
        <v>27468</v>
      </c>
      <c r="F6728" t="inlineStr">
        <is>
          <t>B</t>
        </is>
      </c>
      <c r="G6728" s="34" t="n">
        <v>4386</v>
      </c>
      <c r="H6728" s="34" t="n">
        <v>23082</v>
      </c>
      <c r="I6728" t="inlineStr">
        <is>
          <t>3.6</t>
        </is>
      </c>
      <c r="J6728" t="inlineStr">
        <is>
          <t>Ventas Delivery Apps</t>
        </is>
      </c>
      <c r="K6728" t="inlineStr">
        <is>
          <t>CH3</t>
        </is>
      </c>
    </row>
    <row r="6729">
      <c r="A6729" s="33" t="n">
        <v>46134</v>
      </c>
      <c r="B6729" t="inlineStr">
        <is>
          <t>2026-04</t>
        </is>
      </c>
      <c r="C6729" t="inlineStr">
        <is>
          <t>Maria Jose Grez</t>
        </is>
      </c>
      <c r="D6729" t="inlineStr">
        <is>
          <t>Cafeteria Geronimo</t>
        </is>
      </c>
      <c r="E6729" s="34" t="n">
        <v>-7500</v>
      </c>
      <c r="F6729" t="inlineStr">
        <is>
          <t>NC</t>
        </is>
      </c>
      <c r="G6729" s="34" t="n">
        <v>-1197</v>
      </c>
      <c r="H6729" s="34" t="n">
        <v>-6303</v>
      </c>
      <c r="I6729" t="inlineStr">
        <is>
          <t>3.2</t>
        </is>
      </c>
      <c r="J6729" t="inlineStr">
        <is>
          <t>Ventas Personas (B2C)</t>
        </is>
      </c>
      <c r="K6729" t="inlineStr">
        <is>
          <t>CH2</t>
        </is>
      </c>
    </row>
    <row r="6730">
      <c r="A6730" s="33" t="n">
        <v>46135</v>
      </c>
      <c r="B6730" t="inlineStr">
        <is>
          <t>2026-04</t>
        </is>
      </c>
      <c r="C6730" t="inlineStr">
        <is>
          <t>Andariego Coffee Spa</t>
        </is>
      </c>
      <c r="D6730" t="inlineStr">
        <is>
          <t>HORECA CAFETERIA</t>
        </is>
      </c>
      <c r="E6730" s="34" t="n">
        <v>421715</v>
      </c>
      <c r="F6730" t="inlineStr">
        <is>
          <t>F</t>
        </is>
      </c>
      <c r="G6730" s="34" t="n">
        <v>67333</v>
      </c>
      <c r="H6730" s="34" t="n">
        <v>354382</v>
      </c>
      <c r="I6730" t="inlineStr">
        <is>
          <t>3.1</t>
        </is>
      </c>
      <c r="J6730" t="inlineStr">
        <is>
          <t>Ventas HoReCa</t>
        </is>
      </c>
      <c r="K6730" t="inlineStr">
        <is>
          <t>CH1</t>
        </is>
      </c>
    </row>
    <row r="6731">
      <c r="A6731" s="33" t="n">
        <v>46135</v>
      </c>
      <c r="B6731" t="inlineStr">
        <is>
          <t>2026-04</t>
        </is>
      </c>
      <c r="C6731" t="inlineStr">
        <is>
          <t>D&amp;S SERVICIOS DE ALIMENTACIÓN SpA</t>
        </is>
      </c>
      <c r="D6731" t="inlineStr">
        <is>
          <t>HORECA CAFETERIA</t>
        </is>
      </c>
      <c r="E6731" s="34" t="n">
        <v>79944</v>
      </c>
      <c r="F6731" t="inlineStr">
        <is>
          <t>F</t>
        </is>
      </c>
      <c r="G6731" s="34" t="n">
        <v>12764</v>
      </c>
      <c r="H6731" s="34" t="n">
        <v>67180</v>
      </c>
      <c r="I6731" t="inlineStr">
        <is>
          <t>3.1</t>
        </is>
      </c>
      <c r="J6731" t="inlineStr">
        <is>
          <t>Ventas HoReCa</t>
        </is>
      </c>
      <c r="K6731" t="inlineStr">
        <is>
          <t>CH1</t>
        </is>
      </c>
    </row>
    <row r="6732">
      <c r="A6732" s="33" t="n">
        <v>46135</v>
      </c>
      <c r="B6732" t="inlineStr">
        <is>
          <t>2026-04</t>
        </is>
      </c>
      <c r="C6732" t="inlineStr">
        <is>
          <t>TAVELLI S.A.</t>
        </is>
      </c>
      <c r="D6732" t="inlineStr">
        <is>
          <t>HORECA CAFETERIA</t>
        </is>
      </c>
      <c r="E6732" s="34" t="n">
        <v>818405</v>
      </c>
      <c r="F6732" t="inlineStr">
        <is>
          <t>F</t>
        </is>
      </c>
      <c r="G6732" s="34" t="n">
        <v>130670</v>
      </c>
      <c r="H6732" s="34" t="n">
        <v>687735</v>
      </c>
      <c r="I6732" t="inlineStr">
        <is>
          <t>3.1</t>
        </is>
      </c>
      <c r="J6732" t="inlineStr">
        <is>
          <t>Ventas HoReCa</t>
        </is>
      </c>
      <c r="K6732" t="inlineStr">
        <is>
          <t>CH1</t>
        </is>
      </c>
    </row>
    <row r="6733">
      <c r="A6733" s="33" t="n">
        <v>46135</v>
      </c>
      <c r="B6733" t="inlineStr">
        <is>
          <t>2026-04</t>
        </is>
      </c>
      <c r="C6733" t="inlineStr">
        <is>
          <t>TAVELLI S.A.</t>
        </is>
      </c>
      <c r="D6733" t="inlineStr">
        <is>
          <t>REGION METROPOLITANA</t>
        </is>
      </c>
      <c r="E6733" s="34" t="n">
        <v>35700</v>
      </c>
      <c r="F6733" t="inlineStr">
        <is>
          <t>F</t>
        </is>
      </c>
      <c r="G6733" s="34" t="n">
        <v>5700</v>
      </c>
      <c r="H6733" s="34" t="n">
        <v>30000</v>
      </c>
      <c r="I6733" t="inlineStr">
        <is>
          <t>3.1</t>
        </is>
      </c>
      <c r="J6733" t="inlineStr">
        <is>
          <t>Ventas HoReCa</t>
        </is>
      </c>
      <c r="K6733" t="inlineStr">
        <is>
          <t>CH1</t>
        </is>
      </c>
    </row>
    <row r="6734">
      <c r="A6734" s="33" t="n">
        <v>46135</v>
      </c>
      <c r="B6734" t="inlineStr">
        <is>
          <t>2026-04</t>
        </is>
      </c>
      <c r="C6734" t="inlineStr">
        <is>
          <t>GOOD LIFE SPA</t>
        </is>
      </c>
      <c r="D6734" t="inlineStr">
        <is>
          <t>HORECA CAFETERIA</t>
        </is>
      </c>
      <c r="E6734" s="34" t="n">
        <v>555682</v>
      </c>
      <c r="F6734" t="inlineStr">
        <is>
          <t>F</t>
        </is>
      </c>
      <c r="G6734" s="34" t="n">
        <v>88722</v>
      </c>
      <c r="H6734" s="34" t="n">
        <v>466960</v>
      </c>
      <c r="I6734" t="inlineStr">
        <is>
          <t>3.1</t>
        </is>
      </c>
      <c r="J6734" t="inlineStr">
        <is>
          <t>Ventas HoReCa</t>
        </is>
      </c>
      <c r="K6734" t="inlineStr">
        <is>
          <t>CH1</t>
        </is>
      </c>
    </row>
    <row r="6735">
      <c r="A6735" s="33" t="n">
        <v>46135</v>
      </c>
      <c r="B6735" t="inlineStr">
        <is>
          <t>2026-04</t>
        </is>
      </c>
      <c r="C6735" t="inlineStr">
        <is>
          <t>GOOD LIFE SPA</t>
        </is>
      </c>
      <c r="D6735" t="inlineStr">
        <is>
          <t>HORECA CAFETERIA</t>
        </is>
      </c>
      <c r="E6735" s="34" t="n">
        <v>-555682</v>
      </c>
      <c r="F6735" t="inlineStr">
        <is>
          <t>NC</t>
        </is>
      </c>
      <c r="G6735" s="34" t="n">
        <v>-88722</v>
      </c>
      <c r="H6735" s="34" t="n">
        <v>-466960</v>
      </c>
      <c r="I6735" t="inlineStr">
        <is>
          <t>3.1</t>
        </is>
      </c>
      <c r="J6735" t="inlineStr">
        <is>
          <t>Ventas HoReCa</t>
        </is>
      </c>
      <c r="K6735" t="inlineStr">
        <is>
          <t>CH1</t>
        </is>
      </c>
    </row>
    <row r="6736">
      <c r="A6736" s="33" t="n">
        <v>46135</v>
      </c>
      <c r="B6736" t="inlineStr">
        <is>
          <t>2026-04</t>
        </is>
      </c>
      <c r="C6736" t="inlineStr">
        <is>
          <t>GOOD LIFE SPA</t>
        </is>
      </c>
      <c r="D6736" t="inlineStr">
        <is>
          <t>HORECA CAFETERIA</t>
        </is>
      </c>
      <c r="E6736" s="34" t="n">
        <v>526054</v>
      </c>
      <c r="F6736" t="inlineStr">
        <is>
          <t>F</t>
        </is>
      </c>
      <c r="G6736" s="34" t="n">
        <v>83992</v>
      </c>
      <c r="H6736" s="34" t="n">
        <v>442062</v>
      </c>
      <c r="I6736" t="inlineStr">
        <is>
          <t>3.1</t>
        </is>
      </c>
      <c r="J6736" t="inlineStr">
        <is>
          <t>Ventas HoReCa</t>
        </is>
      </c>
      <c r="K6736" t="inlineStr">
        <is>
          <t>CH1</t>
        </is>
      </c>
    </row>
    <row r="6737">
      <c r="A6737" s="33" t="n">
        <v>46135</v>
      </c>
      <c r="B6737" t="inlineStr">
        <is>
          <t>2026-04</t>
        </is>
      </c>
      <c r="C6737" t="inlineStr">
        <is>
          <t>VILAS BANQUETERIAS SPA</t>
        </is>
      </c>
      <c r="D6737" t="inlineStr">
        <is>
          <t>HORECA CATERING</t>
        </is>
      </c>
      <c r="E6737" s="34" t="n">
        <v>77707</v>
      </c>
      <c r="F6737" t="inlineStr">
        <is>
          <t>F</t>
        </is>
      </c>
      <c r="G6737" s="34" t="n">
        <v>12407</v>
      </c>
      <c r="H6737" s="34" t="n">
        <v>65300</v>
      </c>
      <c r="I6737" t="inlineStr">
        <is>
          <t>3.1</t>
        </is>
      </c>
      <c r="J6737" t="inlineStr">
        <is>
          <t>Ventas HoReCa</t>
        </is>
      </c>
      <c r="K6737" t="inlineStr">
        <is>
          <t>CH1</t>
        </is>
      </c>
    </row>
    <row r="6738">
      <c r="A6738" s="33" t="n">
        <v>46135</v>
      </c>
      <c r="B6738" t="inlineStr">
        <is>
          <t>2026-04</t>
        </is>
      </c>
      <c r="C6738" t="inlineStr">
        <is>
          <t>luisa cedeno</t>
        </is>
      </c>
      <c r="D6738" t="inlineStr">
        <is>
          <t>Rellenos</t>
        </is>
      </c>
      <c r="E6738" s="34" t="n">
        <v>37800</v>
      </c>
      <c r="F6738" t="inlineStr">
        <is>
          <t>B</t>
        </is>
      </c>
      <c r="G6738" s="34" t="n">
        <v>6035</v>
      </c>
      <c r="H6738" s="34" t="n">
        <v>31765</v>
      </c>
      <c r="I6738" t="inlineStr">
        <is>
          <t>3.2</t>
        </is>
      </c>
      <c r="J6738" t="inlineStr">
        <is>
          <t>Ventas Personas (B2C)</t>
        </is>
      </c>
      <c r="K6738" t="inlineStr">
        <is>
          <t>CH2</t>
        </is>
      </c>
    </row>
    <row r="6739">
      <c r="A6739" s="33" t="n">
        <v>46135</v>
      </c>
      <c r="B6739" t="inlineStr">
        <is>
          <t>2026-04</t>
        </is>
      </c>
      <c r="C6739" t="inlineStr">
        <is>
          <t>Isidora Henríquez Gana</t>
        </is>
      </c>
      <c r="D6739" t="inlineStr">
        <is>
          <t>Petit Tradicional</t>
        </is>
      </c>
      <c r="E6739" s="34" t="n">
        <v>21800</v>
      </c>
      <c r="F6739" t="inlineStr">
        <is>
          <t>B</t>
        </is>
      </c>
      <c r="G6739" s="34" t="n">
        <v>3481</v>
      </c>
      <c r="H6739" s="34" t="n">
        <v>18319</v>
      </c>
      <c r="I6739" t="inlineStr">
        <is>
          <t>3.2</t>
        </is>
      </c>
      <c r="J6739" t="inlineStr">
        <is>
          <t>Ventas Personas (B2C)</t>
        </is>
      </c>
      <c r="K6739" t="inlineStr">
        <is>
          <t>CH2</t>
        </is>
      </c>
    </row>
    <row r="6740">
      <c r="A6740" s="33" t="n">
        <v>46135</v>
      </c>
      <c r="B6740" t="inlineStr">
        <is>
          <t>2026-04</t>
        </is>
      </c>
      <c r="C6740" t="inlineStr">
        <is>
          <t>Macarena Álvarez</t>
        </is>
      </c>
      <c r="D6740" t="inlineStr">
        <is>
          <t>Canelé Petit Relleno</t>
        </is>
      </c>
      <c r="E6740" s="34" t="n">
        <v>23390</v>
      </c>
      <c r="F6740" t="inlineStr">
        <is>
          <t>B</t>
        </is>
      </c>
      <c r="G6740" s="34" t="n">
        <v>3735</v>
      </c>
      <c r="H6740" s="34" t="n">
        <v>19655</v>
      </c>
      <c r="I6740" t="inlineStr">
        <is>
          <t>3.2</t>
        </is>
      </c>
      <c r="J6740" t="inlineStr">
        <is>
          <t>Ventas Personas (B2C)</t>
        </is>
      </c>
      <c r="K6740" t="inlineStr">
        <is>
          <t>CH2</t>
        </is>
      </c>
    </row>
    <row r="6741">
      <c r="A6741" s="33" t="n">
        <v>46135</v>
      </c>
      <c r="B6741" t="inlineStr">
        <is>
          <t>2026-04</t>
        </is>
      </c>
      <c r="C6741" t="inlineStr">
        <is>
          <t>Florencia Espinoza Orellana</t>
        </is>
      </c>
      <c r="D6741" t="inlineStr">
        <is>
          <t>CANELÉ TRADICIONAL</t>
        </is>
      </c>
      <c r="E6741" s="34" t="n">
        <v>32390</v>
      </c>
      <c r="F6741" t="inlineStr">
        <is>
          <t>B</t>
        </is>
      </c>
      <c r="G6741" s="34" t="n">
        <v>5172</v>
      </c>
      <c r="H6741" s="34" t="n">
        <v>27218</v>
      </c>
      <c r="I6741" t="inlineStr">
        <is>
          <t>3.2</t>
        </is>
      </c>
      <c r="J6741" t="inlineStr">
        <is>
          <t>Ventas Personas (B2C)</t>
        </is>
      </c>
      <c r="K6741" t="inlineStr">
        <is>
          <t>CH2</t>
        </is>
      </c>
    </row>
    <row r="6742">
      <c r="A6742" s="33" t="n">
        <v>46135</v>
      </c>
      <c r="B6742" t="inlineStr">
        <is>
          <t>2026-04</t>
        </is>
      </c>
      <c r="C6742" t="inlineStr">
        <is>
          <t>Anastasia Dashkevich</t>
        </is>
      </c>
      <c r="D6742" t="inlineStr">
        <is>
          <t>Canelé Petit Relleno</t>
        </is>
      </c>
      <c r="E6742" s="34" t="n">
        <v>22390</v>
      </c>
      <c r="F6742" t="inlineStr">
        <is>
          <t>B</t>
        </is>
      </c>
      <c r="G6742" s="34" t="n">
        <v>3575</v>
      </c>
      <c r="H6742" s="34" t="n">
        <v>18815</v>
      </c>
      <c r="I6742" t="inlineStr">
        <is>
          <t>3.2</t>
        </is>
      </c>
      <c r="J6742" t="inlineStr">
        <is>
          <t>Ventas Personas (B2C)</t>
        </is>
      </c>
      <c r="K6742" t="inlineStr">
        <is>
          <t>CH2</t>
        </is>
      </c>
    </row>
    <row r="6743">
      <c r="A6743" s="33" t="n">
        <v>46135</v>
      </c>
      <c r="B6743" t="inlineStr">
        <is>
          <t>2026-04</t>
        </is>
      </c>
      <c r="C6743" t="inlineStr">
        <is>
          <t>Sin cliente</t>
        </is>
      </c>
      <c r="D6743" t="inlineStr">
        <is>
          <t>Cafeteria Geronimo</t>
        </is>
      </c>
      <c r="E6743" s="34" t="n">
        <v>4700</v>
      </c>
      <c r="F6743" t="inlineStr">
        <is>
          <t>B</t>
        </is>
      </c>
      <c r="G6743" s="34" t="n">
        <v>750</v>
      </c>
      <c r="H6743" s="34" t="n">
        <v>3950</v>
      </c>
      <c r="I6743" t="inlineStr">
        <is>
          <t>3.2</t>
        </is>
      </c>
      <c r="J6743" t="inlineStr">
        <is>
          <t>Ventas Personas (B2C)</t>
        </is>
      </c>
      <c r="K6743" t="inlineStr">
        <is>
          <t>CH2</t>
        </is>
      </c>
    </row>
    <row r="6744">
      <c r="A6744" s="33" t="n">
        <v>46135</v>
      </c>
      <c r="B6744" t="inlineStr">
        <is>
          <t>2026-04</t>
        </is>
      </c>
      <c r="C6744" t="inlineStr">
        <is>
          <t>Sin cliente</t>
        </is>
      </c>
      <c r="D6744" t="inlineStr">
        <is>
          <t>CANELÉ TRADICIONAL</t>
        </is>
      </c>
      <c r="E6744" s="34" t="n">
        <v>15900</v>
      </c>
      <c r="F6744" t="inlineStr">
        <is>
          <t>B</t>
        </is>
      </c>
      <c r="G6744" s="34" t="n">
        <v>2539</v>
      </c>
      <c r="H6744" s="34" t="n">
        <v>13361</v>
      </c>
      <c r="I6744" t="inlineStr">
        <is>
          <t>3.2</t>
        </is>
      </c>
      <c r="J6744" t="inlineStr">
        <is>
          <t>Ventas Personas (B2C)</t>
        </is>
      </c>
      <c r="K6744" t="inlineStr">
        <is>
          <t>CH2</t>
        </is>
      </c>
    </row>
    <row r="6745">
      <c r="A6745" s="33" t="n">
        <v>46135</v>
      </c>
      <c r="B6745" t="inlineStr">
        <is>
          <t>2026-04</t>
        </is>
      </c>
      <c r="C6745" t="inlineStr">
        <is>
          <t>Sin cliente</t>
        </is>
      </c>
      <c r="D6745" t="inlineStr">
        <is>
          <t>Petit Crunchy</t>
        </is>
      </c>
      <c r="E6745" s="34" t="n">
        <v>24800</v>
      </c>
      <c r="F6745" t="inlineStr">
        <is>
          <t>B</t>
        </is>
      </c>
      <c r="G6745" s="34" t="n">
        <v>3960</v>
      </c>
      <c r="H6745" s="34" t="n">
        <v>20840</v>
      </c>
      <c r="I6745" t="inlineStr">
        <is>
          <t>3.2</t>
        </is>
      </c>
      <c r="J6745" t="inlineStr">
        <is>
          <t>Ventas Personas (B2C)</t>
        </is>
      </c>
      <c r="K6745" t="inlineStr">
        <is>
          <t>CH2</t>
        </is>
      </c>
    </row>
    <row r="6746">
      <c r="A6746" s="33" t="n">
        <v>46135</v>
      </c>
      <c r="B6746" t="inlineStr">
        <is>
          <t>2026-04</t>
        </is>
      </c>
      <c r="C6746" t="inlineStr">
        <is>
          <t>Sin cliente</t>
        </is>
      </c>
      <c r="D6746" t="inlineStr">
        <is>
          <t>PLATAFORMAS RAP-PEYA-UBER-GOOD</t>
        </is>
      </c>
      <c r="E6746" s="34" t="n">
        <v>16560</v>
      </c>
      <c r="F6746" t="inlineStr">
        <is>
          <t>B</t>
        </is>
      </c>
      <c r="G6746" s="34" t="n">
        <v>2644</v>
      </c>
      <c r="H6746" s="34" t="n">
        <v>13916</v>
      </c>
      <c r="I6746" t="inlineStr">
        <is>
          <t>3.6</t>
        </is>
      </c>
      <c r="J6746" t="inlineStr">
        <is>
          <t>Ventas Delivery Apps</t>
        </is>
      </c>
      <c r="K6746" t="inlineStr">
        <is>
          <t>CH3</t>
        </is>
      </c>
    </row>
    <row r="6747">
      <c r="A6747" s="33" t="n">
        <v>46135</v>
      </c>
      <c r="B6747" t="inlineStr">
        <is>
          <t>2026-04</t>
        </is>
      </c>
      <c r="C6747" t="inlineStr">
        <is>
          <t>Sin cliente</t>
        </is>
      </c>
      <c r="D6747" t="inlineStr">
        <is>
          <t>PLATAFORMAS RAP-PEYA-UBER-GOOD</t>
        </is>
      </c>
      <c r="E6747" s="34" t="n">
        <v>30817</v>
      </c>
      <c r="F6747" t="inlineStr">
        <is>
          <t>B</t>
        </is>
      </c>
      <c r="G6747" s="34" t="n">
        <v>4920</v>
      </c>
      <c r="H6747" s="34" t="n">
        <v>25897</v>
      </c>
      <c r="I6747" t="inlineStr">
        <is>
          <t>3.6</t>
        </is>
      </c>
      <c r="J6747" t="inlineStr">
        <is>
          <t>Ventas Delivery Apps</t>
        </is>
      </c>
      <c r="K6747" t="inlineStr">
        <is>
          <t>CH3</t>
        </is>
      </c>
    </row>
    <row r="6748">
      <c r="A6748" s="33" t="n">
        <v>46135</v>
      </c>
      <c r="B6748" t="inlineStr">
        <is>
          <t>2026-04</t>
        </is>
      </c>
      <c r="C6748" t="inlineStr">
        <is>
          <t>Sin cliente</t>
        </is>
      </c>
      <c r="D6748" t="inlineStr">
        <is>
          <t>Cafeteria Geronimo</t>
        </is>
      </c>
      <c r="E6748" s="34" t="n">
        <v>2550</v>
      </c>
      <c r="F6748" t="inlineStr">
        <is>
          <t>B</t>
        </is>
      </c>
      <c r="G6748" s="34" t="n">
        <v>407</v>
      </c>
      <c r="H6748" s="34" t="n">
        <v>2143</v>
      </c>
      <c r="I6748" t="inlineStr">
        <is>
          <t>3.2</t>
        </is>
      </c>
      <c r="J6748" t="inlineStr">
        <is>
          <t>Ventas Personas (B2C)</t>
        </is>
      </c>
      <c r="K6748" t="inlineStr">
        <is>
          <t>CH2</t>
        </is>
      </c>
    </row>
    <row r="6749">
      <c r="A6749" s="33" t="n">
        <v>46135</v>
      </c>
      <c r="B6749" t="inlineStr">
        <is>
          <t>2026-04</t>
        </is>
      </c>
      <c r="C6749" t="inlineStr">
        <is>
          <t>Sin cliente</t>
        </is>
      </c>
      <c r="D6749" t="inlineStr">
        <is>
          <t>PLATAFORMAS RAP-PEYA-UBER-GOOD</t>
        </is>
      </c>
      <c r="E6749" s="34" t="n">
        <v>17880</v>
      </c>
      <c r="F6749" t="inlineStr">
        <is>
          <t>B</t>
        </is>
      </c>
      <c r="G6749" s="34" t="n">
        <v>2855</v>
      </c>
      <c r="H6749" s="34" t="n">
        <v>15025</v>
      </c>
      <c r="I6749" t="inlineStr">
        <is>
          <t>3.6</t>
        </is>
      </c>
      <c r="J6749" t="inlineStr">
        <is>
          <t>Ventas Delivery Apps</t>
        </is>
      </c>
      <c r="K6749" t="inlineStr">
        <is>
          <t>CH3</t>
        </is>
      </c>
    </row>
    <row r="6750">
      <c r="A6750" s="33" t="n">
        <v>46135</v>
      </c>
      <c r="B6750" t="inlineStr">
        <is>
          <t>2026-04</t>
        </is>
      </c>
      <c r="C6750" t="inlineStr">
        <is>
          <t>Sin cliente</t>
        </is>
      </c>
      <c r="D6750" t="inlineStr">
        <is>
          <t>PLATAFORMAS RAP-PEYA-UBER-GOOD</t>
        </is>
      </c>
      <c r="E6750" s="34" t="n">
        <v>28069</v>
      </c>
      <c r="F6750" t="inlineStr">
        <is>
          <t>B</t>
        </is>
      </c>
      <c r="G6750" s="34" t="n">
        <v>4482</v>
      </c>
      <c r="H6750" s="34" t="n">
        <v>23587</v>
      </c>
      <c r="I6750" t="inlineStr">
        <is>
          <t>3.6</t>
        </is>
      </c>
      <c r="J6750" t="inlineStr">
        <is>
          <t>Ventas Delivery Apps</t>
        </is>
      </c>
      <c r="K6750" t="inlineStr">
        <is>
          <t>CH3</t>
        </is>
      </c>
    </row>
    <row r="6751">
      <c r="A6751" s="33" t="n">
        <v>46135</v>
      </c>
      <c r="B6751" t="inlineStr">
        <is>
          <t>2026-04</t>
        </is>
      </c>
      <c r="C6751" t="inlineStr">
        <is>
          <t>Pablo Montesinos</t>
        </is>
      </c>
      <c r="D6751" t="inlineStr">
        <is>
          <t>CANELÉ TRADICIONAL</t>
        </is>
      </c>
      <c r="E6751" s="34" t="n">
        <v>15900</v>
      </c>
      <c r="F6751" t="inlineStr">
        <is>
          <t>B</t>
        </is>
      </c>
      <c r="G6751" s="34" t="n">
        <v>2539</v>
      </c>
      <c r="H6751" s="34" t="n">
        <v>13361</v>
      </c>
      <c r="I6751" t="inlineStr">
        <is>
          <t>3.2</t>
        </is>
      </c>
      <c r="J6751" t="inlineStr">
        <is>
          <t>Ventas Personas (B2C)</t>
        </is>
      </c>
      <c r="K6751" t="inlineStr">
        <is>
          <t>CH2</t>
        </is>
      </c>
    </row>
    <row r="6752">
      <c r="A6752" s="33" t="n">
        <v>46136</v>
      </c>
      <c r="B6752" t="inlineStr">
        <is>
          <t>2026-04</t>
        </is>
      </c>
      <c r="C6752" t="inlineStr">
        <is>
          <t>CUATROTRESTRES CAFÉ SPA</t>
        </is>
      </c>
      <c r="D6752" t="inlineStr">
        <is>
          <t>HORECA CAFETERIA</t>
        </is>
      </c>
      <c r="E6752" s="34" t="n">
        <v>251756</v>
      </c>
      <c r="F6752" t="inlineStr">
        <is>
          <t>F</t>
        </is>
      </c>
      <c r="G6752" s="34" t="n">
        <v>40196</v>
      </c>
      <c r="H6752" s="34" t="n">
        <v>211560</v>
      </c>
      <c r="I6752" t="inlineStr">
        <is>
          <t>3.1</t>
        </is>
      </c>
      <c r="J6752" t="inlineStr">
        <is>
          <t>Ventas HoReCa</t>
        </is>
      </c>
      <c r="K6752" t="inlineStr">
        <is>
          <t>CH1</t>
        </is>
      </c>
    </row>
    <row r="6753">
      <c r="A6753" s="33" t="n">
        <v>46136</v>
      </c>
      <c r="B6753" t="inlineStr">
        <is>
          <t>2026-04</t>
        </is>
      </c>
      <c r="C6753" t="inlineStr">
        <is>
          <t xml:space="preserve">Café lucerna spa </t>
        </is>
      </c>
      <c r="D6753" t="inlineStr">
        <is>
          <t>HORECA CAFETERIA</t>
        </is>
      </c>
      <c r="E6753" s="34" t="n">
        <v>77564</v>
      </c>
      <c r="F6753" t="inlineStr">
        <is>
          <t>F</t>
        </is>
      </c>
      <c r="G6753" s="34" t="n">
        <v>12384</v>
      </c>
      <c r="H6753" s="34" t="n">
        <v>65180</v>
      </c>
      <c r="I6753" t="inlineStr">
        <is>
          <t>3.1</t>
        </is>
      </c>
      <c r="J6753" t="inlineStr">
        <is>
          <t>Ventas HoReCa</t>
        </is>
      </c>
      <c r="K6753" t="inlineStr">
        <is>
          <t>CH1</t>
        </is>
      </c>
    </row>
    <row r="6754">
      <c r="A6754" s="33" t="n">
        <v>46136</v>
      </c>
      <c r="B6754" t="inlineStr">
        <is>
          <t>2026-04</t>
        </is>
      </c>
      <c r="C6754" t="inlineStr">
        <is>
          <t>Inversiones Las Urbinas SpA</t>
        </is>
      </c>
      <c r="D6754" t="inlineStr">
        <is>
          <t>HORECA CAFETERIA</t>
        </is>
      </c>
      <c r="E6754" s="34" t="n">
        <v>112836</v>
      </c>
      <c r="F6754" t="inlineStr">
        <is>
          <t>F</t>
        </is>
      </c>
      <c r="G6754" s="34" t="n">
        <v>18016</v>
      </c>
      <c r="H6754" s="34" t="n">
        <v>94820</v>
      </c>
      <c r="I6754" t="inlineStr">
        <is>
          <t>3.1</t>
        </is>
      </c>
      <c r="J6754" t="inlineStr">
        <is>
          <t>Ventas HoReCa</t>
        </is>
      </c>
      <c r="K6754" t="inlineStr">
        <is>
          <t>CH1</t>
        </is>
      </c>
    </row>
    <row r="6755">
      <c r="A6755" s="33" t="n">
        <v>46136</v>
      </c>
      <c r="B6755" t="inlineStr">
        <is>
          <t>2026-04</t>
        </is>
      </c>
      <c r="C6755" t="inlineStr">
        <is>
          <t>Okinawa Spa</t>
        </is>
      </c>
      <c r="D6755" t="inlineStr">
        <is>
          <t>HORECA CAFETERIA</t>
        </is>
      </c>
      <c r="E6755" s="34" t="n">
        <v>103304</v>
      </c>
      <c r="F6755" t="inlineStr">
        <is>
          <t>F</t>
        </is>
      </c>
      <c r="G6755" s="34" t="n">
        <v>16494</v>
      </c>
      <c r="H6755" s="34" t="n">
        <v>86810</v>
      </c>
      <c r="I6755" t="inlineStr">
        <is>
          <t>3.1</t>
        </is>
      </c>
      <c r="J6755" t="inlineStr">
        <is>
          <t>Ventas HoReCa</t>
        </is>
      </c>
      <c r="K6755" t="inlineStr">
        <is>
          <t>CH1</t>
        </is>
      </c>
    </row>
    <row r="6756">
      <c r="A6756" s="33" t="n">
        <v>46136</v>
      </c>
      <c r="B6756" t="inlineStr">
        <is>
          <t>2026-04</t>
        </is>
      </c>
      <c r="C6756" t="inlineStr">
        <is>
          <t>CRF SPA</t>
        </is>
      </c>
      <c r="D6756" t="inlineStr">
        <is>
          <t>HORECA CAFETERIA</t>
        </is>
      </c>
      <c r="E6756" s="34" t="n">
        <v>272986</v>
      </c>
      <c r="F6756" t="inlineStr">
        <is>
          <t>F</t>
        </is>
      </c>
      <c r="G6756" s="34" t="n">
        <v>43586</v>
      </c>
      <c r="H6756" s="34" t="n">
        <v>229400</v>
      </c>
      <c r="I6756" t="inlineStr">
        <is>
          <t>3.1</t>
        </is>
      </c>
      <c r="J6756" t="inlineStr">
        <is>
          <t>Ventas HoReCa</t>
        </is>
      </c>
      <c r="K6756" t="inlineStr">
        <is>
          <t>CH1</t>
        </is>
      </c>
    </row>
    <row r="6757">
      <c r="A6757" s="33" t="n">
        <v>46136</v>
      </c>
      <c r="B6757" t="inlineStr">
        <is>
          <t>2026-04</t>
        </is>
      </c>
      <c r="C6757" t="inlineStr">
        <is>
          <t>Agustin Perez</t>
        </is>
      </c>
      <c r="D6757" t="inlineStr">
        <is>
          <t>Petit Crunchy</t>
        </is>
      </c>
      <c r="E6757" s="34" t="n">
        <v>16390</v>
      </c>
      <c r="F6757" t="inlineStr">
        <is>
          <t>B</t>
        </is>
      </c>
      <c r="G6757" s="34" t="n">
        <v>2617</v>
      </c>
      <c r="H6757" s="34" t="n">
        <v>13773</v>
      </c>
      <c r="I6757" t="inlineStr">
        <is>
          <t>3.2</t>
        </is>
      </c>
      <c r="J6757" t="inlineStr">
        <is>
          <t>Ventas Personas (B2C)</t>
        </is>
      </c>
      <c r="K6757" t="inlineStr">
        <is>
          <t>CH2</t>
        </is>
      </c>
    </row>
    <row r="6758">
      <c r="A6758" s="33" t="n">
        <v>46136</v>
      </c>
      <c r="B6758" t="inlineStr">
        <is>
          <t>2026-04</t>
        </is>
      </c>
      <c r="C6758" t="inlineStr">
        <is>
          <t>carolina carrancio</t>
        </is>
      </c>
      <c r="D6758" t="inlineStr">
        <is>
          <t>CANELE SIN AZUCAR</t>
        </is>
      </c>
      <c r="E6758" s="34" t="n">
        <v>24800</v>
      </c>
      <c r="F6758" t="inlineStr">
        <is>
          <t>B</t>
        </is>
      </c>
      <c r="G6758" s="34" t="n">
        <v>3960</v>
      </c>
      <c r="H6758" s="34" t="n">
        <v>20840</v>
      </c>
      <c r="I6758" t="inlineStr">
        <is>
          <t>3.2</t>
        </is>
      </c>
      <c r="J6758" t="inlineStr">
        <is>
          <t>Ventas Personas (B2C)</t>
        </is>
      </c>
      <c r="K6758" t="inlineStr">
        <is>
          <t>CH2</t>
        </is>
      </c>
    </row>
    <row r="6759">
      <c r="A6759" s="33" t="n">
        <v>46136</v>
      </c>
      <c r="B6759" t="inlineStr">
        <is>
          <t>2026-04</t>
        </is>
      </c>
      <c r="C6759" t="inlineStr">
        <is>
          <t>Sin cliente</t>
        </is>
      </c>
      <c r="D6759" t="inlineStr">
        <is>
          <t>Rellenos</t>
        </is>
      </c>
      <c r="E6759" s="34" t="n">
        <v>25900</v>
      </c>
      <c r="F6759" t="inlineStr">
        <is>
          <t>B</t>
        </is>
      </c>
      <c r="G6759" s="34" t="n">
        <v>4135</v>
      </c>
      <c r="H6759" s="34" t="n">
        <v>21765</v>
      </c>
      <c r="I6759" t="inlineStr">
        <is>
          <t>3.2</t>
        </is>
      </c>
      <c r="J6759" t="inlineStr">
        <is>
          <t>Ventas Personas (B2C)</t>
        </is>
      </c>
      <c r="K6759" t="inlineStr">
        <is>
          <t>CH2</t>
        </is>
      </c>
    </row>
    <row r="6760">
      <c r="A6760" s="33" t="n">
        <v>46136</v>
      </c>
      <c r="B6760" t="inlineStr">
        <is>
          <t>2026-04</t>
        </is>
      </c>
      <c r="C6760" t="inlineStr">
        <is>
          <t>Sin cliente</t>
        </is>
      </c>
      <c r="D6760" t="inlineStr">
        <is>
          <t>PLATAFORMAS RAP-PEYA-UBER-GOOD</t>
        </is>
      </c>
      <c r="E6760" s="34" t="n">
        <v>16560</v>
      </c>
      <c r="F6760" t="inlineStr">
        <is>
          <t>B</t>
        </is>
      </c>
      <c r="G6760" s="34" t="n">
        <v>2644</v>
      </c>
      <c r="H6760" s="34" t="n">
        <v>13916</v>
      </c>
      <c r="I6760" t="inlineStr">
        <is>
          <t>3.6</t>
        </is>
      </c>
      <c r="J6760" t="inlineStr">
        <is>
          <t>Ventas Delivery Apps</t>
        </is>
      </c>
      <c r="K6760" t="inlineStr">
        <is>
          <t>CH3</t>
        </is>
      </c>
    </row>
    <row r="6761">
      <c r="A6761" s="33" t="n">
        <v>46136</v>
      </c>
      <c r="B6761" t="inlineStr">
        <is>
          <t>2026-04</t>
        </is>
      </c>
      <c r="C6761" t="inlineStr">
        <is>
          <t>Angie Morillo</t>
        </is>
      </c>
      <c r="D6761" t="inlineStr">
        <is>
          <t>Canelé Petit Relleno</t>
        </is>
      </c>
      <c r="E6761" s="34" t="n">
        <v>34390</v>
      </c>
      <c r="F6761" t="inlineStr">
        <is>
          <t>B</t>
        </is>
      </c>
      <c r="G6761" s="34" t="n">
        <v>5491</v>
      </c>
      <c r="H6761" s="34" t="n">
        <v>28899</v>
      </c>
      <c r="I6761" t="inlineStr">
        <is>
          <t>3.2</t>
        </is>
      </c>
      <c r="J6761" t="inlineStr">
        <is>
          <t>Ventas Personas (B2C)</t>
        </is>
      </c>
      <c r="K6761" t="inlineStr">
        <is>
          <t>CH2</t>
        </is>
      </c>
    </row>
    <row r="6762">
      <c r="A6762" s="33" t="n">
        <v>46136</v>
      </c>
      <c r="B6762" t="inlineStr">
        <is>
          <t>2026-04</t>
        </is>
      </c>
      <c r="C6762" t="inlineStr">
        <is>
          <t>Sin cliente</t>
        </is>
      </c>
      <c r="D6762" t="inlineStr">
        <is>
          <t>Glosa Despacho a Agustinas, Santiago Centro</t>
        </is>
      </c>
      <c r="E6762" s="34" t="n">
        <v>8490</v>
      </c>
      <c r="F6762" t="inlineStr">
        <is>
          <t>B</t>
        </is>
      </c>
      <c r="G6762" s="34" t="n">
        <v>1356</v>
      </c>
      <c r="H6762" s="34" t="n">
        <v>7134</v>
      </c>
      <c r="I6762" t="inlineStr">
        <is>
          <t>3.2</t>
        </is>
      </c>
      <c r="J6762" t="inlineStr">
        <is>
          <t>Ventas Personas (B2C)</t>
        </is>
      </c>
      <c r="K6762" t="inlineStr">
        <is>
          <t>CH2</t>
        </is>
      </c>
    </row>
    <row r="6763">
      <c r="A6763" s="33" t="n">
        <v>46136</v>
      </c>
      <c r="B6763" t="inlineStr">
        <is>
          <t>2026-04</t>
        </is>
      </c>
      <c r="C6763" t="inlineStr">
        <is>
          <t>ALIMENTOS NILO SPA</t>
        </is>
      </c>
      <c r="D6763" t="inlineStr">
        <is>
          <t>HORECA CAFETERIA</t>
        </is>
      </c>
      <c r="E6763" s="34" t="n">
        <v>70543</v>
      </c>
      <c r="F6763" t="inlineStr">
        <is>
          <t>F</t>
        </is>
      </c>
      <c r="G6763" s="34" t="n">
        <v>11263</v>
      </c>
      <c r="H6763" s="34" t="n">
        <v>59280</v>
      </c>
      <c r="I6763" t="inlineStr">
        <is>
          <t>3.1</t>
        </is>
      </c>
      <c r="J6763" t="inlineStr">
        <is>
          <t>Ventas HoReCa</t>
        </is>
      </c>
      <c r="K6763" t="inlineStr">
        <is>
          <t>CH1</t>
        </is>
      </c>
    </row>
    <row r="6764">
      <c r="A6764" s="33" t="n">
        <v>46136</v>
      </c>
      <c r="B6764" t="inlineStr">
        <is>
          <t>2026-04</t>
        </is>
      </c>
      <c r="C6764" t="inlineStr">
        <is>
          <t>Inversiones Viareggio SpA</t>
        </is>
      </c>
      <c r="D6764" t="inlineStr">
        <is>
          <t>HORECA CAFETERIA</t>
        </is>
      </c>
      <c r="E6764" s="34" t="n">
        <v>115763</v>
      </c>
      <c r="F6764" t="inlineStr">
        <is>
          <t>F</t>
        </is>
      </c>
      <c r="G6764" s="34" t="n">
        <v>18483</v>
      </c>
      <c r="H6764" s="34" t="n">
        <v>97280</v>
      </c>
      <c r="I6764" t="inlineStr">
        <is>
          <t>3.1</t>
        </is>
      </c>
      <c r="J6764" t="inlineStr">
        <is>
          <t>Ventas HoReCa</t>
        </is>
      </c>
      <c r="K6764" t="inlineStr">
        <is>
          <t>CH1</t>
        </is>
      </c>
    </row>
    <row r="6765">
      <c r="A6765" s="33" t="n">
        <v>46136</v>
      </c>
      <c r="B6765" t="inlineStr">
        <is>
          <t>2026-04</t>
        </is>
      </c>
      <c r="C6765" t="inlineStr">
        <is>
          <t>Sin cliente</t>
        </is>
      </c>
      <c r="D6765" t="inlineStr">
        <is>
          <t>Cafeteria Geronimo</t>
        </is>
      </c>
      <c r="E6765" s="34" t="n">
        <v>18300</v>
      </c>
      <c r="F6765" t="inlineStr">
        <is>
          <t>B</t>
        </is>
      </c>
      <c r="G6765" s="34" t="n">
        <v>2922</v>
      </c>
      <c r="H6765" s="34" t="n">
        <v>15378</v>
      </c>
      <c r="I6765" t="inlineStr">
        <is>
          <t>3.2</t>
        </is>
      </c>
      <c r="J6765" t="inlineStr">
        <is>
          <t>Ventas Personas (B2C)</t>
        </is>
      </c>
      <c r="K6765" t="inlineStr">
        <is>
          <t>CH2</t>
        </is>
      </c>
    </row>
    <row r="6766">
      <c r="A6766" s="33" t="n">
        <v>46136</v>
      </c>
      <c r="B6766" t="inlineStr">
        <is>
          <t>2026-04</t>
        </is>
      </c>
      <c r="C6766" t="inlineStr">
        <is>
          <t>Sin cliente</t>
        </is>
      </c>
      <c r="D6766" t="inlineStr">
        <is>
          <t>Mix Sabores</t>
        </is>
      </c>
      <c r="E6766" s="34" t="n">
        <v>15900</v>
      </c>
      <c r="F6766" t="inlineStr">
        <is>
          <t>B</t>
        </is>
      </c>
      <c r="G6766" s="34" t="n">
        <v>2539</v>
      </c>
      <c r="H6766" s="34" t="n">
        <v>13361</v>
      </c>
      <c r="I6766" t="inlineStr">
        <is>
          <t>3.2</t>
        </is>
      </c>
      <c r="J6766" t="inlineStr">
        <is>
          <t>Ventas Personas (B2C)</t>
        </is>
      </c>
      <c r="K6766" t="inlineStr">
        <is>
          <t>CH2</t>
        </is>
      </c>
    </row>
    <row r="6767">
      <c r="A6767" s="33" t="n">
        <v>46136</v>
      </c>
      <c r="B6767" t="inlineStr">
        <is>
          <t>2026-04</t>
        </is>
      </c>
      <c r="C6767" t="inlineStr">
        <is>
          <t>Sin cliente</t>
        </is>
      </c>
      <c r="D6767" t="inlineStr">
        <is>
          <t>Petit Tradicional</t>
        </is>
      </c>
      <c r="E6767" s="34" t="n">
        <v>15450</v>
      </c>
      <c r="F6767" t="inlineStr">
        <is>
          <t>B</t>
        </is>
      </c>
      <c r="G6767" s="34" t="n">
        <v>2467</v>
      </c>
      <c r="H6767" s="34" t="n">
        <v>12983</v>
      </c>
      <c r="I6767" t="inlineStr">
        <is>
          <t>3.2</t>
        </is>
      </c>
      <c r="J6767" t="inlineStr">
        <is>
          <t>Ventas Personas (B2C)</t>
        </is>
      </c>
      <c r="K6767" t="inlineStr">
        <is>
          <t>CH2</t>
        </is>
      </c>
    </row>
    <row r="6768">
      <c r="A6768" s="33" t="n">
        <v>46136</v>
      </c>
      <c r="B6768" t="inlineStr">
        <is>
          <t>2026-04</t>
        </is>
      </c>
      <c r="C6768" t="inlineStr">
        <is>
          <t>Sin cliente</t>
        </is>
      </c>
      <c r="D6768" t="inlineStr">
        <is>
          <t>Delicatessen</t>
        </is>
      </c>
      <c r="E6768" s="34" t="n">
        <v>2125</v>
      </c>
      <c r="F6768" t="inlineStr">
        <is>
          <t>B</t>
        </is>
      </c>
      <c r="G6768" s="34" t="n">
        <v>339</v>
      </c>
      <c r="H6768" s="34" t="n">
        <v>1786</v>
      </c>
      <c r="I6768" t="inlineStr">
        <is>
          <t>3.2</t>
        </is>
      </c>
      <c r="J6768" t="inlineStr">
        <is>
          <t>Ventas Personas (B2C)</t>
        </is>
      </c>
      <c r="K6768" t="inlineStr">
        <is>
          <t>CH2</t>
        </is>
      </c>
    </row>
    <row r="6769">
      <c r="A6769" s="33" t="n">
        <v>46136</v>
      </c>
      <c r="B6769" t="inlineStr">
        <is>
          <t>2026-04</t>
        </is>
      </c>
      <c r="C6769" t="inlineStr">
        <is>
          <t>Sin cliente</t>
        </is>
      </c>
      <c r="D6769" t="inlineStr">
        <is>
          <t>Rellenos</t>
        </is>
      </c>
      <c r="E6769" s="34" t="n">
        <v>18900</v>
      </c>
      <c r="F6769" t="inlineStr">
        <is>
          <t>B</t>
        </is>
      </c>
      <c r="G6769" s="34" t="n">
        <v>3018</v>
      </c>
      <c r="H6769" s="34" t="n">
        <v>15882</v>
      </c>
      <c r="I6769" t="inlineStr">
        <is>
          <t>3.2</t>
        </is>
      </c>
      <c r="J6769" t="inlineStr">
        <is>
          <t>Ventas Personas (B2C)</t>
        </is>
      </c>
      <c r="K6769" t="inlineStr">
        <is>
          <t>CH2</t>
        </is>
      </c>
    </row>
    <row r="6770">
      <c r="A6770" s="33" t="n">
        <v>46136</v>
      </c>
      <c r="B6770" t="inlineStr">
        <is>
          <t>2026-04</t>
        </is>
      </c>
      <c r="C6770" t="inlineStr">
        <is>
          <t>Sin cliente</t>
        </is>
      </c>
      <c r="D6770" t="inlineStr">
        <is>
          <t>CANELE SIN AZUCAR</t>
        </is>
      </c>
      <c r="E6770" s="34" t="n">
        <v>5400</v>
      </c>
      <c r="F6770" t="inlineStr">
        <is>
          <t>B</t>
        </is>
      </c>
      <c r="G6770" s="34" t="n">
        <v>862</v>
      </c>
      <c r="H6770" s="34" t="n">
        <v>4538</v>
      </c>
      <c r="I6770" t="inlineStr">
        <is>
          <t>3.2</t>
        </is>
      </c>
      <c r="J6770" t="inlineStr">
        <is>
          <t>Ventas Personas (B2C)</t>
        </is>
      </c>
      <c r="K6770" t="inlineStr">
        <is>
          <t>CH2</t>
        </is>
      </c>
    </row>
    <row r="6771">
      <c r="A6771" s="33" t="n">
        <v>46136</v>
      </c>
      <c r="B6771" t="inlineStr">
        <is>
          <t>2026-04</t>
        </is>
      </c>
      <c r="C6771" t="inlineStr">
        <is>
          <t>Valeria Osorio Zamora</t>
        </is>
      </c>
      <c r="D6771" t="inlineStr">
        <is>
          <t>CANELÉ TRADICIONAL</t>
        </is>
      </c>
      <c r="E6771" s="34" t="n">
        <v>21390</v>
      </c>
      <c r="F6771" t="inlineStr">
        <is>
          <t>B</t>
        </is>
      </c>
      <c r="G6771" s="34" t="n">
        <v>3415</v>
      </c>
      <c r="H6771" s="34" t="n">
        <v>17975</v>
      </c>
      <c r="I6771" t="inlineStr">
        <is>
          <t>3.2</t>
        </is>
      </c>
      <c r="J6771" t="inlineStr">
        <is>
          <t>Ventas Personas (B2C)</t>
        </is>
      </c>
      <c r="K6771" t="inlineStr">
        <is>
          <t>CH2</t>
        </is>
      </c>
    </row>
    <row r="6772">
      <c r="A6772" s="33" t="n">
        <v>46136</v>
      </c>
      <c r="B6772" t="inlineStr">
        <is>
          <t>2026-04</t>
        </is>
      </c>
      <c r="C6772" t="inlineStr">
        <is>
          <t>Sin cliente</t>
        </is>
      </c>
      <c r="D6772" t="inlineStr">
        <is>
          <t>Delicatessen</t>
        </is>
      </c>
      <c r="E6772" s="34" t="n">
        <v>2125</v>
      </c>
      <c r="F6772" t="inlineStr">
        <is>
          <t>B</t>
        </is>
      </c>
      <c r="G6772" s="34" t="n">
        <v>339</v>
      </c>
      <c r="H6772" s="34" t="n">
        <v>1786</v>
      </c>
      <c r="I6772" t="inlineStr">
        <is>
          <t>3.2</t>
        </is>
      </c>
      <c r="J6772" t="inlineStr">
        <is>
          <t>Ventas Personas (B2C)</t>
        </is>
      </c>
      <c r="K6772" t="inlineStr">
        <is>
          <t>CH2</t>
        </is>
      </c>
    </row>
    <row r="6773">
      <c r="A6773" s="33" t="n">
        <v>46136</v>
      </c>
      <c r="B6773" t="inlineStr">
        <is>
          <t>2026-04</t>
        </is>
      </c>
      <c r="C6773" t="inlineStr">
        <is>
          <t>Alberto Carcamo Guzman</t>
        </is>
      </c>
      <c r="D6773" t="inlineStr">
        <is>
          <t>Petit Crunchy</t>
        </is>
      </c>
      <c r="E6773" s="34" t="n">
        <v>39790</v>
      </c>
      <c r="F6773" t="inlineStr">
        <is>
          <t>B</t>
        </is>
      </c>
      <c r="G6773" s="34" t="n">
        <v>6353</v>
      </c>
      <c r="H6773" s="34" t="n">
        <v>33437</v>
      </c>
      <c r="I6773" t="inlineStr">
        <is>
          <t>3.2</t>
        </is>
      </c>
      <c r="J6773" t="inlineStr">
        <is>
          <t>Ventas Personas (B2C)</t>
        </is>
      </c>
      <c r="K6773" t="inlineStr">
        <is>
          <t>CH2</t>
        </is>
      </c>
    </row>
    <row r="6774">
      <c r="A6774" s="33" t="n">
        <v>46136</v>
      </c>
      <c r="B6774" t="inlineStr">
        <is>
          <t>2026-04</t>
        </is>
      </c>
      <c r="C6774" t="inlineStr">
        <is>
          <t>Sin cliente</t>
        </is>
      </c>
      <c r="D6774" t="inlineStr">
        <is>
          <t>CANELÉ TRADICIONAL</t>
        </is>
      </c>
      <c r="E6774" s="34" t="n">
        <v>15000</v>
      </c>
      <c r="F6774" t="inlineStr">
        <is>
          <t>B</t>
        </is>
      </c>
      <c r="G6774" s="34" t="n">
        <v>2395</v>
      </c>
      <c r="H6774" s="34" t="n">
        <v>12605</v>
      </c>
      <c r="I6774" t="inlineStr">
        <is>
          <t>3.2</t>
        </is>
      </c>
      <c r="J6774" t="inlineStr">
        <is>
          <t>Ventas Personas (B2C)</t>
        </is>
      </c>
      <c r="K6774" t="inlineStr">
        <is>
          <t>CH2</t>
        </is>
      </c>
    </row>
    <row r="6775">
      <c r="A6775" s="33" t="n">
        <v>46136</v>
      </c>
      <c r="B6775" t="inlineStr">
        <is>
          <t>2026-04</t>
        </is>
      </c>
      <c r="C6775" t="inlineStr">
        <is>
          <t>Sin cliente</t>
        </is>
      </c>
      <c r="D6775" t="inlineStr">
        <is>
          <t>Petit Crunchy</t>
        </is>
      </c>
      <c r="E6775" s="34" t="n">
        <v>29900</v>
      </c>
      <c r="F6775" t="inlineStr">
        <is>
          <t>B</t>
        </is>
      </c>
      <c r="G6775" s="34" t="n">
        <v>4774</v>
      </c>
      <c r="H6775" s="34" t="n">
        <v>25126</v>
      </c>
      <c r="I6775" t="inlineStr">
        <is>
          <t>3.2</t>
        </is>
      </c>
      <c r="J6775" t="inlineStr">
        <is>
          <t>Ventas Personas (B2C)</t>
        </is>
      </c>
      <c r="K6775" t="inlineStr">
        <is>
          <t>CH2</t>
        </is>
      </c>
    </row>
    <row r="6776">
      <c r="A6776" s="33" t="n">
        <v>46136</v>
      </c>
      <c r="B6776" t="inlineStr">
        <is>
          <t>2026-04</t>
        </is>
      </c>
      <c r="C6776" t="inlineStr">
        <is>
          <t>Sin cliente</t>
        </is>
      </c>
      <c r="D6776" t="inlineStr">
        <is>
          <t>Cafeteria Geronimo</t>
        </is>
      </c>
      <c r="E6776" s="34" t="n">
        <v>7650</v>
      </c>
      <c r="F6776" t="inlineStr">
        <is>
          <t>B</t>
        </is>
      </c>
      <c r="G6776" s="34" t="n">
        <v>1221</v>
      </c>
      <c r="H6776" s="34" t="n">
        <v>6429</v>
      </c>
      <c r="I6776" t="inlineStr">
        <is>
          <t>3.2</t>
        </is>
      </c>
      <c r="J6776" t="inlineStr">
        <is>
          <t>Ventas Personas (B2C)</t>
        </is>
      </c>
      <c r="K6776" t="inlineStr">
        <is>
          <t>CH2</t>
        </is>
      </c>
    </row>
    <row r="6777">
      <c r="A6777" s="33" t="n">
        <v>46136</v>
      </c>
      <c r="B6777" t="inlineStr">
        <is>
          <t>2026-04</t>
        </is>
      </c>
      <c r="C6777" t="inlineStr">
        <is>
          <t>Sin cliente</t>
        </is>
      </c>
      <c r="D6777" t="inlineStr">
        <is>
          <t>Petit Tradicional</t>
        </is>
      </c>
      <c r="E6777" s="34" t="n">
        <v>16300</v>
      </c>
      <c r="F6777" t="inlineStr">
        <is>
          <t>B</t>
        </is>
      </c>
      <c r="G6777" s="34" t="n">
        <v>2603</v>
      </c>
      <c r="H6777" s="34" t="n">
        <v>13697</v>
      </c>
      <c r="I6777" t="inlineStr">
        <is>
          <t>3.2</t>
        </is>
      </c>
      <c r="J6777" t="inlineStr">
        <is>
          <t>Ventas Personas (B2C)</t>
        </is>
      </c>
      <c r="K6777" t="inlineStr">
        <is>
          <t>CH2</t>
        </is>
      </c>
    </row>
    <row r="6778">
      <c r="A6778" s="33" t="n">
        <v>46136</v>
      </c>
      <c r="B6778" t="inlineStr">
        <is>
          <t>2026-04</t>
        </is>
      </c>
      <c r="C6778" t="inlineStr">
        <is>
          <t>Maria Jose Grez</t>
        </is>
      </c>
      <c r="D6778" t="inlineStr">
        <is>
          <t>Delicatessen</t>
        </is>
      </c>
      <c r="E6778" s="34" t="n">
        <v>-2125</v>
      </c>
      <c r="F6778" t="inlineStr">
        <is>
          <t>NC</t>
        </is>
      </c>
      <c r="G6778" s="34" t="n">
        <v>-339</v>
      </c>
      <c r="H6778" s="34" t="n">
        <v>-1786</v>
      </c>
      <c r="I6778" t="inlineStr">
        <is>
          <t>3.2</t>
        </is>
      </c>
      <c r="J6778" t="inlineStr">
        <is>
          <t>Ventas Personas (B2C)</t>
        </is>
      </c>
      <c r="K6778" t="inlineStr">
        <is>
          <t>CH2</t>
        </is>
      </c>
    </row>
    <row r="6779">
      <c r="A6779" s="33" t="n">
        <v>46136</v>
      </c>
      <c r="B6779" t="inlineStr">
        <is>
          <t>2026-04</t>
        </is>
      </c>
      <c r="C6779" t="inlineStr">
        <is>
          <t>Sin cliente</t>
        </is>
      </c>
      <c r="D6779" t="inlineStr">
        <is>
          <t>Cafeteria Geronimo</t>
        </is>
      </c>
      <c r="E6779" s="34" t="n">
        <v>3000</v>
      </c>
      <c r="F6779" t="inlineStr">
        <is>
          <t>B</t>
        </is>
      </c>
      <c r="G6779" s="34" t="n">
        <v>479</v>
      </c>
      <c r="H6779" s="34" t="n">
        <v>2521</v>
      </c>
      <c r="I6779" t="inlineStr">
        <is>
          <t>3.2</t>
        </is>
      </c>
      <c r="J6779" t="inlineStr">
        <is>
          <t>Ventas Personas (B2C)</t>
        </is>
      </c>
      <c r="K6779" t="inlineStr">
        <is>
          <t>CH2</t>
        </is>
      </c>
    </row>
    <row r="6780">
      <c r="A6780" s="33" t="n">
        <v>46136</v>
      </c>
      <c r="B6780" t="inlineStr">
        <is>
          <t>2026-04</t>
        </is>
      </c>
      <c r="C6780" t="inlineStr">
        <is>
          <t>Erwin Conn</t>
        </is>
      </c>
      <c r="D6780" t="inlineStr">
        <is>
          <t>Canelé Petit Relleno</t>
        </is>
      </c>
      <c r="E6780" s="34" t="n">
        <v>51700</v>
      </c>
      <c r="F6780" t="inlineStr">
        <is>
          <t>B</t>
        </is>
      </c>
      <c r="G6780" s="34" t="n">
        <v>8255</v>
      </c>
      <c r="H6780" s="34" t="n">
        <v>43445</v>
      </c>
      <c r="I6780" t="inlineStr">
        <is>
          <t>3.2</t>
        </is>
      </c>
      <c r="J6780" t="inlineStr">
        <is>
          <t>Ventas Personas (B2C)</t>
        </is>
      </c>
      <c r="K6780" t="inlineStr">
        <is>
          <t>CH2</t>
        </is>
      </c>
    </row>
    <row r="6781">
      <c r="A6781" s="33" t="n">
        <v>46137</v>
      </c>
      <c r="B6781" t="inlineStr">
        <is>
          <t>2026-04</t>
        </is>
      </c>
      <c r="C6781" t="inlineStr">
        <is>
          <t>Daniela Crisóstomo</t>
        </is>
      </c>
      <c r="D6781" t="inlineStr">
        <is>
          <t>CANELE SIN AZUCAR</t>
        </is>
      </c>
      <c r="E6781" s="34" t="n">
        <v>27790</v>
      </c>
      <c r="F6781" t="inlineStr">
        <is>
          <t>B</t>
        </is>
      </c>
      <c r="G6781" s="34" t="n">
        <v>4437</v>
      </c>
      <c r="H6781" s="34" t="n">
        <v>23353</v>
      </c>
      <c r="I6781" t="inlineStr">
        <is>
          <t>3.2</t>
        </is>
      </c>
      <c r="J6781" t="inlineStr">
        <is>
          <t>Ventas Personas (B2C)</t>
        </is>
      </c>
      <c r="K6781" t="inlineStr">
        <is>
          <t>CH2</t>
        </is>
      </c>
    </row>
    <row r="6782">
      <c r="A6782" s="33" t="n">
        <v>46137</v>
      </c>
      <c r="B6782" t="inlineStr">
        <is>
          <t>2026-04</t>
        </is>
      </c>
      <c r="C6782" t="inlineStr">
        <is>
          <t>Karen Mansilla zamora spa</t>
        </is>
      </c>
      <c r="D6782" t="inlineStr">
        <is>
          <t>Petit Crunchy</t>
        </is>
      </c>
      <c r="E6782" s="34" t="n">
        <v>14900</v>
      </c>
      <c r="F6782" t="inlineStr">
        <is>
          <t>B</t>
        </is>
      </c>
      <c r="G6782" s="34" t="n">
        <v>2379</v>
      </c>
      <c r="H6782" s="34" t="n">
        <v>12521</v>
      </c>
      <c r="I6782" t="inlineStr">
        <is>
          <t>3.2</t>
        </is>
      </c>
      <c r="J6782" t="inlineStr">
        <is>
          <t>Ventas Personas (B2C)</t>
        </is>
      </c>
      <c r="K6782" t="inlineStr">
        <is>
          <t>CH2</t>
        </is>
      </c>
    </row>
    <row r="6783">
      <c r="A6783" s="33" t="n">
        <v>46137</v>
      </c>
      <c r="B6783" t="inlineStr">
        <is>
          <t>2026-04</t>
        </is>
      </c>
      <c r="C6783" t="inlineStr">
        <is>
          <t>Sin cliente</t>
        </is>
      </c>
      <c r="D6783" t="inlineStr">
        <is>
          <t>Rellenos</t>
        </is>
      </c>
      <c r="E6783" s="34" t="n">
        <v>8500</v>
      </c>
      <c r="F6783" t="inlineStr">
        <is>
          <t>B</t>
        </is>
      </c>
      <c r="G6783" s="34" t="n">
        <v>1357</v>
      </c>
      <c r="H6783" s="34" t="n">
        <v>7143</v>
      </c>
      <c r="I6783" t="inlineStr">
        <is>
          <t>3.2</t>
        </is>
      </c>
      <c r="J6783" t="inlineStr">
        <is>
          <t>Ventas Personas (B2C)</t>
        </is>
      </c>
      <c r="K6783" t="inlineStr">
        <is>
          <t>CH2</t>
        </is>
      </c>
    </row>
    <row r="6784">
      <c r="A6784" s="33" t="n">
        <v>46137</v>
      </c>
      <c r="B6784" t="inlineStr">
        <is>
          <t>2026-04</t>
        </is>
      </c>
      <c r="C6784" t="inlineStr">
        <is>
          <t>Sin cliente</t>
        </is>
      </c>
      <c r="D6784" t="inlineStr">
        <is>
          <t>Cafeteria Geronimo</t>
        </is>
      </c>
      <c r="E6784" s="34" t="n">
        <v>5000</v>
      </c>
      <c r="F6784" t="inlineStr">
        <is>
          <t>B</t>
        </is>
      </c>
      <c r="G6784" s="34" t="n">
        <v>798</v>
      </c>
      <c r="H6784" s="34" t="n">
        <v>4202</v>
      </c>
      <c r="I6784" t="inlineStr">
        <is>
          <t>3.2</t>
        </is>
      </c>
      <c r="J6784" t="inlineStr">
        <is>
          <t>Ventas Personas (B2C)</t>
        </is>
      </c>
      <c r="K6784" t="inlineStr">
        <is>
          <t>CH2</t>
        </is>
      </c>
    </row>
    <row r="6785">
      <c r="A6785" s="33" t="n">
        <v>46137</v>
      </c>
      <c r="B6785" t="inlineStr">
        <is>
          <t>2026-04</t>
        </is>
      </c>
      <c r="C6785" t="inlineStr">
        <is>
          <t>Sin cliente</t>
        </is>
      </c>
      <c r="D6785" t="inlineStr">
        <is>
          <t>CANELE SIN AZUCAR</t>
        </is>
      </c>
      <c r="E6785" s="34" t="n">
        <v>19700</v>
      </c>
      <c r="F6785" t="inlineStr">
        <is>
          <t>B</t>
        </is>
      </c>
      <c r="G6785" s="34" t="n">
        <v>3145</v>
      </c>
      <c r="H6785" s="34" t="n">
        <v>16555</v>
      </c>
      <c r="I6785" t="inlineStr">
        <is>
          <t>3.2</t>
        </is>
      </c>
      <c r="J6785" t="inlineStr">
        <is>
          <t>Ventas Personas (B2C)</t>
        </is>
      </c>
      <c r="K6785" t="inlineStr">
        <is>
          <t>CH2</t>
        </is>
      </c>
    </row>
    <row r="6786">
      <c r="A6786" s="33" t="n">
        <v>46137</v>
      </c>
      <c r="B6786" t="inlineStr">
        <is>
          <t>2026-04</t>
        </is>
      </c>
      <c r="C6786" t="inlineStr">
        <is>
          <t>Sin cliente</t>
        </is>
      </c>
      <c r="D6786" t="inlineStr">
        <is>
          <t>Rellenos</t>
        </is>
      </c>
      <c r="E6786" s="34" t="n">
        <v>25900</v>
      </c>
      <c r="F6786" t="inlineStr">
        <is>
          <t>B</t>
        </is>
      </c>
      <c r="G6786" s="34" t="n">
        <v>4135</v>
      </c>
      <c r="H6786" s="34" t="n">
        <v>21765</v>
      </c>
      <c r="I6786" t="inlineStr">
        <is>
          <t>3.2</t>
        </is>
      </c>
      <c r="J6786" t="inlineStr">
        <is>
          <t>Ventas Personas (B2C)</t>
        </is>
      </c>
      <c r="K6786" t="inlineStr">
        <is>
          <t>CH2</t>
        </is>
      </c>
    </row>
    <row r="6787">
      <c r="A6787" s="33" t="n">
        <v>46137</v>
      </c>
      <c r="B6787" t="inlineStr">
        <is>
          <t>2026-04</t>
        </is>
      </c>
      <c r="C6787" t="inlineStr">
        <is>
          <t>Rodrigo Castillo</t>
        </is>
      </c>
      <c r="D6787" t="inlineStr">
        <is>
          <t>Mix Sabores</t>
        </is>
      </c>
      <c r="E6787" s="34" t="n">
        <v>27290</v>
      </c>
      <c r="F6787" t="inlineStr">
        <is>
          <t>B</t>
        </is>
      </c>
      <c r="G6787" s="34" t="n">
        <v>4357</v>
      </c>
      <c r="H6787" s="34" t="n">
        <v>22933</v>
      </c>
      <c r="I6787" t="inlineStr">
        <is>
          <t>3.2</t>
        </is>
      </c>
      <c r="J6787" t="inlineStr">
        <is>
          <t>Ventas Personas (B2C)</t>
        </is>
      </c>
      <c r="K6787" t="inlineStr">
        <is>
          <t>CH2</t>
        </is>
      </c>
    </row>
    <row r="6788">
      <c r="A6788" s="33" t="n">
        <v>46137</v>
      </c>
      <c r="B6788" t="inlineStr">
        <is>
          <t>2026-04</t>
        </is>
      </c>
      <c r="C6788" t="inlineStr">
        <is>
          <t>Patricia Aguila</t>
        </is>
      </c>
      <c r="D6788" t="inlineStr">
        <is>
          <t>Canelé Petit Relleno</t>
        </is>
      </c>
      <c r="E6788" s="34" t="n">
        <v>13900</v>
      </c>
      <c r="F6788" t="inlineStr">
        <is>
          <t>B</t>
        </is>
      </c>
      <c r="G6788" s="34" t="n">
        <v>2219</v>
      </c>
      <c r="H6788" s="34" t="n">
        <v>11681</v>
      </c>
      <c r="I6788" t="inlineStr">
        <is>
          <t>3.2</t>
        </is>
      </c>
      <c r="J6788" t="inlineStr">
        <is>
          <t>Ventas Personas (B2C)</t>
        </is>
      </c>
      <c r="K6788" t="inlineStr">
        <is>
          <t>CH2</t>
        </is>
      </c>
    </row>
    <row r="6789">
      <c r="A6789" s="33" t="n">
        <v>46137</v>
      </c>
      <c r="B6789" t="inlineStr">
        <is>
          <t>2026-04</t>
        </is>
      </c>
      <c r="C6789" t="inlineStr">
        <is>
          <t>Sin cliente</t>
        </is>
      </c>
      <c r="D6789" t="inlineStr">
        <is>
          <t>Rellenos</t>
        </is>
      </c>
      <c r="E6789" s="34" t="n">
        <v>16800</v>
      </c>
      <c r="F6789" t="inlineStr">
        <is>
          <t>B</t>
        </is>
      </c>
      <c r="G6789" s="34" t="n">
        <v>2682</v>
      </c>
      <c r="H6789" s="34" t="n">
        <v>14118</v>
      </c>
      <c r="I6789" t="inlineStr">
        <is>
          <t>3.6</t>
        </is>
      </c>
      <c r="J6789" t="inlineStr">
        <is>
          <t>Ventas Delivery Apps</t>
        </is>
      </c>
      <c r="K6789" t="inlineStr">
        <is>
          <t>CH3</t>
        </is>
      </c>
    </row>
    <row r="6790">
      <c r="A6790" s="33" t="n">
        <v>46137</v>
      </c>
      <c r="B6790" t="inlineStr">
        <is>
          <t>2026-04</t>
        </is>
      </c>
      <c r="C6790" t="inlineStr">
        <is>
          <t>Sin cliente</t>
        </is>
      </c>
      <c r="D6790" t="inlineStr">
        <is>
          <t>Rellenos</t>
        </is>
      </c>
      <c r="E6790" s="34" t="n">
        <v>18900</v>
      </c>
      <c r="F6790" t="inlineStr">
        <is>
          <t>B</t>
        </is>
      </c>
      <c r="G6790" s="34" t="n">
        <v>3018</v>
      </c>
      <c r="H6790" s="34" t="n">
        <v>15882</v>
      </c>
      <c r="I6790" t="inlineStr">
        <is>
          <t>3.2</t>
        </is>
      </c>
      <c r="J6790" t="inlineStr">
        <is>
          <t>Ventas Personas (B2C)</t>
        </is>
      </c>
      <c r="K6790" t="inlineStr">
        <is>
          <t>CH2</t>
        </is>
      </c>
    </row>
    <row r="6791">
      <c r="A6791" s="33" t="n">
        <v>46137</v>
      </c>
      <c r="B6791" t="inlineStr">
        <is>
          <t>2026-04</t>
        </is>
      </c>
      <c r="C6791" t="inlineStr">
        <is>
          <t>Andres Vega</t>
        </is>
      </c>
      <c r="D6791" t="inlineStr">
        <is>
          <t>CANELE SIN AZUCAR</t>
        </is>
      </c>
      <c r="E6791" s="34" t="n">
        <v>19290</v>
      </c>
      <c r="F6791" t="inlineStr">
        <is>
          <t>B</t>
        </is>
      </c>
      <c r="G6791" s="34" t="n">
        <v>3080</v>
      </c>
      <c r="H6791" s="34" t="n">
        <v>16210</v>
      </c>
      <c r="I6791" t="inlineStr">
        <is>
          <t>3.2</t>
        </is>
      </c>
      <c r="J6791" t="inlineStr">
        <is>
          <t>Ventas Personas (B2C)</t>
        </is>
      </c>
      <c r="K6791" t="inlineStr">
        <is>
          <t>CH2</t>
        </is>
      </c>
    </row>
    <row r="6792">
      <c r="A6792" s="33" t="n">
        <v>46137</v>
      </c>
      <c r="B6792" t="inlineStr">
        <is>
          <t>2026-04</t>
        </is>
      </c>
      <c r="C6792" t="inlineStr">
        <is>
          <t>Macarena Decizer</t>
        </is>
      </c>
      <c r="D6792" t="inlineStr">
        <is>
          <t>Petit Crunchy</t>
        </is>
      </c>
      <c r="E6792" s="34" t="n">
        <v>26900</v>
      </c>
      <c r="F6792" t="inlineStr">
        <is>
          <t>B</t>
        </is>
      </c>
      <c r="G6792" s="34" t="n">
        <v>4295</v>
      </c>
      <c r="H6792" s="34" t="n">
        <v>22605</v>
      </c>
      <c r="I6792" t="inlineStr">
        <is>
          <t>3.2</t>
        </is>
      </c>
      <c r="J6792" t="inlineStr">
        <is>
          <t>Ventas Personas (B2C)</t>
        </is>
      </c>
      <c r="K6792" t="inlineStr">
        <is>
          <t>CH2</t>
        </is>
      </c>
    </row>
    <row r="6793">
      <c r="A6793" s="33" t="n">
        <v>46137</v>
      </c>
      <c r="B6793" t="inlineStr">
        <is>
          <t>2026-04</t>
        </is>
      </c>
      <c r="C6793" t="inlineStr">
        <is>
          <t>Sin cliente</t>
        </is>
      </c>
      <c r="D6793" t="inlineStr">
        <is>
          <t>CANELÉ TRADICIONAL</t>
        </is>
      </c>
      <c r="E6793" s="34" t="n">
        <v>5000</v>
      </c>
      <c r="F6793" t="inlineStr">
        <is>
          <t>B</t>
        </is>
      </c>
      <c r="G6793" s="34" t="n">
        <v>798</v>
      </c>
      <c r="H6793" s="34" t="n">
        <v>4202</v>
      </c>
      <c r="I6793" t="inlineStr">
        <is>
          <t>3.2</t>
        </is>
      </c>
      <c r="J6793" t="inlineStr">
        <is>
          <t>Ventas Personas (B2C)</t>
        </is>
      </c>
      <c r="K6793" t="inlineStr">
        <is>
          <t>CH2</t>
        </is>
      </c>
    </row>
    <row r="6794">
      <c r="A6794" s="33" t="n">
        <v>46137</v>
      </c>
      <c r="B6794" t="inlineStr">
        <is>
          <t>2026-04</t>
        </is>
      </c>
      <c r="C6794" t="inlineStr">
        <is>
          <t>Sin cliente</t>
        </is>
      </c>
      <c r="D6794" t="inlineStr">
        <is>
          <t>Rellenos</t>
        </is>
      </c>
      <c r="E6794" s="34" t="n">
        <v>33900</v>
      </c>
      <c r="F6794" t="inlineStr">
        <is>
          <t>B</t>
        </is>
      </c>
      <c r="G6794" s="34" t="n">
        <v>5413</v>
      </c>
      <c r="H6794" s="34" t="n">
        <v>28487</v>
      </c>
      <c r="I6794" t="inlineStr">
        <is>
          <t>3.2</t>
        </is>
      </c>
      <c r="J6794" t="inlineStr">
        <is>
          <t>Ventas Personas (B2C)</t>
        </is>
      </c>
      <c r="K6794" t="inlineStr">
        <is>
          <t>CH2</t>
        </is>
      </c>
    </row>
    <row r="6795">
      <c r="A6795" s="33" t="n">
        <v>46137</v>
      </c>
      <c r="B6795" t="inlineStr">
        <is>
          <t>2026-04</t>
        </is>
      </c>
      <c r="C6795" t="inlineStr">
        <is>
          <t>Sin cliente</t>
        </is>
      </c>
      <c r="D6795" t="inlineStr">
        <is>
          <t>PLATAFORMAS RAP-PEYA-UBER-GOOD</t>
        </is>
      </c>
      <c r="E6795" s="34" t="n">
        <v>47760</v>
      </c>
      <c r="F6795" t="inlineStr">
        <is>
          <t>B</t>
        </is>
      </c>
      <c r="G6795" s="34" t="n">
        <v>7626</v>
      </c>
      <c r="H6795" s="34" t="n">
        <v>40134</v>
      </c>
      <c r="I6795" t="inlineStr">
        <is>
          <t>3.6</t>
        </is>
      </c>
      <c r="J6795" t="inlineStr">
        <is>
          <t>Ventas Delivery Apps</t>
        </is>
      </c>
      <c r="K6795" t="inlineStr">
        <is>
          <t>CH3</t>
        </is>
      </c>
    </row>
    <row r="6796">
      <c r="A6796" s="33" t="n">
        <v>46137</v>
      </c>
      <c r="B6796" t="inlineStr">
        <is>
          <t>2026-04</t>
        </is>
      </c>
      <c r="C6796" t="inlineStr">
        <is>
          <t>PATRICIA DIAZ</t>
        </is>
      </c>
      <c r="D6796" t="inlineStr">
        <is>
          <t>CANELÉ TRADICIONAL</t>
        </is>
      </c>
      <c r="E6796" s="34" t="n">
        <v>86400</v>
      </c>
      <c r="F6796" t="inlineStr">
        <is>
          <t>B</t>
        </is>
      </c>
      <c r="G6796" s="34" t="n">
        <v>13795</v>
      </c>
      <c r="H6796" s="34" t="n">
        <v>72605</v>
      </c>
      <c r="I6796" t="inlineStr">
        <is>
          <t>3.2</t>
        </is>
      </c>
      <c r="J6796" t="inlineStr">
        <is>
          <t>Ventas Personas (B2C)</t>
        </is>
      </c>
      <c r="K6796" t="inlineStr">
        <is>
          <t>CH2</t>
        </is>
      </c>
    </row>
    <row r="6797">
      <c r="A6797" s="33" t="n">
        <v>46137</v>
      </c>
      <c r="B6797" t="inlineStr">
        <is>
          <t>2026-04</t>
        </is>
      </c>
      <c r="C6797" t="inlineStr">
        <is>
          <t>Sin cliente</t>
        </is>
      </c>
      <c r="D6797" t="inlineStr">
        <is>
          <t>PLATAFORMAS RAP-PEYA-UBER-GOOD</t>
        </is>
      </c>
      <c r="E6797" s="34" t="n">
        <v>27000</v>
      </c>
      <c r="F6797" t="inlineStr">
        <is>
          <t>B</t>
        </is>
      </c>
      <c r="G6797" s="34" t="n">
        <v>4311</v>
      </c>
      <c r="H6797" s="34" t="n">
        <v>22689</v>
      </c>
      <c r="I6797" t="inlineStr">
        <is>
          <t>3.6</t>
        </is>
      </c>
      <c r="J6797" t="inlineStr">
        <is>
          <t>Ventas Delivery Apps</t>
        </is>
      </c>
      <c r="K6797" t="inlineStr">
        <is>
          <t>CH3</t>
        </is>
      </c>
    </row>
    <row r="6798">
      <c r="A6798" s="33" t="n">
        <v>46137</v>
      </c>
      <c r="B6798" t="inlineStr">
        <is>
          <t>2026-04</t>
        </is>
      </c>
      <c r="C6798" t="inlineStr">
        <is>
          <t>Sin cliente</t>
        </is>
      </c>
      <c r="D6798" t="inlineStr">
        <is>
          <t>CANELE SIN AZUCAR</t>
        </is>
      </c>
      <c r="E6798" s="34" t="n">
        <v>16900</v>
      </c>
      <c r="F6798" t="inlineStr">
        <is>
          <t>B</t>
        </is>
      </c>
      <c r="G6798" s="34" t="n">
        <v>2698</v>
      </c>
      <c r="H6798" s="34" t="n">
        <v>14202</v>
      </c>
      <c r="I6798" t="inlineStr">
        <is>
          <t>3.2</t>
        </is>
      </c>
      <c r="J6798" t="inlineStr">
        <is>
          <t>Ventas Personas (B2C)</t>
        </is>
      </c>
      <c r="K6798" t="inlineStr">
        <is>
          <t>CH2</t>
        </is>
      </c>
    </row>
    <row r="6799">
      <c r="A6799" s="33" t="n">
        <v>46137</v>
      </c>
      <c r="B6799" t="inlineStr">
        <is>
          <t>2026-04</t>
        </is>
      </c>
      <c r="C6799" t="inlineStr">
        <is>
          <t>Sin cliente</t>
        </is>
      </c>
      <c r="D6799" t="inlineStr">
        <is>
          <t>Petit Crunchy</t>
        </is>
      </c>
      <c r="E6799" s="34" t="n">
        <v>14900</v>
      </c>
      <c r="F6799" t="inlineStr">
        <is>
          <t>B</t>
        </is>
      </c>
      <c r="G6799" s="34" t="n">
        <v>2379</v>
      </c>
      <c r="H6799" s="34" t="n">
        <v>12521</v>
      </c>
      <c r="I6799" t="inlineStr">
        <is>
          <t>3.2</t>
        </is>
      </c>
      <c r="J6799" t="inlineStr">
        <is>
          <t>Ventas Personas (B2C)</t>
        </is>
      </c>
      <c r="K6799" t="inlineStr">
        <is>
          <t>CH2</t>
        </is>
      </c>
    </row>
    <row r="6800">
      <c r="A6800" s="33" t="n">
        <v>46137</v>
      </c>
      <c r="B6800" t="inlineStr">
        <is>
          <t>2026-04</t>
        </is>
      </c>
      <c r="C6800" t="inlineStr">
        <is>
          <t>Leonardo Zuker</t>
        </is>
      </c>
      <c r="D6800" t="inlineStr">
        <is>
          <t>Canelé Petit Relleno</t>
        </is>
      </c>
      <c r="E6800" s="34" t="n">
        <v>50190</v>
      </c>
      <c r="F6800" t="inlineStr">
        <is>
          <t>B</t>
        </is>
      </c>
      <c r="G6800" s="34" t="n">
        <v>8014</v>
      </c>
      <c r="H6800" s="34" t="n">
        <v>42176</v>
      </c>
      <c r="I6800" t="inlineStr">
        <is>
          <t>3.2</t>
        </is>
      </c>
      <c r="J6800" t="inlineStr">
        <is>
          <t>Ventas Personas (B2C)</t>
        </is>
      </c>
      <c r="K6800" t="inlineStr">
        <is>
          <t>CH2</t>
        </is>
      </c>
    </row>
    <row r="6801">
      <c r="A6801" s="33" t="n">
        <v>46137</v>
      </c>
      <c r="B6801" t="inlineStr">
        <is>
          <t>2026-04</t>
        </is>
      </c>
      <c r="C6801" t="inlineStr">
        <is>
          <t>Sin cliente</t>
        </is>
      </c>
      <c r="D6801" t="inlineStr">
        <is>
          <t>Petit Crunchy</t>
        </is>
      </c>
      <c r="E6801" s="34" t="n">
        <v>36300</v>
      </c>
      <c r="F6801" t="inlineStr">
        <is>
          <t>B</t>
        </is>
      </c>
      <c r="G6801" s="34" t="n">
        <v>5796</v>
      </c>
      <c r="H6801" s="34" t="n">
        <v>30504</v>
      </c>
      <c r="I6801" t="inlineStr">
        <is>
          <t>3.2</t>
        </is>
      </c>
      <c r="J6801" t="inlineStr">
        <is>
          <t>Ventas Personas (B2C)</t>
        </is>
      </c>
      <c r="K6801" t="inlineStr">
        <is>
          <t>CH2</t>
        </is>
      </c>
    </row>
    <row r="6802">
      <c r="A6802" s="33" t="n">
        <v>46137</v>
      </c>
      <c r="B6802" t="inlineStr">
        <is>
          <t>2026-04</t>
        </is>
      </c>
      <c r="C6802" t="inlineStr">
        <is>
          <t>Sin cliente</t>
        </is>
      </c>
      <c r="D6802" t="inlineStr">
        <is>
          <t>Delicatessen</t>
        </is>
      </c>
      <c r="E6802" s="34" t="n">
        <v>2125</v>
      </c>
      <c r="F6802" t="inlineStr">
        <is>
          <t>B</t>
        </is>
      </c>
      <c r="G6802" s="34" t="n">
        <v>339</v>
      </c>
      <c r="H6802" s="34" t="n">
        <v>1786</v>
      </c>
      <c r="I6802" t="inlineStr">
        <is>
          <t>3.2</t>
        </is>
      </c>
      <c r="J6802" t="inlineStr">
        <is>
          <t>Ventas Personas (B2C)</t>
        </is>
      </c>
      <c r="K6802" t="inlineStr">
        <is>
          <t>CH2</t>
        </is>
      </c>
    </row>
    <row r="6803">
      <c r="A6803" s="33" t="n">
        <v>46137</v>
      </c>
      <c r="B6803" t="inlineStr">
        <is>
          <t>2026-04</t>
        </is>
      </c>
      <c r="C6803" t="inlineStr">
        <is>
          <t>Sin cliente</t>
        </is>
      </c>
      <c r="D6803" t="inlineStr">
        <is>
          <t>Rellenos</t>
        </is>
      </c>
      <c r="E6803" s="34" t="n">
        <v>13400</v>
      </c>
      <c r="F6803" t="inlineStr">
        <is>
          <t>B</t>
        </is>
      </c>
      <c r="G6803" s="34" t="n">
        <v>2139</v>
      </c>
      <c r="H6803" s="34" t="n">
        <v>11261</v>
      </c>
      <c r="I6803" t="inlineStr">
        <is>
          <t>3.2</t>
        </is>
      </c>
      <c r="J6803" t="inlineStr">
        <is>
          <t>Ventas Personas (B2C)</t>
        </is>
      </c>
      <c r="K6803" t="inlineStr">
        <is>
          <t>CH2</t>
        </is>
      </c>
    </row>
    <row r="6804">
      <c r="A6804" s="33" t="n">
        <v>46137</v>
      </c>
      <c r="B6804" t="inlineStr">
        <is>
          <t>2026-04</t>
        </is>
      </c>
      <c r="C6804" t="inlineStr">
        <is>
          <t>Sin cliente</t>
        </is>
      </c>
      <c r="D6804" t="inlineStr">
        <is>
          <t>Rellenos</t>
        </is>
      </c>
      <c r="E6804" s="34" t="n">
        <v>22400</v>
      </c>
      <c r="F6804" t="inlineStr">
        <is>
          <t>B</t>
        </is>
      </c>
      <c r="G6804" s="34" t="n">
        <v>3576</v>
      </c>
      <c r="H6804" s="34" t="n">
        <v>18824</v>
      </c>
      <c r="I6804" t="inlineStr">
        <is>
          <t>3.2</t>
        </is>
      </c>
      <c r="J6804" t="inlineStr">
        <is>
          <t>Ventas Personas (B2C)</t>
        </is>
      </c>
      <c r="K6804" t="inlineStr">
        <is>
          <t>CH2</t>
        </is>
      </c>
    </row>
    <row r="6805">
      <c r="A6805" s="33" t="n">
        <v>46137</v>
      </c>
      <c r="B6805" t="inlineStr">
        <is>
          <t>2026-04</t>
        </is>
      </c>
      <c r="C6805" t="inlineStr">
        <is>
          <t>Sin cliente</t>
        </is>
      </c>
      <c r="D6805" t="inlineStr">
        <is>
          <t>Delicatessen</t>
        </is>
      </c>
      <c r="E6805" s="34" t="n">
        <v>2125</v>
      </c>
      <c r="F6805" t="inlineStr">
        <is>
          <t>B</t>
        </is>
      </c>
      <c r="G6805" s="34" t="n">
        <v>339</v>
      </c>
      <c r="H6805" s="34" t="n">
        <v>1786</v>
      </c>
      <c r="I6805" t="inlineStr">
        <is>
          <t>3.2</t>
        </is>
      </c>
      <c r="J6805" t="inlineStr">
        <is>
          <t>Ventas Personas (B2C)</t>
        </is>
      </c>
      <c r="K6805" t="inlineStr">
        <is>
          <t>CH2</t>
        </is>
      </c>
    </row>
    <row r="6806">
      <c r="A6806" s="33" t="n">
        <v>46137</v>
      </c>
      <c r="B6806" t="inlineStr">
        <is>
          <t>2026-04</t>
        </is>
      </c>
      <c r="C6806" t="inlineStr">
        <is>
          <t>Sin cliente</t>
        </is>
      </c>
      <c r="D6806" t="inlineStr">
        <is>
          <t>Petit Crunchy</t>
        </is>
      </c>
      <c r="E6806" s="34" t="n">
        <v>15090</v>
      </c>
      <c r="F6806" t="inlineStr">
        <is>
          <t>B</t>
        </is>
      </c>
      <c r="G6806" s="34" t="n">
        <v>2409</v>
      </c>
      <c r="H6806" s="34" t="n">
        <v>12681</v>
      </c>
      <c r="I6806" t="inlineStr">
        <is>
          <t>3.2</t>
        </is>
      </c>
      <c r="J6806" t="inlineStr">
        <is>
          <t>Ventas Personas (B2C)</t>
        </is>
      </c>
      <c r="K6806" t="inlineStr">
        <is>
          <t>CH2</t>
        </is>
      </c>
    </row>
    <row r="6807">
      <c r="A6807" s="33" t="n">
        <v>46138</v>
      </c>
      <c r="B6807" t="inlineStr">
        <is>
          <t>2026-04</t>
        </is>
      </c>
      <c r="C6807" t="inlineStr">
        <is>
          <t>Pia Fabbroni</t>
        </is>
      </c>
      <c r="D6807" t="inlineStr">
        <is>
          <t>Canelé Petit Relleno</t>
        </is>
      </c>
      <c r="E6807" s="34" t="n">
        <v>19390</v>
      </c>
      <c r="F6807" t="inlineStr">
        <is>
          <t>B</t>
        </is>
      </c>
      <c r="G6807" s="34" t="n">
        <v>3096</v>
      </c>
      <c r="H6807" s="34" t="n">
        <v>16294</v>
      </c>
      <c r="I6807" t="inlineStr">
        <is>
          <t>3.2</t>
        </is>
      </c>
      <c r="J6807" t="inlineStr">
        <is>
          <t>Ventas Personas (B2C)</t>
        </is>
      </c>
      <c r="K6807" t="inlineStr">
        <is>
          <t>CH2</t>
        </is>
      </c>
    </row>
    <row r="6808">
      <c r="A6808" s="33" t="n">
        <v>46139</v>
      </c>
      <c r="B6808" t="inlineStr">
        <is>
          <t>2026-04</t>
        </is>
      </c>
      <c r="C6808" t="inlineStr">
        <is>
          <t>Andar Café SpA</t>
        </is>
      </c>
      <c r="D6808" t="inlineStr">
        <is>
          <t>HORECA CAFETERIA</t>
        </is>
      </c>
      <c r="E6808" s="34" t="n">
        <v>156104</v>
      </c>
      <c r="F6808" t="inlineStr">
        <is>
          <t>F</t>
        </is>
      </c>
      <c r="G6808" s="34" t="n">
        <v>24924</v>
      </c>
      <c r="H6808" s="34" t="n">
        <v>131180</v>
      </c>
      <c r="I6808" t="inlineStr">
        <is>
          <t>3.1</t>
        </is>
      </c>
      <c r="J6808" t="inlineStr">
        <is>
          <t>Ventas HoReCa</t>
        </is>
      </c>
      <c r="K6808" t="inlineStr">
        <is>
          <t>CH1</t>
        </is>
      </c>
    </row>
    <row r="6809">
      <c r="A6809" s="33" t="n">
        <v>46139</v>
      </c>
      <c r="B6809" t="inlineStr">
        <is>
          <t>2026-04</t>
        </is>
      </c>
      <c r="C6809" t="inlineStr">
        <is>
          <t>INVERSIONES Y COMERCIALIZADORA FED LIMITADA</t>
        </is>
      </c>
      <c r="D6809" t="inlineStr">
        <is>
          <t>REGION METROPOLITANA</t>
        </is>
      </c>
      <c r="E6809" s="34" t="n">
        <v>442856</v>
      </c>
      <c r="F6809" t="inlineStr">
        <is>
          <t>F</t>
        </is>
      </c>
      <c r="G6809" s="34" t="n">
        <v>70708</v>
      </c>
      <c r="H6809" s="34" t="n">
        <v>372148</v>
      </c>
      <c r="I6809" t="inlineStr">
        <is>
          <t>3.1</t>
        </is>
      </c>
      <c r="J6809" t="inlineStr">
        <is>
          <t>Ventas HoReCa</t>
        </is>
      </c>
      <c r="K6809" t="inlineStr">
        <is>
          <t>CH1</t>
        </is>
      </c>
    </row>
    <row r="6810">
      <c r="A6810" s="33" t="n">
        <v>46139</v>
      </c>
      <c r="B6810" t="inlineStr">
        <is>
          <t>2026-04</t>
        </is>
      </c>
      <c r="C6810" t="inlineStr">
        <is>
          <t>CAFE DIARIO ENCOMENDEROS SPA</t>
        </is>
      </c>
      <c r="D6810" t="inlineStr">
        <is>
          <t>HORECA CAFETERIA</t>
        </is>
      </c>
      <c r="E6810" s="34" t="n">
        <v>177191</v>
      </c>
      <c r="F6810" t="inlineStr">
        <is>
          <t>F</t>
        </is>
      </c>
      <c r="G6810" s="34" t="n">
        <v>28291</v>
      </c>
      <c r="H6810" s="34" t="n">
        <v>148900</v>
      </c>
      <c r="I6810" t="inlineStr">
        <is>
          <t>3.1</t>
        </is>
      </c>
      <c r="J6810" t="inlineStr">
        <is>
          <t>Ventas HoReCa</t>
        </is>
      </c>
      <c r="K6810" t="inlineStr">
        <is>
          <t>CH1</t>
        </is>
      </c>
    </row>
    <row r="6811">
      <c r="A6811" s="33" t="n">
        <v>46139</v>
      </c>
      <c r="B6811" t="inlineStr">
        <is>
          <t>2026-04</t>
        </is>
      </c>
      <c r="C6811" t="inlineStr">
        <is>
          <t>INVERSIONES Y ASESORIAS RAVAL LIMITADA</t>
        </is>
      </c>
      <c r="D6811" t="inlineStr">
        <is>
          <t>HORECA CAFETERIA</t>
        </is>
      </c>
      <c r="E6811" s="34" t="n">
        <v>118619</v>
      </c>
      <c r="F6811" t="inlineStr">
        <is>
          <t>F</t>
        </is>
      </c>
      <c r="G6811" s="34" t="n">
        <v>18939</v>
      </c>
      <c r="H6811" s="34" t="n">
        <v>99680</v>
      </c>
      <c r="I6811" t="inlineStr">
        <is>
          <t>3.1</t>
        </is>
      </c>
      <c r="J6811" t="inlineStr">
        <is>
          <t>Ventas HoReCa</t>
        </is>
      </c>
      <c r="K6811" t="inlineStr">
        <is>
          <t>CH1</t>
        </is>
      </c>
    </row>
    <row r="6812">
      <c r="A6812" s="33" t="n">
        <v>46139</v>
      </c>
      <c r="B6812" t="inlineStr">
        <is>
          <t>2026-04</t>
        </is>
      </c>
      <c r="C6812" t="inlineStr">
        <is>
          <t>RESTAURANT LA COSECHA SPA</t>
        </is>
      </c>
      <c r="D6812" t="inlineStr">
        <is>
          <t>HORECA CAFETERIA</t>
        </is>
      </c>
      <c r="E6812" s="34" t="n">
        <v>176358</v>
      </c>
      <c r="F6812" t="inlineStr">
        <is>
          <t>F</t>
        </is>
      </c>
      <c r="G6812" s="34" t="n">
        <v>28158</v>
      </c>
      <c r="H6812" s="34" t="n">
        <v>148200</v>
      </c>
      <c r="I6812" t="inlineStr">
        <is>
          <t>3.1</t>
        </is>
      </c>
      <c r="J6812" t="inlineStr">
        <is>
          <t>Ventas HoReCa</t>
        </is>
      </c>
      <c r="K6812" t="inlineStr">
        <is>
          <t>CH1</t>
        </is>
      </c>
    </row>
    <row r="6813">
      <c r="A6813" s="33" t="n">
        <v>46139</v>
      </c>
      <c r="B6813" t="inlineStr">
        <is>
          <t>2026-04</t>
        </is>
      </c>
      <c r="C6813" t="inlineStr">
        <is>
          <t>Cristel Bustos</t>
        </is>
      </c>
      <c r="D6813" t="inlineStr">
        <is>
          <t>Petit Tradicional</t>
        </is>
      </c>
      <c r="E6813" s="34" t="n">
        <v>66790</v>
      </c>
      <c r="F6813" t="inlineStr">
        <is>
          <t>B</t>
        </is>
      </c>
      <c r="G6813" s="34" t="n">
        <v>10664</v>
      </c>
      <c r="H6813" s="34" t="n">
        <v>56126</v>
      </c>
      <c r="I6813" t="inlineStr">
        <is>
          <t>3.2</t>
        </is>
      </c>
      <c r="J6813" t="inlineStr">
        <is>
          <t>Ventas Personas (B2C)</t>
        </is>
      </c>
      <c r="K6813" t="inlineStr">
        <is>
          <t>CH2</t>
        </is>
      </c>
    </row>
    <row r="6814">
      <c r="A6814" s="33" t="n">
        <v>46139</v>
      </c>
      <c r="B6814" t="inlineStr">
        <is>
          <t>2026-04</t>
        </is>
      </c>
      <c r="C6814" t="inlineStr">
        <is>
          <t>Andar Café SpA</t>
        </is>
      </c>
      <c r="D6814" t="inlineStr">
        <is>
          <t>HORECA CAFETERIA</t>
        </is>
      </c>
      <c r="E6814" s="34" t="n">
        <v>45220</v>
      </c>
      <c r="F6814" t="inlineStr">
        <is>
          <t>F</t>
        </is>
      </c>
      <c r="G6814" s="34" t="n">
        <v>7220</v>
      </c>
      <c r="H6814" s="34" t="n">
        <v>38000</v>
      </c>
      <c r="I6814" t="inlineStr">
        <is>
          <t>3.1</t>
        </is>
      </c>
      <c r="J6814" t="inlineStr">
        <is>
          <t>Ventas HoReCa</t>
        </is>
      </c>
      <c r="K6814" t="inlineStr">
        <is>
          <t>CH1</t>
        </is>
      </c>
    </row>
    <row r="6815">
      <c r="A6815" s="33" t="n">
        <v>46139</v>
      </c>
      <c r="B6815" t="inlineStr">
        <is>
          <t>2026-04</t>
        </is>
      </c>
      <c r="C6815" t="inlineStr">
        <is>
          <t>Rodrigo Castillo</t>
        </is>
      </c>
      <c r="D6815" t="inlineStr">
        <is>
          <t>Mix Sabores</t>
        </is>
      </c>
      <c r="E6815" s="34" t="n">
        <v>27290</v>
      </c>
      <c r="F6815" t="inlineStr">
        <is>
          <t>B</t>
        </is>
      </c>
      <c r="G6815" s="34" t="n">
        <v>4357</v>
      </c>
      <c r="H6815" s="34" t="n">
        <v>22933</v>
      </c>
      <c r="I6815" t="inlineStr">
        <is>
          <t>3.2</t>
        </is>
      </c>
      <c r="J6815" t="inlineStr">
        <is>
          <t>Ventas Personas (B2C)</t>
        </is>
      </c>
      <c r="K6815" t="inlineStr">
        <is>
          <t>CH2</t>
        </is>
      </c>
    </row>
    <row r="6816">
      <c r="A6816" s="33" t="n">
        <v>46139</v>
      </c>
      <c r="B6816" t="inlineStr">
        <is>
          <t>2026-04</t>
        </is>
      </c>
      <c r="C6816" t="inlineStr">
        <is>
          <t>Pablo Montesinos Pizarro</t>
        </is>
      </c>
      <c r="D6816" t="inlineStr">
        <is>
          <t>Petit Tradicional</t>
        </is>
      </c>
      <c r="E6816" s="34" t="n">
        <v>21800</v>
      </c>
      <c r="F6816" t="inlineStr">
        <is>
          <t>B</t>
        </is>
      </c>
      <c r="G6816" s="34" t="n">
        <v>3481</v>
      </c>
      <c r="H6816" s="34" t="n">
        <v>18319</v>
      </c>
      <c r="I6816" t="inlineStr">
        <is>
          <t>3.2</t>
        </is>
      </c>
      <c r="J6816" t="inlineStr">
        <is>
          <t>Ventas Personas (B2C)</t>
        </is>
      </c>
      <c r="K6816" t="inlineStr">
        <is>
          <t>CH2</t>
        </is>
      </c>
    </row>
    <row r="6817">
      <c r="A6817" s="33" t="n">
        <v>46139</v>
      </c>
      <c r="B6817" t="inlineStr">
        <is>
          <t>2026-04</t>
        </is>
      </c>
      <c r="C6817" t="inlineStr">
        <is>
          <t>Daniela Sekul</t>
        </is>
      </c>
      <c r="D6817" t="inlineStr">
        <is>
          <t>Petit Tradicional</t>
        </is>
      </c>
      <c r="E6817" s="34" t="n">
        <v>13800</v>
      </c>
      <c r="F6817" t="inlineStr">
        <is>
          <t>B</t>
        </is>
      </c>
      <c r="G6817" s="34" t="n">
        <v>2203</v>
      </c>
      <c r="H6817" s="34" t="n">
        <v>11597</v>
      </c>
      <c r="I6817" t="inlineStr">
        <is>
          <t>3.2</t>
        </is>
      </c>
      <c r="J6817" t="inlineStr">
        <is>
          <t>Ventas Personas (B2C)</t>
        </is>
      </c>
      <c r="K6817" t="inlineStr">
        <is>
          <t>CH2</t>
        </is>
      </c>
    </row>
    <row r="6818">
      <c r="A6818" s="33" t="n">
        <v>46139</v>
      </c>
      <c r="B6818" t="inlineStr">
        <is>
          <t>2026-04</t>
        </is>
      </c>
      <c r="C6818" t="inlineStr">
        <is>
          <t>Sin cliente</t>
        </is>
      </c>
      <c r="D6818" t="inlineStr">
        <is>
          <t>Petit Crunchy</t>
        </is>
      </c>
      <c r="E6818" s="34" t="n">
        <v>10900</v>
      </c>
      <c r="F6818" t="inlineStr">
        <is>
          <t>B</t>
        </is>
      </c>
      <c r="G6818" s="34" t="n">
        <v>1740</v>
      </c>
      <c r="H6818" s="34" t="n">
        <v>9160</v>
      </c>
      <c r="I6818" t="inlineStr">
        <is>
          <t>3.2</t>
        </is>
      </c>
      <c r="J6818" t="inlineStr">
        <is>
          <t>Ventas Personas (B2C)</t>
        </is>
      </c>
      <c r="K6818" t="inlineStr">
        <is>
          <t>CH2</t>
        </is>
      </c>
    </row>
    <row r="6819">
      <c r="A6819" s="33" t="n">
        <v>46139</v>
      </c>
      <c r="B6819" t="inlineStr">
        <is>
          <t>2026-04</t>
        </is>
      </c>
      <c r="C6819" t="inlineStr">
        <is>
          <t>Luciano Lago</t>
        </is>
      </c>
      <c r="D6819" t="inlineStr">
        <is>
          <t>CANELÉ TRADICIONAL</t>
        </is>
      </c>
      <c r="E6819" s="34" t="n">
        <v>19390</v>
      </c>
      <c r="F6819" t="inlineStr">
        <is>
          <t>B</t>
        </is>
      </c>
      <c r="G6819" s="34" t="n">
        <v>3096</v>
      </c>
      <c r="H6819" s="34" t="n">
        <v>16294</v>
      </c>
      <c r="I6819" t="inlineStr">
        <is>
          <t>3.2</t>
        </is>
      </c>
      <c r="J6819" t="inlineStr">
        <is>
          <t>Ventas Personas (B2C)</t>
        </is>
      </c>
      <c r="K6819" t="inlineStr">
        <is>
          <t>CH2</t>
        </is>
      </c>
    </row>
    <row r="6820">
      <c r="A6820" s="33" t="n">
        <v>46139</v>
      </c>
      <c r="B6820" t="inlineStr">
        <is>
          <t>2026-04</t>
        </is>
      </c>
      <c r="C6820" t="inlineStr">
        <is>
          <t>Sin cliente</t>
        </is>
      </c>
      <c r="D6820" t="inlineStr">
        <is>
          <t>Cafeteria Geronimo</t>
        </is>
      </c>
      <c r="E6820" s="34" t="n">
        <v>2550</v>
      </c>
      <c r="F6820" t="inlineStr">
        <is>
          <t>B</t>
        </is>
      </c>
      <c r="G6820" s="34" t="n">
        <v>407</v>
      </c>
      <c r="H6820" s="34" t="n">
        <v>2143</v>
      </c>
      <c r="I6820" t="inlineStr">
        <is>
          <t>3.2</t>
        </is>
      </c>
      <c r="J6820" t="inlineStr">
        <is>
          <t>Ventas Personas (B2C)</t>
        </is>
      </c>
      <c r="K6820" t="inlineStr">
        <is>
          <t>CH2</t>
        </is>
      </c>
    </row>
    <row r="6821">
      <c r="A6821" s="33" t="n">
        <v>46139</v>
      </c>
      <c r="B6821" t="inlineStr">
        <is>
          <t>2026-04</t>
        </is>
      </c>
      <c r="C6821" t="inlineStr">
        <is>
          <t>Sin cliente</t>
        </is>
      </c>
      <c r="D6821" t="inlineStr">
        <is>
          <t>Petit Tradicional</t>
        </is>
      </c>
      <c r="E6821" s="34" t="n">
        <v>21800</v>
      </c>
      <c r="F6821" t="inlineStr">
        <is>
          <t>B</t>
        </is>
      </c>
      <c r="G6821" s="34" t="n">
        <v>3481</v>
      </c>
      <c r="H6821" s="34" t="n">
        <v>18319</v>
      </c>
      <c r="I6821" t="inlineStr">
        <is>
          <t>3.2</t>
        </is>
      </c>
      <c r="J6821" t="inlineStr">
        <is>
          <t>Ventas Personas (B2C)</t>
        </is>
      </c>
      <c r="K6821" t="inlineStr">
        <is>
          <t>CH2</t>
        </is>
      </c>
    </row>
    <row r="6822">
      <c r="A6822" s="33" t="n">
        <v>46139</v>
      </c>
      <c r="B6822" t="inlineStr">
        <is>
          <t>2026-04</t>
        </is>
      </c>
      <c r="C6822" t="inlineStr">
        <is>
          <t>Sin cliente</t>
        </is>
      </c>
      <c r="D6822" t="inlineStr">
        <is>
          <t>CANELÉ TRADICIONAL</t>
        </is>
      </c>
      <c r="E6822" s="34" t="n">
        <v>2500</v>
      </c>
      <c r="F6822" t="inlineStr">
        <is>
          <t>B</t>
        </is>
      </c>
      <c r="G6822" s="34" t="n">
        <v>399</v>
      </c>
      <c r="H6822" s="34" t="n">
        <v>2101</v>
      </c>
      <c r="I6822" t="inlineStr">
        <is>
          <t>3.2</t>
        </is>
      </c>
      <c r="J6822" t="inlineStr">
        <is>
          <t>Ventas Personas (B2C)</t>
        </is>
      </c>
      <c r="K6822" t="inlineStr">
        <is>
          <t>CH2</t>
        </is>
      </c>
    </row>
    <row r="6823">
      <c r="A6823" s="33" t="n">
        <v>46139</v>
      </c>
      <c r="B6823" t="inlineStr">
        <is>
          <t>2026-04</t>
        </is>
      </c>
      <c r="C6823" t="inlineStr">
        <is>
          <t>Lissette Flores</t>
        </is>
      </c>
      <c r="D6823" t="inlineStr">
        <is>
          <t>CANELE SIN AZUCAR</t>
        </is>
      </c>
      <c r="E6823" s="34" t="n">
        <v>40090</v>
      </c>
      <c r="F6823" t="inlineStr">
        <is>
          <t>B</t>
        </is>
      </c>
      <c r="G6823" s="34" t="n">
        <v>6401</v>
      </c>
      <c r="H6823" s="34" t="n">
        <v>33689</v>
      </c>
      <c r="I6823" t="inlineStr">
        <is>
          <t>3.2</t>
        </is>
      </c>
      <c r="J6823" t="inlineStr">
        <is>
          <t>Ventas Personas (B2C)</t>
        </is>
      </c>
      <c r="K6823" t="inlineStr">
        <is>
          <t>CH2</t>
        </is>
      </c>
    </row>
    <row r="6824">
      <c r="A6824" s="33" t="n">
        <v>46139</v>
      </c>
      <c r="B6824" t="inlineStr">
        <is>
          <t>2026-04</t>
        </is>
      </c>
      <c r="C6824" t="inlineStr">
        <is>
          <t>jackeline becker</t>
        </is>
      </c>
      <c r="D6824" t="inlineStr">
        <is>
          <t>CANELÉ TRADICIONAL</t>
        </is>
      </c>
      <c r="E6824" s="34" t="n">
        <v>38290</v>
      </c>
      <c r="F6824" t="inlineStr">
        <is>
          <t>B</t>
        </is>
      </c>
      <c r="G6824" s="34" t="n">
        <v>6114</v>
      </c>
      <c r="H6824" s="34" t="n">
        <v>32176</v>
      </c>
      <c r="I6824" t="inlineStr">
        <is>
          <t>3.2</t>
        </is>
      </c>
      <c r="J6824" t="inlineStr">
        <is>
          <t>Ventas Personas (B2C)</t>
        </is>
      </c>
      <c r="K6824" t="inlineStr">
        <is>
          <t>CH2</t>
        </is>
      </c>
    </row>
    <row r="6825">
      <c r="A6825" s="33" t="n">
        <v>46139</v>
      </c>
      <c r="B6825" t="inlineStr">
        <is>
          <t>2026-04</t>
        </is>
      </c>
      <c r="C6825" t="inlineStr">
        <is>
          <t>Sin cliente</t>
        </is>
      </c>
      <c r="D6825" t="inlineStr">
        <is>
          <t>Rellenos</t>
        </is>
      </c>
      <c r="E6825" s="34" t="n">
        <v>25900</v>
      </c>
      <c r="F6825" t="inlineStr">
        <is>
          <t>B</t>
        </is>
      </c>
      <c r="G6825" s="34" t="n">
        <v>4135</v>
      </c>
      <c r="H6825" s="34" t="n">
        <v>21765</v>
      </c>
      <c r="I6825" t="inlineStr">
        <is>
          <t>3.2</t>
        </is>
      </c>
      <c r="J6825" t="inlineStr">
        <is>
          <t>Ventas Personas (B2C)</t>
        </is>
      </c>
      <c r="K6825" t="inlineStr">
        <is>
          <t>CH2</t>
        </is>
      </c>
    </row>
    <row r="6826">
      <c r="A6826" s="33" t="n">
        <v>46139</v>
      </c>
      <c r="B6826" t="inlineStr">
        <is>
          <t>2026-04</t>
        </is>
      </c>
      <c r="C6826" t="inlineStr">
        <is>
          <t>Sin cliente</t>
        </is>
      </c>
      <c r="D6826" t="inlineStr">
        <is>
          <t>Petit Tradicional</t>
        </is>
      </c>
      <c r="E6826" s="34" t="n">
        <v>33090</v>
      </c>
      <c r="F6826" t="inlineStr">
        <is>
          <t>B</t>
        </is>
      </c>
      <c r="G6826" s="34" t="n">
        <v>5283</v>
      </c>
      <c r="H6826" s="34" t="n">
        <v>27807</v>
      </c>
      <c r="I6826" t="inlineStr">
        <is>
          <t>3.2</t>
        </is>
      </c>
      <c r="J6826" t="inlineStr">
        <is>
          <t>Ventas Personas (B2C)</t>
        </is>
      </c>
      <c r="K6826" t="inlineStr">
        <is>
          <t>CH2</t>
        </is>
      </c>
    </row>
    <row r="6827">
      <c r="A6827" s="33" t="n">
        <v>46139</v>
      </c>
      <c r="B6827" t="inlineStr">
        <is>
          <t>2026-04</t>
        </is>
      </c>
      <c r="C6827" t="inlineStr">
        <is>
          <t>Sin cliente</t>
        </is>
      </c>
      <c r="D6827" t="inlineStr">
        <is>
          <t>PLATAFORMAS RAP-PEYA-UBER-GOOD</t>
        </is>
      </c>
      <c r="E6827" s="34" t="n">
        <v>22548</v>
      </c>
      <c r="F6827" t="inlineStr">
        <is>
          <t>B</t>
        </is>
      </c>
      <c r="G6827" s="34" t="n">
        <v>3600</v>
      </c>
      <c r="H6827" s="34" t="n">
        <v>18948</v>
      </c>
      <c r="I6827" t="inlineStr">
        <is>
          <t>3.6</t>
        </is>
      </c>
      <c r="J6827" t="inlineStr">
        <is>
          <t>Ventas Delivery Apps</t>
        </is>
      </c>
      <c r="K6827" t="inlineStr">
        <is>
          <t>CH3</t>
        </is>
      </c>
    </row>
    <row r="6828">
      <c r="A6828" s="33" t="n">
        <v>46140</v>
      </c>
      <c r="B6828" t="inlineStr">
        <is>
          <t>2026-04</t>
        </is>
      </c>
      <c r="C6828" t="inlineStr">
        <is>
          <t>OH SOME SPA</t>
        </is>
      </c>
      <c r="D6828" t="inlineStr">
        <is>
          <t>HORECA CAFETERIA</t>
        </is>
      </c>
      <c r="E6828" s="34" t="n">
        <v>183379</v>
      </c>
      <c r="F6828" t="inlineStr">
        <is>
          <t>F</t>
        </is>
      </c>
      <c r="G6828" s="34" t="n">
        <v>29279</v>
      </c>
      <c r="H6828" s="34" t="n">
        <v>154100</v>
      </c>
      <c r="I6828" t="inlineStr">
        <is>
          <t>3.1</t>
        </is>
      </c>
      <c r="J6828" t="inlineStr">
        <is>
          <t>Ventas HoReCa</t>
        </is>
      </c>
      <c r="K6828" t="inlineStr">
        <is>
          <t>CH1</t>
        </is>
      </c>
    </row>
    <row r="6829">
      <c r="A6829" s="33" t="n">
        <v>46140</v>
      </c>
      <c r="B6829" t="inlineStr">
        <is>
          <t>2026-04</t>
        </is>
      </c>
      <c r="C6829" t="inlineStr">
        <is>
          <t>Eduardo Jose Spencer Eckart Spa</t>
        </is>
      </c>
      <c r="D6829" t="inlineStr">
        <is>
          <t>HORECA CAFETERIA</t>
        </is>
      </c>
      <c r="E6829" s="34" t="n">
        <v>110408</v>
      </c>
      <c r="F6829" t="inlineStr">
        <is>
          <t>F</t>
        </is>
      </c>
      <c r="G6829" s="34" t="n">
        <v>17628</v>
      </c>
      <c r="H6829" s="34" t="n">
        <v>92780</v>
      </c>
      <c r="I6829" t="inlineStr">
        <is>
          <t>3.1</t>
        </is>
      </c>
      <c r="J6829" t="inlineStr">
        <is>
          <t>Ventas HoReCa</t>
        </is>
      </c>
      <c r="K6829" t="inlineStr">
        <is>
          <t>CH1</t>
        </is>
      </c>
    </row>
    <row r="6830">
      <c r="A6830" s="33" t="n">
        <v>46140</v>
      </c>
      <c r="B6830" t="inlineStr">
        <is>
          <t>2026-04</t>
        </is>
      </c>
      <c r="C6830" t="inlineStr">
        <is>
          <t>Eduardo Jose Spencer Eckart Spa</t>
        </is>
      </c>
      <c r="D6830" t="inlineStr">
        <is>
          <t>HORECA CAFETERIA</t>
        </is>
      </c>
      <c r="E6830" s="34" t="n">
        <v>-110408</v>
      </c>
      <c r="F6830" t="inlineStr">
        <is>
          <t>NC</t>
        </is>
      </c>
      <c r="G6830" s="34" t="n">
        <v>-17628</v>
      </c>
      <c r="H6830" s="34" t="n">
        <v>-92780</v>
      </c>
      <c r="I6830" t="inlineStr">
        <is>
          <t>3.1</t>
        </is>
      </c>
      <c r="J6830" t="inlineStr">
        <is>
          <t>Ventas HoReCa</t>
        </is>
      </c>
      <c r="K6830" t="inlineStr">
        <is>
          <t>CH1</t>
        </is>
      </c>
    </row>
    <row r="6831">
      <c r="A6831" s="33" t="n">
        <v>46140</v>
      </c>
      <c r="B6831" t="inlineStr">
        <is>
          <t>2026-04</t>
        </is>
      </c>
      <c r="C6831" t="inlineStr">
        <is>
          <t>Eduardo Jose Spencer Eckart Spa</t>
        </is>
      </c>
      <c r="D6831" t="inlineStr">
        <is>
          <t>HORECA CAFETERIA</t>
        </is>
      </c>
      <c r="E6831" s="34" t="n">
        <v>117429</v>
      </c>
      <c r="F6831" t="inlineStr">
        <is>
          <t>F</t>
        </is>
      </c>
      <c r="G6831" s="34" t="n">
        <v>18749</v>
      </c>
      <c r="H6831" s="34" t="n">
        <v>98680</v>
      </c>
      <c r="I6831" t="inlineStr">
        <is>
          <t>3.1</t>
        </is>
      </c>
      <c r="J6831" t="inlineStr">
        <is>
          <t>Ventas HoReCa</t>
        </is>
      </c>
      <c r="K6831" t="inlineStr">
        <is>
          <t>CH1</t>
        </is>
      </c>
    </row>
    <row r="6832">
      <c r="A6832" s="33" t="n">
        <v>46140</v>
      </c>
      <c r="B6832" t="inlineStr">
        <is>
          <t>2026-04</t>
        </is>
      </c>
      <c r="C6832" t="inlineStr">
        <is>
          <t>Cocoshouse Spa</t>
        </is>
      </c>
      <c r="D6832" t="inlineStr">
        <is>
          <t>HORECA CAFETERIA</t>
        </is>
      </c>
      <c r="E6832" s="34" t="n">
        <v>77564</v>
      </c>
      <c r="F6832" t="inlineStr">
        <is>
          <t>F</t>
        </is>
      </c>
      <c r="G6832" s="34" t="n">
        <v>12384</v>
      </c>
      <c r="H6832" s="34" t="n">
        <v>65180</v>
      </c>
      <c r="I6832" t="inlineStr">
        <is>
          <t>3.1</t>
        </is>
      </c>
      <c r="J6832" t="inlineStr">
        <is>
          <t>Ventas HoReCa</t>
        </is>
      </c>
      <c r="K6832" t="inlineStr">
        <is>
          <t>CH1</t>
        </is>
      </c>
    </row>
    <row r="6833">
      <c r="A6833" s="33" t="n">
        <v>46140</v>
      </c>
      <c r="B6833" t="inlineStr">
        <is>
          <t>2026-04</t>
        </is>
      </c>
      <c r="C6833" t="inlineStr">
        <is>
          <t>isabella colussi</t>
        </is>
      </c>
      <c r="D6833" t="inlineStr">
        <is>
          <t>CANELÉ TRADICIONAL</t>
        </is>
      </c>
      <c r="E6833" s="34" t="n">
        <v>21390</v>
      </c>
      <c r="F6833" t="inlineStr">
        <is>
          <t>B</t>
        </is>
      </c>
      <c r="G6833" s="34" t="n">
        <v>3415</v>
      </c>
      <c r="H6833" s="34" t="n">
        <v>17975</v>
      </c>
      <c r="I6833" t="inlineStr">
        <is>
          <t>3.2</t>
        </is>
      </c>
      <c r="J6833" t="inlineStr">
        <is>
          <t>Ventas Personas (B2C)</t>
        </is>
      </c>
      <c r="K6833" t="inlineStr">
        <is>
          <t>CH2</t>
        </is>
      </c>
    </row>
    <row r="6834">
      <c r="A6834" s="33" t="n">
        <v>46140</v>
      </c>
      <c r="B6834" t="inlineStr">
        <is>
          <t>2026-04</t>
        </is>
      </c>
      <c r="C6834" t="inlineStr">
        <is>
          <t>Sin cliente</t>
        </is>
      </c>
      <c r="D6834" t="inlineStr">
        <is>
          <t>Petit Tradicional</t>
        </is>
      </c>
      <c r="E6834" s="34" t="n">
        <v>21560</v>
      </c>
      <c r="F6834" t="inlineStr">
        <is>
          <t>B</t>
        </is>
      </c>
      <c r="G6834" s="34" t="n">
        <v>3442</v>
      </c>
      <c r="H6834" s="34" t="n">
        <v>18118</v>
      </c>
      <c r="I6834" t="inlineStr">
        <is>
          <t>3.6</t>
        </is>
      </c>
      <c r="J6834" t="inlineStr">
        <is>
          <t>Ventas Delivery Apps</t>
        </is>
      </c>
      <c r="K6834" t="inlineStr">
        <is>
          <t>CH3</t>
        </is>
      </c>
    </row>
    <row r="6835">
      <c r="A6835" s="33" t="n">
        <v>46140</v>
      </c>
      <c r="B6835" t="inlineStr">
        <is>
          <t>2026-04</t>
        </is>
      </c>
      <c r="C6835" t="inlineStr">
        <is>
          <t>Sin cliente</t>
        </is>
      </c>
      <c r="D6835" t="inlineStr">
        <is>
          <t>Rellenos</t>
        </is>
      </c>
      <c r="E6835" s="34" t="n">
        <v>18900</v>
      </c>
      <c r="F6835" t="inlineStr">
        <is>
          <t>B</t>
        </is>
      </c>
      <c r="G6835" s="34" t="n">
        <v>3018</v>
      </c>
      <c r="H6835" s="34" t="n">
        <v>15882</v>
      </c>
      <c r="I6835" t="inlineStr">
        <is>
          <t>3.2</t>
        </is>
      </c>
      <c r="J6835" t="inlineStr">
        <is>
          <t>Ventas Personas (B2C)</t>
        </is>
      </c>
      <c r="K6835" t="inlineStr">
        <is>
          <t>CH2</t>
        </is>
      </c>
    </row>
    <row r="6836">
      <c r="A6836" s="33" t="n">
        <v>46140</v>
      </c>
      <c r="B6836" t="inlineStr">
        <is>
          <t>2026-04</t>
        </is>
      </c>
      <c r="C6836" t="inlineStr">
        <is>
          <t>Maria Jose Grez</t>
        </is>
      </c>
      <c r="D6836" t="inlineStr">
        <is>
          <t>Petit Tradicional</t>
        </is>
      </c>
      <c r="E6836" s="34" t="n">
        <v>-21560</v>
      </c>
      <c r="F6836" t="inlineStr">
        <is>
          <t>NC</t>
        </is>
      </c>
      <c r="G6836" s="34" t="n">
        <v>-3442</v>
      </c>
      <c r="H6836" s="34" t="n">
        <v>-18118</v>
      </c>
      <c r="I6836" t="inlineStr">
        <is>
          <t>3.6</t>
        </is>
      </c>
      <c r="J6836" t="inlineStr">
        <is>
          <t>Ventas Delivery Apps</t>
        </is>
      </c>
      <c r="K6836" t="inlineStr">
        <is>
          <t>CH3</t>
        </is>
      </c>
    </row>
    <row r="6837">
      <c r="A6837" s="33" t="n">
        <v>46140</v>
      </c>
      <c r="B6837" t="inlineStr">
        <is>
          <t>2026-04</t>
        </is>
      </c>
      <c r="C6837" t="inlineStr">
        <is>
          <t>Maria Jose Grez</t>
        </is>
      </c>
      <c r="D6837" t="inlineStr">
        <is>
          <t>Petit Tradicional</t>
        </is>
      </c>
      <c r="E6837" s="34" t="n">
        <v>25700</v>
      </c>
      <c r="F6837" t="inlineStr">
        <is>
          <t>B</t>
        </is>
      </c>
      <c r="G6837" s="34" t="n">
        <v>4103</v>
      </c>
      <c r="H6837" s="34" t="n">
        <v>21597</v>
      </c>
      <c r="I6837" t="inlineStr">
        <is>
          <t>3.2</t>
        </is>
      </c>
      <c r="J6837" t="inlineStr">
        <is>
          <t>Ventas Personas (B2C)</t>
        </is>
      </c>
      <c r="K6837" t="inlineStr">
        <is>
          <t>CH2</t>
        </is>
      </c>
    </row>
    <row r="6838">
      <c r="A6838" s="33" t="n">
        <v>46140</v>
      </c>
      <c r="B6838" t="inlineStr">
        <is>
          <t>2026-04</t>
        </is>
      </c>
      <c r="C6838" t="inlineStr">
        <is>
          <t>Sin cliente</t>
        </is>
      </c>
      <c r="D6838" t="inlineStr">
        <is>
          <t>Rellenos</t>
        </is>
      </c>
      <c r="E6838" s="34" t="n">
        <v>20100</v>
      </c>
      <c r="F6838" t="inlineStr">
        <is>
          <t>B</t>
        </is>
      </c>
      <c r="G6838" s="34" t="n">
        <v>3209</v>
      </c>
      <c r="H6838" s="34" t="n">
        <v>16891</v>
      </c>
      <c r="I6838" t="inlineStr">
        <is>
          <t>3.2</t>
        </is>
      </c>
      <c r="J6838" t="inlineStr">
        <is>
          <t>Ventas Personas (B2C)</t>
        </is>
      </c>
      <c r="K6838" t="inlineStr">
        <is>
          <t>CH2</t>
        </is>
      </c>
    </row>
    <row r="6839">
      <c r="A6839" s="33" t="n">
        <v>46140</v>
      </c>
      <c r="B6839" t="inlineStr">
        <is>
          <t>2026-04</t>
        </is>
      </c>
      <c r="C6839" t="inlineStr">
        <is>
          <t>Sin cliente</t>
        </is>
      </c>
      <c r="D6839" t="inlineStr">
        <is>
          <t>Rellenos</t>
        </is>
      </c>
      <c r="E6839" s="34" t="n">
        <v>23900</v>
      </c>
      <c r="F6839" t="inlineStr">
        <is>
          <t>B</t>
        </is>
      </c>
      <c r="G6839" s="34" t="n">
        <v>3816</v>
      </c>
      <c r="H6839" s="34" t="n">
        <v>20084</v>
      </c>
      <c r="I6839" t="inlineStr">
        <is>
          <t>3.2</t>
        </is>
      </c>
      <c r="J6839" t="inlineStr">
        <is>
          <t>Ventas Personas (B2C)</t>
        </is>
      </c>
      <c r="K6839" t="inlineStr">
        <is>
          <t>CH2</t>
        </is>
      </c>
    </row>
    <row r="6840">
      <c r="A6840" s="33" t="n">
        <v>46140</v>
      </c>
      <c r="B6840" t="inlineStr">
        <is>
          <t>2026-04</t>
        </is>
      </c>
      <c r="C6840" t="inlineStr">
        <is>
          <t>Sin cliente</t>
        </is>
      </c>
      <c r="D6840" t="inlineStr">
        <is>
          <t>Cafeteria Geronimo</t>
        </is>
      </c>
      <c r="E6840" s="34" t="n">
        <v>3000</v>
      </c>
      <c r="F6840" t="inlineStr">
        <is>
          <t>B</t>
        </is>
      </c>
      <c r="G6840" s="34" t="n">
        <v>479</v>
      </c>
      <c r="H6840" s="34" t="n">
        <v>2521</v>
      </c>
      <c r="I6840" t="inlineStr">
        <is>
          <t>3.2</t>
        </is>
      </c>
      <c r="J6840" t="inlineStr">
        <is>
          <t>Ventas Personas (B2C)</t>
        </is>
      </c>
      <c r="K6840" t="inlineStr">
        <is>
          <t>CH2</t>
        </is>
      </c>
    </row>
    <row r="6841">
      <c r="A6841" s="33" t="n">
        <v>46140</v>
      </c>
      <c r="B6841" t="inlineStr">
        <is>
          <t>2026-04</t>
        </is>
      </c>
      <c r="C6841" t="inlineStr">
        <is>
          <t>Felipe Huaiquiche</t>
        </is>
      </c>
      <c r="D6841" t="inlineStr">
        <is>
          <t>Mix Sabores</t>
        </is>
      </c>
      <c r="E6841" s="34" t="n">
        <v>27290</v>
      </c>
      <c r="F6841" t="inlineStr">
        <is>
          <t>B</t>
        </is>
      </c>
      <c r="G6841" s="34" t="n">
        <v>4357</v>
      </c>
      <c r="H6841" s="34" t="n">
        <v>22933</v>
      </c>
      <c r="I6841" t="inlineStr">
        <is>
          <t>3.2</t>
        </is>
      </c>
      <c r="J6841" t="inlineStr">
        <is>
          <t>Ventas Personas (B2C)</t>
        </is>
      </c>
      <c r="K6841" t="inlineStr">
        <is>
          <t>CH2</t>
        </is>
      </c>
    </row>
    <row r="6842">
      <c r="A6842" s="33" t="n">
        <v>46140</v>
      </c>
      <c r="B6842" t="inlineStr">
        <is>
          <t>2026-04</t>
        </is>
      </c>
      <c r="C6842" t="inlineStr">
        <is>
          <t>Sin cliente</t>
        </is>
      </c>
      <c r="D6842" t="inlineStr">
        <is>
          <t>Cafeteria Geronimo</t>
        </is>
      </c>
      <c r="E6842" s="34" t="n">
        <v>34700</v>
      </c>
      <c r="F6842" t="inlineStr">
        <is>
          <t>B</t>
        </is>
      </c>
      <c r="G6842" s="34" t="n">
        <v>5540</v>
      </c>
      <c r="H6842" s="34" t="n">
        <v>29160</v>
      </c>
      <c r="I6842" t="inlineStr">
        <is>
          <t>3.2</t>
        </is>
      </c>
      <c r="J6842" t="inlineStr">
        <is>
          <t>Ventas Personas (B2C)</t>
        </is>
      </c>
      <c r="K6842" t="inlineStr">
        <is>
          <t>CH2</t>
        </is>
      </c>
    </row>
    <row r="6843">
      <c r="A6843" s="33" t="n">
        <v>46140</v>
      </c>
      <c r="B6843" t="inlineStr">
        <is>
          <t>2026-04</t>
        </is>
      </c>
      <c r="C6843" t="inlineStr">
        <is>
          <t>Sin cliente</t>
        </is>
      </c>
      <c r="D6843" t="inlineStr">
        <is>
          <t>CANELÉ TRADICIONAL</t>
        </is>
      </c>
      <c r="E6843" s="34" t="n">
        <v>33800</v>
      </c>
      <c r="F6843" t="inlineStr">
        <is>
          <t>B</t>
        </is>
      </c>
      <c r="G6843" s="34" t="n">
        <v>5397</v>
      </c>
      <c r="H6843" s="34" t="n">
        <v>28403</v>
      </c>
      <c r="I6843" t="inlineStr">
        <is>
          <t>3.2</t>
        </is>
      </c>
      <c r="J6843" t="inlineStr">
        <is>
          <t>Ventas Personas (B2C)</t>
        </is>
      </c>
      <c r="K6843" t="inlineStr">
        <is>
          <t>CH2</t>
        </is>
      </c>
    </row>
    <row r="6844">
      <c r="A6844" s="33" t="n">
        <v>46140</v>
      </c>
      <c r="B6844" t="inlineStr">
        <is>
          <t>2026-04</t>
        </is>
      </c>
      <c r="C6844" t="inlineStr">
        <is>
          <t>Sin cliente</t>
        </is>
      </c>
      <c r="D6844" t="inlineStr">
        <is>
          <t>CANELÉ TRADICIONAL</t>
        </is>
      </c>
      <c r="E6844" s="34" t="n">
        <v>15900</v>
      </c>
      <c r="F6844" t="inlineStr">
        <is>
          <t>B</t>
        </is>
      </c>
      <c r="G6844" s="34" t="n">
        <v>2539</v>
      </c>
      <c r="H6844" s="34" t="n">
        <v>13361</v>
      </c>
      <c r="I6844" t="inlineStr">
        <is>
          <t>3.2</t>
        </is>
      </c>
      <c r="J6844" t="inlineStr">
        <is>
          <t>Ventas Personas (B2C)</t>
        </is>
      </c>
      <c r="K6844" t="inlineStr">
        <is>
          <t>CH2</t>
        </is>
      </c>
    </row>
    <row r="6845">
      <c r="A6845" s="33" t="n">
        <v>46140</v>
      </c>
      <c r="B6845" t="inlineStr">
        <is>
          <t>2026-04</t>
        </is>
      </c>
      <c r="C6845" t="inlineStr">
        <is>
          <t>Carola Joy González Rast</t>
        </is>
      </c>
      <c r="D6845" t="inlineStr">
        <is>
          <t>Petit Crunchy</t>
        </is>
      </c>
      <c r="E6845" s="34" t="n">
        <v>15390</v>
      </c>
      <c r="F6845" t="inlineStr">
        <is>
          <t>B</t>
        </is>
      </c>
      <c r="G6845" s="34" t="n">
        <v>2457</v>
      </c>
      <c r="H6845" s="34" t="n">
        <v>12933</v>
      </c>
      <c r="I6845" t="inlineStr">
        <is>
          <t>3.2</t>
        </is>
      </c>
      <c r="J6845" t="inlineStr">
        <is>
          <t>Ventas Personas (B2C)</t>
        </is>
      </c>
      <c r="K6845" t="inlineStr">
        <is>
          <t>CH2</t>
        </is>
      </c>
    </row>
    <row r="6846">
      <c r="A6846" s="33" t="n">
        <v>46140</v>
      </c>
      <c r="B6846" t="inlineStr">
        <is>
          <t>2026-04</t>
        </is>
      </c>
      <c r="C6846" t="inlineStr">
        <is>
          <t>Carolina Bruno</t>
        </is>
      </c>
      <c r="D6846" t="inlineStr">
        <is>
          <t>Canelé Petit Relleno</t>
        </is>
      </c>
      <c r="E6846" s="34" t="n">
        <v>33290</v>
      </c>
      <c r="F6846" t="inlineStr">
        <is>
          <t>B</t>
        </is>
      </c>
      <c r="G6846" s="34" t="n">
        <v>5315</v>
      </c>
      <c r="H6846" s="34" t="n">
        <v>27975</v>
      </c>
      <c r="I6846" t="inlineStr">
        <is>
          <t>3.2</t>
        </is>
      </c>
      <c r="J6846" t="inlineStr">
        <is>
          <t>Ventas Personas (B2C)</t>
        </is>
      </c>
      <c r="K6846" t="inlineStr">
        <is>
          <t>CH2</t>
        </is>
      </c>
    </row>
    <row r="6847">
      <c r="A6847" s="33" t="n">
        <v>46141</v>
      </c>
      <c r="B6847" t="inlineStr">
        <is>
          <t>2026-04</t>
        </is>
      </c>
      <c r="C6847" t="inlineStr">
        <is>
          <t>TAVELLI S.A.</t>
        </is>
      </c>
      <c r="D6847" t="inlineStr">
        <is>
          <t>HORECA CAFETERIA</t>
        </is>
      </c>
      <c r="E6847" s="34" t="n">
        <v>984078</v>
      </c>
      <c r="F6847" t="inlineStr">
        <is>
          <t>F</t>
        </is>
      </c>
      <c r="G6847" s="34" t="n">
        <v>157122</v>
      </c>
      <c r="H6847" s="34" t="n">
        <v>826956</v>
      </c>
      <c r="I6847" t="inlineStr">
        <is>
          <t>3.1</t>
        </is>
      </c>
      <c r="J6847" t="inlineStr">
        <is>
          <t>Ventas HoReCa</t>
        </is>
      </c>
      <c r="K6847" t="inlineStr">
        <is>
          <t>CH1</t>
        </is>
      </c>
    </row>
    <row r="6848">
      <c r="A6848" s="33" t="n">
        <v>46141</v>
      </c>
      <c r="B6848" t="inlineStr">
        <is>
          <t>2026-04</t>
        </is>
      </c>
      <c r="C6848" t="inlineStr">
        <is>
          <t>TAVELLI S.A.</t>
        </is>
      </c>
      <c r="D6848" t="inlineStr">
        <is>
          <t>REGION METROPOLITANA</t>
        </is>
      </c>
      <c r="E6848" s="34" t="n">
        <v>35700</v>
      </c>
      <c r="F6848" t="inlineStr">
        <is>
          <t>F</t>
        </is>
      </c>
      <c r="G6848" s="34" t="n">
        <v>5700</v>
      </c>
      <c r="H6848" s="34" t="n">
        <v>30000</v>
      </c>
      <c r="I6848" t="inlineStr">
        <is>
          <t>3.1</t>
        </is>
      </c>
      <c r="J6848" t="inlineStr">
        <is>
          <t>Ventas HoReCa</t>
        </is>
      </c>
      <c r="K6848" t="inlineStr">
        <is>
          <t>CH1</t>
        </is>
      </c>
    </row>
    <row r="6849">
      <c r="A6849" s="33" t="n">
        <v>46141</v>
      </c>
      <c r="B6849" t="inlineStr">
        <is>
          <t>2026-04</t>
        </is>
      </c>
      <c r="C6849" t="inlineStr">
        <is>
          <t>Better Food Spa</t>
        </is>
      </c>
      <c r="D6849" t="inlineStr">
        <is>
          <t>HORECA CAFETERIA</t>
        </is>
      </c>
      <c r="E6849" s="34" t="n">
        <v>469112</v>
      </c>
      <c r="F6849" t="inlineStr">
        <is>
          <t>F</t>
        </is>
      </c>
      <c r="G6849" s="34" t="n">
        <v>74900</v>
      </c>
      <c r="H6849" s="34" t="n">
        <v>394212</v>
      </c>
      <c r="I6849" t="inlineStr">
        <is>
          <t>3.1</t>
        </is>
      </c>
      <c r="J6849" t="inlineStr">
        <is>
          <t>Ventas HoReCa</t>
        </is>
      </c>
      <c r="K6849" t="inlineStr">
        <is>
          <t>CH1</t>
        </is>
      </c>
    </row>
    <row r="6850">
      <c r="A6850" s="33" t="n">
        <v>46141</v>
      </c>
      <c r="B6850" t="inlineStr">
        <is>
          <t>2026-04</t>
        </is>
      </c>
      <c r="C6850" t="inlineStr">
        <is>
          <t>Better Food Spa</t>
        </is>
      </c>
      <c r="D6850" t="inlineStr">
        <is>
          <t>HORECA CAFETERIA</t>
        </is>
      </c>
      <c r="E6850" s="34" t="n">
        <v>-469112</v>
      </c>
      <c r="F6850" t="inlineStr">
        <is>
          <t>NC</t>
        </is>
      </c>
      <c r="G6850" s="34" t="n">
        <v>-74900</v>
      </c>
      <c r="H6850" s="34" t="n">
        <v>-394212</v>
      </c>
      <c r="I6850" t="inlineStr">
        <is>
          <t>3.1</t>
        </is>
      </c>
      <c r="J6850" t="inlineStr">
        <is>
          <t>Ventas HoReCa</t>
        </is>
      </c>
      <c r="K6850" t="inlineStr">
        <is>
          <t>CH1</t>
        </is>
      </c>
    </row>
    <row r="6851">
      <c r="A6851" s="33" t="n">
        <v>46141</v>
      </c>
      <c r="B6851" t="inlineStr">
        <is>
          <t>2026-04</t>
        </is>
      </c>
      <c r="C6851" t="inlineStr">
        <is>
          <t>Better Food Spa</t>
        </is>
      </c>
      <c r="D6851" t="inlineStr">
        <is>
          <t>HORECA CAFETERIA</t>
        </is>
      </c>
      <c r="E6851" s="34" t="n">
        <v>469112</v>
      </c>
      <c r="F6851" t="inlineStr">
        <is>
          <t>F</t>
        </is>
      </c>
      <c r="G6851" s="34" t="n">
        <v>74900</v>
      </c>
      <c r="H6851" s="34" t="n">
        <v>394212</v>
      </c>
      <c r="I6851" t="inlineStr">
        <is>
          <t>3.1</t>
        </is>
      </c>
      <c r="J6851" t="inlineStr">
        <is>
          <t>Ventas HoReCa</t>
        </is>
      </c>
      <c r="K6851" t="inlineStr">
        <is>
          <t>CH1</t>
        </is>
      </c>
    </row>
    <row r="6852">
      <c r="A6852" s="33" t="n">
        <v>46141</v>
      </c>
      <c r="B6852" t="inlineStr">
        <is>
          <t>2026-04</t>
        </is>
      </c>
      <c r="C6852" t="inlineStr">
        <is>
          <t>Better Food Spa</t>
        </is>
      </c>
      <c r="D6852" t="inlineStr">
        <is>
          <t>REGION METROPOLITANA</t>
        </is>
      </c>
      <c r="E6852" s="34" t="n">
        <v>9401</v>
      </c>
      <c r="F6852" t="inlineStr">
        <is>
          <t>F</t>
        </is>
      </c>
      <c r="G6852" s="34" t="n">
        <v>1501</v>
      </c>
      <c r="H6852" s="34" t="n">
        <v>7900</v>
      </c>
      <c r="I6852" t="inlineStr">
        <is>
          <t>3.1</t>
        </is>
      </c>
      <c r="J6852" t="inlineStr">
        <is>
          <t>Ventas HoReCa</t>
        </is>
      </c>
      <c r="K6852" t="inlineStr">
        <is>
          <t>CH1</t>
        </is>
      </c>
    </row>
    <row r="6853">
      <c r="A6853" s="33" t="n">
        <v>46141</v>
      </c>
      <c r="B6853" t="inlineStr">
        <is>
          <t>2026-04</t>
        </is>
      </c>
      <c r="C6853" t="inlineStr">
        <is>
          <t>María José Tagle</t>
        </is>
      </c>
      <c r="D6853" t="inlineStr">
        <is>
          <t>CANELÉ TRADICIONAL</t>
        </is>
      </c>
      <c r="E6853" s="34" t="n">
        <v>52700</v>
      </c>
      <c r="F6853" t="inlineStr">
        <is>
          <t>B</t>
        </is>
      </c>
      <c r="G6853" s="34" t="n">
        <v>8414</v>
      </c>
      <c r="H6853" s="34" t="n">
        <v>44286</v>
      </c>
      <c r="I6853" t="inlineStr">
        <is>
          <t>3.2</t>
        </is>
      </c>
      <c r="J6853" t="inlineStr">
        <is>
          <t>Ventas Personas (B2C)</t>
        </is>
      </c>
      <c r="K6853" t="inlineStr">
        <is>
          <t>CH2</t>
        </is>
      </c>
    </row>
    <row r="6854">
      <c r="A6854" s="33" t="n">
        <v>46141</v>
      </c>
      <c r="B6854" t="inlineStr">
        <is>
          <t>2026-04</t>
        </is>
      </c>
      <c r="C6854" t="inlineStr">
        <is>
          <t>Sin cliente</t>
        </is>
      </c>
      <c r="D6854" t="inlineStr">
        <is>
          <t>Glosa Caja 12 Un - Petit Trad. - Plataformas</t>
        </is>
      </c>
      <c r="E6854" s="34" t="n">
        <v>33180</v>
      </c>
      <c r="F6854" t="inlineStr">
        <is>
          <t>B</t>
        </is>
      </c>
      <c r="G6854" s="34" t="n">
        <v>5298</v>
      </c>
      <c r="H6854" s="34" t="n">
        <v>27882</v>
      </c>
      <c r="I6854" t="inlineStr">
        <is>
          <t>3.2</t>
        </is>
      </c>
      <c r="J6854" t="inlineStr">
        <is>
          <t>Ventas Personas (B2C)</t>
        </is>
      </c>
      <c r="K6854" t="inlineStr">
        <is>
          <t>CH2</t>
        </is>
      </c>
    </row>
    <row r="6855">
      <c r="A6855" s="33" t="n">
        <v>46141</v>
      </c>
      <c r="B6855" t="inlineStr">
        <is>
          <t>2026-04</t>
        </is>
      </c>
      <c r="C6855" t="inlineStr">
        <is>
          <t>Monica Schmidt Fahnert</t>
        </is>
      </c>
      <c r="D6855" t="inlineStr">
        <is>
          <t>Petit Crunchy</t>
        </is>
      </c>
      <c r="E6855" s="34" t="n">
        <v>35900</v>
      </c>
      <c r="F6855" t="inlineStr">
        <is>
          <t>B</t>
        </is>
      </c>
      <c r="G6855" s="34" t="n">
        <v>5732</v>
      </c>
      <c r="H6855" s="34" t="n">
        <v>30168</v>
      </c>
      <c r="I6855" t="inlineStr">
        <is>
          <t>3.2</t>
        </is>
      </c>
      <c r="J6855" t="inlineStr">
        <is>
          <t>Ventas Personas (B2C)</t>
        </is>
      </c>
      <c r="K6855" t="inlineStr">
        <is>
          <t>CH2</t>
        </is>
      </c>
    </row>
    <row r="6856">
      <c r="A6856" s="33" t="n">
        <v>46141</v>
      </c>
      <c r="B6856" t="inlineStr">
        <is>
          <t>2026-04</t>
        </is>
      </c>
      <c r="C6856" t="inlineStr">
        <is>
          <t>Sin cliente</t>
        </is>
      </c>
      <c r="D6856" t="inlineStr">
        <is>
          <t>Cafeteria Geronimo</t>
        </is>
      </c>
      <c r="E6856" s="34" t="n">
        <v>2550</v>
      </c>
      <c r="F6856" t="inlineStr">
        <is>
          <t>B</t>
        </is>
      </c>
      <c r="G6856" s="34" t="n">
        <v>407</v>
      </c>
      <c r="H6856" s="34" t="n">
        <v>2143</v>
      </c>
      <c r="I6856" t="inlineStr">
        <is>
          <t>3.2</t>
        </is>
      </c>
      <c r="J6856" t="inlineStr">
        <is>
          <t>Ventas Personas (B2C)</t>
        </is>
      </c>
      <c r="K6856" t="inlineStr">
        <is>
          <t>CH2</t>
        </is>
      </c>
    </row>
    <row r="6857">
      <c r="A6857" s="33" t="n">
        <v>46141</v>
      </c>
      <c r="B6857" t="inlineStr">
        <is>
          <t>2026-04</t>
        </is>
      </c>
      <c r="C6857" t="inlineStr">
        <is>
          <t>Sin cliente</t>
        </is>
      </c>
      <c r="D6857" t="inlineStr">
        <is>
          <t>Petit Tradicional</t>
        </is>
      </c>
      <c r="E6857" s="34" t="n">
        <v>46200</v>
      </c>
      <c r="F6857" t="inlineStr">
        <is>
          <t>B</t>
        </is>
      </c>
      <c r="G6857" s="34" t="n">
        <v>7376</v>
      </c>
      <c r="H6857" s="34" t="n">
        <v>38824</v>
      </c>
      <c r="I6857" t="inlineStr">
        <is>
          <t>3.2</t>
        </is>
      </c>
      <c r="J6857" t="inlineStr">
        <is>
          <t>Ventas Personas (B2C)</t>
        </is>
      </c>
      <c r="K6857" t="inlineStr">
        <is>
          <t>CH2</t>
        </is>
      </c>
    </row>
    <row r="6858">
      <c r="A6858" s="33" t="n">
        <v>46141</v>
      </c>
      <c r="B6858" t="inlineStr">
        <is>
          <t>2026-04</t>
        </is>
      </c>
      <c r="C6858" t="inlineStr">
        <is>
          <t>claudio molina</t>
        </is>
      </c>
      <c r="D6858" t="inlineStr">
        <is>
          <t>CANELÉ TRADICIONAL</t>
        </is>
      </c>
      <c r="E6858" s="34" t="n">
        <v>19390</v>
      </c>
      <c r="F6858" t="inlineStr">
        <is>
          <t>B</t>
        </is>
      </c>
      <c r="G6858" s="34" t="n">
        <v>3096</v>
      </c>
      <c r="H6858" s="34" t="n">
        <v>16294</v>
      </c>
      <c r="I6858" t="inlineStr">
        <is>
          <t>3.2</t>
        </is>
      </c>
      <c r="J6858" t="inlineStr">
        <is>
          <t>Ventas Personas (B2C)</t>
        </is>
      </c>
      <c r="K6858" t="inlineStr">
        <is>
          <t>CH2</t>
        </is>
      </c>
    </row>
    <row r="6859">
      <c r="A6859" s="33" t="n">
        <v>46141</v>
      </c>
      <c r="B6859" t="inlineStr">
        <is>
          <t>2026-04</t>
        </is>
      </c>
      <c r="C6859" t="inlineStr">
        <is>
          <t>Sin cliente</t>
        </is>
      </c>
      <c r="D6859" t="inlineStr">
        <is>
          <t>Canelé Petit Relleno</t>
        </is>
      </c>
      <c r="E6859" s="34" t="n">
        <v>29900</v>
      </c>
      <c r="F6859" t="inlineStr">
        <is>
          <t>B</t>
        </is>
      </c>
      <c r="G6859" s="34" t="n">
        <v>4774</v>
      </c>
      <c r="H6859" s="34" t="n">
        <v>25126</v>
      </c>
      <c r="I6859" t="inlineStr">
        <is>
          <t>3.2</t>
        </is>
      </c>
      <c r="J6859" t="inlineStr">
        <is>
          <t>Ventas Personas (B2C)</t>
        </is>
      </c>
      <c r="K6859" t="inlineStr">
        <is>
          <t>CH2</t>
        </is>
      </c>
    </row>
    <row r="6860">
      <c r="A6860" s="33" t="n">
        <v>46141</v>
      </c>
      <c r="B6860" t="inlineStr">
        <is>
          <t>2026-04</t>
        </is>
      </c>
      <c r="C6860" t="inlineStr">
        <is>
          <t>Sin cliente</t>
        </is>
      </c>
      <c r="D6860" t="inlineStr">
        <is>
          <t>Delicatessen</t>
        </is>
      </c>
      <c r="E6860" s="34" t="n">
        <v>4500</v>
      </c>
      <c r="F6860" t="inlineStr">
        <is>
          <t>B</t>
        </is>
      </c>
      <c r="G6860" s="34" t="n">
        <v>718</v>
      </c>
      <c r="H6860" s="34" t="n">
        <v>3782</v>
      </c>
      <c r="I6860" t="inlineStr">
        <is>
          <t>3.2</t>
        </is>
      </c>
      <c r="J6860" t="inlineStr">
        <is>
          <t>Ventas Personas (B2C)</t>
        </is>
      </c>
      <c r="K6860" t="inlineStr">
        <is>
          <t>CH2</t>
        </is>
      </c>
    </row>
    <row r="6861">
      <c r="A6861" s="33" t="n">
        <v>46141</v>
      </c>
      <c r="B6861" t="inlineStr">
        <is>
          <t>2026-04</t>
        </is>
      </c>
      <c r="C6861" t="inlineStr">
        <is>
          <t>Sin cliente</t>
        </is>
      </c>
      <c r="D6861" t="inlineStr">
        <is>
          <t>Petit Crunchy</t>
        </is>
      </c>
      <c r="E6861" s="34" t="n">
        <v>33800</v>
      </c>
      <c r="F6861" t="inlineStr">
        <is>
          <t>B</t>
        </is>
      </c>
      <c r="G6861" s="34" t="n">
        <v>5397</v>
      </c>
      <c r="H6861" s="34" t="n">
        <v>28403</v>
      </c>
      <c r="I6861" t="inlineStr">
        <is>
          <t>3.2</t>
        </is>
      </c>
      <c r="J6861" t="inlineStr">
        <is>
          <t>Ventas Personas (B2C)</t>
        </is>
      </c>
      <c r="K6861" t="inlineStr">
        <is>
          <t>CH2</t>
        </is>
      </c>
    </row>
    <row r="6862">
      <c r="A6862" s="33" t="n">
        <v>46141</v>
      </c>
      <c r="B6862" t="inlineStr">
        <is>
          <t>2026-04</t>
        </is>
      </c>
      <c r="C6862" t="inlineStr">
        <is>
          <t>Sin cliente</t>
        </is>
      </c>
      <c r="D6862" t="inlineStr">
        <is>
          <t>CANELÉ TRADICIONAL</t>
        </is>
      </c>
      <c r="E6862" s="34" t="n">
        <v>15900</v>
      </c>
      <c r="F6862" t="inlineStr">
        <is>
          <t>B</t>
        </is>
      </c>
      <c r="G6862" s="34" t="n">
        <v>2539</v>
      </c>
      <c r="H6862" s="34" t="n">
        <v>13361</v>
      </c>
      <c r="I6862" t="inlineStr">
        <is>
          <t>3.2</t>
        </is>
      </c>
      <c r="J6862" t="inlineStr">
        <is>
          <t>Ventas Personas (B2C)</t>
        </is>
      </c>
      <c r="K6862" t="inlineStr">
        <is>
          <t>CH2</t>
        </is>
      </c>
    </row>
    <row r="6863">
      <c r="A6863" s="33" t="n">
        <v>46141</v>
      </c>
      <c r="B6863" t="inlineStr">
        <is>
          <t>2026-04</t>
        </is>
      </c>
      <c r="C6863" t="inlineStr">
        <is>
          <t>Tiare Silva</t>
        </is>
      </c>
      <c r="D6863" t="inlineStr">
        <is>
          <t>Canelé Petit Relleno</t>
        </is>
      </c>
      <c r="E6863" s="34" t="n">
        <v>31290</v>
      </c>
      <c r="F6863" t="inlineStr">
        <is>
          <t>B</t>
        </is>
      </c>
      <c r="G6863" s="34" t="n">
        <v>4996</v>
      </c>
      <c r="H6863" s="34" t="n">
        <v>26294</v>
      </c>
      <c r="I6863" t="inlineStr">
        <is>
          <t>3.2</t>
        </is>
      </c>
      <c r="J6863" t="inlineStr">
        <is>
          <t>Ventas Personas (B2C)</t>
        </is>
      </c>
      <c r="K6863" t="inlineStr">
        <is>
          <t>CH2</t>
        </is>
      </c>
    </row>
    <row r="6864">
      <c r="A6864" s="33" t="n">
        <v>46141</v>
      </c>
      <c r="B6864" t="inlineStr">
        <is>
          <t>2026-04</t>
        </is>
      </c>
      <c r="C6864" t="inlineStr">
        <is>
          <t>Magdalena Toledo Diaz</t>
        </is>
      </c>
      <c r="D6864" t="inlineStr">
        <is>
          <t>Petit Tradicional</t>
        </is>
      </c>
      <c r="E6864" s="34" t="n">
        <v>26290</v>
      </c>
      <c r="F6864" t="inlineStr">
        <is>
          <t>B</t>
        </is>
      </c>
      <c r="G6864" s="34" t="n">
        <v>4198</v>
      </c>
      <c r="H6864" s="34" t="n">
        <v>22092</v>
      </c>
      <c r="I6864" t="inlineStr">
        <is>
          <t>3.2</t>
        </is>
      </c>
      <c r="J6864" t="inlineStr">
        <is>
          <t>Ventas Personas (B2C)</t>
        </is>
      </c>
      <c r="K6864" t="inlineStr">
        <is>
          <t>CH2</t>
        </is>
      </c>
    </row>
    <row r="6865">
      <c r="A6865" s="33" t="n">
        <v>46141</v>
      </c>
      <c r="B6865" t="inlineStr">
        <is>
          <t>2026-04</t>
        </is>
      </c>
      <c r="C6865" t="inlineStr">
        <is>
          <t>Sebastián Ochoa Münzenmayer</t>
        </is>
      </c>
      <c r="D6865" t="inlineStr">
        <is>
          <t>Canelé Petit Relleno</t>
        </is>
      </c>
      <c r="E6865" s="34" t="n">
        <v>35390</v>
      </c>
      <c r="F6865" t="inlineStr">
        <is>
          <t>B</t>
        </is>
      </c>
      <c r="G6865" s="34" t="n">
        <v>5651</v>
      </c>
      <c r="H6865" s="34" t="n">
        <v>29739</v>
      </c>
      <c r="I6865" t="inlineStr">
        <is>
          <t>3.2</t>
        </is>
      </c>
      <c r="J6865" t="inlineStr">
        <is>
          <t>Ventas Personas (B2C)</t>
        </is>
      </c>
      <c r="K6865" t="inlineStr">
        <is>
          <t>CH2</t>
        </is>
      </c>
    </row>
    <row r="6866">
      <c r="A6866" s="33" t="n">
        <v>46141</v>
      </c>
      <c r="B6866" t="inlineStr">
        <is>
          <t>2026-04</t>
        </is>
      </c>
      <c r="C6866" t="inlineStr">
        <is>
          <t>Lorena Roa Carrasco</t>
        </is>
      </c>
      <c r="D6866" t="inlineStr">
        <is>
          <t>Petit Crunchy</t>
        </is>
      </c>
      <c r="E6866" s="34" t="n">
        <v>30290</v>
      </c>
      <c r="F6866" t="inlineStr">
        <is>
          <t>B</t>
        </is>
      </c>
      <c r="G6866" s="34" t="n">
        <v>4836</v>
      </c>
      <c r="H6866" s="34" t="n">
        <v>25454</v>
      </c>
      <c r="I6866" t="inlineStr">
        <is>
          <t>3.2</t>
        </is>
      </c>
      <c r="J6866" t="inlineStr">
        <is>
          <t>Ventas Personas (B2C)</t>
        </is>
      </c>
      <c r="K6866" t="inlineStr">
        <is>
          <t>CH2</t>
        </is>
      </c>
    </row>
    <row r="6867">
      <c r="A6867" s="33" t="n">
        <v>46142</v>
      </c>
      <c r="B6867" t="inlineStr">
        <is>
          <t>2026-04</t>
        </is>
      </c>
      <c r="C6867" t="inlineStr">
        <is>
          <t>the capital coffee spa</t>
        </is>
      </c>
      <c r="D6867" t="inlineStr">
        <is>
          <t>HORECA CAFETERIA</t>
        </is>
      </c>
      <c r="E6867" s="34" t="n">
        <v>269442</v>
      </c>
      <c r="F6867" t="inlineStr">
        <is>
          <t>F</t>
        </is>
      </c>
      <c r="G6867" s="34" t="n">
        <v>43020</v>
      </c>
      <c r="H6867" s="34" t="n">
        <v>226422</v>
      </c>
      <c r="I6867" t="inlineStr">
        <is>
          <t>3.1</t>
        </is>
      </c>
      <c r="J6867" t="inlineStr">
        <is>
          <t>Ventas HoReCa</t>
        </is>
      </c>
      <c r="K6867" t="inlineStr">
        <is>
          <t>CH1</t>
        </is>
      </c>
    </row>
    <row r="6868">
      <c r="A6868" s="33" t="n">
        <v>46142</v>
      </c>
      <c r="B6868" t="inlineStr">
        <is>
          <t>2026-04</t>
        </is>
      </c>
      <c r="C6868" t="inlineStr">
        <is>
          <t>VILAS BANQUETERIAS SPA</t>
        </is>
      </c>
      <c r="D6868" t="inlineStr">
        <is>
          <t>HORECA CATERING</t>
        </is>
      </c>
      <c r="E6868" s="34" t="n">
        <v>431137</v>
      </c>
      <c r="F6868" t="inlineStr">
        <is>
          <t>F</t>
        </is>
      </c>
      <c r="G6868" s="34" t="n">
        <v>68837</v>
      </c>
      <c r="H6868" s="34" t="n">
        <v>362300</v>
      </c>
      <c r="I6868" t="inlineStr">
        <is>
          <t>3.1</t>
        </is>
      </c>
      <c r="J6868" t="inlineStr">
        <is>
          <t>Ventas HoReCa</t>
        </is>
      </c>
      <c r="K6868" t="inlineStr">
        <is>
          <t>CH1</t>
        </is>
      </c>
    </row>
    <row r="6869">
      <c r="A6869" s="33" t="n">
        <v>46142</v>
      </c>
      <c r="B6869" t="inlineStr">
        <is>
          <t>2026-04</t>
        </is>
      </c>
      <c r="C6869" t="inlineStr">
        <is>
          <t>Café del Parque SpA</t>
        </is>
      </c>
      <c r="D6869" t="inlineStr">
        <is>
          <t>HORECA CAFETERIA</t>
        </is>
      </c>
      <c r="E6869" s="34" t="n">
        <v>159674</v>
      </c>
      <c r="F6869" t="inlineStr">
        <is>
          <t>F</t>
        </is>
      </c>
      <c r="G6869" s="34" t="n">
        <v>25494</v>
      </c>
      <c r="H6869" s="34" t="n">
        <v>134180</v>
      </c>
      <c r="I6869" t="inlineStr">
        <is>
          <t>3.1</t>
        </is>
      </c>
      <c r="J6869" t="inlineStr">
        <is>
          <t>Ventas HoReCa</t>
        </is>
      </c>
      <c r="K6869" t="inlineStr">
        <is>
          <t>CH1</t>
        </is>
      </c>
    </row>
    <row r="6870">
      <c r="A6870" s="33" t="n">
        <v>46142</v>
      </c>
      <c r="B6870" t="inlineStr">
        <is>
          <t>2026-04</t>
        </is>
      </c>
      <c r="C6870" t="inlineStr">
        <is>
          <t>CAFETERIA THE ELEPHANT COFFEE LIMITADA</t>
        </is>
      </c>
      <c r="D6870" t="inlineStr">
        <is>
          <t>HORECA CAFETERIA</t>
        </is>
      </c>
      <c r="E6870" s="34" t="n">
        <v>212302</v>
      </c>
      <c r="F6870" t="inlineStr">
        <is>
          <t>F</t>
        </is>
      </c>
      <c r="G6870" s="34" t="n">
        <v>33897</v>
      </c>
      <c r="H6870" s="34" t="n">
        <v>178405</v>
      </c>
      <c r="I6870" t="inlineStr">
        <is>
          <t>3.1</t>
        </is>
      </c>
      <c r="J6870" t="inlineStr">
        <is>
          <t>Ventas HoReCa</t>
        </is>
      </c>
      <c r="K6870" t="inlineStr">
        <is>
          <t>CH1</t>
        </is>
      </c>
    </row>
    <row r="6871">
      <c r="A6871" s="33" t="n">
        <v>46142</v>
      </c>
      <c r="B6871" t="inlineStr">
        <is>
          <t>2026-04</t>
        </is>
      </c>
      <c r="C6871" t="inlineStr">
        <is>
          <t>Sin cliente</t>
        </is>
      </c>
      <c r="D6871" t="inlineStr">
        <is>
          <t>Rellenos</t>
        </is>
      </c>
      <c r="E6871" s="34" t="n">
        <v>14500</v>
      </c>
      <c r="F6871" t="inlineStr">
        <is>
          <t>B</t>
        </is>
      </c>
      <c r="G6871" s="34" t="n">
        <v>2315</v>
      </c>
      <c r="H6871" s="34" t="n">
        <v>12185</v>
      </c>
      <c r="I6871" t="inlineStr">
        <is>
          <t>3.2</t>
        </is>
      </c>
      <c r="J6871" t="inlineStr">
        <is>
          <t>Ventas Personas (B2C)</t>
        </is>
      </c>
      <c r="K6871" t="inlineStr">
        <is>
          <t>CH2</t>
        </is>
      </c>
    </row>
    <row r="6872">
      <c r="A6872" s="33" t="n">
        <v>46142</v>
      </c>
      <c r="B6872" t="inlineStr">
        <is>
          <t>2026-04</t>
        </is>
      </c>
      <c r="C6872" t="inlineStr">
        <is>
          <t>Soledad Silva</t>
        </is>
      </c>
      <c r="D6872" t="inlineStr">
        <is>
          <t>Canelé Petit Relleno</t>
        </is>
      </c>
      <c r="E6872" s="34" t="n">
        <v>37290</v>
      </c>
      <c r="F6872" t="inlineStr">
        <is>
          <t>B</t>
        </is>
      </c>
      <c r="G6872" s="34" t="n">
        <v>5954</v>
      </c>
      <c r="H6872" s="34" t="n">
        <v>31336</v>
      </c>
      <c r="I6872" t="inlineStr">
        <is>
          <t>3.2</t>
        </is>
      </c>
      <c r="J6872" t="inlineStr">
        <is>
          <t>Ventas Personas (B2C)</t>
        </is>
      </c>
      <c r="K6872" t="inlineStr">
        <is>
          <t>CH2</t>
        </is>
      </c>
    </row>
    <row r="6873">
      <c r="A6873" s="33" t="n">
        <v>46142</v>
      </c>
      <c r="B6873" t="inlineStr">
        <is>
          <t>2026-04</t>
        </is>
      </c>
      <c r="C6873" t="inlineStr">
        <is>
          <t>Sin cliente</t>
        </is>
      </c>
      <c r="D6873" t="inlineStr">
        <is>
          <t>CANELÉ TRADICIONAL</t>
        </is>
      </c>
      <c r="E6873" s="34" t="n">
        <v>22900</v>
      </c>
      <c r="F6873" t="inlineStr">
        <is>
          <t>B</t>
        </is>
      </c>
      <c r="G6873" s="34" t="n">
        <v>3656</v>
      </c>
      <c r="H6873" s="34" t="n">
        <v>19244</v>
      </c>
      <c r="I6873" t="inlineStr">
        <is>
          <t>3.2</t>
        </is>
      </c>
      <c r="J6873" t="inlineStr">
        <is>
          <t>Ventas Personas (B2C)</t>
        </is>
      </c>
      <c r="K6873" t="inlineStr">
        <is>
          <t>CH2</t>
        </is>
      </c>
    </row>
    <row r="6874">
      <c r="A6874" s="33" t="n">
        <v>46142</v>
      </c>
      <c r="B6874" t="inlineStr">
        <is>
          <t>2026-04</t>
        </is>
      </c>
      <c r="C6874" t="inlineStr">
        <is>
          <t>Sin cliente</t>
        </is>
      </c>
      <c r="D6874" t="inlineStr">
        <is>
          <t>Rellenos</t>
        </is>
      </c>
      <c r="E6874" s="34" t="n">
        <v>26765</v>
      </c>
      <c r="F6874" t="inlineStr">
        <is>
          <t>B</t>
        </is>
      </c>
      <c r="G6874" s="34" t="n">
        <v>4273</v>
      </c>
      <c r="H6874" s="34" t="n">
        <v>22492</v>
      </c>
      <c r="I6874" t="inlineStr">
        <is>
          <t>3.2</t>
        </is>
      </c>
      <c r="J6874" t="inlineStr">
        <is>
          <t>Ventas Personas (B2C)</t>
        </is>
      </c>
      <c r="K6874" t="inlineStr">
        <is>
          <t>CH2</t>
        </is>
      </c>
    </row>
    <row r="6875">
      <c r="A6875" s="33" t="n">
        <v>46142</v>
      </c>
      <c r="B6875" t="inlineStr">
        <is>
          <t>2026-04</t>
        </is>
      </c>
      <c r="C6875" t="inlineStr">
        <is>
          <t>Marcelo Olivares</t>
        </is>
      </c>
      <c r="D6875" t="inlineStr">
        <is>
          <t>Petit Crunchy</t>
        </is>
      </c>
      <c r="E6875" s="34" t="n">
        <v>10900</v>
      </c>
      <c r="F6875" t="inlineStr">
        <is>
          <t>B</t>
        </is>
      </c>
      <c r="G6875" s="34" t="n">
        <v>1740</v>
      </c>
      <c r="H6875" s="34" t="n">
        <v>9160</v>
      </c>
      <c r="I6875" t="inlineStr">
        <is>
          <t>3.2</t>
        </is>
      </c>
      <c r="J6875" t="inlineStr">
        <is>
          <t>Ventas Personas (B2C)</t>
        </is>
      </c>
      <c r="K6875" t="inlineStr">
        <is>
          <t>CH2</t>
        </is>
      </c>
    </row>
    <row r="6876">
      <c r="A6876" s="33" t="n">
        <v>46142</v>
      </c>
      <c r="B6876" t="inlineStr">
        <is>
          <t>2026-04</t>
        </is>
      </c>
      <c r="C6876" t="inlineStr">
        <is>
          <t>Sin cliente</t>
        </is>
      </c>
      <c r="D6876" t="inlineStr">
        <is>
          <t>Rellenos</t>
        </is>
      </c>
      <c r="E6876" s="34" t="n">
        <v>20900</v>
      </c>
      <c r="F6876" t="inlineStr">
        <is>
          <t>B</t>
        </is>
      </c>
      <c r="G6876" s="34" t="n">
        <v>3337</v>
      </c>
      <c r="H6876" s="34" t="n">
        <v>17563</v>
      </c>
      <c r="I6876" t="inlineStr">
        <is>
          <t>3.2</t>
        </is>
      </c>
      <c r="J6876" t="inlineStr">
        <is>
          <t>Ventas Personas (B2C)</t>
        </is>
      </c>
      <c r="K6876" t="inlineStr">
        <is>
          <t>CH2</t>
        </is>
      </c>
    </row>
    <row r="6877">
      <c r="A6877" s="33" t="n">
        <v>46142</v>
      </c>
      <c r="B6877" t="inlineStr">
        <is>
          <t>2026-04</t>
        </is>
      </c>
      <c r="C6877" t="inlineStr">
        <is>
          <t>Sin cliente</t>
        </is>
      </c>
      <c r="D6877" t="inlineStr">
        <is>
          <t>CANELÉ TRADICIONAL</t>
        </is>
      </c>
      <c r="E6877" s="34" t="n">
        <v>2125</v>
      </c>
      <c r="F6877" t="inlineStr">
        <is>
          <t>B</t>
        </is>
      </c>
      <c r="G6877" s="34" t="n">
        <v>339</v>
      </c>
      <c r="H6877" s="34" t="n">
        <v>1786</v>
      </c>
      <c r="I6877" t="inlineStr">
        <is>
          <t>3.2</t>
        </is>
      </c>
      <c r="J6877" t="inlineStr">
        <is>
          <t>Ventas Personas (B2C)</t>
        </is>
      </c>
      <c r="K6877" t="inlineStr">
        <is>
          <t>CH2</t>
        </is>
      </c>
    </row>
    <row r="6878">
      <c r="A6878" s="33" t="n">
        <v>46142</v>
      </c>
      <c r="B6878" t="inlineStr">
        <is>
          <t>2026-04</t>
        </is>
      </c>
      <c r="C6878" t="inlineStr">
        <is>
          <t>Ricardo Moreno</t>
        </is>
      </c>
      <c r="D6878" t="inlineStr">
        <is>
          <t>Rellenos</t>
        </is>
      </c>
      <c r="E6878" s="34" t="n">
        <v>42290</v>
      </c>
      <c r="F6878" t="inlineStr">
        <is>
          <t>B</t>
        </is>
      </c>
      <c r="G6878" s="34" t="n">
        <v>6752</v>
      </c>
      <c r="H6878" s="34" t="n">
        <v>35538</v>
      </c>
      <c r="I6878" t="inlineStr">
        <is>
          <t>3.2</t>
        </is>
      </c>
      <c r="J6878" t="inlineStr">
        <is>
          <t>Ventas Personas (B2C)</t>
        </is>
      </c>
      <c r="K6878" t="inlineStr">
        <is>
          <t>CH2</t>
        </is>
      </c>
    </row>
    <row r="6879">
      <c r="A6879" s="33" t="n">
        <v>46142</v>
      </c>
      <c r="B6879" t="inlineStr">
        <is>
          <t>2026-04</t>
        </is>
      </c>
      <c r="C6879" t="inlineStr">
        <is>
          <t>Ambiente Gastronómico SPA</t>
        </is>
      </c>
      <c r="D6879" t="inlineStr">
        <is>
          <t>HORECA CAFETERIA</t>
        </is>
      </c>
      <c r="E6879" s="34" t="n">
        <v>86751</v>
      </c>
      <c r="F6879" t="inlineStr">
        <is>
          <t>F</t>
        </is>
      </c>
      <c r="G6879" s="34" t="n">
        <v>13851</v>
      </c>
      <c r="H6879" s="34" t="n">
        <v>72900</v>
      </c>
      <c r="I6879" t="inlineStr">
        <is>
          <t>3.1</t>
        </is>
      </c>
      <c r="J6879" t="inlineStr">
        <is>
          <t>Ventas HoReCa</t>
        </is>
      </c>
      <c r="K6879" t="inlineStr">
        <is>
          <t>CH1</t>
        </is>
      </c>
    </row>
    <row r="6880">
      <c r="A6880" s="33" t="n">
        <v>46142</v>
      </c>
      <c r="B6880" t="inlineStr">
        <is>
          <t>2026-04</t>
        </is>
      </c>
      <c r="C6880" t="inlineStr">
        <is>
          <t>Sin cliente</t>
        </is>
      </c>
      <c r="D6880" t="inlineStr">
        <is>
          <t>Rellenos</t>
        </is>
      </c>
      <c r="E6880" s="34" t="n">
        <v>40200</v>
      </c>
      <c r="F6880" t="inlineStr">
        <is>
          <t>B</t>
        </is>
      </c>
      <c r="G6880" s="34" t="n">
        <v>6418</v>
      </c>
      <c r="H6880" s="34" t="n">
        <v>33782</v>
      </c>
      <c r="I6880" t="inlineStr">
        <is>
          <t>3.2</t>
        </is>
      </c>
      <c r="J6880" t="inlineStr">
        <is>
          <t>Ventas Personas (B2C)</t>
        </is>
      </c>
      <c r="K6880" t="inlineStr">
        <is>
          <t>CH2</t>
        </is>
      </c>
    </row>
    <row r="6881">
      <c r="A6881" s="33" t="n">
        <v>46142</v>
      </c>
      <c r="B6881" t="inlineStr">
        <is>
          <t>2026-04</t>
        </is>
      </c>
      <c r="C6881" t="inlineStr">
        <is>
          <t>Sin cliente</t>
        </is>
      </c>
      <c r="D6881" t="inlineStr">
        <is>
          <t>PLATAFORMAS RAP-PEYA-UBER-GOOD</t>
        </is>
      </c>
      <c r="E6881" s="34" t="n">
        <v>27360</v>
      </c>
      <c r="F6881" t="inlineStr">
        <is>
          <t>B</t>
        </is>
      </c>
      <c r="G6881" s="34" t="n">
        <v>4368</v>
      </c>
      <c r="H6881" s="34" t="n">
        <v>22992</v>
      </c>
      <c r="I6881" t="inlineStr">
        <is>
          <t>3.6</t>
        </is>
      </c>
      <c r="J6881" t="inlineStr">
        <is>
          <t>Ventas Delivery Apps</t>
        </is>
      </c>
      <c r="K6881" t="inlineStr">
        <is>
          <t>CH3</t>
        </is>
      </c>
    </row>
    <row r="6882">
      <c r="A6882" s="33" t="n">
        <v>46142</v>
      </c>
      <c r="B6882" t="inlineStr">
        <is>
          <t>2026-04</t>
        </is>
      </c>
      <c r="C6882" t="inlineStr">
        <is>
          <t>Sin cliente</t>
        </is>
      </c>
      <c r="D6882" t="inlineStr">
        <is>
          <t>Glosa Caja 12 un - petit mix rellenos</t>
        </is>
      </c>
      <c r="E6882" s="34" t="n">
        <v>22690</v>
      </c>
      <c r="F6882" t="inlineStr">
        <is>
          <t>B</t>
        </is>
      </c>
      <c r="G6882" s="34" t="n">
        <v>3623</v>
      </c>
      <c r="H6882" s="34" t="n">
        <v>19067</v>
      </c>
      <c r="I6882" t="inlineStr">
        <is>
          <t>3.2</t>
        </is>
      </c>
      <c r="J6882" t="inlineStr">
        <is>
          <t>Ventas Personas (B2C)</t>
        </is>
      </c>
      <c r="K6882" t="inlineStr">
        <is>
          <t>CH2</t>
        </is>
      </c>
    </row>
    <row r="6883">
      <c r="A6883" s="33" t="n">
        <v>46142</v>
      </c>
      <c r="B6883" t="inlineStr">
        <is>
          <t>2026-04</t>
        </is>
      </c>
      <c r="C6883" t="inlineStr">
        <is>
          <t>Sin cliente</t>
        </is>
      </c>
      <c r="D6883" t="inlineStr">
        <is>
          <t>PLATAFORMAS RAP-PEYA-UBER-GOOD</t>
        </is>
      </c>
      <c r="E6883" s="34" t="n">
        <v>19080</v>
      </c>
      <c r="F6883" t="inlineStr">
        <is>
          <t>B</t>
        </is>
      </c>
      <c r="G6883" s="34" t="n">
        <v>3046</v>
      </c>
      <c r="H6883" s="34" t="n">
        <v>16034</v>
      </c>
      <c r="I6883" t="inlineStr">
        <is>
          <t>3.6</t>
        </is>
      </c>
      <c r="J6883" t="inlineStr">
        <is>
          <t>Ventas Delivery Apps</t>
        </is>
      </c>
      <c r="K6883" t="inlineStr">
        <is>
          <t>CH3</t>
        </is>
      </c>
    </row>
    <row r="6884">
      <c r="A6884" s="33" t="n">
        <v>46142</v>
      </c>
      <c r="B6884" t="inlineStr">
        <is>
          <t>2026-04</t>
        </is>
      </c>
      <c r="C6884" t="inlineStr">
        <is>
          <t>JEONG WOO HONG</t>
        </is>
      </c>
      <c r="D6884" t="inlineStr">
        <is>
          <t>Rellenos</t>
        </is>
      </c>
      <c r="E6884" s="34" t="n">
        <v>36390</v>
      </c>
      <c r="F6884" t="inlineStr">
        <is>
          <t>B</t>
        </is>
      </c>
      <c r="G6884" s="34" t="n">
        <v>5810</v>
      </c>
      <c r="H6884" s="34" t="n">
        <v>30580</v>
      </c>
      <c r="I6884" t="inlineStr">
        <is>
          <t>3.2</t>
        </is>
      </c>
      <c r="J6884" t="inlineStr">
        <is>
          <t>Ventas Personas (B2C)</t>
        </is>
      </c>
      <c r="K6884" t="inlineStr">
        <is>
          <t>CH2</t>
        </is>
      </c>
    </row>
    <row r="6885">
      <c r="A6885" s="33" t="n">
        <v>46142</v>
      </c>
      <c r="B6885" t="inlineStr">
        <is>
          <t>2026-04</t>
        </is>
      </c>
      <c r="C6885" t="inlineStr">
        <is>
          <t>Sin cliente</t>
        </is>
      </c>
      <c r="D6885" t="inlineStr">
        <is>
          <t>CANELÉ TRADICIONAL</t>
        </is>
      </c>
      <c r="E6885" s="34" t="n">
        <v>22900</v>
      </c>
      <c r="F6885" t="inlineStr">
        <is>
          <t>B</t>
        </is>
      </c>
      <c r="G6885" s="34" t="n">
        <v>3656</v>
      </c>
      <c r="H6885" s="34" t="n">
        <v>19244</v>
      </c>
      <c r="I6885" t="inlineStr">
        <is>
          <t>3.2</t>
        </is>
      </c>
      <c r="J6885" t="inlineStr">
        <is>
          <t>Ventas Personas (B2C)</t>
        </is>
      </c>
      <c r="K6885" t="inlineStr">
        <is>
          <t>CH2</t>
        </is>
      </c>
    </row>
    <row r="6886">
      <c r="A6886" s="33" t="n">
        <v>46142</v>
      </c>
      <c r="B6886" t="inlineStr">
        <is>
          <t>2026-04</t>
        </is>
      </c>
      <c r="C6886" t="inlineStr">
        <is>
          <t>Sin cliente</t>
        </is>
      </c>
      <c r="D6886" t="inlineStr">
        <is>
          <t>CANELÉ TRADICIONAL</t>
        </is>
      </c>
      <c r="E6886" s="34" t="n">
        <v>7500</v>
      </c>
      <c r="F6886" t="inlineStr">
        <is>
          <t>B</t>
        </is>
      </c>
      <c r="G6886" s="34" t="n">
        <v>1197</v>
      </c>
      <c r="H6886" s="34" t="n">
        <v>6303</v>
      </c>
      <c r="I6886" t="inlineStr">
        <is>
          <t>3.2</t>
        </is>
      </c>
      <c r="J6886" t="inlineStr">
        <is>
          <t>Ventas Personas (B2C)</t>
        </is>
      </c>
      <c r="K6886" t="inlineStr">
        <is>
          <t>CH2</t>
        </is>
      </c>
    </row>
    <row r="6887">
      <c r="A6887" s="33" t="n">
        <v>46142</v>
      </c>
      <c r="B6887" t="inlineStr">
        <is>
          <t>2026-04</t>
        </is>
      </c>
      <c r="C6887" t="inlineStr">
        <is>
          <t>César Gavilán</t>
        </is>
      </c>
      <c r="D6887" t="inlineStr">
        <is>
          <t>CANELÉ TRADICIONAL</t>
        </is>
      </c>
      <c r="E6887" s="34" t="n">
        <v>22900</v>
      </c>
      <c r="F6887" t="inlineStr">
        <is>
          <t>B</t>
        </is>
      </c>
      <c r="G6887" s="34" t="n">
        <v>3656</v>
      </c>
      <c r="H6887" s="34" t="n">
        <v>19244</v>
      </c>
      <c r="I6887" t="inlineStr">
        <is>
          <t>3.2</t>
        </is>
      </c>
      <c r="J6887" t="inlineStr">
        <is>
          <t>Ventas Personas (B2C)</t>
        </is>
      </c>
      <c r="K6887" t="inlineStr">
        <is>
          <t>CH2</t>
        </is>
      </c>
    </row>
    <row r="6888">
      <c r="A6888" s="33" t="n">
        <v>46142</v>
      </c>
      <c r="B6888" t="inlineStr">
        <is>
          <t>2026-04</t>
        </is>
      </c>
      <c r="C6888" t="inlineStr">
        <is>
          <t>Sin cliente</t>
        </is>
      </c>
      <c r="D6888" t="inlineStr">
        <is>
          <t>Rellenos</t>
        </is>
      </c>
      <c r="E6888" s="34" t="n">
        <v>15500</v>
      </c>
      <c r="F6888" t="inlineStr">
        <is>
          <t>B</t>
        </is>
      </c>
      <c r="G6888" s="34" t="n">
        <v>2475</v>
      </c>
      <c r="H6888" s="34" t="n">
        <v>13025</v>
      </c>
      <c r="I6888" t="inlineStr">
        <is>
          <t>3.2</t>
        </is>
      </c>
      <c r="J6888" t="inlineStr">
        <is>
          <t>Ventas Personas (B2C)</t>
        </is>
      </c>
      <c r="K6888" t="inlineStr">
        <is>
          <t>CH2</t>
        </is>
      </c>
    </row>
    <row r="6889">
      <c r="A6889" s="33" t="n">
        <v>46142</v>
      </c>
      <c r="B6889" t="inlineStr">
        <is>
          <t>2026-04</t>
        </is>
      </c>
      <c r="C6889" t="inlineStr">
        <is>
          <t>Sin cliente</t>
        </is>
      </c>
      <c r="D6889" t="inlineStr">
        <is>
          <t>Cafeteria Geronimo</t>
        </is>
      </c>
      <c r="E6889" s="34" t="n">
        <v>3000</v>
      </c>
      <c r="F6889" t="inlineStr">
        <is>
          <t>B</t>
        </is>
      </c>
      <c r="G6889" s="34" t="n">
        <v>479</v>
      </c>
      <c r="H6889" s="34" t="n">
        <v>2521</v>
      </c>
      <c r="I6889" t="inlineStr">
        <is>
          <t>3.2</t>
        </is>
      </c>
      <c r="J6889" t="inlineStr">
        <is>
          <t>Ventas Personas (B2C)</t>
        </is>
      </c>
      <c r="K6889" t="inlineStr">
        <is>
          <t>CH2</t>
        </is>
      </c>
    </row>
    <row r="6890">
      <c r="A6890" s="33" t="n">
        <v>46142</v>
      </c>
      <c r="B6890" t="inlineStr">
        <is>
          <t>2026-04</t>
        </is>
      </c>
      <c r="C6890" t="inlineStr">
        <is>
          <t>Sin cliente</t>
        </is>
      </c>
      <c r="D6890" t="inlineStr">
        <is>
          <t>Glosa Envio express las condes</t>
        </is>
      </c>
      <c r="E6890" s="34" t="n">
        <v>4990</v>
      </c>
      <c r="F6890" t="inlineStr">
        <is>
          <t>B</t>
        </is>
      </c>
      <c r="G6890" s="34" t="n">
        <v>797</v>
      </c>
      <c r="H6890" s="34" t="n">
        <v>4193</v>
      </c>
      <c r="I6890" t="inlineStr">
        <is>
          <t>3.2</t>
        </is>
      </c>
      <c r="J6890" t="inlineStr">
        <is>
          <t>Ventas Personas (B2C)</t>
        </is>
      </c>
      <c r="K6890" t="inlineStr">
        <is>
          <t>CH2</t>
        </is>
      </c>
    </row>
    <row r="6891">
      <c r="A6891" s="33" t="n">
        <v>46142</v>
      </c>
      <c r="B6891" t="inlineStr">
        <is>
          <t>2026-04</t>
        </is>
      </c>
      <c r="C6891" t="inlineStr">
        <is>
          <t>Sin cliente</t>
        </is>
      </c>
      <c r="D6891" t="inlineStr">
        <is>
          <t>CANELÉ TRADICIONAL</t>
        </is>
      </c>
      <c r="E6891" s="34" t="n">
        <v>32390</v>
      </c>
      <c r="F6891" t="inlineStr">
        <is>
          <t>B</t>
        </is>
      </c>
      <c r="G6891" s="34" t="n">
        <v>5172</v>
      </c>
      <c r="H6891" s="34" t="n">
        <v>27218</v>
      </c>
      <c r="I6891" t="inlineStr">
        <is>
          <t>3.2</t>
        </is>
      </c>
      <c r="J6891" t="inlineStr">
        <is>
          <t>Ventas Personas (B2C)</t>
        </is>
      </c>
      <c r="K6891" t="inlineStr">
        <is>
          <t>CH2</t>
        </is>
      </c>
    </row>
    <row r="6892">
      <c r="A6892" s="33" t="n">
        <v>46142</v>
      </c>
      <c r="B6892" t="inlineStr">
        <is>
          <t>2026-04</t>
        </is>
      </c>
      <c r="C6892" t="inlineStr">
        <is>
          <t>Sin cliente</t>
        </is>
      </c>
      <c r="D6892" t="inlineStr">
        <is>
          <t>CANELÉ TRADICIONAL</t>
        </is>
      </c>
      <c r="E6892" s="34" t="n">
        <v>15900</v>
      </c>
      <c r="F6892" t="inlineStr">
        <is>
          <t>B</t>
        </is>
      </c>
      <c r="G6892" s="34" t="n">
        <v>2539</v>
      </c>
      <c r="H6892" s="34" t="n">
        <v>13361</v>
      </c>
      <c r="I6892" t="inlineStr">
        <is>
          <t>3.2</t>
        </is>
      </c>
      <c r="J6892" t="inlineStr">
        <is>
          <t>Ventas Personas (B2C)</t>
        </is>
      </c>
      <c r="K6892" t="inlineStr">
        <is>
          <t>CH2</t>
        </is>
      </c>
    </row>
    <row r="6893">
      <c r="A6893" s="33" t="n">
        <v>46143</v>
      </c>
      <c r="B6893" t="inlineStr">
        <is>
          <t>2026-05</t>
        </is>
      </c>
      <c r="C6893" t="inlineStr">
        <is>
          <t>BLUE OAK COFFE SPA</t>
        </is>
      </c>
      <c r="D6893" t="inlineStr">
        <is>
          <t>HORECA CAFETERIA</t>
        </is>
      </c>
      <c r="E6893" s="34" t="n">
        <v>94117</v>
      </c>
      <c r="F6893" t="inlineStr">
        <is>
          <t>F</t>
        </is>
      </c>
      <c r="G6893" s="34" t="n">
        <v>15027</v>
      </c>
      <c r="H6893" s="34" t="n">
        <v>79090</v>
      </c>
      <c r="I6893" t="inlineStr">
        <is>
          <t>3.1</t>
        </is>
      </c>
      <c r="J6893" t="inlineStr">
        <is>
          <t>Ventas HoReCa</t>
        </is>
      </c>
      <c r="K6893" t="inlineStr">
        <is>
          <t>CH1</t>
        </is>
      </c>
    </row>
    <row r="6894">
      <c r="A6894" s="33" t="n">
        <v>46143</v>
      </c>
      <c r="B6894" t="inlineStr">
        <is>
          <t>2026-05</t>
        </is>
      </c>
      <c r="C6894" t="inlineStr">
        <is>
          <t>Andrea San Martín San Martín</t>
        </is>
      </c>
      <c r="D6894" t="inlineStr">
        <is>
          <t>Canelé Petit Relleno</t>
        </is>
      </c>
      <c r="E6894" s="34" t="n">
        <v>43790</v>
      </c>
      <c r="F6894" t="inlineStr">
        <is>
          <t>B</t>
        </is>
      </c>
      <c r="G6894" s="34" t="n">
        <v>6992</v>
      </c>
      <c r="H6894" s="34" t="n">
        <v>36798</v>
      </c>
      <c r="I6894" t="inlineStr">
        <is>
          <t>3.2</t>
        </is>
      </c>
      <c r="J6894" t="inlineStr">
        <is>
          <t>Ventas Personas (B2C)</t>
        </is>
      </c>
      <c r="K6894" t="inlineStr">
        <is>
          <t>CH2</t>
        </is>
      </c>
    </row>
    <row r="6895">
      <c r="A6895" s="33" t="n">
        <v>46143</v>
      </c>
      <c r="B6895" t="inlineStr">
        <is>
          <t>2026-05</t>
        </is>
      </c>
      <c r="C6895" t="inlineStr">
        <is>
          <t>Pablo Montesinos</t>
        </is>
      </c>
      <c r="D6895" t="inlineStr">
        <is>
          <t>Petit Tradicional</t>
        </is>
      </c>
      <c r="E6895" s="34" t="n">
        <v>41590</v>
      </c>
      <c r="F6895" t="inlineStr">
        <is>
          <t>B</t>
        </is>
      </c>
      <c r="G6895" s="34" t="n">
        <v>6640</v>
      </c>
      <c r="H6895" s="34" t="n">
        <v>34950</v>
      </c>
      <c r="I6895" t="inlineStr">
        <is>
          <t>3.2</t>
        </is>
      </c>
      <c r="J6895" t="inlineStr">
        <is>
          <t>Ventas Personas (B2C)</t>
        </is>
      </c>
      <c r="K6895" t="inlineStr">
        <is>
          <t>CH2</t>
        </is>
      </c>
    </row>
    <row r="6896">
      <c r="A6896" s="33" t="n">
        <v>46144</v>
      </c>
      <c r="B6896" t="inlineStr">
        <is>
          <t>2026-05</t>
        </is>
      </c>
      <c r="C6896" t="inlineStr">
        <is>
          <t>PRODUCTORA DE EVENTOS AGDV SPA</t>
        </is>
      </c>
      <c r="D6896" t="inlineStr">
        <is>
          <t>HORECA CATERING</t>
        </is>
      </c>
      <c r="E6896" s="34" t="n">
        <v>127330</v>
      </c>
      <c r="F6896" t="inlineStr">
        <is>
          <t>F</t>
        </is>
      </c>
      <c r="G6896" s="34" t="n">
        <v>20330</v>
      </c>
      <c r="H6896" s="34" t="n">
        <v>107000</v>
      </c>
      <c r="I6896" t="inlineStr">
        <is>
          <t>3.1</t>
        </is>
      </c>
      <c r="J6896" t="inlineStr">
        <is>
          <t>Ventas HoReCa</t>
        </is>
      </c>
      <c r="K6896" t="inlineStr">
        <is>
          <t>CH1</t>
        </is>
      </c>
    </row>
    <row r="6897">
      <c r="A6897" s="33" t="n">
        <v>46144</v>
      </c>
      <c r="B6897" t="inlineStr">
        <is>
          <t>2026-05</t>
        </is>
      </c>
      <c r="C6897" t="inlineStr">
        <is>
          <t>Oscar Navea Carrasco</t>
        </is>
      </c>
      <c r="D6897" t="inlineStr">
        <is>
          <t>Delicatessen</t>
        </is>
      </c>
      <c r="E6897" s="34" t="n">
        <v>42690</v>
      </c>
      <c r="F6897" t="inlineStr">
        <is>
          <t>B</t>
        </is>
      </c>
      <c r="G6897" s="34" t="n">
        <v>6816</v>
      </c>
      <c r="H6897" s="34" t="n">
        <v>35874</v>
      </c>
      <c r="I6897" t="inlineStr">
        <is>
          <t>3.2</t>
        </is>
      </c>
      <c r="J6897" t="inlineStr">
        <is>
          <t>Ventas Personas (B2C)</t>
        </is>
      </c>
      <c r="K6897" t="inlineStr">
        <is>
          <t>CH2</t>
        </is>
      </c>
    </row>
    <row r="6898">
      <c r="A6898" s="33" t="n">
        <v>46144</v>
      </c>
      <c r="B6898" t="inlineStr">
        <is>
          <t>2026-05</t>
        </is>
      </c>
      <c r="C6898" t="inlineStr">
        <is>
          <t>Sin cliente</t>
        </is>
      </c>
      <c r="D6898" t="inlineStr">
        <is>
          <t>Rellenos</t>
        </is>
      </c>
      <c r="E6898" s="34" t="n">
        <v>10500</v>
      </c>
      <c r="F6898" t="inlineStr">
        <is>
          <t>B</t>
        </is>
      </c>
      <c r="G6898" s="34" t="n">
        <v>1676</v>
      </c>
      <c r="H6898" s="34" t="n">
        <v>8824</v>
      </c>
      <c r="I6898" t="inlineStr">
        <is>
          <t>3.2</t>
        </is>
      </c>
      <c r="J6898" t="inlineStr">
        <is>
          <t>Ventas Personas (B2C)</t>
        </is>
      </c>
      <c r="K6898" t="inlineStr">
        <is>
          <t>CH2</t>
        </is>
      </c>
    </row>
    <row r="6899">
      <c r="A6899" s="33" t="n">
        <v>46144</v>
      </c>
      <c r="B6899" t="inlineStr">
        <is>
          <t>2026-05</t>
        </is>
      </c>
      <c r="C6899" t="inlineStr">
        <is>
          <t>Patricia Aguila</t>
        </is>
      </c>
      <c r="D6899" t="inlineStr">
        <is>
          <t>Canelé Petit Relleno</t>
        </is>
      </c>
      <c r="E6899" s="34" t="n">
        <v>40900</v>
      </c>
      <c r="F6899" t="inlineStr">
        <is>
          <t>B</t>
        </is>
      </c>
      <c r="G6899" s="34" t="n">
        <v>6530</v>
      </c>
      <c r="H6899" s="34" t="n">
        <v>34370</v>
      </c>
      <c r="I6899" t="inlineStr">
        <is>
          <t>3.2</t>
        </is>
      </c>
      <c r="J6899" t="inlineStr">
        <is>
          <t>Ventas Personas (B2C)</t>
        </is>
      </c>
      <c r="K6899" t="inlineStr">
        <is>
          <t>CH2</t>
        </is>
      </c>
    </row>
    <row r="6900">
      <c r="A6900" s="33" t="n">
        <v>46144</v>
      </c>
      <c r="B6900" t="inlineStr">
        <is>
          <t>2026-05</t>
        </is>
      </c>
      <c r="C6900" t="inlineStr">
        <is>
          <t>Sin cliente</t>
        </is>
      </c>
      <c r="D6900" t="inlineStr">
        <is>
          <t>CANELÉ TRADICIONAL</t>
        </is>
      </c>
      <c r="E6900" s="34" t="n">
        <v>21400</v>
      </c>
      <c r="F6900" t="inlineStr">
        <is>
          <t>B</t>
        </is>
      </c>
      <c r="G6900" s="34" t="n">
        <v>3417</v>
      </c>
      <c r="H6900" s="34" t="n">
        <v>17983</v>
      </c>
      <c r="I6900" t="inlineStr">
        <is>
          <t>3.2</t>
        </is>
      </c>
      <c r="J6900" t="inlineStr">
        <is>
          <t>Ventas Personas (B2C)</t>
        </is>
      </c>
      <c r="K6900" t="inlineStr">
        <is>
          <t>CH2</t>
        </is>
      </c>
    </row>
    <row r="6901">
      <c r="A6901" s="33" t="n">
        <v>46144</v>
      </c>
      <c r="B6901" t="inlineStr">
        <is>
          <t>2026-05</t>
        </is>
      </c>
      <c r="C6901" t="inlineStr">
        <is>
          <t>Sin cliente</t>
        </is>
      </c>
      <c r="D6901" t="inlineStr">
        <is>
          <t>Canelé Petit Relleno</t>
        </is>
      </c>
      <c r="E6901" s="34" t="n">
        <v>21400</v>
      </c>
      <c r="F6901" t="inlineStr">
        <is>
          <t>B</t>
        </is>
      </c>
      <c r="G6901" s="34" t="n">
        <v>3417</v>
      </c>
      <c r="H6901" s="34" t="n">
        <v>17983</v>
      </c>
      <c r="I6901" t="inlineStr">
        <is>
          <t>3.2</t>
        </is>
      </c>
      <c r="J6901" t="inlineStr">
        <is>
          <t>Ventas Personas (B2C)</t>
        </is>
      </c>
      <c r="K6901" t="inlineStr">
        <is>
          <t>CH2</t>
        </is>
      </c>
    </row>
    <row r="6902">
      <c r="A6902" s="33" t="n">
        <v>46144</v>
      </c>
      <c r="B6902" t="inlineStr">
        <is>
          <t>2026-05</t>
        </is>
      </c>
      <c r="C6902" t="inlineStr">
        <is>
          <t>Sin cliente</t>
        </is>
      </c>
      <c r="D6902" t="inlineStr">
        <is>
          <t>Cafeteria Geronimo</t>
        </is>
      </c>
      <c r="E6902" s="34" t="n">
        <v>8900</v>
      </c>
      <c r="F6902" t="inlineStr">
        <is>
          <t>B</t>
        </is>
      </c>
      <c r="G6902" s="34" t="n">
        <v>1421</v>
      </c>
      <c r="H6902" s="34" t="n">
        <v>7479</v>
      </c>
      <c r="I6902" t="inlineStr">
        <is>
          <t>3.2</t>
        </is>
      </c>
      <c r="J6902" t="inlineStr">
        <is>
          <t>Ventas Personas (B2C)</t>
        </is>
      </c>
      <c r="K6902" t="inlineStr">
        <is>
          <t>CH2</t>
        </is>
      </c>
    </row>
    <row r="6903">
      <c r="A6903" s="33" t="n">
        <v>46144</v>
      </c>
      <c r="B6903" t="inlineStr">
        <is>
          <t>2026-05</t>
        </is>
      </c>
      <c r="C6903" t="inlineStr">
        <is>
          <t>Sin cliente</t>
        </is>
      </c>
      <c r="D6903" t="inlineStr">
        <is>
          <t>CANELÉ TRADICIONAL</t>
        </is>
      </c>
      <c r="E6903" s="34" t="n">
        <v>49700</v>
      </c>
      <c r="F6903" t="inlineStr">
        <is>
          <t>B</t>
        </is>
      </c>
      <c r="G6903" s="34" t="n">
        <v>7935</v>
      </c>
      <c r="H6903" s="34" t="n">
        <v>41765</v>
      </c>
      <c r="I6903" t="inlineStr">
        <is>
          <t>3.2</t>
        </is>
      </c>
      <c r="J6903" t="inlineStr">
        <is>
          <t>Ventas Personas (B2C)</t>
        </is>
      </c>
      <c r="K6903" t="inlineStr">
        <is>
          <t>CH2</t>
        </is>
      </c>
    </row>
    <row r="6904">
      <c r="A6904" s="33" t="n">
        <v>46144</v>
      </c>
      <c r="B6904" t="inlineStr">
        <is>
          <t>2026-05</t>
        </is>
      </c>
      <c r="C6904" t="inlineStr">
        <is>
          <t>Sin cliente</t>
        </is>
      </c>
      <c r="D6904" t="inlineStr">
        <is>
          <t>Petit Tradicional</t>
        </is>
      </c>
      <c r="E6904" s="34" t="n">
        <v>13800</v>
      </c>
      <c r="F6904" t="inlineStr">
        <is>
          <t>B</t>
        </is>
      </c>
      <c r="G6904" s="34" t="n">
        <v>2203</v>
      </c>
      <c r="H6904" s="34" t="n">
        <v>11597</v>
      </c>
      <c r="I6904" t="inlineStr">
        <is>
          <t>3.2</t>
        </is>
      </c>
      <c r="J6904" t="inlineStr">
        <is>
          <t>Ventas Personas (B2C)</t>
        </is>
      </c>
      <c r="K6904" t="inlineStr">
        <is>
          <t>CH2</t>
        </is>
      </c>
    </row>
    <row r="6905">
      <c r="A6905" s="33" t="n">
        <v>46144</v>
      </c>
      <c r="B6905" t="inlineStr">
        <is>
          <t>2026-05</t>
        </is>
      </c>
      <c r="C6905" t="inlineStr">
        <is>
          <t>Sin cliente</t>
        </is>
      </c>
      <c r="D6905" t="inlineStr">
        <is>
          <t>Petit Crunchy</t>
        </is>
      </c>
      <c r="E6905" s="34" t="n">
        <v>10900</v>
      </c>
      <c r="F6905" t="inlineStr">
        <is>
          <t>B</t>
        </is>
      </c>
      <c r="G6905" s="34" t="n">
        <v>1740</v>
      </c>
      <c r="H6905" s="34" t="n">
        <v>9160</v>
      </c>
      <c r="I6905" t="inlineStr">
        <is>
          <t>3.2</t>
        </is>
      </c>
      <c r="J6905" t="inlineStr">
        <is>
          <t>Ventas Personas (B2C)</t>
        </is>
      </c>
      <c r="K6905" t="inlineStr">
        <is>
          <t>CH2</t>
        </is>
      </c>
    </row>
    <row r="6906">
      <c r="A6906" s="33" t="n">
        <v>46144</v>
      </c>
      <c r="B6906" t="inlineStr">
        <is>
          <t>2026-05</t>
        </is>
      </c>
      <c r="C6906" t="inlineStr">
        <is>
          <t>Gustavo Nuñez Camus</t>
        </is>
      </c>
      <c r="D6906" t="inlineStr">
        <is>
          <t>Mix Sabores</t>
        </is>
      </c>
      <c r="E6906" s="34" t="n">
        <v>26290</v>
      </c>
      <c r="F6906" t="inlineStr">
        <is>
          <t>B</t>
        </is>
      </c>
      <c r="G6906" s="34" t="n">
        <v>4198</v>
      </c>
      <c r="H6906" s="34" t="n">
        <v>22092</v>
      </c>
      <c r="I6906" t="inlineStr">
        <is>
          <t>3.2</t>
        </is>
      </c>
      <c r="J6906" t="inlineStr">
        <is>
          <t>Ventas Personas (B2C)</t>
        </is>
      </c>
      <c r="K6906" t="inlineStr">
        <is>
          <t>CH2</t>
        </is>
      </c>
    </row>
    <row r="6907">
      <c r="A6907" s="33" t="n">
        <v>46144</v>
      </c>
      <c r="B6907" t="inlineStr">
        <is>
          <t>2026-05</t>
        </is>
      </c>
      <c r="C6907" t="inlineStr">
        <is>
          <t>Alberto cubillos</t>
        </is>
      </c>
      <c r="D6907" t="inlineStr">
        <is>
          <t>Rellenos</t>
        </is>
      </c>
      <c r="E6907" s="34" t="n">
        <v>32900</v>
      </c>
      <c r="F6907" t="inlineStr">
        <is>
          <t>B</t>
        </is>
      </c>
      <c r="G6907" s="34" t="n">
        <v>5253</v>
      </c>
      <c r="H6907" s="34" t="n">
        <v>27647</v>
      </c>
      <c r="I6907" t="inlineStr">
        <is>
          <t>3.2</t>
        </is>
      </c>
      <c r="J6907" t="inlineStr">
        <is>
          <t>Ventas Personas (B2C)</t>
        </is>
      </c>
      <c r="K6907" t="inlineStr">
        <is>
          <t>CH2</t>
        </is>
      </c>
    </row>
    <row r="6908">
      <c r="A6908" s="33" t="n">
        <v>46144</v>
      </c>
      <c r="B6908" t="inlineStr">
        <is>
          <t>2026-05</t>
        </is>
      </c>
      <c r="C6908" t="inlineStr">
        <is>
          <t>Sin cliente</t>
        </is>
      </c>
      <c r="D6908" t="inlineStr">
        <is>
          <t>PLATAFORMAS RAP-PEYA-UBER-GOOD</t>
        </is>
      </c>
      <c r="E6908" s="34" t="n">
        <v>43080</v>
      </c>
      <c r="F6908" t="inlineStr">
        <is>
          <t>B</t>
        </is>
      </c>
      <c r="G6908" s="34" t="n">
        <v>6878</v>
      </c>
      <c r="H6908" s="34" t="n">
        <v>36202</v>
      </c>
      <c r="I6908" t="inlineStr">
        <is>
          <t>3.6</t>
        </is>
      </c>
      <c r="J6908" t="inlineStr">
        <is>
          <t>Ventas Delivery Apps</t>
        </is>
      </c>
      <c r="K6908" t="inlineStr">
        <is>
          <t>CH3</t>
        </is>
      </c>
    </row>
    <row r="6909">
      <c r="A6909" s="33" t="n">
        <v>46144</v>
      </c>
      <c r="B6909" t="inlineStr">
        <is>
          <t>2026-05</t>
        </is>
      </c>
      <c r="C6909" t="inlineStr">
        <is>
          <t>Sin cliente</t>
        </is>
      </c>
      <c r="D6909" t="inlineStr">
        <is>
          <t>Cafeteria Geronimo</t>
        </is>
      </c>
      <c r="E6909" s="34" t="n">
        <v>27765</v>
      </c>
      <c r="F6909" t="inlineStr">
        <is>
          <t>B</t>
        </is>
      </c>
      <c r="G6909" s="34" t="n">
        <v>4433</v>
      </c>
      <c r="H6909" s="34" t="n">
        <v>23332</v>
      </c>
      <c r="I6909" t="inlineStr">
        <is>
          <t>3.2</t>
        </is>
      </c>
      <c r="J6909" t="inlineStr">
        <is>
          <t>Ventas Personas (B2C)</t>
        </is>
      </c>
      <c r="K6909" t="inlineStr">
        <is>
          <t>CH2</t>
        </is>
      </c>
    </row>
    <row r="6910">
      <c r="A6910" s="33" t="n">
        <v>46144</v>
      </c>
      <c r="B6910" t="inlineStr">
        <is>
          <t>2026-05</t>
        </is>
      </c>
      <c r="C6910" t="inlineStr">
        <is>
          <t>Sin cliente</t>
        </is>
      </c>
      <c r="D6910" t="inlineStr">
        <is>
          <t>Cafeteria Geronimo</t>
        </is>
      </c>
      <c r="E6910" s="34" t="n">
        <v>35800</v>
      </c>
      <c r="F6910" t="inlineStr">
        <is>
          <t>B</t>
        </is>
      </c>
      <c r="G6910" s="34" t="n">
        <v>5716</v>
      </c>
      <c r="H6910" s="34" t="n">
        <v>30084</v>
      </c>
      <c r="I6910" t="inlineStr">
        <is>
          <t>3.2</t>
        </is>
      </c>
      <c r="J6910" t="inlineStr">
        <is>
          <t>Ventas Personas (B2C)</t>
        </is>
      </c>
      <c r="K6910" t="inlineStr">
        <is>
          <t>CH2</t>
        </is>
      </c>
    </row>
    <row r="6911">
      <c r="A6911" s="33" t="n">
        <v>46144</v>
      </c>
      <c r="B6911" t="inlineStr">
        <is>
          <t>2026-05</t>
        </is>
      </c>
      <c r="C6911" t="inlineStr">
        <is>
          <t>Sin cliente</t>
        </is>
      </c>
      <c r="D6911" t="inlineStr">
        <is>
          <t>CANELÉ TRADICIONAL</t>
        </is>
      </c>
      <c r="E6911" s="34" t="n">
        <v>15900</v>
      </c>
      <c r="F6911" t="inlineStr">
        <is>
          <t>B</t>
        </is>
      </c>
      <c r="G6911" s="34" t="n">
        <v>2539</v>
      </c>
      <c r="H6911" s="34" t="n">
        <v>13361</v>
      </c>
      <c r="I6911" t="inlineStr">
        <is>
          <t>3.2</t>
        </is>
      </c>
      <c r="J6911" t="inlineStr">
        <is>
          <t>Ventas Personas (B2C)</t>
        </is>
      </c>
      <c r="K6911" t="inlineStr">
        <is>
          <t>CH2</t>
        </is>
      </c>
    </row>
    <row r="6912">
      <c r="A6912" s="33" t="n">
        <v>46145</v>
      </c>
      <c r="B6912" t="inlineStr">
        <is>
          <t>2026-05</t>
        </is>
      </c>
      <c r="C6912" t="inlineStr">
        <is>
          <t>Claudia Quiroga</t>
        </is>
      </c>
      <c r="D6912" t="inlineStr">
        <is>
          <t>Rellenos</t>
        </is>
      </c>
      <c r="E6912" s="34" t="n">
        <v>38890</v>
      </c>
      <c r="F6912" t="inlineStr">
        <is>
          <t>B</t>
        </is>
      </c>
      <c r="G6912" s="34" t="n">
        <v>6209</v>
      </c>
      <c r="H6912" s="34" t="n">
        <v>32681</v>
      </c>
      <c r="I6912" t="inlineStr">
        <is>
          <t>3.2</t>
        </is>
      </c>
      <c r="J6912" t="inlineStr">
        <is>
          <t>Ventas Personas (B2C)</t>
        </is>
      </c>
      <c r="K6912" t="inlineStr">
        <is>
          <t>CH2</t>
        </is>
      </c>
    </row>
    <row r="6913">
      <c r="A6913" s="33" t="n">
        <v>46145</v>
      </c>
      <c r="B6913" t="inlineStr">
        <is>
          <t>2026-05</t>
        </is>
      </c>
      <c r="C6913" t="inlineStr">
        <is>
          <t>Ronny Muñoz Cáceres</t>
        </is>
      </c>
      <c r="D6913" t="inlineStr">
        <is>
          <t>Canelé Petit Relleno</t>
        </is>
      </c>
      <c r="E6913" s="34" t="n">
        <v>24890</v>
      </c>
      <c r="F6913" t="inlineStr">
        <is>
          <t>B</t>
        </is>
      </c>
      <c r="G6913" s="34" t="n">
        <v>3974</v>
      </c>
      <c r="H6913" s="34" t="n">
        <v>20916</v>
      </c>
      <c r="I6913" t="inlineStr">
        <is>
          <t>3.2</t>
        </is>
      </c>
      <c r="J6913" t="inlineStr">
        <is>
          <t>Ventas Personas (B2C)</t>
        </is>
      </c>
      <c r="K6913" t="inlineStr">
        <is>
          <t>CH2</t>
        </is>
      </c>
    </row>
    <row r="6914">
      <c r="A6914" s="33" t="n">
        <v>46146</v>
      </c>
      <c r="B6914" t="inlineStr">
        <is>
          <t>2026-05</t>
        </is>
      </c>
      <c r="C6914" t="inlineStr">
        <is>
          <t>Inversiones Fofoca SpA</t>
        </is>
      </c>
      <c r="D6914" t="inlineStr">
        <is>
          <t>HORECA CAFETERIA</t>
        </is>
      </c>
      <c r="E6914" s="34" t="n">
        <v>77564</v>
      </c>
      <c r="F6914" t="inlineStr">
        <is>
          <t>F</t>
        </is>
      </c>
      <c r="G6914" s="34" t="n">
        <v>12384</v>
      </c>
      <c r="H6914" s="34" t="n">
        <v>65180</v>
      </c>
      <c r="I6914" t="inlineStr">
        <is>
          <t>3.1</t>
        </is>
      </c>
      <c r="J6914" t="inlineStr">
        <is>
          <t>Ventas HoReCa</t>
        </is>
      </c>
      <c r="K6914" t="inlineStr">
        <is>
          <t>CH1</t>
        </is>
      </c>
    </row>
    <row r="6915">
      <c r="A6915" s="33" t="n">
        <v>46146</v>
      </c>
      <c r="B6915" t="inlineStr">
        <is>
          <t>2026-05</t>
        </is>
      </c>
      <c r="C6915" t="inlineStr">
        <is>
          <t>INVERSIONES Y COMERCIALIZADORA FED LIMITADA</t>
        </is>
      </c>
      <c r="D6915" t="inlineStr">
        <is>
          <t>HORECA CAFETERIA</t>
        </is>
      </c>
      <c r="E6915" s="34" t="n">
        <v>148107</v>
      </c>
      <c r="F6915" t="inlineStr">
        <is>
          <t>F</t>
        </is>
      </c>
      <c r="G6915" s="34" t="n">
        <v>23647</v>
      </c>
      <c r="H6915" s="34" t="n">
        <v>124460</v>
      </c>
      <c r="I6915" t="inlineStr">
        <is>
          <t>3.1</t>
        </is>
      </c>
      <c r="J6915" t="inlineStr">
        <is>
          <t>Ventas HoReCa</t>
        </is>
      </c>
      <c r="K6915" t="inlineStr">
        <is>
          <t>CH1</t>
        </is>
      </c>
    </row>
    <row r="6916">
      <c r="A6916" s="33" t="n">
        <v>46146</v>
      </c>
      <c r="B6916" t="inlineStr">
        <is>
          <t>2026-05</t>
        </is>
      </c>
      <c r="C6916" t="inlineStr">
        <is>
          <t>PRODUCTORA DE EVENTOS AGDV SPA</t>
        </is>
      </c>
      <c r="D6916" t="inlineStr">
        <is>
          <t>HORECA CATERING</t>
        </is>
      </c>
      <c r="E6916" s="34" t="n">
        <v>-127330</v>
      </c>
      <c r="F6916" t="inlineStr">
        <is>
          <t>NC</t>
        </is>
      </c>
      <c r="G6916" s="34" t="n">
        <v>-20330</v>
      </c>
      <c r="H6916" s="34" t="n">
        <v>-107000</v>
      </c>
      <c r="I6916" t="inlineStr">
        <is>
          <t>3.1</t>
        </is>
      </c>
      <c r="J6916" t="inlineStr">
        <is>
          <t>Ventas HoReCa</t>
        </is>
      </c>
      <c r="K6916" t="inlineStr">
        <is>
          <t>CH1</t>
        </is>
      </c>
    </row>
    <row r="6917">
      <c r="A6917" s="33" t="n">
        <v>46146</v>
      </c>
      <c r="B6917" t="inlineStr">
        <is>
          <t>2026-05</t>
        </is>
      </c>
      <c r="C6917" t="inlineStr">
        <is>
          <t>PRODUCTORA DE EVENTOS AGDV SPA</t>
        </is>
      </c>
      <c r="D6917" t="inlineStr">
        <is>
          <t>HORECA CATERING</t>
        </is>
      </c>
      <c r="E6917" s="34" t="n">
        <v>141372</v>
      </c>
      <c r="F6917" t="inlineStr">
        <is>
          <t>F</t>
        </is>
      </c>
      <c r="G6917" s="34" t="n">
        <v>22572</v>
      </c>
      <c r="H6917" s="34" t="n">
        <v>118800</v>
      </c>
      <c r="I6917" t="inlineStr">
        <is>
          <t>3.1</t>
        </is>
      </c>
      <c r="J6917" t="inlineStr">
        <is>
          <t>Ventas HoReCa</t>
        </is>
      </c>
      <c r="K6917" t="inlineStr">
        <is>
          <t>CH1</t>
        </is>
      </c>
    </row>
    <row r="6918">
      <c r="A6918" s="33" t="n">
        <v>46146</v>
      </c>
      <c r="B6918" t="inlineStr">
        <is>
          <t>2026-05</t>
        </is>
      </c>
      <c r="C6918" t="inlineStr">
        <is>
          <t>Sin cliente</t>
        </is>
      </c>
      <c r="D6918" t="inlineStr">
        <is>
          <t>Petit Tradicional</t>
        </is>
      </c>
      <c r="E6918" s="34" t="n">
        <v>9800</v>
      </c>
      <c r="F6918" t="inlineStr">
        <is>
          <t>B</t>
        </is>
      </c>
      <c r="G6918" s="34" t="n">
        <v>1565</v>
      </c>
      <c r="H6918" s="34" t="n">
        <v>8235</v>
      </c>
      <c r="I6918" t="inlineStr">
        <is>
          <t>3.2</t>
        </is>
      </c>
      <c r="J6918" t="inlineStr">
        <is>
          <t>Ventas Personas (B2C)</t>
        </is>
      </c>
      <c r="K6918" t="inlineStr">
        <is>
          <t>CH2</t>
        </is>
      </c>
    </row>
    <row r="6919">
      <c r="A6919" s="33" t="n">
        <v>46146</v>
      </c>
      <c r="B6919" t="inlineStr">
        <is>
          <t>2026-05</t>
        </is>
      </c>
      <c r="C6919" t="inlineStr">
        <is>
          <t>Sin cliente</t>
        </is>
      </c>
      <c r="D6919" t="inlineStr">
        <is>
          <t>Petit Crunchy</t>
        </is>
      </c>
      <c r="E6919" s="34" t="n">
        <v>10900</v>
      </c>
      <c r="F6919" t="inlineStr">
        <is>
          <t>B</t>
        </is>
      </c>
      <c r="G6919" s="34" t="n">
        <v>1740</v>
      </c>
      <c r="H6919" s="34" t="n">
        <v>9160</v>
      </c>
      <c r="I6919" t="inlineStr">
        <is>
          <t>3.2</t>
        </is>
      </c>
      <c r="J6919" t="inlineStr">
        <is>
          <t>Ventas Personas (B2C)</t>
        </is>
      </c>
      <c r="K6919" t="inlineStr">
        <is>
          <t>CH2</t>
        </is>
      </c>
    </row>
    <row r="6920">
      <c r="A6920" s="33" t="n">
        <v>46146</v>
      </c>
      <c r="B6920" t="inlineStr">
        <is>
          <t>2026-05</t>
        </is>
      </c>
      <c r="C6920" t="inlineStr">
        <is>
          <t>Sin cliente</t>
        </is>
      </c>
      <c r="D6920" t="inlineStr">
        <is>
          <t>Cafeteria Geronimo</t>
        </is>
      </c>
      <c r="E6920" s="34" t="n">
        <v>6400</v>
      </c>
      <c r="F6920" t="inlineStr">
        <is>
          <t>B</t>
        </is>
      </c>
      <c r="G6920" s="34" t="n">
        <v>1022</v>
      </c>
      <c r="H6920" s="34" t="n">
        <v>5378</v>
      </c>
      <c r="I6920" t="inlineStr">
        <is>
          <t>3.2</t>
        </is>
      </c>
      <c r="J6920" t="inlineStr">
        <is>
          <t>Ventas Personas (B2C)</t>
        </is>
      </c>
      <c r="K6920" t="inlineStr">
        <is>
          <t>CH2</t>
        </is>
      </c>
    </row>
    <row r="6921">
      <c r="A6921" s="33" t="n">
        <v>46146</v>
      </c>
      <c r="B6921" t="inlineStr">
        <is>
          <t>2026-05</t>
        </is>
      </c>
      <c r="C6921" t="inlineStr">
        <is>
          <t>Javiera Gonzalez matos</t>
        </is>
      </c>
      <c r="D6921" t="inlineStr">
        <is>
          <t>Delicatessen</t>
        </is>
      </c>
      <c r="E6921" s="34" t="n">
        <v>22900</v>
      </c>
      <c r="F6921" t="inlineStr">
        <is>
          <t>B</t>
        </is>
      </c>
      <c r="G6921" s="34" t="n">
        <v>3656</v>
      </c>
      <c r="H6921" s="34" t="n">
        <v>19244</v>
      </c>
      <c r="I6921" t="inlineStr">
        <is>
          <t>3.2</t>
        </is>
      </c>
      <c r="J6921" t="inlineStr">
        <is>
          <t>Ventas Personas (B2C)</t>
        </is>
      </c>
      <c r="K6921" t="inlineStr">
        <is>
          <t>CH2</t>
        </is>
      </c>
    </row>
    <row r="6922">
      <c r="A6922" s="33" t="n">
        <v>46146</v>
      </c>
      <c r="B6922" t="inlineStr">
        <is>
          <t>2026-05</t>
        </is>
      </c>
      <c r="C6922" t="inlineStr">
        <is>
          <t>Javiera Gonzalez matos</t>
        </is>
      </c>
      <c r="D6922" t="inlineStr">
        <is>
          <t>Glosa DESPACHO PROGRAMADO</t>
        </is>
      </c>
      <c r="E6922" s="34" t="n">
        <v>5990</v>
      </c>
      <c r="F6922" t="inlineStr">
        <is>
          <t>B</t>
        </is>
      </c>
      <c r="G6922" s="34" t="n">
        <v>956</v>
      </c>
      <c r="H6922" s="34" t="n">
        <v>5034</v>
      </c>
      <c r="I6922" t="inlineStr">
        <is>
          <t>3.2</t>
        </is>
      </c>
      <c r="J6922" t="inlineStr">
        <is>
          <t>Ventas Personas (B2C)</t>
        </is>
      </c>
      <c r="K6922" t="inlineStr">
        <is>
          <t>CH2</t>
        </is>
      </c>
    </row>
    <row r="6923">
      <c r="A6923" s="33" t="n">
        <v>46146</v>
      </c>
      <c r="B6923" t="inlineStr">
        <is>
          <t>2026-05</t>
        </is>
      </c>
      <c r="C6923" t="inlineStr">
        <is>
          <t>De Maillard Mélanie</t>
        </is>
      </c>
      <c r="D6923" t="inlineStr">
        <is>
          <t>CANELÉ TRADICIONAL</t>
        </is>
      </c>
      <c r="E6923" s="34" t="n">
        <v>31390</v>
      </c>
      <c r="F6923" t="inlineStr">
        <is>
          <t>B</t>
        </is>
      </c>
      <c r="G6923" s="34" t="n">
        <v>5012</v>
      </c>
      <c r="H6923" s="34" t="n">
        <v>26378</v>
      </c>
      <c r="I6923" t="inlineStr">
        <is>
          <t>3.2</t>
        </is>
      </c>
      <c r="J6923" t="inlineStr">
        <is>
          <t>Ventas Personas (B2C)</t>
        </is>
      </c>
      <c r="K6923" t="inlineStr">
        <is>
          <t>CH2</t>
        </is>
      </c>
    </row>
    <row r="6924">
      <c r="A6924" s="33" t="n">
        <v>46146</v>
      </c>
      <c r="B6924" t="inlineStr">
        <is>
          <t>2026-05</t>
        </is>
      </c>
      <c r="C6924" t="inlineStr">
        <is>
          <t>Rolando Maluenda</t>
        </is>
      </c>
      <c r="D6924" t="inlineStr">
        <is>
          <t>Rellenos</t>
        </is>
      </c>
      <c r="E6924" s="34" t="n">
        <v>37890</v>
      </c>
      <c r="F6924" t="inlineStr">
        <is>
          <t>B</t>
        </is>
      </c>
      <c r="G6924" s="34" t="n">
        <v>6050</v>
      </c>
      <c r="H6924" s="34" t="n">
        <v>31840</v>
      </c>
      <c r="I6924" t="inlineStr">
        <is>
          <t>3.2</t>
        </is>
      </c>
      <c r="J6924" t="inlineStr">
        <is>
          <t>Ventas Personas (B2C)</t>
        </is>
      </c>
      <c r="K6924" t="inlineStr">
        <is>
          <t>CH2</t>
        </is>
      </c>
    </row>
    <row r="6925">
      <c r="A6925" s="33" t="n">
        <v>46146</v>
      </c>
      <c r="B6925" t="inlineStr">
        <is>
          <t>2026-05</t>
        </is>
      </c>
      <c r="C6925" t="inlineStr">
        <is>
          <t>Sin cliente</t>
        </is>
      </c>
      <c r="D6925" t="inlineStr">
        <is>
          <t>Rellenos</t>
        </is>
      </c>
      <c r="E6925" s="34" t="n">
        <v>7000</v>
      </c>
      <c r="F6925" t="inlineStr">
        <is>
          <t>B</t>
        </is>
      </c>
      <c r="G6925" s="34" t="n">
        <v>1118</v>
      </c>
      <c r="H6925" s="34" t="n">
        <v>5882</v>
      </c>
      <c r="I6925" t="inlineStr">
        <is>
          <t>3.2</t>
        </is>
      </c>
      <c r="J6925" t="inlineStr">
        <is>
          <t>Ventas Personas (B2C)</t>
        </is>
      </c>
      <c r="K6925" t="inlineStr">
        <is>
          <t>CH2</t>
        </is>
      </c>
    </row>
    <row r="6926">
      <c r="A6926" s="33" t="n">
        <v>46146</v>
      </c>
      <c r="B6926" t="inlineStr">
        <is>
          <t>2026-05</t>
        </is>
      </c>
      <c r="C6926" t="inlineStr">
        <is>
          <t>Sin cliente</t>
        </is>
      </c>
      <c r="D6926" t="inlineStr">
        <is>
          <t>Rellenos</t>
        </is>
      </c>
      <c r="E6926" s="34" t="n">
        <v>3500</v>
      </c>
      <c r="F6926" t="inlineStr">
        <is>
          <t>B</t>
        </is>
      </c>
      <c r="G6926" s="34" t="n">
        <v>559</v>
      </c>
      <c r="H6926" s="34" t="n">
        <v>2941</v>
      </c>
      <c r="I6926" t="inlineStr">
        <is>
          <t>3.2</t>
        </is>
      </c>
      <c r="J6926" t="inlineStr">
        <is>
          <t>Ventas Personas (B2C)</t>
        </is>
      </c>
      <c r="K6926" t="inlineStr">
        <is>
          <t>CH2</t>
        </is>
      </c>
    </row>
    <row r="6927">
      <c r="A6927" s="33" t="n">
        <v>46146</v>
      </c>
      <c r="B6927" t="inlineStr">
        <is>
          <t>2026-05</t>
        </is>
      </c>
      <c r="C6927" t="inlineStr">
        <is>
          <t>Sin cliente</t>
        </is>
      </c>
      <c r="D6927" t="inlineStr">
        <is>
          <t>Delicatessen</t>
        </is>
      </c>
      <c r="E6927" s="34" t="n">
        <v>4250</v>
      </c>
      <c r="F6927" t="inlineStr">
        <is>
          <t>B</t>
        </is>
      </c>
      <c r="G6927" s="34" t="n">
        <v>679</v>
      </c>
      <c r="H6927" s="34" t="n">
        <v>3571</v>
      </c>
      <c r="I6927" t="inlineStr">
        <is>
          <t>3.2</t>
        </is>
      </c>
      <c r="J6927" t="inlineStr">
        <is>
          <t>Ventas Personas (B2C)</t>
        </is>
      </c>
      <c r="K6927" t="inlineStr">
        <is>
          <t>CH2</t>
        </is>
      </c>
    </row>
    <row r="6928">
      <c r="A6928" s="33" t="n">
        <v>46146</v>
      </c>
      <c r="B6928" t="inlineStr">
        <is>
          <t>2026-05</t>
        </is>
      </c>
      <c r="C6928" t="inlineStr">
        <is>
          <t>Susana Burgos Cartasegna</t>
        </is>
      </c>
      <c r="D6928" t="inlineStr">
        <is>
          <t>Canelé Petit Relleno</t>
        </is>
      </c>
      <c r="E6928" s="34" t="n">
        <v>22390</v>
      </c>
      <c r="F6928" t="inlineStr">
        <is>
          <t>B</t>
        </is>
      </c>
      <c r="G6928" s="34" t="n">
        <v>3575</v>
      </c>
      <c r="H6928" s="34" t="n">
        <v>18815</v>
      </c>
      <c r="I6928" t="inlineStr">
        <is>
          <t>3.2</t>
        </is>
      </c>
      <c r="J6928" t="inlineStr">
        <is>
          <t>Ventas Personas (B2C)</t>
        </is>
      </c>
      <c r="K6928" t="inlineStr">
        <is>
          <t>CH2</t>
        </is>
      </c>
    </row>
    <row r="6929">
      <c r="A6929" s="33" t="n">
        <v>46146</v>
      </c>
      <c r="B6929" t="inlineStr">
        <is>
          <t>2026-05</t>
        </is>
      </c>
      <c r="C6929" t="inlineStr">
        <is>
          <t>Marcela Salinas</t>
        </is>
      </c>
      <c r="D6929" t="inlineStr">
        <is>
          <t>Regalos</t>
        </is>
      </c>
      <c r="E6929" s="34" t="n">
        <v>20900</v>
      </c>
      <c r="F6929" t="inlineStr">
        <is>
          <t>B</t>
        </is>
      </c>
      <c r="G6929" s="34" t="n">
        <v>3337</v>
      </c>
      <c r="H6929" s="34" t="n">
        <v>17563</v>
      </c>
      <c r="I6929" t="inlineStr">
        <is>
          <t>3.2</t>
        </is>
      </c>
      <c r="J6929" t="inlineStr">
        <is>
          <t>Ventas Personas (B2C)</t>
        </is>
      </c>
      <c r="K6929" t="inlineStr">
        <is>
          <t>CH2</t>
        </is>
      </c>
    </row>
    <row r="6930">
      <c r="A6930" s="33" t="n">
        <v>46146</v>
      </c>
      <c r="B6930" t="inlineStr">
        <is>
          <t>2026-05</t>
        </is>
      </c>
      <c r="C6930" t="inlineStr">
        <is>
          <t>Sin cliente</t>
        </is>
      </c>
      <c r="D6930" t="inlineStr">
        <is>
          <t>Delicatessen</t>
        </is>
      </c>
      <c r="E6930" s="34" t="n">
        <v>14900</v>
      </c>
      <c r="F6930" t="inlineStr">
        <is>
          <t>B</t>
        </is>
      </c>
      <c r="G6930" s="34" t="n">
        <v>2379</v>
      </c>
      <c r="H6930" s="34" t="n">
        <v>12521</v>
      </c>
      <c r="I6930" t="inlineStr">
        <is>
          <t>3.2</t>
        </is>
      </c>
      <c r="J6930" t="inlineStr">
        <is>
          <t>Ventas Personas (B2C)</t>
        </is>
      </c>
      <c r="K6930" t="inlineStr">
        <is>
          <t>CH2</t>
        </is>
      </c>
    </row>
    <row r="6931">
      <c r="A6931" s="33" t="n">
        <v>46146</v>
      </c>
      <c r="B6931" t="inlineStr">
        <is>
          <t>2026-05</t>
        </is>
      </c>
      <c r="C6931" t="inlineStr">
        <is>
          <t>Geraldine Apaza</t>
        </is>
      </c>
      <c r="D6931" t="inlineStr">
        <is>
          <t>Petit Crunchy</t>
        </is>
      </c>
      <c r="E6931" s="34" t="n">
        <v>16890</v>
      </c>
      <c r="F6931" t="inlineStr">
        <is>
          <t>B</t>
        </is>
      </c>
      <c r="G6931" s="34" t="n">
        <v>2697</v>
      </c>
      <c r="H6931" s="34" t="n">
        <v>14193</v>
      </c>
      <c r="I6931" t="inlineStr">
        <is>
          <t>3.2</t>
        </is>
      </c>
      <c r="J6931" t="inlineStr">
        <is>
          <t>Ventas Personas (B2C)</t>
        </is>
      </c>
      <c r="K6931" t="inlineStr">
        <is>
          <t>CH2</t>
        </is>
      </c>
    </row>
    <row r="6932">
      <c r="A6932" s="33" t="n">
        <v>46146</v>
      </c>
      <c r="B6932" t="inlineStr">
        <is>
          <t>2026-05</t>
        </is>
      </c>
      <c r="C6932" t="inlineStr">
        <is>
          <t>Sin cliente</t>
        </is>
      </c>
      <c r="D6932" t="inlineStr">
        <is>
          <t>Petit Crunchy</t>
        </is>
      </c>
      <c r="E6932" s="34" t="n">
        <v>17900</v>
      </c>
      <c r="F6932" t="inlineStr">
        <is>
          <t>B</t>
        </is>
      </c>
      <c r="G6932" s="34" t="n">
        <v>2858</v>
      </c>
      <c r="H6932" s="34" t="n">
        <v>15042</v>
      </c>
      <c r="I6932" t="inlineStr">
        <is>
          <t>3.2</t>
        </is>
      </c>
      <c r="J6932" t="inlineStr">
        <is>
          <t>Ventas Personas (B2C)</t>
        </is>
      </c>
      <c r="K6932" t="inlineStr">
        <is>
          <t>CH2</t>
        </is>
      </c>
    </row>
    <row r="6933">
      <c r="A6933" s="33" t="n">
        <v>46146</v>
      </c>
      <c r="B6933" t="inlineStr">
        <is>
          <t>2026-05</t>
        </is>
      </c>
      <c r="C6933" t="inlineStr">
        <is>
          <t>Sin cliente</t>
        </is>
      </c>
      <c r="D6933" t="inlineStr">
        <is>
          <t>Petit Tradicional</t>
        </is>
      </c>
      <c r="E6933" s="34" t="n">
        <v>9800</v>
      </c>
      <c r="F6933" t="inlineStr">
        <is>
          <t>B</t>
        </is>
      </c>
      <c r="G6933" s="34" t="n">
        <v>1565</v>
      </c>
      <c r="H6933" s="34" t="n">
        <v>8235</v>
      </c>
      <c r="I6933" t="inlineStr">
        <is>
          <t>3.2</t>
        </is>
      </c>
      <c r="J6933" t="inlineStr">
        <is>
          <t>Ventas Personas (B2C)</t>
        </is>
      </c>
      <c r="K6933" t="inlineStr">
        <is>
          <t>CH2</t>
        </is>
      </c>
    </row>
    <row r="6934">
      <c r="A6934" s="33" t="n">
        <v>46146</v>
      </c>
      <c r="B6934" t="inlineStr">
        <is>
          <t>2026-05</t>
        </is>
      </c>
      <c r="C6934" t="inlineStr">
        <is>
          <t>Sin cliente</t>
        </is>
      </c>
      <c r="D6934" t="inlineStr">
        <is>
          <t>CANELÉ TRADICIONAL</t>
        </is>
      </c>
      <c r="E6934" s="34" t="n">
        <v>7500</v>
      </c>
      <c r="F6934" t="inlineStr">
        <is>
          <t>B</t>
        </is>
      </c>
      <c r="G6934" s="34" t="n">
        <v>1197</v>
      </c>
      <c r="H6934" s="34" t="n">
        <v>6303</v>
      </c>
      <c r="I6934" t="inlineStr">
        <is>
          <t>3.2</t>
        </is>
      </c>
      <c r="J6934" t="inlineStr">
        <is>
          <t>Ventas Personas (B2C)</t>
        </is>
      </c>
      <c r="K6934" t="inlineStr">
        <is>
          <t>CH2</t>
        </is>
      </c>
    </row>
    <row r="6935">
      <c r="A6935" s="33" t="n">
        <v>46146</v>
      </c>
      <c r="B6935" t="inlineStr">
        <is>
          <t>2026-05</t>
        </is>
      </c>
      <c r="C6935" t="inlineStr">
        <is>
          <t>Sin cliente</t>
        </is>
      </c>
      <c r="D6935" t="inlineStr">
        <is>
          <t>Petit Tradicional</t>
        </is>
      </c>
      <c r="E6935" s="34" t="n">
        <v>34500</v>
      </c>
      <c r="F6935" t="inlineStr">
        <is>
          <t>B</t>
        </is>
      </c>
      <c r="G6935" s="34" t="n">
        <v>5508</v>
      </c>
      <c r="H6935" s="34" t="n">
        <v>28992</v>
      </c>
      <c r="I6935" t="inlineStr">
        <is>
          <t>3.2</t>
        </is>
      </c>
      <c r="J6935" t="inlineStr">
        <is>
          <t>Ventas Personas (B2C)</t>
        </is>
      </c>
      <c r="K6935" t="inlineStr">
        <is>
          <t>CH2</t>
        </is>
      </c>
    </row>
    <row r="6936">
      <c r="A6936" s="33" t="n">
        <v>46146</v>
      </c>
      <c r="B6936" t="inlineStr">
        <is>
          <t>2026-05</t>
        </is>
      </c>
      <c r="C6936" t="inlineStr">
        <is>
          <t>Daniela Orrego</t>
        </is>
      </c>
      <c r="D6936" t="inlineStr">
        <is>
          <t>Petit Crunchy</t>
        </is>
      </c>
      <c r="E6936" s="34" t="n">
        <v>41890</v>
      </c>
      <c r="F6936" t="inlineStr">
        <is>
          <t>B</t>
        </is>
      </c>
      <c r="G6936" s="34" t="n">
        <v>6688</v>
      </c>
      <c r="H6936" s="34" t="n">
        <v>35202</v>
      </c>
      <c r="I6936" t="inlineStr">
        <is>
          <t>3.2</t>
        </is>
      </c>
      <c r="J6936" t="inlineStr">
        <is>
          <t>Ventas Personas (B2C)</t>
        </is>
      </c>
      <c r="K6936" t="inlineStr">
        <is>
          <t>CH2</t>
        </is>
      </c>
    </row>
    <row r="6937">
      <c r="A6937" s="33" t="n">
        <v>46146</v>
      </c>
      <c r="B6937" t="inlineStr">
        <is>
          <t>2026-05</t>
        </is>
      </c>
      <c r="C6937" t="inlineStr">
        <is>
          <t>Sin cliente</t>
        </is>
      </c>
      <c r="D6937" t="inlineStr">
        <is>
          <t>Delicatessen</t>
        </is>
      </c>
      <c r="E6937" s="34" t="n">
        <v>10965</v>
      </c>
      <c r="F6937" t="inlineStr">
        <is>
          <t>B</t>
        </is>
      </c>
      <c r="G6937" s="34" t="n">
        <v>1751</v>
      </c>
      <c r="H6937" s="34" t="n">
        <v>9214</v>
      </c>
      <c r="I6937" t="inlineStr">
        <is>
          <t>3.2</t>
        </is>
      </c>
      <c r="J6937" t="inlineStr">
        <is>
          <t>Ventas Personas (B2C)</t>
        </is>
      </c>
      <c r="K6937" t="inlineStr">
        <is>
          <t>CH2</t>
        </is>
      </c>
    </row>
    <row r="6938">
      <c r="A6938" s="33" t="n">
        <v>46146</v>
      </c>
      <c r="B6938" t="inlineStr">
        <is>
          <t>2026-05</t>
        </is>
      </c>
      <c r="C6938" t="inlineStr">
        <is>
          <t>Sin cliente</t>
        </is>
      </c>
      <c r="D6938" t="inlineStr">
        <is>
          <t>Rellenos</t>
        </is>
      </c>
      <c r="E6938" s="34" t="n">
        <v>5950</v>
      </c>
      <c r="F6938" t="inlineStr">
        <is>
          <t>B</t>
        </is>
      </c>
      <c r="G6938" s="34" t="n">
        <v>950</v>
      </c>
      <c r="H6938" s="34" t="n">
        <v>5000</v>
      </c>
      <c r="I6938" t="inlineStr">
        <is>
          <t>3.2</t>
        </is>
      </c>
      <c r="J6938" t="inlineStr">
        <is>
          <t>Ventas Personas (B2C)</t>
        </is>
      </c>
      <c r="K6938" t="inlineStr">
        <is>
          <t>CH2</t>
        </is>
      </c>
    </row>
    <row r="6939">
      <c r="A6939" s="33" t="n">
        <v>46146</v>
      </c>
      <c r="B6939" t="inlineStr">
        <is>
          <t>2026-05</t>
        </is>
      </c>
      <c r="C6939" t="inlineStr">
        <is>
          <t>JAVIER CROQUEVIELLE</t>
        </is>
      </c>
      <c r="D6939" t="inlineStr">
        <is>
          <t>Mix Sabores</t>
        </is>
      </c>
      <c r="E6939" s="34" t="n">
        <v>31790</v>
      </c>
      <c r="F6939" t="inlineStr">
        <is>
          <t>B</t>
        </is>
      </c>
      <c r="G6939" s="34" t="n">
        <v>5076</v>
      </c>
      <c r="H6939" s="34" t="n">
        <v>26714</v>
      </c>
      <c r="I6939" t="inlineStr">
        <is>
          <t>3.2</t>
        </is>
      </c>
      <c r="J6939" t="inlineStr">
        <is>
          <t>Ventas Personas (B2C)</t>
        </is>
      </c>
      <c r="K6939" t="inlineStr">
        <is>
          <t>CH2</t>
        </is>
      </c>
    </row>
    <row r="6940">
      <c r="A6940" s="33" t="n">
        <v>46146</v>
      </c>
      <c r="B6940" t="inlineStr">
        <is>
          <t>2026-05</t>
        </is>
      </c>
      <c r="C6940" t="inlineStr">
        <is>
          <t>Florencia Bohle Alar</t>
        </is>
      </c>
      <c r="D6940" t="inlineStr">
        <is>
          <t>Petit Crunchy</t>
        </is>
      </c>
      <c r="E6940" s="34" t="n">
        <v>27790</v>
      </c>
      <c r="F6940" t="inlineStr">
        <is>
          <t>B</t>
        </is>
      </c>
      <c r="G6940" s="34" t="n">
        <v>4437</v>
      </c>
      <c r="H6940" s="34" t="n">
        <v>23353</v>
      </c>
      <c r="I6940" t="inlineStr">
        <is>
          <t>3.2</t>
        </is>
      </c>
      <c r="J6940" t="inlineStr">
        <is>
          <t>Ventas Personas (B2C)</t>
        </is>
      </c>
      <c r="K6940" t="inlineStr">
        <is>
          <t>CH2</t>
        </is>
      </c>
    </row>
    <row r="6941">
      <c r="A6941" s="33" t="n">
        <v>46147</v>
      </c>
      <c r="B6941" t="inlineStr">
        <is>
          <t>2026-05</t>
        </is>
      </c>
      <c r="C6941" t="inlineStr">
        <is>
          <t>BLUE OAK COFFE SPA</t>
        </is>
      </c>
      <c r="D6941" t="inlineStr">
        <is>
          <t>HORECA CAFETERIA</t>
        </is>
      </c>
      <c r="E6941" s="34" t="n">
        <v>94117</v>
      </c>
      <c r="F6941" t="inlineStr">
        <is>
          <t>F</t>
        </is>
      </c>
      <c r="G6941" s="34" t="n">
        <v>15027</v>
      </c>
      <c r="H6941" s="34" t="n">
        <v>79090</v>
      </c>
      <c r="I6941" t="inlineStr">
        <is>
          <t>3.1</t>
        </is>
      </c>
      <c r="J6941" t="inlineStr">
        <is>
          <t>Ventas HoReCa</t>
        </is>
      </c>
      <c r="K6941" t="inlineStr">
        <is>
          <t>CH1</t>
        </is>
      </c>
    </row>
    <row r="6942">
      <c r="A6942" s="33" t="n">
        <v>46147</v>
      </c>
      <c r="B6942" t="inlineStr">
        <is>
          <t>2026-05</t>
        </is>
      </c>
      <c r="C6942" t="inlineStr">
        <is>
          <t>Cocoshouse Spa</t>
        </is>
      </c>
      <c r="D6942" t="inlineStr">
        <is>
          <t>HORECA CAFETERIA</t>
        </is>
      </c>
      <c r="E6942" s="34" t="n">
        <v>77564</v>
      </c>
      <c r="F6942" t="inlineStr">
        <is>
          <t>F</t>
        </is>
      </c>
      <c r="G6942" s="34" t="n">
        <v>12384</v>
      </c>
      <c r="H6942" s="34" t="n">
        <v>65180</v>
      </c>
      <c r="I6942" t="inlineStr">
        <is>
          <t>3.1</t>
        </is>
      </c>
      <c r="J6942" t="inlineStr">
        <is>
          <t>Ventas HoReCa</t>
        </is>
      </c>
      <c r="K6942" t="inlineStr">
        <is>
          <t>CH1</t>
        </is>
      </c>
    </row>
    <row r="6943">
      <c r="A6943" s="33" t="n">
        <v>46147</v>
      </c>
      <c r="B6943" t="inlineStr">
        <is>
          <t>2026-05</t>
        </is>
      </c>
      <c r="C6943" t="inlineStr">
        <is>
          <t>BLUE OAK COFFE SPA</t>
        </is>
      </c>
      <c r="D6943" t="inlineStr">
        <is>
          <t>HORECA CAFETERIA</t>
        </is>
      </c>
      <c r="E6943" s="34" t="n">
        <v>94117</v>
      </c>
      <c r="F6943" t="inlineStr">
        <is>
          <t>F</t>
        </is>
      </c>
      <c r="G6943" s="34" t="n">
        <v>15027</v>
      </c>
      <c r="H6943" s="34" t="n">
        <v>79090</v>
      </c>
      <c r="I6943" t="inlineStr">
        <is>
          <t>3.1</t>
        </is>
      </c>
      <c r="J6943" t="inlineStr">
        <is>
          <t>Ventas HoReCa</t>
        </is>
      </c>
      <c r="K6943" t="inlineStr">
        <is>
          <t>CH1</t>
        </is>
      </c>
    </row>
    <row r="6944">
      <c r="A6944" s="33" t="n">
        <v>46147</v>
      </c>
      <c r="B6944" t="inlineStr">
        <is>
          <t>2026-05</t>
        </is>
      </c>
      <c r="C6944" t="inlineStr">
        <is>
          <t>BLUE OAK COFFE SPA</t>
        </is>
      </c>
      <c r="D6944" t="inlineStr">
        <is>
          <t>HORECA CAFETERIA</t>
        </is>
      </c>
      <c r="E6944" s="34" t="n">
        <v>55668</v>
      </c>
      <c r="F6944" t="inlineStr">
        <is>
          <t>F</t>
        </is>
      </c>
      <c r="G6944" s="34" t="n">
        <v>8888</v>
      </c>
      <c r="H6944" s="34" t="n">
        <v>46780</v>
      </c>
      <c r="I6944" t="inlineStr">
        <is>
          <t>3.1</t>
        </is>
      </c>
      <c r="J6944" t="inlineStr">
        <is>
          <t>Ventas HoReCa</t>
        </is>
      </c>
      <c r="K6944" t="inlineStr">
        <is>
          <t>CH1</t>
        </is>
      </c>
    </row>
    <row r="6945">
      <c r="A6945" s="33" t="n">
        <v>46147</v>
      </c>
      <c r="B6945" t="inlineStr">
        <is>
          <t>2026-05</t>
        </is>
      </c>
      <c r="C6945" t="inlineStr">
        <is>
          <t>BLUE OAK COFFE SPA</t>
        </is>
      </c>
      <c r="D6945" t="inlineStr">
        <is>
          <t>HORECA CAFETERIA</t>
        </is>
      </c>
      <c r="E6945" s="34" t="n">
        <v>-55668</v>
      </c>
      <c r="F6945" t="inlineStr">
        <is>
          <t>NC</t>
        </is>
      </c>
      <c r="G6945" s="34" t="n">
        <v>-8888</v>
      </c>
      <c r="H6945" s="34" t="n">
        <v>-46780</v>
      </c>
      <c r="I6945" t="inlineStr">
        <is>
          <t>3.1</t>
        </is>
      </c>
      <c r="J6945" t="inlineStr">
        <is>
          <t>Ventas HoReCa</t>
        </is>
      </c>
      <c r="K6945" t="inlineStr">
        <is>
          <t>CH1</t>
        </is>
      </c>
    </row>
    <row r="6946">
      <c r="A6946" s="33" t="n">
        <v>46147</v>
      </c>
      <c r="B6946" t="inlineStr">
        <is>
          <t>2026-05</t>
        </is>
      </c>
      <c r="C6946" t="inlineStr">
        <is>
          <t>BLUE OAK COFFE SPA</t>
        </is>
      </c>
      <c r="D6946" t="inlineStr">
        <is>
          <t>HORECA CAFETERIA</t>
        </is>
      </c>
      <c r="E6946" s="34" t="n">
        <v>181213</v>
      </c>
      <c r="F6946" t="inlineStr">
        <is>
          <t>F</t>
        </is>
      </c>
      <c r="G6946" s="34" t="n">
        <v>28933</v>
      </c>
      <c r="H6946" s="34" t="n">
        <v>152280</v>
      </c>
      <c r="I6946" t="inlineStr">
        <is>
          <t>3.1</t>
        </is>
      </c>
      <c r="J6946" t="inlineStr">
        <is>
          <t>Ventas HoReCa</t>
        </is>
      </c>
      <c r="K6946" t="inlineStr">
        <is>
          <t>CH1</t>
        </is>
      </c>
    </row>
    <row r="6947">
      <c r="A6947" s="33" t="n">
        <v>46147</v>
      </c>
      <c r="B6947" t="inlineStr">
        <is>
          <t>2026-05</t>
        </is>
      </c>
      <c r="C6947" t="inlineStr">
        <is>
          <t>Sociedad de inversiones solari y acuña spa</t>
        </is>
      </c>
      <c r="D6947" t="inlineStr">
        <is>
          <t>HORECA CAFETERIA</t>
        </is>
      </c>
      <c r="E6947" s="34" t="n">
        <v>181213</v>
      </c>
      <c r="F6947" t="inlineStr">
        <is>
          <t>F</t>
        </is>
      </c>
      <c r="G6947" s="34" t="n">
        <v>28933</v>
      </c>
      <c r="H6947" s="34" t="n">
        <v>152280</v>
      </c>
      <c r="I6947" t="inlineStr">
        <is>
          <t>3.1</t>
        </is>
      </c>
      <c r="J6947" t="inlineStr">
        <is>
          <t>Ventas HoReCa</t>
        </is>
      </c>
      <c r="K6947" t="inlineStr">
        <is>
          <t>CH1</t>
        </is>
      </c>
    </row>
    <row r="6948">
      <c r="A6948" s="33" t="n">
        <v>46147</v>
      </c>
      <c r="B6948" t="inlineStr">
        <is>
          <t>2026-05</t>
        </is>
      </c>
      <c r="C6948" t="inlineStr">
        <is>
          <t>BLUE OAK COFFE SPA</t>
        </is>
      </c>
      <c r="D6948" t="inlineStr">
        <is>
          <t>HORECA CAFETERIA</t>
        </is>
      </c>
      <c r="E6948" s="34" t="n">
        <v>-181213</v>
      </c>
      <c r="F6948" t="inlineStr">
        <is>
          <t>NC</t>
        </is>
      </c>
      <c r="G6948" s="34" t="n">
        <v>-28933</v>
      </c>
      <c r="H6948" s="34" t="n">
        <v>-152280</v>
      </c>
      <c r="I6948" t="inlineStr">
        <is>
          <t>3.1</t>
        </is>
      </c>
      <c r="J6948" t="inlineStr">
        <is>
          <t>Ventas HoReCa</t>
        </is>
      </c>
      <c r="K6948" t="inlineStr">
        <is>
          <t>CH1</t>
        </is>
      </c>
    </row>
    <row r="6949">
      <c r="A6949" s="33" t="n">
        <v>46147</v>
      </c>
      <c r="B6949" t="inlineStr">
        <is>
          <t>2026-05</t>
        </is>
      </c>
      <c r="C6949" t="inlineStr">
        <is>
          <t>BLUE OAK COFFE SPA</t>
        </is>
      </c>
      <c r="D6949" t="inlineStr">
        <is>
          <t>HORECA CAFETERIA</t>
        </is>
      </c>
      <c r="E6949" s="34" t="n">
        <v>164660</v>
      </c>
      <c r="F6949" t="inlineStr">
        <is>
          <t>F</t>
        </is>
      </c>
      <c r="G6949" s="34" t="n">
        <v>26290</v>
      </c>
      <c r="H6949" s="34" t="n">
        <v>138370</v>
      </c>
      <c r="I6949" t="inlineStr">
        <is>
          <t>3.1</t>
        </is>
      </c>
      <c r="J6949" t="inlineStr">
        <is>
          <t>Ventas HoReCa</t>
        </is>
      </c>
      <c r="K6949" t="inlineStr">
        <is>
          <t>CH1</t>
        </is>
      </c>
    </row>
    <row r="6950">
      <c r="A6950" s="33" t="n">
        <v>46147</v>
      </c>
      <c r="B6950" t="inlineStr">
        <is>
          <t>2026-05</t>
        </is>
      </c>
      <c r="C6950" t="inlineStr">
        <is>
          <t>Isabel Heinrich</t>
        </is>
      </c>
      <c r="D6950" t="inlineStr">
        <is>
          <t>Petit Crunchy</t>
        </is>
      </c>
      <c r="E6950" s="34" t="n">
        <v>31890</v>
      </c>
      <c r="F6950" t="inlineStr">
        <is>
          <t>B</t>
        </is>
      </c>
      <c r="G6950" s="34" t="n">
        <v>5092</v>
      </c>
      <c r="H6950" s="34" t="n">
        <v>26798</v>
      </c>
      <c r="I6950" t="inlineStr">
        <is>
          <t>3.2</t>
        </is>
      </c>
      <c r="J6950" t="inlineStr">
        <is>
          <t>Ventas Personas (B2C)</t>
        </is>
      </c>
      <c r="K6950" t="inlineStr">
        <is>
          <t>CH2</t>
        </is>
      </c>
    </row>
    <row r="6951">
      <c r="A6951" s="33" t="n">
        <v>46147</v>
      </c>
      <c r="B6951" t="inlineStr">
        <is>
          <t>2026-05</t>
        </is>
      </c>
      <c r="C6951" t="inlineStr">
        <is>
          <t>Paulina Rondon Clerc</t>
        </is>
      </c>
      <c r="D6951" t="inlineStr">
        <is>
          <t>Petit Crunchy</t>
        </is>
      </c>
      <c r="E6951" s="34" t="n">
        <v>40890</v>
      </c>
      <c r="F6951" t="inlineStr">
        <is>
          <t>B</t>
        </is>
      </c>
      <c r="G6951" s="34" t="n">
        <v>6529</v>
      </c>
      <c r="H6951" s="34" t="n">
        <v>34361</v>
      </c>
      <c r="I6951" t="inlineStr">
        <is>
          <t>3.2</t>
        </is>
      </c>
      <c r="J6951" t="inlineStr">
        <is>
          <t>Ventas Personas (B2C)</t>
        </is>
      </c>
      <c r="K6951" t="inlineStr">
        <is>
          <t>CH2</t>
        </is>
      </c>
    </row>
    <row r="6952">
      <c r="A6952" s="33" t="n">
        <v>46147</v>
      </c>
      <c r="B6952" t="inlineStr">
        <is>
          <t>2026-05</t>
        </is>
      </c>
      <c r="C6952" t="inlineStr">
        <is>
          <t>Rodrigo Ramírez</t>
        </is>
      </c>
      <c r="D6952" t="inlineStr">
        <is>
          <t>Canelé Petit Relleno</t>
        </is>
      </c>
      <c r="E6952" s="34" t="n">
        <v>72790</v>
      </c>
      <c r="F6952" t="inlineStr">
        <is>
          <t>B</t>
        </is>
      </c>
      <c r="G6952" s="34" t="n">
        <v>11622</v>
      </c>
      <c r="H6952" s="34" t="n">
        <v>61168</v>
      </c>
      <c r="I6952" t="inlineStr">
        <is>
          <t>3.2</t>
        </is>
      </c>
      <c r="J6952" t="inlineStr">
        <is>
          <t>Ventas Personas (B2C)</t>
        </is>
      </c>
      <c r="K6952" t="inlineStr">
        <is>
          <t>CH2</t>
        </is>
      </c>
    </row>
    <row r="6953">
      <c r="A6953" s="33" t="n">
        <v>46147</v>
      </c>
      <c r="B6953" t="inlineStr">
        <is>
          <t>2026-05</t>
        </is>
      </c>
      <c r="C6953" t="inlineStr">
        <is>
          <t>Sofia Castillo López</t>
        </is>
      </c>
      <c r="D6953" t="inlineStr">
        <is>
          <t>CANELÉ TRADICIONAL</t>
        </is>
      </c>
      <c r="E6953" s="34" t="n">
        <v>27890</v>
      </c>
      <c r="F6953" t="inlineStr">
        <is>
          <t>B</t>
        </is>
      </c>
      <c r="G6953" s="34" t="n">
        <v>4453</v>
      </c>
      <c r="H6953" s="34" t="n">
        <v>23437</v>
      </c>
      <c r="I6953" t="inlineStr">
        <is>
          <t>3.2</t>
        </is>
      </c>
      <c r="J6953" t="inlineStr">
        <is>
          <t>Ventas Personas (B2C)</t>
        </is>
      </c>
      <c r="K6953" t="inlineStr">
        <is>
          <t>CH2</t>
        </is>
      </c>
    </row>
    <row r="6954">
      <c r="A6954" s="33" t="n">
        <v>46147</v>
      </c>
      <c r="B6954" t="inlineStr">
        <is>
          <t>2026-05</t>
        </is>
      </c>
      <c r="C6954" t="inlineStr">
        <is>
          <t>Sin cliente</t>
        </is>
      </c>
      <c r="D6954" t="inlineStr">
        <is>
          <t>CANELÉ TRADICIONAL</t>
        </is>
      </c>
      <c r="E6954" s="34" t="n">
        <v>5000</v>
      </c>
      <c r="F6954" t="inlineStr">
        <is>
          <t>B</t>
        </is>
      </c>
      <c r="G6954" s="34" t="n">
        <v>798</v>
      </c>
      <c r="H6954" s="34" t="n">
        <v>4202</v>
      </c>
      <c r="I6954" t="inlineStr">
        <is>
          <t>3.2</t>
        </is>
      </c>
      <c r="J6954" t="inlineStr">
        <is>
          <t>Ventas Personas (B2C)</t>
        </is>
      </c>
      <c r="K6954" t="inlineStr">
        <is>
          <t>CH2</t>
        </is>
      </c>
    </row>
    <row r="6955">
      <c r="A6955" s="33" t="n">
        <v>46147</v>
      </c>
      <c r="B6955" t="inlineStr">
        <is>
          <t>2026-05</t>
        </is>
      </c>
      <c r="C6955" t="inlineStr">
        <is>
          <t>Sin cliente</t>
        </is>
      </c>
      <c r="D6955" t="inlineStr">
        <is>
          <t>CANELE SIN AZUCAR</t>
        </is>
      </c>
      <c r="E6955" s="34" t="n">
        <v>5200</v>
      </c>
      <c r="F6955" t="inlineStr">
        <is>
          <t>B</t>
        </is>
      </c>
      <c r="G6955" s="34" t="n">
        <v>830</v>
      </c>
      <c r="H6955" s="34" t="n">
        <v>4370</v>
      </c>
      <c r="I6955" t="inlineStr">
        <is>
          <t>3.2</t>
        </is>
      </c>
      <c r="J6955" t="inlineStr">
        <is>
          <t>Ventas Personas (B2C)</t>
        </is>
      </c>
      <c r="K6955" t="inlineStr">
        <is>
          <t>CH2</t>
        </is>
      </c>
    </row>
    <row r="6956">
      <c r="A6956" s="33" t="n">
        <v>46147</v>
      </c>
      <c r="B6956" t="inlineStr">
        <is>
          <t>2026-05</t>
        </is>
      </c>
      <c r="C6956" t="inlineStr">
        <is>
          <t>Marco Aguirre Alday</t>
        </is>
      </c>
      <c r="D6956" t="inlineStr">
        <is>
          <t>CANELÉ TRADICIONAL</t>
        </is>
      </c>
      <c r="E6956" s="34" t="n">
        <v>32890</v>
      </c>
      <c r="F6956" t="inlineStr">
        <is>
          <t>B</t>
        </is>
      </c>
      <c r="G6956" s="34" t="n">
        <v>5251</v>
      </c>
      <c r="H6956" s="34" t="n">
        <v>27639</v>
      </c>
      <c r="I6956" t="inlineStr">
        <is>
          <t>3.2</t>
        </is>
      </c>
      <c r="J6956" t="inlineStr">
        <is>
          <t>Ventas Personas (B2C)</t>
        </is>
      </c>
      <c r="K6956" t="inlineStr">
        <is>
          <t>CH2</t>
        </is>
      </c>
    </row>
    <row r="6957">
      <c r="A6957" s="33" t="n">
        <v>46147</v>
      </c>
      <c r="B6957" t="inlineStr">
        <is>
          <t>2026-05</t>
        </is>
      </c>
      <c r="C6957" t="inlineStr">
        <is>
          <t>Sin cliente</t>
        </is>
      </c>
      <c r="D6957" t="inlineStr">
        <is>
          <t>CANELÉ TRADICIONAL</t>
        </is>
      </c>
      <c r="E6957" s="34" t="n">
        <v>5000</v>
      </c>
      <c r="F6957" t="inlineStr">
        <is>
          <t>B</t>
        </is>
      </c>
      <c r="G6957" s="34" t="n">
        <v>798</v>
      </c>
      <c r="H6957" s="34" t="n">
        <v>4202</v>
      </c>
      <c r="I6957" t="inlineStr">
        <is>
          <t>3.2</t>
        </is>
      </c>
      <c r="J6957" t="inlineStr">
        <is>
          <t>Ventas Personas (B2C)</t>
        </is>
      </c>
      <c r="K6957" t="inlineStr">
        <is>
          <t>CH2</t>
        </is>
      </c>
    </row>
    <row r="6958">
      <c r="A6958" s="33" t="n">
        <v>46147</v>
      </c>
      <c r="B6958" t="inlineStr">
        <is>
          <t>2026-05</t>
        </is>
      </c>
      <c r="C6958" t="inlineStr">
        <is>
          <t>Carolina Lillo</t>
        </is>
      </c>
      <c r="D6958" t="inlineStr">
        <is>
          <t>Canelé Petit Relleno</t>
        </is>
      </c>
      <c r="E6958" s="34" t="n">
        <v>23890</v>
      </c>
      <c r="F6958" t="inlineStr">
        <is>
          <t>B</t>
        </is>
      </c>
      <c r="G6958" s="34" t="n">
        <v>3814</v>
      </c>
      <c r="H6958" s="34" t="n">
        <v>20076</v>
      </c>
      <c r="I6958" t="inlineStr">
        <is>
          <t>3.2</t>
        </is>
      </c>
      <c r="J6958" t="inlineStr">
        <is>
          <t>Ventas Personas (B2C)</t>
        </is>
      </c>
      <c r="K6958" t="inlineStr">
        <is>
          <t>CH2</t>
        </is>
      </c>
    </row>
    <row r="6959">
      <c r="A6959" s="33" t="n">
        <v>46147</v>
      </c>
      <c r="B6959" t="inlineStr">
        <is>
          <t>2026-05</t>
        </is>
      </c>
      <c r="C6959" t="inlineStr">
        <is>
          <t>Julio del Rio</t>
        </is>
      </c>
      <c r="D6959" t="inlineStr">
        <is>
          <t>CANELÉ TRADICIONAL</t>
        </is>
      </c>
      <c r="E6959" s="34" t="n">
        <v>20890</v>
      </c>
      <c r="F6959" t="inlineStr">
        <is>
          <t>B</t>
        </is>
      </c>
      <c r="G6959" s="34" t="n">
        <v>3335</v>
      </c>
      <c r="H6959" s="34" t="n">
        <v>17555</v>
      </c>
      <c r="I6959" t="inlineStr">
        <is>
          <t>3.2</t>
        </is>
      </c>
      <c r="J6959" t="inlineStr">
        <is>
          <t>Ventas Personas (B2C)</t>
        </is>
      </c>
      <c r="K6959" t="inlineStr">
        <is>
          <t>CH2</t>
        </is>
      </c>
    </row>
    <row r="6960">
      <c r="A6960" s="33" t="n">
        <v>46147</v>
      </c>
      <c r="B6960" t="inlineStr">
        <is>
          <t>2026-05</t>
        </is>
      </c>
      <c r="C6960" t="inlineStr">
        <is>
          <t>Carolina Garrido</t>
        </is>
      </c>
      <c r="D6960" t="inlineStr">
        <is>
          <t>Regalos</t>
        </is>
      </c>
      <c r="E6960" s="34" t="n">
        <v>45890</v>
      </c>
      <c r="F6960" t="inlineStr">
        <is>
          <t>B</t>
        </is>
      </c>
      <c r="G6960" s="34" t="n">
        <v>7327</v>
      </c>
      <c r="H6960" s="34" t="n">
        <v>38563</v>
      </c>
      <c r="I6960" t="inlineStr">
        <is>
          <t>3.2</t>
        </is>
      </c>
      <c r="J6960" t="inlineStr">
        <is>
          <t>Ventas Personas (B2C)</t>
        </is>
      </c>
      <c r="K6960" t="inlineStr">
        <is>
          <t>CH2</t>
        </is>
      </c>
    </row>
    <row r="6961">
      <c r="A6961" s="33" t="n">
        <v>46147</v>
      </c>
      <c r="B6961" t="inlineStr">
        <is>
          <t>2026-05</t>
        </is>
      </c>
      <c r="C6961" t="inlineStr">
        <is>
          <t>Sin cliente</t>
        </is>
      </c>
      <c r="D6961" t="inlineStr">
        <is>
          <t>Cafeteria Geronimo</t>
        </is>
      </c>
      <c r="E6961" s="34" t="n">
        <v>13300</v>
      </c>
      <c r="F6961" t="inlineStr">
        <is>
          <t>B</t>
        </is>
      </c>
      <c r="G6961" s="34" t="n">
        <v>2124</v>
      </c>
      <c r="H6961" s="34" t="n">
        <v>11176</v>
      </c>
      <c r="I6961" t="inlineStr">
        <is>
          <t>3.2</t>
        </is>
      </c>
      <c r="J6961" t="inlineStr">
        <is>
          <t>Ventas Personas (B2C)</t>
        </is>
      </c>
      <c r="K6961" t="inlineStr">
        <is>
          <t>CH2</t>
        </is>
      </c>
    </row>
    <row r="6962">
      <c r="A6962" s="33" t="n">
        <v>46147</v>
      </c>
      <c r="B6962" t="inlineStr">
        <is>
          <t>2026-05</t>
        </is>
      </c>
      <c r="C6962" t="inlineStr">
        <is>
          <t>Maria Francisca Fernandez</t>
        </is>
      </c>
      <c r="D6962" t="inlineStr">
        <is>
          <t>Petit Crunchy</t>
        </is>
      </c>
      <c r="E6962" s="34" t="n">
        <v>155764</v>
      </c>
      <c r="F6962" t="inlineStr">
        <is>
          <t>B</t>
        </is>
      </c>
      <c r="G6962" s="34" t="n">
        <v>24870</v>
      </c>
      <c r="H6962" s="34" t="n">
        <v>130894</v>
      </c>
      <c r="I6962" t="inlineStr">
        <is>
          <t>3.2</t>
        </is>
      </c>
      <c r="J6962" t="inlineStr">
        <is>
          <t>Ventas Personas (B2C)</t>
        </is>
      </c>
      <c r="K6962" t="inlineStr">
        <is>
          <t>CH2</t>
        </is>
      </c>
    </row>
    <row r="6963">
      <c r="A6963" s="33" t="n">
        <v>46147</v>
      </c>
      <c r="B6963" t="inlineStr">
        <is>
          <t>2026-05</t>
        </is>
      </c>
      <c r="C6963" t="inlineStr">
        <is>
          <t>Maria Francisca Fernandez</t>
        </is>
      </c>
      <c r="D6963" t="inlineStr">
        <is>
          <t>Petit Crunchy</t>
        </is>
      </c>
      <c r="E6963" s="34" t="n">
        <v>79490</v>
      </c>
      <c r="F6963" t="inlineStr">
        <is>
          <t>B</t>
        </is>
      </c>
      <c r="G6963" s="34" t="n">
        <v>12692</v>
      </c>
      <c r="H6963" s="34" t="n">
        <v>66798</v>
      </c>
      <c r="I6963" t="inlineStr">
        <is>
          <t>3.2</t>
        </is>
      </c>
      <c r="J6963" t="inlineStr">
        <is>
          <t>Ventas Personas (B2C)</t>
        </is>
      </c>
      <c r="K6963" t="inlineStr">
        <is>
          <t>CH2</t>
        </is>
      </c>
    </row>
    <row r="6964">
      <c r="A6964" s="33" t="n">
        <v>46147</v>
      </c>
      <c r="B6964" t="inlineStr">
        <is>
          <t>2026-05</t>
        </is>
      </c>
      <c r="C6964" t="inlineStr">
        <is>
          <t>Sin cliente</t>
        </is>
      </c>
      <c r="D6964" t="inlineStr">
        <is>
          <t>CANELÉ TRADICIONAL</t>
        </is>
      </c>
      <c r="E6964" s="34" t="n">
        <v>2125</v>
      </c>
      <c r="F6964" t="inlineStr">
        <is>
          <t>B</t>
        </is>
      </c>
      <c r="G6964" s="34" t="n">
        <v>339</v>
      </c>
      <c r="H6964" s="34" t="n">
        <v>1786</v>
      </c>
      <c r="I6964" t="inlineStr">
        <is>
          <t>3.2</t>
        </is>
      </c>
      <c r="J6964" t="inlineStr">
        <is>
          <t>Ventas Personas (B2C)</t>
        </is>
      </c>
      <c r="K6964" t="inlineStr">
        <is>
          <t>CH2</t>
        </is>
      </c>
    </row>
    <row r="6965">
      <c r="A6965" s="33" t="n">
        <v>46147</v>
      </c>
      <c r="B6965" t="inlineStr">
        <is>
          <t>2026-05</t>
        </is>
      </c>
      <c r="C6965" t="inlineStr">
        <is>
          <t>Katy Bielefeldt Aranzubia</t>
        </is>
      </c>
      <c r="D6965" t="inlineStr">
        <is>
          <t>Regalos</t>
        </is>
      </c>
      <c r="E6965" s="34" t="n">
        <v>30890</v>
      </c>
      <c r="F6965" t="inlineStr">
        <is>
          <t>B</t>
        </is>
      </c>
      <c r="G6965" s="34" t="n">
        <v>4932</v>
      </c>
      <c r="H6965" s="34" t="n">
        <v>25958</v>
      </c>
      <c r="I6965" t="inlineStr">
        <is>
          <t>3.2</t>
        </is>
      </c>
      <c r="J6965" t="inlineStr">
        <is>
          <t>Ventas Personas (B2C)</t>
        </is>
      </c>
      <c r="K6965" t="inlineStr">
        <is>
          <t>CH2</t>
        </is>
      </c>
    </row>
    <row r="6966">
      <c r="A6966" s="33" t="n">
        <v>46147</v>
      </c>
      <c r="B6966" t="inlineStr">
        <is>
          <t>2026-05</t>
        </is>
      </c>
      <c r="C6966" t="inlineStr">
        <is>
          <t>Sin cliente</t>
        </is>
      </c>
      <c r="D6966" t="inlineStr">
        <is>
          <t>Canelé Petit Relleno</t>
        </is>
      </c>
      <c r="E6966" s="34" t="n">
        <v>16400</v>
      </c>
      <c r="F6966" t="inlineStr">
        <is>
          <t>B</t>
        </is>
      </c>
      <c r="G6966" s="34" t="n">
        <v>2618</v>
      </c>
      <c r="H6966" s="34" t="n">
        <v>13782</v>
      </c>
      <c r="I6966" t="inlineStr">
        <is>
          <t>3.2</t>
        </is>
      </c>
      <c r="J6966" t="inlineStr">
        <is>
          <t>Ventas Personas (B2C)</t>
        </is>
      </c>
      <c r="K6966" t="inlineStr">
        <is>
          <t>CH2</t>
        </is>
      </c>
    </row>
    <row r="6967">
      <c r="A6967" s="33" t="n">
        <v>46147</v>
      </c>
      <c r="B6967" t="inlineStr">
        <is>
          <t>2026-05</t>
        </is>
      </c>
      <c r="C6967" t="inlineStr">
        <is>
          <t>STREET MACHINE PRODUCCIONES S.A.</t>
        </is>
      </c>
      <c r="D6967" t="inlineStr">
        <is>
          <t>Glosa Venta Feria Ñam Viernes 10 - Sabado 11 - domingo 12 de</t>
        </is>
      </c>
      <c r="E6967" s="34" t="n">
        <v>3707515</v>
      </c>
      <c r="F6967" t="inlineStr">
        <is>
          <t>F</t>
        </is>
      </c>
      <c r="G6967" s="34" t="n">
        <v>591956</v>
      </c>
      <c r="H6967" s="34" t="n">
        <v>3115559</v>
      </c>
      <c r="I6967" t="inlineStr">
        <is>
          <t>3.5</t>
        </is>
      </c>
      <c r="J6967" t="inlineStr">
        <is>
          <t>Ventas Ferias</t>
        </is>
      </c>
      <c r="K6967" t="inlineStr">
        <is>
          <t>CH5</t>
        </is>
      </c>
    </row>
    <row r="6968">
      <c r="A6968" s="33" t="n">
        <v>46147</v>
      </c>
      <c r="B6968" t="inlineStr">
        <is>
          <t>2026-05</t>
        </is>
      </c>
      <c r="C6968" t="inlineStr">
        <is>
          <t>Sin cliente</t>
        </is>
      </c>
      <c r="D6968" t="inlineStr">
        <is>
          <t>CANELÉ TRADICIONAL</t>
        </is>
      </c>
      <c r="E6968" s="34" t="n">
        <v>22900</v>
      </c>
      <c r="F6968" t="inlineStr">
        <is>
          <t>B</t>
        </is>
      </c>
      <c r="G6968" s="34" t="n">
        <v>3656</v>
      </c>
      <c r="H6968" s="34" t="n">
        <v>19244</v>
      </c>
      <c r="I6968" t="inlineStr">
        <is>
          <t>3.2</t>
        </is>
      </c>
      <c r="J6968" t="inlineStr">
        <is>
          <t>Ventas Personas (B2C)</t>
        </is>
      </c>
      <c r="K6968" t="inlineStr">
        <is>
          <t>CH2</t>
        </is>
      </c>
    </row>
    <row r="6969">
      <c r="A6969" s="33" t="n">
        <v>46147</v>
      </c>
      <c r="B6969" t="inlineStr">
        <is>
          <t>2026-05</t>
        </is>
      </c>
      <c r="C6969" t="inlineStr">
        <is>
          <t>Sin cliente</t>
        </is>
      </c>
      <c r="D6969" t="inlineStr">
        <is>
          <t>PLATAFORMAS RAP-PEYA-UBER-GOOD</t>
        </is>
      </c>
      <c r="E6969" s="34" t="n">
        <v>19080</v>
      </c>
      <c r="F6969" t="inlineStr">
        <is>
          <t>B</t>
        </is>
      </c>
      <c r="G6969" s="34" t="n">
        <v>3046</v>
      </c>
      <c r="H6969" s="34" t="n">
        <v>16034</v>
      </c>
      <c r="I6969" t="inlineStr">
        <is>
          <t>3.6</t>
        </is>
      </c>
      <c r="J6969" t="inlineStr">
        <is>
          <t>Ventas Delivery Apps</t>
        </is>
      </c>
      <c r="K6969" t="inlineStr">
        <is>
          <t>CH3</t>
        </is>
      </c>
    </row>
    <row r="6970">
      <c r="A6970" s="33" t="n">
        <v>46147</v>
      </c>
      <c r="B6970" t="inlineStr">
        <is>
          <t>2026-05</t>
        </is>
      </c>
      <c r="C6970" t="inlineStr">
        <is>
          <t>Sin cliente</t>
        </is>
      </c>
      <c r="D6970" t="inlineStr">
        <is>
          <t>PLATAFORMAS RAP-PEYA-UBER-GOOD</t>
        </is>
      </c>
      <c r="E6970" s="34" t="n">
        <v>15229</v>
      </c>
      <c r="F6970" t="inlineStr">
        <is>
          <t>B</t>
        </is>
      </c>
      <c r="G6970" s="34" t="n">
        <v>2432</v>
      </c>
      <c r="H6970" s="34" t="n">
        <v>12797</v>
      </c>
      <c r="I6970" t="inlineStr">
        <is>
          <t>3.6</t>
        </is>
      </c>
      <c r="J6970" t="inlineStr">
        <is>
          <t>Ventas Delivery Apps</t>
        </is>
      </c>
      <c r="K6970" t="inlineStr">
        <is>
          <t>CH3</t>
        </is>
      </c>
    </row>
    <row r="6971">
      <c r="A6971" s="33" t="n">
        <v>46147</v>
      </c>
      <c r="B6971" t="inlineStr">
        <is>
          <t>2026-05</t>
        </is>
      </c>
      <c r="C6971" t="inlineStr">
        <is>
          <t>Sin cliente</t>
        </is>
      </c>
      <c r="D6971" t="inlineStr">
        <is>
          <t>PLATAFORMAS RAP-PEYA-UBER-GOOD</t>
        </is>
      </c>
      <c r="E6971" s="34" t="n">
        <v>27480</v>
      </c>
      <c r="F6971" t="inlineStr">
        <is>
          <t>B</t>
        </is>
      </c>
      <c r="G6971" s="34" t="n">
        <v>4388</v>
      </c>
      <c r="H6971" s="34" t="n">
        <v>23092</v>
      </c>
      <c r="I6971" t="inlineStr">
        <is>
          <t>3.6</t>
        </is>
      </c>
      <c r="J6971" t="inlineStr">
        <is>
          <t>Ventas Delivery Apps</t>
        </is>
      </c>
      <c r="K6971" t="inlineStr">
        <is>
          <t>CH3</t>
        </is>
      </c>
    </row>
    <row r="6972">
      <c r="A6972" s="33" t="n">
        <v>46147</v>
      </c>
      <c r="B6972" t="inlineStr">
        <is>
          <t>2026-05</t>
        </is>
      </c>
      <c r="C6972" t="inlineStr">
        <is>
          <t>Sin cliente</t>
        </is>
      </c>
      <c r="D6972" t="inlineStr">
        <is>
          <t>Delicatessen</t>
        </is>
      </c>
      <c r="E6972" s="34" t="n">
        <v>2125</v>
      </c>
      <c r="F6972" t="inlineStr">
        <is>
          <t>B</t>
        </is>
      </c>
      <c r="G6972" s="34" t="n">
        <v>339</v>
      </c>
      <c r="H6972" s="34" t="n">
        <v>1786</v>
      </c>
      <c r="I6972" t="inlineStr">
        <is>
          <t>3.2</t>
        </is>
      </c>
      <c r="J6972" t="inlineStr">
        <is>
          <t>Ventas Personas (B2C)</t>
        </is>
      </c>
      <c r="K6972" t="inlineStr">
        <is>
          <t>CH2</t>
        </is>
      </c>
    </row>
    <row r="6973">
      <c r="A6973" s="33" t="n">
        <v>46147</v>
      </c>
      <c r="B6973" t="inlineStr">
        <is>
          <t>2026-05</t>
        </is>
      </c>
      <c r="C6973" t="inlineStr">
        <is>
          <t>Karen Mansilla zamora spa</t>
        </is>
      </c>
      <c r="D6973" t="inlineStr">
        <is>
          <t>Petit Crunchy</t>
        </is>
      </c>
      <c r="E6973" s="34" t="n">
        <v>35900</v>
      </c>
      <c r="F6973" t="inlineStr">
        <is>
          <t>B</t>
        </is>
      </c>
      <c r="G6973" s="34" t="n">
        <v>5732</v>
      </c>
      <c r="H6973" s="34" t="n">
        <v>30168</v>
      </c>
      <c r="I6973" t="inlineStr">
        <is>
          <t>3.2</t>
        </is>
      </c>
      <c r="J6973" t="inlineStr">
        <is>
          <t>Ventas Personas (B2C)</t>
        </is>
      </c>
      <c r="K6973" t="inlineStr">
        <is>
          <t>CH2</t>
        </is>
      </c>
    </row>
    <row r="6974">
      <c r="A6974" s="33" t="n">
        <v>46148</v>
      </c>
      <c r="B6974" t="inlineStr">
        <is>
          <t>2026-05</t>
        </is>
      </c>
      <c r="C6974" t="inlineStr">
        <is>
          <t>BUSTORF LARSEN Y COMPANIA LIMITADA</t>
        </is>
      </c>
      <c r="D6974" t="inlineStr">
        <is>
          <t>HORECA CAFETERIA</t>
        </is>
      </c>
      <c r="E6974" s="34" t="n">
        <v>77564</v>
      </c>
      <c r="F6974" t="inlineStr">
        <is>
          <t>F</t>
        </is>
      </c>
      <c r="G6974" s="34" t="n">
        <v>12384</v>
      </c>
      <c r="H6974" s="34" t="n">
        <v>65180</v>
      </c>
      <c r="I6974" t="inlineStr">
        <is>
          <t>3.1</t>
        </is>
      </c>
      <c r="J6974" t="inlineStr">
        <is>
          <t>Ventas HoReCa</t>
        </is>
      </c>
      <c r="K6974" t="inlineStr">
        <is>
          <t>CH1</t>
        </is>
      </c>
    </row>
    <row r="6975">
      <c r="A6975" s="33" t="n">
        <v>46148</v>
      </c>
      <c r="B6975" t="inlineStr">
        <is>
          <t>2026-05</t>
        </is>
      </c>
      <c r="C6975" t="inlineStr">
        <is>
          <t>BUSTORF LARSEN Y COMPANIA LIMITADA</t>
        </is>
      </c>
      <c r="D6975" t="inlineStr">
        <is>
          <t>HORECA CAFETERIA</t>
        </is>
      </c>
      <c r="E6975" s="34" t="n">
        <v>77564</v>
      </c>
      <c r="F6975" t="inlineStr">
        <is>
          <t>F</t>
        </is>
      </c>
      <c r="G6975" s="34" t="n">
        <v>12384</v>
      </c>
      <c r="H6975" s="34" t="n">
        <v>65180</v>
      </c>
      <c r="I6975" t="inlineStr">
        <is>
          <t>3.1</t>
        </is>
      </c>
      <c r="J6975" t="inlineStr">
        <is>
          <t>Ventas HoReCa</t>
        </is>
      </c>
      <c r="K6975" t="inlineStr">
        <is>
          <t>CH1</t>
        </is>
      </c>
    </row>
    <row r="6976">
      <c r="A6976" s="33" t="n">
        <v>46148</v>
      </c>
      <c r="B6976" t="inlineStr">
        <is>
          <t>2026-05</t>
        </is>
      </c>
      <c r="C6976" t="inlineStr">
        <is>
          <t>TAVELLI S.A.</t>
        </is>
      </c>
      <c r="D6976" t="inlineStr">
        <is>
          <t>HORECA CAFETERIA</t>
        </is>
      </c>
      <c r="E6976" s="34" t="n">
        <v>984078</v>
      </c>
      <c r="F6976" t="inlineStr">
        <is>
          <t>F</t>
        </is>
      </c>
      <c r="G6976" s="34" t="n">
        <v>157122</v>
      </c>
      <c r="H6976" s="34" t="n">
        <v>826956</v>
      </c>
      <c r="I6976" t="inlineStr">
        <is>
          <t>3.1</t>
        </is>
      </c>
      <c r="J6976" t="inlineStr">
        <is>
          <t>Ventas HoReCa</t>
        </is>
      </c>
      <c r="K6976" t="inlineStr">
        <is>
          <t>CH1</t>
        </is>
      </c>
    </row>
    <row r="6977">
      <c r="A6977" s="33" t="n">
        <v>46148</v>
      </c>
      <c r="B6977" t="inlineStr">
        <is>
          <t>2026-05</t>
        </is>
      </c>
      <c r="C6977" t="inlineStr">
        <is>
          <t>TAVELLI S.A.</t>
        </is>
      </c>
      <c r="D6977" t="inlineStr">
        <is>
          <t>REGION METROPOLITANA</t>
        </is>
      </c>
      <c r="E6977" s="34" t="n">
        <v>35700</v>
      </c>
      <c r="F6977" t="inlineStr">
        <is>
          <t>F</t>
        </is>
      </c>
      <c r="G6977" s="34" t="n">
        <v>5700</v>
      </c>
      <c r="H6977" s="34" t="n">
        <v>30000</v>
      </c>
      <c r="I6977" t="inlineStr">
        <is>
          <t>3.1</t>
        </is>
      </c>
      <c r="J6977" t="inlineStr">
        <is>
          <t>Ventas HoReCa</t>
        </is>
      </c>
      <c r="K6977" t="inlineStr">
        <is>
          <t>CH1</t>
        </is>
      </c>
    </row>
    <row r="6978">
      <c r="A6978" s="33" t="n">
        <v>46148</v>
      </c>
      <c r="B6978" t="inlineStr">
        <is>
          <t>2026-05</t>
        </is>
      </c>
      <c r="C6978" t="inlineStr">
        <is>
          <t>Sin cliente</t>
        </is>
      </c>
      <c r="D6978" t="inlineStr">
        <is>
          <t>CANELÉ</t>
        </is>
      </c>
      <c r="E6978" s="34" t="n">
        <v>20000</v>
      </c>
      <c r="F6978" t="inlineStr">
        <is>
          <t>B</t>
        </is>
      </c>
      <c r="G6978" s="34" t="n">
        <v>3193</v>
      </c>
      <c r="H6978" s="34" t="n">
        <v>16807</v>
      </c>
      <c r="I6978" t="inlineStr">
        <is>
          <t>3.2</t>
        </is>
      </c>
      <c r="J6978" t="inlineStr">
        <is>
          <t>Ventas Personas (B2C)</t>
        </is>
      </c>
      <c r="K6978" t="inlineStr">
        <is>
          <t>CH2</t>
        </is>
      </c>
    </row>
    <row r="6979">
      <c r="A6979" s="33" t="n">
        <v>46148</v>
      </c>
      <c r="B6979" t="inlineStr">
        <is>
          <t>2026-05</t>
        </is>
      </c>
      <c r="C6979" t="inlineStr">
        <is>
          <t>Fernando Suarez</t>
        </is>
      </c>
      <c r="D6979" t="inlineStr">
        <is>
          <t>Rellenos</t>
        </is>
      </c>
      <c r="E6979" s="34" t="n">
        <v>37890</v>
      </c>
      <c r="F6979" t="inlineStr">
        <is>
          <t>B</t>
        </is>
      </c>
      <c r="G6979" s="34" t="n">
        <v>6050</v>
      </c>
      <c r="H6979" s="34" t="n">
        <v>31840</v>
      </c>
      <c r="I6979" t="inlineStr">
        <is>
          <t>3.2</t>
        </is>
      </c>
      <c r="J6979" t="inlineStr">
        <is>
          <t>Ventas Personas (B2C)</t>
        </is>
      </c>
      <c r="K6979" t="inlineStr">
        <is>
          <t>CH2</t>
        </is>
      </c>
    </row>
    <row r="6980">
      <c r="A6980" s="33" t="n">
        <v>46148</v>
      </c>
      <c r="B6980" t="inlineStr">
        <is>
          <t>2026-05</t>
        </is>
      </c>
      <c r="C6980" t="inlineStr">
        <is>
          <t>Sin cliente</t>
        </is>
      </c>
      <c r="D6980" t="inlineStr">
        <is>
          <t>CANELÉ</t>
        </is>
      </c>
      <c r="E6980" s="34" t="n">
        <v>7000</v>
      </c>
      <c r="F6980" t="inlineStr">
        <is>
          <t>B</t>
        </is>
      </c>
      <c r="G6980" s="34" t="n">
        <v>1118</v>
      </c>
      <c r="H6980" s="34" t="n">
        <v>5882</v>
      </c>
      <c r="I6980" t="inlineStr">
        <is>
          <t>3.2</t>
        </is>
      </c>
      <c r="J6980" t="inlineStr">
        <is>
          <t>Ventas Personas (B2C)</t>
        </is>
      </c>
      <c r="K6980" t="inlineStr">
        <is>
          <t>CH2</t>
        </is>
      </c>
    </row>
    <row r="6981">
      <c r="A6981" s="33" t="n">
        <v>46148</v>
      </c>
      <c r="B6981" t="inlineStr">
        <is>
          <t>2026-05</t>
        </is>
      </c>
      <c r="C6981" t="inlineStr">
        <is>
          <t>Sin cliente</t>
        </is>
      </c>
      <c r="D6981" t="inlineStr">
        <is>
          <t>CANELÉ</t>
        </is>
      </c>
      <c r="E6981" s="34" t="n">
        <v>13200</v>
      </c>
      <c r="F6981" t="inlineStr">
        <is>
          <t>B</t>
        </is>
      </c>
      <c r="G6981" s="34" t="n">
        <v>2108</v>
      </c>
      <c r="H6981" s="34" t="n">
        <v>11092</v>
      </c>
      <c r="I6981" t="inlineStr">
        <is>
          <t>3.2</t>
        </is>
      </c>
      <c r="J6981" t="inlineStr">
        <is>
          <t>Ventas Personas (B2C)</t>
        </is>
      </c>
      <c r="K6981" t="inlineStr">
        <is>
          <t>CH2</t>
        </is>
      </c>
    </row>
    <row r="6982">
      <c r="A6982" s="33" t="n">
        <v>46148</v>
      </c>
      <c r="B6982" t="inlineStr">
        <is>
          <t>2026-05</t>
        </is>
      </c>
      <c r="C6982" t="inlineStr">
        <is>
          <t>Sin cliente</t>
        </is>
      </c>
      <c r="D6982" t="inlineStr">
        <is>
          <t>Rellenos</t>
        </is>
      </c>
      <c r="E6982" s="34" t="n">
        <v>10500</v>
      </c>
      <c r="F6982" t="inlineStr">
        <is>
          <t>B</t>
        </is>
      </c>
      <c r="G6982" s="34" t="n">
        <v>1676</v>
      </c>
      <c r="H6982" s="34" t="n">
        <v>8824</v>
      </c>
      <c r="I6982" t="inlineStr">
        <is>
          <t>3.2</t>
        </is>
      </c>
      <c r="J6982" t="inlineStr">
        <is>
          <t>Ventas Personas (B2C)</t>
        </is>
      </c>
      <c r="K6982" t="inlineStr">
        <is>
          <t>CH2</t>
        </is>
      </c>
    </row>
    <row r="6983">
      <c r="A6983" s="33" t="n">
        <v>46148</v>
      </c>
      <c r="B6983" t="inlineStr">
        <is>
          <t>2026-05</t>
        </is>
      </c>
      <c r="C6983" t="inlineStr">
        <is>
          <t>PILAR BANQUETERIA SPA</t>
        </is>
      </c>
      <c r="D6983" t="inlineStr">
        <is>
          <t>HORECA CATERING</t>
        </is>
      </c>
      <c r="E6983" s="34" t="n">
        <v>151487</v>
      </c>
      <c r="F6983" t="inlineStr">
        <is>
          <t>F</t>
        </is>
      </c>
      <c r="G6983" s="34" t="n">
        <v>24187</v>
      </c>
      <c r="H6983" s="34" t="n">
        <v>127300</v>
      </c>
      <c r="I6983" t="inlineStr">
        <is>
          <t>3.1</t>
        </is>
      </c>
      <c r="J6983" t="inlineStr">
        <is>
          <t>Ventas HoReCa</t>
        </is>
      </c>
      <c r="K6983" t="inlineStr">
        <is>
          <t>CH1</t>
        </is>
      </c>
    </row>
    <row r="6984">
      <c r="A6984" s="33" t="n">
        <v>46148</v>
      </c>
      <c r="B6984" t="inlineStr">
        <is>
          <t>2026-05</t>
        </is>
      </c>
      <c r="C6984" t="inlineStr">
        <is>
          <t>Sin cliente</t>
        </is>
      </c>
      <c r="D6984" t="inlineStr">
        <is>
          <t>CANELÉ</t>
        </is>
      </c>
      <c r="E6984" s="34" t="n">
        <v>15000</v>
      </c>
      <c r="F6984" t="inlineStr">
        <is>
          <t>B</t>
        </is>
      </c>
      <c r="G6984" s="34" t="n">
        <v>2395</v>
      </c>
      <c r="H6984" s="34" t="n">
        <v>12605</v>
      </c>
      <c r="I6984" t="inlineStr">
        <is>
          <t>3.2</t>
        </is>
      </c>
      <c r="J6984" t="inlineStr">
        <is>
          <t>Ventas Personas (B2C)</t>
        </is>
      </c>
      <c r="K6984" t="inlineStr">
        <is>
          <t>CH2</t>
        </is>
      </c>
    </row>
    <row r="6985">
      <c r="A6985" s="33" t="n">
        <v>46148</v>
      </c>
      <c r="B6985" t="inlineStr">
        <is>
          <t>2026-05</t>
        </is>
      </c>
      <c r="C6985" t="inlineStr">
        <is>
          <t>Sin cliente</t>
        </is>
      </c>
      <c r="D6985" t="inlineStr">
        <is>
          <t>Rellenos</t>
        </is>
      </c>
      <c r="E6985" s="34" t="n">
        <v>15000</v>
      </c>
      <c r="F6985" t="inlineStr">
        <is>
          <t>B</t>
        </is>
      </c>
      <c r="G6985" s="34" t="n">
        <v>2395</v>
      </c>
      <c r="H6985" s="34" t="n">
        <v>12605</v>
      </c>
      <c r="I6985" t="inlineStr">
        <is>
          <t>3.2</t>
        </is>
      </c>
      <c r="J6985" t="inlineStr">
        <is>
          <t>Ventas Personas (B2C)</t>
        </is>
      </c>
      <c r="K6985" t="inlineStr">
        <is>
          <t>CH2</t>
        </is>
      </c>
    </row>
    <row r="6986">
      <c r="A6986" s="33" t="n">
        <v>46148</v>
      </c>
      <c r="B6986" t="inlineStr">
        <is>
          <t>2026-05</t>
        </is>
      </c>
      <c r="C6986" t="inlineStr">
        <is>
          <t>Sin cliente</t>
        </is>
      </c>
      <c r="D6986" t="inlineStr">
        <is>
          <t>CANELÉ</t>
        </is>
      </c>
      <c r="E6986" s="34" t="n">
        <v>4000</v>
      </c>
      <c r="F6986" t="inlineStr">
        <is>
          <t>B</t>
        </is>
      </c>
      <c r="G6986" s="34" t="n">
        <v>639</v>
      </c>
      <c r="H6986" s="34" t="n">
        <v>3361</v>
      </c>
      <c r="I6986" t="inlineStr">
        <is>
          <t>3.2</t>
        </is>
      </c>
      <c r="J6986" t="inlineStr">
        <is>
          <t>Ventas Personas (B2C)</t>
        </is>
      </c>
      <c r="K6986" t="inlineStr">
        <is>
          <t>CH2</t>
        </is>
      </c>
    </row>
    <row r="6987">
      <c r="A6987" s="33" t="n">
        <v>46148</v>
      </c>
      <c r="B6987" t="inlineStr">
        <is>
          <t>2026-05</t>
        </is>
      </c>
      <c r="C6987" t="inlineStr">
        <is>
          <t>Sin cliente</t>
        </is>
      </c>
      <c r="D6987" t="inlineStr">
        <is>
          <t>CANELÉ</t>
        </is>
      </c>
      <c r="E6987" s="34" t="n">
        <v>15000</v>
      </c>
      <c r="F6987" t="inlineStr">
        <is>
          <t>B</t>
        </is>
      </c>
      <c r="G6987" s="34" t="n">
        <v>2395</v>
      </c>
      <c r="H6987" s="34" t="n">
        <v>12605</v>
      </c>
      <c r="I6987" t="inlineStr">
        <is>
          <t>3.2</t>
        </is>
      </c>
      <c r="J6987" t="inlineStr">
        <is>
          <t>Ventas Personas (B2C)</t>
        </is>
      </c>
      <c r="K6987" t="inlineStr">
        <is>
          <t>CH2</t>
        </is>
      </c>
    </row>
    <row r="6988">
      <c r="A6988" s="33" t="n">
        <v>46148</v>
      </c>
      <c r="B6988" t="inlineStr">
        <is>
          <t>2026-05</t>
        </is>
      </c>
      <c r="C6988" t="inlineStr">
        <is>
          <t>Sin cliente</t>
        </is>
      </c>
      <c r="D6988" t="inlineStr">
        <is>
          <t>CANELÉ</t>
        </is>
      </c>
      <c r="E6988" s="34" t="n">
        <v>5000</v>
      </c>
      <c r="F6988" t="inlineStr">
        <is>
          <t>B</t>
        </is>
      </c>
      <c r="G6988" s="34" t="n">
        <v>798</v>
      </c>
      <c r="H6988" s="34" t="n">
        <v>4202</v>
      </c>
      <c r="I6988" t="inlineStr">
        <is>
          <t>3.2</t>
        </is>
      </c>
      <c r="J6988" t="inlineStr">
        <is>
          <t>Ventas Personas (B2C)</t>
        </is>
      </c>
      <c r="K6988" t="inlineStr">
        <is>
          <t>CH2</t>
        </is>
      </c>
    </row>
    <row r="6989">
      <c r="A6989" s="33" t="n">
        <v>46148</v>
      </c>
      <c r="B6989" t="inlineStr">
        <is>
          <t>2026-05</t>
        </is>
      </c>
      <c r="C6989" t="inlineStr">
        <is>
          <t>Sin cliente</t>
        </is>
      </c>
      <c r="D6989" t="inlineStr">
        <is>
          <t>CANELÉ</t>
        </is>
      </c>
      <c r="E6989" s="34" t="n">
        <v>10000</v>
      </c>
      <c r="F6989" t="inlineStr">
        <is>
          <t>B</t>
        </is>
      </c>
      <c r="G6989" s="34" t="n">
        <v>1597</v>
      </c>
      <c r="H6989" s="34" t="n">
        <v>8403</v>
      </c>
      <c r="I6989" t="inlineStr">
        <is>
          <t>3.2</t>
        </is>
      </c>
      <c r="J6989" t="inlineStr">
        <is>
          <t>Ventas Personas (B2C)</t>
        </is>
      </c>
      <c r="K6989" t="inlineStr">
        <is>
          <t>CH2</t>
        </is>
      </c>
    </row>
    <row r="6990">
      <c r="A6990" s="33" t="n">
        <v>46148</v>
      </c>
      <c r="B6990" t="inlineStr">
        <is>
          <t>2026-05</t>
        </is>
      </c>
      <c r="C6990" t="inlineStr">
        <is>
          <t>Sin cliente</t>
        </is>
      </c>
      <c r="D6990" t="inlineStr">
        <is>
          <t>CANELÉ</t>
        </is>
      </c>
      <c r="E6990" s="34" t="n">
        <v>20000</v>
      </c>
      <c r="F6990" t="inlineStr">
        <is>
          <t>B</t>
        </is>
      </c>
      <c r="G6990" s="34" t="n">
        <v>3193</v>
      </c>
      <c r="H6990" s="34" t="n">
        <v>16807</v>
      </c>
      <c r="I6990" t="inlineStr">
        <is>
          <t>3.2</t>
        </is>
      </c>
      <c r="J6990" t="inlineStr">
        <is>
          <t>Ventas Personas (B2C)</t>
        </is>
      </c>
      <c r="K6990" t="inlineStr">
        <is>
          <t>CH2</t>
        </is>
      </c>
    </row>
    <row r="6991">
      <c r="A6991" s="33" t="n">
        <v>46148</v>
      </c>
      <c r="B6991" t="inlineStr">
        <is>
          <t>2026-05</t>
        </is>
      </c>
      <c r="C6991" t="inlineStr">
        <is>
          <t>Sin cliente</t>
        </is>
      </c>
      <c r="D6991" t="inlineStr">
        <is>
          <t>CANELÉ</t>
        </is>
      </c>
      <c r="E6991" s="34" t="n">
        <v>10000</v>
      </c>
      <c r="F6991" t="inlineStr">
        <is>
          <t>B</t>
        </is>
      </c>
      <c r="G6991" s="34" t="n">
        <v>1597</v>
      </c>
      <c r="H6991" s="34" t="n">
        <v>8403</v>
      </c>
      <c r="I6991" t="inlineStr">
        <is>
          <t>3.2</t>
        </is>
      </c>
      <c r="J6991" t="inlineStr">
        <is>
          <t>Ventas Personas (B2C)</t>
        </is>
      </c>
      <c r="K6991" t="inlineStr">
        <is>
          <t>CH2</t>
        </is>
      </c>
    </row>
    <row r="6992">
      <c r="A6992" s="33" t="n">
        <v>46148</v>
      </c>
      <c r="B6992" t="inlineStr">
        <is>
          <t>2026-05</t>
        </is>
      </c>
      <c r="C6992" t="inlineStr">
        <is>
          <t>Sin cliente</t>
        </is>
      </c>
      <c r="D6992" t="inlineStr">
        <is>
          <t>CANELÉ</t>
        </is>
      </c>
      <c r="E6992" s="34" t="n">
        <v>4000</v>
      </c>
      <c r="F6992" t="inlineStr">
        <is>
          <t>B</t>
        </is>
      </c>
      <c r="G6992" s="34" t="n">
        <v>639</v>
      </c>
      <c r="H6992" s="34" t="n">
        <v>3361</v>
      </c>
      <c r="I6992" t="inlineStr">
        <is>
          <t>3.2</t>
        </is>
      </c>
      <c r="J6992" t="inlineStr">
        <is>
          <t>Ventas Personas (B2C)</t>
        </is>
      </c>
      <c r="K6992" t="inlineStr">
        <is>
          <t>CH2</t>
        </is>
      </c>
    </row>
    <row r="6993">
      <c r="A6993" s="33" t="n">
        <v>46148</v>
      </c>
      <c r="B6993" t="inlineStr">
        <is>
          <t>2026-05</t>
        </is>
      </c>
      <c r="C6993" t="inlineStr">
        <is>
          <t>Sin cliente</t>
        </is>
      </c>
      <c r="D6993" t="inlineStr">
        <is>
          <t>CANELÉ</t>
        </is>
      </c>
      <c r="E6993" s="34" t="n">
        <v>18000</v>
      </c>
      <c r="F6993" t="inlineStr">
        <is>
          <t>B</t>
        </is>
      </c>
      <c r="G6993" s="34" t="n">
        <v>2874</v>
      </c>
      <c r="H6993" s="34" t="n">
        <v>15126</v>
      </c>
      <c r="I6993" t="inlineStr">
        <is>
          <t>3.2</t>
        </is>
      </c>
      <c r="J6993" t="inlineStr">
        <is>
          <t>Ventas Personas (B2C)</t>
        </is>
      </c>
      <c r="K6993" t="inlineStr">
        <is>
          <t>CH2</t>
        </is>
      </c>
    </row>
    <row r="6994">
      <c r="A6994" s="33" t="n">
        <v>46148</v>
      </c>
      <c r="B6994" t="inlineStr">
        <is>
          <t>2026-05</t>
        </is>
      </c>
      <c r="C6994" t="inlineStr">
        <is>
          <t>Sin cliente</t>
        </is>
      </c>
      <c r="D6994" t="inlineStr">
        <is>
          <t>CANELÉ</t>
        </is>
      </c>
      <c r="E6994" s="34" t="n">
        <v>32700</v>
      </c>
      <c r="F6994" t="inlineStr">
        <is>
          <t>B</t>
        </is>
      </c>
      <c r="G6994" s="34" t="n">
        <v>5221</v>
      </c>
      <c r="H6994" s="34" t="n">
        <v>27479</v>
      </c>
      <c r="I6994" t="inlineStr">
        <is>
          <t>3.2</t>
        </is>
      </c>
      <c r="J6994" t="inlineStr">
        <is>
          <t>Ventas Personas (B2C)</t>
        </is>
      </c>
      <c r="K6994" t="inlineStr">
        <is>
          <t>CH2</t>
        </is>
      </c>
    </row>
    <row r="6995">
      <c r="A6995" s="33" t="n">
        <v>46148</v>
      </c>
      <c r="B6995" t="inlineStr">
        <is>
          <t>2026-05</t>
        </is>
      </c>
      <c r="C6995" t="inlineStr">
        <is>
          <t>Sin cliente</t>
        </is>
      </c>
      <c r="D6995" t="inlineStr">
        <is>
          <t>CANELÉ</t>
        </is>
      </c>
      <c r="E6995" s="34" t="n">
        <v>6000</v>
      </c>
      <c r="F6995" t="inlineStr">
        <is>
          <t>B</t>
        </is>
      </c>
      <c r="G6995" s="34" t="n">
        <v>958</v>
      </c>
      <c r="H6995" s="34" t="n">
        <v>5042</v>
      </c>
      <c r="I6995" t="inlineStr">
        <is>
          <t>3.2</t>
        </is>
      </c>
      <c r="J6995" t="inlineStr">
        <is>
          <t>Ventas Personas (B2C)</t>
        </is>
      </c>
      <c r="K6995" t="inlineStr">
        <is>
          <t>CH2</t>
        </is>
      </c>
    </row>
    <row r="6996">
      <c r="A6996" s="33" t="n">
        <v>46148</v>
      </c>
      <c r="B6996" t="inlineStr">
        <is>
          <t>2026-05</t>
        </is>
      </c>
      <c r="C6996" t="inlineStr">
        <is>
          <t>RESTAURANTE INTERNACIONAL NUEVA FU HUA SPA</t>
        </is>
      </c>
      <c r="D6996" t="inlineStr">
        <is>
          <t>CANELÉ</t>
        </is>
      </c>
      <c r="E6996" s="34" t="n">
        <v>18000</v>
      </c>
      <c r="F6996" t="inlineStr">
        <is>
          <t>F</t>
        </is>
      </c>
      <c r="G6996" s="34" t="n">
        <v>2874</v>
      </c>
      <c r="H6996" s="34" t="n">
        <v>15126</v>
      </c>
      <c r="I6996" t="inlineStr">
        <is>
          <t>3.1</t>
        </is>
      </c>
      <c r="J6996" t="inlineStr">
        <is>
          <t>Ventas HoReCa</t>
        </is>
      </c>
      <c r="K6996" t="inlineStr">
        <is>
          <t>CH1</t>
        </is>
      </c>
    </row>
    <row r="6997">
      <c r="A6997" s="33" t="n">
        <v>46148</v>
      </c>
      <c r="B6997" t="inlineStr">
        <is>
          <t>2026-05</t>
        </is>
      </c>
      <c r="C6997" t="inlineStr">
        <is>
          <t>Sin cliente</t>
        </is>
      </c>
      <c r="D6997" t="inlineStr">
        <is>
          <t>CANELÉ</t>
        </is>
      </c>
      <c r="E6997" s="34" t="n">
        <v>8000</v>
      </c>
      <c r="F6997" t="inlineStr">
        <is>
          <t>B</t>
        </is>
      </c>
      <c r="G6997" s="34" t="n">
        <v>1277</v>
      </c>
      <c r="H6997" s="34" t="n">
        <v>6723</v>
      </c>
      <c r="I6997" t="inlineStr">
        <is>
          <t>3.2</t>
        </is>
      </c>
      <c r="J6997" t="inlineStr">
        <is>
          <t>Ventas Personas (B2C)</t>
        </is>
      </c>
      <c r="K6997" t="inlineStr">
        <is>
          <t>CH2</t>
        </is>
      </c>
    </row>
    <row r="6998">
      <c r="A6998" s="33" t="n">
        <v>46148</v>
      </c>
      <c r="B6998" t="inlineStr">
        <is>
          <t>2026-05</t>
        </is>
      </c>
      <c r="C6998" t="inlineStr">
        <is>
          <t>Sin cliente</t>
        </is>
      </c>
      <c r="D6998" t="inlineStr">
        <is>
          <t>CANELÉ</t>
        </is>
      </c>
      <c r="E6998" s="34" t="n">
        <v>2000</v>
      </c>
      <c r="F6998" t="inlineStr">
        <is>
          <t>B</t>
        </is>
      </c>
      <c r="G6998" s="34" t="n">
        <v>319</v>
      </c>
      <c r="H6998" s="34" t="n">
        <v>1681</v>
      </c>
      <c r="I6998" t="inlineStr">
        <is>
          <t>3.2</t>
        </is>
      </c>
      <c r="J6998" t="inlineStr">
        <is>
          <t>Ventas Personas (B2C)</t>
        </is>
      </c>
      <c r="K6998" t="inlineStr">
        <is>
          <t>CH2</t>
        </is>
      </c>
    </row>
    <row r="6999">
      <c r="A6999" s="33" t="n">
        <v>46148</v>
      </c>
      <c r="B6999" t="inlineStr">
        <is>
          <t>2026-05</t>
        </is>
      </c>
      <c r="C6999" t="inlineStr">
        <is>
          <t>Sin cliente</t>
        </is>
      </c>
      <c r="D6999" t="inlineStr">
        <is>
          <t>Delicatessen</t>
        </is>
      </c>
      <c r="E6999" s="34" t="n">
        <v>12665</v>
      </c>
      <c r="F6999" t="inlineStr">
        <is>
          <t>B</t>
        </is>
      </c>
      <c r="G6999" s="34" t="n">
        <v>2022</v>
      </c>
      <c r="H6999" s="34" t="n">
        <v>10643</v>
      </c>
      <c r="I6999" t="inlineStr">
        <is>
          <t>3.2</t>
        </is>
      </c>
      <c r="J6999" t="inlineStr">
        <is>
          <t>Ventas Personas (B2C)</t>
        </is>
      </c>
      <c r="K6999" t="inlineStr">
        <is>
          <t>CH2</t>
        </is>
      </c>
    </row>
    <row r="7000">
      <c r="A7000" s="33" t="n">
        <v>46148</v>
      </c>
      <c r="B7000" t="inlineStr">
        <is>
          <t>2026-05</t>
        </is>
      </c>
      <c r="C7000" t="inlineStr">
        <is>
          <t>Sin cliente</t>
        </is>
      </c>
      <c r="D7000" t="inlineStr">
        <is>
          <t>CANELÉ</t>
        </is>
      </c>
      <c r="E7000" s="34" t="n">
        <v>48000</v>
      </c>
      <c r="F7000" t="inlineStr">
        <is>
          <t>B</t>
        </is>
      </c>
      <c r="G7000" s="34" t="n">
        <v>7664</v>
      </c>
      <c r="H7000" s="34" t="n">
        <v>40336</v>
      </c>
      <c r="I7000" t="inlineStr">
        <is>
          <t>3.2</t>
        </is>
      </c>
      <c r="J7000" t="inlineStr">
        <is>
          <t>Ventas Personas (B2C)</t>
        </is>
      </c>
      <c r="K7000" t="inlineStr">
        <is>
          <t>CH2</t>
        </is>
      </c>
    </row>
    <row r="7001">
      <c r="A7001" s="33" t="n">
        <v>46148</v>
      </c>
      <c r="B7001" t="inlineStr">
        <is>
          <t>2026-05</t>
        </is>
      </c>
      <c r="C7001" t="inlineStr">
        <is>
          <t>Sin cliente</t>
        </is>
      </c>
      <c r="D7001" t="inlineStr">
        <is>
          <t>CANELÉ</t>
        </is>
      </c>
      <c r="E7001" s="34" t="n">
        <v>14900</v>
      </c>
      <c r="F7001" t="inlineStr">
        <is>
          <t>B</t>
        </is>
      </c>
      <c r="G7001" s="34" t="n">
        <v>2379</v>
      </c>
      <c r="H7001" s="34" t="n">
        <v>12521</v>
      </c>
      <c r="I7001" t="inlineStr">
        <is>
          <t>3.2</t>
        </is>
      </c>
      <c r="J7001" t="inlineStr">
        <is>
          <t>Ventas Personas (B2C)</t>
        </is>
      </c>
      <c r="K7001" t="inlineStr">
        <is>
          <t>CH2</t>
        </is>
      </c>
    </row>
    <row r="7002">
      <c r="A7002" s="33" t="n">
        <v>46148</v>
      </c>
      <c r="B7002" t="inlineStr">
        <is>
          <t>2026-05</t>
        </is>
      </c>
      <c r="C7002" t="inlineStr">
        <is>
          <t>Sin cliente</t>
        </is>
      </c>
      <c r="D7002" t="inlineStr">
        <is>
          <t>CANELÉ</t>
        </is>
      </c>
      <c r="E7002" s="34" t="n">
        <v>6000</v>
      </c>
      <c r="F7002" t="inlineStr">
        <is>
          <t>B</t>
        </is>
      </c>
      <c r="G7002" s="34" t="n">
        <v>958</v>
      </c>
      <c r="H7002" s="34" t="n">
        <v>5042</v>
      </c>
      <c r="I7002" t="inlineStr">
        <is>
          <t>3.2</t>
        </is>
      </c>
      <c r="J7002" t="inlineStr">
        <is>
          <t>Ventas Personas (B2C)</t>
        </is>
      </c>
      <c r="K7002" t="inlineStr">
        <is>
          <t>CH2</t>
        </is>
      </c>
    </row>
    <row r="7003">
      <c r="A7003" s="33" t="n">
        <v>46148</v>
      </c>
      <c r="B7003" t="inlineStr">
        <is>
          <t>2026-05</t>
        </is>
      </c>
      <c r="C7003" t="inlineStr">
        <is>
          <t>Sin cliente</t>
        </is>
      </c>
      <c r="D7003" t="inlineStr">
        <is>
          <t>CANELÉ</t>
        </is>
      </c>
      <c r="E7003" s="34" t="n">
        <v>6000</v>
      </c>
      <c r="F7003" t="inlineStr">
        <is>
          <t>B</t>
        </is>
      </c>
      <c r="G7003" s="34" t="n">
        <v>958</v>
      </c>
      <c r="H7003" s="34" t="n">
        <v>5042</v>
      </c>
      <c r="I7003" t="inlineStr">
        <is>
          <t>3.2</t>
        </is>
      </c>
      <c r="J7003" t="inlineStr">
        <is>
          <t>Ventas Personas (B2C)</t>
        </is>
      </c>
      <c r="K7003" t="inlineStr">
        <is>
          <t>CH2</t>
        </is>
      </c>
    </row>
    <row r="7004">
      <c r="A7004" s="33" t="n">
        <v>46148</v>
      </c>
      <c r="B7004" t="inlineStr">
        <is>
          <t>2026-05</t>
        </is>
      </c>
      <c r="C7004" t="inlineStr">
        <is>
          <t>Sin cliente</t>
        </is>
      </c>
      <c r="D7004" t="inlineStr">
        <is>
          <t>PLATAFORMAS RAP-PEYA-UBER-GOOD</t>
        </is>
      </c>
      <c r="E7004" s="34" t="n">
        <v>17890</v>
      </c>
      <c r="F7004" t="inlineStr">
        <is>
          <t>B</t>
        </is>
      </c>
      <c r="G7004" s="34" t="n">
        <v>2856</v>
      </c>
      <c r="H7004" s="34" t="n">
        <v>15034</v>
      </c>
      <c r="I7004" t="inlineStr">
        <is>
          <t>3.6</t>
        </is>
      </c>
      <c r="J7004" t="inlineStr">
        <is>
          <t>Ventas Delivery Apps</t>
        </is>
      </c>
      <c r="K7004" t="inlineStr">
        <is>
          <t>CH3</t>
        </is>
      </c>
    </row>
    <row r="7005">
      <c r="A7005" s="33" t="n">
        <v>46148</v>
      </c>
      <c r="B7005" t="inlineStr">
        <is>
          <t>2026-05</t>
        </is>
      </c>
      <c r="C7005" t="inlineStr">
        <is>
          <t>Maria Jose Grez</t>
        </is>
      </c>
      <c r="D7005" t="inlineStr">
        <is>
          <t>CANELÉ</t>
        </is>
      </c>
      <c r="E7005" s="34" t="n">
        <v>-18000</v>
      </c>
      <c r="F7005" t="inlineStr">
        <is>
          <t>NC</t>
        </is>
      </c>
      <c r="G7005" s="34" t="n">
        <v>-2874</v>
      </c>
      <c r="H7005" s="34" t="n">
        <v>-15126</v>
      </c>
      <c r="I7005" t="inlineStr">
        <is>
          <t>3.2</t>
        </is>
      </c>
      <c r="J7005" t="inlineStr">
        <is>
          <t>Ventas Personas (B2C)</t>
        </is>
      </c>
      <c r="K7005" t="inlineStr">
        <is>
          <t>CH2</t>
        </is>
      </c>
    </row>
    <row r="7006">
      <c r="A7006" s="33" t="n">
        <v>46148</v>
      </c>
      <c r="B7006" t="inlineStr">
        <is>
          <t>2026-05</t>
        </is>
      </c>
      <c r="C7006" t="inlineStr">
        <is>
          <t>Sin cliente</t>
        </is>
      </c>
      <c r="D7006" t="inlineStr">
        <is>
          <t>PLATAFORMAS RAP-PEYA-UBER-GOOD</t>
        </is>
      </c>
      <c r="E7006" s="34" t="n">
        <v>41170</v>
      </c>
      <c r="F7006" t="inlineStr">
        <is>
          <t>B</t>
        </is>
      </c>
      <c r="G7006" s="34" t="n">
        <v>6573</v>
      </c>
      <c r="H7006" s="34" t="n">
        <v>34597</v>
      </c>
      <c r="I7006" t="inlineStr">
        <is>
          <t>3.6</t>
        </is>
      </c>
      <c r="J7006" t="inlineStr">
        <is>
          <t>Ventas Delivery Apps</t>
        </is>
      </c>
      <c r="K7006" t="inlineStr">
        <is>
          <t>CH3</t>
        </is>
      </c>
    </row>
    <row r="7007">
      <c r="A7007" s="33" t="n">
        <v>46148</v>
      </c>
      <c r="B7007" t="inlineStr">
        <is>
          <t>2026-05</t>
        </is>
      </c>
      <c r="C7007" t="inlineStr">
        <is>
          <t>Sin cliente</t>
        </is>
      </c>
      <c r="D7007" t="inlineStr">
        <is>
          <t>PLATAFORMAS RAP-PEYA-UBER-GOOD</t>
        </is>
      </c>
      <c r="E7007" s="34" t="n">
        <v>28370</v>
      </c>
      <c r="F7007" t="inlineStr">
        <is>
          <t>B</t>
        </is>
      </c>
      <c r="G7007" s="34" t="n">
        <v>4530</v>
      </c>
      <c r="H7007" s="34" t="n">
        <v>23840</v>
      </c>
      <c r="I7007" t="inlineStr">
        <is>
          <t>3.6</t>
        </is>
      </c>
      <c r="J7007" t="inlineStr">
        <is>
          <t>Ventas Delivery Apps</t>
        </is>
      </c>
      <c r="K7007" t="inlineStr">
        <is>
          <t>CH3</t>
        </is>
      </c>
    </row>
    <row r="7008">
      <c r="A7008" s="33" t="n">
        <v>46148</v>
      </c>
      <c r="B7008" t="inlineStr">
        <is>
          <t>2026-05</t>
        </is>
      </c>
      <c r="C7008" t="inlineStr">
        <is>
          <t>Sin cliente</t>
        </is>
      </c>
      <c r="D7008" t="inlineStr">
        <is>
          <t>PLATAFORMAS RAP-PEYA-UBER-GOOD</t>
        </is>
      </c>
      <c r="E7008" s="34" t="n">
        <v>41170</v>
      </c>
      <c r="F7008" t="inlineStr">
        <is>
          <t>B</t>
        </is>
      </c>
      <c r="G7008" s="34" t="n">
        <v>6573</v>
      </c>
      <c r="H7008" s="34" t="n">
        <v>34597</v>
      </c>
      <c r="I7008" t="inlineStr">
        <is>
          <t>3.6</t>
        </is>
      </c>
      <c r="J7008" t="inlineStr">
        <is>
          <t>Ventas Delivery Apps</t>
        </is>
      </c>
      <c r="K7008" t="inlineStr">
        <is>
          <t>CH3</t>
        </is>
      </c>
    </row>
    <row r="7009">
      <c r="A7009" s="33" t="n">
        <v>46148</v>
      </c>
      <c r="B7009" t="inlineStr">
        <is>
          <t>2026-05</t>
        </is>
      </c>
      <c r="C7009" t="inlineStr">
        <is>
          <t>Sin cliente</t>
        </is>
      </c>
      <c r="D7009" t="inlineStr">
        <is>
          <t>Rellenos</t>
        </is>
      </c>
      <c r="E7009" s="34" t="n">
        <v>2975</v>
      </c>
      <c r="F7009" t="inlineStr">
        <is>
          <t>B</t>
        </is>
      </c>
      <c r="G7009" s="34" t="n">
        <v>475</v>
      </c>
      <c r="H7009" s="34" t="n">
        <v>2500</v>
      </c>
      <c r="I7009" t="inlineStr">
        <is>
          <t>3.2</t>
        </is>
      </c>
      <c r="J7009" t="inlineStr">
        <is>
          <t>Ventas Personas (B2C)</t>
        </is>
      </c>
      <c r="K7009" t="inlineStr">
        <is>
          <t>CH2</t>
        </is>
      </c>
    </row>
    <row r="7010">
      <c r="A7010" s="33" t="n">
        <v>46148</v>
      </c>
      <c r="B7010" t="inlineStr">
        <is>
          <t>2026-05</t>
        </is>
      </c>
      <c r="C7010" t="inlineStr">
        <is>
          <t>Sin cliente</t>
        </is>
      </c>
      <c r="D7010" t="inlineStr">
        <is>
          <t>CANELÉ</t>
        </is>
      </c>
      <c r="E7010" s="34" t="n">
        <v>1000</v>
      </c>
      <c r="F7010" t="inlineStr">
        <is>
          <t>B</t>
        </is>
      </c>
      <c r="G7010" s="34" t="n">
        <v>160</v>
      </c>
      <c r="H7010" s="34" t="n">
        <v>840</v>
      </c>
      <c r="I7010" t="inlineStr">
        <is>
          <t>3.2</t>
        </is>
      </c>
      <c r="J7010" t="inlineStr">
        <is>
          <t>Ventas Personas (B2C)</t>
        </is>
      </c>
      <c r="K7010" t="inlineStr">
        <is>
          <t>CH2</t>
        </is>
      </c>
    </row>
    <row r="7011">
      <c r="A7011" s="33" t="n">
        <v>46148</v>
      </c>
      <c r="B7011" t="inlineStr">
        <is>
          <t>2026-05</t>
        </is>
      </c>
      <c r="C7011" t="inlineStr">
        <is>
          <t>Alessia Motto</t>
        </is>
      </c>
      <c r="D7011" t="inlineStr">
        <is>
          <t>Rellenos</t>
        </is>
      </c>
      <c r="E7011" s="34" t="n">
        <v>25900</v>
      </c>
      <c r="F7011" t="inlineStr">
        <is>
          <t>B</t>
        </is>
      </c>
      <c r="G7011" s="34" t="n">
        <v>4135</v>
      </c>
      <c r="H7011" s="34" t="n">
        <v>21765</v>
      </c>
      <c r="I7011" t="inlineStr">
        <is>
          <t>3.2</t>
        </is>
      </c>
      <c r="J7011" t="inlineStr">
        <is>
          <t>Ventas Personas (B2C)</t>
        </is>
      </c>
      <c r="K7011" t="inlineStr">
        <is>
          <t>CH2</t>
        </is>
      </c>
    </row>
    <row r="7012">
      <c r="A7012" s="33" t="n">
        <v>46148</v>
      </c>
      <c r="B7012" t="inlineStr">
        <is>
          <t>2026-05</t>
        </is>
      </c>
      <c r="C7012" t="inlineStr">
        <is>
          <t>Cristobal Correa Ehlers</t>
        </is>
      </c>
      <c r="D7012" t="inlineStr">
        <is>
          <t>CANELÉ TRADICIONAL</t>
        </is>
      </c>
      <c r="E7012" s="34" t="n">
        <v>34890</v>
      </c>
      <c r="F7012" t="inlineStr">
        <is>
          <t>B</t>
        </is>
      </c>
      <c r="G7012" s="34" t="n">
        <v>5571</v>
      </c>
      <c r="H7012" s="34" t="n">
        <v>29319</v>
      </c>
      <c r="I7012" t="inlineStr">
        <is>
          <t>3.2</t>
        </is>
      </c>
      <c r="J7012" t="inlineStr">
        <is>
          <t>Ventas Personas (B2C)</t>
        </is>
      </c>
      <c r="K7012" t="inlineStr">
        <is>
          <t>CH2</t>
        </is>
      </c>
    </row>
    <row r="7013">
      <c r="A7013" s="33" t="n">
        <v>46149</v>
      </c>
      <c r="B7013" t="inlineStr">
        <is>
          <t>2026-05</t>
        </is>
      </c>
      <c r="C7013" t="inlineStr">
        <is>
          <t>Better Food Spa</t>
        </is>
      </c>
      <c r="D7013" t="inlineStr">
        <is>
          <t>HORECA CAFETERIA</t>
        </is>
      </c>
      <c r="E7013" s="34" t="n">
        <v>469112</v>
      </c>
      <c r="F7013" t="inlineStr">
        <is>
          <t>F</t>
        </is>
      </c>
      <c r="G7013" s="34" t="n">
        <v>74900</v>
      </c>
      <c r="H7013" s="34" t="n">
        <v>394212</v>
      </c>
      <c r="I7013" t="inlineStr">
        <is>
          <t>3.1</t>
        </is>
      </c>
      <c r="J7013" t="inlineStr">
        <is>
          <t>Ventas HoReCa</t>
        </is>
      </c>
      <c r="K7013" t="inlineStr">
        <is>
          <t>CH1</t>
        </is>
      </c>
    </row>
    <row r="7014">
      <c r="A7014" s="33" t="n">
        <v>46149</v>
      </c>
      <c r="B7014" t="inlineStr">
        <is>
          <t>2026-05</t>
        </is>
      </c>
      <c r="C7014" t="inlineStr">
        <is>
          <t>Better Food Spa</t>
        </is>
      </c>
      <c r="D7014" t="inlineStr">
        <is>
          <t>REGION METROPOLITANA</t>
        </is>
      </c>
      <c r="E7014" s="34" t="n">
        <v>9401</v>
      </c>
      <c r="F7014" t="inlineStr">
        <is>
          <t>F</t>
        </is>
      </c>
      <c r="G7014" s="34" t="n">
        <v>1501</v>
      </c>
      <c r="H7014" s="34" t="n">
        <v>7900</v>
      </c>
      <c r="I7014" t="inlineStr">
        <is>
          <t>3.1</t>
        </is>
      </c>
      <c r="J7014" t="inlineStr">
        <is>
          <t>Ventas HoReCa</t>
        </is>
      </c>
      <c r="K7014" t="inlineStr">
        <is>
          <t>CH1</t>
        </is>
      </c>
    </row>
    <row r="7015">
      <c r="A7015" s="33" t="n">
        <v>46149</v>
      </c>
      <c r="B7015" t="inlineStr">
        <is>
          <t>2026-05</t>
        </is>
      </c>
      <c r="C7015" t="inlineStr">
        <is>
          <t>Hernán Coronado Sarabia</t>
        </is>
      </c>
      <c r="D7015" t="inlineStr">
        <is>
          <t>Canelé Petit Relleno</t>
        </is>
      </c>
      <c r="E7015" s="34" t="n">
        <v>60290</v>
      </c>
      <c r="F7015" t="inlineStr">
        <is>
          <t>B</t>
        </is>
      </c>
      <c r="G7015" s="34" t="n">
        <v>9626</v>
      </c>
      <c r="H7015" s="34" t="n">
        <v>50664</v>
      </c>
      <c r="I7015" t="inlineStr">
        <is>
          <t>3.2</t>
        </is>
      </c>
      <c r="J7015" t="inlineStr">
        <is>
          <t>Ventas Personas (B2C)</t>
        </is>
      </c>
      <c r="K7015" t="inlineStr">
        <is>
          <t>CH2</t>
        </is>
      </c>
    </row>
    <row r="7016">
      <c r="A7016" s="33" t="n">
        <v>46149</v>
      </c>
      <c r="B7016" t="inlineStr">
        <is>
          <t>2026-05</t>
        </is>
      </c>
      <c r="C7016" t="inlineStr">
        <is>
          <t>Benjamín García Vial</t>
        </is>
      </c>
      <c r="D7016" t="inlineStr">
        <is>
          <t>Canelé Petit Relleno</t>
        </is>
      </c>
      <c r="E7016" s="34" t="n">
        <v>22390</v>
      </c>
      <c r="F7016" t="inlineStr">
        <is>
          <t>B</t>
        </is>
      </c>
      <c r="G7016" s="34" t="n">
        <v>3575</v>
      </c>
      <c r="H7016" s="34" t="n">
        <v>18815</v>
      </c>
      <c r="I7016" t="inlineStr">
        <is>
          <t>3.2</t>
        </is>
      </c>
      <c r="J7016" t="inlineStr">
        <is>
          <t>Ventas Personas (B2C)</t>
        </is>
      </c>
      <c r="K7016" t="inlineStr">
        <is>
          <t>CH2</t>
        </is>
      </c>
    </row>
    <row r="7017">
      <c r="A7017" s="33" t="n">
        <v>46149</v>
      </c>
      <c r="B7017" t="inlineStr">
        <is>
          <t>2026-05</t>
        </is>
      </c>
      <c r="C7017" t="inlineStr">
        <is>
          <t>Paulina Andrea Romero Cabrera</t>
        </is>
      </c>
      <c r="D7017" t="inlineStr">
        <is>
          <t>Canelé Petit Relleno</t>
        </is>
      </c>
      <c r="E7017" s="34" t="n">
        <v>23900</v>
      </c>
      <c r="F7017" t="inlineStr">
        <is>
          <t>B</t>
        </is>
      </c>
      <c r="G7017" s="34" t="n">
        <v>3816</v>
      </c>
      <c r="H7017" s="34" t="n">
        <v>20084</v>
      </c>
      <c r="I7017" t="inlineStr">
        <is>
          <t>3.2</t>
        </is>
      </c>
      <c r="J7017" t="inlineStr">
        <is>
          <t>Ventas Personas (B2C)</t>
        </is>
      </c>
      <c r="K7017" t="inlineStr">
        <is>
          <t>CH2</t>
        </is>
      </c>
    </row>
    <row r="7018">
      <c r="A7018" s="33" t="n">
        <v>46149</v>
      </c>
      <c r="B7018" t="inlineStr">
        <is>
          <t>2026-05</t>
        </is>
      </c>
      <c r="C7018" t="inlineStr">
        <is>
          <t>Javiera Valenzuela</t>
        </is>
      </c>
      <c r="D7018" t="inlineStr">
        <is>
          <t>CANELÉ TRADICIONAL</t>
        </is>
      </c>
      <c r="E7018" s="34" t="n">
        <v>47690</v>
      </c>
      <c r="F7018" t="inlineStr">
        <is>
          <t>B</t>
        </is>
      </c>
      <c r="G7018" s="34" t="n">
        <v>7614</v>
      </c>
      <c r="H7018" s="34" t="n">
        <v>40076</v>
      </c>
      <c r="I7018" t="inlineStr">
        <is>
          <t>3.2</t>
        </is>
      </c>
      <c r="J7018" t="inlineStr">
        <is>
          <t>Ventas Personas (B2C)</t>
        </is>
      </c>
      <c r="K7018" t="inlineStr">
        <is>
          <t>CH2</t>
        </is>
      </c>
    </row>
    <row r="7019">
      <c r="A7019" s="33" t="n">
        <v>46149</v>
      </c>
      <c r="B7019" t="inlineStr">
        <is>
          <t>2026-05</t>
        </is>
      </c>
      <c r="C7019" t="inlineStr">
        <is>
          <t>Sin cliente</t>
        </is>
      </c>
      <c r="D7019" t="inlineStr">
        <is>
          <t>PLATAFORMAS RAP-PEYA-UBER-GOOD</t>
        </is>
      </c>
      <c r="E7019" s="34" t="n">
        <v>42750</v>
      </c>
      <c r="F7019" t="inlineStr">
        <is>
          <t>B</t>
        </is>
      </c>
      <c r="G7019" s="34" t="n">
        <v>6826</v>
      </c>
      <c r="H7019" s="34" t="n">
        <v>35924</v>
      </c>
      <c r="I7019" t="inlineStr">
        <is>
          <t>3.6</t>
        </is>
      </c>
      <c r="J7019" t="inlineStr">
        <is>
          <t>Ventas Delivery Apps</t>
        </is>
      </c>
      <c r="K7019" t="inlineStr">
        <is>
          <t>CH3</t>
        </is>
      </c>
    </row>
    <row r="7020">
      <c r="A7020" s="33" t="n">
        <v>46149</v>
      </c>
      <c r="B7020" t="inlineStr">
        <is>
          <t>2026-05</t>
        </is>
      </c>
      <c r="C7020" t="inlineStr">
        <is>
          <t>Sin cliente</t>
        </is>
      </c>
      <c r="D7020" t="inlineStr">
        <is>
          <t>PLATAFORMAS RAP-PEYA-UBER-GOOD</t>
        </is>
      </c>
      <c r="E7020" s="34" t="n">
        <v>33120</v>
      </c>
      <c r="F7020" t="inlineStr">
        <is>
          <t>B</t>
        </is>
      </c>
      <c r="G7020" s="34" t="n">
        <v>5288</v>
      </c>
      <c r="H7020" s="34" t="n">
        <v>27832</v>
      </c>
      <c r="I7020" t="inlineStr">
        <is>
          <t>3.6</t>
        </is>
      </c>
      <c r="J7020" t="inlineStr">
        <is>
          <t>Ventas Delivery Apps</t>
        </is>
      </c>
      <c r="K7020" t="inlineStr">
        <is>
          <t>CH3</t>
        </is>
      </c>
    </row>
    <row r="7021">
      <c r="A7021" s="33" t="n">
        <v>46149</v>
      </c>
      <c r="B7021" t="inlineStr">
        <is>
          <t>2026-05</t>
        </is>
      </c>
      <c r="C7021" t="inlineStr">
        <is>
          <t>Sin cliente</t>
        </is>
      </c>
      <c r="D7021" t="inlineStr">
        <is>
          <t>PLATAFORMAS RAP-PEYA-UBER-GOOD</t>
        </is>
      </c>
      <c r="E7021" s="34" t="n">
        <v>22690</v>
      </c>
      <c r="F7021" t="inlineStr">
        <is>
          <t>B</t>
        </is>
      </c>
      <c r="G7021" s="34" t="n">
        <v>3623</v>
      </c>
      <c r="H7021" s="34" t="n">
        <v>19067</v>
      </c>
      <c r="I7021" t="inlineStr">
        <is>
          <t>3.6</t>
        </is>
      </c>
      <c r="J7021" t="inlineStr">
        <is>
          <t>Ventas Delivery Apps</t>
        </is>
      </c>
      <c r="K7021" t="inlineStr">
        <is>
          <t>CH3</t>
        </is>
      </c>
    </row>
    <row r="7022">
      <c r="A7022" s="33" t="n">
        <v>46149</v>
      </c>
      <c r="B7022" t="inlineStr">
        <is>
          <t>2026-05</t>
        </is>
      </c>
      <c r="C7022" t="inlineStr">
        <is>
          <t>Sin cliente</t>
        </is>
      </c>
      <c r="D7022" t="inlineStr">
        <is>
          <t>CANELE SIN AZUCAR</t>
        </is>
      </c>
      <c r="E7022" s="34" t="n">
        <v>31300</v>
      </c>
      <c r="F7022" t="inlineStr">
        <is>
          <t>B</t>
        </is>
      </c>
      <c r="G7022" s="34" t="n">
        <v>4997</v>
      </c>
      <c r="H7022" s="34" t="n">
        <v>26303</v>
      </c>
      <c r="I7022" t="inlineStr">
        <is>
          <t>3.2</t>
        </is>
      </c>
      <c r="J7022" t="inlineStr">
        <is>
          <t>Ventas Personas (B2C)</t>
        </is>
      </c>
      <c r="K7022" t="inlineStr">
        <is>
          <t>CH2</t>
        </is>
      </c>
    </row>
    <row r="7023">
      <c r="A7023" s="33" t="n">
        <v>46149</v>
      </c>
      <c r="B7023" t="inlineStr">
        <is>
          <t>2026-05</t>
        </is>
      </c>
      <c r="C7023" t="inlineStr">
        <is>
          <t>claudia jimenez</t>
        </is>
      </c>
      <c r="D7023" t="inlineStr">
        <is>
          <t>Canelé Petit Relleno</t>
        </is>
      </c>
      <c r="E7023" s="34" t="n">
        <v>23890</v>
      </c>
      <c r="F7023" t="inlineStr">
        <is>
          <t>B</t>
        </is>
      </c>
      <c r="G7023" s="34" t="n">
        <v>3814</v>
      </c>
      <c r="H7023" s="34" t="n">
        <v>20076</v>
      </c>
      <c r="I7023" t="inlineStr">
        <is>
          <t>3.2</t>
        </is>
      </c>
      <c r="J7023" t="inlineStr">
        <is>
          <t>Ventas Personas (B2C)</t>
        </is>
      </c>
      <c r="K7023" t="inlineStr">
        <is>
          <t>CH2</t>
        </is>
      </c>
    </row>
    <row r="7024">
      <c r="A7024" s="33" t="n">
        <v>46149</v>
      </c>
      <c r="B7024" t="inlineStr">
        <is>
          <t>2026-05</t>
        </is>
      </c>
      <c r="C7024" t="inlineStr">
        <is>
          <t>Sin cliente</t>
        </is>
      </c>
      <c r="D7024" t="inlineStr">
        <is>
          <t>Canelé Petit Relleno</t>
        </is>
      </c>
      <c r="E7024" s="34" t="n">
        <v>13900</v>
      </c>
      <c r="F7024" t="inlineStr">
        <is>
          <t>B</t>
        </is>
      </c>
      <c r="G7024" s="34" t="n">
        <v>2219</v>
      </c>
      <c r="H7024" s="34" t="n">
        <v>11681</v>
      </c>
      <c r="I7024" t="inlineStr">
        <is>
          <t>3.2</t>
        </is>
      </c>
      <c r="J7024" t="inlineStr">
        <is>
          <t>Ventas Personas (B2C)</t>
        </is>
      </c>
      <c r="K7024" t="inlineStr">
        <is>
          <t>CH2</t>
        </is>
      </c>
    </row>
    <row r="7025">
      <c r="A7025" s="33" t="n">
        <v>46149</v>
      </c>
      <c r="B7025" t="inlineStr">
        <is>
          <t>2026-05</t>
        </is>
      </c>
      <c r="C7025" t="inlineStr">
        <is>
          <t>Constanza Alcaino Franco</t>
        </is>
      </c>
      <c r="D7025" t="inlineStr">
        <is>
          <t>Petit Tradicional</t>
        </is>
      </c>
      <c r="E7025" s="34" t="n">
        <v>43600</v>
      </c>
      <c r="F7025" t="inlineStr">
        <is>
          <t>B</t>
        </is>
      </c>
      <c r="G7025" s="34" t="n">
        <v>6961</v>
      </c>
      <c r="H7025" s="34" t="n">
        <v>36639</v>
      </c>
      <c r="I7025" t="inlineStr">
        <is>
          <t>3.2</t>
        </is>
      </c>
      <c r="J7025" t="inlineStr">
        <is>
          <t>Ventas Personas (B2C)</t>
        </is>
      </c>
      <c r="K7025" t="inlineStr">
        <is>
          <t>CH2</t>
        </is>
      </c>
    </row>
    <row r="7026">
      <c r="A7026" s="33" t="n">
        <v>46149</v>
      </c>
      <c r="B7026" t="inlineStr">
        <is>
          <t>2026-05</t>
        </is>
      </c>
      <c r="C7026" t="inlineStr">
        <is>
          <t>Sin cliente</t>
        </is>
      </c>
      <c r="D7026" t="inlineStr">
        <is>
          <t>Cafeteria Geronimo</t>
        </is>
      </c>
      <c r="E7026" s="34" t="n">
        <v>33290</v>
      </c>
      <c r="F7026" t="inlineStr">
        <is>
          <t>B</t>
        </is>
      </c>
      <c r="G7026" s="34" t="n">
        <v>5315</v>
      </c>
      <c r="H7026" s="34" t="n">
        <v>27975</v>
      </c>
      <c r="I7026" t="inlineStr">
        <is>
          <t>3.2</t>
        </is>
      </c>
      <c r="J7026" t="inlineStr">
        <is>
          <t>Ventas Personas (B2C)</t>
        </is>
      </c>
      <c r="K7026" t="inlineStr">
        <is>
          <t>CH2</t>
        </is>
      </c>
    </row>
    <row r="7027">
      <c r="A7027" s="33" t="n">
        <v>46149</v>
      </c>
      <c r="B7027" t="inlineStr">
        <is>
          <t>2026-05</t>
        </is>
      </c>
      <c r="C7027" t="inlineStr">
        <is>
          <t>Cristobal Barriga</t>
        </is>
      </c>
      <c r="D7027" t="inlineStr">
        <is>
          <t>CANELÉ TRADICIONAL</t>
        </is>
      </c>
      <c r="E7027" s="34" t="n">
        <v>28890</v>
      </c>
      <c r="F7027" t="inlineStr">
        <is>
          <t>B</t>
        </is>
      </c>
      <c r="G7027" s="34" t="n">
        <v>4613</v>
      </c>
      <c r="H7027" s="34" t="n">
        <v>24277</v>
      </c>
      <c r="I7027" t="inlineStr">
        <is>
          <t>3.2</t>
        </is>
      </c>
      <c r="J7027" t="inlineStr">
        <is>
          <t>Ventas Personas (B2C)</t>
        </is>
      </c>
      <c r="K7027" t="inlineStr">
        <is>
          <t>CH2</t>
        </is>
      </c>
    </row>
    <row r="7028">
      <c r="A7028" s="33" t="n">
        <v>46149</v>
      </c>
      <c r="B7028" t="inlineStr">
        <is>
          <t>2026-05</t>
        </is>
      </c>
      <c r="C7028" t="inlineStr">
        <is>
          <t>Antonia Brouwers Warnken</t>
        </is>
      </c>
      <c r="D7028" t="inlineStr">
        <is>
          <t>CANELÉ TRADICIONAL</t>
        </is>
      </c>
      <c r="E7028" s="34" t="n">
        <v>23390</v>
      </c>
      <c r="F7028" t="inlineStr">
        <is>
          <t>B</t>
        </is>
      </c>
      <c r="G7028" s="34" t="n">
        <v>3735</v>
      </c>
      <c r="H7028" s="34" t="n">
        <v>19655</v>
      </c>
      <c r="I7028" t="inlineStr">
        <is>
          <t>3.2</t>
        </is>
      </c>
      <c r="J7028" t="inlineStr">
        <is>
          <t>Ventas Personas (B2C)</t>
        </is>
      </c>
      <c r="K7028" t="inlineStr">
        <is>
          <t>CH2</t>
        </is>
      </c>
    </row>
    <row r="7029">
      <c r="A7029" s="33" t="n">
        <v>46149</v>
      </c>
      <c r="B7029" t="inlineStr">
        <is>
          <t>2026-05</t>
        </is>
      </c>
      <c r="C7029" t="inlineStr">
        <is>
          <t>sergio gutierrez</t>
        </is>
      </c>
      <c r="D7029" t="inlineStr">
        <is>
          <t>PACKAGING</t>
        </is>
      </c>
      <c r="E7029" s="34" t="n">
        <v>52650</v>
      </c>
      <c r="F7029" t="inlineStr">
        <is>
          <t>B</t>
        </is>
      </c>
      <c r="G7029" s="34" t="n">
        <v>8406</v>
      </c>
      <c r="H7029" s="34" t="n">
        <v>44244</v>
      </c>
      <c r="I7029" t="inlineStr">
        <is>
          <t>3.2</t>
        </is>
      </c>
      <c r="J7029" t="inlineStr">
        <is>
          <t>Ventas Personas (B2C)</t>
        </is>
      </c>
      <c r="K7029" t="inlineStr">
        <is>
          <t>CH2</t>
        </is>
      </c>
    </row>
    <row r="7030">
      <c r="A7030" s="33" t="n">
        <v>46149</v>
      </c>
      <c r="B7030" t="inlineStr">
        <is>
          <t>2026-05</t>
        </is>
      </c>
      <c r="C7030" t="inlineStr">
        <is>
          <t>Sofia Castillo López</t>
        </is>
      </c>
      <c r="D7030" t="inlineStr">
        <is>
          <t>CANELÉ TRADICIONAL</t>
        </is>
      </c>
      <c r="E7030" s="34" t="n">
        <v>37690</v>
      </c>
      <c r="F7030" t="inlineStr">
        <is>
          <t>B</t>
        </is>
      </c>
      <c r="G7030" s="34" t="n">
        <v>6018</v>
      </c>
      <c r="H7030" s="34" t="n">
        <v>31672</v>
      </c>
      <c r="I7030" t="inlineStr">
        <is>
          <t>3.2</t>
        </is>
      </c>
      <c r="J7030" t="inlineStr">
        <is>
          <t>Ventas Personas (B2C)</t>
        </is>
      </c>
      <c r="K7030" t="inlineStr">
        <is>
          <t>CH2</t>
        </is>
      </c>
    </row>
    <row r="7031">
      <c r="A7031" s="33" t="n">
        <v>46149</v>
      </c>
      <c r="B7031" t="inlineStr">
        <is>
          <t>2026-05</t>
        </is>
      </c>
      <c r="C7031" t="inlineStr">
        <is>
          <t>Sin cliente</t>
        </is>
      </c>
      <c r="D7031" t="inlineStr">
        <is>
          <t>CANELÉ TRADICIONAL</t>
        </is>
      </c>
      <c r="E7031" s="34" t="n">
        <v>5000</v>
      </c>
      <c r="F7031" t="inlineStr">
        <is>
          <t>B</t>
        </is>
      </c>
      <c r="G7031" s="34" t="n">
        <v>798</v>
      </c>
      <c r="H7031" s="34" t="n">
        <v>4202</v>
      </c>
      <c r="I7031" t="inlineStr">
        <is>
          <t>3.2</t>
        </is>
      </c>
      <c r="J7031" t="inlineStr">
        <is>
          <t>Ventas Personas (B2C)</t>
        </is>
      </c>
      <c r="K7031" t="inlineStr">
        <is>
          <t>CH2</t>
        </is>
      </c>
    </row>
    <row r="7032">
      <c r="A7032" s="33" t="n">
        <v>46149</v>
      </c>
      <c r="B7032" t="inlineStr">
        <is>
          <t>2026-05</t>
        </is>
      </c>
      <c r="C7032" t="inlineStr">
        <is>
          <t>María Luz Farah González</t>
        </is>
      </c>
      <c r="D7032" t="inlineStr">
        <is>
          <t>Rellenos</t>
        </is>
      </c>
      <c r="E7032" s="34" t="n">
        <v>43790</v>
      </c>
      <c r="F7032" t="inlineStr">
        <is>
          <t>B</t>
        </is>
      </c>
      <c r="G7032" s="34" t="n">
        <v>6992</v>
      </c>
      <c r="H7032" s="34" t="n">
        <v>36798</v>
      </c>
      <c r="I7032" t="inlineStr">
        <is>
          <t>3.2</t>
        </is>
      </c>
      <c r="J7032" t="inlineStr">
        <is>
          <t>Ventas Personas (B2C)</t>
        </is>
      </c>
      <c r="K7032" t="inlineStr">
        <is>
          <t>CH2</t>
        </is>
      </c>
    </row>
    <row r="7033">
      <c r="A7033" s="33" t="n">
        <v>46149</v>
      </c>
      <c r="B7033" t="inlineStr">
        <is>
          <t>2026-05</t>
        </is>
      </c>
      <c r="C7033" t="inlineStr">
        <is>
          <t>Sin cliente</t>
        </is>
      </c>
      <c r="D7033" t="inlineStr">
        <is>
          <t>Cafeteria Geronimo</t>
        </is>
      </c>
      <c r="E7033" s="34" t="n">
        <v>10400</v>
      </c>
      <c r="F7033" t="inlineStr">
        <is>
          <t>B</t>
        </is>
      </c>
      <c r="G7033" s="34" t="n">
        <v>1661</v>
      </c>
      <c r="H7033" s="34" t="n">
        <v>8739</v>
      </c>
      <c r="I7033" t="inlineStr">
        <is>
          <t>3.2</t>
        </is>
      </c>
      <c r="J7033" t="inlineStr">
        <is>
          <t>Ventas Personas (B2C)</t>
        </is>
      </c>
      <c r="K7033" t="inlineStr">
        <is>
          <t>CH2</t>
        </is>
      </c>
    </row>
    <row r="7034">
      <c r="A7034" s="33" t="n">
        <v>46149</v>
      </c>
      <c r="B7034" t="inlineStr">
        <is>
          <t>2026-05</t>
        </is>
      </c>
      <c r="C7034" t="inlineStr">
        <is>
          <t>Sin cliente</t>
        </is>
      </c>
      <c r="D7034" t="inlineStr">
        <is>
          <t>Rellenos</t>
        </is>
      </c>
      <c r="E7034" s="34" t="n">
        <v>22900</v>
      </c>
      <c r="F7034" t="inlineStr">
        <is>
          <t>B</t>
        </is>
      </c>
      <c r="G7034" s="34" t="n">
        <v>3656</v>
      </c>
      <c r="H7034" s="34" t="n">
        <v>19244</v>
      </c>
      <c r="I7034" t="inlineStr">
        <is>
          <t>3.2</t>
        </is>
      </c>
      <c r="J7034" t="inlineStr">
        <is>
          <t>Ventas Personas (B2C)</t>
        </is>
      </c>
      <c r="K7034" t="inlineStr">
        <is>
          <t>CH2</t>
        </is>
      </c>
    </row>
    <row r="7035">
      <c r="A7035" s="33" t="n">
        <v>46149</v>
      </c>
      <c r="B7035" t="inlineStr">
        <is>
          <t>2026-05</t>
        </is>
      </c>
      <c r="C7035" t="inlineStr">
        <is>
          <t>Maria Eugenia Rojas</t>
        </is>
      </c>
      <c r="D7035" t="inlineStr">
        <is>
          <t>CANELÉ TRADICIONAL</t>
        </is>
      </c>
      <c r="E7035" s="34" t="n">
        <v>31390</v>
      </c>
      <c r="F7035" t="inlineStr">
        <is>
          <t>B</t>
        </is>
      </c>
      <c r="G7035" s="34" t="n">
        <v>5012</v>
      </c>
      <c r="H7035" s="34" t="n">
        <v>26378</v>
      </c>
      <c r="I7035" t="inlineStr">
        <is>
          <t>3.2</t>
        </is>
      </c>
      <c r="J7035" t="inlineStr">
        <is>
          <t>Ventas Personas (B2C)</t>
        </is>
      </c>
      <c r="K7035" t="inlineStr">
        <is>
          <t>CH2</t>
        </is>
      </c>
    </row>
    <row r="7036">
      <c r="A7036" s="33" t="n">
        <v>46149</v>
      </c>
      <c r="B7036" t="inlineStr">
        <is>
          <t>2026-05</t>
        </is>
      </c>
      <c r="C7036" t="inlineStr">
        <is>
          <t>Sin cliente</t>
        </is>
      </c>
      <c r="D7036" t="inlineStr">
        <is>
          <t>Cafeteria Geronimo</t>
        </is>
      </c>
      <c r="E7036" s="34" t="n">
        <v>3000</v>
      </c>
      <c r="F7036" t="inlineStr">
        <is>
          <t>B</t>
        </is>
      </c>
      <c r="G7036" s="34" t="n">
        <v>479</v>
      </c>
      <c r="H7036" s="34" t="n">
        <v>2521</v>
      </c>
      <c r="I7036" t="inlineStr">
        <is>
          <t>3.2</t>
        </is>
      </c>
      <c r="J7036" t="inlineStr">
        <is>
          <t>Ventas Personas (B2C)</t>
        </is>
      </c>
      <c r="K7036" t="inlineStr">
        <is>
          <t>CH2</t>
        </is>
      </c>
    </row>
    <row r="7037">
      <c r="A7037" s="33" t="n">
        <v>46149</v>
      </c>
      <c r="B7037" t="inlineStr">
        <is>
          <t>2026-05</t>
        </is>
      </c>
      <c r="C7037" t="inlineStr">
        <is>
          <t>Sin cliente</t>
        </is>
      </c>
      <c r="D7037" t="inlineStr">
        <is>
          <t>CANELÉ TRADICIONAL</t>
        </is>
      </c>
      <c r="E7037" s="34" t="n">
        <v>5500</v>
      </c>
      <c r="F7037" t="inlineStr">
        <is>
          <t>B</t>
        </is>
      </c>
      <c r="G7037" s="34" t="n">
        <v>878</v>
      </c>
      <c r="H7037" s="34" t="n">
        <v>4622</v>
      </c>
      <c r="I7037" t="inlineStr">
        <is>
          <t>3.2</t>
        </is>
      </c>
      <c r="J7037" t="inlineStr">
        <is>
          <t>Ventas Personas (B2C)</t>
        </is>
      </c>
      <c r="K7037" t="inlineStr">
        <is>
          <t>CH2</t>
        </is>
      </c>
    </row>
    <row r="7038">
      <c r="A7038" s="33" t="n">
        <v>46149</v>
      </c>
      <c r="B7038" t="inlineStr">
        <is>
          <t>2026-05</t>
        </is>
      </c>
      <c r="C7038" t="inlineStr">
        <is>
          <t>Sin cliente</t>
        </is>
      </c>
      <c r="D7038" t="inlineStr">
        <is>
          <t>Petit Tradicional</t>
        </is>
      </c>
      <c r="E7038" s="34" t="n">
        <v>9800</v>
      </c>
      <c r="F7038" t="inlineStr">
        <is>
          <t>B</t>
        </is>
      </c>
      <c r="G7038" s="34" t="n">
        <v>1565</v>
      </c>
      <c r="H7038" s="34" t="n">
        <v>8235</v>
      </c>
      <c r="I7038" t="inlineStr">
        <is>
          <t>3.2</t>
        </is>
      </c>
      <c r="J7038" t="inlineStr">
        <is>
          <t>Ventas Personas (B2C)</t>
        </is>
      </c>
      <c r="K7038" t="inlineStr">
        <is>
          <t>CH2</t>
        </is>
      </c>
    </row>
    <row r="7039">
      <c r="A7039" s="33" t="n">
        <v>46149</v>
      </c>
      <c r="B7039" t="inlineStr">
        <is>
          <t>2026-05</t>
        </is>
      </c>
      <c r="C7039" t="inlineStr">
        <is>
          <t>Sin cliente</t>
        </is>
      </c>
      <c r="D7039" t="inlineStr">
        <is>
          <t>PLATAFORMAS RAP-PEYA-UBER-GOOD</t>
        </is>
      </c>
      <c r="E7039" s="34" t="n">
        <v>22690</v>
      </c>
      <c r="F7039" t="inlineStr">
        <is>
          <t>B</t>
        </is>
      </c>
      <c r="G7039" s="34" t="n">
        <v>3623</v>
      </c>
      <c r="H7039" s="34" t="n">
        <v>19067</v>
      </c>
      <c r="I7039" t="inlineStr">
        <is>
          <t>3.6</t>
        </is>
      </c>
      <c r="J7039" t="inlineStr">
        <is>
          <t>Ventas Delivery Apps</t>
        </is>
      </c>
      <c r="K7039" t="inlineStr">
        <is>
          <t>CH3</t>
        </is>
      </c>
    </row>
    <row r="7040">
      <c r="A7040" s="33" t="n">
        <v>46149</v>
      </c>
      <c r="B7040" t="inlineStr">
        <is>
          <t>2026-05</t>
        </is>
      </c>
      <c r="C7040" t="inlineStr">
        <is>
          <t>Camila Aravena Ruiz</t>
        </is>
      </c>
      <c r="D7040" t="inlineStr">
        <is>
          <t>Petit Tradicional</t>
        </is>
      </c>
      <c r="E7040" s="34" t="n">
        <v>19790</v>
      </c>
      <c r="F7040" t="inlineStr">
        <is>
          <t>B</t>
        </is>
      </c>
      <c r="G7040" s="34" t="n">
        <v>3160</v>
      </c>
      <c r="H7040" s="34" t="n">
        <v>16630</v>
      </c>
      <c r="I7040" t="inlineStr">
        <is>
          <t>3.2</t>
        </is>
      </c>
      <c r="J7040" t="inlineStr">
        <is>
          <t>Ventas Personas (B2C)</t>
        </is>
      </c>
      <c r="K7040" t="inlineStr">
        <is>
          <t>CH2</t>
        </is>
      </c>
    </row>
    <row r="7041">
      <c r="A7041" s="33" t="n">
        <v>46149</v>
      </c>
      <c r="B7041" t="inlineStr">
        <is>
          <t>2026-05</t>
        </is>
      </c>
      <c r="C7041" t="inlineStr">
        <is>
          <t>MARCELA GARAY PEREZ</t>
        </is>
      </c>
      <c r="D7041" t="inlineStr">
        <is>
          <t>Petit Crunchy</t>
        </is>
      </c>
      <c r="E7041" s="34" t="n">
        <v>14900</v>
      </c>
      <c r="F7041" t="inlineStr">
        <is>
          <t>B</t>
        </is>
      </c>
      <c r="G7041" s="34" t="n">
        <v>2379</v>
      </c>
      <c r="H7041" s="34" t="n">
        <v>12521</v>
      </c>
      <c r="I7041" t="inlineStr">
        <is>
          <t>3.2</t>
        </is>
      </c>
      <c r="J7041" t="inlineStr">
        <is>
          <t>Ventas Personas (B2C)</t>
        </is>
      </c>
      <c r="K7041" t="inlineStr">
        <is>
          <t>CH2</t>
        </is>
      </c>
    </row>
    <row r="7042">
      <c r="A7042" s="33" t="n">
        <v>46149</v>
      </c>
      <c r="B7042" t="inlineStr">
        <is>
          <t>2026-05</t>
        </is>
      </c>
      <c r="C7042" t="inlineStr">
        <is>
          <t>Ingrid Olea Sepulveda</t>
        </is>
      </c>
      <c r="D7042" t="inlineStr">
        <is>
          <t>CANELÉ TRADICIONAL</t>
        </is>
      </c>
      <c r="E7042" s="34" t="n">
        <v>20890</v>
      </c>
      <c r="F7042" t="inlineStr">
        <is>
          <t>B</t>
        </is>
      </c>
      <c r="G7042" s="34" t="n">
        <v>3335</v>
      </c>
      <c r="H7042" s="34" t="n">
        <v>17555</v>
      </c>
      <c r="I7042" t="inlineStr">
        <is>
          <t>3.2</t>
        </is>
      </c>
      <c r="J7042" t="inlineStr">
        <is>
          <t>Ventas Personas (B2C)</t>
        </is>
      </c>
      <c r="K7042" t="inlineStr">
        <is>
          <t>CH2</t>
        </is>
      </c>
    </row>
    <row r="7043">
      <c r="A7043" s="33" t="n">
        <v>46150</v>
      </c>
      <c r="B7043" t="inlineStr">
        <is>
          <t>2026-05</t>
        </is>
      </c>
      <c r="C7043" t="inlineStr">
        <is>
          <t>Good Club CL</t>
        </is>
      </c>
      <c r="D7043" t="inlineStr">
        <is>
          <t>HORECA CAFETERIA</t>
        </is>
      </c>
      <c r="E7043" s="34" t="n">
        <v>156104</v>
      </c>
      <c r="F7043" t="inlineStr">
        <is>
          <t>F</t>
        </is>
      </c>
      <c r="G7043" s="34" t="n">
        <v>24924</v>
      </c>
      <c r="H7043" s="34" t="n">
        <v>131180</v>
      </c>
      <c r="I7043" t="inlineStr">
        <is>
          <t>3.1</t>
        </is>
      </c>
      <c r="J7043" t="inlineStr">
        <is>
          <t>Ventas HoReCa</t>
        </is>
      </c>
      <c r="K7043" t="inlineStr">
        <is>
          <t>CH1</t>
        </is>
      </c>
    </row>
    <row r="7044">
      <c r="A7044" s="33" t="n">
        <v>46150</v>
      </c>
      <c r="B7044" t="inlineStr">
        <is>
          <t>2026-05</t>
        </is>
      </c>
      <c r="C7044" t="inlineStr">
        <is>
          <t>Good Club CL</t>
        </is>
      </c>
      <c r="D7044" t="inlineStr">
        <is>
          <t>HORECA CAFETERIA</t>
        </is>
      </c>
      <c r="E7044" s="34" t="n">
        <v>-78540</v>
      </c>
      <c r="F7044" t="inlineStr">
        <is>
          <t>NC</t>
        </is>
      </c>
      <c r="G7044" s="34" t="n">
        <v>-12540</v>
      </c>
      <c r="H7044" s="34" t="n">
        <v>-66000</v>
      </c>
      <c r="I7044" t="inlineStr">
        <is>
          <t>3.1</t>
        </is>
      </c>
      <c r="J7044" t="inlineStr">
        <is>
          <t>Ventas HoReCa</t>
        </is>
      </c>
      <c r="K7044" t="inlineStr">
        <is>
          <t>CH1</t>
        </is>
      </c>
    </row>
    <row r="7045">
      <c r="A7045" s="33" t="n">
        <v>46150</v>
      </c>
      <c r="B7045" t="inlineStr">
        <is>
          <t>2026-05</t>
        </is>
      </c>
      <c r="C7045" t="inlineStr">
        <is>
          <t>BACOLIO SPA</t>
        </is>
      </c>
      <c r="D7045" t="inlineStr">
        <is>
          <t>HORECA CAFETERIA</t>
        </is>
      </c>
      <c r="E7045" s="34" t="n">
        <v>94117</v>
      </c>
      <c r="F7045" t="inlineStr">
        <is>
          <t>F</t>
        </is>
      </c>
      <c r="G7045" s="34" t="n">
        <v>15027</v>
      </c>
      <c r="H7045" s="34" t="n">
        <v>79090</v>
      </c>
      <c r="I7045" t="inlineStr">
        <is>
          <t>3.1</t>
        </is>
      </c>
      <c r="J7045" t="inlineStr">
        <is>
          <t>Ventas HoReCa</t>
        </is>
      </c>
      <c r="K7045" t="inlineStr">
        <is>
          <t>CH1</t>
        </is>
      </c>
    </row>
    <row r="7046">
      <c r="A7046" s="33" t="n">
        <v>46150</v>
      </c>
      <c r="B7046" t="inlineStr">
        <is>
          <t>2026-05</t>
        </is>
      </c>
      <c r="C7046" t="inlineStr">
        <is>
          <t>CAFE DIARIO ENCOMENDEROS SPA</t>
        </is>
      </c>
      <c r="D7046" t="inlineStr">
        <is>
          <t>HORECA CAFETERIA</t>
        </is>
      </c>
      <c r="E7046" s="34" t="n">
        <v>131971</v>
      </c>
      <c r="F7046" t="inlineStr">
        <is>
          <t>F</t>
        </is>
      </c>
      <c r="G7046" s="34" t="n">
        <v>21071</v>
      </c>
      <c r="H7046" s="34" t="n">
        <v>110900</v>
      </c>
      <c r="I7046" t="inlineStr">
        <is>
          <t>3.1</t>
        </is>
      </c>
      <c r="J7046" t="inlineStr">
        <is>
          <t>Ventas HoReCa</t>
        </is>
      </c>
      <c r="K7046" t="inlineStr">
        <is>
          <t>CH1</t>
        </is>
      </c>
    </row>
    <row r="7047">
      <c r="A7047" s="33" t="n">
        <v>46150</v>
      </c>
      <c r="B7047" t="inlineStr">
        <is>
          <t>2026-05</t>
        </is>
      </c>
      <c r="C7047" t="inlineStr">
        <is>
          <t>Inversiones Nagua SPA</t>
        </is>
      </c>
      <c r="D7047" t="inlineStr">
        <is>
          <t>HORECA CAFETERIA</t>
        </is>
      </c>
      <c r="E7047" s="34" t="n">
        <v>159674</v>
      </c>
      <c r="F7047" t="inlineStr">
        <is>
          <t>F</t>
        </is>
      </c>
      <c r="G7047" s="34" t="n">
        <v>25494</v>
      </c>
      <c r="H7047" s="34" t="n">
        <v>134180</v>
      </c>
      <c r="I7047" t="inlineStr">
        <is>
          <t>3.1</t>
        </is>
      </c>
      <c r="J7047" t="inlineStr">
        <is>
          <t>Ventas HoReCa</t>
        </is>
      </c>
      <c r="K7047" t="inlineStr">
        <is>
          <t>CH1</t>
        </is>
      </c>
    </row>
    <row r="7048">
      <c r="A7048" s="33" t="n">
        <v>46150</v>
      </c>
      <c r="B7048" t="inlineStr">
        <is>
          <t>2026-05</t>
        </is>
      </c>
      <c r="C7048" t="inlineStr">
        <is>
          <t>ALIMENTOS NILO SPA</t>
        </is>
      </c>
      <c r="D7048" t="inlineStr">
        <is>
          <t>HORECA CAFETERIA</t>
        </is>
      </c>
      <c r="E7048" s="34" t="n">
        <v>77564</v>
      </c>
      <c r="F7048" t="inlineStr">
        <is>
          <t>F</t>
        </is>
      </c>
      <c r="G7048" s="34" t="n">
        <v>12384</v>
      </c>
      <c r="H7048" s="34" t="n">
        <v>65180</v>
      </c>
      <c r="I7048" t="inlineStr">
        <is>
          <t>3.1</t>
        </is>
      </c>
      <c r="J7048" t="inlineStr">
        <is>
          <t>Ventas HoReCa</t>
        </is>
      </c>
      <c r="K7048" t="inlineStr">
        <is>
          <t>CH1</t>
        </is>
      </c>
    </row>
    <row r="7049">
      <c r="A7049" s="33" t="n">
        <v>46150</v>
      </c>
      <c r="B7049" t="inlineStr">
        <is>
          <t>2026-05</t>
        </is>
      </c>
      <c r="C7049" t="inlineStr">
        <is>
          <t>Sociedad gastronómica L&amp;A Limitada</t>
        </is>
      </c>
      <c r="D7049" t="inlineStr">
        <is>
          <t>HORECA CAFETERIA</t>
        </is>
      </c>
      <c r="E7049" s="34" t="n">
        <v>77564</v>
      </c>
      <c r="F7049" t="inlineStr">
        <is>
          <t>F</t>
        </is>
      </c>
      <c r="G7049" s="34" t="n">
        <v>12384</v>
      </c>
      <c r="H7049" s="34" t="n">
        <v>65180</v>
      </c>
      <c r="I7049" t="inlineStr">
        <is>
          <t>3.1</t>
        </is>
      </c>
      <c r="J7049" t="inlineStr">
        <is>
          <t>Ventas HoReCa</t>
        </is>
      </c>
      <c r="K7049" t="inlineStr">
        <is>
          <t>CH1</t>
        </is>
      </c>
    </row>
    <row r="7050">
      <c r="A7050" s="33" t="n">
        <v>46150</v>
      </c>
      <c r="B7050" t="inlineStr">
        <is>
          <t>2026-05</t>
        </is>
      </c>
      <c r="C7050" t="inlineStr">
        <is>
          <t>Thomas Singer</t>
        </is>
      </c>
      <c r="D7050" t="inlineStr">
        <is>
          <t>Rellenos</t>
        </is>
      </c>
      <c r="E7050" s="34" t="n">
        <v>33890</v>
      </c>
      <c r="F7050" t="inlineStr">
        <is>
          <t>B</t>
        </is>
      </c>
      <c r="G7050" s="34" t="n">
        <v>5411</v>
      </c>
      <c r="H7050" s="34" t="n">
        <v>28479</v>
      </c>
      <c r="I7050" t="inlineStr">
        <is>
          <t>3.2</t>
        </is>
      </c>
      <c r="J7050" t="inlineStr">
        <is>
          <t>Ventas Personas (B2C)</t>
        </is>
      </c>
      <c r="K7050" t="inlineStr">
        <is>
          <t>CH2</t>
        </is>
      </c>
    </row>
    <row r="7051">
      <c r="A7051" s="33" t="n">
        <v>46150</v>
      </c>
      <c r="B7051" t="inlineStr">
        <is>
          <t>2026-05</t>
        </is>
      </c>
      <c r="C7051" t="inlineStr">
        <is>
          <t>Antonia Sotomayor Labrín</t>
        </is>
      </c>
      <c r="D7051" t="inlineStr">
        <is>
          <t>Canelé Petit Relleno</t>
        </is>
      </c>
      <c r="E7051" s="34" t="n">
        <v>24900</v>
      </c>
      <c r="F7051" t="inlineStr">
        <is>
          <t>B</t>
        </is>
      </c>
      <c r="G7051" s="34" t="n">
        <v>3976</v>
      </c>
      <c r="H7051" s="34" t="n">
        <v>20924</v>
      </c>
      <c r="I7051" t="inlineStr">
        <is>
          <t>3.2</t>
        </is>
      </c>
      <c r="J7051" t="inlineStr">
        <is>
          <t>Ventas Personas (B2C)</t>
        </is>
      </c>
      <c r="K7051" t="inlineStr">
        <is>
          <t>CH2</t>
        </is>
      </c>
    </row>
    <row r="7052">
      <c r="A7052" s="33" t="n">
        <v>46150</v>
      </c>
      <c r="B7052" t="inlineStr">
        <is>
          <t>2026-05</t>
        </is>
      </c>
      <c r="C7052" t="inlineStr">
        <is>
          <t>Javiera Zuñiga</t>
        </is>
      </c>
      <c r="D7052" t="inlineStr">
        <is>
          <t>CANELE SIN AZUCAR</t>
        </is>
      </c>
      <c r="E7052" s="34" t="n">
        <v>34790</v>
      </c>
      <c r="F7052" t="inlineStr">
        <is>
          <t>B</t>
        </is>
      </c>
      <c r="G7052" s="34" t="n">
        <v>5555</v>
      </c>
      <c r="H7052" s="34" t="n">
        <v>29235</v>
      </c>
      <c r="I7052" t="inlineStr">
        <is>
          <t>3.2</t>
        </is>
      </c>
      <c r="J7052" t="inlineStr">
        <is>
          <t>Ventas Personas (B2C)</t>
        </is>
      </c>
      <c r="K7052" t="inlineStr">
        <is>
          <t>CH2</t>
        </is>
      </c>
    </row>
    <row r="7053">
      <c r="A7053" s="33" t="n">
        <v>46150</v>
      </c>
      <c r="B7053" t="inlineStr">
        <is>
          <t>2026-05</t>
        </is>
      </c>
      <c r="C7053" t="inlineStr">
        <is>
          <t>María Teresa Aránguiz Serrano</t>
        </is>
      </c>
      <c r="D7053" t="inlineStr">
        <is>
          <t>Petit Tradicional</t>
        </is>
      </c>
      <c r="E7053" s="34" t="n">
        <v>37790</v>
      </c>
      <c r="F7053" t="inlineStr">
        <is>
          <t>B</t>
        </is>
      </c>
      <c r="G7053" s="34" t="n">
        <v>6034</v>
      </c>
      <c r="H7053" s="34" t="n">
        <v>31756</v>
      </c>
      <c r="I7053" t="inlineStr">
        <is>
          <t>3.2</t>
        </is>
      </c>
      <c r="J7053" t="inlineStr">
        <is>
          <t>Ventas Personas (B2C)</t>
        </is>
      </c>
      <c r="K7053" t="inlineStr">
        <is>
          <t>CH2</t>
        </is>
      </c>
    </row>
    <row r="7054">
      <c r="A7054" s="33" t="n">
        <v>46150</v>
      </c>
      <c r="B7054" t="inlineStr">
        <is>
          <t>2026-05</t>
        </is>
      </c>
      <c r="C7054" t="inlineStr">
        <is>
          <t>Luciana Goles Domic</t>
        </is>
      </c>
      <c r="D7054" t="inlineStr">
        <is>
          <t>Petit Crunchy</t>
        </is>
      </c>
      <c r="E7054" s="34" t="n">
        <v>24390</v>
      </c>
      <c r="F7054" t="inlineStr">
        <is>
          <t>B</t>
        </is>
      </c>
      <c r="G7054" s="34" t="n">
        <v>3894</v>
      </c>
      <c r="H7054" s="34" t="n">
        <v>20496</v>
      </c>
      <c r="I7054" t="inlineStr">
        <is>
          <t>3.2</t>
        </is>
      </c>
      <c r="J7054" t="inlineStr">
        <is>
          <t>Ventas Personas (B2C)</t>
        </is>
      </c>
      <c r="K7054" t="inlineStr">
        <is>
          <t>CH2</t>
        </is>
      </c>
    </row>
    <row r="7055">
      <c r="A7055" s="33" t="n">
        <v>46150</v>
      </c>
      <c r="B7055" t="inlineStr">
        <is>
          <t>2026-05</t>
        </is>
      </c>
      <c r="C7055" t="inlineStr">
        <is>
          <t>Joyce Jeifetz</t>
        </is>
      </c>
      <c r="D7055" t="inlineStr">
        <is>
          <t>Petit Crunchy</t>
        </is>
      </c>
      <c r="E7055" s="34" t="n">
        <v>15890</v>
      </c>
      <c r="F7055" t="inlineStr">
        <is>
          <t>B</t>
        </is>
      </c>
      <c r="G7055" s="34" t="n">
        <v>2537</v>
      </c>
      <c r="H7055" s="34" t="n">
        <v>13353</v>
      </c>
      <c r="I7055" t="inlineStr">
        <is>
          <t>3.2</t>
        </is>
      </c>
      <c r="J7055" t="inlineStr">
        <is>
          <t>Ventas Personas (B2C)</t>
        </is>
      </c>
      <c r="K7055" t="inlineStr">
        <is>
          <t>CH2</t>
        </is>
      </c>
    </row>
    <row r="7056">
      <c r="A7056" s="33" t="n">
        <v>46150</v>
      </c>
      <c r="B7056" t="inlineStr">
        <is>
          <t>2026-05</t>
        </is>
      </c>
      <c r="C7056" t="inlineStr">
        <is>
          <t>marta Ferro</t>
        </is>
      </c>
      <c r="D7056" t="inlineStr">
        <is>
          <t>PACKAGING</t>
        </is>
      </c>
      <c r="E7056" s="34" t="n">
        <v>47690</v>
      </c>
      <c r="F7056" t="inlineStr">
        <is>
          <t>B</t>
        </is>
      </c>
      <c r="G7056" s="34" t="n">
        <v>7614</v>
      </c>
      <c r="H7056" s="34" t="n">
        <v>40076</v>
      </c>
      <c r="I7056" t="inlineStr">
        <is>
          <t>3.2</t>
        </is>
      </c>
      <c r="J7056" t="inlineStr">
        <is>
          <t>Ventas Personas (B2C)</t>
        </is>
      </c>
      <c r="K7056" t="inlineStr">
        <is>
          <t>CH2</t>
        </is>
      </c>
    </row>
    <row r="7057">
      <c r="A7057" s="33" t="n">
        <v>46150</v>
      </c>
      <c r="B7057" t="inlineStr">
        <is>
          <t>2026-05</t>
        </is>
      </c>
      <c r="C7057" t="inlineStr">
        <is>
          <t>Nicole Nuñez</t>
        </is>
      </c>
      <c r="D7057" t="inlineStr">
        <is>
          <t>Petit Crunchy</t>
        </is>
      </c>
      <c r="E7057" s="34" t="n">
        <v>51890</v>
      </c>
      <c r="F7057" t="inlineStr">
        <is>
          <t>B</t>
        </is>
      </c>
      <c r="G7057" s="34" t="n">
        <v>8285</v>
      </c>
      <c r="H7057" s="34" t="n">
        <v>43605</v>
      </c>
      <c r="I7057" t="inlineStr">
        <is>
          <t>3.2</t>
        </is>
      </c>
      <c r="J7057" t="inlineStr">
        <is>
          <t>Ventas Personas (B2C)</t>
        </is>
      </c>
      <c r="K7057" t="inlineStr">
        <is>
          <t>CH2</t>
        </is>
      </c>
    </row>
    <row r="7058">
      <c r="A7058" s="33" t="n">
        <v>46150</v>
      </c>
      <c r="B7058" t="inlineStr">
        <is>
          <t>2026-05</t>
        </is>
      </c>
      <c r="C7058" t="inlineStr">
        <is>
          <t>Cyril Kudlinski</t>
        </is>
      </c>
      <c r="D7058" t="inlineStr">
        <is>
          <t>Mix Sabores</t>
        </is>
      </c>
      <c r="E7058" s="34" t="n">
        <v>31890</v>
      </c>
      <c r="F7058" t="inlineStr">
        <is>
          <t>B</t>
        </is>
      </c>
      <c r="G7058" s="34" t="n">
        <v>5092</v>
      </c>
      <c r="H7058" s="34" t="n">
        <v>26798</v>
      </c>
      <c r="I7058" t="inlineStr">
        <is>
          <t>3.2</t>
        </is>
      </c>
      <c r="J7058" t="inlineStr">
        <is>
          <t>Ventas Personas (B2C)</t>
        </is>
      </c>
      <c r="K7058" t="inlineStr">
        <is>
          <t>CH2</t>
        </is>
      </c>
    </row>
    <row r="7059">
      <c r="A7059" s="33" t="n">
        <v>46150</v>
      </c>
      <c r="B7059" t="inlineStr">
        <is>
          <t>2026-05</t>
        </is>
      </c>
      <c r="C7059" t="inlineStr">
        <is>
          <t>Sin cliente</t>
        </is>
      </c>
      <c r="D7059" t="inlineStr">
        <is>
          <t>Cafeteria Geronimo</t>
        </is>
      </c>
      <c r="E7059" s="34" t="n">
        <v>11000</v>
      </c>
      <c r="F7059" t="inlineStr">
        <is>
          <t>B</t>
        </is>
      </c>
      <c r="G7059" s="34" t="n">
        <v>1756</v>
      </c>
      <c r="H7059" s="34" t="n">
        <v>9244</v>
      </c>
      <c r="I7059" t="inlineStr">
        <is>
          <t>3.2</t>
        </is>
      </c>
      <c r="J7059" t="inlineStr">
        <is>
          <t>Ventas Personas (B2C)</t>
        </is>
      </c>
      <c r="K7059" t="inlineStr">
        <is>
          <t>CH2</t>
        </is>
      </c>
    </row>
    <row r="7060">
      <c r="A7060" s="33" t="n">
        <v>46150</v>
      </c>
      <c r="B7060" t="inlineStr">
        <is>
          <t>2026-05</t>
        </is>
      </c>
      <c r="C7060" t="inlineStr">
        <is>
          <t>Catalina Arce Díaz</t>
        </is>
      </c>
      <c r="D7060" t="inlineStr">
        <is>
          <t>Regalos</t>
        </is>
      </c>
      <c r="E7060" s="34" t="n">
        <v>75500</v>
      </c>
      <c r="F7060" t="inlineStr">
        <is>
          <t>B</t>
        </is>
      </c>
      <c r="G7060" s="34" t="n">
        <v>12055</v>
      </c>
      <c r="H7060" s="34" t="n">
        <v>63445</v>
      </c>
      <c r="I7060" t="inlineStr">
        <is>
          <t>3.2</t>
        </is>
      </c>
      <c r="J7060" t="inlineStr">
        <is>
          <t>Ventas Personas (B2C)</t>
        </is>
      </c>
      <c r="K7060" t="inlineStr">
        <is>
          <t>CH2</t>
        </is>
      </c>
    </row>
    <row r="7061">
      <c r="A7061" s="33" t="n">
        <v>46150</v>
      </c>
      <c r="B7061" t="inlineStr">
        <is>
          <t>2026-05</t>
        </is>
      </c>
      <c r="C7061" t="inlineStr">
        <is>
          <t>cristian contreras</t>
        </is>
      </c>
      <c r="D7061" t="inlineStr">
        <is>
          <t>Rellenos</t>
        </is>
      </c>
      <c r="E7061" s="34" t="n">
        <v>25900</v>
      </c>
      <c r="F7061" t="inlineStr">
        <is>
          <t>B</t>
        </is>
      </c>
      <c r="G7061" s="34" t="n">
        <v>4135</v>
      </c>
      <c r="H7061" s="34" t="n">
        <v>21765</v>
      </c>
      <c r="I7061" t="inlineStr">
        <is>
          <t>3.2</t>
        </is>
      </c>
      <c r="J7061" t="inlineStr">
        <is>
          <t>Ventas Personas (B2C)</t>
        </is>
      </c>
      <c r="K7061" t="inlineStr">
        <is>
          <t>CH2</t>
        </is>
      </c>
    </row>
    <row r="7062">
      <c r="A7062" s="33" t="n">
        <v>46150</v>
      </c>
      <c r="B7062" t="inlineStr">
        <is>
          <t>2026-05</t>
        </is>
      </c>
      <c r="C7062" t="inlineStr">
        <is>
          <t>Eduardo Benedetto</t>
        </is>
      </c>
      <c r="D7062" t="inlineStr">
        <is>
          <t>Petit Crunchy</t>
        </is>
      </c>
      <c r="E7062" s="34" t="n">
        <v>70590</v>
      </c>
      <c r="F7062" t="inlineStr">
        <is>
          <t>B</t>
        </is>
      </c>
      <c r="G7062" s="34" t="n">
        <v>11271</v>
      </c>
      <c r="H7062" s="34" t="n">
        <v>59319</v>
      </c>
      <c r="I7062" t="inlineStr">
        <is>
          <t>3.2</t>
        </is>
      </c>
      <c r="J7062" t="inlineStr">
        <is>
          <t>Ventas Personas (B2C)</t>
        </is>
      </c>
      <c r="K7062" t="inlineStr">
        <is>
          <t>CH2</t>
        </is>
      </c>
    </row>
    <row r="7063">
      <c r="A7063" s="33" t="n">
        <v>46150</v>
      </c>
      <c r="B7063" t="inlineStr">
        <is>
          <t>2026-05</t>
        </is>
      </c>
      <c r="C7063" t="inlineStr">
        <is>
          <t>Sofia Donoso</t>
        </is>
      </c>
      <c r="D7063" t="inlineStr">
        <is>
          <t>Delicatessen</t>
        </is>
      </c>
      <c r="E7063" s="34" t="n">
        <v>40190</v>
      </c>
      <c r="F7063" t="inlineStr">
        <is>
          <t>B</t>
        </is>
      </c>
      <c r="G7063" s="34" t="n">
        <v>6417</v>
      </c>
      <c r="H7063" s="34" t="n">
        <v>33773</v>
      </c>
      <c r="I7063" t="inlineStr">
        <is>
          <t>3.2</t>
        </is>
      </c>
      <c r="J7063" t="inlineStr">
        <is>
          <t>Ventas Personas (B2C)</t>
        </is>
      </c>
      <c r="K7063" t="inlineStr">
        <is>
          <t>CH2</t>
        </is>
      </c>
    </row>
    <row r="7064">
      <c r="A7064" s="33" t="n">
        <v>46150</v>
      </c>
      <c r="B7064" t="inlineStr">
        <is>
          <t>2026-05</t>
        </is>
      </c>
      <c r="C7064" t="inlineStr">
        <is>
          <t>Sin cliente</t>
        </is>
      </c>
      <c r="D7064" t="inlineStr">
        <is>
          <t>PLATAFORMAS RAP-PEYA-UBER-GOOD</t>
        </is>
      </c>
      <c r="E7064" s="34" t="n">
        <v>17890</v>
      </c>
      <c r="F7064" t="inlineStr">
        <is>
          <t>B</t>
        </is>
      </c>
      <c r="G7064" s="34" t="n">
        <v>2856</v>
      </c>
      <c r="H7064" s="34" t="n">
        <v>15034</v>
      </c>
      <c r="I7064" t="inlineStr">
        <is>
          <t>3.6</t>
        </is>
      </c>
      <c r="J7064" t="inlineStr">
        <is>
          <t>Ventas Delivery Apps</t>
        </is>
      </c>
      <c r="K7064" t="inlineStr">
        <is>
          <t>CH3</t>
        </is>
      </c>
    </row>
    <row r="7065">
      <c r="A7065" s="33" t="n">
        <v>46150</v>
      </c>
      <c r="B7065" t="inlineStr">
        <is>
          <t>2026-05</t>
        </is>
      </c>
      <c r="C7065" t="inlineStr">
        <is>
          <t>Rossana Egaña Farias</t>
        </is>
      </c>
      <c r="D7065" t="inlineStr">
        <is>
          <t>Petit Crunchy</t>
        </is>
      </c>
      <c r="E7065" s="34" t="n">
        <v>61790</v>
      </c>
      <c r="F7065" t="inlineStr">
        <is>
          <t>B</t>
        </is>
      </c>
      <c r="G7065" s="34" t="n">
        <v>9866</v>
      </c>
      <c r="H7065" s="34" t="n">
        <v>51924</v>
      </c>
      <c r="I7065" t="inlineStr">
        <is>
          <t>3.2</t>
        </is>
      </c>
      <c r="J7065" t="inlineStr">
        <is>
          <t>Ventas Personas (B2C)</t>
        </is>
      </c>
      <c r="K7065" t="inlineStr">
        <is>
          <t>CH2</t>
        </is>
      </c>
    </row>
    <row r="7066">
      <c r="A7066" s="33" t="n">
        <v>46150</v>
      </c>
      <c r="B7066" t="inlineStr">
        <is>
          <t>2026-05</t>
        </is>
      </c>
      <c r="C7066" t="inlineStr">
        <is>
          <t>José Utreras</t>
        </is>
      </c>
      <c r="D7066" t="inlineStr">
        <is>
          <t>PACKAGING</t>
        </is>
      </c>
      <c r="E7066" s="34" t="n">
        <v>37490</v>
      </c>
      <c r="F7066" t="inlineStr">
        <is>
          <t>B</t>
        </is>
      </c>
      <c r="G7066" s="34" t="n">
        <v>5986</v>
      </c>
      <c r="H7066" s="34" t="n">
        <v>31504</v>
      </c>
      <c r="I7066" t="inlineStr">
        <is>
          <t>3.2</t>
        </is>
      </c>
      <c r="J7066" t="inlineStr">
        <is>
          <t>Ventas Personas (B2C)</t>
        </is>
      </c>
      <c r="K7066" t="inlineStr">
        <is>
          <t>CH2</t>
        </is>
      </c>
    </row>
    <row r="7067">
      <c r="A7067" s="33" t="n">
        <v>46150</v>
      </c>
      <c r="B7067" t="inlineStr">
        <is>
          <t>2026-05</t>
        </is>
      </c>
      <c r="C7067" t="inlineStr">
        <is>
          <t>Clara Loyola Bilbao</t>
        </is>
      </c>
      <c r="D7067" t="inlineStr">
        <is>
          <t>Canelé Petit Relleno</t>
        </is>
      </c>
      <c r="E7067" s="34" t="n">
        <v>29890</v>
      </c>
      <c r="F7067" t="inlineStr">
        <is>
          <t>B</t>
        </is>
      </c>
      <c r="G7067" s="34" t="n">
        <v>4772</v>
      </c>
      <c r="H7067" s="34" t="n">
        <v>25118</v>
      </c>
      <c r="I7067" t="inlineStr">
        <is>
          <t>3.2</t>
        </is>
      </c>
      <c r="J7067" t="inlineStr">
        <is>
          <t>Ventas Personas (B2C)</t>
        </is>
      </c>
      <c r="K7067" t="inlineStr">
        <is>
          <t>CH2</t>
        </is>
      </c>
    </row>
    <row r="7068">
      <c r="A7068" s="33" t="n">
        <v>46150</v>
      </c>
      <c r="B7068" t="inlineStr">
        <is>
          <t>2026-05</t>
        </is>
      </c>
      <c r="C7068" t="inlineStr">
        <is>
          <t>Sin cliente</t>
        </is>
      </c>
      <c r="D7068" t="inlineStr">
        <is>
          <t>Cafeteria Geronimo</t>
        </is>
      </c>
      <c r="E7068" s="34" t="n">
        <v>6700</v>
      </c>
      <c r="F7068" t="inlineStr">
        <is>
          <t>B</t>
        </is>
      </c>
      <c r="G7068" s="34" t="n">
        <v>1070</v>
      </c>
      <c r="H7068" s="34" t="n">
        <v>5630</v>
      </c>
      <c r="I7068" t="inlineStr">
        <is>
          <t>3.2</t>
        </is>
      </c>
      <c r="J7068" t="inlineStr">
        <is>
          <t>Ventas Personas (B2C)</t>
        </is>
      </c>
      <c r="K7068" t="inlineStr">
        <is>
          <t>CH2</t>
        </is>
      </c>
    </row>
    <row r="7069">
      <c r="A7069" s="33" t="n">
        <v>46150</v>
      </c>
      <c r="B7069" t="inlineStr">
        <is>
          <t>2026-05</t>
        </is>
      </c>
      <c r="C7069" t="inlineStr">
        <is>
          <t>Jorge Guerrero Cortés</t>
        </is>
      </c>
      <c r="D7069" t="inlineStr">
        <is>
          <t>CANELE SIN AZUCAR</t>
        </is>
      </c>
      <c r="E7069" s="34" t="n">
        <v>48600</v>
      </c>
      <c r="F7069" t="inlineStr">
        <is>
          <t>B</t>
        </is>
      </c>
      <c r="G7069" s="34" t="n">
        <v>7760</v>
      </c>
      <c r="H7069" s="34" t="n">
        <v>40840</v>
      </c>
      <c r="I7069" t="inlineStr">
        <is>
          <t>3.2</t>
        </is>
      </c>
      <c r="J7069" t="inlineStr">
        <is>
          <t>Ventas Personas (B2C)</t>
        </is>
      </c>
      <c r="K7069" t="inlineStr">
        <is>
          <t>CH2</t>
        </is>
      </c>
    </row>
    <row r="7070">
      <c r="A7070" s="33" t="n">
        <v>46150</v>
      </c>
      <c r="B7070" t="inlineStr">
        <is>
          <t>2026-05</t>
        </is>
      </c>
      <c r="C7070" t="inlineStr">
        <is>
          <t>Carolina Nejas</t>
        </is>
      </c>
      <c r="D7070" t="inlineStr">
        <is>
          <t>Petit Crunchy</t>
        </is>
      </c>
      <c r="E7070" s="34" t="n">
        <v>19890</v>
      </c>
      <c r="F7070" t="inlineStr">
        <is>
          <t>B</t>
        </is>
      </c>
      <c r="G7070" s="34" t="n">
        <v>3176</v>
      </c>
      <c r="H7070" s="34" t="n">
        <v>16714</v>
      </c>
      <c r="I7070" t="inlineStr">
        <is>
          <t>3.2</t>
        </is>
      </c>
      <c r="J7070" t="inlineStr">
        <is>
          <t>Ventas Personas (B2C)</t>
        </is>
      </c>
      <c r="K7070" t="inlineStr">
        <is>
          <t>CH2</t>
        </is>
      </c>
    </row>
    <row r="7071">
      <c r="A7071" s="33" t="n">
        <v>46150</v>
      </c>
      <c r="B7071" t="inlineStr">
        <is>
          <t>2026-05</t>
        </is>
      </c>
      <c r="C7071" t="inlineStr">
        <is>
          <t>LUIS HERRERA</t>
        </is>
      </c>
      <c r="D7071" t="inlineStr">
        <is>
          <t>Mix Sabores</t>
        </is>
      </c>
      <c r="E7071" s="34" t="n">
        <v>40790</v>
      </c>
      <c r="F7071" t="inlineStr">
        <is>
          <t>B</t>
        </is>
      </c>
      <c r="G7071" s="34" t="n">
        <v>6513</v>
      </c>
      <c r="H7071" s="34" t="n">
        <v>34277</v>
      </c>
      <c r="I7071" t="inlineStr">
        <is>
          <t>3.2</t>
        </is>
      </c>
      <c r="J7071" t="inlineStr">
        <is>
          <t>Ventas Personas (B2C)</t>
        </is>
      </c>
      <c r="K7071" t="inlineStr">
        <is>
          <t>CH2</t>
        </is>
      </c>
    </row>
    <row r="7072">
      <c r="A7072" s="33" t="n">
        <v>46150</v>
      </c>
      <c r="B7072" t="inlineStr">
        <is>
          <t>2026-05</t>
        </is>
      </c>
      <c r="C7072" t="inlineStr">
        <is>
          <t>Cristian Benavente</t>
        </is>
      </c>
      <c r="D7072" t="inlineStr">
        <is>
          <t>Regalos</t>
        </is>
      </c>
      <c r="E7072" s="34" t="n">
        <v>33201</v>
      </c>
      <c r="F7072" t="inlineStr">
        <is>
          <t>B</t>
        </is>
      </c>
      <c r="G7072" s="34" t="n">
        <v>5301</v>
      </c>
      <c r="H7072" s="34" t="n">
        <v>27900</v>
      </c>
      <c r="I7072" t="inlineStr">
        <is>
          <t>3.2</t>
        </is>
      </c>
      <c r="J7072" t="inlineStr">
        <is>
          <t>Ventas Personas (B2C)</t>
        </is>
      </c>
      <c r="K7072" t="inlineStr">
        <is>
          <t>CH2</t>
        </is>
      </c>
    </row>
    <row r="7073">
      <c r="A7073" s="33" t="n">
        <v>46150</v>
      </c>
      <c r="B7073" t="inlineStr">
        <is>
          <t>2026-05</t>
        </is>
      </c>
      <c r="C7073" t="inlineStr">
        <is>
          <t>Cristobal Opazo Salinas</t>
        </is>
      </c>
      <c r="D7073" t="inlineStr">
        <is>
          <t>CANELÉ TRADICIONAL</t>
        </is>
      </c>
      <c r="E7073" s="34" t="n">
        <v>21890</v>
      </c>
      <c r="F7073" t="inlineStr">
        <is>
          <t>B</t>
        </is>
      </c>
      <c r="G7073" s="34" t="n">
        <v>3495</v>
      </c>
      <c r="H7073" s="34" t="n">
        <v>18395</v>
      </c>
      <c r="I7073" t="inlineStr">
        <is>
          <t>3.2</t>
        </is>
      </c>
      <c r="J7073" t="inlineStr">
        <is>
          <t>Ventas Personas (B2C)</t>
        </is>
      </c>
      <c r="K7073" t="inlineStr">
        <is>
          <t>CH2</t>
        </is>
      </c>
    </row>
    <row r="7074">
      <c r="A7074" s="33" t="n">
        <v>46150</v>
      </c>
      <c r="B7074" t="inlineStr">
        <is>
          <t>2026-05</t>
        </is>
      </c>
      <c r="C7074" t="inlineStr">
        <is>
          <t>Sin cliente</t>
        </is>
      </c>
      <c r="D7074" t="inlineStr">
        <is>
          <t>Rellenos</t>
        </is>
      </c>
      <c r="E7074" s="34" t="n">
        <v>45300</v>
      </c>
      <c r="F7074" t="inlineStr">
        <is>
          <t>B</t>
        </is>
      </c>
      <c r="G7074" s="34" t="n">
        <v>7233</v>
      </c>
      <c r="H7074" s="34" t="n">
        <v>38067</v>
      </c>
      <c r="I7074" t="inlineStr">
        <is>
          <t>3.2</t>
        </is>
      </c>
      <c r="J7074" t="inlineStr">
        <is>
          <t>Ventas Personas (B2C)</t>
        </is>
      </c>
      <c r="K7074" t="inlineStr">
        <is>
          <t>CH2</t>
        </is>
      </c>
    </row>
    <row r="7075">
      <c r="A7075" s="33" t="n">
        <v>46150</v>
      </c>
      <c r="B7075" t="inlineStr">
        <is>
          <t>2026-05</t>
        </is>
      </c>
      <c r="C7075" t="inlineStr">
        <is>
          <t>Sin cliente</t>
        </is>
      </c>
      <c r="D7075" t="inlineStr">
        <is>
          <t>Cafeteria Geronimo</t>
        </is>
      </c>
      <c r="E7075" s="34" t="n">
        <v>2500</v>
      </c>
      <c r="F7075" t="inlineStr">
        <is>
          <t>B</t>
        </is>
      </c>
      <c r="G7075" s="34" t="n">
        <v>399</v>
      </c>
      <c r="H7075" s="34" t="n">
        <v>2101</v>
      </c>
      <c r="I7075" t="inlineStr">
        <is>
          <t>3.2</t>
        </is>
      </c>
      <c r="J7075" t="inlineStr">
        <is>
          <t>Ventas Personas (B2C)</t>
        </is>
      </c>
      <c r="K7075" t="inlineStr">
        <is>
          <t>CH2</t>
        </is>
      </c>
    </row>
    <row r="7076">
      <c r="A7076" s="33" t="n">
        <v>46150</v>
      </c>
      <c r="B7076" t="inlineStr">
        <is>
          <t>2026-05</t>
        </is>
      </c>
      <c r="C7076" t="inlineStr">
        <is>
          <t>Sin cliente</t>
        </is>
      </c>
      <c r="D7076" t="inlineStr">
        <is>
          <t>Rellenos</t>
        </is>
      </c>
      <c r="E7076" s="34" t="n">
        <v>18400</v>
      </c>
      <c r="F7076" t="inlineStr">
        <is>
          <t>B</t>
        </is>
      </c>
      <c r="G7076" s="34" t="n">
        <v>2938</v>
      </c>
      <c r="H7076" s="34" t="n">
        <v>15462</v>
      </c>
      <c r="I7076" t="inlineStr">
        <is>
          <t>3.2</t>
        </is>
      </c>
      <c r="J7076" t="inlineStr">
        <is>
          <t>Ventas Personas (B2C)</t>
        </is>
      </c>
      <c r="K7076" t="inlineStr">
        <is>
          <t>CH2</t>
        </is>
      </c>
    </row>
    <row r="7077">
      <c r="A7077" s="33" t="n">
        <v>46150</v>
      </c>
      <c r="B7077" t="inlineStr">
        <is>
          <t>2026-05</t>
        </is>
      </c>
      <c r="C7077" t="inlineStr">
        <is>
          <t>Marcia Magalhaes da Silva</t>
        </is>
      </c>
      <c r="D7077" t="inlineStr">
        <is>
          <t>Tandas Delicatessen</t>
        </is>
      </c>
      <c r="E7077" s="34" t="n">
        <v>23690</v>
      </c>
      <c r="F7077" t="inlineStr">
        <is>
          <t>B</t>
        </is>
      </c>
      <c r="G7077" s="34" t="n">
        <v>3782</v>
      </c>
      <c r="H7077" s="34" t="n">
        <v>19908</v>
      </c>
      <c r="I7077" t="inlineStr">
        <is>
          <t>3.2</t>
        </is>
      </c>
      <c r="J7077" t="inlineStr">
        <is>
          <t>Ventas Personas (B2C)</t>
        </is>
      </c>
      <c r="K7077" t="inlineStr">
        <is>
          <t>CH2</t>
        </is>
      </c>
    </row>
    <row r="7078">
      <c r="A7078" s="33" t="n">
        <v>46150</v>
      </c>
      <c r="B7078" t="inlineStr">
        <is>
          <t>2026-05</t>
        </is>
      </c>
      <c r="C7078" t="inlineStr">
        <is>
          <t>Sin cliente</t>
        </is>
      </c>
      <c r="D7078" t="inlineStr">
        <is>
          <t>PLATAFORMAS RAP-PEYA-UBER-GOOD</t>
        </is>
      </c>
      <c r="E7078" s="34" t="n">
        <v>23890</v>
      </c>
      <c r="F7078" t="inlineStr">
        <is>
          <t>B</t>
        </is>
      </c>
      <c r="G7078" s="34" t="n">
        <v>3814</v>
      </c>
      <c r="H7078" s="34" t="n">
        <v>20076</v>
      </c>
      <c r="I7078" t="inlineStr">
        <is>
          <t>3.6</t>
        </is>
      </c>
      <c r="J7078" t="inlineStr">
        <is>
          <t>Ventas Delivery Apps</t>
        </is>
      </c>
      <c r="K7078" t="inlineStr">
        <is>
          <t>CH3</t>
        </is>
      </c>
    </row>
    <row r="7079">
      <c r="A7079" s="33" t="n">
        <v>46150</v>
      </c>
      <c r="B7079" t="inlineStr">
        <is>
          <t>2026-05</t>
        </is>
      </c>
      <c r="C7079" t="inlineStr">
        <is>
          <t>Sofia Gallego</t>
        </is>
      </c>
      <c r="D7079" t="inlineStr">
        <is>
          <t>Petit Crunchy</t>
        </is>
      </c>
      <c r="E7079" s="34" t="n">
        <v>25890</v>
      </c>
      <c r="F7079" t="inlineStr">
        <is>
          <t>B</t>
        </is>
      </c>
      <c r="G7079" s="34" t="n">
        <v>4134</v>
      </c>
      <c r="H7079" s="34" t="n">
        <v>21756</v>
      </c>
      <c r="I7079" t="inlineStr">
        <is>
          <t>3.2</t>
        </is>
      </c>
      <c r="J7079" t="inlineStr">
        <is>
          <t>Ventas Personas (B2C)</t>
        </is>
      </c>
      <c r="K7079" t="inlineStr">
        <is>
          <t>CH2</t>
        </is>
      </c>
    </row>
    <row r="7080">
      <c r="A7080" s="33" t="n">
        <v>46150</v>
      </c>
      <c r="B7080" t="inlineStr">
        <is>
          <t>2026-05</t>
        </is>
      </c>
      <c r="C7080" t="inlineStr">
        <is>
          <t>Constanza Molina</t>
        </is>
      </c>
      <c r="D7080" t="inlineStr">
        <is>
          <t>Canelé Petit Relleno</t>
        </is>
      </c>
      <c r="E7080" s="34" t="n">
        <v>33790</v>
      </c>
      <c r="F7080" t="inlineStr">
        <is>
          <t>B</t>
        </is>
      </c>
      <c r="G7080" s="34" t="n">
        <v>5395</v>
      </c>
      <c r="H7080" s="34" t="n">
        <v>28395</v>
      </c>
      <c r="I7080" t="inlineStr">
        <is>
          <t>3.2</t>
        </is>
      </c>
      <c r="J7080" t="inlineStr">
        <is>
          <t>Ventas Personas (B2C)</t>
        </is>
      </c>
      <c r="K7080" t="inlineStr">
        <is>
          <t>CH2</t>
        </is>
      </c>
    </row>
    <row r="7081">
      <c r="A7081" s="33" t="n">
        <v>46150</v>
      </c>
      <c r="B7081" t="inlineStr">
        <is>
          <t>2026-05</t>
        </is>
      </c>
      <c r="C7081" t="inlineStr">
        <is>
          <t>Sin cliente</t>
        </is>
      </c>
      <c r="D7081" t="inlineStr">
        <is>
          <t>Petit Crunchy</t>
        </is>
      </c>
      <c r="E7081" s="34" t="n">
        <v>10900</v>
      </c>
      <c r="F7081" t="inlineStr">
        <is>
          <t>B</t>
        </is>
      </c>
      <c r="G7081" s="34" t="n">
        <v>1740</v>
      </c>
      <c r="H7081" s="34" t="n">
        <v>9160</v>
      </c>
      <c r="I7081" t="inlineStr">
        <is>
          <t>3.2</t>
        </is>
      </c>
      <c r="J7081" t="inlineStr">
        <is>
          <t>Ventas Personas (B2C)</t>
        </is>
      </c>
      <c r="K7081" t="inlineStr">
        <is>
          <t>CH2</t>
        </is>
      </c>
    </row>
    <row r="7082">
      <c r="A7082" s="33" t="n">
        <v>46150</v>
      </c>
      <c r="B7082" t="inlineStr">
        <is>
          <t>2026-05</t>
        </is>
      </c>
      <c r="C7082" t="inlineStr">
        <is>
          <t>Sin cliente</t>
        </is>
      </c>
      <c r="D7082" t="inlineStr">
        <is>
          <t>Petit Tradicional</t>
        </is>
      </c>
      <c r="E7082" s="34" t="n">
        <v>26800</v>
      </c>
      <c r="F7082" t="inlineStr">
        <is>
          <t>B</t>
        </is>
      </c>
      <c r="G7082" s="34" t="n">
        <v>4279</v>
      </c>
      <c r="H7082" s="34" t="n">
        <v>22521</v>
      </c>
      <c r="I7082" t="inlineStr">
        <is>
          <t>3.2</t>
        </is>
      </c>
      <c r="J7082" t="inlineStr">
        <is>
          <t>Ventas Personas (B2C)</t>
        </is>
      </c>
      <c r="K7082" t="inlineStr">
        <is>
          <t>CH2</t>
        </is>
      </c>
    </row>
    <row r="7083">
      <c r="A7083" s="33" t="n">
        <v>46150</v>
      </c>
      <c r="B7083" t="inlineStr">
        <is>
          <t>2026-05</t>
        </is>
      </c>
      <c r="C7083" t="inlineStr">
        <is>
          <t>Sin cliente</t>
        </is>
      </c>
      <c r="D7083" t="inlineStr">
        <is>
          <t>Regalos</t>
        </is>
      </c>
      <c r="E7083" s="34" t="n">
        <v>10000</v>
      </c>
      <c r="F7083" t="inlineStr">
        <is>
          <t>B</t>
        </is>
      </c>
      <c r="G7083" s="34" t="n">
        <v>1597</v>
      </c>
      <c r="H7083" s="34" t="n">
        <v>8403</v>
      </c>
      <c r="I7083" t="inlineStr">
        <is>
          <t>3.2</t>
        </is>
      </c>
      <c r="J7083" t="inlineStr">
        <is>
          <t>Ventas Personas (B2C)</t>
        </is>
      </c>
      <c r="K7083" t="inlineStr">
        <is>
          <t>CH2</t>
        </is>
      </c>
    </row>
    <row r="7084">
      <c r="A7084" s="33" t="n">
        <v>46150</v>
      </c>
      <c r="B7084" t="inlineStr">
        <is>
          <t>2026-05</t>
        </is>
      </c>
      <c r="C7084" t="inlineStr">
        <is>
          <t>Sin cliente</t>
        </is>
      </c>
      <c r="D7084" t="inlineStr">
        <is>
          <t>Cafeteria Geronimo</t>
        </is>
      </c>
      <c r="E7084" s="34" t="n">
        <v>4000</v>
      </c>
      <c r="F7084" t="inlineStr">
        <is>
          <t>B</t>
        </is>
      </c>
      <c r="G7084" s="34" t="n">
        <v>639</v>
      </c>
      <c r="H7084" s="34" t="n">
        <v>3361</v>
      </c>
      <c r="I7084" t="inlineStr">
        <is>
          <t>3.2</t>
        </is>
      </c>
      <c r="J7084" t="inlineStr">
        <is>
          <t>Ventas Personas (B2C)</t>
        </is>
      </c>
      <c r="K7084" t="inlineStr">
        <is>
          <t>CH2</t>
        </is>
      </c>
    </row>
    <row r="7085">
      <c r="A7085" s="33" t="n">
        <v>46150</v>
      </c>
      <c r="B7085" t="inlineStr">
        <is>
          <t>2026-05</t>
        </is>
      </c>
      <c r="C7085" t="inlineStr">
        <is>
          <t>Sin cliente</t>
        </is>
      </c>
      <c r="D7085" t="inlineStr">
        <is>
          <t>Canelé Petit Relleno</t>
        </is>
      </c>
      <c r="E7085" s="34" t="n">
        <v>42600</v>
      </c>
      <c r="F7085" t="inlineStr">
        <is>
          <t>B</t>
        </is>
      </c>
      <c r="G7085" s="34" t="n">
        <v>6802</v>
      </c>
      <c r="H7085" s="34" t="n">
        <v>35798</v>
      </c>
      <c r="I7085" t="inlineStr">
        <is>
          <t>3.2</t>
        </is>
      </c>
      <c r="J7085" t="inlineStr">
        <is>
          <t>Ventas Personas (B2C)</t>
        </is>
      </c>
      <c r="K7085" t="inlineStr">
        <is>
          <t>CH2</t>
        </is>
      </c>
    </row>
    <row r="7086">
      <c r="A7086" s="33" t="n">
        <v>46150</v>
      </c>
      <c r="B7086" t="inlineStr">
        <is>
          <t>2026-05</t>
        </is>
      </c>
      <c r="C7086" t="inlineStr">
        <is>
          <t>Sin cliente</t>
        </is>
      </c>
      <c r="D7086" t="inlineStr">
        <is>
          <t>CANELÉ TRADICIONAL</t>
        </is>
      </c>
      <c r="E7086" s="34" t="n">
        <v>30700</v>
      </c>
      <c r="F7086" t="inlineStr">
        <is>
          <t>B</t>
        </is>
      </c>
      <c r="G7086" s="34" t="n">
        <v>4902</v>
      </c>
      <c r="H7086" s="34" t="n">
        <v>25798</v>
      </c>
      <c r="I7086" t="inlineStr">
        <is>
          <t>3.2</t>
        </is>
      </c>
      <c r="J7086" t="inlineStr">
        <is>
          <t>Ventas Personas (B2C)</t>
        </is>
      </c>
      <c r="K7086" t="inlineStr">
        <is>
          <t>CH2</t>
        </is>
      </c>
    </row>
    <row r="7087">
      <c r="A7087" s="33" t="n">
        <v>46150</v>
      </c>
      <c r="B7087" t="inlineStr">
        <is>
          <t>2026-05</t>
        </is>
      </c>
      <c r="C7087" t="inlineStr">
        <is>
          <t>Sin cliente</t>
        </is>
      </c>
      <c r="D7087" t="inlineStr">
        <is>
          <t>Petit Crunchy</t>
        </is>
      </c>
      <c r="E7087" s="34" t="n">
        <v>84200</v>
      </c>
      <c r="F7087" t="inlineStr">
        <is>
          <t>B</t>
        </is>
      </c>
      <c r="G7087" s="34" t="n">
        <v>13444</v>
      </c>
      <c r="H7087" s="34" t="n">
        <v>70756</v>
      </c>
      <c r="I7087" t="inlineStr">
        <is>
          <t>3.2</t>
        </is>
      </c>
      <c r="J7087" t="inlineStr">
        <is>
          <t>Ventas Personas (B2C)</t>
        </is>
      </c>
      <c r="K7087" t="inlineStr">
        <is>
          <t>CH2</t>
        </is>
      </c>
    </row>
    <row r="7088">
      <c r="A7088" s="33" t="n">
        <v>46150</v>
      </c>
      <c r="B7088" t="inlineStr">
        <is>
          <t>2026-05</t>
        </is>
      </c>
      <c r="C7088" t="inlineStr">
        <is>
          <t>Sin cliente</t>
        </is>
      </c>
      <c r="D7088" t="inlineStr">
        <is>
          <t>Delicatessen</t>
        </is>
      </c>
      <c r="E7088" s="34" t="n">
        <v>10965</v>
      </c>
      <c r="F7088" t="inlineStr">
        <is>
          <t>B</t>
        </is>
      </c>
      <c r="G7088" s="34" t="n">
        <v>1751</v>
      </c>
      <c r="H7088" s="34" t="n">
        <v>9214</v>
      </c>
      <c r="I7088" t="inlineStr">
        <is>
          <t>3.2</t>
        </is>
      </c>
      <c r="J7088" t="inlineStr">
        <is>
          <t>Ventas Personas (B2C)</t>
        </is>
      </c>
      <c r="K7088" t="inlineStr">
        <is>
          <t>CH2</t>
        </is>
      </c>
    </row>
    <row r="7089">
      <c r="A7089" s="33" t="n">
        <v>46150</v>
      </c>
      <c r="B7089" t="inlineStr">
        <is>
          <t>2026-05</t>
        </is>
      </c>
      <c r="C7089" t="inlineStr">
        <is>
          <t>Sin cliente</t>
        </is>
      </c>
      <c r="D7089" t="inlineStr">
        <is>
          <t>PLATAFORMAS RAP-PEYA-UBER-GOOD</t>
        </is>
      </c>
      <c r="E7089" s="34" t="n">
        <v>45380</v>
      </c>
      <c r="F7089" t="inlineStr">
        <is>
          <t>B</t>
        </is>
      </c>
      <c r="G7089" s="34" t="n">
        <v>7246</v>
      </c>
      <c r="H7089" s="34" t="n">
        <v>38134</v>
      </c>
      <c r="I7089" t="inlineStr">
        <is>
          <t>3.6</t>
        </is>
      </c>
      <c r="J7089" t="inlineStr">
        <is>
          <t>Ventas Delivery Apps</t>
        </is>
      </c>
      <c r="K7089" t="inlineStr">
        <is>
          <t>CH3</t>
        </is>
      </c>
    </row>
    <row r="7090">
      <c r="A7090" s="33" t="n">
        <v>46150</v>
      </c>
      <c r="B7090" t="inlineStr">
        <is>
          <t>2026-05</t>
        </is>
      </c>
      <c r="C7090" t="inlineStr">
        <is>
          <t>Matías Lara Lizama</t>
        </is>
      </c>
      <c r="D7090" t="inlineStr">
        <is>
          <t>Regalos</t>
        </is>
      </c>
      <c r="E7090" s="34" t="n">
        <v>10990</v>
      </c>
      <c r="F7090" t="inlineStr">
        <is>
          <t>B</t>
        </is>
      </c>
      <c r="G7090" s="34" t="n">
        <v>1755</v>
      </c>
      <c r="H7090" s="34" t="n">
        <v>9235</v>
      </c>
      <c r="I7090" t="inlineStr">
        <is>
          <t>3.2</t>
        </is>
      </c>
      <c r="J7090" t="inlineStr">
        <is>
          <t>Ventas Personas (B2C)</t>
        </is>
      </c>
      <c r="K7090" t="inlineStr">
        <is>
          <t>CH2</t>
        </is>
      </c>
    </row>
    <row r="7091">
      <c r="A7091" s="33" t="n">
        <v>46150</v>
      </c>
      <c r="B7091" t="inlineStr">
        <is>
          <t>2026-05</t>
        </is>
      </c>
      <c r="C7091" t="inlineStr">
        <is>
          <t>Sebastian Margozzini</t>
        </is>
      </c>
      <c r="D7091" t="inlineStr">
        <is>
          <t>Regalos</t>
        </is>
      </c>
      <c r="E7091" s="34" t="n">
        <v>31780</v>
      </c>
      <c r="F7091" t="inlineStr">
        <is>
          <t>B</t>
        </is>
      </c>
      <c r="G7091" s="34" t="n">
        <v>5074</v>
      </c>
      <c r="H7091" s="34" t="n">
        <v>26706</v>
      </c>
      <c r="I7091" t="inlineStr">
        <is>
          <t>3.2</t>
        </is>
      </c>
      <c r="J7091" t="inlineStr">
        <is>
          <t>Ventas Personas (B2C)</t>
        </is>
      </c>
      <c r="K7091" t="inlineStr">
        <is>
          <t>CH2</t>
        </is>
      </c>
    </row>
    <row r="7092">
      <c r="A7092" s="33" t="n">
        <v>46151</v>
      </c>
      <c r="B7092" t="inlineStr">
        <is>
          <t>2026-05</t>
        </is>
      </c>
      <c r="C7092" t="inlineStr">
        <is>
          <t>Romina Pavez</t>
        </is>
      </c>
      <c r="D7092" t="inlineStr">
        <is>
          <t>Petit Crunchy</t>
        </is>
      </c>
      <c r="E7092" s="34" t="n">
        <v>29380</v>
      </c>
      <c r="F7092" t="inlineStr">
        <is>
          <t>B</t>
        </is>
      </c>
      <c r="G7092" s="34" t="n">
        <v>4691</v>
      </c>
      <c r="H7092" s="34" t="n">
        <v>24689</v>
      </c>
      <c r="I7092" t="inlineStr">
        <is>
          <t>3.2</t>
        </is>
      </c>
      <c r="J7092" t="inlineStr">
        <is>
          <t>Ventas Personas (B2C)</t>
        </is>
      </c>
      <c r="K7092" t="inlineStr">
        <is>
          <t>CH2</t>
        </is>
      </c>
    </row>
    <row r="7093">
      <c r="A7093" s="33" t="n">
        <v>46151</v>
      </c>
      <c r="B7093" t="inlineStr">
        <is>
          <t>2026-05</t>
        </is>
      </c>
      <c r="C7093" t="inlineStr">
        <is>
          <t>Bruno Frigoli</t>
        </is>
      </c>
      <c r="D7093" t="inlineStr">
        <is>
          <t>Regalos</t>
        </is>
      </c>
      <c r="E7093" s="34" t="n">
        <v>45880</v>
      </c>
      <c r="F7093" t="inlineStr">
        <is>
          <t>B</t>
        </is>
      </c>
      <c r="G7093" s="34" t="n">
        <v>7325</v>
      </c>
      <c r="H7093" s="34" t="n">
        <v>38555</v>
      </c>
      <c r="I7093" t="inlineStr">
        <is>
          <t>3.2</t>
        </is>
      </c>
      <c r="J7093" t="inlineStr">
        <is>
          <t>Ventas Personas (B2C)</t>
        </is>
      </c>
      <c r="K7093" t="inlineStr">
        <is>
          <t>CH2</t>
        </is>
      </c>
    </row>
    <row r="7094">
      <c r="A7094" s="33" t="n">
        <v>46151</v>
      </c>
      <c r="B7094" t="inlineStr">
        <is>
          <t>2026-05</t>
        </is>
      </c>
      <c r="C7094" t="inlineStr">
        <is>
          <t>Nicole Simon</t>
        </is>
      </c>
      <c r="D7094" t="inlineStr">
        <is>
          <t>Petit Crunchy</t>
        </is>
      </c>
      <c r="E7094" s="34" t="n">
        <v>40890</v>
      </c>
      <c r="F7094" t="inlineStr">
        <is>
          <t>B</t>
        </is>
      </c>
      <c r="G7094" s="34" t="n">
        <v>6529</v>
      </c>
      <c r="H7094" s="34" t="n">
        <v>34361</v>
      </c>
      <c r="I7094" t="inlineStr">
        <is>
          <t>3.2</t>
        </is>
      </c>
      <c r="J7094" t="inlineStr">
        <is>
          <t>Ventas Personas (B2C)</t>
        </is>
      </c>
      <c r="K7094" t="inlineStr">
        <is>
          <t>CH2</t>
        </is>
      </c>
    </row>
    <row r="7095">
      <c r="A7095" s="33" t="n">
        <v>46151</v>
      </c>
      <c r="B7095" t="inlineStr">
        <is>
          <t>2026-05</t>
        </is>
      </c>
      <c r="C7095" t="inlineStr">
        <is>
          <t>Alismar Alvarez Arias</t>
        </is>
      </c>
      <c r="D7095" t="inlineStr">
        <is>
          <t>CANELE SIN AZUCAR</t>
        </is>
      </c>
      <c r="E7095" s="34" t="n">
        <v>22890</v>
      </c>
      <c r="F7095" t="inlineStr">
        <is>
          <t>B</t>
        </is>
      </c>
      <c r="G7095" s="34" t="n">
        <v>3655</v>
      </c>
      <c r="H7095" s="34" t="n">
        <v>19235</v>
      </c>
      <c r="I7095" t="inlineStr">
        <is>
          <t>3.2</t>
        </is>
      </c>
      <c r="J7095" t="inlineStr">
        <is>
          <t>Ventas Personas (B2C)</t>
        </is>
      </c>
      <c r="K7095" t="inlineStr">
        <is>
          <t>CH2</t>
        </is>
      </c>
    </row>
    <row r="7096">
      <c r="A7096" s="33" t="n">
        <v>46151</v>
      </c>
      <c r="B7096" t="inlineStr">
        <is>
          <t>2026-05</t>
        </is>
      </c>
      <c r="C7096" t="inlineStr">
        <is>
          <t>Sin cliente</t>
        </is>
      </c>
      <c r="D7096" t="inlineStr">
        <is>
          <t>Cafeteria Geronimo</t>
        </is>
      </c>
      <c r="E7096" s="34" t="n">
        <v>4300</v>
      </c>
      <c r="F7096" t="inlineStr">
        <is>
          <t>B</t>
        </is>
      </c>
      <c r="G7096" s="34" t="n">
        <v>687</v>
      </c>
      <c r="H7096" s="34" t="n">
        <v>3613</v>
      </c>
      <c r="I7096" t="inlineStr">
        <is>
          <t>3.2</t>
        </is>
      </c>
      <c r="J7096" t="inlineStr">
        <is>
          <t>Ventas Personas (B2C)</t>
        </is>
      </c>
      <c r="K7096" t="inlineStr">
        <is>
          <t>CH2</t>
        </is>
      </c>
    </row>
    <row r="7097">
      <c r="A7097" s="33" t="n">
        <v>46151</v>
      </c>
      <c r="B7097" t="inlineStr">
        <is>
          <t>2026-05</t>
        </is>
      </c>
      <c r="C7097" t="inlineStr">
        <is>
          <t>Sin cliente</t>
        </is>
      </c>
      <c r="D7097" t="inlineStr">
        <is>
          <t>Rellenos</t>
        </is>
      </c>
      <c r="E7097" s="34" t="n">
        <v>44800</v>
      </c>
      <c r="F7097" t="inlineStr">
        <is>
          <t>B</t>
        </is>
      </c>
      <c r="G7097" s="34" t="n">
        <v>7153</v>
      </c>
      <c r="H7097" s="34" t="n">
        <v>37647</v>
      </c>
      <c r="I7097" t="inlineStr">
        <is>
          <t>3.2</t>
        </is>
      </c>
      <c r="J7097" t="inlineStr">
        <is>
          <t>Ventas Personas (B2C)</t>
        </is>
      </c>
      <c r="K7097" t="inlineStr">
        <is>
          <t>CH2</t>
        </is>
      </c>
    </row>
    <row r="7098">
      <c r="A7098" s="33" t="n">
        <v>46151</v>
      </c>
      <c r="B7098" t="inlineStr">
        <is>
          <t>2026-05</t>
        </is>
      </c>
      <c r="C7098" t="inlineStr">
        <is>
          <t>Carlos Reitze</t>
        </is>
      </c>
      <c r="D7098" t="inlineStr">
        <is>
          <t>Regalos</t>
        </is>
      </c>
      <c r="E7098" s="34" t="n">
        <v>14480</v>
      </c>
      <c r="F7098" t="inlineStr">
        <is>
          <t>B</t>
        </is>
      </c>
      <c r="G7098" s="34" t="n">
        <v>2312</v>
      </c>
      <c r="H7098" s="34" t="n">
        <v>12168</v>
      </c>
      <c r="I7098" t="inlineStr">
        <is>
          <t>3.2</t>
        </is>
      </c>
      <c r="J7098" t="inlineStr">
        <is>
          <t>Ventas Personas (B2C)</t>
        </is>
      </c>
      <c r="K7098" t="inlineStr">
        <is>
          <t>CH2</t>
        </is>
      </c>
    </row>
    <row r="7099">
      <c r="A7099" s="33" t="n">
        <v>46151</v>
      </c>
      <c r="B7099" t="inlineStr">
        <is>
          <t>2026-05</t>
        </is>
      </c>
      <c r="C7099" t="inlineStr">
        <is>
          <t>Erwin Conn Moragas</t>
        </is>
      </c>
      <c r="D7099" t="inlineStr">
        <is>
          <t>CANELÉ TRADICIONAL</t>
        </is>
      </c>
      <c r="E7099" s="34" t="n">
        <v>60800</v>
      </c>
      <c r="F7099" t="inlineStr">
        <is>
          <t>B</t>
        </is>
      </c>
      <c r="G7099" s="34" t="n">
        <v>9708</v>
      </c>
      <c r="H7099" s="34" t="n">
        <v>51092</v>
      </c>
      <c r="I7099" t="inlineStr">
        <is>
          <t>3.2</t>
        </is>
      </c>
      <c r="J7099" t="inlineStr">
        <is>
          <t>Ventas Personas (B2C)</t>
        </is>
      </c>
      <c r="K7099" t="inlineStr">
        <is>
          <t>CH2</t>
        </is>
      </c>
    </row>
    <row r="7100">
      <c r="A7100" s="33" t="n">
        <v>46151</v>
      </c>
      <c r="B7100" t="inlineStr">
        <is>
          <t>2026-05</t>
        </is>
      </c>
      <c r="C7100" t="inlineStr">
        <is>
          <t>Eduardo Astorquiza</t>
        </is>
      </c>
      <c r="D7100" t="inlineStr">
        <is>
          <t>Regalos</t>
        </is>
      </c>
      <c r="E7100" s="34" t="n">
        <v>40380</v>
      </c>
      <c r="F7100" t="inlineStr">
        <is>
          <t>B</t>
        </is>
      </c>
      <c r="G7100" s="34" t="n">
        <v>6447</v>
      </c>
      <c r="H7100" s="34" t="n">
        <v>33933</v>
      </c>
      <c r="I7100" t="inlineStr">
        <is>
          <t>3.2</t>
        </is>
      </c>
      <c r="J7100" t="inlineStr">
        <is>
          <t>Ventas Personas (B2C)</t>
        </is>
      </c>
      <c r="K7100" t="inlineStr">
        <is>
          <t>CH2</t>
        </is>
      </c>
    </row>
    <row r="7101">
      <c r="A7101" s="33" t="n">
        <v>46151</v>
      </c>
      <c r="B7101" t="inlineStr">
        <is>
          <t>2026-05</t>
        </is>
      </c>
      <c r="C7101" t="inlineStr">
        <is>
          <t>Sin cliente</t>
        </is>
      </c>
      <c r="D7101" t="inlineStr">
        <is>
          <t>Rellenos</t>
        </is>
      </c>
      <c r="E7101" s="34" t="n">
        <v>45800</v>
      </c>
      <c r="F7101" t="inlineStr">
        <is>
          <t>B</t>
        </is>
      </c>
      <c r="G7101" s="34" t="n">
        <v>7313</v>
      </c>
      <c r="H7101" s="34" t="n">
        <v>38487</v>
      </c>
      <c r="I7101" t="inlineStr">
        <is>
          <t>3.2</t>
        </is>
      </c>
      <c r="J7101" t="inlineStr">
        <is>
          <t>Ventas Personas (B2C)</t>
        </is>
      </c>
      <c r="K7101" t="inlineStr">
        <is>
          <t>CH2</t>
        </is>
      </c>
    </row>
    <row r="7102">
      <c r="A7102" s="33" t="n">
        <v>46151</v>
      </c>
      <c r="B7102" t="inlineStr">
        <is>
          <t>2026-05</t>
        </is>
      </c>
      <c r="C7102" t="inlineStr">
        <is>
          <t>Sin cliente</t>
        </is>
      </c>
      <c r="D7102" t="inlineStr">
        <is>
          <t>Rellenos</t>
        </is>
      </c>
      <c r="E7102" s="34" t="n">
        <v>18900</v>
      </c>
      <c r="F7102" t="inlineStr">
        <is>
          <t>B</t>
        </is>
      </c>
      <c r="G7102" s="34" t="n">
        <v>3018</v>
      </c>
      <c r="H7102" s="34" t="n">
        <v>15882</v>
      </c>
      <c r="I7102" t="inlineStr">
        <is>
          <t>3.2</t>
        </is>
      </c>
      <c r="J7102" t="inlineStr">
        <is>
          <t>Ventas Personas (B2C)</t>
        </is>
      </c>
      <c r="K7102" t="inlineStr">
        <is>
          <t>CH2</t>
        </is>
      </c>
    </row>
    <row r="7103">
      <c r="A7103" s="33" t="n">
        <v>46151</v>
      </c>
      <c r="B7103" t="inlineStr">
        <is>
          <t>2026-05</t>
        </is>
      </c>
      <c r="C7103" t="inlineStr">
        <is>
          <t>Sin cliente</t>
        </is>
      </c>
      <c r="D7103" t="inlineStr">
        <is>
          <t>Cafeteria Geronimo</t>
        </is>
      </c>
      <c r="E7103" s="34" t="n">
        <v>20400</v>
      </c>
      <c r="F7103" t="inlineStr">
        <is>
          <t>B</t>
        </is>
      </c>
      <c r="G7103" s="34" t="n">
        <v>3257</v>
      </c>
      <c r="H7103" s="34" t="n">
        <v>17143</v>
      </c>
      <c r="I7103" t="inlineStr">
        <is>
          <t>3.2</t>
        </is>
      </c>
      <c r="J7103" t="inlineStr">
        <is>
          <t>Ventas Personas (B2C)</t>
        </is>
      </c>
      <c r="K7103" t="inlineStr">
        <is>
          <t>CH2</t>
        </is>
      </c>
    </row>
    <row r="7104">
      <c r="A7104" s="33" t="n">
        <v>46151</v>
      </c>
      <c r="B7104" t="inlineStr">
        <is>
          <t>2026-05</t>
        </is>
      </c>
      <c r="C7104" t="inlineStr">
        <is>
          <t>Sin cliente</t>
        </is>
      </c>
      <c r="D7104" t="inlineStr">
        <is>
          <t>Rellenos</t>
        </is>
      </c>
      <c r="E7104" s="34" t="n">
        <v>16000</v>
      </c>
      <c r="F7104" t="inlineStr">
        <is>
          <t>B</t>
        </is>
      </c>
      <c r="G7104" s="34" t="n">
        <v>2555</v>
      </c>
      <c r="H7104" s="34" t="n">
        <v>13445</v>
      </c>
      <c r="I7104" t="inlineStr">
        <is>
          <t>3.2</t>
        </is>
      </c>
      <c r="J7104" t="inlineStr">
        <is>
          <t>Ventas Personas (B2C)</t>
        </is>
      </c>
      <c r="K7104" t="inlineStr">
        <is>
          <t>CH2</t>
        </is>
      </c>
    </row>
    <row r="7105">
      <c r="A7105" s="33" t="n">
        <v>46151</v>
      </c>
      <c r="B7105" t="inlineStr">
        <is>
          <t>2026-05</t>
        </is>
      </c>
      <c r="C7105" t="inlineStr">
        <is>
          <t>Camila Corvalán</t>
        </is>
      </c>
      <c r="D7105" t="inlineStr">
        <is>
          <t>Regalos</t>
        </is>
      </c>
      <c r="E7105" s="34" t="n">
        <v>30880</v>
      </c>
      <c r="F7105" t="inlineStr">
        <is>
          <t>B</t>
        </is>
      </c>
      <c r="G7105" s="34" t="n">
        <v>4930</v>
      </c>
      <c r="H7105" s="34" t="n">
        <v>25950</v>
      </c>
      <c r="I7105" t="inlineStr">
        <is>
          <t>3.2</t>
        </is>
      </c>
      <c r="J7105" t="inlineStr">
        <is>
          <t>Ventas Personas (B2C)</t>
        </is>
      </c>
      <c r="K7105" t="inlineStr">
        <is>
          <t>CH2</t>
        </is>
      </c>
    </row>
    <row r="7106">
      <c r="A7106" s="33" t="n">
        <v>46151</v>
      </c>
      <c r="B7106" t="inlineStr">
        <is>
          <t>2026-05</t>
        </is>
      </c>
      <c r="C7106" t="inlineStr">
        <is>
          <t>Patricia Aguila</t>
        </is>
      </c>
      <c r="D7106" t="inlineStr">
        <is>
          <t>Canelé Petit Relleno</t>
        </is>
      </c>
      <c r="E7106" s="34" t="n">
        <v>45890</v>
      </c>
      <c r="F7106" t="inlineStr">
        <is>
          <t>B</t>
        </is>
      </c>
      <c r="G7106" s="34" t="n">
        <v>7327</v>
      </c>
      <c r="H7106" s="34" t="n">
        <v>38563</v>
      </c>
      <c r="I7106" t="inlineStr">
        <is>
          <t>3.2</t>
        </is>
      </c>
      <c r="J7106" t="inlineStr">
        <is>
          <t>Ventas Personas (B2C)</t>
        </is>
      </c>
      <c r="K7106" t="inlineStr">
        <is>
          <t>CH2</t>
        </is>
      </c>
    </row>
    <row r="7107">
      <c r="A7107" s="33" t="n">
        <v>46151</v>
      </c>
      <c r="B7107" t="inlineStr">
        <is>
          <t>2026-05</t>
        </is>
      </c>
      <c r="C7107" t="inlineStr">
        <is>
          <t>Camila Corvalán</t>
        </is>
      </c>
      <c r="D7107" t="inlineStr">
        <is>
          <t>Mix Sabores</t>
        </is>
      </c>
      <c r="E7107" s="34" t="n">
        <v>20890</v>
      </c>
      <c r="F7107" t="inlineStr">
        <is>
          <t>B</t>
        </is>
      </c>
      <c r="G7107" s="34" t="n">
        <v>3335</v>
      </c>
      <c r="H7107" s="34" t="n">
        <v>17555</v>
      </c>
      <c r="I7107" t="inlineStr">
        <is>
          <t>3.2</t>
        </is>
      </c>
      <c r="J7107" t="inlineStr">
        <is>
          <t>Ventas Personas (B2C)</t>
        </is>
      </c>
      <c r="K7107" t="inlineStr">
        <is>
          <t>CH2</t>
        </is>
      </c>
    </row>
    <row r="7108">
      <c r="A7108" s="33" t="n">
        <v>46151</v>
      </c>
      <c r="B7108" t="inlineStr">
        <is>
          <t>2026-05</t>
        </is>
      </c>
      <c r="C7108" t="inlineStr">
        <is>
          <t>Sin cliente</t>
        </is>
      </c>
      <c r="D7108" t="inlineStr">
        <is>
          <t>Canelé Petit Relleno</t>
        </is>
      </c>
      <c r="E7108" s="34" t="n">
        <v>29900</v>
      </c>
      <c r="F7108" t="inlineStr">
        <is>
          <t>B</t>
        </is>
      </c>
      <c r="G7108" s="34" t="n">
        <v>4774</v>
      </c>
      <c r="H7108" s="34" t="n">
        <v>25126</v>
      </c>
      <c r="I7108" t="inlineStr">
        <is>
          <t>3.2</t>
        </is>
      </c>
      <c r="J7108" t="inlineStr">
        <is>
          <t>Ventas Personas (B2C)</t>
        </is>
      </c>
      <c r="K7108" t="inlineStr">
        <is>
          <t>CH2</t>
        </is>
      </c>
    </row>
    <row r="7109">
      <c r="A7109" s="33" t="n">
        <v>46151</v>
      </c>
      <c r="B7109" t="inlineStr">
        <is>
          <t>2026-05</t>
        </is>
      </c>
      <c r="C7109" t="inlineStr">
        <is>
          <t>Sin cliente</t>
        </is>
      </c>
      <c r="D7109" t="inlineStr">
        <is>
          <t>CANELÉ TRADICIONAL</t>
        </is>
      </c>
      <c r="E7109" s="34" t="n">
        <v>34800</v>
      </c>
      <c r="F7109" t="inlineStr">
        <is>
          <t>B</t>
        </is>
      </c>
      <c r="G7109" s="34" t="n">
        <v>5556</v>
      </c>
      <c r="H7109" s="34" t="n">
        <v>29244</v>
      </c>
      <c r="I7109" t="inlineStr">
        <is>
          <t>3.2</t>
        </is>
      </c>
      <c r="J7109" t="inlineStr">
        <is>
          <t>Ventas Personas (B2C)</t>
        </is>
      </c>
      <c r="K7109" t="inlineStr">
        <is>
          <t>CH2</t>
        </is>
      </c>
    </row>
    <row r="7110">
      <c r="A7110" s="33" t="n">
        <v>46151</v>
      </c>
      <c r="B7110" t="inlineStr">
        <is>
          <t>2026-05</t>
        </is>
      </c>
      <c r="C7110" t="inlineStr">
        <is>
          <t>Sin cliente</t>
        </is>
      </c>
      <c r="D7110" t="inlineStr">
        <is>
          <t>Rellenos</t>
        </is>
      </c>
      <c r="E7110" s="34" t="n">
        <v>22100</v>
      </c>
      <c r="F7110" t="inlineStr">
        <is>
          <t>B</t>
        </is>
      </c>
      <c r="G7110" s="34" t="n">
        <v>3529</v>
      </c>
      <c r="H7110" s="34" t="n">
        <v>18571</v>
      </c>
      <c r="I7110" t="inlineStr">
        <is>
          <t>3.2</t>
        </is>
      </c>
      <c r="J7110" t="inlineStr">
        <is>
          <t>Ventas Personas (B2C)</t>
        </is>
      </c>
      <c r="K7110" t="inlineStr">
        <is>
          <t>CH2</t>
        </is>
      </c>
    </row>
    <row r="7111">
      <c r="A7111" s="33" t="n">
        <v>46151</v>
      </c>
      <c r="B7111" t="inlineStr">
        <is>
          <t>2026-05</t>
        </is>
      </c>
      <c r="C7111" t="inlineStr">
        <is>
          <t>Victor Gonzalez</t>
        </is>
      </c>
      <c r="D7111" t="inlineStr">
        <is>
          <t>Regalos</t>
        </is>
      </c>
      <c r="E7111" s="34" t="n">
        <v>25890</v>
      </c>
      <c r="F7111" t="inlineStr">
        <is>
          <t>B</t>
        </is>
      </c>
      <c r="G7111" s="34" t="n">
        <v>4134</v>
      </c>
      <c r="H7111" s="34" t="n">
        <v>21756</v>
      </c>
      <c r="I7111" t="inlineStr">
        <is>
          <t>3.2</t>
        </is>
      </c>
      <c r="J7111" t="inlineStr">
        <is>
          <t>Ventas Personas (B2C)</t>
        </is>
      </c>
      <c r="K7111" t="inlineStr">
        <is>
          <t>CH2</t>
        </is>
      </c>
    </row>
    <row r="7112">
      <c r="A7112" s="33" t="n">
        <v>46151</v>
      </c>
      <c r="B7112" t="inlineStr">
        <is>
          <t>2026-05</t>
        </is>
      </c>
      <c r="C7112" t="inlineStr">
        <is>
          <t>Sin cliente</t>
        </is>
      </c>
      <c r="D7112" t="inlineStr">
        <is>
          <t>Rellenos</t>
        </is>
      </c>
      <c r="E7112" s="34" t="n">
        <v>30400</v>
      </c>
      <c r="F7112" t="inlineStr">
        <is>
          <t>B</t>
        </is>
      </c>
      <c r="G7112" s="34" t="n">
        <v>4854</v>
      </c>
      <c r="H7112" s="34" t="n">
        <v>25546</v>
      </c>
      <c r="I7112" t="inlineStr">
        <is>
          <t>3.2</t>
        </is>
      </c>
      <c r="J7112" t="inlineStr">
        <is>
          <t>Ventas Personas (B2C)</t>
        </is>
      </c>
      <c r="K7112" t="inlineStr">
        <is>
          <t>CH2</t>
        </is>
      </c>
    </row>
    <row r="7113">
      <c r="A7113" s="33" t="n">
        <v>46151</v>
      </c>
      <c r="B7113" t="inlineStr">
        <is>
          <t>2026-05</t>
        </is>
      </c>
      <c r="C7113" t="inlineStr">
        <is>
          <t>Sin cliente</t>
        </is>
      </c>
      <c r="D7113" t="inlineStr">
        <is>
          <t>CANELÉ TRADICIONAL</t>
        </is>
      </c>
      <c r="E7113" s="34" t="n">
        <v>25900</v>
      </c>
      <c r="F7113" t="inlineStr">
        <is>
          <t>B</t>
        </is>
      </c>
      <c r="G7113" s="34" t="n">
        <v>4135</v>
      </c>
      <c r="H7113" s="34" t="n">
        <v>21765</v>
      </c>
      <c r="I7113" t="inlineStr">
        <is>
          <t>3.2</t>
        </is>
      </c>
      <c r="J7113" t="inlineStr">
        <is>
          <t>Ventas Personas (B2C)</t>
        </is>
      </c>
      <c r="K7113" t="inlineStr">
        <is>
          <t>CH2</t>
        </is>
      </c>
    </row>
    <row r="7114">
      <c r="A7114" s="33" t="n">
        <v>46151</v>
      </c>
      <c r="B7114" t="inlineStr">
        <is>
          <t>2026-05</t>
        </is>
      </c>
      <c r="C7114" t="inlineStr">
        <is>
          <t>Sin cliente</t>
        </is>
      </c>
      <c r="D7114" t="inlineStr">
        <is>
          <t>CANELÉ TRADICIONAL</t>
        </is>
      </c>
      <c r="E7114" s="34" t="n">
        <v>44800</v>
      </c>
      <c r="F7114" t="inlineStr">
        <is>
          <t>B</t>
        </is>
      </c>
      <c r="G7114" s="34" t="n">
        <v>7153</v>
      </c>
      <c r="H7114" s="34" t="n">
        <v>37647</v>
      </c>
      <c r="I7114" t="inlineStr">
        <is>
          <t>3.2</t>
        </is>
      </c>
      <c r="J7114" t="inlineStr">
        <is>
          <t>Ventas Personas (B2C)</t>
        </is>
      </c>
      <c r="K7114" t="inlineStr">
        <is>
          <t>CH2</t>
        </is>
      </c>
    </row>
    <row r="7115">
      <c r="A7115" s="33" t="n">
        <v>46151</v>
      </c>
      <c r="B7115" t="inlineStr">
        <is>
          <t>2026-05</t>
        </is>
      </c>
      <c r="C7115" t="inlineStr">
        <is>
          <t>Sin cliente</t>
        </is>
      </c>
      <c r="D7115" t="inlineStr">
        <is>
          <t>Rellenos</t>
        </is>
      </c>
      <c r="E7115" s="34" t="n">
        <v>10500</v>
      </c>
      <c r="F7115" t="inlineStr">
        <is>
          <t>B</t>
        </is>
      </c>
      <c r="G7115" s="34" t="n">
        <v>1676</v>
      </c>
      <c r="H7115" s="34" t="n">
        <v>8824</v>
      </c>
      <c r="I7115" t="inlineStr">
        <is>
          <t>3.2</t>
        </is>
      </c>
      <c r="J7115" t="inlineStr">
        <is>
          <t>Ventas Personas (B2C)</t>
        </is>
      </c>
      <c r="K7115" t="inlineStr">
        <is>
          <t>CH2</t>
        </is>
      </c>
    </row>
    <row r="7116">
      <c r="A7116" s="33" t="n">
        <v>46151</v>
      </c>
      <c r="B7116" t="inlineStr">
        <is>
          <t>2026-05</t>
        </is>
      </c>
      <c r="C7116" t="inlineStr">
        <is>
          <t>Antonio Pardo</t>
        </is>
      </c>
      <c r="D7116" t="inlineStr">
        <is>
          <t>CANELÉ TRADICIONAL</t>
        </is>
      </c>
      <c r="E7116" s="34" t="n">
        <v>51690</v>
      </c>
      <c r="F7116" t="inlineStr">
        <is>
          <t>B</t>
        </is>
      </c>
      <c r="G7116" s="34" t="n">
        <v>8253</v>
      </c>
      <c r="H7116" s="34" t="n">
        <v>43437</v>
      </c>
      <c r="I7116" t="inlineStr">
        <is>
          <t>3.2</t>
        </is>
      </c>
      <c r="J7116" t="inlineStr">
        <is>
          <t>Ventas Personas (B2C)</t>
        </is>
      </c>
      <c r="K7116" t="inlineStr">
        <is>
          <t>CH2</t>
        </is>
      </c>
    </row>
    <row r="7117">
      <c r="A7117" s="33" t="n">
        <v>46151</v>
      </c>
      <c r="B7117" t="inlineStr">
        <is>
          <t>2026-05</t>
        </is>
      </c>
      <c r="C7117" t="inlineStr">
        <is>
          <t>Sin cliente</t>
        </is>
      </c>
      <c r="D7117" t="inlineStr">
        <is>
          <t>PLATAFORMAS RAP-PEYA-UBER-GOOD</t>
        </is>
      </c>
      <c r="E7117" s="34" t="n">
        <v>23890</v>
      </c>
      <c r="F7117" t="inlineStr">
        <is>
          <t>B</t>
        </is>
      </c>
      <c r="G7117" s="34" t="n">
        <v>3814</v>
      </c>
      <c r="H7117" s="34" t="n">
        <v>20076</v>
      </c>
      <c r="I7117" t="inlineStr">
        <is>
          <t>3.6</t>
        </is>
      </c>
      <c r="J7117" t="inlineStr">
        <is>
          <t>Ventas Delivery Apps</t>
        </is>
      </c>
      <c r="K7117" t="inlineStr">
        <is>
          <t>CH3</t>
        </is>
      </c>
    </row>
    <row r="7118">
      <c r="A7118" s="33" t="n">
        <v>46151</v>
      </c>
      <c r="B7118" t="inlineStr">
        <is>
          <t>2026-05</t>
        </is>
      </c>
      <c r="C7118" t="inlineStr">
        <is>
          <t>Sin cliente</t>
        </is>
      </c>
      <c r="D7118" t="inlineStr">
        <is>
          <t>Rellenos</t>
        </is>
      </c>
      <c r="E7118" s="34" t="n">
        <v>18900</v>
      </c>
      <c r="F7118" t="inlineStr">
        <is>
          <t>B</t>
        </is>
      </c>
      <c r="G7118" s="34" t="n">
        <v>3018</v>
      </c>
      <c r="H7118" s="34" t="n">
        <v>15882</v>
      </c>
      <c r="I7118" t="inlineStr">
        <is>
          <t>3.2</t>
        </is>
      </c>
      <c r="J7118" t="inlineStr">
        <is>
          <t>Ventas Personas (B2C)</t>
        </is>
      </c>
      <c r="K7118" t="inlineStr">
        <is>
          <t>CH2</t>
        </is>
      </c>
    </row>
    <row r="7119">
      <c r="A7119" s="33" t="n">
        <v>46151</v>
      </c>
      <c r="B7119" t="inlineStr">
        <is>
          <t>2026-05</t>
        </is>
      </c>
      <c r="C7119" t="inlineStr">
        <is>
          <t>Sin cliente</t>
        </is>
      </c>
      <c r="D7119" t="inlineStr">
        <is>
          <t>PLATAFORMAS RAP-PEYA-UBER-GOOD</t>
        </is>
      </c>
      <c r="E7119" s="34" t="n">
        <v>16590</v>
      </c>
      <c r="F7119" t="inlineStr">
        <is>
          <t>B</t>
        </is>
      </c>
      <c r="G7119" s="34" t="n">
        <v>2649</v>
      </c>
      <c r="H7119" s="34" t="n">
        <v>13941</v>
      </c>
      <c r="I7119" t="inlineStr">
        <is>
          <t>3.6</t>
        </is>
      </c>
      <c r="J7119" t="inlineStr">
        <is>
          <t>Ventas Delivery Apps</t>
        </is>
      </c>
      <c r="K7119" t="inlineStr">
        <is>
          <t>CH3</t>
        </is>
      </c>
    </row>
    <row r="7120">
      <c r="A7120" s="33" t="n">
        <v>46151</v>
      </c>
      <c r="B7120" t="inlineStr">
        <is>
          <t>2026-05</t>
        </is>
      </c>
      <c r="C7120" t="inlineStr">
        <is>
          <t>Sin cliente</t>
        </is>
      </c>
      <c r="D7120" t="inlineStr">
        <is>
          <t>Mix Sabores</t>
        </is>
      </c>
      <c r="E7120" s="34" t="n">
        <v>22500</v>
      </c>
      <c r="F7120" t="inlineStr">
        <is>
          <t>B</t>
        </is>
      </c>
      <c r="G7120" s="34" t="n">
        <v>3592</v>
      </c>
      <c r="H7120" s="34" t="n">
        <v>18908</v>
      </c>
      <c r="I7120" t="inlineStr">
        <is>
          <t>3.2</t>
        </is>
      </c>
      <c r="J7120" t="inlineStr">
        <is>
          <t>Ventas Personas (B2C)</t>
        </is>
      </c>
      <c r="K7120" t="inlineStr">
        <is>
          <t>CH2</t>
        </is>
      </c>
    </row>
    <row r="7121">
      <c r="A7121" s="33" t="n">
        <v>46151</v>
      </c>
      <c r="B7121" t="inlineStr">
        <is>
          <t>2026-05</t>
        </is>
      </c>
      <c r="C7121" t="inlineStr">
        <is>
          <t>Sin cliente</t>
        </is>
      </c>
      <c r="D7121" t="inlineStr">
        <is>
          <t>Rellenos</t>
        </is>
      </c>
      <c r="E7121" s="34" t="n">
        <v>23400</v>
      </c>
      <c r="F7121" t="inlineStr">
        <is>
          <t>B</t>
        </is>
      </c>
      <c r="G7121" s="34" t="n">
        <v>3736</v>
      </c>
      <c r="H7121" s="34" t="n">
        <v>19664</v>
      </c>
      <c r="I7121" t="inlineStr">
        <is>
          <t>3.2</t>
        </is>
      </c>
      <c r="J7121" t="inlineStr">
        <is>
          <t>Ventas Personas (B2C)</t>
        </is>
      </c>
      <c r="K7121" t="inlineStr">
        <is>
          <t>CH2</t>
        </is>
      </c>
    </row>
    <row r="7122">
      <c r="A7122" s="33" t="n">
        <v>46151</v>
      </c>
      <c r="B7122" t="inlineStr">
        <is>
          <t>2026-05</t>
        </is>
      </c>
      <c r="C7122" t="inlineStr">
        <is>
          <t>Sin cliente</t>
        </is>
      </c>
      <c r="D7122" t="inlineStr">
        <is>
          <t>CANELÉ TRADICIONAL</t>
        </is>
      </c>
      <c r="E7122" s="34" t="n">
        <v>27900</v>
      </c>
      <c r="F7122" t="inlineStr">
        <is>
          <t>B</t>
        </is>
      </c>
      <c r="G7122" s="34" t="n">
        <v>4455</v>
      </c>
      <c r="H7122" s="34" t="n">
        <v>23445</v>
      </c>
      <c r="I7122" t="inlineStr">
        <is>
          <t>3.2</t>
        </is>
      </c>
      <c r="J7122" t="inlineStr">
        <is>
          <t>Ventas Personas (B2C)</t>
        </is>
      </c>
      <c r="K7122" t="inlineStr">
        <is>
          <t>CH2</t>
        </is>
      </c>
    </row>
    <row r="7123">
      <c r="A7123" s="33" t="n">
        <v>46151</v>
      </c>
      <c r="B7123" t="inlineStr">
        <is>
          <t>2026-05</t>
        </is>
      </c>
      <c r="C7123" t="inlineStr">
        <is>
          <t>Sin cliente</t>
        </is>
      </c>
      <c r="D7123" t="inlineStr">
        <is>
          <t>Rellenos</t>
        </is>
      </c>
      <c r="E7123" s="34" t="n">
        <v>25900</v>
      </c>
      <c r="F7123" t="inlineStr">
        <is>
          <t>B</t>
        </is>
      </c>
      <c r="G7123" s="34" t="n">
        <v>4135</v>
      </c>
      <c r="H7123" s="34" t="n">
        <v>21765</v>
      </c>
      <c r="I7123" t="inlineStr">
        <is>
          <t>3.2</t>
        </is>
      </c>
      <c r="J7123" t="inlineStr">
        <is>
          <t>Ventas Personas (B2C)</t>
        </is>
      </c>
      <c r="K7123" t="inlineStr">
        <is>
          <t>CH2</t>
        </is>
      </c>
    </row>
    <row r="7124">
      <c r="A7124" s="33" t="n">
        <v>46151</v>
      </c>
      <c r="B7124" t="inlineStr">
        <is>
          <t>2026-05</t>
        </is>
      </c>
      <c r="C7124" t="inlineStr">
        <is>
          <t>Manuk Masseredjian</t>
        </is>
      </c>
      <c r="D7124" t="inlineStr">
        <is>
          <t>Petit Tradicional</t>
        </is>
      </c>
      <c r="E7124" s="34" t="n">
        <v>27790</v>
      </c>
      <c r="F7124" t="inlineStr">
        <is>
          <t>B</t>
        </is>
      </c>
      <c r="G7124" s="34" t="n">
        <v>4437</v>
      </c>
      <c r="H7124" s="34" t="n">
        <v>23353</v>
      </c>
      <c r="I7124" t="inlineStr">
        <is>
          <t>3.2</t>
        </is>
      </c>
      <c r="J7124" t="inlineStr">
        <is>
          <t>Ventas Personas (B2C)</t>
        </is>
      </c>
      <c r="K7124" t="inlineStr">
        <is>
          <t>CH2</t>
        </is>
      </c>
    </row>
    <row r="7125">
      <c r="A7125" s="33" t="n">
        <v>46151</v>
      </c>
      <c r="B7125" t="inlineStr">
        <is>
          <t>2026-05</t>
        </is>
      </c>
      <c r="C7125" t="inlineStr">
        <is>
          <t>Sin cliente</t>
        </is>
      </c>
      <c r="D7125" t="inlineStr">
        <is>
          <t>Mix Sabores</t>
        </is>
      </c>
      <c r="E7125" s="34" t="n">
        <v>8700</v>
      </c>
      <c r="F7125" t="inlineStr">
        <is>
          <t>B</t>
        </is>
      </c>
      <c r="G7125" s="34" t="n">
        <v>1389</v>
      </c>
      <c r="H7125" s="34" t="n">
        <v>7311</v>
      </c>
      <c r="I7125" t="inlineStr">
        <is>
          <t>3.2</t>
        </is>
      </c>
      <c r="J7125" t="inlineStr">
        <is>
          <t>Ventas Personas (B2C)</t>
        </is>
      </c>
      <c r="K7125" t="inlineStr">
        <is>
          <t>CH2</t>
        </is>
      </c>
    </row>
    <row r="7126">
      <c r="A7126" s="33" t="n">
        <v>46151</v>
      </c>
      <c r="B7126" t="inlineStr">
        <is>
          <t>2026-05</t>
        </is>
      </c>
      <c r="C7126" t="inlineStr">
        <is>
          <t>Sin cliente</t>
        </is>
      </c>
      <c r="D7126" t="inlineStr">
        <is>
          <t>Petit Tradicional</t>
        </is>
      </c>
      <c r="E7126" s="34" t="n">
        <v>13800</v>
      </c>
      <c r="F7126" t="inlineStr">
        <is>
          <t>B</t>
        </is>
      </c>
      <c r="G7126" s="34" t="n">
        <v>2203</v>
      </c>
      <c r="H7126" s="34" t="n">
        <v>11597</v>
      </c>
      <c r="I7126" t="inlineStr">
        <is>
          <t>3.2</t>
        </is>
      </c>
      <c r="J7126" t="inlineStr">
        <is>
          <t>Ventas Personas (B2C)</t>
        </is>
      </c>
      <c r="K7126" t="inlineStr">
        <is>
          <t>CH2</t>
        </is>
      </c>
    </row>
    <row r="7127">
      <c r="A7127" s="33" t="n">
        <v>46151</v>
      </c>
      <c r="B7127" t="inlineStr">
        <is>
          <t>2026-05</t>
        </is>
      </c>
      <c r="C7127" t="inlineStr">
        <is>
          <t>Sin cliente</t>
        </is>
      </c>
      <c r="D7127" t="inlineStr">
        <is>
          <t>Rellenos</t>
        </is>
      </c>
      <c r="E7127" s="34" t="n">
        <v>25900</v>
      </c>
      <c r="F7127" t="inlineStr">
        <is>
          <t>B</t>
        </is>
      </c>
      <c r="G7127" s="34" t="n">
        <v>4135</v>
      </c>
      <c r="H7127" s="34" t="n">
        <v>21765</v>
      </c>
      <c r="I7127" t="inlineStr">
        <is>
          <t>3.2</t>
        </is>
      </c>
      <c r="J7127" t="inlineStr">
        <is>
          <t>Ventas Personas (B2C)</t>
        </is>
      </c>
      <c r="K7127" t="inlineStr">
        <is>
          <t>CH2</t>
        </is>
      </c>
    </row>
    <row r="7128">
      <c r="A7128" s="33" t="n">
        <v>46151</v>
      </c>
      <c r="B7128" t="inlineStr">
        <is>
          <t>2026-05</t>
        </is>
      </c>
      <c r="C7128" t="inlineStr">
        <is>
          <t>Fernando Larrain</t>
        </is>
      </c>
      <c r="D7128" t="inlineStr">
        <is>
          <t>Regalos</t>
        </is>
      </c>
      <c r="E7128" s="34" t="n">
        <v>33380</v>
      </c>
      <c r="F7128" t="inlineStr">
        <is>
          <t>B</t>
        </is>
      </c>
      <c r="G7128" s="34" t="n">
        <v>5330</v>
      </c>
      <c r="H7128" s="34" t="n">
        <v>28050</v>
      </c>
      <c r="I7128" t="inlineStr">
        <is>
          <t>3.2</t>
        </is>
      </c>
      <c r="J7128" t="inlineStr">
        <is>
          <t>Ventas Personas (B2C)</t>
        </is>
      </c>
      <c r="K7128" t="inlineStr">
        <is>
          <t>CH2</t>
        </is>
      </c>
    </row>
    <row r="7129">
      <c r="A7129" s="33" t="n">
        <v>46151</v>
      </c>
      <c r="B7129" t="inlineStr">
        <is>
          <t>2026-05</t>
        </is>
      </c>
      <c r="C7129" t="inlineStr">
        <is>
          <t>Sin cliente</t>
        </is>
      </c>
      <c r="D7129" t="inlineStr">
        <is>
          <t>Cafeteria Geronimo</t>
        </is>
      </c>
      <c r="E7129" s="34" t="n">
        <v>4000</v>
      </c>
      <c r="F7129" t="inlineStr">
        <is>
          <t>B</t>
        </is>
      </c>
      <c r="G7129" s="34" t="n">
        <v>639</v>
      </c>
      <c r="H7129" s="34" t="n">
        <v>3361</v>
      </c>
      <c r="I7129" t="inlineStr">
        <is>
          <t>3.2</t>
        </is>
      </c>
      <c r="J7129" t="inlineStr">
        <is>
          <t>Ventas Personas (B2C)</t>
        </is>
      </c>
      <c r="K7129" t="inlineStr">
        <is>
          <t>CH2</t>
        </is>
      </c>
    </row>
    <row r="7130">
      <c r="A7130" s="33" t="n">
        <v>46151</v>
      </c>
      <c r="B7130" t="inlineStr">
        <is>
          <t>2026-05</t>
        </is>
      </c>
      <c r="C7130" t="inlineStr">
        <is>
          <t>Cecilia Gallardo Hidalgo</t>
        </is>
      </c>
      <c r="D7130" t="inlineStr">
        <is>
          <t>CANELE SIN AZUCAR</t>
        </is>
      </c>
      <c r="E7130" s="34" t="n">
        <v>24800</v>
      </c>
      <c r="F7130" t="inlineStr">
        <is>
          <t>B</t>
        </is>
      </c>
      <c r="G7130" s="34" t="n">
        <v>3960</v>
      </c>
      <c r="H7130" s="34" t="n">
        <v>20840</v>
      </c>
      <c r="I7130" t="inlineStr">
        <is>
          <t>3.2</t>
        </is>
      </c>
      <c r="J7130" t="inlineStr">
        <is>
          <t>Ventas Personas (B2C)</t>
        </is>
      </c>
      <c r="K7130" t="inlineStr">
        <is>
          <t>CH2</t>
        </is>
      </c>
    </row>
    <row r="7131">
      <c r="A7131" s="33" t="n">
        <v>46151</v>
      </c>
      <c r="B7131" t="inlineStr">
        <is>
          <t>2026-05</t>
        </is>
      </c>
      <c r="C7131" t="inlineStr">
        <is>
          <t>Sin cliente</t>
        </is>
      </c>
      <c r="D7131" t="inlineStr">
        <is>
          <t>PLATAFORMAS RAP-PEYA-UBER-GOOD</t>
        </is>
      </c>
      <c r="E7131" s="34" t="n">
        <v>27480</v>
      </c>
      <c r="F7131" t="inlineStr">
        <is>
          <t>B</t>
        </is>
      </c>
      <c r="G7131" s="34" t="n">
        <v>4388</v>
      </c>
      <c r="H7131" s="34" t="n">
        <v>23092</v>
      </c>
      <c r="I7131" t="inlineStr">
        <is>
          <t>3.6</t>
        </is>
      </c>
      <c r="J7131" t="inlineStr">
        <is>
          <t>Ventas Delivery Apps</t>
        </is>
      </c>
      <c r="K7131" t="inlineStr">
        <is>
          <t>CH3</t>
        </is>
      </c>
    </row>
    <row r="7132">
      <c r="A7132" s="33" t="n">
        <v>46151</v>
      </c>
      <c r="B7132" t="inlineStr">
        <is>
          <t>2026-05</t>
        </is>
      </c>
      <c r="C7132" t="inlineStr">
        <is>
          <t>Sin cliente</t>
        </is>
      </c>
      <c r="D7132" t="inlineStr">
        <is>
          <t>PLATAFORMAS RAP-PEYA-UBER-GOOD</t>
        </is>
      </c>
      <c r="E7132" s="34" t="n">
        <v>33490</v>
      </c>
      <c r="F7132" t="inlineStr">
        <is>
          <t>B</t>
        </is>
      </c>
      <c r="G7132" s="34" t="n">
        <v>5347</v>
      </c>
      <c r="H7132" s="34" t="n">
        <v>28143</v>
      </c>
      <c r="I7132" t="inlineStr">
        <is>
          <t>3.6</t>
        </is>
      </c>
      <c r="J7132" t="inlineStr">
        <is>
          <t>Ventas Delivery Apps</t>
        </is>
      </c>
      <c r="K7132" t="inlineStr">
        <is>
          <t>CH3</t>
        </is>
      </c>
    </row>
    <row r="7133">
      <c r="A7133" s="33" t="n">
        <v>46151</v>
      </c>
      <c r="B7133" t="inlineStr">
        <is>
          <t>2026-05</t>
        </is>
      </c>
      <c r="C7133" t="inlineStr">
        <is>
          <t>Sin cliente</t>
        </is>
      </c>
      <c r="D7133" t="inlineStr">
        <is>
          <t>Cafeteria Geronimo</t>
        </is>
      </c>
      <c r="E7133" s="34" t="n">
        <v>9700</v>
      </c>
      <c r="F7133" t="inlineStr">
        <is>
          <t>B</t>
        </is>
      </c>
      <c r="G7133" s="34" t="n">
        <v>1549</v>
      </c>
      <c r="H7133" s="34" t="n">
        <v>8151</v>
      </c>
      <c r="I7133" t="inlineStr">
        <is>
          <t>3.2</t>
        </is>
      </c>
      <c r="J7133" t="inlineStr">
        <is>
          <t>Ventas Personas (B2C)</t>
        </is>
      </c>
      <c r="K7133" t="inlineStr">
        <is>
          <t>CH2</t>
        </is>
      </c>
    </row>
    <row r="7134">
      <c r="A7134" s="33" t="n">
        <v>46151</v>
      </c>
      <c r="B7134" t="inlineStr">
        <is>
          <t>2026-05</t>
        </is>
      </c>
      <c r="C7134" t="inlineStr">
        <is>
          <t>Sin cliente</t>
        </is>
      </c>
      <c r="D7134" t="inlineStr">
        <is>
          <t>Cafeteria Geronimo</t>
        </is>
      </c>
      <c r="E7134" s="34" t="n">
        <v>9300</v>
      </c>
      <c r="F7134" t="inlineStr">
        <is>
          <t>B</t>
        </is>
      </c>
      <c r="G7134" s="34" t="n">
        <v>1485</v>
      </c>
      <c r="H7134" s="34" t="n">
        <v>7815</v>
      </c>
      <c r="I7134" t="inlineStr">
        <is>
          <t>3.2</t>
        </is>
      </c>
      <c r="J7134" t="inlineStr">
        <is>
          <t>Ventas Personas (B2C)</t>
        </is>
      </c>
      <c r="K7134" t="inlineStr">
        <is>
          <t>CH2</t>
        </is>
      </c>
    </row>
    <row r="7135">
      <c r="A7135" s="33" t="n">
        <v>46151</v>
      </c>
      <c r="B7135" t="inlineStr">
        <is>
          <t>2026-05</t>
        </is>
      </c>
      <c r="C7135" t="inlineStr">
        <is>
          <t>Sin cliente</t>
        </is>
      </c>
      <c r="D7135" t="inlineStr">
        <is>
          <t>CANELÉ TRADICIONAL</t>
        </is>
      </c>
      <c r="E7135" s="34" t="n">
        <v>5000</v>
      </c>
      <c r="F7135" t="inlineStr">
        <is>
          <t>B</t>
        </is>
      </c>
      <c r="G7135" s="34" t="n">
        <v>798</v>
      </c>
      <c r="H7135" s="34" t="n">
        <v>4202</v>
      </c>
      <c r="I7135" t="inlineStr">
        <is>
          <t>3.2</t>
        </is>
      </c>
      <c r="J7135" t="inlineStr">
        <is>
          <t>Ventas Personas (B2C)</t>
        </is>
      </c>
      <c r="K7135" t="inlineStr">
        <is>
          <t>CH2</t>
        </is>
      </c>
    </row>
    <row r="7136">
      <c r="A7136" s="33" t="n">
        <v>46151</v>
      </c>
      <c r="B7136" t="inlineStr">
        <is>
          <t>2026-05</t>
        </is>
      </c>
      <c r="C7136" t="inlineStr">
        <is>
          <t>Sin cliente</t>
        </is>
      </c>
      <c r="D7136" t="inlineStr">
        <is>
          <t>Rellenos</t>
        </is>
      </c>
      <c r="E7136" s="34" t="n">
        <v>21900</v>
      </c>
      <c r="F7136" t="inlineStr">
        <is>
          <t>B</t>
        </is>
      </c>
      <c r="G7136" s="34" t="n">
        <v>3497</v>
      </c>
      <c r="H7136" s="34" t="n">
        <v>18403</v>
      </c>
      <c r="I7136" t="inlineStr">
        <is>
          <t>3.2</t>
        </is>
      </c>
      <c r="J7136" t="inlineStr">
        <is>
          <t>Ventas Personas (B2C)</t>
        </is>
      </c>
      <c r="K7136" t="inlineStr">
        <is>
          <t>CH2</t>
        </is>
      </c>
    </row>
    <row r="7137">
      <c r="A7137" s="33" t="n">
        <v>46151</v>
      </c>
      <c r="B7137" t="inlineStr">
        <is>
          <t>2026-05</t>
        </is>
      </c>
      <c r="C7137" t="inlineStr">
        <is>
          <t>Sin cliente</t>
        </is>
      </c>
      <c r="D7137" t="inlineStr">
        <is>
          <t>Cafeteria Geronimo</t>
        </is>
      </c>
      <c r="E7137" s="34" t="n">
        <v>9700</v>
      </c>
      <c r="F7137" t="inlineStr">
        <is>
          <t>B</t>
        </is>
      </c>
      <c r="G7137" s="34" t="n">
        <v>1549</v>
      </c>
      <c r="H7137" s="34" t="n">
        <v>8151</v>
      </c>
      <c r="I7137" t="inlineStr">
        <is>
          <t>3.2</t>
        </is>
      </c>
      <c r="J7137" t="inlineStr">
        <is>
          <t>Ventas Personas (B2C)</t>
        </is>
      </c>
      <c r="K7137" t="inlineStr">
        <is>
          <t>CH2</t>
        </is>
      </c>
    </row>
    <row r="7138">
      <c r="A7138" s="33" t="n">
        <v>46151</v>
      </c>
      <c r="B7138" t="inlineStr">
        <is>
          <t>2026-05</t>
        </is>
      </c>
      <c r="C7138" t="inlineStr">
        <is>
          <t>Sin cliente</t>
        </is>
      </c>
      <c r="D7138" t="inlineStr">
        <is>
          <t>Canelé Petit Relleno</t>
        </is>
      </c>
      <c r="E7138" s="34" t="n">
        <v>18900</v>
      </c>
      <c r="F7138" t="inlineStr">
        <is>
          <t>B</t>
        </is>
      </c>
      <c r="G7138" s="34" t="n">
        <v>3018</v>
      </c>
      <c r="H7138" s="34" t="n">
        <v>15882</v>
      </c>
      <c r="I7138" t="inlineStr">
        <is>
          <t>3.2</t>
        </is>
      </c>
      <c r="J7138" t="inlineStr">
        <is>
          <t>Ventas Personas (B2C)</t>
        </is>
      </c>
      <c r="K7138" t="inlineStr">
        <is>
          <t>CH2</t>
        </is>
      </c>
    </row>
    <row r="7139">
      <c r="A7139" s="33" t="n">
        <v>46151</v>
      </c>
      <c r="B7139" t="inlineStr">
        <is>
          <t>2026-05</t>
        </is>
      </c>
      <c r="C7139" t="inlineStr">
        <is>
          <t>Sin cliente</t>
        </is>
      </c>
      <c r="D7139" t="inlineStr">
        <is>
          <t>Rellenos</t>
        </is>
      </c>
      <c r="E7139" s="34" t="n">
        <v>25900</v>
      </c>
      <c r="F7139" t="inlineStr">
        <is>
          <t>B</t>
        </is>
      </c>
      <c r="G7139" s="34" t="n">
        <v>4135</v>
      </c>
      <c r="H7139" s="34" t="n">
        <v>21765</v>
      </c>
      <c r="I7139" t="inlineStr">
        <is>
          <t>3.2</t>
        </is>
      </c>
      <c r="J7139" t="inlineStr">
        <is>
          <t>Ventas Personas (B2C)</t>
        </is>
      </c>
      <c r="K7139" t="inlineStr">
        <is>
          <t>CH2</t>
        </is>
      </c>
    </row>
    <row r="7140">
      <c r="A7140" s="33" t="n">
        <v>46151</v>
      </c>
      <c r="B7140" t="inlineStr">
        <is>
          <t>2026-05</t>
        </is>
      </c>
      <c r="C7140" t="inlineStr">
        <is>
          <t>Sin cliente</t>
        </is>
      </c>
      <c r="D7140" t="inlineStr">
        <is>
          <t>Petit Crunchy</t>
        </is>
      </c>
      <c r="E7140" s="34" t="n">
        <v>31900</v>
      </c>
      <c r="F7140" t="inlineStr">
        <is>
          <t>B</t>
        </is>
      </c>
      <c r="G7140" s="34" t="n">
        <v>5093</v>
      </c>
      <c r="H7140" s="34" t="n">
        <v>26807</v>
      </c>
      <c r="I7140" t="inlineStr">
        <is>
          <t>3.2</t>
        </is>
      </c>
      <c r="J7140" t="inlineStr">
        <is>
          <t>Ventas Personas (B2C)</t>
        </is>
      </c>
      <c r="K7140" t="inlineStr">
        <is>
          <t>CH2</t>
        </is>
      </c>
    </row>
    <row r="7141">
      <c r="A7141" s="33" t="n">
        <v>46151</v>
      </c>
      <c r="B7141" t="inlineStr">
        <is>
          <t>2026-05</t>
        </is>
      </c>
      <c r="C7141" t="inlineStr">
        <is>
          <t>María José San Martin Orue</t>
        </is>
      </c>
      <c r="D7141" t="inlineStr">
        <is>
          <t>Mix Sabores</t>
        </is>
      </c>
      <c r="E7141" s="34" t="n">
        <v>38780</v>
      </c>
      <c r="F7141" t="inlineStr">
        <is>
          <t>B</t>
        </is>
      </c>
      <c r="G7141" s="34" t="n">
        <v>6192</v>
      </c>
      <c r="H7141" s="34" t="n">
        <v>32588</v>
      </c>
      <c r="I7141" t="inlineStr">
        <is>
          <t>3.2</t>
        </is>
      </c>
      <c r="J7141" t="inlineStr">
        <is>
          <t>Ventas Personas (B2C)</t>
        </is>
      </c>
      <c r="K7141" t="inlineStr">
        <is>
          <t>CH2</t>
        </is>
      </c>
    </row>
    <row r="7142">
      <c r="A7142" s="33" t="n">
        <v>46151</v>
      </c>
      <c r="B7142" t="inlineStr">
        <is>
          <t>2026-05</t>
        </is>
      </c>
      <c r="C7142" t="inlineStr">
        <is>
          <t>Sin cliente</t>
        </is>
      </c>
      <c r="D7142" t="inlineStr">
        <is>
          <t>Petit Tradicional</t>
        </is>
      </c>
      <c r="E7142" s="34" t="n">
        <v>9800</v>
      </c>
      <c r="F7142" t="inlineStr">
        <is>
          <t>B</t>
        </is>
      </c>
      <c r="G7142" s="34" t="n">
        <v>1565</v>
      </c>
      <c r="H7142" s="34" t="n">
        <v>8235</v>
      </c>
      <c r="I7142" t="inlineStr">
        <is>
          <t>3.2</t>
        </is>
      </c>
      <c r="J7142" t="inlineStr">
        <is>
          <t>Ventas Personas (B2C)</t>
        </is>
      </c>
      <c r="K7142" t="inlineStr">
        <is>
          <t>CH2</t>
        </is>
      </c>
    </row>
    <row r="7143">
      <c r="A7143" s="33" t="n">
        <v>46151</v>
      </c>
      <c r="B7143" t="inlineStr">
        <is>
          <t>2026-05</t>
        </is>
      </c>
      <c r="C7143" t="inlineStr">
        <is>
          <t>Sin cliente</t>
        </is>
      </c>
      <c r="D7143" t="inlineStr">
        <is>
          <t>Regalos</t>
        </is>
      </c>
      <c r="E7143" s="34" t="n">
        <v>46890</v>
      </c>
      <c r="F7143" t="inlineStr">
        <is>
          <t>B</t>
        </is>
      </c>
      <c r="G7143" s="34" t="n">
        <v>7487</v>
      </c>
      <c r="H7143" s="34" t="n">
        <v>39403</v>
      </c>
      <c r="I7143" t="inlineStr">
        <is>
          <t>3.2</t>
        </is>
      </c>
      <c r="J7143" t="inlineStr">
        <is>
          <t>Ventas Personas (B2C)</t>
        </is>
      </c>
      <c r="K7143" t="inlineStr">
        <is>
          <t>CH2</t>
        </is>
      </c>
    </row>
    <row r="7144">
      <c r="A7144" s="33" t="n">
        <v>46151</v>
      </c>
      <c r="B7144" t="inlineStr">
        <is>
          <t>2026-05</t>
        </is>
      </c>
      <c r="C7144" t="inlineStr">
        <is>
          <t>Sin cliente</t>
        </is>
      </c>
      <c r="D7144" t="inlineStr">
        <is>
          <t>CANELE SIN AZUCAR</t>
        </is>
      </c>
      <c r="E7144" s="34" t="n">
        <v>15800</v>
      </c>
      <c r="F7144" t="inlineStr">
        <is>
          <t>B</t>
        </is>
      </c>
      <c r="G7144" s="34" t="n">
        <v>2523</v>
      </c>
      <c r="H7144" s="34" t="n">
        <v>13277</v>
      </c>
      <c r="I7144" t="inlineStr">
        <is>
          <t>3.2</t>
        </is>
      </c>
      <c r="J7144" t="inlineStr">
        <is>
          <t>Ventas Personas (B2C)</t>
        </is>
      </c>
      <c r="K7144" t="inlineStr">
        <is>
          <t>CH2</t>
        </is>
      </c>
    </row>
    <row r="7145">
      <c r="A7145" s="33" t="n">
        <v>46151</v>
      </c>
      <c r="B7145" t="inlineStr">
        <is>
          <t>2026-05</t>
        </is>
      </c>
      <c r="C7145" t="inlineStr">
        <is>
          <t>Sin cliente</t>
        </is>
      </c>
      <c r="D7145" t="inlineStr">
        <is>
          <t>Rellenos</t>
        </is>
      </c>
      <c r="E7145" s="34" t="n">
        <v>25900</v>
      </c>
      <c r="F7145" t="inlineStr">
        <is>
          <t>B</t>
        </is>
      </c>
      <c r="G7145" s="34" t="n">
        <v>4135</v>
      </c>
      <c r="H7145" s="34" t="n">
        <v>21765</v>
      </c>
      <c r="I7145" t="inlineStr">
        <is>
          <t>3.2</t>
        </is>
      </c>
      <c r="J7145" t="inlineStr">
        <is>
          <t>Ventas Personas (B2C)</t>
        </is>
      </c>
      <c r="K7145" t="inlineStr">
        <is>
          <t>CH2</t>
        </is>
      </c>
    </row>
    <row r="7146">
      <c r="A7146" s="33" t="n">
        <v>46151</v>
      </c>
      <c r="B7146" t="inlineStr">
        <is>
          <t>2026-05</t>
        </is>
      </c>
      <c r="C7146" t="inlineStr">
        <is>
          <t>Matias Cavieres Lepe</t>
        </is>
      </c>
      <c r="D7146" t="inlineStr">
        <is>
          <t>Regalos</t>
        </is>
      </c>
      <c r="E7146" s="34" t="n">
        <v>37960</v>
      </c>
      <c r="F7146" t="inlineStr">
        <is>
          <t>B</t>
        </is>
      </c>
      <c r="G7146" s="34" t="n">
        <v>6061</v>
      </c>
      <c r="H7146" s="34" t="n">
        <v>31899</v>
      </c>
      <c r="I7146" t="inlineStr">
        <is>
          <t>3.2</t>
        </is>
      </c>
      <c r="J7146" t="inlineStr">
        <is>
          <t>Ventas Personas (B2C)</t>
        </is>
      </c>
      <c r="K7146" t="inlineStr">
        <is>
          <t>CH2</t>
        </is>
      </c>
    </row>
    <row r="7147">
      <c r="A7147" s="33" t="n">
        <v>46151</v>
      </c>
      <c r="B7147" t="inlineStr">
        <is>
          <t>2026-05</t>
        </is>
      </c>
      <c r="C7147" t="inlineStr">
        <is>
          <t>Sin cliente</t>
        </is>
      </c>
      <c r="D7147" t="inlineStr">
        <is>
          <t>PLATAFORMAS RAP-PEYA-UBER-GOOD</t>
        </is>
      </c>
      <c r="E7147" s="34" t="n">
        <v>57070</v>
      </c>
      <c r="F7147" t="inlineStr">
        <is>
          <t>B</t>
        </is>
      </c>
      <c r="G7147" s="34" t="n">
        <v>9112</v>
      </c>
      <c r="H7147" s="34" t="n">
        <v>47958</v>
      </c>
      <c r="I7147" t="inlineStr">
        <is>
          <t>3.6</t>
        </is>
      </c>
      <c r="J7147" t="inlineStr">
        <is>
          <t>Ventas Delivery Apps</t>
        </is>
      </c>
      <c r="K7147" t="inlineStr">
        <is>
          <t>CH3</t>
        </is>
      </c>
    </row>
    <row r="7148">
      <c r="A7148" s="33" t="n">
        <v>46151</v>
      </c>
      <c r="B7148" t="inlineStr">
        <is>
          <t>2026-05</t>
        </is>
      </c>
      <c r="C7148" t="inlineStr">
        <is>
          <t>Paulina Andrea Romero Cabrera</t>
        </is>
      </c>
      <c r="D7148" t="inlineStr">
        <is>
          <t>Petit Crunchy</t>
        </is>
      </c>
      <c r="E7148" s="34" t="n">
        <v>14900</v>
      </c>
      <c r="F7148" t="inlineStr">
        <is>
          <t>B</t>
        </is>
      </c>
      <c r="G7148" s="34" t="n">
        <v>2379</v>
      </c>
      <c r="H7148" s="34" t="n">
        <v>12521</v>
      </c>
      <c r="I7148" t="inlineStr">
        <is>
          <t>3.2</t>
        </is>
      </c>
      <c r="J7148" t="inlineStr">
        <is>
          <t>Ventas Personas (B2C)</t>
        </is>
      </c>
      <c r="K7148" t="inlineStr">
        <is>
          <t>CH2</t>
        </is>
      </c>
    </row>
    <row r="7149">
      <c r="A7149" s="33" t="n">
        <v>46151</v>
      </c>
      <c r="B7149" t="inlineStr">
        <is>
          <t>2026-05</t>
        </is>
      </c>
      <c r="C7149" t="inlineStr">
        <is>
          <t>Yasna Yurisch</t>
        </is>
      </c>
      <c r="D7149" t="inlineStr">
        <is>
          <t>Petit Crunchy</t>
        </is>
      </c>
      <c r="E7149" s="34" t="n">
        <v>22890</v>
      </c>
      <c r="F7149" t="inlineStr">
        <is>
          <t>B</t>
        </is>
      </c>
      <c r="G7149" s="34" t="n">
        <v>3655</v>
      </c>
      <c r="H7149" s="34" t="n">
        <v>19235</v>
      </c>
      <c r="I7149" t="inlineStr">
        <is>
          <t>3.2</t>
        </is>
      </c>
      <c r="J7149" t="inlineStr">
        <is>
          <t>Ventas Personas (B2C)</t>
        </is>
      </c>
      <c r="K7149" t="inlineStr">
        <is>
          <t>CH2</t>
        </is>
      </c>
    </row>
    <row r="7150">
      <c r="A7150" s="33" t="n">
        <v>46152</v>
      </c>
      <c r="B7150" t="inlineStr">
        <is>
          <t>2026-05</t>
        </is>
      </c>
      <c r="C7150" t="inlineStr">
        <is>
          <t>Claudia Winkler</t>
        </is>
      </c>
      <c r="D7150" t="inlineStr">
        <is>
          <t>CANELÉ TRADICIONAL</t>
        </is>
      </c>
      <c r="E7150" s="34" t="n">
        <v>30890</v>
      </c>
      <c r="F7150" t="inlineStr">
        <is>
          <t>B</t>
        </is>
      </c>
      <c r="G7150" s="34" t="n">
        <v>4932</v>
      </c>
      <c r="H7150" s="34" t="n">
        <v>25958</v>
      </c>
      <c r="I7150" t="inlineStr">
        <is>
          <t>3.2</t>
        </is>
      </c>
      <c r="J7150" t="inlineStr">
        <is>
          <t>Ventas Personas (B2C)</t>
        </is>
      </c>
      <c r="K7150" t="inlineStr">
        <is>
          <t>CH2</t>
        </is>
      </c>
    </row>
    <row r="7151">
      <c r="A7151" s="33" t="n">
        <v>46152</v>
      </c>
      <c r="B7151" t="inlineStr">
        <is>
          <t>2026-05</t>
        </is>
      </c>
      <c r="C7151" t="inlineStr">
        <is>
          <t>Sin cliente</t>
        </is>
      </c>
      <c r="D7151" t="inlineStr">
        <is>
          <t>Cafeteria Geronimo</t>
        </is>
      </c>
      <c r="E7151" s="34" t="n">
        <v>17300</v>
      </c>
      <c r="F7151" t="inlineStr">
        <is>
          <t>B</t>
        </is>
      </c>
      <c r="G7151" s="34" t="n">
        <v>2762</v>
      </c>
      <c r="H7151" s="34" t="n">
        <v>14538</v>
      </c>
      <c r="I7151" t="inlineStr">
        <is>
          <t>3.2</t>
        </is>
      </c>
      <c r="J7151" t="inlineStr">
        <is>
          <t>Ventas Personas (B2C)</t>
        </is>
      </c>
      <c r="K7151" t="inlineStr">
        <is>
          <t>CH2</t>
        </is>
      </c>
    </row>
    <row r="7152">
      <c r="A7152" s="33" t="n">
        <v>46152</v>
      </c>
      <c r="B7152" t="inlineStr">
        <is>
          <t>2026-05</t>
        </is>
      </c>
      <c r="C7152" t="inlineStr">
        <is>
          <t>Sin cliente</t>
        </is>
      </c>
      <c r="D7152" t="inlineStr">
        <is>
          <t>Rellenos</t>
        </is>
      </c>
      <c r="E7152" s="34" t="n">
        <v>3500</v>
      </c>
      <c r="F7152" t="inlineStr">
        <is>
          <t>B</t>
        </is>
      </c>
      <c r="G7152" s="34" t="n">
        <v>559</v>
      </c>
      <c r="H7152" s="34" t="n">
        <v>2941</v>
      </c>
      <c r="I7152" t="inlineStr">
        <is>
          <t>3.2</t>
        </is>
      </c>
      <c r="J7152" t="inlineStr">
        <is>
          <t>Ventas Personas (B2C)</t>
        </is>
      </c>
      <c r="K7152" t="inlineStr">
        <is>
          <t>CH2</t>
        </is>
      </c>
    </row>
    <row r="7153">
      <c r="A7153" s="33" t="n">
        <v>46152</v>
      </c>
      <c r="B7153" t="inlineStr">
        <is>
          <t>2026-05</t>
        </is>
      </c>
      <c r="C7153" t="inlineStr">
        <is>
          <t>Francisca Weisser</t>
        </is>
      </c>
      <c r="D7153" t="inlineStr">
        <is>
          <t>Petit Tradicional</t>
        </is>
      </c>
      <c r="E7153" s="34" t="n">
        <v>24790</v>
      </c>
      <c r="F7153" t="inlineStr">
        <is>
          <t>B</t>
        </is>
      </c>
      <c r="G7153" s="34" t="n">
        <v>3958</v>
      </c>
      <c r="H7153" s="34" t="n">
        <v>20832</v>
      </c>
      <c r="I7153" t="inlineStr">
        <is>
          <t>3.2</t>
        </is>
      </c>
      <c r="J7153" t="inlineStr">
        <is>
          <t>Ventas Personas (B2C)</t>
        </is>
      </c>
      <c r="K7153" t="inlineStr">
        <is>
          <t>CH2</t>
        </is>
      </c>
    </row>
    <row r="7154">
      <c r="A7154" s="33" t="n">
        <v>46152</v>
      </c>
      <c r="B7154" t="inlineStr">
        <is>
          <t>2026-05</t>
        </is>
      </c>
      <c r="C7154" t="inlineStr">
        <is>
          <t>Daniela Spröhnle</t>
        </is>
      </c>
      <c r="D7154" t="inlineStr">
        <is>
          <t>CANELÉ TRADICIONAL</t>
        </is>
      </c>
      <c r="E7154" s="34" t="n">
        <v>32890</v>
      </c>
      <c r="F7154" t="inlineStr">
        <is>
          <t>B</t>
        </is>
      </c>
      <c r="G7154" s="34" t="n">
        <v>5251</v>
      </c>
      <c r="H7154" s="34" t="n">
        <v>27639</v>
      </c>
      <c r="I7154" t="inlineStr">
        <is>
          <t>3.2</t>
        </is>
      </c>
      <c r="J7154" t="inlineStr">
        <is>
          <t>Ventas Personas (B2C)</t>
        </is>
      </c>
      <c r="K7154" t="inlineStr">
        <is>
          <t>CH2</t>
        </is>
      </c>
    </row>
    <row r="7155">
      <c r="A7155" s="33" t="n">
        <v>46152</v>
      </c>
      <c r="B7155" t="inlineStr">
        <is>
          <t>2026-05</t>
        </is>
      </c>
      <c r="C7155" t="inlineStr">
        <is>
          <t>Sin cliente</t>
        </is>
      </c>
      <c r="D7155" t="inlineStr">
        <is>
          <t>CANELÉ TRADICIONAL</t>
        </is>
      </c>
      <c r="E7155" s="34" t="n">
        <v>15900</v>
      </c>
      <c r="F7155" t="inlineStr">
        <is>
          <t>B</t>
        </is>
      </c>
      <c r="G7155" s="34" t="n">
        <v>2539</v>
      </c>
      <c r="H7155" s="34" t="n">
        <v>13361</v>
      </c>
      <c r="I7155" t="inlineStr">
        <is>
          <t>3.2</t>
        </is>
      </c>
      <c r="J7155" t="inlineStr">
        <is>
          <t>Ventas Personas (B2C)</t>
        </is>
      </c>
      <c r="K7155" t="inlineStr">
        <is>
          <t>CH2</t>
        </is>
      </c>
    </row>
    <row r="7156">
      <c r="A7156" s="33" t="n">
        <v>46152</v>
      </c>
      <c r="B7156" t="inlineStr">
        <is>
          <t>2026-05</t>
        </is>
      </c>
      <c r="C7156" t="inlineStr">
        <is>
          <t>Sin cliente</t>
        </is>
      </c>
      <c r="D7156" t="inlineStr">
        <is>
          <t>Petit Crunchy</t>
        </is>
      </c>
      <c r="E7156" s="34" t="n">
        <v>25890</v>
      </c>
      <c r="F7156" t="inlineStr">
        <is>
          <t>B</t>
        </is>
      </c>
      <c r="G7156" s="34" t="n">
        <v>4134</v>
      </c>
      <c r="H7156" s="34" t="n">
        <v>21756</v>
      </c>
      <c r="I7156" t="inlineStr">
        <is>
          <t>3.2</t>
        </is>
      </c>
      <c r="J7156" t="inlineStr">
        <is>
          <t>Ventas Personas (B2C)</t>
        </is>
      </c>
      <c r="K7156" t="inlineStr">
        <is>
          <t>CH2</t>
        </is>
      </c>
    </row>
    <row r="7157">
      <c r="A7157" s="33" t="n">
        <v>46152</v>
      </c>
      <c r="B7157" t="inlineStr">
        <is>
          <t>2026-05</t>
        </is>
      </c>
      <c r="C7157" t="inlineStr">
        <is>
          <t>Sin cliente</t>
        </is>
      </c>
      <c r="D7157" t="inlineStr">
        <is>
          <t>Rellenos</t>
        </is>
      </c>
      <c r="E7157" s="34" t="n">
        <v>18500</v>
      </c>
      <c r="F7157" t="inlineStr">
        <is>
          <t>B</t>
        </is>
      </c>
      <c r="G7157" s="34" t="n">
        <v>2954</v>
      </c>
      <c r="H7157" s="34" t="n">
        <v>15546</v>
      </c>
      <c r="I7157" t="inlineStr">
        <is>
          <t>3.2</t>
        </is>
      </c>
      <c r="J7157" t="inlineStr">
        <is>
          <t>Ventas Personas (B2C)</t>
        </is>
      </c>
      <c r="K7157" t="inlineStr">
        <is>
          <t>CH2</t>
        </is>
      </c>
    </row>
    <row r="7158">
      <c r="A7158" s="33" t="n">
        <v>46152</v>
      </c>
      <c r="B7158" t="inlineStr">
        <is>
          <t>2026-05</t>
        </is>
      </c>
      <c r="C7158" t="inlineStr">
        <is>
          <t>Sin cliente</t>
        </is>
      </c>
      <c r="D7158" t="inlineStr">
        <is>
          <t>Cafeteria Geronimo</t>
        </is>
      </c>
      <c r="E7158" s="34" t="n">
        <v>37600</v>
      </c>
      <c r="F7158" t="inlineStr">
        <is>
          <t>B</t>
        </is>
      </c>
      <c r="G7158" s="34" t="n">
        <v>6003</v>
      </c>
      <c r="H7158" s="34" t="n">
        <v>31597</v>
      </c>
      <c r="I7158" t="inlineStr">
        <is>
          <t>3.2</t>
        </is>
      </c>
      <c r="J7158" t="inlineStr">
        <is>
          <t>Ventas Personas (B2C)</t>
        </is>
      </c>
      <c r="K7158" t="inlineStr">
        <is>
          <t>CH2</t>
        </is>
      </c>
    </row>
    <row r="7159">
      <c r="A7159" s="33" t="n">
        <v>46152</v>
      </c>
      <c r="B7159" t="inlineStr">
        <is>
          <t>2026-05</t>
        </is>
      </c>
      <c r="C7159" t="inlineStr">
        <is>
          <t>Sin cliente</t>
        </is>
      </c>
      <c r="D7159" t="inlineStr">
        <is>
          <t>Rellenos</t>
        </is>
      </c>
      <c r="E7159" s="34" t="n">
        <v>7000</v>
      </c>
      <c r="F7159" t="inlineStr">
        <is>
          <t>B</t>
        </is>
      </c>
      <c r="G7159" s="34" t="n">
        <v>1118</v>
      </c>
      <c r="H7159" s="34" t="n">
        <v>5882</v>
      </c>
      <c r="I7159" t="inlineStr">
        <is>
          <t>3.2</t>
        </is>
      </c>
      <c r="J7159" t="inlineStr">
        <is>
          <t>Ventas Personas (B2C)</t>
        </is>
      </c>
      <c r="K7159" t="inlineStr">
        <is>
          <t>CH2</t>
        </is>
      </c>
    </row>
    <row r="7160">
      <c r="A7160" s="33" t="n">
        <v>46152</v>
      </c>
      <c r="B7160" t="inlineStr">
        <is>
          <t>2026-05</t>
        </is>
      </c>
      <c r="C7160" t="inlineStr">
        <is>
          <t>Adrian Muciño</t>
        </is>
      </c>
      <c r="D7160" t="inlineStr">
        <is>
          <t>Mix Sabores</t>
        </is>
      </c>
      <c r="E7160" s="34" t="n">
        <v>33790</v>
      </c>
      <c r="F7160" t="inlineStr">
        <is>
          <t>B</t>
        </is>
      </c>
      <c r="G7160" s="34" t="n">
        <v>5395</v>
      </c>
      <c r="H7160" s="34" t="n">
        <v>28395</v>
      </c>
      <c r="I7160" t="inlineStr">
        <is>
          <t>3.2</t>
        </is>
      </c>
      <c r="J7160" t="inlineStr">
        <is>
          <t>Ventas Personas (B2C)</t>
        </is>
      </c>
      <c r="K7160" t="inlineStr">
        <is>
          <t>CH2</t>
        </is>
      </c>
    </row>
    <row r="7161">
      <c r="A7161" s="33" t="n">
        <v>46152</v>
      </c>
      <c r="B7161" t="inlineStr">
        <is>
          <t>2026-05</t>
        </is>
      </c>
      <c r="C7161" t="inlineStr">
        <is>
          <t>Sin cliente</t>
        </is>
      </c>
      <c r="D7161" t="inlineStr">
        <is>
          <t>Petit Tradicional</t>
        </is>
      </c>
      <c r="E7161" s="34" t="n">
        <v>13800</v>
      </c>
      <c r="F7161" t="inlineStr">
        <is>
          <t>B</t>
        </is>
      </c>
      <c r="G7161" s="34" t="n">
        <v>2203</v>
      </c>
      <c r="H7161" s="34" t="n">
        <v>11597</v>
      </c>
      <c r="I7161" t="inlineStr">
        <is>
          <t>3.2</t>
        </is>
      </c>
      <c r="J7161" t="inlineStr">
        <is>
          <t>Ventas Personas (B2C)</t>
        </is>
      </c>
      <c r="K7161" t="inlineStr">
        <is>
          <t>CH2</t>
        </is>
      </c>
    </row>
    <row r="7162">
      <c r="A7162" s="33" t="n">
        <v>46152</v>
      </c>
      <c r="B7162" t="inlineStr">
        <is>
          <t>2026-05</t>
        </is>
      </c>
      <c r="C7162" t="inlineStr">
        <is>
          <t>Sin cliente</t>
        </is>
      </c>
      <c r="D7162" t="inlineStr">
        <is>
          <t>Rellenos</t>
        </is>
      </c>
      <c r="E7162" s="34" t="n">
        <v>7000</v>
      </c>
      <c r="F7162" t="inlineStr">
        <is>
          <t>B</t>
        </is>
      </c>
      <c r="G7162" s="34" t="n">
        <v>1118</v>
      </c>
      <c r="H7162" s="34" t="n">
        <v>5882</v>
      </c>
      <c r="I7162" t="inlineStr">
        <is>
          <t>3.2</t>
        </is>
      </c>
      <c r="J7162" t="inlineStr">
        <is>
          <t>Ventas Personas (B2C)</t>
        </is>
      </c>
      <c r="K7162" t="inlineStr">
        <is>
          <t>CH2</t>
        </is>
      </c>
    </row>
    <row r="7163">
      <c r="A7163" s="33" t="n">
        <v>46152</v>
      </c>
      <c r="B7163" t="inlineStr">
        <is>
          <t>2026-05</t>
        </is>
      </c>
      <c r="C7163" t="inlineStr">
        <is>
          <t>Fernando Pereira Salinas</t>
        </is>
      </c>
      <c r="D7163" t="inlineStr">
        <is>
          <t>Canelé Petit Relleno</t>
        </is>
      </c>
      <c r="E7163" s="34" t="n">
        <v>35890</v>
      </c>
      <c r="F7163" t="inlineStr">
        <is>
          <t>B</t>
        </is>
      </c>
      <c r="G7163" s="34" t="n">
        <v>5730</v>
      </c>
      <c r="H7163" s="34" t="n">
        <v>30160</v>
      </c>
      <c r="I7163" t="inlineStr">
        <is>
          <t>3.2</t>
        </is>
      </c>
      <c r="J7163" t="inlineStr">
        <is>
          <t>Ventas Personas (B2C)</t>
        </is>
      </c>
      <c r="K7163" t="inlineStr">
        <is>
          <t>CH2</t>
        </is>
      </c>
    </row>
    <row r="7164">
      <c r="A7164" s="33" t="n">
        <v>46152</v>
      </c>
      <c r="B7164" t="inlineStr">
        <is>
          <t>2026-05</t>
        </is>
      </c>
      <c r="C7164" t="inlineStr">
        <is>
          <t>Sin cliente</t>
        </is>
      </c>
      <c r="D7164" t="inlineStr">
        <is>
          <t>PACKAGING</t>
        </is>
      </c>
      <c r="E7164" s="34" t="n">
        <v>1800</v>
      </c>
      <c r="F7164" t="inlineStr">
        <is>
          <t>B</t>
        </is>
      </c>
      <c r="G7164" s="34" t="n">
        <v>287</v>
      </c>
      <c r="H7164" s="34" t="n">
        <v>1513</v>
      </c>
      <c r="I7164" t="inlineStr">
        <is>
          <t>3.2</t>
        </is>
      </c>
      <c r="J7164" t="inlineStr">
        <is>
          <t>Ventas Personas (B2C)</t>
        </is>
      </c>
      <c r="K7164" t="inlineStr">
        <is>
          <t>CH2</t>
        </is>
      </c>
    </row>
    <row r="7165">
      <c r="A7165" s="33" t="n">
        <v>46152</v>
      </c>
      <c r="B7165" t="inlineStr">
        <is>
          <t>2026-05</t>
        </is>
      </c>
      <c r="C7165" t="inlineStr">
        <is>
          <t>Sin cliente</t>
        </is>
      </c>
      <c r="D7165" t="inlineStr">
        <is>
          <t>Regalos</t>
        </is>
      </c>
      <c r="E7165" s="34" t="n">
        <v>21980</v>
      </c>
      <c r="F7165" t="inlineStr">
        <is>
          <t>B</t>
        </is>
      </c>
      <c r="G7165" s="34" t="n">
        <v>3509</v>
      </c>
      <c r="H7165" s="34" t="n">
        <v>18471</v>
      </c>
      <c r="I7165" t="inlineStr">
        <is>
          <t>3.2</t>
        </is>
      </c>
      <c r="J7165" t="inlineStr">
        <is>
          <t>Ventas Personas (B2C)</t>
        </is>
      </c>
      <c r="K7165" t="inlineStr">
        <is>
          <t>CH2</t>
        </is>
      </c>
    </row>
    <row r="7166">
      <c r="A7166" s="33" t="n">
        <v>46152</v>
      </c>
      <c r="B7166" t="inlineStr">
        <is>
          <t>2026-05</t>
        </is>
      </c>
      <c r="C7166" t="inlineStr">
        <is>
          <t>Sin cliente</t>
        </is>
      </c>
      <c r="D7166" t="inlineStr">
        <is>
          <t>Cafeteria Geronimo</t>
        </is>
      </c>
      <c r="E7166" s="34" t="n">
        <v>15200</v>
      </c>
      <c r="F7166" t="inlineStr">
        <is>
          <t>B</t>
        </is>
      </c>
      <c r="G7166" s="34" t="n">
        <v>2427</v>
      </c>
      <c r="H7166" s="34" t="n">
        <v>12773</v>
      </c>
      <c r="I7166" t="inlineStr">
        <is>
          <t>3.2</t>
        </is>
      </c>
      <c r="J7166" t="inlineStr">
        <is>
          <t>Ventas Personas (B2C)</t>
        </is>
      </c>
      <c r="K7166" t="inlineStr">
        <is>
          <t>CH2</t>
        </is>
      </c>
    </row>
    <row r="7167">
      <c r="A7167" s="33" t="n">
        <v>46152</v>
      </c>
      <c r="B7167" t="inlineStr">
        <is>
          <t>2026-05</t>
        </is>
      </c>
      <c r="C7167" t="inlineStr">
        <is>
          <t>Sin cliente</t>
        </is>
      </c>
      <c r="D7167" t="inlineStr">
        <is>
          <t>Rellenos</t>
        </is>
      </c>
      <c r="E7167" s="34" t="n">
        <v>38300</v>
      </c>
      <c r="F7167" t="inlineStr">
        <is>
          <t>B</t>
        </is>
      </c>
      <c r="G7167" s="34" t="n">
        <v>6115</v>
      </c>
      <c r="H7167" s="34" t="n">
        <v>32185</v>
      </c>
      <c r="I7167" t="inlineStr">
        <is>
          <t>3.2</t>
        </is>
      </c>
      <c r="J7167" t="inlineStr">
        <is>
          <t>Ventas Personas (B2C)</t>
        </is>
      </c>
      <c r="K7167" t="inlineStr">
        <is>
          <t>CH2</t>
        </is>
      </c>
    </row>
    <row r="7168">
      <c r="A7168" s="33" t="n">
        <v>46152</v>
      </c>
      <c r="B7168" t="inlineStr">
        <is>
          <t>2026-05</t>
        </is>
      </c>
      <c r="C7168" t="inlineStr">
        <is>
          <t>Sin cliente</t>
        </is>
      </c>
      <c r="D7168" t="inlineStr">
        <is>
          <t>Rellenos</t>
        </is>
      </c>
      <c r="E7168" s="34" t="n">
        <v>3500</v>
      </c>
      <c r="F7168" t="inlineStr">
        <is>
          <t>B</t>
        </is>
      </c>
      <c r="G7168" s="34" t="n">
        <v>559</v>
      </c>
      <c r="H7168" s="34" t="n">
        <v>2941</v>
      </c>
      <c r="I7168" t="inlineStr">
        <is>
          <t>3.2</t>
        </is>
      </c>
      <c r="J7168" t="inlineStr">
        <is>
          <t>Ventas Personas (B2C)</t>
        </is>
      </c>
      <c r="K7168" t="inlineStr">
        <is>
          <t>CH2</t>
        </is>
      </c>
    </row>
    <row r="7169">
      <c r="A7169" s="33" t="n">
        <v>46152</v>
      </c>
      <c r="B7169" t="inlineStr">
        <is>
          <t>2026-05</t>
        </is>
      </c>
      <c r="C7169" t="inlineStr">
        <is>
          <t>Sin cliente</t>
        </is>
      </c>
      <c r="D7169" t="inlineStr">
        <is>
          <t>Cafeteria Geronimo</t>
        </is>
      </c>
      <c r="E7169" s="34" t="n">
        <v>14500</v>
      </c>
      <c r="F7169" t="inlineStr">
        <is>
          <t>B</t>
        </is>
      </c>
      <c r="G7169" s="34" t="n">
        <v>2315</v>
      </c>
      <c r="H7169" s="34" t="n">
        <v>12185</v>
      </c>
      <c r="I7169" t="inlineStr">
        <is>
          <t>3.2</t>
        </is>
      </c>
      <c r="J7169" t="inlineStr">
        <is>
          <t>Ventas Personas (B2C)</t>
        </is>
      </c>
      <c r="K7169" t="inlineStr">
        <is>
          <t>CH2</t>
        </is>
      </c>
    </row>
    <row r="7170">
      <c r="A7170" s="33" t="n">
        <v>46152</v>
      </c>
      <c r="B7170" t="inlineStr">
        <is>
          <t>2026-05</t>
        </is>
      </c>
      <c r="C7170" t="inlineStr">
        <is>
          <t>Cristian Amudio Leiva</t>
        </is>
      </c>
      <c r="D7170" t="inlineStr">
        <is>
          <t>Petit Crunchy</t>
        </is>
      </c>
      <c r="E7170" s="34" t="n">
        <v>35790</v>
      </c>
      <c r="F7170" t="inlineStr">
        <is>
          <t>B</t>
        </is>
      </c>
      <c r="G7170" s="34" t="n">
        <v>5714</v>
      </c>
      <c r="H7170" s="34" t="n">
        <v>30076</v>
      </c>
      <c r="I7170" t="inlineStr">
        <is>
          <t>3.2</t>
        </is>
      </c>
      <c r="J7170" t="inlineStr">
        <is>
          <t>Ventas Personas (B2C)</t>
        </is>
      </c>
      <c r="K7170" t="inlineStr">
        <is>
          <t>CH2</t>
        </is>
      </c>
    </row>
    <row r="7171">
      <c r="A7171" s="33" t="n">
        <v>46152</v>
      </c>
      <c r="B7171" t="inlineStr">
        <is>
          <t>2026-05</t>
        </is>
      </c>
      <c r="C7171" t="inlineStr">
        <is>
          <t>Sin cliente</t>
        </is>
      </c>
      <c r="D7171" t="inlineStr">
        <is>
          <t>Cafeteria Geronimo</t>
        </is>
      </c>
      <c r="E7171" s="34" t="n">
        <v>8500</v>
      </c>
      <c r="F7171" t="inlineStr">
        <is>
          <t>B</t>
        </is>
      </c>
      <c r="G7171" s="34" t="n">
        <v>1357</v>
      </c>
      <c r="H7171" s="34" t="n">
        <v>7143</v>
      </c>
      <c r="I7171" t="inlineStr">
        <is>
          <t>3.2</t>
        </is>
      </c>
      <c r="J7171" t="inlineStr">
        <is>
          <t>Ventas Personas (B2C)</t>
        </is>
      </c>
      <c r="K7171" t="inlineStr">
        <is>
          <t>CH2</t>
        </is>
      </c>
    </row>
    <row r="7172">
      <c r="A7172" s="33" t="n">
        <v>46152</v>
      </c>
      <c r="B7172" t="inlineStr">
        <is>
          <t>2026-05</t>
        </is>
      </c>
      <c r="C7172" t="inlineStr">
        <is>
          <t>Sin cliente</t>
        </is>
      </c>
      <c r="D7172" t="inlineStr">
        <is>
          <t>Canelé Petit Relleno</t>
        </is>
      </c>
      <c r="E7172" s="34" t="n">
        <v>19800</v>
      </c>
      <c r="F7172" t="inlineStr">
        <is>
          <t>B</t>
        </is>
      </c>
      <c r="G7172" s="34" t="n">
        <v>3161</v>
      </c>
      <c r="H7172" s="34" t="n">
        <v>16639</v>
      </c>
      <c r="I7172" t="inlineStr">
        <is>
          <t>3.2</t>
        </is>
      </c>
      <c r="J7172" t="inlineStr">
        <is>
          <t>Ventas Personas (B2C)</t>
        </is>
      </c>
      <c r="K7172" t="inlineStr">
        <is>
          <t>CH2</t>
        </is>
      </c>
    </row>
    <row r="7173">
      <c r="A7173" s="33" t="n">
        <v>46152</v>
      </c>
      <c r="B7173" t="inlineStr">
        <is>
          <t>2026-05</t>
        </is>
      </c>
      <c r="C7173" t="inlineStr">
        <is>
          <t>Sin cliente</t>
        </is>
      </c>
      <c r="D7173" t="inlineStr">
        <is>
          <t>CANELÉ TRADICIONAL</t>
        </is>
      </c>
      <c r="E7173" s="34" t="n">
        <v>15900</v>
      </c>
      <c r="F7173" t="inlineStr">
        <is>
          <t>B</t>
        </is>
      </c>
      <c r="G7173" s="34" t="n">
        <v>2539</v>
      </c>
      <c r="H7173" s="34" t="n">
        <v>13361</v>
      </c>
      <c r="I7173" t="inlineStr">
        <is>
          <t>3.2</t>
        </is>
      </c>
      <c r="J7173" t="inlineStr">
        <is>
          <t>Ventas Personas (B2C)</t>
        </is>
      </c>
      <c r="K7173" t="inlineStr">
        <is>
          <t>CH2</t>
        </is>
      </c>
    </row>
    <row r="7174">
      <c r="A7174" s="33" t="n">
        <v>46152</v>
      </c>
      <c r="B7174" t="inlineStr">
        <is>
          <t>2026-05</t>
        </is>
      </c>
      <c r="C7174" t="inlineStr">
        <is>
          <t>Sin cliente</t>
        </is>
      </c>
      <c r="D7174" t="inlineStr">
        <is>
          <t>Delicatessen</t>
        </is>
      </c>
      <c r="E7174" s="34" t="n">
        <v>10965</v>
      </c>
      <c r="F7174" t="inlineStr">
        <is>
          <t>B</t>
        </is>
      </c>
      <c r="G7174" s="34" t="n">
        <v>1751</v>
      </c>
      <c r="H7174" s="34" t="n">
        <v>9214</v>
      </c>
      <c r="I7174" t="inlineStr">
        <is>
          <t>3.2</t>
        </is>
      </c>
      <c r="J7174" t="inlineStr">
        <is>
          <t>Ventas Personas (B2C)</t>
        </is>
      </c>
      <c r="K7174" t="inlineStr">
        <is>
          <t>CH2</t>
        </is>
      </c>
    </row>
    <row r="7175">
      <c r="A7175" s="33" t="n">
        <v>46152</v>
      </c>
      <c r="B7175" t="inlineStr">
        <is>
          <t>2026-05</t>
        </is>
      </c>
      <c r="C7175" t="inlineStr">
        <is>
          <t>Sin cliente</t>
        </is>
      </c>
      <c r="D7175" t="inlineStr">
        <is>
          <t>PLATAFORMAS RAP-PEYA-UBER-GOOD</t>
        </is>
      </c>
      <c r="E7175" s="34" t="n">
        <v>19090</v>
      </c>
      <c r="F7175" t="inlineStr">
        <is>
          <t>B</t>
        </is>
      </c>
      <c r="G7175" s="34" t="n">
        <v>3048</v>
      </c>
      <c r="H7175" s="34" t="n">
        <v>16042</v>
      </c>
      <c r="I7175" t="inlineStr">
        <is>
          <t>3.6</t>
        </is>
      </c>
      <c r="J7175" t="inlineStr">
        <is>
          <t>Ventas Delivery Apps</t>
        </is>
      </c>
      <c r="K7175" t="inlineStr">
        <is>
          <t>CH3</t>
        </is>
      </c>
    </row>
    <row r="7176">
      <c r="A7176" s="33" t="n">
        <v>46152</v>
      </c>
      <c r="B7176" t="inlineStr">
        <is>
          <t>2026-05</t>
        </is>
      </c>
      <c r="C7176" t="inlineStr">
        <is>
          <t>Sin cliente</t>
        </is>
      </c>
      <c r="D7176" t="inlineStr">
        <is>
          <t>PLATAFORMAS RAP-PEYA-UBER-GOOD</t>
        </is>
      </c>
      <c r="E7176" s="34" t="n">
        <v>49090</v>
      </c>
      <c r="F7176" t="inlineStr">
        <is>
          <t>B</t>
        </is>
      </c>
      <c r="G7176" s="34" t="n">
        <v>7838</v>
      </c>
      <c r="H7176" s="34" t="n">
        <v>41252</v>
      </c>
      <c r="I7176" t="inlineStr">
        <is>
          <t>3.6</t>
        </is>
      </c>
      <c r="J7176" t="inlineStr">
        <is>
          <t>Ventas Delivery Apps</t>
        </is>
      </c>
      <c r="K7176" t="inlineStr">
        <is>
          <t>CH3</t>
        </is>
      </c>
    </row>
    <row r="7177">
      <c r="A7177" s="33" t="n">
        <v>46152</v>
      </c>
      <c r="B7177" t="inlineStr">
        <is>
          <t>2026-05</t>
        </is>
      </c>
      <c r="C7177" t="inlineStr">
        <is>
          <t>Sin cliente</t>
        </is>
      </c>
      <c r="D7177" t="inlineStr">
        <is>
          <t>PLATAFORMAS RAP-PEYA-UBER-GOOD</t>
        </is>
      </c>
      <c r="E7177" s="34" t="n">
        <v>17890</v>
      </c>
      <c r="F7177" t="inlineStr">
        <is>
          <t>B</t>
        </is>
      </c>
      <c r="G7177" s="34" t="n">
        <v>2856</v>
      </c>
      <c r="H7177" s="34" t="n">
        <v>15034</v>
      </c>
      <c r="I7177" t="inlineStr">
        <is>
          <t>3.6</t>
        </is>
      </c>
      <c r="J7177" t="inlineStr">
        <is>
          <t>Ventas Delivery Apps</t>
        </is>
      </c>
      <c r="K7177" t="inlineStr">
        <is>
          <t>CH3</t>
        </is>
      </c>
    </row>
    <row r="7178">
      <c r="A7178" s="33" t="n">
        <v>46152</v>
      </c>
      <c r="B7178" t="inlineStr">
        <is>
          <t>2026-05</t>
        </is>
      </c>
      <c r="C7178" t="inlineStr">
        <is>
          <t>Sin cliente</t>
        </is>
      </c>
      <c r="D7178" t="inlineStr">
        <is>
          <t>PLATAFORMAS RAP-PEYA-UBER-GOOD</t>
        </is>
      </c>
      <c r="E7178" s="34" t="n">
        <v>19090</v>
      </c>
      <c r="F7178" t="inlineStr">
        <is>
          <t>B</t>
        </is>
      </c>
      <c r="G7178" s="34" t="n">
        <v>3048</v>
      </c>
      <c r="H7178" s="34" t="n">
        <v>16042</v>
      </c>
      <c r="I7178" t="inlineStr">
        <is>
          <t>3.6</t>
        </is>
      </c>
      <c r="J7178" t="inlineStr">
        <is>
          <t>Ventas Delivery Apps</t>
        </is>
      </c>
      <c r="K7178" t="inlineStr">
        <is>
          <t>CH3</t>
        </is>
      </c>
    </row>
    <row r="7179">
      <c r="A7179" s="33" t="n">
        <v>46152</v>
      </c>
      <c r="B7179" t="inlineStr">
        <is>
          <t>2026-05</t>
        </is>
      </c>
      <c r="C7179" t="inlineStr">
        <is>
          <t>Sin cliente</t>
        </is>
      </c>
      <c r="D7179" t="inlineStr">
        <is>
          <t>PLATAFORMAS RAP-PEYA-UBER-GOOD</t>
        </is>
      </c>
      <c r="E7179" s="34" t="n">
        <v>16590</v>
      </c>
      <c r="F7179" t="inlineStr">
        <is>
          <t>B</t>
        </is>
      </c>
      <c r="G7179" s="34" t="n">
        <v>2649</v>
      </c>
      <c r="H7179" s="34" t="n">
        <v>13941</v>
      </c>
      <c r="I7179" t="inlineStr">
        <is>
          <t>3.6</t>
        </is>
      </c>
      <c r="J7179" t="inlineStr">
        <is>
          <t>Ventas Delivery Apps</t>
        </is>
      </c>
      <c r="K7179" t="inlineStr">
        <is>
          <t>CH3</t>
        </is>
      </c>
    </row>
    <row r="7180">
      <c r="A7180" s="33" t="n">
        <v>46152</v>
      </c>
      <c r="B7180" t="inlineStr">
        <is>
          <t>2026-05</t>
        </is>
      </c>
      <c r="C7180" t="inlineStr">
        <is>
          <t>Sin cliente</t>
        </is>
      </c>
      <c r="D7180" t="inlineStr">
        <is>
          <t>PLATAFORMAS RAP-PEYA-UBER-GOOD</t>
        </is>
      </c>
      <c r="E7180" s="34" t="n">
        <v>20280</v>
      </c>
      <c r="F7180" t="inlineStr">
        <is>
          <t>B</t>
        </is>
      </c>
      <c r="G7180" s="34" t="n">
        <v>3238</v>
      </c>
      <c r="H7180" s="34" t="n">
        <v>17042</v>
      </c>
      <c r="I7180" t="inlineStr">
        <is>
          <t>3.6</t>
        </is>
      </c>
      <c r="J7180" t="inlineStr">
        <is>
          <t>Ventas Delivery Apps</t>
        </is>
      </c>
      <c r="K7180" t="inlineStr">
        <is>
          <t>CH3</t>
        </is>
      </c>
    </row>
    <row r="7181">
      <c r="A7181" s="33" t="n">
        <v>46153</v>
      </c>
      <c r="B7181" t="inlineStr">
        <is>
          <t>2026-05</t>
        </is>
      </c>
      <c r="C7181" t="inlineStr">
        <is>
          <t>NATALIA JOHANNA SALGADO COFRE</t>
        </is>
      </c>
      <c r="D7181" t="inlineStr">
        <is>
          <t>HORECA CAFETERIA</t>
        </is>
      </c>
      <c r="E7181" s="34" t="n">
        <v>465195</v>
      </c>
      <c r="F7181" t="inlineStr">
        <is>
          <t>F</t>
        </is>
      </c>
      <c r="G7181" s="34" t="n">
        <v>74275</v>
      </c>
      <c r="H7181" s="34" t="n">
        <v>390920</v>
      </c>
      <c r="I7181" t="inlineStr">
        <is>
          <t>3.1</t>
        </is>
      </c>
      <c r="J7181" t="inlineStr">
        <is>
          <t>Ventas HoReCa</t>
        </is>
      </c>
      <c r="K7181" t="inlineStr">
        <is>
          <t>CH1</t>
        </is>
      </c>
    </row>
    <row r="7182">
      <c r="A7182" s="33" t="n">
        <v>46153</v>
      </c>
      <c r="B7182" t="inlineStr">
        <is>
          <t>2026-05</t>
        </is>
      </c>
      <c r="C7182" t="inlineStr">
        <is>
          <t>INVERSIONES Y COMERCIALIZADORA FED LIMITADA</t>
        </is>
      </c>
      <c r="D7182" t="inlineStr">
        <is>
          <t>REGION METROPOLITANA</t>
        </is>
      </c>
      <c r="E7182" s="34" t="n">
        <v>442856</v>
      </c>
      <c r="F7182" t="inlineStr">
        <is>
          <t>F</t>
        </is>
      </c>
      <c r="G7182" s="34" t="n">
        <v>70708</v>
      </c>
      <c r="H7182" s="34" t="n">
        <v>372148</v>
      </c>
      <c r="I7182" t="inlineStr">
        <is>
          <t>3.1</t>
        </is>
      </c>
      <c r="J7182" t="inlineStr">
        <is>
          <t>Ventas HoReCa</t>
        </is>
      </c>
      <c r="K7182" t="inlineStr">
        <is>
          <t>CH1</t>
        </is>
      </c>
    </row>
    <row r="7183">
      <c r="A7183" s="33" t="n">
        <v>46153</v>
      </c>
      <c r="B7183" t="inlineStr">
        <is>
          <t>2026-05</t>
        </is>
      </c>
      <c r="C7183" t="inlineStr">
        <is>
          <t>Leopoldo Altamirano</t>
        </is>
      </c>
      <c r="D7183" t="inlineStr">
        <is>
          <t>Rellenos</t>
        </is>
      </c>
      <c r="E7183" s="34" t="n">
        <v>31890</v>
      </c>
      <c r="F7183" t="inlineStr">
        <is>
          <t>B</t>
        </is>
      </c>
      <c r="G7183" s="34" t="n">
        <v>5092</v>
      </c>
      <c r="H7183" s="34" t="n">
        <v>26798</v>
      </c>
      <c r="I7183" t="inlineStr">
        <is>
          <t>3.2</t>
        </is>
      </c>
      <c r="J7183" t="inlineStr">
        <is>
          <t>Ventas Personas (B2C)</t>
        </is>
      </c>
      <c r="K7183" t="inlineStr">
        <is>
          <t>CH2</t>
        </is>
      </c>
    </row>
    <row r="7184">
      <c r="A7184" s="33" t="n">
        <v>46153</v>
      </c>
      <c r="B7184" t="inlineStr">
        <is>
          <t>2026-05</t>
        </is>
      </c>
      <c r="C7184" t="inlineStr">
        <is>
          <t>Sin cliente</t>
        </is>
      </c>
      <c r="D7184" t="inlineStr">
        <is>
          <t>Cafeteria Geronimo</t>
        </is>
      </c>
      <c r="E7184" s="34" t="n">
        <v>8700</v>
      </c>
      <c r="F7184" t="inlineStr">
        <is>
          <t>B</t>
        </is>
      </c>
      <c r="G7184" s="34" t="n">
        <v>1389</v>
      </c>
      <c r="H7184" s="34" t="n">
        <v>7311</v>
      </c>
      <c r="I7184" t="inlineStr">
        <is>
          <t>3.2</t>
        </is>
      </c>
      <c r="J7184" t="inlineStr">
        <is>
          <t>Ventas Personas (B2C)</t>
        </is>
      </c>
      <c r="K7184" t="inlineStr">
        <is>
          <t>CH2</t>
        </is>
      </c>
    </row>
    <row r="7185">
      <c r="A7185" s="33" t="n">
        <v>46153</v>
      </c>
      <c r="B7185" t="inlineStr">
        <is>
          <t>2026-05</t>
        </is>
      </c>
      <c r="C7185" t="inlineStr">
        <is>
          <t>Sin cliente</t>
        </is>
      </c>
      <c r="D7185" t="inlineStr">
        <is>
          <t>Canelé Petit Relleno</t>
        </is>
      </c>
      <c r="E7185" s="34" t="n">
        <v>13900</v>
      </c>
      <c r="F7185" t="inlineStr">
        <is>
          <t>B</t>
        </is>
      </c>
      <c r="G7185" s="34" t="n">
        <v>2219</v>
      </c>
      <c r="H7185" s="34" t="n">
        <v>11681</v>
      </c>
      <c r="I7185" t="inlineStr">
        <is>
          <t>3.2</t>
        </is>
      </c>
      <c r="J7185" t="inlineStr">
        <is>
          <t>Ventas Personas (B2C)</t>
        </is>
      </c>
      <c r="K7185" t="inlineStr">
        <is>
          <t>CH2</t>
        </is>
      </c>
    </row>
    <row r="7186">
      <c r="A7186" s="33" t="n">
        <v>46153</v>
      </c>
      <c r="B7186" t="inlineStr">
        <is>
          <t>2026-05</t>
        </is>
      </c>
      <c r="C7186" t="inlineStr">
        <is>
          <t>Sin cliente</t>
        </is>
      </c>
      <c r="D7186" t="inlineStr">
        <is>
          <t>Cafeteria Geronimo</t>
        </is>
      </c>
      <c r="E7186" s="34" t="n">
        <v>40600</v>
      </c>
      <c r="F7186" t="inlineStr">
        <is>
          <t>B</t>
        </is>
      </c>
      <c r="G7186" s="34" t="n">
        <v>6482</v>
      </c>
      <c r="H7186" s="34" t="n">
        <v>34118</v>
      </c>
      <c r="I7186" t="inlineStr">
        <is>
          <t>3.2</t>
        </is>
      </c>
      <c r="J7186" t="inlineStr">
        <is>
          <t>Ventas Personas (B2C)</t>
        </is>
      </c>
      <c r="K7186" t="inlineStr">
        <is>
          <t>CH2</t>
        </is>
      </c>
    </row>
    <row r="7187">
      <c r="A7187" s="33" t="n">
        <v>46153</v>
      </c>
      <c r="B7187" t="inlineStr">
        <is>
          <t>2026-05</t>
        </is>
      </c>
      <c r="C7187" t="inlineStr">
        <is>
          <t>Tamara contreras</t>
        </is>
      </c>
      <c r="D7187" t="inlineStr">
        <is>
          <t>Petit Crunchy</t>
        </is>
      </c>
      <c r="E7187" s="34" t="n">
        <v>19890</v>
      </c>
      <c r="F7187" t="inlineStr">
        <is>
          <t>B</t>
        </is>
      </c>
      <c r="G7187" s="34" t="n">
        <v>3176</v>
      </c>
      <c r="H7187" s="34" t="n">
        <v>16714</v>
      </c>
      <c r="I7187" t="inlineStr">
        <is>
          <t>3.2</t>
        </is>
      </c>
      <c r="J7187" t="inlineStr">
        <is>
          <t>Ventas Personas (B2C)</t>
        </is>
      </c>
      <c r="K7187" t="inlineStr">
        <is>
          <t>CH2</t>
        </is>
      </c>
    </row>
    <row r="7188">
      <c r="A7188" s="33" t="n">
        <v>46153</v>
      </c>
      <c r="B7188" t="inlineStr">
        <is>
          <t>2026-05</t>
        </is>
      </c>
      <c r="C7188" t="inlineStr">
        <is>
          <t>Ricardo Vega Segovia</t>
        </is>
      </c>
      <c r="D7188" t="inlineStr">
        <is>
          <t>Rellenos</t>
        </is>
      </c>
      <c r="E7188" s="34" t="n">
        <v>31890</v>
      </c>
      <c r="F7188" t="inlineStr">
        <is>
          <t>B</t>
        </is>
      </c>
      <c r="G7188" s="34" t="n">
        <v>5092</v>
      </c>
      <c r="H7188" s="34" t="n">
        <v>26798</v>
      </c>
      <c r="I7188" t="inlineStr">
        <is>
          <t>3.2</t>
        </is>
      </c>
      <c r="J7188" t="inlineStr">
        <is>
          <t>Ventas Personas (B2C)</t>
        </is>
      </c>
      <c r="K7188" t="inlineStr">
        <is>
          <t>CH2</t>
        </is>
      </c>
    </row>
    <row r="7189">
      <c r="A7189" s="33" t="n">
        <v>46154</v>
      </c>
      <c r="B7189" t="inlineStr">
        <is>
          <t>2026-05</t>
        </is>
      </c>
      <c r="C7189" t="inlineStr">
        <is>
          <t>Eduardo Jose Spencer Eckart Spa</t>
        </is>
      </c>
      <c r="D7189" t="inlineStr">
        <is>
          <t>HORECA CAFETERIA</t>
        </is>
      </c>
      <c r="E7189" s="34" t="n">
        <v>77564</v>
      </c>
      <c r="F7189" t="inlineStr">
        <is>
          <t>F</t>
        </is>
      </c>
      <c r="G7189" s="34" t="n">
        <v>12384</v>
      </c>
      <c r="H7189" s="34" t="n">
        <v>65180</v>
      </c>
      <c r="I7189" t="inlineStr">
        <is>
          <t>3.1</t>
        </is>
      </c>
      <c r="J7189" t="inlineStr">
        <is>
          <t>Ventas HoReCa</t>
        </is>
      </c>
      <c r="K7189" t="inlineStr">
        <is>
          <t>CH1</t>
        </is>
      </c>
    </row>
    <row r="7190">
      <c r="A7190" s="33" t="n">
        <v>46154</v>
      </c>
      <c r="B7190" t="inlineStr">
        <is>
          <t>2026-05</t>
        </is>
      </c>
      <c r="C7190" t="inlineStr">
        <is>
          <t>Cocoshouse Spa</t>
        </is>
      </c>
      <c r="D7190" t="inlineStr">
        <is>
          <t>HORECA CAFETERIA</t>
        </is>
      </c>
      <c r="E7190" s="34" t="n">
        <v>77564</v>
      </c>
      <c r="F7190" t="inlineStr">
        <is>
          <t>F</t>
        </is>
      </c>
      <c r="G7190" s="34" t="n">
        <v>12384</v>
      </c>
      <c r="H7190" s="34" t="n">
        <v>65180</v>
      </c>
      <c r="I7190" t="inlineStr">
        <is>
          <t>3.1</t>
        </is>
      </c>
      <c r="J7190" t="inlineStr">
        <is>
          <t>Ventas HoReCa</t>
        </is>
      </c>
      <c r="K7190" t="inlineStr">
        <is>
          <t>CH1</t>
        </is>
      </c>
    </row>
    <row r="7191">
      <c r="A7191" s="33" t="n">
        <v>46154</v>
      </c>
      <c r="B7191" t="inlineStr">
        <is>
          <t>2026-05</t>
        </is>
      </c>
      <c r="C7191" t="inlineStr">
        <is>
          <t>HUERTO SUR LIMITADA</t>
        </is>
      </c>
      <c r="D7191" t="inlineStr">
        <is>
          <t>REGION METROPOLITANA</t>
        </is>
      </c>
      <c r="E7191" s="34" t="n">
        <v>461539</v>
      </c>
      <c r="F7191" t="inlineStr">
        <is>
          <t>F</t>
        </is>
      </c>
      <c r="G7191" s="34" t="n">
        <v>73691</v>
      </c>
      <c r="H7191" s="34" t="n">
        <v>387848</v>
      </c>
      <c r="I7191" t="inlineStr">
        <is>
          <t>3.1</t>
        </is>
      </c>
      <c r="J7191" t="inlineStr">
        <is>
          <t>Ventas HoReCa</t>
        </is>
      </c>
      <c r="K7191" t="inlineStr">
        <is>
          <t>CH1</t>
        </is>
      </c>
    </row>
    <row r="7192">
      <c r="A7192" s="33" t="n">
        <v>46154</v>
      </c>
      <c r="B7192" t="inlineStr">
        <is>
          <t>2026-05</t>
        </is>
      </c>
      <c r="C7192" t="inlineStr">
        <is>
          <t>CUATROTRESTRES CAFÉ SPA</t>
        </is>
      </c>
      <c r="D7192" t="inlineStr">
        <is>
          <t>HORECA CAFETERIA</t>
        </is>
      </c>
      <c r="E7192" s="34" t="n">
        <v>212302</v>
      </c>
      <c r="F7192" t="inlineStr">
        <is>
          <t>F</t>
        </is>
      </c>
      <c r="G7192" s="34" t="n">
        <v>33897</v>
      </c>
      <c r="H7192" s="34" t="n">
        <v>178405</v>
      </c>
      <c r="I7192" t="inlineStr">
        <is>
          <t>3.1</t>
        </is>
      </c>
      <c r="J7192" t="inlineStr">
        <is>
          <t>Ventas HoReCa</t>
        </is>
      </c>
      <c r="K7192" t="inlineStr">
        <is>
          <t>CH1</t>
        </is>
      </c>
    </row>
    <row r="7193">
      <c r="A7193" s="33" t="n">
        <v>46154</v>
      </c>
      <c r="B7193" t="inlineStr">
        <is>
          <t>2026-05</t>
        </is>
      </c>
      <c r="C7193" t="inlineStr">
        <is>
          <t>BLUE OAK COFFE SPA</t>
        </is>
      </c>
      <c r="D7193" t="inlineStr">
        <is>
          <t>HORECA CAFETERIA</t>
        </is>
      </c>
      <c r="E7193" s="34" t="n">
        <v>112836</v>
      </c>
      <c r="F7193" t="inlineStr">
        <is>
          <t>F</t>
        </is>
      </c>
      <c r="G7193" s="34" t="n">
        <v>18016</v>
      </c>
      <c r="H7193" s="34" t="n">
        <v>94820</v>
      </c>
      <c r="I7193" t="inlineStr">
        <is>
          <t>3.1</t>
        </is>
      </c>
      <c r="J7193" t="inlineStr">
        <is>
          <t>Ventas HoReCa</t>
        </is>
      </c>
      <c r="K7193" t="inlineStr">
        <is>
          <t>CH1</t>
        </is>
      </c>
    </row>
    <row r="7194">
      <c r="A7194" s="33" t="n">
        <v>46154</v>
      </c>
      <c r="B7194" t="inlineStr">
        <is>
          <t>2026-05</t>
        </is>
      </c>
      <c r="C7194" t="inlineStr">
        <is>
          <t>ALIMENTOS NILO SPA</t>
        </is>
      </c>
      <c r="D7194" t="inlineStr">
        <is>
          <t>HORECA CAFETERIA</t>
        </is>
      </c>
      <c r="E7194" s="34" t="n">
        <v>77564</v>
      </c>
      <c r="F7194" t="inlineStr">
        <is>
          <t>F</t>
        </is>
      </c>
      <c r="G7194" s="34" t="n">
        <v>12384</v>
      </c>
      <c r="H7194" s="34" t="n">
        <v>65180</v>
      </c>
      <c r="I7194" t="inlineStr">
        <is>
          <t>3.1</t>
        </is>
      </c>
      <c r="J7194" t="inlineStr">
        <is>
          <t>Ventas HoReCa</t>
        </is>
      </c>
      <c r="K7194" t="inlineStr">
        <is>
          <t>CH1</t>
        </is>
      </c>
    </row>
    <row r="7195">
      <c r="A7195" s="33" t="n">
        <v>46154</v>
      </c>
      <c r="B7195" t="inlineStr">
        <is>
          <t>2026-05</t>
        </is>
      </c>
      <c r="C7195" t="inlineStr">
        <is>
          <t>María Lorena Zárate Carmona</t>
        </is>
      </c>
      <c r="D7195" t="inlineStr">
        <is>
          <t>Petit Crunchy</t>
        </is>
      </c>
      <c r="E7195" s="34" t="n">
        <v>35900</v>
      </c>
      <c r="F7195" t="inlineStr">
        <is>
          <t>B</t>
        </is>
      </c>
      <c r="G7195" s="34" t="n">
        <v>5732</v>
      </c>
      <c r="H7195" s="34" t="n">
        <v>30168</v>
      </c>
      <c r="I7195" t="inlineStr">
        <is>
          <t>3.2</t>
        </is>
      </c>
      <c r="J7195" t="inlineStr">
        <is>
          <t>Ventas Personas (B2C)</t>
        </is>
      </c>
      <c r="K7195" t="inlineStr">
        <is>
          <t>CH2</t>
        </is>
      </c>
    </row>
    <row r="7196">
      <c r="A7196" s="33" t="n">
        <v>46154</v>
      </c>
      <c r="B7196" t="inlineStr">
        <is>
          <t>2026-05</t>
        </is>
      </c>
      <c r="C7196" t="inlineStr">
        <is>
          <t>Andrea Rojas</t>
        </is>
      </c>
      <c r="D7196" t="inlineStr">
        <is>
          <t>CANELÉ TRADICIONAL</t>
        </is>
      </c>
      <c r="E7196" s="34" t="n">
        <v>27890</v>
      </c>
      <c r="F7196" t="inlineStr">
        <is>
          <t>B</t>
        </is>
      </c>
      <c r="G7196" s="34" t="n">
        <v>4453</v>
      </c>
      <c r="H7196" s="34" t="n">
        <v>23437</v>
      </c>
      <c r="I7196" t="inlineStr">
        <is>
          <t>3.2</t>
        </is>
      </c>
      <c r="J7196" t="inlineStr">
        <is>
          <t>Ventas Personas (B2C)</t>
        </is>
      </c>
      <c r="K7196" t="inlineStr">
        <is>
          <t>CH2</t>
        </is>
      </c>
    </row>
    <row r="7197">
      <c r="A7197" s="33" t="n">
        <v>46154</v>
      </c>
      <c r="B7197" t="inlineStr">
        <is>
          <t>2026-05</t>
        </is>
      </c>
      <c r="C7197" t="inlineStr">
        <is>
          <t>Sin cliente</t>
        </is>
      </c>
      <c r="D7197" t="inlineStr">
        <is>
          <t>Cafeteria Geronimo</t>
        </is>
      </c>
      <c r="E7197" s="34" t="n">
        <v>4300</v>
      </c>
      <c r="F7197" t="inlineStr">
        <is>
          <t>B</t>
        </is>
      </c>
      <c r="G7197" s="34" t="n">
        <v>687</v>
      </c>
      <c r="H7197" s="34" t="n">
        <v>3613</v>
      </c>
      <c r="I7197" t="inlineStr">
        <is>
          <t>3.2</t>
        </is>
      </c>
      <c r="J7197" t="inlineStr">
        <is>
          <t>Ventas Personas (B2C)</t>
        </is>
      </c>
      <c r="K7197" t="inlineStr">
        <is>
          <t>CH2</t>
        </is>
      </c>
    </row>
    <row r="7198">
      <c r="A7198" s="33" t="n">
        <v>46154</v>
      </c>
      <c r="B7198" t="inlineStr">
        <is>
          <t>2026-05</t>
        </is>
      </c>
      <c r="C7198" t="inlineStr">
        <is>
          <t>Sin cliente</t>
        </is>
      </c>
      <c r="D7198" t="inlineStr">
        <is>
          <t>PLATAFORMAS RAP-PEYA-UBER-GOOD</t>
        </is>
      </c>
      <c r="E7198" s="34" t="n">
        <v>17890</v>
      </c>
      <c r="F7198" t="inlineStr">
        <is>
          <t>B</t>
        </is>
      </c>
      <c r="G7198" s="34" t="n">
        <v>2856</v>
      </c>
      <c r="H7198" s="34" t="n">
        <v>15034</v>
      </c>
      <c r="I7198" t="inlineStr">
        <is>
          <t>3.6</t>
        </is>
      </c>
      <c r="J7198" t="inlineStr">
        <is>
          <t>Ventas Delivery Apps</t>
        </is>
      </c>
      <c r="K7198" t="inlineStr">
        <is>
          <t>CH3</t>
        </is>
      </c>
    </row>
    <row r="7199">
      <c r="A7199" s="33" t="n">
        <v>46154</v>
      </c>
      <c r="B7199" t="inlineStr">
        <is>
          <t>2026-05</t>
        </is>
      </c>
      <c r="C7199" t="inlineStr">
        <is>
          <t>Sin cliente</t>
        </is>
      </c>
      <c r="D7199" t="inlineStr">
        <is>
          <t>PLATAFORMAS RAP-PEYA-UBER-GOOD</t>
        </is>
      </c>
      <c r="E7199" s="34" t="n">
        <v>27480</v>
      </c>
      <c r="F7199" t="inlineStr">
        <is>
          <t>B</t>
        </is>
      </c>
      <c r="G7199" s="34" t="n">
        <v>4388</v>
      </c>
      <c r="H7199" s="34" t="n">
        <v>23092</v>
      </c>
      <c r="I7199" t="inlineStr">
        <is>
          <t>3.6</t>
        </is>
      </c>
      <c r="J7199" t="inlineStr">
        <is>
          <t>Ventas Delivery Apps</t>
        </is>
      </c>
      <c r="K7199" t="inlineStr">
        <is>
          <t>CH3</t>
        </is>
      </c>
    </row>
    <row r="7200">
      <c r="A7200" s="33" t="n">
        <v>46154</v>
      </c>
      <c r="B7200" t="inlineStr">
        <is>
          <t>2026-05</t>
        </is>
      </c>
      <c r="C7200" t="inlineStr">
        <is>
          <t>Sin cliente</t>
        </is>
      </c>
      <c r="D7200" t="inlineStr">
        <is>
          <t>Cafeteria Geronimo</t>
        </is>
      </c>
      <c r="E7200" s="34" t="n">
        <v>39200</v>
      </c>
      <c r="F7200" t="inlineStr">
        <is>
          <t>B</t>
        </is>
      </c>
      <c r="G7200" s="34" t="n">
        <v>6259</v>
      </c>
      <c r="H7200" s="34" t="n">
        <v>32941</v>
      </c>
      <c r="I7200" t="inlineStr">
        <is>
          <t>3.2</t>
        </is>
      </c>
      <c r="J7200" t="inlineStr">
        <is>
          <t>Ventas Personas (B2C)</t>
        </is>
      </c>
      <c r="K7200" t="inlineStr">
        <is>
          <t>CH2</t>
        </is>
      </c>
    </row>
    <row r="7201">
      <c r="A7201" s="33" t="n">
        <v>46154</v>
      </c>
      <c r="B7201" t="inlineStr">
        <is>
          <t>2026-05</t>
        </is>
      </c>
      <c r="C7201" t="inlineStr">
        <is>
          <t>Sin cliente</t>
        </is>
      </c>
      <c r="D7201" t="inlineStr">
        <is>
          <t>Petit Tradicional</t>
        </is>
      </c>
      <c r="E7201" s="34" t="n">
        <v>13800</v>
      </c>
      <c r="F7201" t="inlineStr">
        <is>
          <t>B</t>
        </is>
      </c>
      <c r="G7201" s="34" t="n">
        <v>2203</v>
      </c>
      <c r="H7201" s="34" t="n">
        <v>11597</v>
      </c>
      <c r="I7201" t="inlineStr">
        <is>
          <t>3.2</t>
        </is>
      </c>
      <c r="J7201" t="inlineStr">
        <is>
          <t>Ventas Personas (B2C)</t>
        </is>
      </c>
      <c r="K7201" t="inlineStr">
        <is>
          <t>CH2</t>
        </is>
      </c>
    </row>
    <row r="7202">
      <c r="A7202" s="33" t="n">
        <v>46154</v>
      </c>
      <c r="B7202" t="inlineStr">
        <is>
          <t>2026-05</t>
        </is>
      </c>
      <c r="C7202" t="inlineStr">
        <is>
          <t>Sin cliente</t>
        </is>
      </c>
      <c r="D7202" t="inlineStr">
        <is>
          <t>Cafeteria Geronimo</t>
        </is>
      </c>
      <c r="E7202" s="34" t="n">
        <v>3700</v>
      </c>
      <c r="F7202" t="inlineStr">
        <is>
          <t>B</t>
        </is>
      </c>
      <c r="G7202" s="34" t="n">
        <v>591</v>
      </c>
      <c r="H7202" s="34" t="n">
        <v>3109</v>
      </c>
      <c r="I7202" t="inlineStr">
        <is>
          <t>3.2</t>
        </is>
      </c>
      <c r="J7202" t="inlineStr">
        <is>
          <t>Ventas Personas (B2C)</t>
        </is>
      </c>
      <c r="K7202" t="inlineStr">
        <is>
          <t>CH2</t>
        </is>
      </c>
    </row>
    <row r="7203">
      <c r="A7203" s="33" t="n">
        <v>46154</v>
      </c>
      <c r="B7203" t="inlineStr">
        <is>
          <t>2026-05</t>
        </is>
      </c>
      <c r="C7203" t="inlineStr">
        <is>
          <t>Maximiliano Wilder Cvitanic</t>
        </is>
      </c>
      <c r="D7203" t="inlineStr">
        <is>
          <t>Petit Tradicional</t>
        </is>
      </c>
      <c r="E7203" s="34" t="n">
        <v>17290</v>
      </c>
      <c r="F7203" t="inlineStr">
        <is>
          <t>B</t>
        </is>
      </c>
      <c r="G7203" s="34" t="n">
        <v>2761</v>
      </c>
      <c r="H7203" s="34" t="n">
        <v>14529</v>
      </c>
      <c r="I7203" t="inlineStr">
        <is>
          <t>3.2</t>
        </is>
      </c>
      <c r="J7203" t="inlineStr">
        <is>
          <t>Ventas Personas (B2C)</t>
        </is>
      </c>
      <c r="K7203" t="inlineStr">
        <is>
          <t>CH2</t>
        </is>
      </c>
    </row>
    <row r="7204">
      <c r="A7204" s="33" t="n">
        <v>46154</v>
      </c>
      <c r="B7204" t="inlineStr">
        <is>
          <t>2026-05</t>
        </is>
      </c>
      <c r="C7204" t="inlineStr">
        <is>
          <t>Sin cliente</t>
        </is>
      </c>
      <c r="D7204" t="inlineStr">
        <is>
          <t>Cafeteria Geronimo</t>
        </is>
      </c>
      <c r="E7204" s="34" t="n">
        <v>12000</v>
      </c>
      <c r="F7204" t="inlineStr">
        <is>
          <t>B</t>
        </is>
      </c>
      <c r="G7204" s="34" t="n">
        <v>1916</v>
      </c>
      <c r="H7204" s="34" t="n">
        <v>10084</v>
      </c>
      <c r="I7204" t="inlineStr">
        <is>
          <t>3.2</t>
        </is>
      </c>
      <c r="J7204" t="inlineStr">
        <is>
          <t>Ventas Personas (B2C)</t>
        </is>
      </c>
      <c r="K7204" t="inlineStr">
        <is>
          <t>CH2</t>
        </is>
      </c>
    </row>
    <row r="7205">
      <c r="A7205" s="33" t="n">
        <v>46154</v>
      </c>
      <c r="B7205" t="inlineStr">
        <is>
          <t>2026-05</t>
        </is>
      </c>
      <c r="C7205" t="inlineStr">
        <is>
          <t>Victoria Belén Fuentes Morales</t>
        </is>
      </c>
      <c r="D7205" t="inlineStr">
        <is>
          <t>CANELE SIN AZUCAR</t>
        </is>
      </c>
      <c r="E7205" s="34" t="n">
        <v>30290</v>
      </c>
      <c r="F7205" t="inlineStr">
        <is>
          <t>B</t>
        </is>
      </c>
      <c r="G7205" s="34" t="n">
        <v>4836</v>
      </c>
      <c r="H7205" s="34" t="n">
        <v>25454</v>
      </c>
      <c r="I7205" t="inlineStr">
        <is>
          <t>3.2</t>
        </is>
      </c>
      <c r="J7205" t="inlineStr">
        <is>
          <t>Ventas Personas (B2C)</t>
        </is>
      </c>
      <c r="K7205" t="inlineStr">
        <is>
          <t>CH2</t>
        </is>
      </c>
    </row>
    <row r="7206">
      <c r="A7206" s="33" t="n">
        <v>46154</v>
      </c>
      <c r="B7206" t="inlineStr">
        <is>
          <t>2026-05</t>
        </is>
      </c>
      <c r="C7206" t="inlineStr">
        <is>
          <t>Paula Errázuriz</t>
        </is>
      </c>
      <c r="D7206" t="inlineStr">
        <is>
          <t>Petit Tradicional</t>
        </is>
      </c>
      <c r="E7206" s="34" t="n">
        <v>35290</v>
      </c>
      <c r="F7206" t="inlineStr">
        <is>
          <t>B</t>
        </is>
      </c>
      <c r="G7206" s="34" t="n">
        <v>5635</v>
      </c>
      <c r="H7206" s="34" t="n">
        <v>29655</v>
      </c>
      <c r="I7206" t="inlineStr">
        <is>
          <t>3.2</t>
        </is>
      </c>
      <c r="J7206" t="inlineStr">
        <is>
          <t>Ventas Personas (B2C)</t>
        </is>
      </c>
      <c r="K7206" t="inlineStr">
        <is>
          <t>CH2</t>
        </is>
      </c>
    </row>
    <row r="7207">
      <c r="A7207" s="33" t="n">
        <v>46154</v>
      </c>
      <c r="B7207" t="inlineStr">
        <is>
          <t>2026-05</t>
        </is>
      </c>
      <c r="C7207" t="inlineStr">
        <is>
          <t>Angélica Pérez de arce</t>
        </is>
      </c>
      <c r="D7207" t="inlineStr">
        <is>
          <t>Delicatessen</t>
        </is>
      </c>
      <c r="E7207" s="34" t="n">
        <v>44700</v>
      </c>
      <c r="F7207" t="inlineStr">
        <is>
          <t>B</t>
        </is>
      </c>
      <c r="G7207" s="34" t="n">
        <v>7137</v>
      </c>
      <c r="H7207" s="34" t="n">
        <v>37563</v>
      </c>
      <c r="I7207" t="inlineStr">
        <is>
          <t>3.2</t>
        </is>
      </c>
      <c r="J7207" t="inlineStr">
        <is>
          <t>Ventas Personas (B2C)</t>
        </is>
      </c>
      <c r="K7207" t="inlineStr">
        <is>
          <t>CH2</t>
        </is>
      </c>
    </row>
    <row r="7208">
      <c r="A7208" s="33" t="n">
        <v>46154</v>
      </c>
      <c r="B7208" t="inlineStr">
        <is>
          <t>2026-05</t>
        </is>
      </c>
      <c r="C7208" t="inlineStr">
        <is>
          <t>Sin cliente</t>
        </is>
      </c>
      <c r="D7208" t="inlineStr">
        <is>
          <t>CANELÉ TRADICIONAL</t>
        </is>
      </c>
      <c r="E7208" s="34" t="n">
        <v>27900</v>
      </c>
      <c r="F7208" t="inlineStr">
        <is>
          <t>B</t>
        </is>
      </c>
      <c r="G7208" s="34" t="n">
        <v>4455</v>
      </c>
      <c r="H7208" s="34" t="n">
        <v>23445</v>
      </c>
      <c r="I7208" t="inlineStr">
        <is>
          <t>3.2</t>
        </is>
      </c>
      <c r="J7208" t="inlineStr">
        <is>
          <t>Ventas Personas (B2C)</t>
        </is>
      </c>
      <c r="K7208" t="inlineStr">
        <is>
          <t>CH2</t>
        </is>
      </c>
    </row>
    <row r="7209">
      <c r="A7209" s="33" t="n">
        <v>46154</v>
      </c>
      <c r="B7209" t="inlineStr">
        <is>
          <t>2026-05</t>
        </is>
      </c>
      <c r="C7209" t="inlineStr">
        <is>
          <t>Sin cliente</t>
        </is>
      </c>
      <c r="D7209" t="inlineStr">
        <is>
          <t>PLATAFORMAS RAP-PEYA-UBER-GOOD</t>
        </is>
      </c>
      <c r="E7209" s="34" t="n">
        <v>43090</v>
      </c>
      <c r="F7209" t="inlineStr">
        <is>
          <t>B</t>
        </is>
      </c>
      <c r="G7209" s="34" t="n">
        <v>6880</v>
      </c>
      <c r="H7209" s="34" t="n">
        <v>36210</v>
      </c>
      <c r="I7209" t="inlineStr">
        <is>
          <t>3.6</t>
        </is>
      </c>
      <c r="J7209" t="inlineStr">
        <is>
          <t>Ventas Delivery Apps</t>
        </is>
      </c>
      <c r="K7209" t="inlineStr">
        <is>
          <t>CH3</t>
        </is>
      </c>
    </row>
    <row r="7210">
      <c r="A7210" s="33" t="n">
        <v>46154</v>
      </c>
      <c r="B7210" t="inlineStr">
        <is>
          <t>2026-05</t>
        </is>
      </c>
      <c r="C7210" t="inlineStr">
        <is>
          <t>Sin cliente</t>
        </is>
      </c>
      <c r="D7210" t="inlineStr">
        <is>
          <t>Mix Sabores</t>
        </is>
      </c>
      <c r="E7210" s="34" t="n">
        <v>26700</v>
      </c>
      <c r="F7210" t="inlineStr">
        <is>
          <t>B</t>
        </is>
      </c>
      <c r="G7210" s="34" t="n">
        <v>4263</v>
      </c>
      <c r="H7210" s="34" t="n">
        <v>22437</v>
      </c>
      <c r="I7210" t="inlineStr">
        <is>
          <t>3.2</t>
        </is>
      </c>
      <c r="J7210" t="inlineStr">
        <is>
          <t>Ventas Personas (B2C)</t>
        </is>
      </c>
      <c r="K7210" t="inlineStr">
        <is>
          <t>CH2</t>
        </is>
      </c>
    </row>
    <row r="7211">
      <c r="A7211" s="33" t="n">
        <v>46154</v>
      </c>
      <c r="B7211" t="inlineStr">
        <is>
          <t>2026-05</t>
        </is>
      </c>
      <c r="C7211" t="inlineStr">
        <is>
          <t>Rodrigo Salcedo Barrera</t>
        </is>
      </c>
      <c r="D7211" t="inlineStr">
        <is>
          <t>CANELE SIN AZUCAR</t>
        </is>
      </c>
      <c r="E7211" s="34" t="n">
        <v>21890</v>
      </c>
      <c r="F7211" t="inlineStr">
        <is>
          <t>B</t>
        </is>
      </c>
      <c r="G7211" s="34" t="n">
        <v>3495</v>
      </c>
      <c r="H7211" s="34" t="n">
        <v>18395</v>
      </c>
      <c r="I7211" t="inlineStr">
        <is>
          <t>3.2</t>
        </is>
      </c>
      <c r="J7211" t="inlineStr">
        <is>
          <t>Ventas Personas (B2C)</t>
        </is>
      </c>
      <c r="K7211" t="inlineStr">
        <is>
          <t>CH2</t>
        </is>
      </c>
    </row>
    <row r="7212">
      <c r="A7212" s="33" t="n">
        <v>46154</v>
      </c>
      <c r="B7212" t="inlineStr">
        <is>
          <t>2026-05</t>
        </is>
      </c>
      <c r="C7212" t="inlineStr">
        <is>
          <t>Tere Concha</t>
        </is>
      </c>
      <c r="D7212" t="inlineStr">
        <is>
          <t>Petit Tradicional</t>
        </is>
      </c>
      <c r="E7212" s="34" t="n">
        <v>36790</v>
      </c>
      <c r="F7212" t="inlineStr">
        <is>
          <t>B</t>
        </is>
      </c>
      <c r="G7212" s="34" t="n">
        <v>5874</v>
      </c>
      <c r="H7212" s="34" t="n">
        <v>30916</v>
      </c>
      <c r="I7212" t="inlineStr">
        <is>
          <t>3.2</t>
        </is>
      </c>
      <c r="J7212" t="inlineStr">
        <is>
          <t>Ventas Personas (B2C)</t>
        </is>
      </c>
      <c r="K7212" t="inlineStr">
        <is>
          <t>CH2</t>
        </is>
      </c>
    </row>
    <row r="7213">
      <c r="A7213" s="33" t="n">
        <v>46155</v>
      </c>
      <c r="B7213" t="inlineStr">
        <is>
          <t>2026-05</t>
        </is>
      </c>
      <c r="C7213" t="inlineStr">
        <is>
          <t>CAFE DIARIO ENCOMENDEROS SPA</t>
        </is>
      </c>
      <c r="D7213" t="inlineStr">
        <is>
          <t>HORECA CAFETERIA</t>
        </is>
      </c>
      <c r="E7213" s="34" t="n">
        <v>126616</v>
      </c>
      <c r="F7213" t="inlineStr">
        <is>
          <t>F</t>
        </is>
      </c>
      <c r="G7213" s="34" t="n">
        <v>20216</v>
      </c>
      <c r="H7213" s="34" t="n">
        <v>106400</v>
      </c>
      <c r="I7213" t="inlineStr">
        <is>
          <t>3.1</t>
        </is>
      </c>
      <c r="J7213" t="inlineStr">
        <is>
          <t>Ventas HoReCa</t>
        </is>
      </c>
      <c r="K7213" t="inlineStr">
        <is>
          <t>CH1</t>
        </is>
      </c>
    </row>
    <row r="7214">
      <c r="A7214" s="33" t="n">
        <v>46155</v>
      </c>
      <c r="B7214" t="inlineStr">
        <is>
          <t>2026-05</t>
        </is>
      </c>
      <c r="C7214" t="inlineStr">
        <is>
          <t>Nicole Rosset</t>
        </is>
      </c>
      <c r="D7214" t="inlineStr">
        <is>
          <t>Petit Crunchy</t>
        </is>
      </c>
      <c r="E7214" s="34" t="n">
        <v>36790</v>
      </c>
      <c r="F7214" t="inlineStr">
        <is>
          <t>B</t>
        </is>
      </c>
      <c r="G7214" s="34" t="n">
        <v>5874</v>
      </c>
      <c r="H7214" s="34" t="n">
        <v>30916</v>
      </c>
      <c r="I7214" t="inlineStr">
        <is>
          <t>3.2</t>
        </is>
      </c>
      <c r="J7214" t="inlineStr">
        <is>
          <t>Ventas Personas (B2C)</t>
        </is>
      </c>
      <c r="K7214" t="inlineStr">
        <is>
          <t>CH2</t>
        </is>
      </c>
    </row>
    <row r="7215">
      <c r="A7215" s="33" t="n">
        <v>46155</v>
      </c>
      <c r="B7215" t="inlineStr">
        <is>
          <t>2026-05</t>
        </is>
      </c>
      <c r="C7215" t="inlineStr">
        <is>
          <t>Sin cliente</t>
        </is>
      </c>
      <c r="D7215" t="inlineStr">
        <is>
          <t>CANELÉ TRADICIONAL</t>
        </is>
      </c>
      <c r="E7215" s="34" t="n">
        <v>15900</v>
      </c>
      <c r="F7215" t="inlineStr">
        <is>
          <t>B</t>
        </is>
      </c>
      <c r="G7215" s="34" t="n">
        <v>2539</v>
      </c>
      <c r="H7215" s="34" t="n">
        <v>13361</v>
      </c>
      <c r="I7215" t="inlineStr">
        <is>
          <t>3.2</t>
        </is>
      </c>
      <c r="J7215" t="inlineStr">
        <is>
          <t>Ventas Personas (B2C)</t>
        </is>
      </c>
      <c r="K7215" t="inlineStr">
        <is>
          <t>CH2</t>
        </is>
      </c>
    </row>
    <row r="7216">
      <c r="A7216" s="33" t="n">
        <v>46155</v>
      </c>
      <c r="B7216" t="inlineStr">
        <is>
          <t>2026-05</t>
        </is>
      </c>
      <c r="C7216" t="inlineStr">
        <is>
          <t>Sin cliente</t>
        </is>
      </c>
      <c r="D7216" t="inlineStr">
        <is>
          <t>CANELÉ TRADICIONAL</t>
        </is>
      </c>
      <c r="E7216" s="34" t="n">
        <v>5000</v>
      </c>
      <c r="F7216" t="inlineStr">
        <is>
          <t>B</t>
        </is>
      </c>
      <c r="G7216" s="34" t="n">
        <v>798</v>
      </c>
      <c r="H7216" s="34" t="n">
        <v>4202</v>
      </c>
      <c r="I7216" t="inlineStr">
        <is>
          <t>3.2</t>
        </is>
      </c>
      <c r="J7216" t="inlineStr">
        <is>
          <t>Ventas Personas (B2C)</t>
        </is>
      </c>
      <c r="K7216" t="inlineStr">
        <is>
          <t>CH2</t>
        </is>
      </c>
    </row>
    <row r="7217">
      <c r="A7217" s="33" t="n">
        <v>46155</v>
      </c>
      <c r="B7217" t="inlineStr">
        <is>
          <t>2026-05</t>
        </is>
      </c>
      <c r="C7217" t="inlineStr">
        <is>
          <t>Sin cliente</t>
        </is>
      </c>
      <c r="D7217" t="inlineStr">
        <is>
          <t>Cafeteria Geronimo</t>
        </is>
      </c>
      <c r="E7217" s="34" t="n">
        <v>21700</v>
      </c>
      <c r="F7217" t="inlineStr">
        <is>
          <t>B</t>
        </is>
      </c>
      <c r="G7217" s="34" t="n">
        <v>3465</v>
      </c>
      <c r="H7217" s="34" t="n">
        <v>18235</v>
      </c>
      <c r="I7217" t="inlineStr">
        <is>
          <t>3.2</t>
        </is>
      </c>
      <c r="J7217" t="inlineStr">
        <is>
          <t>Ventas Personas (B2C)</t>
        </is>
      </c>
      <c r="K7217" t="inlineStr">
        <is>
          <t>CH2</t>
        </is>
      </c>
    </row>
    <row r="7218">
      <c r="A7218" s="33" t="n">
        <v>46155</v>
      </c>
      <c r="B7218" t="inlineStr">
        <is>
          <t>2026-05</t>
        </is>
      </c>
      <c r="C7218" t="inlineStr">
        <is>
          <t>ESTUDIO DE PILATES MARIA ANGELICA LAMARCA ROSS EIR</t>
        </is>
      </c>
      <c r="D7218" t="inlineStr">
        <is>
          <t>CANELÉ TRADICIONAL</t>
        </is>
      </c>
      <c r="E7218" s="34" t="n">
        <v>18400</v>
      </c>
      <c r="F7218" t="inlineStr">
        <is>
          <t>B</t>
        </is>
      </c>
      <c r="G7218" s="34" t="n">
        <v>2938</v>
      </c>
      <c r="H7218" s="34" t="n">
        <v>15462</v>
      </c>
      <c r="I7218" t="inlineStr">
        <is>
          <t>3.2</t>
        </is>
      </c>
      <c r="J7218" t="inlineStr">
        <is>
          <t>Ventas Personas (B2C)</t>
        </is>
      </c>
      <c r="K7218" t="inlineStr">
        <is>
          <t>CH2</t>
        </is>
      </c>
    </row>
    <row r="7219">
      <c r="A7219" s="33" t="n">
        <v>46155</v>
      </c>
      <c r="B7219" t="inlineStr">
        <is>
          <t>2026-05</t>
        </is>
      </c>
      <c r="C7219" t="inlineStr">
        <is>
          <t>ESTUDIO DE PILATES MARIA ANGELICA LAMARCA ROSS EIR</t>
        </is>
      </c>
      <c r="D7219" t="inlineStr">
        <is>
          <t>Canelé Petit Relleno</t>
        </is>
      </c>
      <c r="E7219" s="34" t="n">
        <v>90291</v>
      </c>
      <c r="F7219" t="inlineStr">
        <is>
          <t>F</t>
        </is>
      </c>
      <c r="G7219" s="34" t="n">
        <v>14416</v>
      </c>
      <c r="H7219" s="34" t="n">
        <v>75875</v>
      </c>
      <c r="I7219" t="inlineStr">
        <is>
          <t>3.1</t>
        </is>
      </c>
      <c r="J7219" t="inlineStr">
        <is>
          <t>Ventas HoReCa</t>
        </is>
      </c>
      <c r="K7219" t="inlineStr">
        <is>
          <t>CH1</t>
        </is>
      </c>
    </row>
    <row r="7220">
      <c r="A7220" s="33" t="n">
        <v>46155</v>
      </c>
      <c r="B7220" t="inlineStr">
        <is>
          <t>2026-05</t>
        </is>
      </c>
      <c r="C7220" t="inlineStr">
        <is>
          <t>Sin cliente</t>
        </is>
      </c>
      <c r="D7220" t="inlineStr">
        <is>
          <t>PLATAFORMAS RAP-PEYA-UBER-GOOD</t>
        </is>
      </c>
      <c r="E7220" s="34" t="n">
        <v>6075</v>
      </c>
      <c r="F7220" t="inlineStr">
        <is>
          <t>B</t>
        </is>
      </c>
      <c r="G7220" s="34" t="n">
        <v>970</v>
      </c>
      <c r="H7220" s="34" t="n">
        <v>5105</v>
      </c>
      <c r="I7220" t="inlineStr">
        <is>
          <t>3.6</t>
        </is>
      </c>
      <c r="J7220" t="inlineStr">
        <is>
          <t>Ventas Delivery Apps</t>
        </is>
      </c>
      <c r="K7220" t="inlineStr">
        <is>
          <t>CH3</t>
        </is>
      </c>
    </row>
    <row r="7221">
      <c r="A7221" s="33" t="n">
        <v>46155</v>
      </c>
      <c r="B7221" t="inlineStr">
        <is>
          <t>2026-05</t>
        </is>
      </c>
      <c r="C7221" t="inlineStr">
        <is>
          <t>Sin cliente</t>
        </is>
      </c>
      <c r="D7221" t="inlineStr">
        <is>
          <t>CANELÉ TRADICIONAL</t>
        </is>
      </c>
      <c r="E7221" s="34" t="n">
        <v>22900</v>
      </c>
      <c r="F7221" t="inlineStr">
        <is>
          <t>B</t>
        </is>
      </c>
      <c r="G7221" s="34" t="n">
        <v>3656</v>
      </c>
      <c r="H7221" s="34" t="n">
        <v>19244</v>
      </c>
      <c r="I7221" t="inlineStr">
        <is>
          <t>3.2</t>
        </is>
      </c>
      <c r="J7221" t="inlineStr">
        <is>
          <t>Ventas Personas (B2C)</t>
        </is>
      </c>
      <c r="K7221" t="inlineStr">
        <is>
          <t>CH2</t>
        </is>
      </c>
    </row>
    <row r="7222">
      <c r="A7222" s="33" t="n">
        <v>46155</v>
      </c>
      <c r="B7222" t="inlineStr">
        <is>
          <t>2026-05</t>
        </is>
      </c>
      <c r="C7222" t="inlineStr">
        <is>
          <t>Sin cliente</t>
        </is>
      </c>
      <c r="D7222" t="inlineStr">
        <is>
          <t xml:space="preserve">Glosa caja 6 tradicional </t>
        </is>
      </c>
      <c r="E7222" s="34" t="n">
        <v>19090</v>
      </c>
      <c r="F7222" t="inlineStr">
        <is>
          <t>B</t>
        </is>
      </c>
      <c r="G7222" s="34" t="n">
        <v>3048</v>
      </c>
      <c r="H7222" s="34" t="n">
        <v>16042</v>
      </c>
      <c r="I7222" t="inlineStr">
        <is>
          <t>3.2</t>
        </is>
      </c>
      <c r="J7222" t="inlineStr">
        <is>
          <t>Ventas Personas (B2C)</t>
        </is>
      </c>
      <c r="K7222" t="inlineStr">
        <is>
          <t>CH2</t>
        </is>
      </c>
    </row>
    <row r="7223">
      <c r="A7223" s="33" t="n">
        <v>46156</v>
      </c>
      <c r="B7223" t="inlineStr">
        <is>
          <t>2026-05</t>
        </is>
      </c>
      <c r="C7223" t="inlineStr">
        <is>
          <t>GALVEZ Y HEUSSER SPA</t>
        </is>
      </c>
      <c r="D7223" t="inlineStr">
        <is>
          <t>HORECA CATERING</t>
        </is>
      </c>
      <c r="E7223" s="34" t="n">
        <v>150773</v>
      </c>
      <c r="F7223" t="inlineStr">
        <is>
          <t>F</t>
        </is>
      </c>
      <c r="G7223" s="34" t="n">
        <v>24073</v>
      </c>
      <c r="H7223" s="34" t="n">
        <v>126700</v>
      </c>
      <c r="I7223" t="inlineStr">
        <is>
          <t>3.1</t>
        </is>
      </c>
      <c r="J7223" t="inlineStr">
        <is>
          <t>Ventas HoReCa</t>
        </is>
      </c>
      <c r="K7223" t="inlineStr">
        <is>
          <t>CH1</t>
        </is>
      </c>
    </row>
    <row r="7224">
      <c r="A7224" s="33" t="n">
        <v>46156</v>
      </c>
      <c r="B7224" t="inlineStr">
        <is>
          <t>2026-05</t>
        </is>
      </c>
      <c r="C7224" t="inlineStr">
        <is>
          <t>Better Food Spa</t>
        </is>
      </c>
      <c r="D7224" t="inlineStr">
        <is>
          <t>HORECA CAFETERIA</t>
        </is>
      </c>
      <c r="E7224" s="34" t="n">
        <v>502620</v>
      </c>
      <c r="F7224" t="inlineStr">
        <is>
          <t>F</t>
        </is>
      </c>
      <c r="G7224" s="34" t="n">
        <v>80250</v>
      </c>
      <c r="H7224" s="34" t="n">
        <v>422370</v>
      </c>
      <c r="I7224" t="inlineStr">
        <is>
          <t>3.1</t>
        </is>
      </c>
      <c r="J7224" t="inlineStr">
        <is>
          <t>Ventas HoReCa</t>
        </is>
      </c>
      <c r="K7224" t="inlineStr">
        <is>
          <t>CH1</t>
        </is>
      </c>
    </row>
    <row r="7225">
      <c r="A7225" s="33" t="n">
        <v>46156</v>
      </c>
      <c r="B7225" t="inlineStr">
        <is>
          <t>2026-05</t>
        </is>
      </c>
      <c r="C7225" t="inlineStr">
        <is>
          <t>Better Food Spa</t>
        </is>
      </c>
      <c r="D7225" t="inlineStr">
        <is>
          <t>REGION METROPOLITANA</t>
        </is>
      </c>
      <c r="E7225" s="34" t="n">
        <v>9401</v>
      </c>
      <c r="F7225" t="inlineStr">
        <is>
          <t>F</t>
        </is>
      </c>
      <c r="G7225" s="34" t="n">
        <v>1501</v>
      </c>
      <c r="H7225" s="34" t="n">
        <v>7900</v>
      </c>
      <c r="I7225" t="inlineStr">
        <is>
          <t>3.1</t>
        </is>
      </c>
      <c r="J7225" t="inlineStr">
        <is>
          <t>Ventas HoReCa</t>
        </is>
      </c>
      <c r="K7225" t="inlineStr">
        <is>
          <t>CH1</t>
        </is>
      </c>
    </row>
    <row r="7226">
      <c r="A7226" s="33" t="n">
        <v>46156</v>
      </c>
      <c r="B7226" t="inlineStr">
        <is>
          <t>2026-05</t>
        </is>
      </c>
      <c r="C7226" t="inlineStr">
        <is>
          <t>TAVELLI S.A.</t>
        </is>
      </c>
      <c r="D7226" t="inlineStr">
        <is>
          <t>HORECA CAFETERIA</t>
        </is>
      </c>
      <c r="E7226" s="34" t="n">
        <v>492039</v>
      </c>
      <c r="F7226" t="inlineStr">
        <is>
          <t>F</t>
        </is>
      </c>
      <c r="G7226" s="34" t="n">
        <v>78561</v>
      </c>
      <c r="H7226" s="34" t="n">
        <v>413478</v>
      </c>
      <c r="I7226" t="inlineStr">
        <is>
          <t>3.1</t>
        </is>
      </c>
      <c r="J7226" t="inlineStr">
        <is>
          <t>Ventas HoReCa</t>
        </is>
      </c>
      <c r="K7226" t="inlineStr">
        <is>
          <t>CH1</t>
        </is>
      </c>
    </row>
    <row r="7227">
      <c r="A7227" s="33" t="n">
        <v>46156</v>
      </c>
      <c r="B7227" t="inlineStr">
        <is>
          <t>2026-05</t>
        </is>
      </c>
      <c r="C7227" t="inlineStr">
        <is>
          <t>TAVELLI S.A.</t>
        </is>
      </c>
      <c r="D7227" t="inlineStr">
        <is>
          <t>REGION METROPOLITANA</t>
        </is>
      </c>
      <c r="E7227" s="34" t="n">
        <v>35700</v>
      </c>
      <c r="F7227" t="inlineStr">
        <is>
          <t>F</t>
        </is>
      </c>
      <c r="G7227" s="34" t="n">
        <v>5700</v>
      </c>
      <c r="H7227" s="34" t="n">
        <v>30000</v>
      </c>
      <c r="I7227" t="inlineStr">
        <is>
          <t>3.1</t>
        </is>
      </c>
      <c r="J7227" t="inlineStr">
        <is>
          <t>Ventas HoReCa</t>
        </is>
      </c>
      <c r="K7227" t="inlineStr">
        <is>
          <t>CH1</t>
        </is>
      </c>
    </row>
    <row r="7228">
      <c r="A7228" s="33" t="n">
        <v>46156</v>
      </c>
      <c r="B7228" t="inlineStr">
        <is>
          <t>2026-05</t>
        </is>
      </c>
      <c r="C7228" t="inlineStr">
        <is>
          <t>Marco chamblas</t>
        </is>
      </c>
      <c r="D7228" t="inlineStr">
        <is>
          <t>CANELÉ TRADICIONAL</t>
        </is>
      </c>
      <c r="E7228" s="34" t="n">
        <v>15900</v>
      </c>
      <c r="F7228" t="inlineStr">
        <is>
          <t>B</t>
        </is>
      </c>
      <c r="G7228" s="34" t="n">
        <v>2539</v>
      </c>
      <c r="H7228" s="34" t="n">
        <v>13361</v>
      </c>
      <c r="I7228" t="inlineStr">
        <is>
          <t>3.2</t>
        </is>
      </c>
      <c r="J7228" t="inlineStr">
        <is>
          <t>Ventas Personas (B2C)</t>
        </is>
      </c>
      <c r="K7228" t="inlineStr">
        <is>
          <t>CH2</t>
        </is>
      </c>
    </row>
    <row r="7229">
      <c r="A7229" s="33" t="n">
        <v>46156</v>
      </c>
      <c r="B7229" t="inlineStr">
        <is>
          <t>2026-05</t>
        </is>
      </c>
      <c r="C7229" t="inlineStr">
        <is>
          <t>Luis Salas Guajardo</t>
        </is>
      </c>
      <c r="D7229" t="inlineStr">
        <is>
          <t>Rellenos</t>
        </is>
      </c>
      <c r="E7229" s="34" t="n">
        <v>18900</v>
      </c>
      <c r="F7229" t="inlineStr">
        <is>
          <t>B</t>
        </is>
      </c>
      <c r="G7229" s="34" t="n">
        <v>3018</v>
      </c>
      <c r="H7229" s="34" t="n">
        <v>15882</v>
      </c>
      <c r="I7229" t="inlineStr">
        <is>
          <t>3.2</t>
        </is>
      </c>
      <c r="J7229" t="inlineStr">
        <is>
          <t>Ventas Personas (B2C)</t>
        </is>
      </c>
      <c r="K7229" t="inlineStr">
        <is>
          <t>CH2</t>
        </is>
      </c>
    </row>
    <row r="7230">
      <c r="A7230" s="33" t="n">
        <v>46156</v>
      </c>
      <c r="B7230" t="inlineStr">
        <is>
          <t>2026-05</t>
        </is>
      </c>
      <c r="C7230" t="inlineStr">
        <is>
          <t>Sin cliente</t>
        </is>
      </c>
      <c r="D7230" t="inlineStr">
        <is>
          <t>Petit Tradicional</t>
        </is>
      </c>
      <c r="E7230" s="34" t="n">
        <v>13800</v>
      </c>
      <c r="F7230" t="inlineStr">
        <is>
          <t>B</t>
        </is>
      </c>
      <c r="G7230" s="34" t="n">
        <v>2203</v>
      </c>
      <c r="H7230" s="34" t="n">
        <v>11597</v>
      </c>
      <c r="I7230" t="inlineStr">
        <is>
          <t>3.2</t>
        </is>
      </c>
      <c r="J7230" t="inlineStr">
        <is>
          <t>Ventas Personas (B2C)</t>
        </is>
      </c>
      <c r="K7230" t="inlineStr">
        <is>
          <t>CH2</t>
        </is>
      </c>
    </row>
    <row r="7231">
      <c r="A7231" s="33" t="n">
        <v>46156</v>
      </c>
      <c r="B7231" t="inlineStr">
        <is>
          <t>2026-05</t>
        </is>
      </c>
      <c r="C7231" t="inlineStr">
        <is>
          <t>Sin cliente</t>
        </is>
      </c>
      <c r="D7231" t="inlineStr">
        <is>
          <t>CANELÉ TRADICIONAL</t>
        </is>
      </c>
      <c r="E7231" s="34" t="n">
        <v>15900</v>
      </c>
      <c r="F7231" t="inlineStr">
        <is>
          <t>B</t>
        </is>
      </c>
      <c r="G7231" s="34" t="n">
        <v>2539</v>
      </c>
      <c r="H7231" s="34" t="n">
        <v>13361</v>
      </c>
      <c r="I7231" t="inlineStr">
        <is>
          <t>3.2</t>
        </is>
      </c>
      <c r="J7231" t="inlineStr">
        <is>
          <t>Ventas Personas (B2C)</t>
        </is>
      </c>
      <c r="K7231" t="inlineStr">
        <is>
          <t>CH2</t>
        </is>
      </c>
    </row>
    <row r="7232">
      <c r="A7232" s="33" t="n">
        <v>46156</v>
      </c>
      <c r="B7232" t="inlineStr">
        <is>
          <t>2026-05</t>
        </is>
      </c>
      <c r="C7232" t="inlineStr">
        <is>
          <t>Sin cliente</t>
        </is>
      </c>
      <c r="D7232" t="inlineStr">
        <is>
          <t>Rellenos</t>
        </is>
      </c>
      <c r="E7232" s="34" t="n">
        <v>3500</v>
      </c>
      <c r="F7232" t="inlineStr">
        <is>
          <t>B</t>
        </is>
      </c>
      <c r="G7232" s="34" t="n">
        <v>559</v>
      </c>
      <c r="H7232" s="34" t="n">
        <v>2941</v>
      </c>
      <c r="I7232" t="inlineStr">
        <is>
          <t>3.2</t>
        </is>
      </c>
      <c r="J7232" t="inlineStr">
        <is>
          <t>Ventas Personas (B2C)</t>
        </is>
      </c>
      <c r="K7232" t="inlineStr">
        <is>
          <t>CH2</t>
        </is>
      </c>
    </row>
    <row r="7233">
      <c r="A7233" s="33" t="n">
        <v>46156</v>
      </c>
      <c r="B7233" t="inlineStr">
        <is>
          <t>2026-05</t>
        </is>
      </c>
      <c r="C7233" t="inlineStr">
        <is>
          <t>Sin cliente</t>
        </is>
      </c>
      <c r="D7233" t="inlineStr">
        <is>
          <t>Cafeteria Geronimo</t>
        </is>
      </c>
      <c r="E7233" s="34" t="n">
        <v>8200</v>
      </c>
      <c r="F7233" t="inlineStr">
        <is>
          <t>B</t>
        </is>
      </c>
      <c r="G7233" s="34" t="n">
        <v>1309</v>
      </c>
      <c r="H7233" s="34" t="n">
        <v>6891</v>
      </c>
      <c r="I7233" t="inlineStr">
        <is>
          <t>3.2</t>
        </is>
      </c>
      <c r="J7233" t="inlineStr">
        <is>
          <t>Ventas Personas (B2C)</t>
        </is>
      </c>
      <c r="K7233" t="inlineStr">
        <is>
          <t>CH2</t>
        </is>
      </c>
    </row>
    <row r="7234">
      <c r="A7234" s="33" t="n">
        <v>46156</v>
      </c>
      <c r="B7234" t="inlineStr">
        <is>
          <t>2026-05</t>
        </is>
      </c>
      <c r="C7234" t="inlineStr">
        <is>
          <t>Sin cliente</t>
        </is>
      </c>
      <c r="D7234" t="inlineStr">
        <is>
          <t>Rellenos</t>
        </is>
      </c>
      <c r="E7234" s="34" t="n">
        <v>25400</v>
      </c>
      <c r="F7234" t="inlineStr">
        <is>
          <t>B</t>
        </is>
      </c>
      <c r="G7234" s="34" t="n">
        <v>4055</v>
      </c>
      <c r="H7234" s="34" t="n">
        <v>21345</v>
      </c>
      <c r="I7234" t="inlineStr">
        <is>
          <t>3.2</t>
        </is>
      </c>
      <c r="J7234" t="inlineStr">
        <is>
          <t>Ventas Personas (B2C)</t>
        </is>
      </c>
      <c r="K7234" t="inlineStr">
        <is>
          <t>CH2</t>
        </is>
      </c>
    </row>
    <row r="7235">
      <c r="A7235" s="33" t="n">
        <v>46156</v>
      </c>
      <c r="B7235" t="inlineStr">
        <is>
          <t>2026-05</t>
        </is>
      </c>
      <c r="C7235" t="inlineStr">
        <is>
          <t>Maria Jose Grez</t>
        </is>
      </c>
      <c r="D7235" t="inlineStr">
        <is>
          <t>Rellenos</t>
        </is>
      </c>
      <c r="E7235" s="34" t="n">
        <v>-25400</v>
      </c>
      <c r="F7235" t="inlineStr">
        <is>
          <t>NC</t>
        </is>
      </c>
      <c r="G7235" s="34" t="n">
        <v>-4055</v>
      </c>
      <c r="H7235" s="34" t="n">
        <v>-21345</v>
      </c>
      <c r="I7235" t="inlineStr">
        <is>
          <t>3.2</t>
        </is>
      </c>
      <c r="J7235" t="inlineStr">
        <is>
          <t>Ventas Personas (B2C)</t>
        </is>
      </c>
      <c r="K7235" t="inlineStr">
        <is>
          <t>CH2</t>
        </is>
      </c>
    </row>
    <row r="7236">
      <c r="A7236" s="33" t="n">
        <v>46156</v>
      </c>
      <c r="B7236" t="inlineStr">
        <is>
          <t>2026-05</t>
        </is>
      </c>
      <c r="C7236" t="inlineStr">
        <is>
          <t>Maria Jose Grez</t>
        </is>
      </c>
      <c r="D7236" t="inlineStr">
        <is>
          <t>Rellenos</t>
        </is>
      </c>
      <c r="E7236" s="34" t="n">
        <v>32400</v>
      </c>
      <c r="F7236" t="inlineStr">
        <is>
          <t>B</t>
        </is>
      </c>
      <c r="G7236" s="34" t="n">
        <v>5173</v>
      </c>
      <c r="H7236" s="34" t="n">
        <v>27227</v>
      </c>
      <c r="I7236" t="inlineStr">
        <is>
          <t>3.2</t>
        </is>
      </c>
      <c r="J7236" t="inlineStr">
        <is>
          <t>Ventas Personas (B2C)</t>
        </is>
      </c>
      <c r="K7236" t="inlineStr">
        <is>
          <t>CH2</t>
        </is>
      </c>
    </row>
    <row r="7237">
      <c r="A7237" s="33" t="n">
        <v>46156</v>
      </c>
      <c r="B7237" t="inlineStr">
        <is>
          <t>2026-05</t>
        </is>
      </c>
      <c r="C7237" t="inlineStr">
        <is>
          <t>Sin cliente</t>
        </is>
      </c>
      <c r="D7237" t="inlineStr">
        <is>
          <t>Delicatessen</t>
        </is>
      </c>
      <c r="E7237" s="34" t="n">
        <v>9800</v>
      </c>
      <c r="F7237" t="inlineStr">
        <is>
          <t>B</t>
        </is>
      </c>
      <c r="G7237" s="34" t="n">
        <v>1565</v>
      </c>
      <c r="H7237" s="34" t="n">
        <v>8235</v>
      </c>
      <c r="I7237" t="inlineStr">
        <is>
          <t>3.2</t>
        </is>
      </c>
      <c r="J7237" t="inlineStr">
        <is>
          <t>Ventas Personas (B2C)</t>
        </is>
      </c>
      <c r="K7237" t="inlineStr">
        <is>
          <t>CH2</t>
        </is>
      </c>
    </row>
    <row r="7238">
      <c r="A7238" s="33" t="n">
        <v>46156</v>
      </c>
      <c r="B7238" t="inlineStr">
        <is>
          <t>2026-05</t>
        </is>
      </c>
      <c r="C7238" t="inlineStr">
        <is>
          <t>Sin cliente</t>
        </is>
      </c>
      <c r="D7238" t="inlineStr">
        <is>
          <t>PLATAFORMAS RAP-PEYA-UBER-GOOD</t>
        </is>
      </c>
      <c r="E7238" s="34" t="n">
        <v>17940</v>
      </c>
      <c r="F7238" t="inlineStr">
        <is>
          <t>B</t>
        </is>
      </c>
      <c r="G7238" s="34" t="n">
        <v>2864</v>
      </c>
      <c r="H7238" s="34" t="n">
        <v>15076</v>
      </c>
      <c r="I7238" t="inlineStr">
        <is>
          <t>3.6</t>
        </is>
      </c>
      <c r="J7238" t="inlineStr">
        <is>
          <t>Ventas Delivery Apps</t>
        </is>
      </c>
      <c r="K7238" t="inlineStr">
        <is>
          <t>CH3</t>
        </is>
      </c>
    </row>
    <row r="7239">
      <c r="A7239" s="33" t="n">
        <v>46156</v>
      </c>
      <c r="B7239" t="inlineStr">
        <is>
          <t>2026-05</t>
        </is>
      </c>
      <c r="C7239" t="inlineStr">
        <is>
          <t>VILAS BANQUETERIAS SPA</t>
        </is>
      </c>
      <c r="D7239" t="inlineStr">
        <is>
          <t>HORECA CATERING</t>
        </is>
      </c>
      <c r="E7239" s="34" t="n">
        <v>77707</v>
      </c>
      <c r="F7239" t="inlineStr">
        <is>
          <t>F</t>
        </is>
      </c>
      <c r="G7239" s="34" t="n">
        <v>12407</v>
      </c>
      <c r="H7239" s="34" t="n">
        <v>65300</v>
      </c>
      <c r="I7239" t="inlineStr">
        <is>
          <t>3.1</t>
        </is>
      </c>
      <c r="J7239" t="inlineStr">
        <is>
          <t>Ventas HoReCa</t>
        </is>
      </c>
      <c r="K7239" t="inlineStr">
        <is>
          <t>CH1</t>
        </is>
      </c>
    </row>
    <row r="7240">
      <c r="A7240" s="33" t="n">
        <v>46156</v>
      </c>
      <c r="B7240" t="inlineStr">
        <is>
          <t>2026-05</t>
        </is>
      </c>
      <c r="C7240" t="inlineStr">
        <is>
          <t>Sin cliente</t>
        </is>
      </c>
      <c r="D7240" t="inlineStr">
        <is>
          <t>CANELÉ TRADICIONAL</t>
        </is>
      </c>
      <c r="E7240" s="34" t="n">
        <v>15900</v>
      </c>
      <c r="F7240" t="inlineStr">
        <is>
          <t>B</t>
        </is>
      </c>
      <c r="G7240" s="34" t="n">
        <v>2539</v>
      </c>
      <c r="H7240" s="34" t="n">
        <v>13361</v>
      </c>
      <c r="I7240" t="inlineStr">
        <is>
          <t>3.2</t>
        </is>
      </c>
      <c r="J7240" t="inlineStr">
        <is>
          <t>Ventas Personas (B2C)</t>
        </is>
      </c>
      <c r="K7240" t="inlineStr">
        <is>
          <t>CH2</t>
        </is>
      </c>
    </row>
    <row r="7241">
      <c r="A7241" s="33" t="n">
        <v>46156</v>
      </c>
      <c r="B7241" t="inlineStr">
        <is>
          <t>2026-05</t>
        </is>
      </c>
      <c r="C7241" t="inlineStr">
        <is>
          <t>Fabiana Laguna</t>
        </is>
      </c>
      <c r="D7241" t="inlineStr">
        <is>
          <t>Rellenos</t>
        </is>
      </c>
      <c r="E7241" s="34" t="n">
        <v>39790</v>
      </c>
      <c r="F7241" t="inlineStr">
        <is>
          <t>B</t>
        </is>
      </c>
      <c r="G7241" s="34" t="n">
        <v>6353</v>
      </c>
      <c r="H7241" s="34" t="n">
        <v>33437</v>
      </c>
      <c r="I7241" t="inlineStr">
        <is>
          <t>3.2</t>
        </is>
      </c>
      <c r="J7241" t="inlineStr">
        <is>
          <t>Ventas Personas (B2C)</t>
        </is>
      </c>
      <c r="K7241" t="inlineStr">
        <is>
          <t>CH2</t>
        </is>
      </c>
    </row>
    <row r="7242">
      <c r="A7242" s="33" t="n">
        <v>46156</v>
      </c>
      <c r="B7242" t="inlineStr">
        <is>
          <t>2026-05</t>
        </is>
      </c>
      <c r="C7242" t="inlineStr">
        <is>
          <t>Sarah oyarzun zuñiga</t>
        </is>
      </c>
      <c r="D7242" t="inlineStr">
        <is>
          <t>Petit Crunchy</t>
        </is>
      </c>
      <c r="E7242" s="34" t="n">
        <v>41890</v>
      </c>
      <c r="F7242" t="inlineStr">
        <is>
          <t>B</t>
        </is>
      </c>
      <c r="G7242" s="34" t="n">
        <v>6688</v>
      </c>
      <c r="H7242" s="34" t="n">
        <v>35202</v>
      </c>
      <c r="I7242" t="inlineStr">
        <is>
          <t>3.2</t>
        </is>
      </c>
      <c r="J7242" t="inlineStr">
        <is>
          <t>Ventas Personas (B2C)</t>
        </is>
      </c>
      <c r="K7242" t="inlineStr">
        <is>
          <t>CH2</t>
        </is>
      </c>
    </row>
    <row r="7243">
      <c r="A7243" s="33" t="n">
        <v>46157</v>
      </c>
      <c r="B7243" t="inlineStr">
        <is>
          <t>2026-05</t>
        </is>
      </c>
      <c r="C7243" t="inlineStr">
        <is>
          <t>HUERTO SUR LIMITADA</t>
        </is>
      </c>
      <c r="D7243" t="inlineStr">
        <is>
          <t>HORECA CAFETERIA</t>
        </is>
      </c>
      <c r="E7243" s="34" t="n">
        <v>77564</v>
      </c>
      <c r="F7243" t="inlineStr">
        <is>
          <t>F</t>
        </is>
      </c>
      <c r="G7243" s="34" t="n">
        <v>12384</v>
      </c>
      <c r="H7243" s="34" t="n">
        <v>65180</v>
      </c>
      <c r="I7243" t="inlineStr">
        <is>
          <t>3.1</t>
        </is>
      </c>
      <c r="J7243" t="inlineStr">
        <is>
          <t>Ventas HoReCa</t>
        </is>
      </c>
      <c r="K7243" t="inlineStr">
        <is>
          <t>CH1</t>
        </is>
      </c>
    </row>
    <row r="7244">
      <c r="A7244" s="33" t="n">
        <v>46157</v>
      </c>
      <c r="B7244" t="inlineStr">
        <is>
          <t>2026-05</t>
        </is>
      </c>
      <c r="C7244" t="inlineStr">
        <is>
          <t>HUERTO SUR LIMITADA</t>
        </is>
      </c>
      <c r="D7244" t="inlineStr">
        <is>
          <t>HORECA CAFETERIA</t>
        </is>
      </c>
      <c r="E7244" s="34" t="n">
        <v>77564</v>
      </c>
      <c r="F7244" t="inlineStr">
        <is>
          <t>F</t>
        </is>
      </c>
      <c r="G7244" s="34" t="n">
        <v>12384</v>
      </c>
      <c r="H7244" s="34" t="n">
        <v>65180</v>
      </c>
      <c r="I7244" t="inlineStr">
        <is>
          <t>3.1</t>
        </is>
      </c>
      <c r="J7244" t="inlineStr">
        <is>
          <t>Ventas HoReCa</t>
        </is>
      </c>
      <c r="K7244" t="inlineStr">
        <is>
          <t>CH1</t>
        </is>
      </c>
    </row>
    <row r="7245">
      <c r="A7245" s="33" t="n">
        <v>46157</v>
      </c>
      <c r="B7245" t="inlineStr">
        <is>
          <t>2026-05</t>
        </is>
      </c>
      <c r="C7245" t="inlineStr">
        <is>
          <t>BUSTORF LARSEN Y COMPANIA LIMITADA</t>
        </is>
      </c>
      <c r="D7245" t="inlineStr">
        <is>
          <t>HORECA CAFETERIA</t>
        </is>
      </c>
      <c r="E7245" s="34" t="n">
        <v>77564</v>
      </c>
      <c r="F7245" t="inlineStr">
        <is>
          <t>F</t>
        </is>
      </c>
      <c r="G7245" s="34" t="n">
        <v>12384</v>
      </c>
      <c r="H7245" s="34" t="n">
        <v>65180</v>
      </c>
      <c r="I7245" t="inlineStr">
        <is>
          <t>3.1</t>
        </is>
      </c>
      <c r="J7245" t="inlineStr">
        <is>
          <t>Ventas HoReCa</t>
        </is>
      </c>
      <c r="K7245" t="inlineStr">
        <is>
          <t>CH1</t>
        </is>
      </c>
    </row>
    <row r="7246">
      <c r="A7246" s="33" t="n">
        <v>46157</v>
      </c>
      <c r="B7246" t="inlineStr">
        <is>
          <t>2026-05</t>
        </is>
      </c>
      <c r="C7246" t="inlineStr">
        <is>
          <t>Okinawa Spa</t>
        </is>
      </c>
      <c r="D7246" t="inlineStr">
        <is>
          <t>HORECA CAFETERIA</t>
        </is>
      </c>
      <c r="E7246" s="34" t="n">
        <v>112836</v>
      </c>
      <c r="F7246" t="inlineStr">
        <is>
          <t>F</t>
        </is>
      </c>
      <c r="G7246" s="34" t="n">
        <v>18016</v>
      </c>
      <c r="H7246" s="34" t="n">
        <v>94820</v>
      </c>
      <c r="I7246" t="inlineStr">
        <is>
          <t>3.1</t>
        </is>
      </c>
      <c r="J7246" t="inlineStr">
        <is>
          <t>Ventas HoReCa</t>
        </is>
      </c>
      <c r="K7246" t="inlineStr">
        <is>
          <t>CH1</t>
        </is>
      </c>
    </row>
    <row r="7247">
      <c r="A7247" s="33" t="n">
        <v>46157</v>
      </c>
      <c r="B7247" t="inlineStr">
        <is>
          <t>2026-05</t>
        </is>
      </c>
      <c r="C7247" t="inlineStr">
        <is>
          <t>Café del Parque SpA</t>
        </is>
      </c>
      <c r="D7247" t="inlineStr">
        <is>
          <t>HORECA CAFETERIA</t>
        </is>
      </c>
      <c r="E7247" s="34" t="n">
        <v>159674</v>
      </c>
      <c r="F7247" t="inlineStr">
        <is>
          <t>F</t>
        </is>
      </c>
      <c r="G7247" s="34" t="n">
        <v>25494</v>
      </c>
      <c r="H7247" s="34" t="n">
        <v>134180</v>
      </c>
      <c r="I7247" t="inlineStr">
        <is>
          <t>3.1</t>
        </is>
      </c>
      <c r="J7247" t="inlineStr">
        <is>
          <t>Ventas HoReCa</t>
        </is>
      </c>
      <c r="K7247" t="inlineStr">
        <is>
          <t>CH1</t>
        </is>
      </c>
    </row>
    <row r="7248">
      <c r="A7248" s="33" t="n">
        <v>46157</v>
      </c>
      <c r="B7248" t="inlineStr">
        <is>
          <t>2026-05</t>
        </is>
      </c>
      <c r="C7248" t="inlineStr">
        <is>
          <t>BLUE OAK COFFE SPA</t>
        </is>
      </c>
      <c r="D7248" t="inlineStr">
        <is>
          <t>HORECA CAFETERIA</t>
        </is>
      </c>
      <c r="E7248" s="34" t="n">
        <v>77564</v>
      </c>
      <c r="F7248" t="inlineStr">
        <is>
          <t>F</t>
        </is>
      </c>
      <c r="G7248" s="34" t="n">
        <v>12384</v>
      </c>
      <c r="H7248" s="34" t="n">
        <v>65180</v>
      </c>
      <c r="I7248" t="inlineStr">
        <is>
          <t>3.1</t>
        </is>
      </c>
      <c r="J7248" t="inlineStr">
        <is>
          <t>Ventas HoReCa</t>
        </is>
      </c>
      <c r="K7248" t="inlineStr">
        <is>
          <t>CH1</t>
        </is>
      </c>
    </row>
  </sheetData>
  <autoFilter ref="A1:K7248"/>
  <dataValidations count="1">
    <dataValidation sqref="F2:F501" showDropDown="0" showInputMessage="0" showErrorMessage="0" allowBlank="1" type="list">
      <formula1>"F,B,S"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"/>
  <sheetViews>
    <sheetView showGridLines="0" tabSelected="1" zoomScale="120" zoomScaleNormal="120" workbookViewId="0">
      <pane xSplit="2" ySplit="1" topLeftCell="C140" activePane="bottomRight" state="frozen"/>
      <selection pane="topRight" activeCell="A1" sqref="A1"/>
      <selection pane="bottomLeft" activeCell="A1" sqref="A1"/>
      <selection pane="bottomRight" activeCell="E151" sqref="E151"/>
    </sheetView>
  </sheetViews>
  <sheetFormatPr baseColWidth="10" defaultColWidth="8.88671875" defaultRowHeight="14.4"/>
  <cols>
    <col width="13.33203125" bestFit="1" customWidth="1" style="65" min="1" max="1"/>
    <col width="15" bestFit="1" customWidth="1" style="65" min="2" max="2"/>
    <col width="37.6640625" bestFit="1" customWidth="1" style="65" min="3" max="3"/>
    <col width="28.6640625" customWidth="1" style="65" min="4" max="4"/>
    <col width="15.109375" bestFit="1" customWidth="1" style="65" min="5" max="5"/>
    <col width="14.109375" bestFit="1" customWidth="1" style="65" min="6" max="6"/>
    <col width="14.109375" customWidth="1" style="65" min="7" max="7"/>
    <col width="20.5546875" bestFit="1" customWidth="1" style="65" min="8" max="8"/>
    <col width="11.44140625" bestFit="1" customWidth="1" style="65" min="9" max="9"/>
    <col width="15.109375" bestFit="1" customWidth="1" style="65" min="10" max="10"/>
    <col width="6.88671875" bestFit="1" customWidth="1" style="65" min="12" max="12"/>
    <col width="10.44140625" bestFit="1" customWidth="1" style="65" min="13" max="13"/>
    <col width="8.33203125" bestFit="1" customWidth="1" style="65" min="14" max="14"/>
    <col width="10" customWidth="1" style="65" min="15" max="15"/>
  </cols>
  <sheetData>
    <row r="1" ht="22.05" customHeight="1" s="65">
      <c r="A1" s="59" t="inlineStr">
        <is>
          <t>Fecha Pago</t>
        </is>
      </c>
      <c r="B1" s="59" t="inlineStr">
        <is>
          <t>Mes Devengo</t>
        </is>
      </c>
      <c r="C1" s="59" t="inlineStr">
        <is>
          <t>Descripcion</t>
        </is>
      </c>
      <c r="D1" s="59" t="inlineStr">
        <is>
          <t>Proveedor</t>
        </is>
      </c>
      <c r="E1" s="59" t="inlineStr">
        <is>
          <t>Monto Total</t>
        </is>
      </c>
      <c r="F1" s="59" t="inlineStr">
        <is>
          <t>Tipo Doc</t>
        </is>
      </c>
      <c r="G1" s="59" t="inlineStr">
        <is>
          <t>Forma Pago</t>
        </is>
      </c>
      <c r="H1" s="59" t="inlineStr">
        <is>
          <t>Nombre Cuenta</t>
        </is>
      </c>
      <c r="I1" s="26" t="inlineStr">
        <is>
          <t>IVA</t>
        </is>
      </c>
      <c r="J1" s="26" t="inlineStr">
        <is>
          <t>Monto Neto</t>
        </is>
      </c>
      <c r="K1" s="26" t="inlineStr">
        <is>
          <t>Cuenta</t>
        </is>
      </c>
      <c r="L1" s="26" t="inlineStr">
        <is>
          <t>CC</t>
        </is>
      </c>
    </row>
    <row r="2" ht="15" customHeight="1" s="65">
      <c r="A2" s="33" t="n">
        <v>46113</v>
      </c>
      <c r="B2" t="inlineStr">
        <is>
          <t>2026-03</t>
        </is>
      </c>
      <c r="C2" t="inlineStr">
        <is>
          <t>Sueldo 22.520.465-9 - Carolina Gutierrez</t>
        </is>
      </c>
      <c r="E2" s="73" t="n">
        <v>1127159</v>
      </c>
      <c r="G2" t="inlineStr">
        <is>
          <t>Debito</t>
        </is>
      </c>
      <c r="H2" t="inlineStr">
        <is>
          <t>Sueldos con Contrato</t>
        </is>
      </c>
      <c r="I2" s="73">
        <f>IF(F2="F",ROUND(E2*0.19/1.19,0),0)</f>
        <v/>
      </c>
      <c r="J2" s="73">
        <f>IF(E2="","",E2-I2)</f>
        <v/>
      </c>
      <c r="K2">
        <f>+_xlfn.XLOOKUP(Tabla1[[#This Row],[Nombre Cuenta]],PLAN_CUENTAS!$B$2:$B$100,PLAN_CUENTAS!$A$2:$A$100,0,0)</f>
        <v/>
      </c>
      <c r="L2">
        <f>+_xlfn.XLOOKUP(Tabla1[[#This Row],[Nombre Cuenta]],PLAN_CUENTAS!$B$2:$B$100,PLAN_CUENTAS!$C$2:$C$100,0,0)</f>
        <v/>
      </c>
      <c r="P2" s="74" t="n"/>
    </row>
    <row r="3" ht="15" customHeight="1" s="65">
      <c r="A3" s="33" t="n">
        <v>46113</v>
      </c>
      <c r="B3" t="inlineStr">
        <is>
          <t>2026-03</t>
        </is>
      </c>
      <c r="C3" t="inlineStr">
        <is>
          <t>Sueldo 22.520.465-9 - Carolina Gutierrez</t>
        </is>
      </c>
      <c r="E3" s="73" t="n">
        <v>825400</v>
      </c>
      <c r="G3" t="inlineStr">
        <is>
          <t>Debito</t>
        </is>
      </c>
      <c r="H3" t="inlineStr">
        <is>
          <t>Sueldos con Contrato</t>
        </is>
      </c>
      <c r="I3" s="73">
        <f>IF(F3="F",ROUND(E3*0.19/1.19,0),0)</f>
        <v/>
      </c>
      <c r="J3" s="73">
        <f>IF(E3="","",E3-I3)</f>
        <v/>
      </c>
      <c r="K3">
        <f>+_xlfn.XLOOKUP(Tabla1[[#This Row],[Nombre Cuenta]],PLAN_CUENTAS!$B$2:$B$100,PLAN_CUENTAS!$A$2:$A$100,0,0)</f>
        <v/>
      </c>
      <c r="L3">
        <f>+_xlfn.XLOOKUP(Tabla1[[#This Row],[Nombre Cuenta]],PLAN_CUENTAS!$B$2:$B$100,PLAN_CUENTAS!$C$2:$C$100,0,0)</f>
        <v/>
      </c>
      <c r="P3" s="74" t="n"/>
    </row>
    <row r="4" ht="15" customHeight="1" s="65">
      <c r="A4" s="33" t="n">
        <v>46113</v>
      </c>
      <c r="B4" t="inlineStr">
        <is>
          <t>2026-03</t>
        </is>
      </c>
      <c r="C4" t="inlineStr">
        <is>
          <t>Sueldo 17.083.572-7 - M Ignacia Grez</t>
        </is>
      </c>
      <c r="E4" s="73" t="n">
        <v>800000</v>
      </c>
      <c r="G4" t="inlineStr">
        <is>
          <t>Debito</t>
        </is>
      </c>
      <c r="H4" t="inlineStr">
        <is>
          <t>Sueldos con Contrato</t>
        </is>
      </c>
      <c r="I4" s="73">
        <f>IF(F4="F",ROUND(E4*0.19/1.19,0),0)</f>
        <v/>
      </c>
      <c r="J4" s="73">
        <f>IF(E4="","",E4-I4)</f>
        <v/>
      </c>
      <c r="K4">
        <f>+_xlfn.XLOOKUP(Tabla1[[#This Row],[Nombre Cuenta]],PLAN_CUENTAS!$B$2:$B$100,PLAN_CUENTAS!$A$2:$A$100,0,0)</f>
        <v/>
      </c>
      <c r="L4">
        <f>+_xlfn.XLOOKUP(Tabla1[[#This Row],[Nombre Cuenta]],PLAN_CUENTAS!$B$2:$B$100,PLAN_CUENTAS!$C$2:$C$100,0,0)</f>
        <v/>
      </c>
      <c r="P4" s="74" t="n"/>
    </row>
    <row r="5" ht="15" customHeight="1" s="65">
      <c r="A5" s="33" t="n">
        <v>46113</v>
      </c>
      <c r="B5" t="inlineStr">
        <is>
          <t>2026-03</t>
        </is>
      </c>
      <c r="C5" t="inlineStr">
        <is>
          <t>Sueldo 19.324.205-7 - Catalina Cuevas</t>
        </is>
      </c>
      <c r="E5" s="73" t="n">
        <v>700000</v>
      </c>
      <c r="G5" t="inlineStr">
        <is>
          <t>Debito</t>
        </is>
      </c>
      <c r="H5" t="inlineStr">
        <is>
          <t>Honorarios</t>
        </is>
      </c>
      <c r="I5" s="73">
        <f>IF(F5="F",ROUND(E5*0.19/1.19,0),0)</f>
        <v/>
      </c>
      <c r="J5" s="73">
        <f>IF(E5="","",E5-I5)</f>
        <v/>
      </c>
      <c r="K5">
        <f>+_xlfn.XLOOKUP(Tabla1[[#This Row],[Nombre Cuenta]],PLAN_CUENTAS!$B$2:$B$100,PLAN_CUENTAS!$A$2:$A$100,0,0)</f>
        <v/>
      </c>
      <c r="L5">
        <f>+_xlfn.XLOOKUP(Tabla1[[#This Row],[Nombre Cuenta]],PLAN_CUENTAS!$B$2:$B$100,PLAN_CUENTAS!$C$2:$C$100,0,0)</f>
        <v/>
      </c>
      <c r="P5" s="74" t="n"/>
    </row>
    <row r="6" ht="15" customHeight="1" s="65">
      <c r="A6" s="33" t="n">
        <v>46113</v>
      </c>
      <c r="B6" t="inlineStr">
        <is>
          <t>2026-03</t>
        </is>
      </c>
      <c r="C6" t="inlineStr">
        <is>
          <t>Sueldo 21.093.602-5 - Nataly Morales</t>
        </is>
      </c>
      <c r="E6" s="73" t="n">
        <v>682252</v>
      </c>
      <c r="G6" t="inlineStr">
        <is>
          <t>Debito</t>
        </is>
      </c>
      <c r="H6" t="inlineStr">
        <is>
          <t>Sueldos con Contrato</t>
        </is>
      </c>
      <c r="I6" s="73">
        <f>IF(F6="F",ROUND(E6*0.19/1.19,0),0)</f>
        <v/>
      </c>
      <c r="J6" s="73">
        <f>IF(E6="","",E6-I6)</f>
        <v/>
      </c>
      <c r="K6">
        <f>+_xlfn.XLOOKUP(Tabla1[[#This Row],[Nombre Cuenta]],PLAN_CUENTAS!$B$2:$B$100,PLAN_CUENTAS!$A$2:$A$100,0,0)</f>
        <v/>
      </c>
      <c r="L6">
        <f>+_xlfn.XLOOKUP(Tabla1[[#This Row],[Nombre Cuenta]],PLAN_CUENTAS!$B$2:$B$100,PLAN_CUENTAS!$C$2:$C$100,0,0)</f>
        <v/>
      </c>
      <c r="P6" s="74" t="n"/>
    </row>
    <row r="7" ht="15" customHeight="1" s="65">
      <c r="A7" s="33" t="n">
        <v>46113</v>
      </c>
      <c r="B7" t="inlineStr">
        <is>
          <t>2026-03</t>
        </is>
      </c>
      <c r="C7" t="inlineStr">
        <is>
          <t>Sueldo 18.866.000-2 - Camila Aguilera</t>
        </is>
      </c>
      <c r="E7" s="73" t="n">
        <v>627742</v>
      </c>
      <c r="G7" t="inlineStr">
        <is>
          <t>Debito</t>
        </is>
      </c>
      <c r="H7" t="inlineStr">
        <is>
          <t>Sueldos con Contrato</t>
        </is>
      </c>
      <c r="I7" s="73">
        <f>IF(F7="F",ROUND(E7*0.19/1.19,0),0)</f>
        <v/>
      </c>
      <c r="J7" s="73">
        <f>IF(E7="","",E7-I7)</f>
        <v/>
      </c>
      <c r="K7">
        <f>+_xlfn.XLOOKUP(Tabla1[[#This Row],[Nombre Cuenta]],PLAN_CUENTAS!$B$2:$B$100,PLAN_CUENTAS!$A$2:$A$100,0,0)</f>
        <v/>
      </c>
      <c r="L7">
        <f>+_xlfn.XLOOKUP(Tabla1[[#This Row],[Nombre Cuenta]],PLAN_CUENTAS!$B$2:$B$100,PLAN_CUENTAS!$C$2:$C$100,0,0)</f>
        <v/>
      </c>
      <c r="P7" s="74" t="n"/>
    </row>
    <row r="8" ht="15" customHeight="1" s="65">
      <c r="A8" s="33" t="n">
        <v>46113</v>
      </c>
      <c r="B8" t="inlineStr">
        <is>
          <t>2026-03</t>
        </is>
      </c>
      <c r="C8" t="inlineStr">
        <is>
          <t>Sueldo 10.325.328-4 - Patricia Guijuelos</t>
        </is>
      </c>
      <c r="E8" s="73" t="n">
        <v>551261</v>
      </c>
      <c r="G8" t="inlineStr">
        <is>
          <t>Debito</t>
        </is>
      </c>
      <c r="H8" t="inlineStr">
        <is>
          <t>Sueldos con Contrato</t>
        </is>
      </c>
      <c r="I8" s="73">
        <f>IF(F8="F",ROUND(E8*0.19/1.19,0),0)</f>
        <v/>
      </c>
      <c r="J8" s="73">
        <f>IF(E8="","",E8-I8)</f>
        <v/>
      </c>
      <c r="K8">
        <f>+_xlfn.XLOOKUP(Tabla1[[#This Row],[Nombre Cuenta]],PLAN_CUENTAS!$B$2:$B$100,PLAN_CUENTAS!$A$2:$A$100,0,0)</f>
        <v/>
      </c>
      <c r="L8">
        <f>+_xlfn.XLOOKUP(Tabla1[[#This Row],[Nombre Cuenta]],PLAN_CUENTAS!$B$2:$B$100,PLAN_CUENTAS!$C$2:$C$100,0,0)</f>
        <v/>
      </c>
      <c r="P8" s="74" t="n"/>
    </row>
    <row r="9" ht="15" customHeight="1" s="65">
      <c r="A9" s="33" t="n">
        <v>46113</v>
      </c>
      <c r="B9" t="inlineStr">
        <is>
          <t>2026-03</t>
        </is>
      </c>
      <c r="C9" t="inlineStr">
        <is>
          <t>Sueldo 20.550.382-k - Veronica Alvarez</t>
        </is>
      </c>
      <c r="E9" s="73" t="n">
        <v>456803</v>
      </c>
      <c r="G9" t="inlineStr">
        <is>
          <t>Debito</t>
        </is>
      </c>
      <c r="H9" t="inlineStr">
        <is>
          <t>Honorarios</t>
        </is>
      </c>
      <c r="I9" s="73">
        <f>IF(F9="F",ROUND(E9*0.19/1.19,0),0)</f>
        <v/>
      </c>
      <c r="J9" s="73">
        <f>IF(E9="","",E9-I9)</f>
        <v/>
      </c>
      <c r="K9">
        <f>+_xlfn.XLOOKUP(Tabla1[[#This Row],[Nombre Cuenta]],PLAN_CUENTAS!$B$2:$B$100,PLAN_CUENTAS!$A$2:$A$100,0,0)</f>
        <v/>
      </c>
      <c r="L9">
        <f>+_xlfn.XLOOKUP(Tabla1[[#This Row],[Nombre Cuenta]],PLAN_CUENTAS!$B$2:$B$100,PLAN_CUENTAS!$C$2:$C$100,0,0)</f>
        <v/>
      </c>
      <c r="P9" s="74" t="n"/>
    </row>
    <row r="10" ht="15" customHeight="1" s="65">
      <c r="A10" s="33" t="n">
        <v>46113</v>
      </c>
      <c r="B10" t="inlineStr">
        <is>
          <t>2026-03</t>
        </is>
      </c>
      <c r="C10" t="inlineStr">
        <is>
          <t>Sueldo 18.831.462-7 - Katherine Chamorro</t>
        </is>
      </c>
      <c r="E10" s="73" t="n">
        <v>236667</v>
      </c>
      <c r="G10" t="inlineStr">
        <is>
          <t>Debito</t>
        </is>
      </c>
      <c r="H10" t="inlineStr">
        <is>
          <t>Honorarios</t>
        </is>
      </c>
      <c r="I10" s="73">
        <f>IF(F10="F",ROUND(E10*0.19/1.19,0),0)</f>
        <v/>
      </c>
      <c r="J10" s="73">
        <f>IF(E10="","",E10-I10)</f>
        <v/>
      </c>
      <c r="K10">
        <f>+_xlfn.XLOOKUP(Tabla1[[#This Row],[Nombre Cuenta]],PLAN_CUENTAS!$B$2:$B$100,PLAN_CUENTAS!$A$2:$A$100,0,0)</f>
        <v/>
      </c>
      <c r="L10">
        <f>+_xlfn.XLOOKUP(Tabla1[[#This Row],[Nombre Cuenta]],PLAN_CUENTAS!$B$2:$B$100,PLAN_CUENTAS!$C$2:$C$100,0,0)</f>
        <v/>
      </c>
      <c r="P10" s="74" t="n"/>
    </row>
    <row r="11" ht="15" customHeight="1" s="65">
      <c r="A11" s="33" t="n">
        <v>46113</v>
      </c>
      <c r="B11" t="inlineStr">
        <is>
          <t>2026-03</t>
        </is>
      </c>
      <c r="C11" t="inlineStr">
        <is>
          <t>Sueldo 21.920.200-8 - Catalina Arriagada</t>
        </is>
      </c>
      <c r="E11" s="73" t="n">
        <v>213750</v>
      </c>
      <c r="G11" t="inlineStr">
        <is>
          <t>Debito</t>
        </is>
      </c>
      <c r="H11" t="inlineStr">
        <is>
          <t>Honorarios</t>
        </is>
      </c>
      <c r="I11" s="73">
        <f>IF(F11="F",ROUND(E11*0.19/1.19,0),0)</f>
        <v/>
      </c>
      <c r="J11" s="73">
        <f>IF(E11="","",E11-I11)</f>
        <v/>
      </c>
      <c r="K11">
        <f>+_xlfn.XLOOKUP(Tabla1[[#This Row],[Nombre Cuenta]],PLAN_CUENTAS!$B$2:$B$100,PLAN_CUENTAS!$A$2:$A$100,0,0)</f>
        <v/>
      </c>
      <c r="L11">
        <f>+_xlfn.XLOOKUP(Tabla1[[#This Row],[Nombre Cuenta]],PLAN_CUENTAS!$B$2:$B$100,PLAN_CUENTAS!$C$2:$C$100,0,0)</f>
        <v/>
      </c>
      <c r="P11" s="74" t="n"/>
    </row>
    <row r="12" ht="15" customHeight="1" s="65">
      <c r="A12" s="33" t="n">
        <v>46113</v>
      </c>
      <c r="B12" t="inlineStr">
        <is>
          <t>2026-03</t>
        </is>
      </c>
      <c r="C12" t="inlineStr">
        <is>
          <t>Sueldo 21.832.228-K - Emilia Bravo</t>
        </is>
      </c>
      <c r="E12" s="73" t="n">
        <v>177975</v>
      </c>
      <c r="G12" t="inlineStr">
        <is>
          <t>Debito</t>
        </is>
      </c>
      <c r="H12" t="inlineStr">
        <is>
          <t>Honorarios</t>
        </is>
      </c>
      <c r="I12" s="73">
        <f>IF(F12="F",ROUND(E12*0.19/1.19,0),0)</f>
        <v/>
      </c>
      <c r="J12" s="73">
        <f>IF(E12="","",E12-I12)</f>
        <v/>
      </c>
      <c r="K12">
        <f>+_xlfn.XLOOKUP(Tabla1[[#This Row],[Nombre Cuenta]],PLAN_CUENTAS!$B$2:$B$100,PLAN_CUENTAS!$A$2:$A$100,0,0)</f>
        <v/>
      </c>
      <c r="L12">
        <f>+_xlfn.XLOOKUP(Tabla1[[#This Row],[Nombre Cuenta]],PLAN_CUENTAS!$B$2:$B$100,PLAN_CUENTAS!$C$2:$C$100,0,0)</f>
        <v/>
      </c>
      <c r="P12" s="74" t="n"/>
    </row>
    <row r="13" ht="15" customHeight="1" s="65">
      <c r="A13" s="33" t="n">
        <v>46113</v>
      </c>
      <c r="B13" t="inlineStr">
        <is>
          <t>2026-03</t>
        </is>
      </c>
      <c r="C13" t="inlineStr">
        <is>
          <t>Sueldo 21.380.644-0 - Elizabeth Caceres</t>
        </is>
      </c>
      <c r="E13" s="73" t="n">
        <v>146718</v>
      </c>
      <c r="G13" t="inlineStr">
        <is>
          <t>Debito</t>
        </is>
      </c>
      <c r="H13" t="inlineStr">
        <is>
          <t>Honorarios</t>
        </is>
      </c>
      <c r="I13" s="73">
        <f>IF(F13="F",ROUND(E13*0.19/1.19,0),0)</f>
        <v/>
      </c>
      <c r="J13" s="73">
        <f>IF(E13="","",E13-I13)</f>
        <v/>
      </c>
      <c r="K13">
        <f>+_xlfn.XLOOKUP(Tabla1[[#This Row],[Nombre Cuenta]],PLAN_CUENTAS!$B$2:$B$100,PLAN_CUENTAS!$A$2:$A$100,0,0)</f>
        <v/>
      </c>
      <c r="L13">
        <f>+_xlfn.XLOOKUP(Tabla1[[#This Row],[Nombre Cuenta]],PLAN_CUENTAS!$B$2:$B$100,PLAN_CUENTAS!$C$2:$C$100,0,0)</f>
        <v/>
      </c>
      <c r="P13" s="74" t="n"/>
    </row>
    <row r="14" ht="15" customHeight="1" s="65">
      <c r="A14" s="33" t="n">
        <v>46113</v>
      </c>
      <c r="B14" t="inlineStr">
        <is>
          <t>2026-04</t>
        </is>
      </c>
      <c r="C14" t="inlineStr">
        <is>
          <t>Mensualidad Plataforma Bsale</t>
        </is>
      </c>
      <c r="D14" t="inlineStr">
        <is>
          <t>Bsale Chile S.A</t>
        </is>
      </c>
      <c r="E14" s="73" t="n">
        <v>137494</v>
      </c>
      <c r="F14" t="inlineStr">
        <is>
          <t>F</t>
        </is>
      </c>
      <c r="G14" t="inlineStr">
        <is>
          <t>Debito</t>
        </is>
      </c>
      <c r="H14" t="inlineStr">
        <is>
          <t>Plataformas Digitales</t>
        </is>
      </c>
      <c r="I14" s="73">
        <f>IF(F14="F",ROUND(E14*0.19/1.19,0),0)</f>
        <v/>
      </c>
      <c r="J14" s="73">
        <f>IF(E14="","",E14-I14)</f>
        <v/>
      </c>
      <c r="K14">
        <f>+_xlfn.XLOOKUP(Tabla1[[#This Row],[Nombre Cuenta]],PLAN_CUENTAS!$B$2:$B$100,PLAN_CUENTAS!$A$2:$A$100,0,0)</f>
        <v/>
      </c>
      <c r="L14">
        <f>+_xlfn.XLOOKUP(Tabla1[[#This Row],[Nombre Cuenta]],PLAN_CUENTAS!$B$2:$B$100,PLAN_CUENTAS!$C$2:$C$100,0,0)</f>
        <v/>
      </c>
      <c r="P14" s="74" t="n"/>
    </row>
    <row r="15" ht="15" customHeight="1" s="65">
      <c r="A15" s="33" t="n">
        <v>46113</v>
      </c>
      <c r="B15" t="inlineStr">
        <is>
          <t>2026-04</t>
        </is>
      </c>
      <c r="C15" t="inlineStr">
        <is>
          <t>Google Workspace (7 correos)</t>
        </is>
      </c>
      <c r="D15" t="inlineStr">
        <is>
          <t>Google Workspace</t>
        </is>
      </c>
      <c r="E15" s="73" t="n">
        <v>111702</v>
      </c>
      <c r="F15" t="inlineStr">
        <is>
          <t>F</t>
        </is>
      </c>
      <c r="G15" t="inlineStr">
        <is>
          <t>Debito</t>
        </is>
      </c>
      <c r="H15" t="inlineStr">
        <is>
          <t>Plataformas Digitales</t>
        </is>
      </c>
      <c r="I15" s="73">
        <f>IF(F15="F",ROUND(E15*0.19/1.19,0),0)</f>
        <v/>
      </c>
      <c r="J15" s="73">
        <f>IF(E15="","",E15-I15)</f>
        <v/>
      </c>
      <c r="K15">
        <f>+_xlfn.XLOOKUP(Tabla1[[#This Row],[Nombre Cuenta]],PLAN_CUENTAS!$B$2:$B$100,PLAN_CUENTAS!$A$2:$A$100,0,0)</f>
        <v/>
      </c>
      <c r="L15">
        <f>+_xlfn.XLOOKUP(Tabla1[[#This Row],[Nombre Cuenta]],PLAN_CUENTAS!$B$2:$B$100,PLAN_CUENTAS!$C$2:$C$100,0,0)</f>
        <v/>
      </c>
      <c r="P15" s="74" t="n"/>
    </row>
    <row r="16" ht="15" customHeight="1" s="65">
      <c r="A16" s="33" t="n">
        <v>46113</v>
      </c>
      <c r="B16" t="inlineStr">
        <is>
          <t>2026-03</t>
        </is>
      </c>
      <c r="C16" t="inlineStr">
        <is>
          <t>Sueldo - 21.575.375-1 - Martina Jorquera</t>
        </is>
      </c>
      <c r="E16" s="73" t="n">
        <v>100000</v>
      </c>
      <c r="G16" t="inlineStr">
        <is>
          <t>Debito</t>
        </is>
      </c>
      <c r="H16" t="inlineStr">
        <is>
          <t>Honorarios</t>
        </is>
      </c>
      <c r="I16" s="73">
        <f>IF(F16="F",ROUND(E16*0.19/1.19,0),0)</f>
        <v/>
      </c>
      <c r="J16" s="73">
        <f>IF(E16="","",E16-I16)</f>
        <v/>
      </c>
      <c r="K16">
        <f>+_xlfn.XLOOKUP(Tabla1[[#This Row],[Nombre Cuenta]],PLAN_CUENTAS!$B$2:$B$100,PLAN_CUENTAS!$A$2:$A$100,0,0)</f>
        <v/>
      </c>
      <c r="L16">
        <f>+_xlfn.XLOOKUP(Tabla1[[#This Row],[Nombre Cuenta]],PLAN_CUENTAS!$B$2:$B$100,PLAN_CUENTAS!$C$2:$C$100,0,0)</f>
        <v/>
      </c>
      <c r="P16" s="74" t="n"/>
    </row>
    <row r="17" ht="15" customHeight="1" s="65">
      <c r="A17" s="33" t="n">
        <v>46113</v>
      </c>
      <c r="B17" t="inlineStr">
        <is>
          <t>2026-04</t>
        </is>
      </c>
      <c r="C17" t="inlineStr">
        <is>
          <t>Transf.Internet a 76.803.503-2</t>
        </is>
      </c>
      <c r="D17" t="inlineStr">
        <is>
          <t>Sticker Shop</t>
        </is>
      </c>
      <c r="E17" s="73" t="n">
        <v>99853</v>
      </c>
      <c r="F17" t="inlineStr">
        <is>
          <t>S</t>
        </is>
      </c>
      <c r="G17" t="inlineStr">
        <is>
          <t>Debito</t>
        </is>
      </c>
      <c r="H17" t="inlineStr">
        <is>
          <t>Packaging</t>
        </is>
      </c>
      <c r="I17" s="73">
        <f>IF(F17="F",ROUND(E17*0.19/1.19,0),0)</f>
        <v/>
      </c>
      <c r="J17" s="73">
        <f>IF(E17="","",E17-I17)</f>
        <v/>
      </c>
      <c r="K17">
        <f>+_xlfn.XLOOKUP(Tabla1[[#This Row],[Nombre Cuenta]],PLAN_CUENTAS!$B$2:$B$100,PLAN_CUENTAS!$A$2:$A$100,0,0)</f>
        <v/>
      </c>
      <c r="L17">
        <f>+_xlfn.XLOOKUP(Tabla1[[#This Row],[Nombre Cuenta]],PLAN_CUENTAS!$B$2:$B$100,PLAN_CUENTAS!$C$2:$C$100,0,0)</f>
        <v/>
      </c>
      <c r="P17" s="74" t="n"/>
    </row>
    <row r="18" ht="15" customHeight="1" s="65">
      <c r="A18" s="33" t="n">
        <v>46113</v>
      </c>
      <c r="B18" t="inlineStr">
        <is>
          <t>2026-04</t>
        </is>
      </c>
      <c r="C18" t="inlineStr">
        <is>
          <t>Transf.Internet a 77.190.532-3</t>
        </is>
      </c>
      <c r="D18" t="inlineStr">
        <is>
          <t>Sticker Print</t>
        </is>
      </c>
      <c r="E18" s="73" t="n">
        <v>64260</v>
      </c>
      <c r="F18" t="inlineStr">
        <is>
          <t>F</t>
        </is>
      </c>
      <c r="G18" t="inlineStr">
        <is>
          <t>Debito</t>
        </is>
      </c>
      <c r="H18" t="inlineStr">
        <is>
          <t>Packaging</t>
        </is>
      </c>
      <c r="I18" s="73">
        <f>IF(F18="F",ROUND(E18*0.19/1.19,0),0)</f>
        <v/>
      </c>
      <c r="J18" s="73">
        <f>IF(E18="","",E18-I18)</f>
        <v/>
      </c>
      <c r="K18">
        <f>+_xlfn.XLOOKUP(Tabla1[[#This Row],[Nombre Cuenta]],PLAN_CUENTAS!$B$2:$B$100,PLAN_CUENTAS!$A$2:$A$100,0,0)</f>
        <v/>
      </c>
      <c r="L18">
        <f>+_xlfn.XLOOKUP(Tabla1[[#This Row],[Nombre Cuenta]],PLAN_CUENTAS!$B$2:$B$100,PLAN_CUENTAS!$C$2:$C$100,0,0)</f>
        <v/>
      </c>
      <c r="P18" s="74" t="n"/>
    </row>
    <row r="19" ht="15" customHeight="1" s="65">
      <c r="A19" s="33" t="n">
        <v>46113</v>
      </c>
      <c r="B19" t="inlineStr">
        <is>
          <t>2026-04</t>
        </is>
      </c>
      <c r="C19" t="inlineStr">
        <is>
          <t>Compra TOKU *VERISURE</t>
        </is>
      </c>
      <c r="D19" t="inlineStr">
        <is>
          <t>Verisure</t>
        </is>
      </c>
      <c r="E19" s="73" t="n">
        <v>59265</v>
      </c>
      <c r="F19" t="inlineStr">
        <is>
          <t>F</t>
        </is>
      </c>
      <c r="G19" t="inlineStr">
        <is>
          <t>Debito</t>
        </is>
      </c>
      <c r="H19" t="inlineStr">
        <is>
          <t>Seguridad</t>
        </is>
      </c>
      <c r="I19" s="73">
        <f>IF(F19="F",ROUND(E19*0.19/1.19,0),0)</f>
        <v/>
      </c>
      <c r="J19" s="73">
        <f>IF(E19="","",E19-I19)</f>
        <v/>
      </c>
      <c r="K19">
        <f>+_xlfn.XLOOKUP(Tabla1[[#This Row],[Nombre Cuenta]],PLAN_CUENTAS!$B$2:$B$100,PLAN_CUENTAS!$A$2:$A$100,0,0)</f>
        <v/>
      </c>
      <c r="L19">
        <f>+_xlfn.XLOOKUP(Tabla1[[#This Row],[Nombre Cuenta]],PLAN_CUENTAS!$B$2:$B$100,PLAN_CUENTAS!$C$2:$C$100,0,0)</f>
        <v/>
      </c>
      <c r="P19" s="74" t="n"/>
    </row>
    <row r="20" ht="15" customHeight="1" s="65">
      <c r="A20" s="33" t="n">
        <v>46113</v>
      </c>
      <c r="B20" t="inlineStr">
        <is>
          <t>2026-04</t>
        </is>
      </c>
      <c r="C20" t="inlineStr">
        <is>
          <t>Estampado Camisa Despachador B2B</t>
        </is>
      </c>
      <c r="D20" t="inlineStr">
        <is>
          <t>VINCULO EXPERIENCE SPA</t>
        </is>
      </c>
      <c r="E20" s="73" t="n">
        <v>7599</v>
      </c>
      <c r="F20" t="inlineStr">
        <is>
          <t>F</t>
        </is>
      </c>
      <c r="G20" t="inlineStr">
        <is>
          <t>Debito</t>
        </is>
      </c>
      <c r="H20" t="inlineStr">
        <is>
          <t>Uniformes Personal</t>
        </is>
      </c>
      <c r="I20" s="73">
        <f>IF(F20="F",ROUND(E20*0.19/1.19,0),0)</f>
        <v/>
      </c>
      <c r="J20" s="73">
        <f>IF(E20="","",E20-I20)</f>
        <v/>
      </c>
      <c r="K20">
        <f>+_xlfn.XLOOKUP(Tabla1[[#This Row],[Nombre Cuenta]],PLAN_CUENTAS!$B$2:$B$100,PLAN_CUENTAS!$A$2:$A$100,0,0)</f>
        <v/>
      </c>
      <c r="L20">
        <f>+_xlfn.XLOOKUP(Tabla1[[#This Row],[Nombre Cuenta]],PLAN_CUENTAS!$B$2:$B$100,PLAN_CUENTAS!$C$2:$C$100,0,0)</f>
        <v/>
      </c>
      <c r="P20" s="74" t="n"/>
    </row>
    <row r="21" ht="15" customHeight="1" s="65">
      <c r="A21" s="33" t="n">
        <v>46113</v>
      </c>
      <c r="B21" t="inlineStr">
        <is>
          <t>2026-04</t>
        </is>
      </c>
      <c r="C21" t="inlineStr">
        <is>
          <t>Transf.Internet a 77.512.163-7</t>
        </is>
      </c>
      <c r="D21" t="inlineStr">
        <is>
          <t>Ecourier</t>
        </is>
      </c>
      <c r="E21" s="73" t="n">
        <v>3332</v>
      </c>
      <c r="F21" t="inlineStr">
        <is>
          <t>F</t>
        </is>
      </c>
      <c r="G21" t="inlineStr">
        <is>
          <t>Debito</t>
        </is>
      </c>
      <c r="H21" t="inlineStr">
        <is>
          <t>Despachos B2C</t>
        </is>
      </c>
      <c r="I21" s="73">
        <f>IF(F21="F",ROUND(E21*0.19/1.19,0),0)</f>
        <v/>
      </c>
      <c r="J21" s="73">
        <f>IF(E21="","",E21-I21)</f>
        <v/>
      </c>
      <c r="K21">
        <f>+_xlfn.XLOOKUP(Tabla1[[#This Row],[Nombre Cuenta]],PLAN_CUENTAS!$B$2:$B$100,PLAN_CUENTAS!$A$2:$A$100,0,0)</f>
        <v/>
      </c>
      <c r="L21">
        <f>+_xlfn.XLOOKUP(Tabla1[[#This Row],[Nombre Cuenta]],PLAN_CUENTAS!$B$2:$B$100,PLAN_CUENTAS!$C$2:$C$100,0,0)</f>
        <v/>
      </c>
      <c r="P21" s="74" t="n"/>
    </row>
    <row r="22" ht="15" customHeight="1" s="65">
      <c r="A22" s="33" t="n">
        <v>46113</v>
      </c>
      <c r="B22" t="inlineStr">
        <is>
          <t>2026-04</t>
        </is>
      </c>
      <c r="C22" t="inlineStr">
        <is>
          <t>Compra MP *CABIFY2614VSC</t>
        </is>
      </c>
      <c r="D22" t="inlineStr">
        <is>
          <t>Cabify</t>
        </is>
      </c>
      <c r="E22" s="73" t="n">
        <v>2679</v>
      </c>
      <c r="F22" t="inlineStr">
        <is>
          <t>F</t>
        </is>
      </c>
      <c r="G22" t="inlineStr">
        <is>
          <t>Debito</t>
        </is>
      </c>
      <c r="H22" t="inlineStr">
        <is>
          <t>Transporte Personas (Empleados)</t>
        </is>
      </c>
      <c r="I22" s="73">
        <f>IF(F22="F",ROUND(E22*0.19/1.19,0),0)</f>
        <v/>
      </c>
      <c r="J22" s="73">
        <f>IF(E22="","",E22-I22)</f>
        <v/>
      </c>
      <c r="K22">
        <f>+_xlfn.XLOOKUP(Tabla1[[#This Row],[Nombre Cuenta]],PLAN_CUENTAS!$B$2:$B$100,PLAN_CUENTAS!$A$2:$A$100,0,0)</f>
        <v/>
      </c>
      <c r="L22">
        <f>+_xlfn.XLOOKUP(Tabla1[[#This Row],[Nombre Cuenta]],PLAN_CUENTAS!$B$2:$B$100,PLAN_CUENTAS!$C$2:$C$100,0,0)</f>
        <v/>
      </c>
      <c r="P22" s="74" t="n"/>
    </row>
    <row r="23" ht="15" customHeight="1" s="65">
      <c r="A23" s="33" t="n">
        <v>46113</v>
      </c>
      <c r="B23" t="inlineStr">
        <is>
          <t>2026-04</t>
        </is>
      </c>
      <c r="C23" t="inlineStr">
        <is>
          <t>Compra MP *CABIFY2614NSZ</t>
        </is>
      </c>
      <c r="D23" t="inlineStr">
        <is>
          <t>Cabify</t>
        </is>
      </c>
      <c r="E23" s="73" t="n">
        <v>2660</v>
      </c>
      <c r="F23" t="inlineStr">
        <is>
          <t>F</t>
        </is>
      </c>
      <c r="G23" t="inlineStr">
        <is>
          <t>Debito</t>
        </is>
      </c>
      <c r="H23" t="inlineStr">
        <is>
          <t>Transporte Personas (Empleados)</t>
        </is>
      </c>
      <c r="I23" s="73">
        <f>IF(F23="F",ROUND(E23*0.19/1.19,0),0)</f>
        <v/>
      </c>
      <c r="J23" s="73">
        <f>IF(E23="","",E23-I23)</f>
        <v/>
      </c>
      <c r="K23">
        <f>+_xlfn.XLOOKUP(Tabla1[[#This Row],[Nombre Cuenta]],PLAN_CUENTAS!$B$2:$B$100,PLAN_CUENTAS!$A$2:$A$100,0,0)</f>
        <v/>
      </c>
      <c r="L23">
        <f>+_xlfn.XLOOKUP(Tabla1[[#This Row],[Nombre Cuenta]],PLAN_CUENTAS!$B$2:$B$100,PLAN_CUENTAS!$C$2:$C$100,0,0)</f>
        <v/>
      </c>
      <c r="P23" s="74" t="n"/>
    </row>
    <row r="24" ht="15" customHeight="1" s="65">
      <c r="A24" s="33" t="n">
        <v>46114</v>
      </c>
      <c r="B24" t="inlineStr">
        <is>
          <t>2026-04</t>
        </is>
      </c>
      <c r="C24" t="inlineStr">
        <is>
          <t>Transf.Internet a 15.411.174-3</t>
        </is>
      </c>
      <c r="D24" t="inlineStr">
        <is>
          <t>TECNOLOGIA VERDE SPA</t>
        </is>
      </c>
      <c r="E24" s="73" t="n">
        <v>70000</v>
      </c>
      <c r="F24" t="inlineStr">
        <is>
          <t>F</t>
        </is>
      </c>
      <c r="G24" t="inlineStr">
        <is>
          <t>Debito</t>
        </is>
      </c>
      <c r="H24" t="inlineStr">
        <is>
          <t>Despachos B2B (Gaspar)</t>
        </is>
      </c>
      <c r="I24" s="73">
        <f>IF(F24="F",ROUND(E24*0.19/1.19,0),0)</f>
        <v/>
      </c>
      <c r="J24" s="73">
        <f>IF(E24="","",E24-I24)</f>
        <v/>
      </c>
      <c r="K24">
        <f>+_xlfn.XLOOKUP(Tabla1[[#This Row],[Nombre Cuenta]],PLAN_CUENTAS!$B$2:$B$100,PLAN_CUENTAS!$A$2:$A$100,0,0)</f>
        <v/>
      </c>
      <c r="L24">
        <f>+_xlfn.XLOOKUP(Tabla1[[#This Row],[Nombre Cuenta]],PLAN_CUENTAS!$B$2:$B$100,PLAN_CUENTAS!$C$2:$C$100,0,0)</f>
        <v/>
      </c>
      <c r="P24" s="74" t="n"/>
    </row>
    <row r="25" ht="15" customHeight="1" s="65">
      <c r="A25" s="33" t="n">
        <v>46114</v>
      </c>
      <c r="B25" t="inlineStr">
        <is>
          <t>2026-05</t>
        </is>
      </c>
      <c r="C25" t="inlineStr">
        <is>
          <t xml:space="preserve"> 76.839.579-9 - Tarjetas PPT 50% del total</t>
        </is>
      </c>
      <c r="D25" t="inlineStr">
        <is>
          <t>SERVICIOS DIGITALES E IMPRESIÓN OSEG SPA</t>
        </is>
      </c>
      <c r="E25" s="73" t="n">
        <v>60150</v>
      </c>
      <c r="F25" t="inlineStr">
        <is>
          <t>F</t>
        </is>
      </c>
      <c r="G25" t="inlineStr">
        <is>
          <t>Debito</t>
        </is>
      </c>
      <c r="H25" t="inlineStr">
        <is>
          <t>Packaging</t>
        </is>
      </c>
      <c r="I25" s="73">
        <f>IF(F25="F",ROUND(E25*0.19/1.19,0),0)</f>
        <v/>
      </c>
      <c r="J25" s="73">
        <f>IF(E25="","",E25-I25)</f>
        <v/>
      </c>
      <c r="K25">
        <f>+_xlfn.XLOOKUP(Tabla1[[#This Row],[Nombre Cuenta]],PLAN_CUENTAS!$B$2:$B$100,PLAN_CUENTAS!$A$2:$A$100,0,0)</f>
        <v/>
      </c>
      <c r="L25">
        <f>+_xlfn.XLOOKUP(Tabla1[[#This Row],[Nombre Cuenta]],PLAN_CUENTAS!$B$2:$B$100,PLAN_CUENTAS!$C$2:$C$100,0,0)</f>
        <v/>
      </c>
      <c r="P25" s="74" t="n"/>
    </row>
    <row r="26" ht="15" customHeight="1" s="65">
      <c r="A26" s="33" t="n">
        <v>46114</v>
      </c>
      <c r="B26" t="inlineStr">
        <is>
          <t>2026-04</t>
        </is>
      </c>
      <c r="C26" t="inlineStr">
        <is>
          <t>Vajilla faltante terraza</t>
        </is>
      </c>
      <c r="D26" t="inlineStr">
        <is>
          <t>LIDER</t>
        </is>
      </c>
      <c r="E26" s="73" t="n">
        <v>37790</v>
      </c>
      <c r="F26" t="inlineStr">
        <is>
          <t>F</t>
        </is>
      </c>
      <c r="G26" t="inlineStr">
        <is>
          <t>Debito</t>
        </is>
      </c>
      <c r="H26" t="inlineStr">
        <is>
          <t>Equipamiento Local</t>
        </is>
      </c>
      <c r="I26" s="73">
        <f>IF(F26="F",ROUND(E26*0.19/1.19,0),0)</f>
        <v/>
      </c>
      <c r="J26" s="73">
        <f>IF(E26="","",E26-I26)</f>
        <v/>
      </c>
      <c r="K26">
        <f>+_xlfn.XLOOKUP(Tabla1[[#This Row],[Nombre Cuenta]],PLAN_CUENTAS!$B$2:$B$100,PLAN_CUENTAS!$A$2:$A$100,0,0)</f>
        <v/>
      </c>
      <c r="L26">
        <f>+_xlfn.XLOOKUP(Tabla1[[#This Row],[Nombre Cuenta]],PLAN_CUENTAS!$B$2:$B$100,PLAN_CUENTAS!$C$2:$C$100,0,0)</f>
        <v/>
      </c>
      <c r="P26" s="74" t="n"/>
    </row>
    <row r="27" ht="15" customHeight="1" s="65">
      <c r="A27" s="33" t="n">
        <v>46114</v>
      </c>
      <c r="B27" t="inlineStr">
        <is>
          <t>2026-04</t>
        </is>
      </c>
      <c r="C27" t="inlineStr">
        <is>
          <t>Compra OPENAI *CHATGPT S</t>
        </is>
      </c>
      <c r="D27" t="inlineStr">
        <is>
          <t xml:space="preserve">CHATGPT </t>
        </is>
      </c>
      <c r="E27" s="73" t="n">
        <v>18825</v>
      </c>
      <c r="G27" t="inlineStr">
        <is>
          <t>Debito</t>
        </is>
      </c>
      <c r="H27" t="inlineStr">
        <is>
          <t>Plataformas Digitales</t>
        </is>
      </c>
      <c r="I27" s="73">
        <f>IF(F27="F",ROUND(E27*0.19/1.19,0),0)</f>
        <v/>
      </c>
      <c r="J27" s="73">
        <f>IF(E27="","",E27-I27)</f>
        <v/>
      </c>
      <c r="K27">
        <f>+_xlfn.XLOOKUP(Tabla1[[#This Row],[Nombre Cuenta]],PLAN_CUENTAS!$B$2:$B$100,PLAN_CUENTAS!$A$2:$A$100,0,0)</f>
        <v/>
      </c>
      <c r="L27">
        <f>+_xlfn.XLOOKUP(Tabla1[[#This Row],[Nombre Cuenta]],PLAN_CUENTAS!$B$2:$B$100,PLAN_CUENTAS!$C$2:$C$100,0,0)</f>
        <v/>
      </c>
      <c r="P27" s="74" t="n"/>
    </row>
    <row r="28" ht="15" customHeight="1" s="65">
      <c r="A28" s="33" t="n">
        <v>46114</v>
      </c>
      <c r="B28" t="inlineStr">
        <is>
          <t>2026-04</t>
        </is>
      </c>
      <c r="C28" t="inlineStr">
        <is>
          <t>Compra MP *CABIFY2614X8T</t>
        </is>
      </c>
      <c r="D28" t="inlineStr">
        <is>
          <t>Cabify</t>
        </is>
      </c>
      <c r="E28" s="73" t="n">
        <v>2846</v>
      </c>
      <c r="F28" t="inlineStr">
        <is>
          <t>F</t>
        </is>
      </c>
      <c r="G28" t="inlineStr">
        <is>
          <t>Debito</t>
        </is>
      </c>
      <c r="H28" t="inlineStr">
        <is>
          <t>Transporte Personas (Empleados)</t>
        </is>
      </c>
      <c r="I28" s="73">
        <f>IF(F28="F",ROUND(E28*0.19/1.19,0),0)</f>
        <v/>
      </c>
      <c r="J28" s="73">
        <f>IF(E28="","",E28-I28)</f>
        <v/>
      </c>
      <c r="K28">
        <f>+_xlfn.XLOOKUP(Tabla1[[#This Row],[Nombre Cuenta]],PLAN_CUENTAS!$B$2:$B$100,PLAN_CUENTAS!$A$2:$A$100,0,0)</f>
        <v/>
      </c>
      <c r="L28">
        <f>+_xlfn.XLOOKUP(Tabla1[[#This Row],[Nombre Cuenta]],PLAN_CUENTAS!$B$2:$B$100,PLAN_CUENTAS!$C$2:$C$100,0,0)</f>
        <v/>
      </c>
      <c r="P28" s="74" t="n"/>
    </row>
    <row r="29" ht="15" customHeight="1" s="65">
      <c r="A29" s="33" t="n">
        <v>46114</v>
      </c>
      <c r="B29" t="inlineStr">
        <is>
          <t>2026-04</t>
        </is>
      </c>
      <c r="C29" t="inlineStr">
        <is>
          <t>Compra MP *CABIFY2614OE3</t>
        </is>
      </c>
      <c r="D29" t="inlineStr">
        <is>
          <t>Cabify</t>
        </is>
      </c>
      <c r="E29" s="73" t="n">
        <v>2846</v>
      </c>
      <c r="F29" t="inlineStr">
        <is>
          <t>F</t>
        </is>
      </c>
      <c r="G29" t="inlineStr">
        <is>
          <t>Debito</t>
        </is>
      </c>
      <c r="H29" t="inlineStr">
        <is>
          <t>Transporte Personas (Empleados)</t>
        </is>
      </c>
      <c r="I29" s="73">
        <f>IF(F29="F",ROUND(E29*0.19/1.19,0),0)</f>
        <v/>
      </c>
      <c r="J29" s="73">
        <f>IF(E29="","",E29-I29)</f>
        <v/>
      </c>
      <c r="K29">
        <f>+_xlfn.XLOOKUP(Tabla1[[#This Row],[Nombre Cuenta]],PLAN_CUENTAS!$B$2:$B$100,PLAN_CUENTAS!$A$2:$A$100,0,0)</f>
        <v/>
      </c>
      <c r="L29">
        <f>+_xlfn.XLOOKUP(Tabla1[[#This Row],[Nombre Cuenta]],PLAN_CUENTAS!$B$2:$B$100,PLAN_CUENTAS!$C$2:$C$100,0,0)</f>
        <v/>
      </c>
      <c r="P29" s="74" t="n"/>
    </row>
    <row r="30" ht="15" customHeight="1" s="65">
      <c r="A30" s="33" t="n">
        <v>46118</v>
      </c>
      <c r="B30" t="inlineStr">
        <is>
          <t>2026-04</t>
        </is>
      </c>
      <c r="C30" t="inlineStr">
        <is>
          <t>17.403.946-1 - Arriendo Local</t>
        </is>
      </c>
      <c r="D30" t="inlineStr">
        <is>
          <t>Florencia Castro</t>
        </is>
      </c>
      <c r="E30" s="73" t="n">
        <v>3386546</v>
      </c>
      <c r="G30" t="inlineStr">
        <is>
          <t>Debito</t>
        </is>
      </c>
      <c r="H30" t="inlineStr">
        <is>
          <t>Arriendo Local</t>
        </is>
      </c>
      <c r="I30" s="73">
        <f>IF(F30="F",ROUND(E30*0.19/1.19,0),0)</f>
        <v/>
      </c>
      <c r="J30" s="73">
        <f>IF(E30="","",E30-I30)</f>
        <v/>
      </c>
      <c r="K30">
        <f>+_xlfn.XLOOKUP(Tabla1[[#This Row],[Nombre Cuenta]],PLAN_CUENTAS!$B$2:$B$100,PLAN_CUENTAS!$A$2:$A$100,0,0)</f>
        <v/>
      </c>
      <c r="L30">
        <f>+_xlfn.XLOOKUP(Tabla1[[#This Row],[Nombre Cuenta]],PLAN_CUENTAS!$B$2:$B$100,PLAN_CUENTAS!$C$2:$C$100,0,0)</f>
        <v/>
      </c>
      <c r="P30" s="74" t="n"/>
    </row>
    <row r="31" ht="15" customHeight="1" s="65">
      <c r="A31" s="33" t="n">
        <v>46118</v>
      </c>
      <c r="B31" t="inlineStr">
        <is>
          <t>2026-04</t>
        </is>
      </c>
      <c r="C31" t="inlineStr">
        <is>
          <t>18.831.462-7 - Katherine Chamorro - Moto</t>
        </is>
      </c>
      <c r="E31" s="73" t="n">
        <v>1200000</v>
      </c>
      <c r="G31" t="inlineStr">
        <is>
          <t>Debito</t>
        </is>
      </c>
      <c r="H31" t="inlineStr">
        <is>
          <t>Prestamos Personal</t>
        </is>
      </c>
      <c r="I31" s="73">
        <f>IF(F31="F",ROUND(E31*0.19/1.19,0),0)</f>
        <v/>
      </c>
      <c r="J31" s="73">
        <f>IF(E31="","",E31-I31)</f>
        <v/>
      </c>
      <c r="K31">
        <f>+_xlfn.XLOOKUP(Tabla1[[#This Row],[Nombre Cuenta]],PLAN_CUENTAS!$B$2:$B$100,PLAN_CUENTAS!$A$2:$A$100,0,0)</f>
        <v/>
      </c>
      <c r="L31">
        <f>+_xlfn.XLOOKUP(Tabla1[[#This Row],[Nombre Cuenta]],PLAN_CUENTAS!$B$2:$B$100,PLAN_CUENTAS!$C$2:$C$100,0,0)</f>
        <v/>
      </c>
      <c r="P31" s="74" t="n"/>
    </row>
    <row r="32" ht="15" customHeight="1" s="65">
      <c r="A32" s="33" t="n">
        <v>46118</v>
      </c>
      <c r="B32" t="inlineStr">
        <is>
          <t>2026-03</t>
        </is>
      </c>
      <c r="C32" t="inlineStr">
        <is>
          <t xml:space="preserve">77.305.867-9 - Gaspar </t>
        </is>
      </c>
      <c r="D32" t="inlineStr">
        <is>
          <t>SERVICIOS INTEGRALES DAGA SPA</t>
        </is>
      </c>
      <c r="E32" s="73" t="n">
        <v>707967</v>
      </c>
      <c r="F32" t="inlineStr">
        <is>
          <t>F</t>
        </is>
      </c>
      <c r="G32" t="inlineStr">
        <is>
          <t>Debito</t>
        </is>
      </c>
      <c r="H32" t="inlineStr">
        <is>
          <t>Despachos B2B (Gaspar)</t>
        </is>
      </c>
      <c r="I32" s="73">
        <f>IF(F32="F",ROUND(E32*0.19/1.19,0),0)</f>
        <v/>
      </c>
      <c r="J32" s="73">
        <f>IF(E32="","",E32-I32)</f>
        <v/>
      </c>
      <c r="K32">
        <f>+_xlfn.XLOOKUP(Tabla1[[#This Row],[Nombre Cuenta]],PLAN_CUENTAS!$B$2:$B$100,PLAN_CUENTAS!$A$2:$A$100,0,0)</f>
        <v/>
      </c>
      <c r="L32">
        <f>+_xlfn.XLOOKUP(Tabla1[[#This Row],[Nombre Cuenta]],PLAN_CUENTAS!$B$2:$B$100,PLAN_CUENTAS!$C$2:$C$100,0,0)</f>
        <v/>
      </c>
      <c r="P32" s="74" t="n"/>
    </row>
    <row r="33" ht="15" customHeight="1" s="65">
      <c r="A33" s="33" t="n">
        <v>46118</v>
      </c>
      <c r="B33" t="inlineStr">
        <is>
          <t>2026-03</t>
        </is>
      </c>
      <c r="C33" t="inlineStr">
        <is>
          <t>76.041.249-K - Martin Iturrieta</t>
        </is>
      </c>
      <c r="D33" s="63" t="inlineStr">
        <is>
          <t>MARKETING ADVERTISING AND SALES</t>
        </is>
      </c>
      <c r="E33" s="73" t="n">
        <v>702100</v>
      </c>
      <c r="F33" t="inlineStr">
        <is>
          <t>F</t>
        </is>
      </c>
      <c r="G33" t="inlineStr">
        <is>
          <t>Debito</t>
        </is>
      </c>
      <c r="H33" t="inlineStr">
        <is>
          <t>Produccion Audiovisual</t>
        </is>
      </c>
      <c r="I33" s="73">
        <f>IF(F33="F",ROUND(E33*0.19/1.19,0),0)</f>
        <v/>
      </c>
      <c r="J33" s="73">
        <f>IF(E33="","",E33-I33)</f>
        <v/>
      </c>
      <c r="K33">
        <f>+_xlfn.XLOOKUP(Tabla1[[#This Row],[Nombre Cuenta]],PLAN_CUENTAS!$B$2:$B$100,PLAN_CUENTAS!$A$2:$A$100,0,0)</f>
        <v/>
      </c>
      <c r="L33">
        <f>+_xlfn.XLOOKUP(Tabla1[[#This Row],[Nombre Cuenta]],PLAN_CUENTAS!$B$2:$B$100,PLAN_CUENTAS!$C$2:$C$100,0,0)</f>
        <v/>
      </c>
      <c r="P33" s="74" t="n"/>
    </row>
    <row r="34" ht="15" customHeight="1" s="65">
      <c r="A34" s="33" t="n">
        <v>46118</v>
      </c>
      <c r="B34" t="inlineStr">
        <is>
          <t>2026-04</t>
        </is>
      </c>
      <c r="C34" t="inlineStr">
        <is>
          <t>Transf.Internet a 77.298.762-5</t>
        </is>
      </c>
      <c r="D34" t="inlineStr">
        <is>
          <t>TECNOLOGIA VERDE SPA</t>
        </is>
      </c>
      <c r="E34" s="73" t="n">
        <v>107100</v>
      </c>
      <c r="F34" t="inlineStr">
        <is>
          <t>F</t>
        </is>
      </c>
      <c r="G34" t="inlineStr">
        <is>
          <t>Debito</t>
        </is>
      </c>
      <c r="H34" t="inlineStr">
        <is>
          <t>Despachos B2B (Gaspar)</t>
        </is>
      </c>
      <c r="I34" s="73">
        <f>IF(F34="F",ROUND(E34*0.19/1.19,0),0)</f>
        <v/>
      </c>
      <c r="J34" s="73">
        <f>IF(E34="","",E34-I34)</f>
        <v/>
      </c>
      <c r="K34">
        <f>+_xlfn.XLOOKUP(Tabla1[[#This Row],[Nombre Cuenta]],PLAN_CUENTAS!$B$2:$B$100,PLAN_CUENTAS!$A$2:$A$100,0,0)</f>
        <v/>
      </c>
      <c r="L34">
        <f>+_xlfn.XLOOKUP(Tabla1[[#This Row],[Nombre Cuenta]],PLAN_CUENTAS!$B$2:$B$100,PLAN_CUENTAS!$C$2:$C$100,0,0)</f>
        <v/>
      </c>
      <c r="P34" s="74" t="n"/>
    </row>
    <row r="35" ht="15" customHeight="1" s="65">
      <c r="A35" s="33" t="n">
        <v>46118</v>
      </c>
      <c r="B35" t="inlineStr">
        <is>
          <t>2026-03</t>
        </is>
      </c>
      <c r="C35" t="inlineStr">
        <is>
          <t>77.305.867-9 - Gaspar (Iva chofer niños ignacia)</t>
        </is>
      </c>
      <c r="D35" t="inlineStr">
        <is>
          <t>SERVICIOS INTEGRALES DAGA SPA</t>
        </is>
      </c>
      <c r="E35" s="73" t="n">
        <v>95200</v>
      </c>
      <c r="F35" t="inlineStr">
        <is>
          <t>F</t>
        </is>
      </c>
      <c r="G35" t="inlineStr">
        <is>
          <t>Debito</t>
        </is>
      </c>
      <c r="H35" t="inlineStr">
        <is>
          <t>Despachos B2B (Gaspar)</t>
        </is>
      </c>
      <c r="I35" s="73">
        <f>IF(F35="F",ROUND(E35*0.19/1.19,0),0)</f>
        <v/>
      </c>
      <c r="J35" s="73">
        <f>IF(E35="","",E35-I35)</f>
        <v/>
      </c>
      <c r="K35">
        <f>+_xlfn.XLOOKUP(Tabla1[[#This Row],[Nombre Cuenta]],PLAN_CUENTAS!$B$2:$B$100,PLAN_CUENTAS!$A$2:$A$100,0,0)</f>
        <v/>
      </c>
      <c r="L35">
        <f>+_xlfn.XLOOKUP(Tabla1[[#This Row],[Nombre Cuenta]],PLAN_CUENTAS!$B$2:$B$100,PLAN_CUENTAS!$C$2:$C$100,0,0)</f>
        <v/>
      </c>
      <c r="P35" s="74" t="n"/>
    </row>
    <row r="36" ht="15" customHeight="1" s="65">
      <c r="A36" s="33" t="n">
        <v>46118</v>
      </c>
      <c r="B36" t="inlineStr">
        <is>
          <t>2026-04</t>
        </is>
      </c>
      <c r="C36" t="inlineStr">
        <is>
          <t>Compra MP *EKIPOTELCL</t>
        </is>
      </c>
      <c r="D36" t="inlineStr">
        <is>
          <t>Ekipotel</t>
        </is>
      </c>
      <c r="E36" s="73" t="n">
        <v>43503</v>
      </c>
      <c r="F36" t="inlineStr">
        <is>
          <t>F</t>
        </is>
      </c>
      <c r="G36" t="inlineStr">
        <is>
          <t>Debito</t>
        </is>
      </c>
      <c r="H36" t="inlineStr">
        <is>
          <t>Ferias y Eventos</t>
        </is>
      </c>
      <c r="I36" s="73">
        <f>IF(F36="F",ROUND(E36*0.19/1.19,0),0)</f>
        <v/>
      </c>
      <c r="J36" s="73">
        <f>IF(E36="","",E36-I36)</f>
        <v/>
      </c>
      <c r="K36">
        <f>+_xlfn.XLOOKUP(Tabla1[[#This Row],[Nombre Cuenta]],PLAN_CUENTAS!$B$2:$B$100,PLAN_CUENTAS!$A$2:$A$100,0,0)</f>
        <v/>
      </c>
      <c r="L36">
        <f>+_xlfn.XLOOKUP(Tabla1[[#This Row],[Nombre Cuenta]],PLAN_CUENTAS!$B$2:$B$100,PLAN_CUENTAS!$C$2:$C$100,0,0)</f>
        <v/>
      </c>
      <c r="P36" s="74" t="n"/>
    </row>
    <row r="37" ht="15" customHeight="1" s="65">
      <c r="A37" s="33" t="n">
        <v>46118</v>
      </c>
      <c r="B37" t="inlineStr">
        <is>
          <t>2026-04</t>
        </is>
      </c>
      <c r="C37" t="inlineStr">
        <is>
          <t>Compra PADDLE.NET* APPCH</t>
        </is>
      </c>
      <c r="D37" t="inlineStr">
        <is>
          <t xml:space="preserve">CHATGPT </t>
        </is>
      </c>
      <c r="E37" s="73" t="n">
        <v>18861</v>
      </c>
      <c r="G37" t="inlineStr">
        <is>
          <t>Debito</t>
        </is>
      </c>
      <c r="H37" t="inlineStr">
        <is>
          <t>Plataformas Digitales</t>
        </is>
      </c>
      <c r="I37" s="73">
        <f>IF(F37="F",ROUND(E37*0.19/1.19,0),0)</f>
        <v/>
      </c>
      <c r="J37" s="73">
        <f>IF(E37="","",E37-I37)</f>
        <v/>
      </c>
      <c r="K37">
        <f>+_xlfn.XLOOKUP(Tabla1[[#This Row],[Nombre Cuenta]],PLAN_CUENTAS!$B$2:$B$100,PLAN_CUENTAS!$A$2:$A$100,0,0)</f>
        <v/>
      </c>
      <c r="L37">
        <f>+_xlfn.XLOOKUP(Tabla1[[#This Row],[Nombre Cuenta]],PLAN_CUENTAS!$B$2:$B$100,PLAN_CUENTAS!$C$2:$C$100,0,0)</f>
        <v/>
      </c>
      <c r="P37" s="74" t="n"/>
    </row>
    <row r="38" ht="15" customHeight="1" s="65">
      <c r="A38" s="33" t="n">
        <v>46118</v>
      </c>
      <c r="B38" t="inlineStr">
        <is>
          <t>2026-04</t>
        </is>
      </c>
      <c r="C38" t="inlineStr">
        <is>
          <t>Compra CABIFY</t>
        </is>
      </c>
      <c r="D38" t="inlineStr">
        <is>
          <t>Cabify</t>
        </is>
      </c>
      <c r="E38" s="73" t="n">
        <v>4107</v>
      </c>
      <c r="F38" t="inlineStr">
        <is>
          <t>F</t>
        </is>
      </c>
      <c r="G38" t="inlineStr">
        <is>
          <t>Debito</t>
        </is>
      </c>
      <c r="H38" t="inlineStr">
        <is>
          <t>Transporte Personas (Empleados)</t>
        </is>
      </c>
      <c r="I38" s="73">
        <f>IF(F38="F",ROUND(E38*0.19/1.19,0),0)</f>
        <v/>
      </c>
      <c r="J38" s="73">
        <f>IF(E38="","",E38-I38)</f>
        <v/>
      </c>
      <c r="K38">
        <f>+_xlfn.XLOOKUP(Tabla1[[#This Row],[Nombre Cuenta]],PLAN_CUENTAS!$B$2:$B$100,PLAN_CUENTAS!$A$2:$A$100,0,0)</f>
        <v/>
      </c>
      <c r="L38">
        <f>+_xlfn.XLOOKUP(Tabla1[[#This Row],[Nombre Cuenta]],PLAN_CUENTAS!$B$2:$B$100,PLAN_CUENTAS!$C$2:$C$100,0,0)</f>
        <v/>
      </c>
      <c r="P38" s="74" t="n"/>
    </row>
    <row r="39" ht="15" customHeight="1" s="65">
      <c r="A39" s="33" t="n">
        <v>46119</v>
      </c>
      <c r="B39" t="inlineStr">
        <is>
          <t>2026-04</t>
        </is>
      </c>
      <c r="C39" t="inlineStr">
        <is>
          <t>Pago Cuota Crédito N° 420051171054</t>
        </is>
      </c>
      <c r="D39" t="inlineStr">
        <is>
          <t>Banco Santander</t>
        </is>
      </c>
      <c r="E39" s="73" t="n">
        <v>1926881</v>
      </c>
      <c r="G39" t="inlineStr">
        <is>
          <t>Debito</t>
        </is>
      </c>
      <c r="H39" t="inlineStr">
        <is>
          <t>Gastos Bancarios</t>
        </is>
      </c>
      <c r="I39" s="73">
        <f>IF(F39="F",ROUND(E39*0.19/1.19,0),0)</f>
        <v/>
      </c>
      <c r="J39" s="73">
        <f>IF(E39="","",E39-I39)</f>
        <v/>
      </c>
      <c r="K39">
        <f>+_xlfn.XLOOKUP(Tabla1[[#This Row],[Nombre Cuenta]],PLAN_CUENTAS!$B$2:$B$100,PLAN_CUENTAS!$A$2:$A$100,0,0)</f>
        <v/>
      </c>
      <c r="L39">
        <f>+_xlfn.XLOOKUP(Tabla1[[#This Row],[Nombre Cuenta]],PLAN_CUENTAS!$B$2:$B$100,PLAN_CUENTAS!$C$2:$C$100,0,0)</f>
        <v/>
      </c>
      <c r="P39" s="74" t="n"/>
    </row>
    <row r="40" ht="15" customHeight="1" s="65">
      <c r="A40" s="33" t="n">
        <v>46119</v>
      </c>
      <c r="B40" t="inlineStr">
        <is>
          <t>2026-04</t>
        </is>
      </c>
      <c r="C40" t="inlineStr">
        <is>
          <t>Amortización Periódica LCA N° 0020</t>
        </is>
      </c>
      <c r="D40" t="inlineStr">
        <is>
          <t>Banco Santander</t>
        </is>
      </c>
      <c r="E40" s="73" t="n">
        <v>631740</v>
      </c>
      <c r="G40" t="inlineStr">
        <is>
          <t>Debito</t>
        </is>
      </c>
      <c r="H40" t="inlineStr">
        <is>
          <t>Gastos Bancarios</t>
        </is>
      </c>
      <c r="I40" s="73">
        <f>IF(F40="F",ROUND(E40*0.19/1.19,0),0)</f>
        <v/>
      </c>
      <c r="J40" s="73">
        <f>IF(E40="","",E40-I40)</f>
        <v/>
      </c>
      <c r="K40">
        <f>+_xlfn.XLOOKUP(Tabla1[[#This Row],[Nombre Cuenta]],PLAN_CUENTAS!$B$2:$B$100,PLAN_CUENTAS!$A$2:$A$100,0,0)</f>
        <v/>
      </c>
      <c r="L40">
        <f>+_xlfn.XLOOKUP(Tabla1[[#This Row],[Nombre Cuenta]],PLAN_CUENTAS!$B$2:$B$100,PLAN_CUENTAS!$C$2:$C$100,0,0)</f>
        <v/>
      </c>
      <c r="P40" s="74" t="n"/>
    </row>
    <row r="41" ht="15" customHeight="1" s="65">
      <c r="A41" s="33" t="n">
        <v>46119</v>
      </c>
      <c r="B41" t="inlineStr">
        <is>
          <t>2026-04</t>
        </is>
      </c>
      <c r="C41" t="inlineStr">
        <is>
          <t>Capsulas Orafio y Vertuo - Cafeteria</t>
        </is>
      </c>
      <c r="D41" t="inlineStr">
        <is>
          <t>Nespresso</t>
        </is>
      </c>
      <c r="E41" s="73" t="n">
        <v>228875</v>
      </c>
      <c r="F41" t="inlineStr">
        <is>
          <t>F</t>
        </is>
      </c>
      <c r="G41" t="inlineStr">
        <is>
          <t>Debito</t>
        </is>
      </c>
      <c r="H41" t="inlineStr">
        <is>
          <t>Ingredientes</t>
        </is>
      </c>
      <c r="I41" s="73">
        <f>IF(F41="F",ROUND(E41*0.19/1.19,0),0)</f>
        <v/>
      </c>
      <c r="J41" s="73">
        <f>IF(E41="","",E41-I41)</f>
        <v/>
      </c>
      <c r="K41">
        <f>+_xlfn.XLOOKUP(Tabla1[[#This Row],[Nombre Cuenta]],PLAN_CUENTAS!$B$2:$B$100,PLAN_CUENTAS!$A$2:$A$100,0,0)</f>
        <v/>
      </c>
      <c r="L41">
        <f>+_xlfn.XLOOKUP(Tabla1[[#This Row],[Nombre Cuenta]],PLAN_CUENTAS!$B$2:$B$100,PLAN_CUENTAS!$C$2:$C$100,0,0)</f>
        <v/>
      </c>
      <c r="P41" s="74" t="n"/>
    </row>
    <row r="42" ht="15" customHeight="1" s="65">
      <c r="A42" s="33" t="n">
        <v>46119</v>
      </c>
      <c r="B42" t="inlineStr">
        <is>
          <t>2026-04</t>
        </is>
      </c>
      <c r="C42" t="inlineStr">
        <is>
          <t>78.065.582-8 - Asesoria Contable</t>
        </is>
      </c>
      <c r="D42" t="inlineStr">
        <is>
          <t>Clave Contadores</t>
        </is>
      </c>
      <c r="E42" s="73" t="n">
        <v>110000</v>
      </c>
      <c r="F42" t="inlineStr">
        <is>
          <t>F</t>
        </is>
      </c>
      <c r="G42" t="inlineStr">
        <is>
          <t>Debito</t>
        </is>
      </c>
      <c r="H42" t="inlineStr">
        <is>
          <t>Asesoria Contable</t>
        </is>
      </c>
      <c r="I42" s="73">
        <f>IF(F42="F",ROUND(E42*0.19/1.19,0),0)</f>
        <v/>
      </c>
      <c r="J42" s="73">
        <f>IF(E42="","",E42-I42)</f>
        <v/>
      </c>
      <c r="K42">
        <f>+_xlfn.XLOOKUP(Tabla1[[#This Row],[Nombre Cuenta]],PLAN_CUENTAS!$B$2:$B$100,PLAN_CUENTAS!$A$2:$A$100,0,0)</f>
        <v/>
      </c>
      <c r="L42">
        <f>+_xlfn.XLOOKUP(Tabla1[[#This Row],[Nombre Cuenta]],PLAN_CUENTAS!$B$2:$B$100,PLAN_CUENTAS!$C$2:$C$100,0,0)</f>
        <v/>
      </c>
      <c r="P42" s="74" t="n"/>
    </row>
    <row r="43" ht="15" customHeight="1" s="65">
      <c r="A43" s="33" t="n">
        <v>46119</v>
      </c>
      <c r="B43" t="inlineStr">
        <is>
          <t>2026-04</t>
        </is>
      </c>
      <c r="C43" t="inlineStr">
        <is>
          <t>4 Canastos Feria Ñam</t>
        </is>
      </c>
      <c r="D43" t="inlineStr">
        <is>
          <t>Falabella</t>
        </is>
      </c>
      <c r="E43" s="73" t="n">
        <v>40970</v>
      </c>
      <c r="F43" t="inlineStr">
        <is>
          <t>F</t>
        </is>
      </c>
      <c r="G43" t="inlineStr">
        <is>
          <t>Debito</t>
        </is>
      </c>
      <c r="H43" t="inlineStr">
        <is>
          <t>Ferias y Eventos</t>
        </is>
      </c>
      <c r="I43" s="73">
        <f>IF(F43="F",ROUND(E43*0.19/1.19,0),0)</f>
        <v/>
      </c>
      <c r="J43" s="73">
        <f>IF(E43="","",E43-I43)</f>
        <v/>
      </c>
      <c r="K43">
        <f>+_xlfn.XLOOKUP(Tabla1[[#This Row],[Nombre Cuenta]],PLAN_CUENTAS!$B$2:$B$100,PLAN_CUENTAS!$A$2:$A$100,0,0)</f>
        <v/>
      </c>
      <c r="L43">
        <f>+_xlfn.XLOOKUP(Tabla1[[#This Row],[Nombre Cuenta]],PLAN_CUENTAS!$B$2:$B$100,PLAN_CUENTAS!$C$2:$C$100,0,0)</f>
        <v/>
      </c>
      <c r="P43" s="74" t="n"/>
    </row>
    <row r="44" ht="15" customHeight="1" s="65">
      <c r="A44" s="33" t="n">
        <v>46119</v>
      </c>
      <c r="B44" t="inlineStr">
        <is>
          <t>2026-04</t>
        </is>
      </c>
      <c r="C44" t="inlineStr">
        <is>
          <t>Compra CABIFY</t>
        </is>
      </c>
      <c r="D44" t="inlineStr">
        <is>
          <t>Cabify</t>
        </is>
      </c>
      <c r="E44" s="73" t="n">
        <v>4123</v>
      </c>
      <c r="F44" t="inlineStr">
        <is>
          <t>F</t>
        </is>
      </c>
      <c r="G44" t="inlineStr">
        <is>
          <t>Debito</t>
        </is>
      </c>
      <c r="H44" t="inlineStr">
        <is>
          <t>Transporte Personas (Empleados)</t>
        </is>
      </c>
      <c r="I44" s="73">
        <f>IF(F44="F",ROUND(E44*0.19/1.19,0),0)</f>
        <v/>
      </c>
      <c r="J44" s="73">
        <f>IF(E44="","",E44-I44)</f>
        <v/>
      </c>
      <c r="K44">
        <f>+_xlfn.XLOOKUP(Tabla1[[#This Row],[Nombre Cuenta]],PLAN_CUENTAS!$B$2:$B$100,PLAN_CUENTAS!$A$2:$A$100,0,0)</f>
        <v/>
      </c>
      <c r="L44">
        <f>+_xlfn.XLOOKUP(Tabla1[[#This Row],[Nombre Cuenta]],PLAN_CUENTAS!$B$2:$B$100,PLAN_CUENTAS!$C$2:$C$100,0,0)</f>
        <v/>
      </c>
      <c r="P44" s="74" t="n"/>
    </row>
    <row r="45" ht="15" customHeight="1" s="65">
      <c r="A45" s="33" t="n">
        <v>46120</v>
      </c>
      <c r="B45" t="inlineStr">
        <is>
          <t>2026-04</t>
        </is>
      </c>
      <c r="C45" t="inlineStr">
        <is>
          <t>88.566.900-K - Bolsas Blancas Grandes y Chicas</t>
        </is>
      </c>
      <c r="D45" t="inlineStr">
        <is>
          <t>Edipac</t>
        </is>
      </c>
      <c r="E45" s="73" t="n">
        <v>205194</v>
      </c>
      <c r="F45" t="inlineStr">
        <is>
          <t>F</t>
        </is>
      </c>
      <c r="G45" t="inlineStr">
        <is>
          <t>Debito</t>
        </is>
      </c>
      <c r="H45" t="inlineStr">
        <is>
          <t>Packaging</t>
        </is>
      </c>
      <c r="I45" s="73">
        <f>IF(F45="F",ROUND(E45*0.19/1.19,0),0)</f>
        <v/>
      </c>
      <c r="J45" s="73">
        <f>IF(E45="","",E45-I45)</f>
        <v/>
      </c>
      <c r="K45">
        <f>+_xlfn.XLOOKUP(Tabla1[[#This Row],[Nombre Cuenta]],PLAN_CUENTAS!$B$2:$B$100,PLAN_CUENTAS!$A$2:$A$100,0,0)</f>
        <v/>
      </c>
      <c r="L45">
        <f>+_xlfn.XLOOKUP(Tabla1[[#This Row],[Nombre Cuenta]],PLAN_CUENTAS!$B$2:$B$100,PLAN_CUENTAS!$C$2:$C$100,0,0)</f>
        <v/>
      </c>
      <c r="P45" s="74" t="n"/>
    </row>
    <row r="46" ht="15" customHeight="1" s="65">
      <c r="A46" s="33" t="n">
        <v>46120</v>
      </c>
      <c r="B46" t="inlineStr">
        <is>
          <t>2026-04</t>
        </is>
      </c>
      <c r="C46" t="inlineStr">
        <is>
          <t>17.403.946-1 - Arriendo Local</t>
        </is>
      </c>
      <c r="D46" t="inlineStr">
        <is>
          <t>Florencia Castro</t>
        </is>
      </c>
      <c r="E46" s="73" t="n">
        <v>199208</v>
      </c>
      <c r="G46" t="inlineStr">
        <is>
          <t>Debito</t>
        </is>
      </c>
      <c r="H46" t="inlineStr">
        <is>
          <t>Arriendo Local</t>
        </is>
      </c>
      <c r="I46" s="73">
        <f>IF(F46="F",ROUND(E46*0.19/1.19,0),0)</f>
        <v/>
      </c>
      <c r="J46" s="73">
        <f>IF(E46="","",E46-I46)</f>
        <v/>
      </c>
      <c r="K46">
        <f>+_xlfn.XLOOKUP(Tabla1[[#This Row],[Nombre Cuenta]],PLAN_CUENTAS!$B$2:$B$100,PLAN_CUENTAS!$A$2:$A$100,0,0)</f>
        <v/>
      </c>
      <c r="L46">
        <f>+_xlfn.XLOOKUP(Tabla1[[#This Row],[Nombre Cuenta]],PLAN_CUENTAS!$B$2:$B$100,PLAN_CUENTAS!$C$2:$C$100,0,0)</f>
        <v/>
      </c>
      <c r="P46" s="74" t="n"/>
    </row>
    <row r="47" ht="15" customHeight="1" s="65">
      <c r="A47" s="33" t="n">
        <v>46120</v>
      </c>
      <c r="B47" t="inlineStr">
        <is>
          <t>2026-04</t>
        </is>
      </c>
      <c r="C47" t="inlineStr">
        <is>
          <t>76.706.900-6 - Nuez Partida</t>
        </is>
      </c>
      <c r="D47" t="inlineStr">
        <is>
          <t>Pepitas de Oro</t>
        </is>
      </c>
      <c r="E47" s="73" t="n">
        <v>47005</v>
      </c>
      <c r="F47" t="inlineStr">
        <is>
          <t>F</t>
        </is>
      </c>
      <c r="G47" t="inlineStr">
        <is>
          <t>Debito</t>
        </is>
      </c>
      <c r="H47" t="inlineStr">
        <is>
          <t>Ingredientes</t>
        </is>
      </c>
      <c r="I47" s="73">
        <f>IF(F47="F",ROUND(E47*0.19/1.19,0),0)</f>
        <v/>
      </c>
      <c r="J47" s="73">
        <f>IF(E47="","",E47-I47)</f>
        <v/>
      </c>
      <c r="K47">
        <f>+_xlfn.XLOOKUP(Tabla1[[#This Row],[Nombre Cuenta]],PLAN_CUENTAS!$B$2:$B$100,PLAN_CUENTAS!$A$2:$A$100,0,0)</f>
        <v/>
      </c>
      <c r="L47">
        <f>+_xlfn.XLOOKUP(Tabla1[[#This Row],[Nombre Cuenta]],PLAN_CUENTAS!$B$2:$B$100,PLAN_CUENTAS!$C$2:$C$100,0,0)</f>
        <v/>
      </c>
      <c r="P47" s="74" t="n"/>
    </row>
    <row r="48" ht="15" customHeight="1" s="65">
      <c r="A48" s="33" t="n">
        <v>46120</v>
      </c>
      <c r="B48" t="inlineStr">
        <is>
          <t>2026-04</t>
        </is>
      </c>
      <c r="C48" t="inlineStr">
        <is>
          <t>76.554.985-k - Firma Aprobado Ignacia</t>
        </is>
      </c>
      <c r="D48" t="inlineStr">
        <is>
          <t>Timbre mio</t>
        </is>
      </c>
      <c r="E48" s="73" t="n">
        <v>39490</v>
      </c>
      <c r="F48" t="inlineStr">
        <is>
          <t>F</t>
        </is>
      </c>
      <c r="G48" t="inlineStr">
        <is>
          <t>Debito</t>
        </is>
      </c>
      <c r="H48" t="inlineStr">
        <is>
          <t>Equipamiento Local</t>
        </is>
      </c>
      <c r="I48" s="73">
        <f>IF(F48="F",ROUND(E48*0.19/1.19,0),0)</f>
        <v/>
      </c>
      <c r="J48" s="73">
        <f>IF(E48="","",E48-I48)</f>
        <v/>
      </c>
      <c r="K48">
        <f>+_xlfn.XLOOKUP(Tabla1[[#This Row],[Nombre Cuenta]],PLAN_CUENTAS!$B$2:$B$100,PLAN_CUENTAS!$A$2:$A$100,0,0)</f>
        <v/>
      </c>
      <c r="L48">
        <f>+_xlfn.XLOOKUP(Tabla1[[#This Row],[Nombre Cuenta]],PLAN_CUENTAS!$B$2:$B$100,PLAN_CUENTAS!$C$2:$C$100,0,0)</f>
        <v/>
      </c>
      <c r="P48" s="74" t="n"/>
    </row>
    <row r="49" ht="15" customHeight="1" s="65">
      <c r="A49" s="33" t="n">
        <v>46121</v>
      </c>
      <c r="B49" t="inlineStr">
        <is>
          <t>2026-03</t>
        </is>
      </c>
      <c r="C49" t="inlineStr">
        <is>
          <t>PAGO EN LINEA PREVIRED</t>
        </is>
      </c>
      <c r="D49" t="inlineStr">
        <is>
          <t>Previred</t>
        </is>
      </c>
      <c r="E49" s="73" t="n">
        <v>1721239</v>
      </c>
      <c r="G49" t="inlineStr">
        <is>
          <t>Debito</t>
        </is>
      </c>
      <c r="H49" t="inlineStr">
        <is>
          <t>Sueldos con Contrato</t>
        </is>
      </c>
      <c r="I49" s="73">
        <f>IF(F49="F",ROUND(E49*0.19/1.19,0),0)</f>
        <v/>
      </c>
      <c r="J49" s="73">
        <f>IF(E49="","",E49-I49)</f>
        <v/>
      </c>
      <c r="K49">
        <f>+_xlfn.XLOOKUP(Tabla1[[#This Row],[Nombre Cuenta]],PLAN_CUENTAS!$B$2:$B$100,PLAN_CUENTAS!$A$2:$A$100,0,0)</f>
        <v/>
      </c>
      <c r="L49">
        <f>+_xlfn.XLOOKUP(Tabla1[[#This Row],[Nombre Cuenta]],PLAN_CUENTAS!$B$2:$B$100,PLAN_CUENTAS!$C$2:$C$100,0,0)</f>
        <v/>
      </c>
      <c r="P49" s="74" t="n"/>
    </row>
    <row r="50" ht="15" customHeight="1" s="65">
      <c r="A50" s="33" t="n">
        <v>46121</v>
      </c>
      <c r="B50" t="inlineStr">
        <is>
          <t>2026-04</t>
        </is>
      </c>
      <c r="C50" t="inlineStr">
        <is>
          <t>16.716.491-9 - 70% enchufes terraza</t>
        </is>
      </c>
      <c r="D50" t="inlineStr">
        <is>
          <t>Raul Velasquez</t>
        </is>
      </c>
      <c r="E50" s="73" t="n">
        <v>385000</v>
      </c>
      <c r="F50" t="inlineStr">
        <is>
          <t>F</t>
        </is>
      </c>
      <c r="G50" t="inlineStr">
        <is>
          <t>Debito</t>
        </is>
      </c>
      <c r="H50" t="inlineStr">
        <is>
          <t>Equipamiento Local</t>
        </is>
      </c>
      <c r="I50" s="73">
        <f>IF(F50="F",ROUND(E50*0.19/1.19,0),0)</f>
        <v/>
      </c>
      <c r="J50" s="73">
        <f>IF(E50="","",E50-I50)</f>
        <v/>
      </c>
      <c r="K50">
        <f>+_xlfn.XLOOKUP(Tabla1[[#This Row],[Nombre Cuenta]],PLAN_CUENTAS!$B$2:$B$100,PLAN_CUENTAS!$A$2:$A$100,0,0)</f>
        <v/>
      </c>
      <c r="L50">
        <f>+_xlfn.XLOOKUP(Tabla1[[#This Row],[Nombre Cuenta]],PLAN_CUENTAS!$B$2:$B$100,PLAN_CUENTAS!$C$2:$C$100,0,0)</f>
        <v/>
      </c>
      <c r="P50" s="74" t="n"/>
    </row>
    <row r="51" ht="15" customHeight="1" s="65">
      <c r="A51" s="33" t="n">
        <v>46121</v>
      </c>
      <c r="B51" t="inlineStr">
        <is>
          <t>2026-04</t>
        </is>
      </c>
      <c r="C51" t="inlineStr">
        <is>
          <t xml:space="preserve">78.065.582-8 - Asesoria Contable </t>
        </is>
      </c>
      <c r="D51" t="inlineStr">
        <is>
          <t>Clave Contadores</t>
        </is>
      </c>
      <c r="E51" s="73" t="n">
        <v>220000</v>
      </c>
      <c r="F51" t="inlineStr">
        <is>
          <t>F</t>
        </is>
      </c>
      <c r="G51" t="inlineStr">
        <is>
          <t>Debito</t>
        </is>
      </c>
      <c r="H51" t="inlineStr">
        <is>
          <t>Asesoria Contable</t>
        </is>
      </c>
      <c r="I51" s="73">
        <f>IF(F51="F",ROUND(E51*0.19/1.19,0),0)</f>
        <v/>
      </c>
      <c r="J51" s="73">
        <f>IF(E51="","",E51-I51)</f>
        <v/>
      </c>
      <c r="K51">
        <f>+_xlfn.XLOOKUP(Tabla1[[#This Row],[Nombre Cuenta]],PLAN_CUENTAS!$B$2:$B$100,PLAN_CUENTAS!$A$2:$A$100,0,0)</f>
        <v/>
      </c>
      <c r="L51">
        <f>+_xlfn.XLOOKUP(Tabla1[[#This Row],[Nombre Cuenta]],PLAN_CUENTAS!$B$2:$B$100,PLAN_CUENTAS!$C$2:$C$100,0,0)</f>
        <v/>
      </c>
      <c r="P51" s="74" t="n"/>
    </row>
    <row r="52" ht="15" customHeight="1" s="65">
      <c r="A52" s="33" t="n">
        <v>46121</v>
      </c>
      <c r="B52" t="inlineStr">
        <is>
          <t>2026-04</t>
        </is>
      </c>
      <c r="C52" t="inlineStr">
        <is>
          <t>84.736.800-4 - Ron y Coñac</t>
        </is>
      </c>
      <c r="D52" t="inlineStr">
        <is>
          <t>Chavarry Y Hugot</t>
        </is>
      </c>
      <c r="E52" s="73" t="n">
        <v>137800</v>
      </c>
      <c r="F52" t="inlineStr">
        <is>
          <t>F</t>
        </is>
      </c>
      <c r="G52" t="inlineStr">
        <is>
          <t>Debito</t>
        </is>
      </c>
      <c r="H52" t="inlineStr">
        <is>
          <t>Ingredientes</t>
        </is>
      </c>
      <c r="I52" s="73">
        <f>IF(F52="F",ROUND(E52*0.19/1.19,0),0)</f>
        <v/>
      </c>
      <c r="J52" s="73">
        <f>IF(E52="","",E52-I52)</f>
        <v/>
      </c>
      <c r="K52">
        <f>+_xlfn.XLOOKUP(Tabla1[[#This Row],[Nombre Cuenta]],PLAN_CUENTAS!$B$2:$B$100,PLAN_CUENTAS!$A$2:$A$100,0,0)</f>
        <v/>
      </c>
      <c r="L52">
        <f>+_xlfn.XLOOKUP(Tabla1[[#This Row],[Nombre Cuenta]],PLAN_CUENTAS!$B$2:$B$100,PLAN_CUENTAS!$C$2:$C$100,0,0)</f>
        <v/>
      </c>
      <c r="P52" s="74" t="n"/>
    </row>
    <row r="53" ht="15" customHeight="1" s="65">
      <c r="A53" s="33" t="n">
        <v>46121</v>
      </c>
      <c r="B53" t="inlineStr">
        <is>
          <t>2026-03</t>
        </is>
      </c>
      <c r="C53" t="inlineStr">
        <is>
          <t>Compra AGUAS ANDINAS</t>
        </is>
      </c>
      <c r="D53" t="inlineStr">
        <is>
          <t>Aguas Andinas</t>
        </is>
      </c>
      <c r="E53" s="73" t="n">
        <v>39640</v>
      </c>
      <c r="F53" t="inlineStr">
        <is>
          <t>F</t>
        </is>
      </c>
      <c r="G53" t="inlineStr">
        <is>
          <t>Debito</t>
        </is>
      </c>
      <c r="H53" t="inlineStr">
        <is>
          <t>Agua</t>
        </is>
      </c>
      <c r="I53" s="73">
        <f>IF(F53="F",ROUND(E53*0.19/1.19,0),0)</f>
        <v/>
      </c>
      <c r="J53" s="73">
        <f>IF(E53="","",E53-I53)</f>
        <v/>
      </c>
      <c r="K53">
        <f>+_xlfn.XLOOKUP(Tabla1[[#This Row],[Nombre Cuenta]],PLAN_CUENTAS!$B$2:$B$100,PLAN_CUENTAS!$A$2:$A$100,0,0)</f>
        <v/>
      </c>
      <c r="L53">
        <f>+_xlfn.XLOOKUP(Tabla1[[#This Row],[Nombre Cuenta]],PLAN_CUENTAS!$B$2:$B$100,PLAN_CUENTAS!$C$2:$C$100,0,0)</f>
        <v/>
      </c>
      <c r="P53" s="74" t="n"/>
    </row>
    <row r="54" ht="15" customHeight="1" s="65">
      <c r="A54" s="33" t="n">
        <v>46121</v>
      </c>
      <c r="B54" t="inlineStr">
        <is>
          <t>2026-04</t>
        </is>
      </c>
      <c r="C54" t="inlineStr">
        <is>
          <t xml:space="preserve">Procesadora </t>
        </is>
      </c>
      <c r="D54" t="inlineStr">
        <is>
          <t>Falabella</t>
        </is>
      </c>
      <c r="E54" s="73" t="n">
        <v>30980</v>
      </c>
      <c r="F54" t="inlineStr">
        <is>
          <t>F</t>
        </is>
      </c>
      <c r="G54" t="inlineStr">
        <is>
          <t>Debito</t>
        </is>
      </c>
      <c r="H54" t="inlineStr">
        <is>
          <t>Equipamiento de Cocina</t>
        </is>
      </c>
      <c r="I54" s="73">
        <f>IF(F54="F",ROUND(E54*0.19/1.19,0),0)</f>
        <v/>
      </c>
      <c r="J54" s="73">
        <f>IF(E54="","",E54-I54)</f>
        <v/>
      </c>
      <c r="K54">
        <f>+_xlfn.XLOOKUP(Tabla1[[#This Row],[Nombre Cuenta]],PLAN_CUENTAS!$B$2:$B$100,PLAN_CUENTAS!$A$2:$A$100,0,0)</f>
        <v/>
      </c>
      <c r="L54">
        <f>+_xlfn.XLOOKUP(Tabla1[[#This Row],[Nombre Cuenta]],PLAN_CUENTAS!$B$2:$B$100,PLAN_CUENTAS!$C$2:$C$100,0,0)</f>
        <v/>
      </c>
      <c r="P54" s="74" t="n"/>
    </row>
    <row r="55" ht="15" customHeight="1" s="65">
      <c r="A55" s="33" t="n">
        <v>46121</v>
      </c>
      <c r="B55" t="inlineStr">
        <is>
          <t>2026-04</t>
        </is>
      </c>
      <c r="C55" t="inlineStr">
        <is>
          <t>Tarjetas de presentacion personalizadas Saint Laurent</t>
        </is>
      </c>
      <c r="D55" t="inlineStr">
        <is>
          <t>Alo Print</t>
        </is>
      </c>
      <c r="E55" s="73" t="n">
        <v>23240</v>
      </c>
      <c r="F55" t="inlineStr">
        <is>
          <t>F</t>
        </is>
      </c>
      <c r="G55" t="inlineStr">
        <is>
          <t>Debito</t>
        </is>
      </c>
      <c r="H55" t="inlineStr">
        <is>
          <t>Packaging</t>
        </is>
      </c>
      <c r="I55" s="73">
        <f>IF(F55="F",ROUND(E55*0.19/1.19,0),0)</f>
        <v/>
      </c>
      <c r="J55" s="73">
        <f>IF(E55="","",E55-I55)</f>
        <v/>
      </c>
      <c r="K55">
        <f>+_xlfn.XLOOKUP(Tabla1[[#This Row],[Nombre Cuenta]],PLAN_CUENTAS!$B$2:$B$100,PLAN_CUENTAS!$A$2:$A$100,0,0)</f>
        <v/>
      </c>
      <c r="L55">
        <f>+_xlfn.XLOOKUP(Tabla1[[#This Row],[Nombre Cuenta]],PLAN_CUENTAS!$B$2:$B$100,PLAN_CUENTAS!$C$2:$C$100,0,0)</f>
        <v/>
      </c>
      <c r="P55" s="74" t="n"/>
    </row>
    <row r="56" ht="15" customHeight="1" s="65">
      <c r="A56" s="33" t="n">
        <v>46121</v>
      </c>
      <c r="B56" t="inlineStr">
        <is>
          <t>2026-04</t>
        </is>
      </c>
      <c r="C56" t="inlineStr">
        <is>
          <t>Traslado fernando y Cata Ñam al local</t>
        </is>
      </c>
      <c r="D56" t="inlineStr">
        <is>
          <t>Cabify</t>
        </is>
      </c>
      <c r="E56" s="73" t="n">
        <v>6777</v>
      </c>
      <c r="F56" t="inlineStr">
        <is>
          <t>F</t>
        </is>
      </c>
      <c r="G56" t="inlineStr">
        <is>
          <t>Debito</t>
        </is>
      </c>
      <c r="H56" t="inlineStr">
        <is>
          <t>Transporte Personas (Empleados)</t>
        </is>
      </c>
      <c r="I56" s="73">
        <f>IF(F56="F",ROUND(E56*0.19/1.19,0),0)</f>
        <v/>
      </c>
      <c r="J56" s="73">
        <f>IF(E56="","",E56-I56)</f>
        <v/>
      </c>
      <c r="K56">
        <f>+_xlfn.XLOOKUP(Tabla1[[#This Row],[Nombre Cuenta]],PLAN_CUENTAS!$B$2:$B$100,PLAN_CUENTAS!$A$2:$A$100,0,0)</f>
        <v/>
      </c>
      <c r="L56">
        <f>+_xlfn.XLOOKUP(Tabla1[[#This Row],[Nombre Cuenta]],PLAN_CUENTAS!$B$2:$B$100,PLAN_CUENTAS!$C$2:$C$100,0,0)</f>
        <v/>
      </c>
      <c r="P56" s="74" t="n"/>
    </row>
    <row r="57" ht="15" customHeight="1" s="65">
      <c r="A57" s="33" t="n">
        <v>46125</v>
      </c>
      <c r="B57" t="inlineStr">
        <is>
          <t>2026-03</t>
        </is>
      </c>
      <c r="C57" t="inlineStr">
        <is>
          <t>Compra FACEBK *4X6S4MVVJ</t>
        </is>
      </c>
      <c r="D57" t="inlineStr">
        <is>
          <t>Facebook Ads</t>
        </is>
      </c>
      <c r="E57" s="73" t="n">
        <v>198123</v>
      </c>
      <c r="F57" t="inlineStr">
        <is>
          <t>S</t>
        </is>
      </c>
      <c r="G57" t="inlineStr">
        <is>
          <t>Debito</t>
        </is>
      </c>
      <c r="H57" t="inlineStr">
        <is>
          <t>RRSS</t>
        </is>
      </c>
      <c r="I57" s="73">
        <f>IF(F57="F",ROUND(E57*0.19/1.19,0),0)</f>
        <v/>
      </c>
      <c r="J57" s="73">
        <f>IF(E57="","",E57-I57)</f>
        <v/>
      </c>
      <c r="K57">
        <f>+_xlfn.XLOOKUP(Tabla1[[#This Row],[Nombre Cuenta]],PLAN_CUENTAS!$B$2:$B$100,PLAN_CUENTAS!$A$2:$A$100,0,0)</f>
        <v/>
      </c>
      <c r="L57">
        <f>+_xlfn.XLOOKUP(Tabla1[[#This Row],[Nombre Cuenta]],PLAN_CUENTAS!$B$2:$B$100,PLAN_CUENTAS!$C$2:$C$100,0,0)</f>
        <v/>
      </c>
      <c r="P57" s="74" t="n"/>
    </row>
    <row r="58" ht="15" customHeight="1" s="65">
      <c r="A58" s="33" t="n">
        <v>46125</v>
      </c>
      <c r="B58" t="inlineStr">
        <is>
          <t>2026-04</t>
        </is>
      </c>
      <c r="C58" t="inlineStr">
        <is>
          <t xml:space="preserve">Huevos primera blanco </t>
        </is>
      </c>
      <c r="D58" t="inlineStr">
        <is>
          <t>LIDER</t>
        </is>
      </c>
      <c r="E58" s="73" t="n">
        <v>71910</v>
      </c>
      <c r="F58" t="inlineStr">
        <is>
          <t>F</t>
        </is>
      </c>
      <c r="G58" t="inlineStr">
        <is>
          <t>Debito</t>
        </is>
      </c>
      <c r="H58" t="inlineStr">
        <is>
          <t>Ingredientes</t>
        </is>
      </c>
      <c r="I58" s="73">
        <f>IF(F58="F",ROUND(E58*0.19/1.19,0),0)</f>
        <v/>
      </c>
      <c r="J58" s="73">
        <f>IF(E58="","",E58-I58)</f>
        <v/>
      </c>
      <c r="K58">
        <f>+_xlfn.XLOOKUP(Tabla1[[#This Row],[Nombre Cuenta]],PLAN_CUENTAS!$B$2:$B$100,PLAN_CUENTAS!$A$2:$A$100,0,0)</f>
        <v/>
      </c>
      <c r="L58">
        <f>+_xlfn.XLOOKUP(Tabla1[[#This Row],[Nombre Cuenta]],PLAN_CUENTAS!$B$2:$B$100,PLAN_CUENTAS!$C$2:$C$100,0,0)</f>
        <v/>
      </c>
      <c r="P58" s="74" t="n"/>
    </row>
    <row r="59" ht="15" customHeight="1" s="65">
      <c r="A59" s="33" t="n">
        <v>46125</v>
      </c>
      <c r="B59" t="inlineStr">
        <is>
          <t>2026-04</t>
        </is>
      </c>
      <c r="C59" t="inlineStr">
        <is>
          <t xml:space="preserve">Huevos primera blanco </t>
        </is>
      </c>
      <c r="D59" t="inlineStr">
        <is>
          <t>LIDER</t>
        </is>
      </c>
      <c r="E59" s="73" t="n">
        <v>31960</v>
      </c>
      <c r="F59" t="inlineStr">
        <is>
          <t>F</t>
        </is>
      </c>
      <c r="G59" t="inlineStr">
        <is>
          <t>Debito</t>
        </is>
      </c>
      <c r="H59" t="inlineStr">
        <is>
          <t>Ingredientes</t>
        </is>
      </c>
      <c r="I59" s="73">
        <f>IF(F59="F",ROUND(E59*0.19/1.19,0),0)</f>
        <v/>
      </c>
      <c r="J59" s="73">
        <f>IF(E59="","",E59-I59)</f>
        <v/>
      </c>
      <c r="K59">
        <f>+_xlfn.XLOOKUP(Tabla1[[#This Row],[Nombre Cuenta]],PLAN_CUENTAS!$B$2:$B$100,PLAN_CUENTAS!$A$2:$A$100,0,0)</f>
        <v/>
      </c>
      <c r="L59">
        <f>+_xlfn.XLOOKUP(Tabla1[[#This Row],[Nombre Cuenta]],PLAN_CUENTAS!$B$2:$B$100,PLAN_CUENTAS!$C$2:$C$100,0,0)</f>
        <v/>
      </c>
      <c r="P59" s="74" t="n"/>
    </row>
    <row r="60" ht="15" customHeight="1" s="65">
      <c r="A60" s="33" t="n">
        <v>46125</v>
      </c>
      <c r="B60" t="inlineStr">
        <is>
          <t>2026-04</t>
        </is>
      </c>
      <c r="C60" t="inlineStr">
        <is>
          <t>Traslado Ñam</t>
        </is>
      </c>
      <c r="D60" t="inlineStr">
        <is>
          <t>Cabify</t>
        </is>
      </c>
      <c r="E60" s="73" t="n">
        <v>7437</v>
      </c>
      <c r="F60" t="inlineStr">
        <is>
          <t>F</t>
        </is>
      </c>
      <c r="G60" t="inlineStr">
        <is>
          <t>Debito</t>
        </is>
      </c>
      <c r="H60" t="inlineStr">
        <is>
          <t>Transporte Personas (Empleados)</t>
        </is>
      </c>
      <c r="I60" s="73">
        <f>IF(F60="F",ROUND(E60*0.19/1.19,0),0)</f>
        <v/>
      </c>
      <c r="J60" s="73">
        <f>IF(E60="","",E60-I60)</f>
        <v/>
      </c>
      <c r="K60">
        <f>+_xlfn.XLOOKUP(Tabla1[[#This Row],[Nombre Cuenta]],PLAN_CUENTAS!$B$2:$B$100,PLAN_CUENTAS!$A$2:$A$100,0,0)</f>
        <v/>
      </c>
      <c r="L60">
        <f>+_xlfn.XLOOKUP(Tabla1[[#This Row],[Nombre Cuenta]],PLAN_CUENTAS!$B$2:$B$100,PLAN_CUENTAS!$C$2:$C$100,0,0)</f>
        <v/>
      </c>
      <c r="P60" s="74" t="n"/>
    </row>
    <row r="61" ht="15" customHeight="1" s="65">
      <c r="A61" s="33" t="n">
        <v>46125</v>
      </c>
      <c r="B61" t="inlineStr">
        <is>
          <t>2026-04</t>
        </is>
      </c>
      <c r="C61" t="inlineStr">
        <is>
          <t>Traslado Ñam</t>
        </is>
      </c>
      <c r="D61" t="inlineStr">
        <is>
          <t>Cabify</t>
        </is>
      </c>
      <c r="E61" s="73" t="n">
        <v>6649</v>
      </c>
      <c r="F61" t="inlineStr">
        <is>
          <t>F</t>
        </is>
      </c>
      <c r="G61" t="inlineStr">
        <is>
          <t>Debito</t>
        </is>
      </c>
      <c r="H61" t="inlineStr">
        <is>
          <t>Transporte Personas (Empleados)</t>
        </is>
      </c>
      <c r="I61" s="73">
        <f>IF(F61="F",ROUND(E61*0.19/1.19,0),0)</f>
        <v/>
      </c>
      <c r="J61" s="73">
        <f>IF(E61="","",E61-I61)</f>
        <v/>
      </c>
      <c r="K61">
        <f>+_xlfn.XLOOKUP(Tabla1[[#This Row],[Nombre Cuenta]],PLAN_CUENTAS!$B$2:$B$100,PLAN_CUENTAS!$A$2:$A$100,0,0)</f>
        <v/>
      </c>
      <c r="L61">
        <f>+_xlfn.XLOOKUP(Tabla1[[#This Row],[Nombre Cuenta]],PLAN_CUENTAS!$B$2:$B$100,PLAN_CUENTAS!$C$2:$C$100,0,0)</f>
        <v/>
      </c>
      <c r="P61" s="74" t="n"/>
    </row>
    <row r="62" ht="15" customHeight="1" s="65">
      <c r="A62" s="33" t="n">
        <v>46125</v>
      </c>
      <c r="B62" t="inlineStr">
        <is>
          <t>2026-04</t>
        </is>
      </c>
      <c r="C62" t="inlineStr">
        <is>
          <t>Traslado Ñam</t>
        </is>
      </c>
      <c r="D62" t="inlineStr">
        <is>
          <t>Uber</t>
        </is>
      </c>
      <c r="E62" s="73" t="n">
        <v>6406</v>
      </c>
      <c r="F62" t="inlineStr">
        <is>
          <t>S</t>
        </is>
      </c>
      <c r="G62" t="inlineStr">
        <is>
          <t>Debito</t>
        </is>
      </c>
      <c r="H62" t="inlineStr">
        <is>
          <t>Transporte Personas (Empleados)</t>
        </is>
      </c>
      <c r="I62" s="73">
        <f>IF(F62="F",ROUND(E62*0.19/1.19,0),0)</f>
        <v/>
      </c>
      <c r="J62" s="73">
        <f>IF(E62="","",E62-I62)</f>
        <v/>
      </c>
      <c r="K62">
        <f>+_xlfn.XLOOKUP(Tabla1[[#This Row],[Nombre Cuenta]],PLAN_CUENTAS!$B$2:$B$100,PLAN_CUENTAS!$A$2:$A$100,0,0)</f>
        <v/>
      </c>
      <c r="L62">
        <f>+_xlfn.XLOOKUP(Tabla1[[#This Row],[Nombre Cuenta]],PLAN_CUENTAS!$B$2:$B$100,PLAN_CUENTAS!$C$2:$C$100,0,0)</f>
        <v/>
      </c>
      <c r="P62" s="74" t="n"/>
    </row>
    <row r="63" ht="15" customHeight="1" s="65">
      <c r="A63" s="33" t="n">
        <v>46125</v>
      </c>
      <c r="B63" t="inlineStr">
        <is>
          <t>2026-04</t>
        </is>
      </c>
      <c r="C63" t="inlineStr">
        <is>
          <t>Traslado Ñam</t>
        </is>
      </c>
      <c r="D63" t="inlineStr">
        <is>
          <t>Didi</t>
        </is>
      </c>
      <c r="E63" s="73" t="n">
        <v>6200</v>
      </c>
      <c r="F63" t="inlineStr">
        <is>
          <t>S</t>
        </is>
      </c>
      <c r="G63" t="inlineStr">
        <is>
          <t>Debito</t>
        </is>
      </c>
      <c r="H63" t="inlineStr">
        <is>
          <t>Transporte Personas (Empleados)</t>
        </is>
      </c>
      <c r="I63" s="73">
        <f>IF(F63="F",ROUND(E63*0.19/1.19,0),0)</f>
        <v/>
      </c>
      <c r="J63" s="73">
        <f>IF(E63="","",E63-I63)</f>
        <v/>
      </c>
      <c r="K63">
        <f>+_xlfn.XLOOKUP(Tabla1[[#This Row],[Nombre Cuenta]],PLAN_CUENTAS!$B$2:$B$100,PLAN_CUENTAS!$A$2:$A$100,0,0)</f>
        <v/>
      </c>
      <c r="L63">
        <f>+_xlfn.XLOOKUP(Tabla1[[#This Row],[Nombre Cuenta]],PLAN_CUENTAS!$B$2:$B$100,PLAN_CUENTAS!$C$2:$C$100,0,0)</f>
        <v/>
      </c>
      <c r="P63" s="74" t="n"/>
    </row>
    <row r="64" ht="15" customHeight="1" s="65">
      <c r="A64" s="33" t="n">
        <v>46125</v>
      </c>
      <c r="B64" t="inlineStr">
        <is>
          <t>2026-04</t>
        </is>
      </c>
      <c r="C64" t="inlineStr">
        <is>
          <t>Traslado Ñam</t>
        </is>
      </c>
      <c r="D64" t="inlineStr">
        <is>
          <t>Cabify</t>
        </is>
      </c>
      <c r="E64" s="73" t="n">
        <v>5511</v>
      </c>
      <c r="F64" t="inlineStr">
        <is>
          <t>F</t>
        </is>
      </c>
      <c r="G64" t="inlineStr">
        <is>
          <t>Debito</t>
        </is>
      </c>
      <c r="H64" t="inlineStr">
        <is>
          <t>Transporte Personas (Empleados)</t>
        </is>
      </c>
      <c r="I64" s="73">
        <f>IF(F64="F",ROUND(E64*0.19/1.19,0),0)</f>
        <v/>
      </c>
      <c r="J64" s="73">
        <f>IF(E64="","",E64-I64)</f>
        <v/>
      </c>
      <c r="K64">
        <f>+_xlfn.XLOOKUP(Tabla1[[#This Row],[Nombre Cuenta]],PLAN_CUENTAS!$B$2:$B$100,PLAN_CUENTAS!$A$2:$A$100,0,0)</f>
        <v/>
      </c>
      <c r="L64">
        <f>+_xlfn.XLOOKUP(Tabla1[[#This Row],[Nombre Cuenta]],PLAN_CUENTAS!$B$2:$B$100,PLAN_CUENTAS!$C$2:$C$100,0,0)</f>
        <v/>
      </c>
      <c r="P64" s="74" t="n"/>
    </row>
    <row r="65" ht="15" customHeight="1" s="65">
      <c r="A65" s="33" t="n">
        <v>46125</v>
      </c>
      <c r="B65" t="inlineStr">
        <is>
          <t>2026-04</t>
        </is>
      </c>
      <c r="C65" t="inlineStr">
        <is>
          <t>Traslado Ñam</t>
        </is>
      </c>
      <c r="D65" t="inlineStr">
        <is>
          <t>Cabify</t>
        </is>
      </c>
      <c r="E65" s="73" t="n">
        <v>5186</v>
      </c>
      <c r="F65" t="inlineStr">
        <is>
          <t>F</t>
        </is>
      </c>
      <c r="G65" t="inlineStr">
        <is>
          <t>Debito</t>
        </is>
      </c>
      <c r="H65" t="inlineStr">
        <is>
          <t>Transporte Personas (Empleados)</t>
        </is>
      </c>
      <c r="I65" s="73">
        <f>IF(F65="F",ROUND(E65*0.19/1.19,0),0)</f>
        <v/>
      </c>
      <c r="J65" s="73">
        <f>IF(E65="","",E65-I65)</f>
        <v/>
      </c>
      <c r="K65">
        <f>+_xlfn.XLOOKUP(Tabla1[[#This Row],[Nombre Cuenta]],PLAN_CUENTAS!$B$2:$B$100,PLAN_CUENTAS!$A$2:$A$100,0,0)</f>
        <v/>
      </c>
      <c r="L65">
        <f>+_xlfn.XLOOKUP(Tabla1[[#This Row],[Nombre Cuenta]],PLAN_CUENTAS!$B$2:$B$100,PLAN_CUENTAS!$C$2:$C$100,0,0)</f>
        <v/>
      </c>
      <c r="P65" s="74" t="n"/>
    </row>
    <row r="66" ht="15" customHeight="1" s="65">
      <c r="A66" s="33" t="n">
        <v>46125</v>
      </c>
      <c r="B66" t="inlineStr">
        <is>
          <t>2026-04</t>
        </is>
      </c>
      <c r="C66" t="inlineStr">
        <is>
          <t>Traslado Ñam</t>
        </is>
      </c>
      <c r="D66" t="inlineStr">
        <is>
          <t>Uber</t>
        </is>
      </c>
      <c r="E66" s="73" t="n">
        <v>3671</v>
      </c>
      <c r="F66" t="inlineStr">
        <is>
          <t>S</t>
        </is>
      </c>
      <c r="G66" t="inlineStr">
        <is>
          <t>Debito</t>
        </is>
      </c>
      <c r="H66" t="inlineStr">
        <is>
          <t>Transporte Personas (Empleados)</t>
        </is>
      </c>
      <c r="I66" s="73">
        <f>IF(F66="F",ROUND(E66*0.19/1.19,0),0)</f>
        <v/>
      </c>
      <c r="J66" s="73">
        <f>IF(E66="","",E66-I66)</f>
        <v/>
      </c>
      <c r="K66">
        <f>+_xlfn.XLOOKUP(Tabla1[[#This Row],[Nombre Cuenta]],PLAN_CUENTAS!$B$2:$B$100,PLAN_CUENTAS!$A$2:$A$100,0,0)</f>
        <v/>
      </c>
      <c r="L66">
        <f>+_xlfn.XLOOKUP(Tabla1[[#This Row],[Nombre Cuenta]],PLAN_CUENTAS!$B$2:$B$100,PLAN_CUENTAS!$C$2:$C$100,0,0)</f>
        <v/>
      </c>
      <c r="P66" s="74" t="n"/>
    </row>
    <row r="67" ht="15" customHeight="1" s="65">
      <c r="A67" s="33" t="n">
        <v>46125</v>
      </c>
      <c r="B67" t="inlineStr">
        <is>
          <t>2026-04</t>
        </is>
      </c>
      <c r="C67" t="inlineStr">
        <is>
          <t>Traslado Ñam</t>
        </is>
      </c>
      <c r="D67" t="inlineStr">
        <is>
          <t>Cabify</t>
        </is>
      </c>
      <c r="E67" s="73" t="n">
        <v>3269</v>
      </c>
      <c r="F67" t="inlineStr">
        <is>
          <t>F</t>
        </is>
      </c>
      <c r="G67" t="inlineStr">
        <is>
          <t>Debito</t>
        </is>
      </c>
      <c r="H67" t="inlineStr">
        <is>
          <t>Transporte Personas (Empleados)</t>
        </is>
      </c>
      <c r="I67" s="73">
        <f>IF(F67="F",ROUND(E67*0.19/1.19,0),0)</f>
        <v/>
      </c>
      <c r="J67" s="73">
        <f>IF(E67="","",E67-I67)</f>
        <v/>
      </c>
      <c r="K67">
        <f>+_xlfn.XLOOKUP(Tabla1[[#This Row],[Nombre Cuenta]],PLAN_CUENTAS!$B$2:$B$100,PLAN_CUENTAS!$A$2:$A$100,0,0)</f>
        <v/>
      </c>
      <c r="L67">
        <f>+_xlfn.XLOOKUP(Tabla1[[#This Row],[Nombre Cuenta]],PLAN_CUENTAS!$B$2:$B$100,PLAN_CUENTAS!$C$2:$C$100,0,0)</f>
        <v/>
      </c>
      <c r="P67" s="74" t="n"/>
    </row>
    <row r="68" ht="15" customHeight="1" s="65">
      <c r="A68" s="33" t="n">
        <v>46125</v>
      </c>
      <c r="B68" t="inlineStr">
        <is>
          <t>2026-04</t>
        </is>
      </c>
      <c r="C68" t="inlineStr">
        <is>
          <t>Traslado Ñam</t>
        </is>
      </c>
      <c r="D68" t="inlineStr">
        <is>
          <t>Cabify</t>
        </is>
      </c>
      <c r="E68" s="73" t="n">
        <v>2847</v>
      </c>
      <c r="F68" t="inlineStr">
        <is>
          <t>F</t>
        </is>
      </c>
      <c r="G68" t="inlineStr">
        <is>
          <t>Debito</t>
        </is>
      </c>
      <c r="H68" t="inlineStr">
        <is>
          <t>Transporte Personas (Empleados)</t>
        </is>
      </c>
      <c r="I68" s="73">
        <f>IF(F68="F",ROUND(E68*0.19/1.19,0),0)</f>
        <v/>
      </c>
      <c r="J68" s="73">
        <f>IF(E68="","",E68-I68)</f>
        <v/>
      </c>
      <c r="K68">
        <f>+_xlfn.XLOOKUP(Tabla1[[#This Row],[Nombre Cuenta]],PLAN_CUENTAS!$B$2:$B$100,PLAN_CUENTAS!$A$2:$A$100,0,0)</f>
        <v/>
      </c>
      <c r="L68">
        <f>+_xlfn.XLOOKUP(Tabla1[[#This Row],[Nombre Cuenta]],PLAN_CUENTAS!$B$2:$B$100,PLAN_CUENTAS!$C$2:$C$100,0,0)</f>
        <v/>
      </c>
      <c r="P68" s="74" t="n"/>
    </row>
    <row r="69" ht="15" customHeight="1" s="65">
      <c r="A69" s="33" t="n">
        <v>46126</v>
      </c>
      <c r="B69" t="inlineStr">
        <is>
          <t>2026-04</t>
        </is>
      </c>
      <c r="C69" t="inlineStr">
        <is>
          <t>76.474.307-5 - Carrito Parque Araucano 1 de 3</t>
        </is>
      </c>
      <c r="D69" t="inlineStr">
        <is>
          <t>HG CONSTRUCTORA SPA</t>
        </is>
      </c>
      <c r="E69" s="73" t="n">
        <v>1000000</v>
      </c>
      <c r="F69" t="inlineStr">
        <is>
          <t>F</t>
        </is>
      </c>
      <c r="G69" t="inlineStr">
        <is>
          <t>Debito</t>
        </is>
      </c>
      <c r="H69" t="inlineStr">
        <is>
          <t>Inversión Carro</t>
        </is>
      </c>
      <c r="I69" s="73">
        <f>IF(F69="F",ROUND(E69*0.19/1.19,0),0)</f>
        <v/>
      </c>
      <c r="J69" s="73">
        <f>IF(E69="","",E69-I69)</f>
        <v/>
      </c>
      <c r="K69">
        <f>+_xlfn.XLOOKUP(Tabla1[[#This Row],[Nombre Cuenta]],PLAN_CUENTAS!$B$2:$B$100,PLAN_CUENTAS!$A$2:$A$100,0,0)</f>
        <v/>
      </c>
      <c r="L69">
        <f>+_xlfn.XLOOKUP(Tabla1[[#This Row],[Nombre Cuenta]],PLAN_CUENTAS!$B$2:$B$100,PLAN_CUENTAS!$C$2:$C$100,0,0)</f>
        <v/>
      </c>
      <c r="P69" s="74" t="n"/>
    </row>
    <row r="70" ht="15" customHeight="1" s="65">
      <c r="A70" s="33" t="n">
        <v>46126</v>
      </c>
      <c r="B70" t="inlineStr">
        <is>
          <t>2026-03</t>
        </is>
      </c>
      <c r="C70" t="inlineStr">
        <is>
          <t>77.857.789-5 - Despachos</t>
        </is>
      </c>
      <c r="D70" t="inlineStr">
        <is>
          <t>Flapp</t>
        </is>
      </c>
      <c r="E70" s="73" t="n">
        <v>678243</v>
      </c>
      <c r="F70" t="inlineStr">
        <is>
          <t>F</t>
        </is>
      </c>
      <c r="G70" t="inlineStr">
        <is>
          <t>Debito</t>
        </is>
      </c>
      <c r="H70" t="inlineStr">
        <is>
          <t>Venta B2C</t>
        </is>
      </c>
      <c r="I70" s="73">
        <f>IF(F70="F",ROUND(E70*0.19/1.19,0),0)</f>
        <v/>
      </c>
      <c r="J70" s="73">
        <f>IF(E70="","",E70-I70)</f>
        <v/>
      </c>
      <c r="K70">
        <f>+_xlfn.XLOOKUP(Tabla1[[#This Row],[Nombre Cuenta]],PLAN_CUENTAS!$B$2:$B$100,PLAN_CUENTAS!$A$2:$A$100,0,0)</f>
        <v/>
      </c>
      <c r="L70">
        <f>+_xlfn.XLOOKUP(Tabla1[[#This Row],[Nombre Cuenta]],PLAN_CUENTAS!$B$2:$B$100,PLAN_CUENTAS!$C$2:$C$100,0,0)</f>
        <v/>
      </c>
      <c r="P70" s="74" t="n"/>
    </row>
    <row r="71" ht="15" customHeight="1" s="65">
      <c r="A71" s="33" t="n">
        <v>46126</v>
      </c>
      <c r="B71" t="inlineStr">
        <is>
          <t>2026-03</t>
        </is>
      </c>
      <c r="C71" t="inlineStr">
        <is>
          <t>78.383.730-7 - Huevos Primera Blanca Granel</t>
        </is>
      </c>
      <c r="D71" t="inlineStr">
        <is>
          <t>Cintazul</t>
        </is>
      </c>
      <c r="E71" s="73" t="n">
        <v>288004</v>
      </c>
      <c r="F71" t="inlineStr">
        <is>
          <t>F</t>
        </is>
      </c>
      <c r="G71" t="inlineStr">
        <is>
          <t>Debito</t>
        </is>
      </c>
      <c r="H71" t="inlineStr">
        <is>
          <t>Ingredientes</t>
        </is>
      </c>
      <c r="I71" s="73">
        <f>IF(F71="F",ROUND(E71*0.19/1.19,0),0)</f>
        <v/>
      </c>
      <c r="J71" s="73">
        <f>IF(E71="","",E71-I71)</f>
        <v/>
      </c>
      <c r="K71">
        <f>+_xlfn.XLOOKUP(Tabla1[[#This Row],[Nombre Cuenta]],PLAN_CUENTAS!$B$2:$B$100,PLAN_CUENTAS!$A$2:$A$100,0,0)</f>
        <v/>
      </c>
      <c r="L71">
        <f>+_xlfn.XLOOKUP(Tabla1[[#This Row],[Nombre Cuenta]],PLAN_CUENTAS!$B$2:$B$100,PLAN_CUENTAS!$C$2:$C$100,0,0)</f>
        <v/>
      </c>
      <c r="P71" s="74" t="n"/>
    </row>
    <row r="72" ht="15" customHeight="1" s="65">
      <c r="A72" s="33" t="n">
        <v>46126</v>
      </c>
      <c r="B72" t="inlineStr">
        <is>
          <t>2026-03</t>
        </is>
      </c>
      <c r="C72" t="inlineStr">
        <is>
          <t>19.567.111-7 - Reembolso Pago Enel</t>
        </is>
      </c>
      <c r="D72" t="inlineStr">
        <is>
          <t>Enel</t>
        </is>
      </c>
      <c r="E72" s="73" t="n">
        <v>177966</v>
      </c>
      <c r="F72" t="inlineStr">
        <is>
          <t>F</t>
        </is>
      </c>
      <c r="G72" t="inlineStr">
        <is>
          <t>Debito</t>
        </is>
      </c>
      <c r="H72" t="inlineStr">
        <is>
          <t>Luz</t>
        </is>
      </c>
      <c r="I72" s="73">
        <f>IF(F72="F",ROUND(E72*0.19/1.19,0),0)</f>
        <v/>
      </c>
      <c r="J72" s="73">
        <f>IF(E72="","",E72-I72)</f>
        <v/>
      </c>
      <c r="K72">
        <f>+_xlfn.XLOOKUP(Tabla1[[#This Row],[Nombre Cuenta]],PLAN_CUENTAS!$B$2:$B$100,PLAN_CUENTAS!$A$2:$A$100,0,0)</f>
        <v/>
      </c>
      <c r="L72">
        <f>+_xlfn.XLOOKUP(Tabla1[[#This Row],[Nombre Cuenta]],PLAN_CUENTAS!$B$2:$B$100,PLAN_CUENTAS!$C$2:$C$100,0,0)</f>
        <v/>
      </c>
      <c r="P72" s="74" t="n"/>
    </row>
    <row r="73" ht="15" customHeight="1" s="65">
      <c r="A73" s="33" t="n">
        <v>46126</v>
      </c>
      <c r="B73" t="inlineStr">
        <is>
          <t>2026-03</t>
        </is>
      </c>
      <c r="C73" t="inlineStr">
        <is>
          <t>78.383.730-7 - Huevos Primera Blanca Granel</t>
        </is>
      </c>
      <c r="D73" t="inlineStr">
        <is>
          <t>Cintazul</t>
        </is>
      </c>
      <c r="E73" s="73" t="n">
        <v>115202</v>
      </c>
      <c r="F73" t="inlineStr">
        <is>
          <t>F</t>
        </is>
      </c>
      <c r="G73" t="inlineStr">
        <is>
          <t>Debito</t>
        </is>
      </c>
      <c r="H73" t="inlineStr">
        <is>
          <t>Ingredientes</t>
        </is>
      </c>
      <c r="I73" s="73">
        <f>IF(F73="F",ROUND(E73*0.19/1.19,0),0)</f>
        <v/>
      </c>
      <c r="J73" s="73">
        <f>IF(E73="","",E73-I73)</f>
        <v/>
      </c>
      <c r="K73">
        <f>+_xlfn.XLOOKUP(Tabla1[[#This Row],[Nombre Cuenta]],PLAN_CUENTAS!$B$2:$B$100,PLAN_CUENTAS!$A$2:$A$100,0,0)</f>
        <v/>
      </c>
      <c r="L73">
        <f>+_xlfn.XLOOKUP(Tabla1[[#This Row],[Nombre Cuenta]],PLAN_CUENTAS!$B$2:$B$100,PLAN_CUENTAS!$C$2:$C$100,0,0)</f>
        <v/>
      </c>
      <c r="P73" s="74" t="n"/>
    </row>
    <row r="74" ht="15" customHeight="1" s="65">
      <c r="A74" s="33" t="n">
        <v>46126</v>
      </c>
      <c r="B74" t="inlineStr">
        <is>
          <t>2026-03</t>
        </is>
      </c>
      <c r="C74" t="inlineStr">
        <is>
          <t>78.383.730-7 - Huevos Primera Blanca Granel</t>
        </is>
      </c>
      <c r="D74" t="inlineStr">
        <is>
          <t>Cintazul</t>
        </is>
      </c>
      <c r="E74" s="73" t="n">
        <v>86401</v>
      </c>
      <c r="F74" t="inlineStr">
        <is>
          <t>F</t>
        </is>
      </c>
      <c r="G74" t="inlineStr">
        <is>
          <t>Debito</t>
        </is>
      </c>
      <c r="H74" t="inlineStr">
        <is>
          <t>Ingredientes</t>
        </is>
      </c>
      <c r="I74" s="73">
        <f>IF(F74="F",ROUND(E74*0.19/1.19,0),0)</f>
        <v/>
      </c>
      <c r="J74" s="73">
        <f>IF(E74="","",E74-I74)</f>
        <v/>
      </c>
      <c r="K74">
        <f>+_xlfn.XLOOKUP(Tabla1[[#This Row],[Nombre Cuenta]],PLAN_CUENTAS!$B$2:$B$100,PLAN_CUENTAS!$A$2:$A$100,0,0)</f>
        <v/>
      </c>
      <c r="L74">
        <f>+_xlfn.XLOOKUP(Tabla1[[#This Row],[Nombre Cuenta]],PLAN_CUENTAS!$B$2:$B$100,PLAN_CUENTAS!$C$2:$C$100,0,0)</f>
        <v/>
      </c>
      <c r="P74" s="74" t="n"/>
    </row>
    <row r="75" ht="15" customHeight="1" s="65">
      <c r="A75" s="33" t="n">
        <v>46126</v>
      </c>
      <c r="B75" t="inlineStr">
        <is>
          <t>2026-03</t>
        </is>
      </c>
      <c r="C75" t="inlineStr">
        <is>
          <t>78.383.730-7 - Huevos Primera Blanca Granel</t>
        </is>
      </c>
      <c r="D75" t="inlineStr">
        <is>
          <t>Cintazul</t>
        </is>
      </c>
      <c r="E75" s="73" t="n">
        <v>86401</v>
      </c>
      <c r="F75" t="inlineStr">
        <is>
          <t>F</t>
        </is>
      </c>
      <c r="G75" t="inlineStr">
        <is>
          <t>Debito</t>
        </is>
      </c>
      <c r="H75" t="inlineStr">
        <is>
          <t>Ingredientes</t>
        </is>
      </c>
      <c r="I75" s="73">
        <f>IF(F75="F",ROUND(E75*0.19/1.19,0),0)</f>
        <v/>
      </c>
      <c r="J75" s="73">
        <f>IF(E75="","",E75-I75)</f>
        <v/>
      </c>
      <c r="K75">
        <f>+_xlfn.XLOOKUP(Tabla1[[#This Row],[Nombre Cuenta]],PLAN_CUENTAS!$B$2:$B$100,PLAN_CUENTAS!$A$2:$A$100,0,0)</f>
        <v/>
      </c>
      <c r="L75">
        <f>+_xlfn.XLOOKUP(Tabla1[[#This Row],[Nombre Cuenta]],PLAN_CUENTAS!$B$2:$B$100,PLAN_CUENTAS!$C$2:$C$100,0,0)</f>
        <v/>
      </c>
      <c r="P75" s="74" t="n"/>
    </row>
    <row r="76" ht="15" customHeight="1" s="65">
      <c r="A76" s="33" t="n">
        <v>46126</v>
      </c>
      <c r="B76" t="inlineStr">
        <is>
          <t>2026-04</t>
        </is>
      </c>
      <c r="C76" t="inlineStr">
        <is>
          <t>77.934.110-0 - Nutella Balde 6 kilos</t>
        </is>
      </c>
      <c r="D76" t="inlineStr">
        <is>
          <t>Alca Chile</t>
        </is>
      </c>
      <c r="E76" s="73" t="n">
        <v>80301</v>
      </c>
      <c r="F76" t="inlineStr">
        <is>
          <t>F</t>
        </is>
      </c>
      <c r="G76" t="inlineStr">
        <is>
          <t>Debito</t>
        </is>
      </c>
      <c r="H76" t="inlineStr">
        <is>
          <t>Ingredientes</t>
        </is>
      </c>
      <c r="I76" s="73">
        <f>IF(F76="F",ROUND(E76*0.19/1.19,0),0)</f>
        <v/>
      </c>
      <c r="J76" s="73">
        <f>IF(E76="","",E76-I76)</f>
        <v/>
      </c>
      <c r="K76">
        <f>+_xlfn.XLOOKUP(Tabla1[[#This Row],[Nombre Cuenta]],PLAN_CUENTAS!$B$2:$B$100,PLAN_CUENTAS!$A$2:$A$100,0,0)</f>
        <v/>
      </c>
      <c r="L76">
        <f>+_xlfn.XLOOKUP(Tabla1[[#This Row],[Nombre Cuenta]],PLAN_CUENTAS!$B$2:$B$100,PLAN_CUENTAS!$C$2:$C$100,0,0)</f>
        <v/>
      </c>
      <c r="P76" s="74" t="n"/>
    </row>
    <row r="77" ht="15" customHeight="1" s="65">
      <c r="A77" s="33" t="n">
        <v>46126</v>
      </c>
      <c r="B77" t="inlineStr">
        <is>
          <t>2026-04</t>
        </is>
      </c>
      <c r="C77" t="inlineStr">
        <is>
          <t>Sueldo - 21.920.200-8 Cata Arriagada Adelanto</t>
        </is>
      </c>
      <c r="E77" s="73" t="n">
        <v>50000</v>
      </c>
      <c r="G77" t="inlineStr">
        <is>
          <t>Debito</t>
        </is>
      </c>
      <c r="H77" t="inlineStr">
        <is>
          <t>Honorarios</t>
        </is>
      </c>
      <c r="I77" s="73">
        <f>IF(F77="F",ROUND(E77*0.19/1.19,0),0)</f>
        <v/>
      </c>
      <c r="J77" s="73">
        <f>IF(E77="","",E77-I77)</f>
        <v/>
      </c>
      <c r="K77">
        <f>+_xlfn.XLOOKUP(Tabla1[[#This Row],[Nombre Cuenta]],PLAN_CUENTAS!$B$2:$B$100,PLAN_CUENTAS!$A$2:$A$100,0,0)</f>
        <v/>
      </c>
      <c r="L77">
        <f>+_xlfn.XLOOKUP(Tabla1[[#This Row],[Nombre Cuenta]],PLAN_CUENTAS!$B$2:$B$100,PLAN_CUENTAS!$C$2:$C$100,0,0)</f>
        <v/>
      </c>
      <c r="P77" s="74" t="n"/>
    </row>
    <row r="78" ht="15" customHeight="1" s="65">
      <c r="A78" s="33" t="n">
        <v>46126</v>
      </c>
      <c r="B78" t="inlineStr">
        <is>
          <t>2026-04</t>
        </is>
      </c>
      <c r="C78" t="inlineStr">
        <is>
          <t>Compra OPENAI *CHATGPT S</t>
        </is>
      </c>
      <c r="D78" t="inlineStr">
        <is>
          <t xml:space="preserve">CHATGPT </t>
        </is>
      </c>
      <c r="E78" s="73" t="n">
        <v>22007</v>
      </c>
      <c r="G78" t="inlineStr">
        <is>
          <t>Debito</t>
        </is>
      </c>
      <c r="H78" t="inlineStr">
        <is>
          <t>Plataformas Digitales</t>
        </is>
      </c>
      <c r="I78" s="73">
        <f>IF(F78="F",ROUND(E78*0.19/1.19,0),0)</f>
        <v/>
      </c>
      <c r="J78" s="73">
        <f>IF(E78="","",E78-I78)</f>
        <v/>
      </c>
      <c r="K78">
        <f>+_xlfn.XLOOKUP(Tabla1[[#This Row],[Nombre Cuenta]],PLAN_CUENTAS!$B$2:$B$100,PLAN_CUENTAS!$A$2:$A$100,0,0)</f>
        <v/>
      </c>
      <c r="L78">
        <f>+_xlfn.XLOOKUP(Tabla1[[#This Row],[Nombre Cuenta]],PLAN_CUENTAS!$B$2:$B$100,PLAN_CUENTAS!$C$2:$C$100,0,0)</f>
        <v/>
      </c>
      <c r="P78" s="74" t="n"/>
    </row>
    <row r="79" ht="15" customHeight="1" s="65">
      <c r="A79" s="33" t="n">
        <v>46126</v>
      </c>
      <c r="B79" t="inlineStr">
        <is>
          <t>2026-04</t>
        </is>
      </c>
      <c r="C79" t="inlineStr">
        <is>
          <t>18.831.462-7 - Almuerzo Ñam Kathy</t>
        </is>
      </c>
      <c r="E79" s="73" t="n">
        <v>12000</v>
      </c>
      <c r="F79" t="inlineStr">
        <is>
          <t>S</t>
        </is>
      </c>
      <c r="G79" t="inlineStr">
        <is>
          <t>Debito</t>
        </is>
      </c>
      <c r="H79" t="inlineStr">
        <is>
          <t>Ferias y Eventos</t>
        </is>
      </c>
      <c r="I79" s="73">
        <f>IF(F79="F",ROUND(E79*0.19/1.19,0),0)</f>
        <v/>
      </c>
      <c r="J79" s="73">
        <f>IF(E79="","",E79-I79)</f>
        <v/>
      </c>
      <c r="K79">
        <f>+_xlfn.XLOOKUP(Tabla1[[#This Row],[Nombre Cuenta]],PLAN_CUENTAS!$B$2:$B$100,PLAN_CUENTAS!$A$2:$A$100,0,0)</f>
        <v/>
      </c>
      <c r="L79">
        <f>+_xlfn.XLOOKUP(Tabla1[[#This Row],[Nombre Cuenta]],PLAN_CUENTAS!$B$2:$B$100,PLAN_CUENTAS!$C$2:$C$100,0,0)</f>
        <v/>
      </c>
      <c r="P79" s="74" t="n"/>
    </row>
    <row r="80" ht="15" customHeight="1" s="65">
      <c r="A80" s="33" t="n">
        <v>46127</v>
      </c>
      <c r="B80" t="inlineStr">
        <is>
          <t>2026-04</t>
        </is>
      </c>
      <c r="C80" t="inlineStr">
        <is>
          <t>77.361.009-6 - Azucar Granulada</t>
        </is>
      </c>
      <c r="D80" t="inlineStr">
        <is>
          <t>El Pistacho Spa</t>
        </is>
      </c>
      <c r="E80" s="73" t="n">
        <v>107100</v>
      </c>
      <c r="F80" t="inlineStr">
        <is>
          <t>F</t>
        </is>
      </c>
      <c r="G80" t="inlineStr">
        <is>
          <t>Debito</t>
        </is>
      </c>
      <c r="H80" t="inlineStr">
        <is>
          <t>Ingredientes</t>
        </is>
      </c>
      <c r="I80" s="73">
        <f>IF(F80="F",ROUND(E80*0.19/1.19,0),0)</f>
        <v/>
      </c>
      <c r="J80" s="73">
        <f>IF(E80="","",E80-I80)</f>
        <v/>
      </c>
      <c r="K80">
        <f>+_xlfn.XLOOKUP(Tabla1[[#This Row],[Nombre Cuenta]],PLAN_CUENTAS!$B$2:$B$100,PLAN_CUENTAS!$A$2:$A$100,0,0)</f>
        <v/>
      </c>
      <c r="L80">
        <f>+_xlfn.XLOOKUP(Tabla1[[#This Row],[Nombre Cuenta]],PLAN_CUENTAS!$B$2:$B$100,PLAN_CUENTAS!$C$2:$C$100,0,0)</f>
        <v/>
      </c>
      <c r="P80" s="74" t="n"/>
    </row>
    <row r="81" ht="15" customHeight="1" s="65">
      <c r="A81" s="33" t="n">
        <v>46127</v>
      </c>
      <c r="B81" t="inlineStr">
        <is>
          <t>2026-04</t>
        </is>
      </c>
      <c r="C81" t="inlineStr">
        <is>
          <t>76.467.151-1 - Jugos Bless Naranja y Pepino</t>
        </is>
      </c>
      <c r="D81" t="inlineStr">
        <is>
          <t xml:space="preserve">Bless </t>
        </is>
      </c>
      <c r="E81" s="73" t="n">
        <v>34558</v>
      </c>
      <c r="F81" t="inlineStr">
        <is>
          <t>F</t>
        </is>
      </c>
      <c r="G81" t="inlineStr">
        <is>
          <t>Debito</t>
        </is>
      </c>
      <c r="H81" t="inlineStr">
        <is>
          <t>Ingredientes</t>
        </is>
      </c>
      <c r="I81" s="73">
        <f>IF(F81="F",ROUND(E81*0.19/1.19,0),0)</f>
        <v/>
      </c>
      <c r="J81" s="73">
        <f>IF(E81="","",E81-I81)</f>
        <v/>
      </c>
      <c r="K81">
        <f>+_xlfn.XLOOKUP(Tabla1[[#This Row],[Nombre Cuenta]],PLAN_CUENTAS!$B$2:$B$100,PLAN_CUENTAS!$A$2:$A$100,0,0)</f>
        <v/>
      </c>
      <c r="L81">
        <f>+_xlfn.XLOOKUP(Tabla1[[#This Row],[Nombre Cuenta]],PLAN_CUENTAS!$B$2:$B$100,PLAN_CUENTAS!$C$2:$C$100,0,0)</f>
        <v/>
      </c>
      <c r="P81" s="74" t="n"/>
    </row>
    <row r="82" ht="15" customHeight="1" s="65">
      <c r="A82" s="33" t="n">
        <v>46128</v>
      </c>
      <c r="B82" t="inlineStr">
        <is>
          <t>2026-04</t>
        </is>
      </c>
      <c r="C82" t="inlineStr">
        <is>
          <t>76.474.307-5 - Carrito Parque Araucano 1 de 3</t>
        </is>
      </c>
      <c r="D82" t="inlineStr">
        <is>
          <t>HG CONSTRUCTORA SPA</t>
        </is>
      </c>
      <c r="E82" s="73" t="n">
        <v>1616667</v>
      </c>
      <c r="F82" t="inlineStr">
        <is>
          <t>F</t>
        </is>
      </c>
      <c r="G82" t="inlineStr">
        <is>
          <t>Debito</t>
        </is>
      </c>
      <c r="H82" t="inlineStr">
        <is>
          <t>Inversión Carro</t>
        </is>
      </c>
      <c r="I82" s="73">
        <f>IF(F82="F",ROUND(E82*0.19/1.19,0),0)</f>
        <v/>
      </c>
      <c r="J82" s="73">
        <f>IF(E82="","",E82-I82)</f>
        <v/>
      </c>
      <c r="K82">
        <f>+_xlfn.XLOOKUP(Tabla1[[#This Row],[Nombre Cuenta]],PLAN_CUENTAS!$B$2:$B$100,PLAN_CUENTAS!$A$2:$A$100,0,0)</f>
        <v/>
      </c>
      <c r="L82">
        <f>+_xlfn.XLOOKUP(Tabla1[[#This Row],[Nombre Cuenta]],PLAN_CUENTAS!$B$2:$B$100,PLAN_CUENTAS!$C$2:$C$100,0,0)</f>
        <v/>
      </c>
      <c r="P82" s="74" t="n"/>
    </row>
    <row r="83" ht="15" customHeight="1" s="65">
      <c r="A83" s="33" t="n">
        <v>46128</v>
      </c>
      <c r="B83" t="inlineStr">
        <is>
          <t>2026-04</t>
        </is>
      </c>
      <c r="C83" t="inlineStr">
        <is>
          <t>Sueldo 21.093.602-5 - Nataly Morales (Adelanto)</t>
        </is>
      </c>
      <c r="E83" s="73" t="n">
        <v>300000</v>
      </c>
      <c r="G83" t="inlineStr">
        <is>
          <t>Debito</t>
        </is>
      </c>
      <c r="H83" t="inlineStr">
        <is>
          <t>Sueldos con Contrato</t>
        </is>
      </c>
      <c r="I83" s="73">
        <f>IF(F83="F",ROUND(E83*0.19/1.19,0),0)</f>
        <v/>
      </c>
      <c r="J83" s="73">
        <f>IF(E83="","",E83-I83)</f>
        <v/>
      </c>
      <c r="K83">
        <f>+_xlfn.XLOOKUP(Tabla1[[#This Row],[Nombre Cuenta]],PLAN_CUENTAS!$B$2:$B$100,PLAN_CUENTAS!$A$2:$A$100,0,0)</f>
        <v/>
      </c>
      <c r="L83">
        <f>+_xlfn.XLOOKUP(Tabla1[[#This Row],[Nombre Cuenta]],PLAN_CUENTAS!$B$2:$B$100,PLAN_CUENTAS!$C$2:$C$100,0,0)</f>
        <v/>
      </c>
      <c r="P83" s="74" t="n"/>
    </row>
    <row r="84" ht="15" customHeight="1" s="65">
      <c r="A84" s="33" t="n">
        <v>46128</v>
      </c>
      <c r="B84" t="inlineStr">
        <is>
          <t>2026-04</t>
        </is>
      </c>
      <c r="C84" t="inlineStr">
        <is>
          <t>Ñam 21.575.375-1 - Martina Jorquera</t>
        </is>
      </c>
      <c r="E84" s="73" t="n">
        <v>75000</v>
      </c>
      <c r="G84" t="inlineStr">
        <is>
          <t>Debito</t>
        </is>
      </c>
      <c r="H84" t="inlineStr">
        <is>
          <t>Honorarios</t>
        </is>
      </c>
      <c r="I84" s="73">
        <f>IF(F84="F",ROUND(E84*0.19/1.19,0),0)</f>
        <v/>
      </c>
      <c r="J84" s="73">
        <f>IF(E84="","",E84-I84)</f>
        <v/>
      </c>
      <c r="K84">
        <f>+_xlfn.XLOOKUP(Tabla1[[#This Row],[Nombre Cuenta]],PLAN_CUENTAS!$B$2:$B$100,PLAN_CUENTAS!$A$2:$A$100,0,0)</f>
        <v/>
      </c>
      <c r="L84">
        <f>+_xlfn.XLOOKUP(Tabla1[[#This Row],[Nombre Cuenta]],PLAN_CUENTAS!$B$2:$B$100,PLAN_CUENTAS!$C$2:$C$100,0,0)</f>
        <v/>
      </c>
      <c r="P84" s="74" t="n"/>
    </row>
    <row r="85" ht="15" customHeight="1" s="65">
      <c r="A85" s="33" t="n">
        <v>46128</v>
      </c>
      <c r="B85" t="inlineStr">
        <is>
          <t>2026-04</t>
        </is>
      </c>
      <c r="C85" t="inlineStr">
        <is>
          <t>Ñam 21.780.804-9 - Isidora Rodriguez</t>
        </is>
      </c>
      <c r="E85" s="73" t="n">
        <v>75000</v>
      </c>
      <c r="G85" t="inlineStr">
        <is>
          <t>Debito</t>
        </is>
      </c>
      <c r="H85" t="inlineStr">
        <is>
          <t>Honorarios</t>
        </is>
      </c>
      <c r="I85" s="73">
        <f>IF(F85="F",ROUND(E85*0.19/1.19,0),0)</f>
        <v/>
      </c>
      <c r="J85" s="73">
        <f>IF(E85="","",E85-I85)</f>
        <v/>
      </c>
      <c r="K85">
        <f>+_xlfn.XLOOKUP(Tabla1[[#This Row],[Nombre Cuenta]],PLAN_CUENTAS!$B$2:$B$100,PLAN_CUENTAS!$A$2:$A$100,0,0)</f>
        <v/>
      </c>
      <c r="L85">
        <f>+_xlfn.XLOOKUP(Tabla1[[#This Row],[Nombre Cuenta]],PLAN_CUENTAS!$B$2:$B$100,PLAN_CUENTAS!$C$2:$C$100,0,0)</f>
        <v/>
      </c>
      <c r="P85" s="74" t="n"/>
    </row>
    <row r="86" ht="15" customHeight="1" s="65">
      <c r="A86" s="33" t="n">
        <v>46128</v>
      </c>
      <c r="B86" t="inlineStr">
        <is>
          <t>2026-04</t>
        </is>
      </c>
      <c r="C86" t="inlineStr">
        <is>
          <t>Ñam 21.380.644-0 - Elizabeth Caceres</t>
        </is>
      </c>
      <c r="E86" s="73" t="n">
        <v>75000</v>
      </c>
      <c r="G86" t="inlineStr">
        <is>
          <t>Debito</t>
        </is>
      </c>
      <c r="H86" t="inlineStr">
        <is>
          <t>Honorarios</t>
        </is>
      </c>
      <c r="I86" s="73">
        <f>IF(F86="F",ROUND(E86*0.19/1.19,0),0)</f>
        <v/>
      </c>
      <c r="J86" s="73">
        <f>IF(E86="","",E86-I86)</f>
        <v/>
      </c>
      <c r="K86">
        <f>+_xlfn.XLOOKUP(Tabla1[[#This Row],[Nombre Cuenta]],PLAN_CUENTAS!$B$2:$B$100,PLAN_CUENTAS!$A$2:$A$100,0,0)</f>
        <v/>
      </c>
      <c r="L86">
        <f>+_xlfn.XLOOKUP(Tabla1[[#This Row],[Nombre Cuenta]],PLAN_CUENTAS!$B$2:$B$100,PLAN_CUENTAS!$C$2:$C$100,0,0)</f>
        <v/>
      </c>
      <c r="P86" s="74" t="n"/>
    </row>
    <row r="87" ht="15" customHeight="1" s="65">
      <c r="A87" s="33" t="n">
        <v>46128</v>
      </c>
      <c r="B87" t="inlineStr">
        <is>
          <t>2026-04</t>
        </is>
      </c>
      <c r="C87" t="inlineStr">
        <is>
          <t>Ñam 21.572.942-7 - Almendra Angelini</t>
        </is>
      </c>
      <c r="E87" s="73" t="n">
        <v>50000</v>
      </c>
      <c r="G87" t="inlineStr">
        <is>
          <t>Debito</t>
        </is>
      </c>
      <c r="H87" t="inlineStr">
        <is>
          <t>Honorarios</t>
        </is>
      </c>
      <c r="I87" s="73">
        <f>IF(F87="F",ROUND(E87*0.19/1.19,0),0)</f>
        <v/>
      </c>
      <c r="J87" s="73">
        <f>IF(E87="","",E87-I87)</f>
        <v/>
      </c>
      <c r="K87">
        <f>+_xlfn.XLOOKUP(Tabla1[[#This Row],[Nombre Cuenta]],PLAN_CUENTAS!$B$2:$B$100,PLAN_CUENTAS!$A$2:$A$100,0,0)</f>
        <v/>
      </c>
      <c r="L87">
        <f>+_xlfn.XLOOKUP(Tabla1[[#This Row],[Nombre Cuenta]],PLAN_CUENTAS!$B$2:$B$100,PLAN_CUENTAS!$C$2:$C$100,0,0)</f>
        <v/>
      </c>
      <c r="P87" s="74" t="n"/>
    </row>
    <row r="88" ht="15" customHeight="1" s="65">
      <c r="A88" s="33" t="n">
        <v>46128</v>
      </c>
      <c r="B88" t="inlineStr">
        <is>
          <t>2026-04</t>
        </is>
      </c>
      <c r="C88" t="inlineStr">
        <is>
          <t>Bolsas de basura 3 tamaños</t>
        </is>
      </c>
      <c r="D88" t="inlineStr">
        <is>
          <t>Mercadolibre</t>
        </is>
      </c>
      <c r="E88" s="73" t="n">
        <v>30200</v>
      </c>
      <c r="F88" t="inlineStr">
        <is>
          <t>F</t>
        </is>
      </c>
      <c r="G88" t="inlineStr">
        <is>
          <t>Debito</t>
        </is>
      </c>
      <c r="H88" t="inlineStr">
        <is>
          <t>Equipamiento de Cocina</t>
        </is>
      </c>
      <c r="I88" s="73">
        <f>IF(F88="F",ROUND(E88*0.19/1.19,0),0)</f>
        <v/>
      </c>
      <c r="J88" s="73">
        <f>IF(E88="","",E88-I88)</f>
        <v/>
      </c>
      <c r="K88">
        <f>+_xlfn.XLOOKUP(Tabla1[[#This Row],[Nombre Cuenta]],PLAN_CUENTAS!$B$2:$B$100,PLAN_CUENTAS!$A$2:$A$100,0,0)</f>
        <v/>
      </c>
      <c r="L88">
        <f>+_xlfn.XLOOKUP(Tabla1[[#This Row],[Nombre Cuenta]],PLAN_CUENTAS!$B$2:$B$100,PLAN_CUENTAS!$C$2:$C$100,0,0)</f>
        <v/>
      </c>
      <c r="P88" s="74" t="n"/>
    </row>
    <row r="89" ht="15" customHeight="1" s="65">
      <c r="A89" s="33" t="n">
        <v>46128</v>
      </c>
      <c r="B89" t="inlineStr">
        <is>
          <t>2026-04</t>
        </is>
      </c>
      <c r="C89" t="inlineStr">
        <is>
          <t>10.325.328-4 - Patricia Guijuelos</t>
        </is>
      </c>
      <c r="E89" s="73" t="n">
        <v>26484</v>
      </c>
      <c r="G89" t="inlineStr">
        <is>
          <t>Debito</t>
        </is>
      </c>
      <c r="H89" t="inlineStr">
        <is>
          <t>Honorarios</t>
        </is>
      </c>
      <c r="I89" s="73">
        <f>IF(F89="F",ROUND(E89*0.19/1.19,0),0)</f>
        <v/>
      </c>
      <c r="J89" s="73">
        <f>IF(E89="","",E89-I89)</f>
        <v/>
      </c>
      <c r="K89">
        <f>+_xlfn.XLOOKUP(Tabla1[[#This Row],[Nombre Cuenta]],PLAN_CUENTAS!$B$2:$B$100,PLAN_CUENTAS!$A$2:$A$100,0,0)</f>
        <v/>
      </c>
      <c r="L89">
        <f>+_xlfn.XLOOKUP(Tabla1[[#This Row],[Nombre Cuenta]],PLAN_CUENTAS!$B$2:$B$100,PLAN_CUENTAS!$C$2:$C$100,0,0)</f>
        <v/>
      </c>
      <c r="P89" s="74" t="n"/>
    </row>
    <row r="90" ht="15" customHeight="1" s="65">
      <c r="A90" s="33" t="n">
        <v>46128</v>
      </c>
      <c r="B90" t="inlineStr">
        <is>
          <t>2026-04</t>
        </is>
      </c>
      <c r="C90" t="inlineStr">
        <is>
          <t>Ñam 20.550.382-k - Veronica Alvarez</t>
        </is>
      </c>
      <c r="E90" s="73" t="n">
        <v>25000</v>
      </c>
      <c r="G90" t="inlineStr">
        <is>
          <t>Debito</t>
        </is>
      </c>
      <c r="H90" t="inlineStr">
        <is>
          <t>Honorarios</t>
        </is>
      </c>
      <c r="I90" s="73">
        <f>IF(F90="F",ROUND(E90*0.19/1.19,0),0)</f>
        <v/>
      </c>
      <c r="J90" s="73">
        <f>IF(E90="","",E90-I90)</f>
        <v/>
      </c>
      <c r="K90">
        <f>+_xlfn.XLOOKUP(Tabla1[[#This Row],[Nombre Cuenta]],PLAN_CUENTAS!$B$2:$B$100,PLAN_CUENTAS!$A$2:$A$100,0,0)</f>
        <v/>
      </c>
      <c r="L90">
        <f>+_xlfn.XLOOKUP(Tabla1[[#This Row],[Nombre Cuenta]],PLAN_CUENTAS!$B$2:$B$100,PLAN_CUENTAS!$C$2:$C$100,0,0)</f>
        <v/>
      </c>
      <c r="P90" s="74" t="n"/>
    </row>
    <row r="91" ht="15" customHeight="1" s="65">
      <c r="A91" s="33" t="n">
        <v>46128</v>
      </c>
      <c r="B91" t="inlineStr">
        <is>
          <t>2026-04</t>
        </is>
      </c>
      <c r="C91" t="inlineStr">
        <is>
          <t>Ñam 21.093.602-5 - Nataly Morales</t>
        </is>
      </c>
      <c r="E91" s="73" t="n">
        <v>25000</v>
      </c>
      <c r="G91" t="inlineStr">
        <is>
          <t>Debito</t>
        </is>
      </c>
      <c r="H91" t="inlineStr">
        <is>
          <t>Honorarios</t>
        </is>
      </c>
      <c r="I91" s="73">
        <f>IF(F91="F",ROUND(E91*0.19/1.19,0),0)</f>
        <v/>
      </c>
      <c r="J91" s="73">
        <f>IF(E91="","",E91-I91)</f>
        <v/>
      </c>
      <c r="K91">
        <f>+_xlfn.XLOOKUP(Tabla1[[#This Row],[Nombre Cuenta]],PLAN_CUENTAS!$B$2:$B$100,PLAN_CUENTAS!$A$2:$A$100,0,0)</f>
        <v/>
      </c>
      <c r="L91">
        <f>+_xlfn.XLOOKUP(Tabla1[[#This Row],[Nombre Cuenta]],PLAN_CUENTAS!$B$2:$B$100,PLAN_CUENTAS!$C$2:$C$100,0,0)</f>
        <v/>
      </c>
      <c r="P91" s="74" t="n"/>
    </row>
    <row r="92" ht="15" customHeight="1" s="65">
      <c r="A92" s="33" t="n">
        <v>46128</v>
      </c>
      <c r="B92" t="inlineStr">
        <is>
          <t>2026-04</t>
        </is>
      </c>
      <c r="C92" t="inlineStr">
        <is>
          <t>Ñam 18.866.000-2 - Camila Aguilera</t>
        </is>
      </c>
      <c r="E92" s="73" t="n">
        <v>25000</v>
      </c>
      <c r="G92" t="inlineStr">
        <is>
          <t>Debito</t>
        </is>
      </c>
      <c r="H92" t="inlineStr">
        <is>
          <t>Honorarios</t>
        </is>
      </c>
      <c r="I92" s="73">
        <f>IF(F92="F",ROUND(E92*0.19/1.19,0),0)</f>
        <v/>
      </c>
      <c r="J92" s="73">
        <f>IF(E92="","",E92-I92)</f>
        <v/>
      </c>
      <c r="K92">
        <f>+_xlfn.XLOOKUP(Tabla1[[#This Row],[Nombre Cuenta]],PLAN_CUENTAS!$B$2:$B$100,PLAN_CUENTAS!$A$2:$A$100,0,0)</f>
        <v/>
      </c>
      <c r="L92">
        <f>+_xlfn.XLOOKUP(Tabla1[[#This Row],[Nombre Cuenta]],PLAN_CUENTAS!$B$2:$B$100,PLAN_CUENTAS!$C$2:$C$100,0,0)</f>
        <v/>
      </c>
      <c r="P92" s="74" t="n"/>
    </row>
    <row r="93" ht="15" customHeight="1" s="65">
      <c r="A93" s="33" t="n">
        <v>46128</v>
      </c>
      <c r="B93" t="inlineStr">
        <is>
          <t>2026-04</t>
        </is>
      </c>
      <c r="C93" t="inlineStr">
        <is>
          <t>Compra OPENAI *CHATGPT S</t>
        </is>
      </c>
      <c r="D93" t="inlineStr">
        <is>
          <t xml:space="preserve">CHATGPT </t>
        </is>
      </c>
      <c r="E93" s="73" t="n">
        <v>18190</v>
      </c>
      <c r="G93" t="inlineStr">
        <is>
          <t>Debito</t>
        </is>
      </c>
      <c r="H93" t="inlineStr">
        <is>
          <t>Plataformas Digitales</t>
        </is>
      </c>
      <c r="I93" s="73">
        <f>IF(F93="F",ROUND(E93*0.19/1.19,0),0)</f>
        <v/>
      </c>
      <c r="J93" s="73">
        <f>IF(E93="","",E93-I93)</f>
        <v/>
      </c>
      <c r="K93">
        <f>+_xlfn.XLOOKUP(Tabla1[[#This Row],[Nombre Cuenta]],PLAN_CUENTAS!$B$2:$B$100,PLAN_CUENTAS!$A$2:$A$100,0,0)</f>
        <v/>
      </c>
      <c r="L93">
        <f>+_xlfn.XLOOKUP(Tabla1[[#This Row],[Nombre Cuenta]],PLAN_CUENTAS!$B$2:$B$100,PLAN_CUENTAS!$C$2:$C$100,0,0)</f>
        <v/>
      </c>
      <c r="P93" s="74" t="n"/>
    </row>
    <row r="94" ht="15" customHeight="1" s="65">
      <c r="A94" s="33" t="n">
        <v>46129</v>
      </c>
      <c r="B94" t="inlineStr">
        <is>
          <t>2026-04</t>
        </is>
      </c>
      <c r="C94" t="inlineStr">
        <is>
          <t>Compra Shopify* 51721300</t>
        </is>
      </c>
      <c r="D94" t="inlineStr">
        <is>
          <t>Shopify</t>
        </is>
      </c>
      <c r="E94" s="73" t="n">
        <v>146887</v>
      </c>
      <c r="G94" t="inlineStr">
        <is>
          <t>Debito</t>
        </is>
      </c>
      <c r="H94" t="inlineStr">
        <is>
          <t>Plataformas Digitales</t>
        </is>
      </c>
      <c r="I94" s="73">
        <f>IF(F94="F",ROUND(E94*0.19/1.19,0),0)</f>
        <v/>
      </c>
      <c r="J94" s="73">
        <f>IF(E94="","",E94-I94)</f>
        <v/>
      </c>
      <c r="K94">
        <f>+_xlfn.XLOOKUP(Tabla1[[#This Row],[Nombre Cuenta]],PLAN_CUENTAS!$B$2:$B$100,PLAN_CUENTAS!$A$2:$A$100,0,0)</f>
        <v/>
      </c>
      <c r="L94">
        <f>+_xlfn.XLOOKUP(Tabla1[[#This Row],[Nombre Cuenta]],PLAN_CUENTAS!$B$2:$B$100,PLAN_CUENTAS!$C$2:$C$100,0,0)</f>
        <v/>
      </c>
      <c r="P94" s="74" t="n"/>
    </row>
    <row r="95" ht="15" customHeight="1" s="65">
      <c r="A95" s="33" t="n">
        <v>46129</v>
      </c>
      <c r="B95" t="inlineStr">
        <is>
          <t>2026-03</t>
        </is>
      </c>
      <c r="C95" t="inlineStr">
        <is>
          <t xml:space="preserve"> PAC Telefonica 00000141814606 - Hogar</t>
        </is>
      </c>
      <c r="D95" t="inlineStr">
        <is>
          <t>Movistar</t>
        </is>
      </c>
      <c r="E95" s="73" t="n">
        <v>18237</v>
      </c>
      <c r="F95" t="inlineStr">
        <is>
          <t>F</t>
        </is>
      </c>
      <c r="G95" t="inlineStr">
        <is>
          <t>Debito</t>
        </is>
      </c>
      <c r="H95" t="inlineStr">
        <is>
          <t>Telecomunicaciones</t>
        </is>
      </c>
      <c r="I95" s="73">
        <f>IF(F95="F",ROUND(E95*0.19/1.19,0),0)</f>
        <v/>
      </c>
      <c r="J95" s="73">
        <f>IF(E95="","",E95-I95)</f>
        <v/>
      </c>
      <c r="K95">
        <f>+_xlfn.XLOOKUP(Tabla1[[#This Row],[Nombre Cuenta]],PLAN_CUENTAS!$B$2:$B$100,PLAN_CUENTAS!$A$2:$A$100,0,0)</f>
        <v/>
      </c>
      <c r="L95">
        <f>+_xlfn.XLOOKUP(Tabla1[[#This Row],[Nombre Cuenta]],PLAN_CUENTAS!$B$2:$B$100,PLAN_CUENTAS!$C$2:$C$100,0,0)</f>
        <v/>
      </c>
      <c r="P95" s="74" t="n"/>
    </row>
    <row r="96" ht="15" customHeight="1" s="65">
      <c r="A96" s="33" t="n">
        <v>46129</v>
      </c>
      <c r="B96" t="inlineStr">
        <is>
          <t>2026-03</t>
        </is>
      </c>
      <c r="C96" t="inlineStr">
        <is>
          <t xml:space="preserve"> PAC Movistar 00000141816185 - Celular</t>
        </is>
      </c>
      <c r="D96" t="inlineStr">
        <is>
          <t>Movistar</t>
        </is>
      </c>
      <c r="E96" s="73" t="n">
        <v>17265</v>
      </c>
      <c r="F96" t="inlineStr">
        <is>
          <t>F</t>
        </is>
      </c>
      <c r="G96" t="inlineStr">
        <is>
          <t>Debito</t>
        </is>
      </c>
      <c r="H96" t="inlineStr">
        <is>
          <t>Telecomunicaciones</t>
        </is>
      </c>
      <c r="I96" s="73">
        <f>IF(F96="F",ROUND(E96*0.19/1.19,0),0)</f>
        <v/>
      </c>
      <c r="J96" s="73">
        <f>IF(E96="","",E96-I96)</f>
        <v/>
      </c>
      <c r="K96">
        <f>+_xlfn.XLOOKUP(Tabla1[[#This Row],[Nombre Cuenta]],PLAN_CUENTAS!$B$2:$B$100,PLAN_CUENTAS!$A$2:$A$100,0,0)</f>
        <v/>
      </c>
      <c r="L96">
        <f>+_xlfn.XLOOKUP(Tabla1[[#This Row],[Nombre Cuenta]],PLAN_CUENTAS!$B$2:$B$100,PLAN_CUENTAS!$C$2:$C$100,0,0)</f>
        <v/>
      </c>
      <c r="P96" s="74" t="n"/>
    </row>
    <row r="97" ht="15" customHeight="1" s="65">
      <c r="A97" s="33" t="n">
        <v>46132</v>
      </c>
      <c r="B97" t="inlineStr">
        <is>
          <t>2026-03</t>
        </is>
      </c>
      <c r="C97" t="inlineStr">
        <is>
          <t>PAGO EN LINEA S.I.I.</t>
        </is>
      </c>
      <c r="D97" t="inlineStr">
        <is>
          <t>SII</t>
        </is>
      </c>
      <c r="E97" s="73" t="n">
        <v>1589542</v>
      </c>
      <c r="G97" t="inlineStr">
        <is>
          <t>Debito</t>
        </is>
      </c>
      <c r="H97" t="inlineStr">
        <is>
          <t>IVA Neto (F29)</t>
        </is>
      </c>
      <c r="I97" s="73">
        <f>IF(F97="F",ROUND(E97*0.19/1.19,0),0)</f>
        <v/>
      </c>
      <c r="J97" s="73">
        <f>IF(E97="","",E97-I97)</f>
        <v/>
      </c>
      <c r="K97">
        <f>+_xlfn.XLOOKUP(Tabla1[[#This Row],[Nombre Cuenta]],PLAN_CUENTAS!$B$2:$B$100,PLAN_CUENTAS!$A$2:$A$100,0,0)</f>
        <v/>
      </c>
      <c r="L97">
        <f>+_xlfn.XLOOKUP(Tabla1[[#This Row],[Nombre Cuenta]],PLAN_CUENTAS!$B$2:$B$100,PLAN_CUENTAS!$C$2:$C$100,0,0)</f>
        <v/>
      </c>
      <c r="P97" s="74" t="n"/>
    </row>
    <row r="98" ht="15" customHeight="1" s="65">
      <c r="A98" s="33" t="n">
        <v>46132</v>
      </c>
      <c r="B98" t="inlineStr">
        <is>
          <t>2026-04</t>
        </is>
      </c>
      <c r="C98" t="inlineStr">
        <is>
          <t>16.716.491-9 - Carrito Parque Araucano 30%</t>
        </is>
      </c>
      <c r="D98" t="inlineStr">
        <is>
          <t>Raul Velasquez</t>
        </is>
      </c>
      <c r="E98" s="73" t="n">
        <v>345660</v>
      </c>
      <c r="F98" t="inlineStr">
        <is>
          <t>F</t>
        </is>
      </c>
      <c r="G98" t="inlineStr">
        <is>
          <t>Debito</t>
        </is>
      </c>
      <c r="H98" t="inlineStr">
        <is>
          <t>Inversión Carro</t>
        </is>
      </c>
      <c r="I98" s="73">
        <f>IF(F98="F",ROUND(E98*0.19/1.19,0),0)</f>
        <v/>
      </c>
      <c r="J98" s="73">
        <f>IF(E98="","",E98-I98)</f>
        <v/>
      </c>
      <c r="K98">
        <f>+_xlfn.XLOOKUP(Tabla1[[#This Row],[Nombre Cuenta]],PLAN_CUENTAS!$B$2:$B$100,PLAN_CUENTAS!$A$2:$A$100,0,0)</f>
        <v/>
      </c>
      <c r="L98">
        <f>+_xlfn.XLOOKUP(Tabla1[[#This Row],[Nombre Cuenta]],PLAN_CUENTAS!$B$2:$B$100,PLAN_CUENTAS!$C$2:$C$100,0,0)</f>
        <v/>
      </c>
      <c r="P98" s="74" t="n"/>
    </row>
    <row r="99" ht="15" customHeight="1" s="65">
      <c r="A99" s="33" t="n">
        <v>46132</v>
      </c>
      <c r="B99" t="inlineStr">
        <is>
          <t>2026-04</t>
        </is>
      </c>
      <c r="C99" t="inlineStr">
        <is>
          <t>26.070.601-2 - Movilizacion Carrito</t>
        </is>
      </c>
      <c r="D99" t="inlineStr">
        <is>
          <t>ARCOS HUARHUA YLDIFONSO</t>
        </is>
      </c>
      <c r="E99" s="73" t="n">
        <v>210000</v>
      </c>
      <c r="F99" t="inlineStr">
        <is>
          <t>S</t>
        </is>
      </c>
      <c r="G99" t="inlineStr">
        <is>
          <t>Debito</t>
        </is>
      </c>
      <c r="H99" t="inlineStr">
        <is>
          <t>Ferias y Eventos</t>
        </is>
      </c>
      <c r="I99" s="73">
        <f>IF(F99="F",ROUND(E99*0.19/1.19,0),0)</f>
        <v/>
      </c>
      <c r="J99" s="73">
        <f>IF(E99="","",E99-I99)</f>
        <v/>
      </c>
      <c r="K99">
        <f>+_xlfn.XLOOKUP(Tabla1[[#This Row],[Nombre Cuenta]],PLAN_CUENTAS!$B$2:$B$100,PLAN_CUENTAS!$A$2:$A$100,0,0)</f>
        <v/>
      </c>
      <c r="L99">
        <f>+_xlfn.XLOOKUP(Tabla1[[#This Row],[Nombre Cuenta]],PLAN_CUENTAS!$B$2:$B$100,PLAN_CUENTAS!$C$2:$C$100,0,0)</f>
        <v/>
      </c>
      <c r="P99" s="74" t="n"/>
    </row>
    <row r="100" ht="15" customHeight="1" s="65">
      <c r="A100" s="33" t="n">
        <v>46132</v>
      </c>
      <c r="B100" t="inlineStr">
        <is>
          <t>2026-04</t>
        </is>
      </c>
      <c r="C100" t="inlineStr">
        <is>
          <t>84.736.800-4 - Ron y Coñac</t>
        </is>
      </c>
      <c r="D100" t="inlineStr">
        <is>
          <t>Chavarry Y Hugot</t>
        </is>
      </c>
      <c r="E100" s="73" t="n">
        <v>137800</v>
      </c>
      <c r="F100" t="inlineStr">
        <is>
          <t>F</t>
        </is>
      </c>
      <c r="G100" t="inlineStr">
        <is>
          <t>Debito</t>
        </is>
      </c>
      <c r="H100" t="inlineStr">
        <is>
          <t>Ingredientes</t>
        </is>
      </c>
      <c r="I100" s="73">
        <f>IF(F100="F",ROUND(E100*0.19/1.19,0),0)</f>
        <v/>
      </c>
      <c r="J100" s="73">
        <f>IF(E100="","",E100-I100)</f>
        <v/>
      </c>
      <c r="K100">
        <f>+_xlfn.XLOOKUP(Tabla1[[#This Row],[Nombre Cuenta]],PLAN_CUENTAS!$B$2:$B$100,PLAN_CUENTAS!$A$2:$A$100,0,0)</f>
        <v/>
      </c>
      <c r="L100">
        <f>+_xlfn.XLOOKUP(Tabla1[[#This Row],[Nombre Cuenta]],PLAN_CUENTAS!$B$2:$B$100,PLAN_CUENTAS!$C$2:$C$100,0,0)</f>
        <v/>
      </c>
      <c r="P100" s="74" t="n"/>
    </row>
    <row r="101" ht="15" customHeight="1" s="65">
      <c r="A101" s="33" t="n">
        <v>46132</v>
      </c>
      <c r="B101" t="inlineStr">
        <is>
          <t>2026-04</t>
        </is>
      </c>
      <c r="C101" t="inlineStr">
        <is>
          <t>77.371.782-6 - Chocolates Caravella</t>
        </is>
      </c>
      <c r="D101" t="inlineStr">
        <is>
          <t>Sugar Kindom</t>
        </is>
      </c>
      <c r="E101" s="73" t="n">
        <v>76898</v>
      </c>
      <c r="F101" t="inlineStr">
        <is>
          <t>F</t>
        </is>
      </c>
      <c r="G101" t="inlineStr">
        <is>
          <t>Debito</t>
        </is>
      </c>
      <c r="H101" t="inlineStr">
        <is>
          <t>Ingredientes</t>
        </is>
      </c>
      <c r="I101" s="73">
        <f>IF(F101="F",ROUND(E101*0.19/1.19,0),0)</f>
        <v/>
      </c>
      <c r="J101" s="73">
        <f>IF(E101="","",E101-I101)</f>
        <v/>
      </c>
      <c r="K101">
        <f>+_xlfn.XLOOKUP(Tabla1[[#This Row],[Nombre Cuenta]],PLAN_CUENTAS!$B$2:$B$100,PLAN_CUENTAS!$A$2:$A$100,0,0)</f>
        <v/>
      </c>
      <c r="L101">
        <f>+_xlfn.XLOOKUP(Tabla1[[#This Row],[Nombre Cuenta]],PLAN_CUENTAS!$B$2:$B$100,PLAN_CUENTAS!$C$2:$C$100,0,0)</f>
        <v/>
      </c>
      <c r="P101" s="74" t="n"/>
    </row>
    <row r="102" ht="15" customHeight="1" s="65">
      <c r="A102" s="33" t="n">
        <v>46132</v>
      </c>
      <c r="B102" t="inlineStr">
        <is>
          <t>2026-04</t>
        </is>
      </c>
      <c r="C102" t="inlineStr">
        <is>
          <t>77.190.532-3 - Stickers Transparantes y Logo</t>
        </is>
      </c>
      <c r="D102" t="inlineStr">
        <is>
          <t>Sticker Print</t>
        </is>
      </c>
      <c r="E102" s="73" t="n">
        <v>36140</v>
      </c>
      <c r="F102" t="inlineStr">
        <is>
          <t>F</t>
        </is>
      </c>
      <c r="G102" t="inlineStr">
        <is>
          <t>Debito</t>
        </is>
      </c>
      <c r="H102" t="inlineStr">
        <is>
          <t>Packaging</t>
        </is>
      </c>
      <c r="I102" s="73">
        <f>IF(F102="F",ROUND(E102*0.19/1.19,0),0)</f>
        <v/>
      </c>
      <c r="J102" s="73">
        <f>IF(E102="","",E102-I102)</f>
        <v/>
      </c>
      <c r="K102">
        <f>+_xlfn.XLOOKUP(Tabla1[[#This Row],[Nombre Cuenta]],PLAN_CUENTAS!$B$2:$B$100,PLAN_CUENTAS!$A$2:$A$100,0,0)</f>
        <v/>
      </c>
      <c r="L102">
        <f>+_xlfn.XLOOKUP(Tabla1[[#This Row],[Nombre Cuenta]],PLAN_CUENTAS!$B$2:$B$100,PLAN_CUENTAS!$C$2:$C$100,0,0)</f>
        <v/>
      </c>
      <c r="P102" s="74" t="n"/>
    </row>
    <row r="103" ht="15" customHeight="1" s="65">
      <c r="A103" s="33" t="n">
        <v>46132</v>
      </c>
      <c r="B103" t="inlineStr">
        <is>
          <t>2026-03</t>
        </is>
      </c>
      <c r="C103" t="inlineStr">
        <is>
          <t>78.088.306-5 - Aquaoven 2 en 1 liquido horno</t>
        </is>
      </c>
      <c r="D103" t="inlineStr">
        <is>
          <t>Bozenlight</t>
        </is>
      </c>
      <c r="E103" s="73" t="n">
        <v>34771</v>
      </c>
      <c r="F103" t="inlineStr">
        <is>
          <t>F</t>
        </is>
      </c>
      <c r="G103" t="inlineStr">
        <is>
          <t>Debito</t>
        </is>
      </c>
      <c r="H103" t="inlineStr">
        <is>
          <t>Limpieza y Aseo</t>
        </is>
      </c>
      <c r="I103" s="73">
        <f>IF(F103="F",ROUND(E103*0.19/1.19,0),0)</f>
        <v/>
      </c>
      <c r="J103" s="73">
        <f>IF(E103="","",E103-I103)</f>
        <v/>
      </c>
      <c r="K103">
        <f>+_xlfn.XLOOKUP(Tabla1[[#This Row],[Nombre Cuenta]],PLAN_CUENTAS!$B$2:$B$100,PLAN_CUENTAS!$A$2:$A$100,0,0)</f>
        <v/>
      </c>
      <c r="L103">
        <f>+_xlfn.XLOOKUP(Tabla1[[#This Row],[Nombre Cuenta]],PLAN_CUENTAS!$B$2:$B$100,PLAN_CUENTAS!$C$2:$C$100,0,0)</f>
        <v/>
      </c>
      <c r="P103" s="74" t="n"/>
    </row>
    <row r="104" ht="15" customHeight="1" s="65">
      <c r="A104" s="33" t="n">
        <v>46132</v>
      </c>
      <c r="B104" t="inlineStr">
        <is>
          <t>2026-04</t>
        </is>
      </c>
      <c r="C104" t="inlineStr">
        <is>
          <t>76.740.421-2 -  Kombuchas lima berries</t>
        </is>
      </c>
      <c r="D104" t="inlineStr">
        <is>
          <t>Dr. Kombu</t>
        </is>
      </c>
      <c r="E104" s="73" t="n">
        <v>33106</v>
      </c>
      <c r="F104" t="inlineStr">
        <is>
          <t>F</t>
        </is>
      </c>
      <c r="G104" t="inlineStr">
        <is>
          <t>Debito</t>
        </is>
      </c>
      <c r="H104" t="inlineStr">
        <is>
          <t>Ingredientes</t>
        </is>
      </c>
      <c r="I104" s="73">
        <f>IF(F104="F",ROUND(E104*0.19/1.19,0),0)</f>
        <v/>
      </c>
      <c r="J104" s="73">
        <f>IF(E104="","",E104-I104)</f>
        <v/>
      </c>
      <c r="K104">
        <f>+_xlfn.XLOOKUP(Tabla1[[#This Row],[Nombre Cuenta]],PLAN_CUENTAS!$B$2:$B$100,PLAN_CUENTAS!$A$2:$A$100,0,0)</f>
        <v/>
      </c>
      <c r="L104">
        <f>+_xlfn.XLOOKUP(Tabla1[[#This Row],[Nombre Cuenta]],PLAN_CUENTAS!$B$2:$B$100,PLAN_CUENTAS!$C$2:$C$100,0,0)</f>
        <v/>
      </c>
      <c r="P104" s="74" t="n"/>
    </row>
    <row r="105" ht="15" customHeight="1" s="65">
      <c r="A105" s="33" t="n">
        <v>46133</v>
      </c>
      <c r="B105" t="inlineStr">
        <is>
          <t>2026-04</t>
        </is>
      </c>
      <c r="C105" t="inlineStr">
        <is>
          <t>19.567.111-7 - Reembolso Pago Enel</t>
        </is>
      </c>
      <c r="D105" t="inlineStr">
        <is>
          <t>Enel</t>
        </is>
      </c>
      <c r="E105" s="73" t="n">
        <v>176047</v>
      </c>
      <c r="F105" t="inlineStr">
        <is>
          <t>F</t>
        </is>
      </c>
      <c r="G105" t="inlineStr">
        <is>
          <t>Debito</t>
        </is>
      </c>
      <c r="H105" t="inlineStr">
        <is>
          <t>Luz</t>
        </is>
      </c>
      <c r="I105" s="73">
        <f>IF(F105="F",ROUND(E105*0.19/1.19,0),0)</f>
        <v/>
      </c>
      <c r="J105" s="73">
        <f>IF(E105="","",E105-I105)</f>
        <v/>
      </c>
      <c r="K105">
        <f>+_xlfn.XLOOKUP(Tabla1[[#This Row],[Nombre Cuenta]],PLAN_CUENTAS!$B$2:$B$100,PLAN_CUENTAS!$A$2:$A$100,0,0)</f>
        <v/>
      </c>
      <c r="L105">
        <f>+_xlfn.XLOOKUP(Tabla1[[#This Row],[Nombre Cuenta]],PLAN_CUENTAS!$B$2:$B$100,PLAN_CUENTAS!$C$2:$C$100,0,0)</f>
        <v/>
      </c>
      <c r="P105" s="74" t="n"/>
    </row>
    <row r="106" ht="15" customHeight="1" s="65">
      <c r="A106" s="33" t="n">
        <v>46133</v>
      </c>
      <c r="B106" t="inlineStr">
        <is>
          <t>2026-04</t>
        </is>
      </c>
      <c r="C106" t="inlineStr">
        <is>
          <t>76.209.474-6 - Uniformes</t>
        </is>
      </c>
      <c r="D106" t="inlineStr">
        <is>
          <t>CTA WORK</t>
        </is>
      </c>
      <c r="E106" s="73" t="n">
        <v>80282</v>
      </c>
      <c r="F106" t="inlineStr">
        <is>
          <t>F</t>
        </is>
      </c>
      <c r="G106" t="inlineStr">
        <is>
          <t>Debito</t>
        </is>
      </c>
      <c r="H106" t="inlineStr">
        <is>
          <t>Equipamiento de Cocina</t>
        </is>
      </c>
      <c r="I106" s="73">
        <f>IF(F106="F",ROUND(E106*0.19/1.19,0),0)</f>
        <v/>
      </c>
      <c r="J106" s="73">
        <f>IF(E106="","",E106-I106)</f>
        <v/>
      </c>
      <c r="K106">
        <f>+_xlfn.XLOOKUP(Tabla1[[#This Row],[Nombre Cuenta]],PLAN_CUENTAS!$B$2:$B$100,PLAN_CUENTAS!$A$2:$A$100,0,0)</f>
        <v/>
      </c>
      <c r="L106">
        <f>+_xlfn.XLOOKUP(Tabla1[[#This Row],[Nombre Cuenta]],PLAN_CUENTAS!$B$2:$B$100,PLAN_CUENTAS!$C$2:$C$100,0,0)</f>
        <v/>
      </c>
      <c r="P106" s="74" t="n"/>
    </row>
    <row r="107" ht="15" customHeight="1" s="65">
      <c r="A107" s="33" t="n">
        <v>46133</v>
      </c>
      <c r="B107" t="inlineStr">
        <is>
          <t>2026-03</t>
        </is>
      </c>
      <c r="C107" t="inlineStr">
        <is>
          <t>PAGO EN LINEA CHILEXPRESS</t>
        </is>
      </c>
      <c r="D107" t="inlineStr">
        <is>
          <t>Chilexpress</t>
        </is>
      </c>
      <c r="E107" s="73" t="n">
        <v>40798</v>
      </c>
      <c r="F107" t="inlineStr">
        <is>
          <t>F</t>
        </is>
      </c>
      <c r="G107" t="inlineStr">
        <is>
          <t>Debito</t>
        </is>
      </c>
      <c r="H107" t="inlineStr">
        <is>
          <t>Despachos B2C</t>
        </is>
      </c>
      <c r="I107" s="73">
        <f>IF(F107="F",ROUND(E107*0.19/1.19,0),0)</f>
        <v/>
      </c>
      <c r="J107" s="73">
        <f>IF(E107="","",E107-I107)</f>
        <v/>
      </c>
      <c r="K107">
        <f>+_xlfn.XLOOKUP(Tabla1[[#This Row],[Nombre Cuenta]],PLAN_CUENTAS!$B$2:$B$100,PLAN_CUENTAS!$A$2:$A$100,0,0)</f>
        <v/>
      </c>
      <c r="L107">
        <f>+_xlfn.XLOOKUP(Tabla1[[#This Row],[Nombre Cuenta]],PLAN_CUENTAS!$B$2:$B$100,PLAN_CUENTAS!$C$2:$C$100,0,0)</f>
        <v/>
      </c>
      <c r="P107" s="74" t="n"/>
    </row>
    <row r="108" ht="15" customHeight="1" s="65">
      <c r="A108" s="33" t="n">
        <v>46134</v>
      </c>
      <c r="B108" t="inlineStr">
        <is>
          <t>2026-04</t>
        </is>
      </c>
      <c r="C108" t="inlineStr">
        <is>
          <t>Compra FACEBK *GTW84ND6P</t>
        </is>
      </c>
      <c r="D108" t="inlineStr">
        <is>
          <t>Facebook Ads</t>
        </is>
      </c>
      <c r="E108" s="73" t="n">
        <v>314430</v>
      </c>
      <c r="G108" t="inlineStr">
        <is>
          <t>Debito</t>
        </is>
      </c>
      <c r="H108" t="inlineStr">
        <is>
          <t>RRSS</t>
        </is>
      </c>
      <c r="I108" s="73">
        <f>IF(F108="F",ROUND(E108*0.19/1.19,0),0)</f>
        <v/>
      </c>
      <c r="J108" s="73">
        <f>IF(E108="","",E108-I108)</f>
        <v/>
      </c>
      <c r="K108">
        <f>+_xlfn.XLOOKUP(Tabla1[[#This Row],[Nombre Cuenta]],PLAN_CUENTAS!$B$2:$B$100,PLAN_CUENTAS!$A$2:$A$100,0,0)</f>
        <v/>
      </c>
      <c r="L108">
        <f>+_xlfn.XLOOKUP(Tabla1[[#This Row],[Nombre Cuenta]],PLAN_CUENTAS!$B$2:$B$100,PLAN_CUENTAS!$C$2:$C$100,0,0)</f>
        <v/>
      </c>
      <c r="P108" s="74" t="n"/>
    </row>
    <row r="109" ht="15" customHeight="1" s="65">
      <c r="A109" s="33" t="n">
        <v>46134</v>
      </c>
      <c r="B109" t="inlineStr">
        <is>
          <t>2026-03</t>
        </is>
      </c>
      <c r="C109" t="inlineStr">
        <is>
          <t>78.383.730-7 - Huevos Primera Blanca Granel</t>
        </is>
      </c>
      <c r="D109" t="inlineStr">
        <is>
          <t>Cintazul</t>
        </is>
      </c>
      <c r="E109" s="73" t="n">
        <v>288004</v>
      </c>
      <c r="F109" t="inlineStr">
        <is>
          <t>F</t>
        </is>
      </c>
      <c r="G109" t="inlineStr">
        <is>
          <t>Debito</t>
        </is>
      </c>
      <c r="H109" t="inlineStr">
        <is>
          <t>Ingredientes</t>
        </is>
      </c>
      <c r="I109" s="73">
        <f>IF(F109="F",ROUND(E109*0.19/1.19,0),0)</f>
        <v/>
      </c>
      <c r="J109" s="73">
        <f>IF(E109="","",E109-I109)</f>
        <v/>
      </c>
      <c r="K109">
        <f>+_xlfn.XLOOKUP(Tabla1[[#This Row],[Nombre Cuenta]],PLAN_CUENTAS!$B$2:$B$100,PLAN_CUENTAS!$A$2:$A$100,0,0)</f>
        <v/>
      </c>
      <c r="L109">
        <f>+_xlfn.XLOOKUP(Tabla1[[#This Row],[Nombre Cuenta]],PLAN_CUENTAS!$B$2:$B$100,PLAN_CUENTAS!$C$2:$C$100,0,0)</f>
        <v/>
      </c>
      <c r="P109" s="74" t="n"/>
    </row>
    <row r="110" ht="15" customHeight="1" s="65">
      <c r="A110" s="33" t="n">
        <v>46134</v>
      </c>
      <c r="B110" t="inlineStr">
        <is>
          <t>2026-04</t>
        </is>
      </c>
      <c r="C110" t="inlineStr">
        <is>
          <t>78.383.730-7 - Huevos Primera Blanca Granel</t>
        </is>
      </c>
      <c r="D110" t="inlineStr">
        <is>
          <t>Cintazul</t>
        </is>
      </c>
      <c r="E110" s="73" t="n">
        <v>237605</v>
      </c>
      <c r="F110" t="inlineStr">
        <is>
          <t>F</t>
        </is>
      </c>
      <c r="G110" t="inlineStr">
        <is>
          <t>Debito</t>
        </is>
      </c>
      <c r="H110" t="inlineStr">
        <is>
          <t>Ingredientes</t>
        </is>
      </c>
      <c r="I110" s="73">
        <f>IF(F110="F",ROUND(E110*0.19/1.19,0),0)</f>
        <v/>
      </c>
      <c r="J110" s="73">
        <f>IF(E110="","",E110-I110)</f>
        <v/>
      </c>
      <c r="K110">
        <f>+_xlfn.XLOOKUP(Tabla1[[#This Row],[Nombre Cuenta]],PLAN_CUENTAS!$B$2:$B$100,PLAN_CUENTAS!$A$2:$A$100,0,0)</f>
        <v/>
      </c>
      <c r="L110">
        <f>+_xlfn.XLOOKUP(Tabla1[[#This Row],[Nombre Cuenta]],PLAN_CUENTAS!$B$2:$B$100,PLAN_CUENTAS!$C$2:$C$100,0,0)</f>
        <v/>
      </c>
      <c r="P110" s="74" t="n"/>
    </row>
    <row r="111" ht="15" customHeight="1" s="65">
      <c r="A111" s="33" t="n">
        <v>46134</v>
      </c>
      <c r="B111" t="inlineStr">
        <is>
          <t>2026-04</t>
        </is>
      </c>
      <c r="C111" t="inlineStr">
        <is>
          <t>78.383.730-7 - Huevos Primera Blanca Granel</t>
        </is>
      </c>
      <c r="D111" t="inlineStr">
        <is>
          <t>Cintazul</t>
        </is>
      </c>
      <c r="E111" s="73" t="n">
        <v>158399</v>
      </c>
      <c r="F111" t="inlineStr">
        <is>
          <t>F</t>
        </is>
      </c>
      <c r="G111" t="inlineStr">
        <is>
          <t>Debito</t>
        </is>
      </c>
      <c r="H111" t="inlineStr">
        <is>
          <t>Ingredientes</t>
        </is>
      </c>
      <c r="I111" s="73">
        <f>IF(F111="F",ROUND(E111*0.19/1.19,0),0)</f>
        <v/>
      </c>
      <c r="J111" s="73">
        <f>IF(E111="","",E111-I111)</f>
        <v/>
      </c>
      <c r="K111">
        <f>+_xlfn.XLOOKUP(Tabla1[[#This Row],[Nombre Cuenta]],PLAN_CUENTAS!$B$2:$B$100,PLAN_CUENTAS!$A$2:$A$100,0,0)</f>
        <v/>
      </c>
      <c r="L111">
        <f>+_xlfn.XLOOKUP(Tabla1[[#This Row],[Nombre Cuenta]],PLAN_CUENTAS!$B$2:$B$100,PLAN_CUENTAS!$C$2:$C$100,0,0)</f>
        <v/>
      </c>
      <c r="P111" s="74" t="n"/>
    </row>
    <row r="112" ht="15" customHeight="1" s="65">
      <c r="A112" s="33" t="n">
        <v>46134</v>
      </c>
      <c r="B112" t="inlineStr">
        <is>
          <t>2026-04</t>
        </is>
      </c>
      <c r="C112" t="inlineStr">
        <is>
          <t>76.099.732-3 - Leche Vegetal</t>
        </is>
      </c>
      <c r="D112" t="inlineStr">
        <is>
          <t>Orasi</t>
        </is>
      </c>
      <c r="E112" s="73" t="n">
        <v>102387</v>
      </c>
      <c r="F112" t="inlineStr">
        <is>
          <t>F</t>
        </is>
      </c>
      <c r="G112" t="inlineStr">
        <is>
          <t>Debito</t>
        </is>
      </c>
      <c r="H112" t="inlineStr">
        <is>
          <t>Ingredientes</t>
        </is>
      </c>
      <c r="I112" s="73">
        <f>IF(F112="F",ROUND(E112*0.19/1.19,0),0)</f>
        <v/>
      </c>
      <c r="J112" s="73">
        <f>IF(E112="","",E112-I112)</f>
        <v/>
      </c>
      <c r="K112">
        <f>+_xlfn.XLOOKUP(Tabla1[[#This Row],[Nombre Cuenta]],PLAN_CUENTAS!$B$2:$B$100,PLAN_CUENTAS!$A$2:$A$100,0,0)</f>
        <v/>
      </c>
      <c r="L112">
        <f>+_xlfn.XLOOKUP(Tabla1[[#This Row],[Nombre Cuenta]],PLAN_CUENTAS!$B$2:$B$100,PLAN_CUENTAS!$C$2:$C$100,0,0)</f>
        <v/>
      </c>
      <c r="P112" s="74" t="n"/>
    </row>
    <row r="113" ht="15" customHeight="1" s="65">
      <c r="A113" s="33" t="n">
        <v>46134</v>
      </c>
      <c r="B113" t="inlineStr">
        <is>
          <t>2026-04</t>
        </is>
      </c>
      <c r="C113" t="inlineStr">
        <is>
          <t>76.737.642-1 - Forros Carrito</t>
        </is>
      </c>
      <c r="D113" t="inlineStr">
        <is>
          <t>Importadora y Comercializadora lecaros</t>
        </is>
      </c>
      <c r="E113" s="73" t="n">
        <v>52900</v>
      </c>
      <c r="F113" t="inlineStr">
        <is>
          <t>F</t>
        </is>
      </c>
      <c r="G113" t="inlineStr">
        <is>
          <t>Debito</t>
        </is>
      </c>
      <c r="H113" t="inlineStr">
        <is>
          <t>Inversión Carro</t>
        </is>
      </c>
      <c r="I113" s="73">
        <f>IF(F113="F",ROUND(E113*0.19/1.19,0),0)</f>
        <v/>
      </c>
      <c r="J113" s="73">
        <f>IF(E113="","",E113-I113)</f>
        <v/>
      </c>
      <c r="K113">
        <f>+_xlfn.XLOOKUP(Tabla1[[#This Row],[Nombre Cuenta]],PLAN_CUENTAS!$B$2:$B$100,PLAN_CUENTAS!$A$2:$A$100,0,0)</f>
        <v/>
      </c>
      <c r="L113">
        <f>+_xlfn.XLOOKUP(Tabla1[[#This Row],[Nombre Cuenta]],PLAN_CUENTAS!$B$2:$B$100,PLAN_CUENTAS!$C$2:$C$100,0,0)</f>
        <v/>
      </c>
      <c r="P113" s="74" t="n"/>
    </row>
    <row r="114" ht="15" customHeight="1" s="65">
      <c r="A114" s="33" t="n">
        <v>46135</v>
      </c>
      <c r="B114" t="inlineStr">
        <is>
          <t>2026-04</t>
        </is>
      </c>
      <c r="C114" t="inlineStr">
        <is>
          <t>9.659.773-8 - Vidrio Carrito</t>
        </is>
      </c>
      <c r="D114" t="inlineStr">
        <is>
          <t>José Hernandez</t>
        </is>
      </c>
      <c r="E114" s="73" t="n">
        <v>52900</v>
      </c>
      <c r="F114" t="inlineStr">
        <is>
          <t>F</t>
        </is>
      </c>
      <c r="G114" t="inlineStr">
        <is>
          <t>Debito</t>
        </is>
      </c>
      <c r="H114" t="inlineStr">
        <is>
          <t>Mantención Carro</t>
        </is>
      </c>
      <c r="I114" s="73">
        <f>IF(F114="F",ROUND(E114*0.19/1.19,0),0)</f>
        <v/>
      </c>
      <c r="J114" s="73">
        <f>IF(E114="","",E114-I114)</f>
        <v/>
      </c>
      <c r="K114">
        <f>+_xlfn.XLOOKUP(Tabla1[[#This Row],[Nombre Cuenta]],PLAN_CUENTAS!$B$2:$B$100,PLAN_CUENTAS!$A$2:$A$100,0,0)</f>
        <v/>
      </c>
      <c r="L114">
        <f>+_xlfn.XLOOKUP(Tabla1[[#This Row],[Nombre Cuenta]],PLAN_CUENTAS!$B$2:$B$100,PLAN_CUENTAS!$C$2:$C$100,0,0)</f>
        <v/>
      </c>
      <c r="P114" s="74" t="n"/>
    </row>
    <row r="115" ht="15" customHeight="1" s="65">
      <c r="A115" s="33" t="n">
        <v>46135</v>
      </c>
      <c r="B115" t="inlineStr">
        <is>
          <t>2026-04</t>
        </is>
      </c>
      <c r="C115" t="inlineStr">
        <is>
          <t>Bomba Routn Botella 1000 y 250 ml</t>
        </is>
      </c>
      <c r="D115" t="inlineStr">
        <is>
          <t>Europa Secreta</t>
        </is>
      </c>
      <c r="E115" s="73" t="n">
        <v>17073</v>
      </c>
      <c r="F115" t="inlineStr">
        <is>
          <t>F</t>
        </is>
      </c>
      <c r="G115" t="inlineStr">
        <is>
          <t>Debito</t>
        </is>
      </c>
      <c r="H115" t="inlineStr">
        <is>
          <t>Equipamiento de Cocina</t>
        </is>
      </c>
      <c r="I115" s="73">
        <f>IF(F115="F",ROUND(E115*0.19/1.19,0),0)</f>
        <v/>
      </c>
      <c r="J115" s="73">
        <f>IF(E115="","",E115-I115)</f>
        <v/>
      </c>
      <c r="K115">
        <f>+_xlfn.XLOOKUP(Tabla1[[#This Row],[Nombre Cuenta]],PLAN_CUENTAS!$B$2:$B$100,PLAN_CUENTAS!$A$2:$A$100,0,0)</f>
        <v/>
      </c>
      <c r="L115">
        <f>+_xlfn.XLOOKUP(Tabla1[[#This Row],[Nombre Cuenta]],PLAN_CUENTAS!$B$2:$B$100,PLAN_CUENTAS!$C$2:$C$100,0,0)</f>
        <v/>
      </c>
      <c r="P115" s="74" t="n"/>
    </row>
    <row r="116" ht="15" customHeight="1" s="65">
      <c r="A116" s="33" t="n">
        <v>46135</v>
      </c>
      <c r="B116" t="inlineStr">
        <is>
          <t>2026-04</t>
        </is>
      </c>
      <c r="C116" t="inlineStr">
        <is>
          <t>Compra CANVA</t>
        </is>
      </c>
      <c r="D116" t="inlineStr">
        <is>
          <t>Canva</t>
        </is>
      </c>
      <c r="E116" s="73" t="n">
        <v>7900</v>
      </c>
      <c r="G116" t="inlineStr">
        <is>
          <t>Debito</t>
        </is>
      </c>
      <c r="H116" t="inlineStr">
        <is>
          <t>Plataformas Digitales</t>
        </is>
      </c>
      <c r="I116" s="73">
        <f>IF(F116="F",ROUND(E116*0.19/1.19,0),0)</f>
        <v/>
      </c>
      <c r="J116" s="73">
        <f>IF(E116="","",E116-I116)</f>
        <v/>
      </c>
      <c r="K116">
        <f>+_xlfn.XLOOKUP(Tabla1[[#This Row],[Nombre Cuenta]],PLAN_CUENTAS!$B$2:$B$100,PLAN_CUENTAS!$A$2:$A$100,0,0)</f>
        <v/>
      </c>
      <c r="L116">
        <f>+_xlfn.XLOOKUP(Tabla1[[#This Row],[Nombre Cuenta]],PLAN_CUENTAS!$B$2:$B$100,PLAN_CUENTAS!$C$2:$C$100,0,0)</f>
        <v/>
      </c>
      <c r="P116" s="74" t="n"/>
    </row>
    <row r="117" ht="15" customHeight="1" s="65">
      <c r="A117" s="33" t="n">
        <v>46136</v>
      </c>
      <c r="B117" t="inlineStr">
        <is>
          <t>2026-04</t>
        </is>
      </c>
      <c r="C117" t="inlineStr">
        <is>
          <t>96.775.020-4 - Trennspray Antiadherente</t>
        </is>
      </c>
      <c r="D117" t="inlineStr">
        <is>
          <t>Great Foods</t>
        </is>
      </c>
      <c r="E117" s="73" t="n">
        <v>329618</v>
      </c>
      <c r="F117" t="inlineStr">
        <is>
          <t>F</t>
        </is>
      </c>
      <c r="G117" t="inlineStr">
        <is>
          <t>Debito</t>
        </is>
      </c>
      <c r="H117" t="inlineStr">
        <is>
          <t>Ingredientes</t>
        </is>
      </c>
      <c r="I117" s="73">
        <f>IF(F117="F",ROUND(E117*0.19/1.19,0),0)</f>
        <v/>
      </c>
      <c r="J117" s="73">
        <f>IF(E117="","",E117-I117)</f>
        <v/>
      </c>
      <c r="K117">
        <f>+_xlfn.XLOOKUP(Tabla1[[#This Row],[Nombre Cuenta]],PLAN_CUENTAS!$B$2:$B$100,PLAN_CUENTAS!$A$2:$A$100,0,0)</f>
        <v/>
      </c>
      <c r="L117">
        <f>+_xlfn.XLOOKUP(Tabla1[[#This Row],[Nombre Cuenta]],PLAN_CUENTAS!$B$2:$B$100,PLAN_CUENTAS!$C$2:$C$100,0,0)</f>
        <v/>
      </c>
      <c r="P117" s="74" t="n"/>
    </row>
    <row r="118" ht="15" customHeight="1" s="65">
      <c r="A118" s="33" t="n">
        <v>46136</v>
      </c>
      <c r="B118" t="inlineStr">
        <is>
          <t>2026-04</t>
        </is>
      </c>
      <c r="C118" t="inlineStr">
        <is>
          <t>Compra FACEBK *YYX7TL56P</t>
        </is>
      </c>
      <c r="D118" t="inlineStr">
        <is>
          <t>Facebook Ads</t>
        </is>
      </c>
      <c r="E118" s="73" t="n">
        <v>7144</v>
      </c>
      <c r="G118" t="inlineStr">
        <is>
          <t>Debito</t>
        </is>
      </c>
      <c r="H118" t="inlineStr">
        <is>
          <t>RRSS</t>
        </is>
      </c>
      <c r="I118" s="73">
        <f>IF(F118="F",ROUND(E118*0.19/1.19,0),0)</f>
        <v/>
      </c>
      <c r="J118" s="73">
        <f>IF(E118="","",E118-I118)</f>
        <v/>
      </c>
      <c r="K118">
        <f>+_xlfn.XLOOKUP(Tabla1[[#This Row],[Nombre Cuenta]],PLAN_CUENTAS!$B$2:$B$100,PLAN_CUENTAS!$A$2:$A$100,0,0)</f>
        <v/>
      </c>
      <c r="L118">
        <f>+_xlfn.XLOOKUP(Tabla1[[#This Row],[Nombre Cuenta]],PLAN_CUENTAS!$B$2:$B$100,PLAN_CUENTAS!$C$2:$C$100,0,0)</f>
        <v/>
      </c>
      <c r="P118" s="74" t="n"/>
    </row>
    <row r="119" ht="15" customHeight="1" s="65">
      <c r="A119" s="33" t="n">
        <v>46139</v>
      </c>
      <c r="B119" t="inlineStr">
        <is>
          <t>2026-04</t>
        </is>
      </c>
      <c r="C119" t="inlineStr">
        <is>
          <t>96.532.120-9 - Azucar y Sal</t>
        </is>
      </c>
      <c r="D119" t="inlineStr">
        <is>
          <t>La Oferta Comercial</t>
        </is>
      </c>
      <c r="E119" s="73" t="n">
        <v>156887</v>
      </c>
      <c r="F119" t="inlineStr">
        <is>
          <t>F</t>
        </is>
      </c>
      <c r="G119" t="inlineStr">
        <is>
          <t>Debito</t>
        </is>
      </c>
      <c r="H119" t="inlineStr">
        <is>
          <t>Ingredientes</t>
        </is>
      </c>
      <c r="I119" s="73">
        <f>IF(F119="F",ROUND(E119*0.19/1.19,0),0)</f>
        <v/>
      </c>
      <c r="J119" s="73">
        <f>IF(E119="","",E119-I119)</f>
        <v/>
      </c>
      <c r="K119">
        <f>+_xlfn.XLOOKUP(Tabla1[[#This Row],[Nombre Cuenta]],PLAN_CUENTAS!$B$2:$B$100,PLAN_CUENTAS!$A$2:$A$100,0,0)</f>
        <v/>
      </c>
      <c r="L119">
        <f>+_xlfn.XLOOKUP(Tabla1[[#This Row],[Nombre Cuenta]],PLAN_CUENTAS!$B$2:$B$100,PLAN_CUENTAS!$C$2:$C$100,0,0)</f>
        <v/>
      </c>
      <c r="P119" s="74" t="n"/>
    </row>
    <row r="120" ht="15" customHeight="1" s="65">
      <c r="A120" s="33" t="n">
        <v>46139</v>
      </c>
      <c r="B120" t="inlineStr">
        <is>
          <t>2026-04</t>
        </is>
      </c>
      <c r="C120" t="inlineStr">
        <is>
          <t>Compra OPENAI *CHATGPT S</t>
        </is>
      </c>
      <c r="D120" t="inlineStr">
        <is>
          <t xml:space="preserve">CHATGPT </t>
        </is>
      </c>
      <c r="E120" s="73" t="n">
        <v>21841</v>
      </c>
      <c r="G120" t="inlineStr">
        <is>
          <t>Debito</t>
        </is>
      </c>
      <c r="H120" t="inlineStr">
        <is>
          <t>Plataformas Digitales</t>
        </is>
      </c>
      <c r="I120" s="73">
        <f>IF(F120="F",ROUND(E120*0.19/1.19,0),0)</f>
        <v/>
      </c>
      <c r="J120" s="73">
        <f>IF(E120="","",E120-I120)</f>
        <v/>
      </c>
      <c r="K120">
        <f>+_xlfn.XLOOKUP(Tabla1[[#This Row],[Nombre Cuenta]],PLAN_CUENTAS!$B$2:$B$100,PLAN_CUENTAS!$A$2:$A$100,0,0)</f>
        <v/>
      </c>
      <c r="L120">
        <f>+_xlfn.XLOOKUP(Tabla1[[#This Row],[Nombre Cuenta]],PLAN_CUENTAS!$B$2:$B$100,PLAN_CUENTAS!$C$2:$C$100,0,0)</f>
        <v/>
      </c>
      <c r="P120" s="74" t="n"/>
    </row>
    <row r="121" ht="15" customHeight="1" s="65">
      <c r="A121" s="33" t="n">
        <v>46140</v>
      </c>
      <c r="B121" t="inlineStr">
        <is>
          <t>2026-04</t>
        </is>
      </c>
      <c r="C121" t="inlineStr">
        <is>
          <t>76.572.274-8 - Caja 6 caneles petit 40%</t>
        </is>
      </c>
      <c r="D121" t="inlineStr">
        <is>
          <t>Rc Grafica</t>
        </is>
      </c>
      <c r="E121" s="73" t="n">
        <v>266560</v>
      </c>
      <c r="F121" t="inlineStr">
        <is>
          <t>F</t>
        </is>
      </c>
      <c r="G121" t="inlineStr">
        <is>
          <t>Debito</t>
        </is>
      </c>
      <c r="H121" t="inlineStr">
        <is>
          <t>Packaging</t>
        </is>
      </c>
      <c r="I121" s="73">
        <f>IF(F121="F",ROUND(E121*0.19/1.19,0),0)</f>
        <v/>
      </c>
      <c r="J121" s="73">
        <f>IF(E121="","",E121-I121)</f>
        <v/>
      </c>
      <c r="K121">
        <f>+_xlfn.XLOOKUP(Tabla1[[#This Row],[Nombre Cuenta]],PLAN_CUENTAS!$B$2:$B$100,PLAN_CUENTAS!$A$2:$A$100,0,0)</f>
        <v/>
      </c>
      <c r="L121">
        <f>+_xlfn.XLOOKUP(Tabla1[[#This Row],[Nombre Cuenta]],PLAN_CUENTAS!$B$2:$B$100,PLAN_CUENTAS!$C$2:$C$100,0,0)</f>
        <v/>
      </c>
      <c r="P121" s="74" t="n"/>
    </row>
    <row r="122" ht="15" customHeight="1" s="65">
      <c r="A122" s="33" t="n">
        <v>46140</v>
      </c>
      <c r="B122" t="inlineStr">
        <is>
          <t>2026-04</t>
        </is>
      </c>
      <c r="C122" t="inlineStr">
        <is>
          <t>Hervidor 10 litros</t>
        </is>
      </c>
      <c r="D122" t="inlineStr">
        <is>
          <t>Falabella</t>
        </is>
      </c>
      <c r="E122" s="73" t="n">
        <v>47990</v>
      </c>
      <c r="F122" t="inlineStr">
        <is>
          <t>F</t>
        </is>
      </c>
      <c r="G122" t="inlineStr">
        <is>
          <t>Debito</t>
        </is>
      </c>
      <c r="H122" t="inlineStr">
        <is>
          <t>Equipamiento de Cocina</t>
        </is>
      </c>
      <c r="I122" s="73">
        <f>IF(F122="F",ROUND(E122*0.19/1.19,0),0)</f>
        <v/>
      </c>
      <c r="J122" s="73">
        <f>IF(E122="","",E122-I122)</f>
        <v/>
      </c>
      <c r="K122">
        <f>+_xlfn.XLOOKUP(Tabla1[[#This Row],[Nombre Cuenta]],PLAN_CUENTAS!$B$2:$B$100,PLAN_CUENTAS!$A$2:$A$100,0,0)</f>
        <v/>
      </c>
      <c r="L122">
        <f>+_xlfn.XLOOKUP(Tabla1[[#This Row],[Nombre Cuenta]],PLAN_CUENTAS!$B$2:$B$100,PLAN_CUENTAS!$C$2:$C$100,0,0)</f>
        <v/>
      </c>
      <c r="P122" s="74" t="n"/>
    </row>
    <row r="123" ht="15" customHeight="1" s="65">
      <c r="A123" s="33" t="n">
        <v>46140</v>
      </c>
      <c r="B123" t="inlineStr">
        <is>
          <t>2026-04</t>
        </is>
      </c>
      <c r="C123" t="inlineStr">
        <is>
          <t>COM.MANTENCION PLAN</t>
        </is>
      </c>
      <c r="D123" t="inlineStr">
        <is>
          <t>Banco Santander</t>
        </is>
      </c>
      <c r="E123" s="73" t="n">
        <v>19722</v>
      </c>
      <c r="F123" t="inlineStr">
        <is>
          <t>F</t>
        </is>
      </c>
      <c r="G123" t="inlineStr">
        <is>
          <t>Debito</t>
        </is>
      </c>
      <c r="H123" t="inlineStr">
        <is>
          <t>Gastos Bancarios</t>
        </is>
      </c>
      <c r="I123" s="73">
        <f>IF(F123="F",ROUND(E123*0.19/1.19,0),0)</f>
        <v/>
      </c>
      <c r="J123" s="73">
        <f>IF(E123="","",E123-I123)</f>
        <v/>
      </c>
      <c r="K123">
        <f>+_xlfn.XLOOKUP(Tabla1[[#This Row],[Nombre Cuenta]],PLAN_CUENTAS!$B$2:$B$100,PLAN_CUENTAS!$A$2:$A$100,0,0)</f>
        <v/>
      </c>
      <c r="L123">
        <f>+_xlfn.XLOOKUP(Tabla1[[#This Row],[Nombre Cuenta]],PLAN_CUENTAS!$B$2:$B$100,PLAN_CUENTAS!$C$2:$C$100,0,0)</f>
        <v/>
      </c>
      <c r="P123" s="74" t="n"/>
    </row>
    <row r="124" ht="15" customHeight="1" s="65">
      <c r="A124" s="33" t="n">
        <v>46141</v>
      </c>
      <c r="B124" t="inlineStr">
        <is>
          <t>2026-04</t>
        </is>
      </c>
      <c r="C124" t="inlineStr">
        <is>
          <t>Mantequilla, Leche y Crema</t>
        </is>
      </c>
      <c r="D124" t="inlineStr">
        <is>
          <t>Colun</t>
        </is>
      </c>
      <c r="E124" s="73" t="n">
        <v>389557</v>
      </c>
      <c r="F124" t="inlineStr">
        <is>
          <t>F</t>
        </is>
      </c>
      <c r="G124" t="inlineStr">
        <is>
          <t>Debito</t>
        </is>
      </c>
      <c r="H124" t="inlineStr">
        <is>
          <t>Ingredientes</t>
        </is>
      </c>
      <c r="I124" s="73">
        <f>IF(F124="F",ROUND(E124*0.19/1.19,0),0)</f>
        <v/>
      </c>
      <c r="J124" s="73">
        <f>IF(E124="","",E124-I124)</f>
        <v/>
      </c>
      <c r="K124">
        <f>+_xlfn.XLOOKUP(Tabla1[[#This Row],[Nombre Cuenta]],PLAN_CUENTAS!$B$2:$B$100,PLAN_CUENTAS!$A$2:$A$100,0,0)</f>
        <v/>
      </c>
      <c r="L124">
        <f>+_xlfn.XLOOKUP(Tabla1[[#This Row],[Nombre Cuenta]],PLAN_CUENTAS!$B$2:$B$100,PLAN_CUENTAS!$C$2:$C$100,0,0)</f>
        <v/>
      </c>
      <c r="P124" s="74" t="n"/>
    </row>
    <row r="125" ht="15" customHeight="1" s="65">
      <c r="A125" s="33" t="n">
        <v>46141</v>
      </c>
      <c r="B125" t="inlineStr">
        <is>
          <t>2026-04</t>
        </is>
      </c>
      <c r="C125" t="inlineStr">
        <is>
          <t>76.706.900-6 - Nuez Partida</t>
        </is>
      </c>
      <c r="D125" t="inlineStr">
        <is>
          <t>Pepitas de Oro</t>
        </is>
      </c>
      <c r="E125" s="73" t="n">
        <v>94010</v>
      </c>
      <c r="F125" t="inlineStr">
        <is>
          <t>F</t>
        </is>
      </c>
      <c r="G125" t="inlineStr">
        <is>
          <t>Debito</t>
        </is>
      </c>
      <c r="H125" t="inlineStr">
        <is>
          <t>Ingredientes</t>
        </is>
      </c>
      <c r="I125" s="73">
        <f>IF(F125="F",ROUND(E125*0.19/1.19,0),0)</f>
        <v/>
      </c>
      <c r="J125" s="73">
        <f>IF(E125="","",E125-I125)</f>
        <v/>
      </c>
      <c r="K125">
        <f>+_xlfn.XLOOKUP(Tabla1[[#This Row],[Nombre Cuenta]],PLAN_CUENTAS!$B$2:$B$100,PLAN_CUENTAS!$A$2:$A$100,0,0)</f>
        <v/>
      </c>
      <c r="L125">
        <f>+_xlfn.XLOOKUP(Tabla1[[#This Row],[Nombre Cuenta]],PLAN_CUENTAS!$B$2:$B$100,PLAN_CUENTAS!$C$2:$C$100,0,0)</f>
        <v/>
      </c>
      <c r="P125" s="74" t="n"/>
    </row>
    <row r="126" ht="15" customHeight="1" s="65">
      <c r="A126" s="33" t="n">
        <v>46141</v>
      </c>
      <c r="B126" t="inlineStr">
        <is>
          <t>2026-05</t>
        </is>
      </c>
      <c r="C126" t="inlineStr">
        <is>
          <t>76.839.579-9 - 50% abono tarjetas dia de la madre</t>
        </is>
      </c>
      <c r="D126" t="inlineStr">
        <is>
          <t>SERVICIOS DIGITALES E IMPRESIÓN OSEG SPA</t>
        </is>
      </c>
      <c r="E126" s="73" t="n">
        <v>28150</v>
      </c>
      <c r="F126" t="inlineStr">
        <is>
          <t>F</t>
        </is>
      </c>
      <c r="G126" t="inlineStr">
        <is>
          <t>Debito</t>
        </is>
      </c>
      <c r="H126" t="inlineStr">
        <is>
          <t>Packaging</t>
        </is>
      </c>
      <c r="I126" s="73">
        <f>IF(F126="F",ROUND(E126*0.19/1.19,0),0)</f>
        <v/>
      </c>
      <c r="J126" s="73">
        <f>IF(E126="","",E126-I126)</f>
        <v/>
      </c>
      <c r="K126">
        <f>+_xlfn.XLOOKUP(Tabla1[[#This Row],[Nombre Cuenta]],PLAN_CUENTAS!$B$2:$B$100,PLAN_CUENTAS!$A$2:$A$100,0,0)</f>
        <v/>
      </c>
      <c r="L126">
        <f>+_xlfn.XLOOKUP(Tabla1[[#This Row],[Nombre Cuenta]],PLAN_CUENTAS!$B$2:$B$100,PLAN_CUENTAS!$C$2:$C$100,0,0)</f>
        <v/>
      </c>
      <c r="P126" s="74" t="n"/>
    </row>
    <row r="127" ht="15" customHeight="1" s="65">
      <c r="A127" s="33" t="n">
        <v>46141</v>
      </c>
      <c r="B127" t="inlineStr">
        <is>
          <t>2026-04</t>
        </is>
      </c>
      <c r="C127" t="inlineStr">
        <is>
          <t>Compra MP *CABIFY26182IJ</t>
        </is>
      </c>
      <c r="D127" t="inlineStr">
        <is>
          <t>Cabify</t>
        </is>
      </c>
      <c r="E127" s="73" t="n">
        <v>8435</v>
      </c>
      <c r="F127" t="inlineStr">
        <is>
          <t>F</t>
        </is>
      </c>
      <c r="G127" t="inlineStr">
        <is>
          <t>Debito</t>
        </is>
      </c>
      <c r="H127" t="inlineStr">
        <is>
          <t>Transporte Personas (Empleados)</t>
        </is>
      </c>
      <c r="I127" s="73">
        <f>IF(F127="F",ROUND(E127*0.19/1.19,0),0)</f>
        <v/>
      </c>
      <c r="J127" s="73">
        <f>IF(E127="","",E127-I127)</f>
        <v/>
      </c>
      <c r="K127">
        <f>+_xlfn.XLOOKUP(Tabla1[[#This Row],[Nombre Cuenta]],PLAN_CUENTAS!$B$2:$B$100,PLAN_CUENTAS!$A$2:$A$100,0,0)</f>
        <v/>
      </c>
      <c r="L127">
        <f>+_xlfn.XLOOKUP(Tabla1[[#This Row],[Nombre Cuenta]],PLAN_CUENTAS!$B$2:$B$100,PLAN_CUENTAS!$C$2:$C$100,0,0)</f>
        <v/>
      </c>
      <c r="P127" s="74" t="n"/>
    </row>
    <row r="128" ht="15" customHeight="1" s="65">
      <c r="A128" s="33" t="n">
        <v>46142</v>
      </c>
      <c r="B128" t="inlineStr">
        <is>
          <t>2026-04</t>
        </is>
      </c>
      <c r="C128" t="inlineStr">
        <is>
          <t>Compra MP *CABIFY2618T7X</t>
        </is>
      </c>
      <c r="D128" t="inlineStr">
        <is>
          <t>Cabify</t>
        </is>
      </c>
      <c r="E128" s="73" t="n">
        <v>4049</v>
      </c>
      <c r="F128" t="inlineStr">
        <is>
          <t>F</t>
        </is>
      </c>
      <c r="G128" t="inlineStr">
        <is>
          <t>Debito</t>
        </is>
      </c>
      <c r="H128" t="inlineStr">
        <is>
          <t>Transporte Personas (Empleados)</t>
        </is>
      </c>
      <c r="I128" s="73">
        <f>IF(F128="F",ROUND(E128*0.19/1.19,0),0)</f>
        <v/>
      </c>
      <c r="J128" s="73">
        <f>IF(E128="","",E128-I128)</f>
        <v/>
      </c>
      <c r="K128">
        <f>+_xlfn.XLOOKUP(Tabla1[[#This Row],[Nombre Cuenta]],PLAN_CUENTAS!$B$2:$B$100,PLAN_CUENTAS!$A$2:$A$100,0,0)</f>
        <v/>
      </c>
      <c r="L128">
        <f>+_xlfn.XLOOKUP(Tabla1[[#This Row],[Nombre Cuenta]],PLAN_CUENTAS!$B$2:$B$100,PLAN_CUENTAS!$C$2:$C$100,0,0)</f>
        <v/>
      </c>
      <c r="P128" s="74" t="n"/>
    </row>
    <row r="129" ht="15" customHeight="1" s="65">
      <c r="A129" s="33" t="n">
        <v>46142</v>
      </c>
      <c r="B129" t="inlineStr">
        <is>
          <t>2026-04</t>
        </is>
      </c>
      <c r="C129" t="inlineStr">
        <is>
          <t>Compra MP *CABIFY2618EXY</t>
        </is>
      </c>
      <c r="D129" t="inlineStr">
        <is>
          <t>Cabify</t>
        </is>
      </c>
      <c r="E129" s="73" t="n">
        <v>2188</v>
      </c>
      <c r="F129" t="inlineStr">
        <is>
          <t>F</t>
        </is>
      </c>
      <c r="G129" t="inlineStr">
        <is>
          <t>Debito</t>
        </is>
      </c>
      <c r="H129" t="inlineStr">
        <is>
          <t>Transporte Personas (Empleados)</t>
        </is>
      </c>
      <c r="I129" s="73">
        <f>IF(F129="F",ROUND(E129*0.19/1.19,0),0)</f>
        <v/>
      </c>
      <c r="J129" s="73">
        <f>IF(E129="","",E129-I129)</f>
        <v/>
      </c>
      <c r="K129">
        <f>+_xlfn.XLOOKUP(Tabla1[[#This Row],[Nombre Cuenta]],PLAN_CUENTAS!$B$2:$B$100,PLAN_CUENTAS!$A$2:$A$100,0,0)</f>
        <v/>
      </c>
      <c r="L129">
        <f>+_xlfn.XLOOKUP(Tabla1[[#This Row],[Nombre Cuenta]],PLAN_CUENTAS!$B$2:$B$100,PLAN_CUENTAS!$C$2:$C$100,0,0)</f>
        <v/>
      </c>
      <c r="P129" s="74" t="n"/>
    </row>
    <row r="130" ht="15" customHeight="1" s="65">
      <c r="A130" s="33" t="n">
        <v>46142</v>
      </c>
      <c r="B130" t="inlineStr">
        <is>
          <t>2026-04</t>
        </is>
      </c>
      <c r="C130" t="inlineStr">
        <is>
          <t>Compra MP *CABIFY2618RK5</t>
        </is>
      </c>
      <c r="D130" t="inlineStr">
        <is>
          <t>Cabify</t>
        </is>
      </c>
      <c r="E130" s="73" t="n">
        <v>1887</v>
      </c>
      <c r="F130" t="inlineStr">
        <is>
          <t>F</t>
        </is>
      </c>
      <c r="G130" t="inlineStr">
        <is>
          <t>Debito</t>
        </is>
      </c>
      <c r="H130" t="inlineStr">
        <is>
          <t>Transporte Personas (Empleados)</t>
        </is>
      </c>
      <c r="I130" s="73">
        <f>IF(F130="F",ROUND(E130*0.19/1.19,0),0)</f>
        <v/>
      </c>
      <c r="J130" s="73">
        <f>IF(E130="","",E130-I130)</f>
        <v/>
      </c>
      <c r="K130">
        <f>+_xlfn.XLOOKUP(Tabla1[[#This Row],[Nombre Cuenta]],PLAN_CUENTAS!$B$2:$B$100,PLAN_CUENTAS!$A$2:$A$100,0,0)</f>
        <v/>
      </c>
      <c r="L130">
        <f>+_xlfn.XLOOKUP(Tabla1[[#This Row],[Nombre Cuenta]],PLAN_CUENTAS!$B$2:$B$100,PLAN_CUENTAS!$C$2:$C$100,0,0)</f>
        <v/>
      </c>
      <c r="P130" s="74" t="n"/>
    </row>
    <row r="131" ht="15" customHeight="1" s="65">
      <c r="A131" s="33" t="n">
        <v>46140</v>
      </c>
      <c r="B131" t="inlineStr">
        <is>
          <t>2026-04</t>
        </is>
      </c>
      <c r="C131" t="inlineStr">
        <is>
          <t>COM.MANTENCION PLAN</t>
        </is>
      </c>
      <c r="D131" t="inlineStr">
        <is>
          <t>Banco Santander</t>
        </is>
      </c>
      <c r="E131" s="73" t="n">
        <v>19.722</v>
      </c>
      <c r="F131" t="inlineStr">
        <is>
          <t>F</t>
        </is>
      </c>
      <c r="G131" t="inlineStr">
        <is>
          <t>Debito</t>
        </is>
      </c>
      <c r="H131" t="inlineStr">
        <is>
          <t>Gastos Bancarios</t>
        </is>
      </c>
      <c r="I131" s="73">
        <f>IF(F131="F",ROUND(E131*0.19/1.19,0),0)</f>
        <v/>
      </c>
      <c r="J131" s="73">
        <f>IF(E131="","",E131-I131)</f>
        <v/>
      </c>
      <c r="K131">
        <f>+_xlfn.XLOOKUP(Tabla1[[#This Row],[Nombre Cuenta]],PLAN_CUENTAS!$B$2:$B$100,PLAN_CUENTAS!$A$2:$A$100,0,0)</f>
        <v/>
      </c>
      <c r="L131">
        <f>+_xlfn.XLOOKUP(Tabla1[[#This Row],[Nombre Cuenta]],PLAN_CUENTAS!$B$2:$B$100,PLAN_CUENTAS!$C$2:$C$100,0,0)</f>
        <v/>
      </c>
    </row>
    <row r="132" ht="15" customHeight="1" s="65">
      <c r="A132" s="33" t="n">
        <v>46114</v>
      </c>
      <c r="B132" t="inlineStr">
        <is>
          <t>2026-04</t>
        </is>
      </c>
      <c r="C132" t="inlineStr">
        <is>
          <t>Cinta Embalaje</t>
        </is>
      </c>
      <c r="D132" t="inlineStr">
        <is>
          <t>Mercadolibre</t>
        </is>
      </c>
      <c r="E132" s="73" t="n">
        <v>13394</v>
      </c>
      <c r="F132" t="inlineStr">
        <is>
          <t>F</t>
        </is>
      </c>
      <c r="G132" t="inlineStr">
        <is>
          <t>Mercado Pago</t>
        </is>
      </c>
      <c r="H132" t="inlineStr">
        <is>
          <t>Packaging</t>
        </is>
      </c>
      <c r="I132" s="73">
        <f>IF(F132="F",ROUND(E132*0.19/1.19,0),0)</f>
        <v/>
      </c>
      <c r="J132" s="73">
        <f>IF(E132="","",E132-I132)</f>
        <v/>
      </c>
      <c r="K132">
        <f>+_xlfn.XLOOKUP(Tabla1[[#This Row],[Nombre Cuenta]],PLAN_CUENTAS!$B$2:$B$100,PLAN_CUENTAS!$A$2:$A$100,0,0)</f>
        <v/>
      </c>
      <c r="L132">
        <f>+_xlfn.XLOOKUP(Tabla1[[#This Row],[Nombre Cuenta]],PLAN_CUENTAS!$B$2:$B$100,PLAN_CUENTAS!$C$2:$C$100,0,0)</f>
        <v/>
      </c>
    </row>
    <row r="133" ht="15" customHeight="1" s="65">
      <c r="A133" s="33" t="n">
        <v>46114</v>
      </c>
      <c r="B133" t="inlineStr">
        <is>
          <t>2026-04</t>
        </is>
      </c>
      <c r="C133" t="inlineStr">
        <is>
          <t>Cajas mudanzas</t>
        </is>
      </c>
      <c r="D133" t="inlineStr">
        <is>
          <t>Mercadolibre</t>
        </is>
      </c>
      <c r="E133" s="73" t="n">
        <v>28787</v>
      </c>
      <c r="F133" t="inlineStr">
        <is>
          <t>F</t>
        </is>
      </c>
      <c r="G133" t="inlineStr">
        <is>
          <t>Mercado Pago</t>
        </is>
      </c>
      <c r="H133" t="inlineStr">
        <is>
          <t>Packaging</t>
        </is>
      </c>
      <c r="I133" s="73">
        <f>IF(F133="F",ROUND(E133*0.19/1.19,0),0)</f>
        <v/>
      </c>
      <c r="J133" s="73">
        <f>IF(E133="","",E133-I133)</f>
        <v/>
      </c>
      <c r="K133">
        <f>+_xlfn.XLOOKUP(Tabla1[[#This Row],[Nombre Cuenta]],PLAN_CUENTAS!$B$2:$B$100,PLAN_CUENTAS!$A$2:$A$100,0,0)</f>
        <v/>
      </c>
      <c r="L133">
        <f>+_xlfn.XLOOKUP(Tabla1[[#This Row],[Nombre Cuenta]],PLAN_CUENTAS!$B$2:$B$100,PLAN_CUENTAS!$C$2:$C$100,0,0)</f>
        <v/>
      </c>
    </row>
    <row r="134" ht="15" customHeight="1" s="65">
      <c r="A134" s="33" t="n">
        <v>46114</v>
      </c>
      <c r="B134" t="inlineStr">
        <is>
          <t>2026-04</t>
        </is>
      </c>
      <c r="C134" t="inlineStr">
        <is>
          <t>Termolaminadora</t>
        </is>
      </c>
      <c r="D134" t="inlineStr">
        <is>
          <t>Mercadolibre</t>
        </is>
      </c>
      <c r="E134" s="73" t="n">
        <v>14211</v>
      </c>
      <c r="F134" t="inlineStr">
        <is>
          <t>F</t>
        </is>
      </c>
      <c r="G134" t="inlineStr">
        <is>
          <t>Mercado Pago</t>
        </is>
      </c>
      <c r="H134" t="inlineStr">
        <is>
          <t>Equipamiento de Cocina</t>
        </is>
      </c>
      <c r="I134" s="73">
        <f>IF(F134="F",ROUND(E134*0.19/1.19,0),0)</f>
        <v/>
      </c>
      <c r="J134" s="73">
        <f>IF(E134="","",E134-I134)</f>
        <v/>
      </c>
      <c r="K134">
        <f>+_xlfn.XLOOKUP(Tabla1[[#This Row],[Nombre Cuenta]],PLAN_CUENTAS!$B$2:$B$100,PLAN_CUENTAS!$A$2:$A$100,0,0)</f>
        <v/>
      </c>
      <c r="L134">
        <f>+_xlfn.XLOOKUP(Tabla1[[#This Row],[Nombre Cuenta]],PLAN_CUENTAS!$B$2:$B$100,PLAN_CUENTAS!$C$2:$C$100,0,0)</f>
        <v/>
      </c>
    </row>
    <row r="135" ht="15" customHeight="1" s="65">
      <c r="A135" s="33" t="n">
        <v>46114</v>
      </c>
      <c r="B135" t="inlineStr">
        <is>
          <t>2026-04</t>
        </is>
      </c>
      <c r="C135" t="inlineStr">
        <is>
          <t>Dispensador Fijo Metálico Film Stretch Alusa+ Rollo Film Stretch Plastico</t>
        </is>
      </c>
      <c r="D135" t="inlineStr">
        <is>
          <t>Mercadolibre</t>
        </is>
      </c>
      <c r="E135" s="73" t="n">
        <v>63880</v>
      </c>
      <c r="F135" t="inlineStr">
        <is>
          <t>F</t>
        </is>
      </c>
      <c r="G135" t="inlineStr">
        <is>
          <t>Mercado Pago</t>
        </is>
      </c>
      <c r="H135" t="inlineStr">
        <is>
          <t>Equipamiento de Cocina</t>
        </is>
      </c>
      <c r="I135" s="73">
        <f>IF(F135="F",ROUND(E135*0.19/1.19,0),0)</f>
        <v/>
      </c>
      <c r="J135" s="73">
        <f>IF(E135="","",E135-I135)</f>
        <v/>
      </c>
      <c r="K135">
        <f>+_xlfn.XLOOKUP(Tabla1[[#This Row],[Nombre Cuenta]],PLAN_CUENTAS!$B$2:$B$100,PLAN_CUENTAS!$A$2:$A$100,0,0)</f>
        <v/>
      </c>
      <c r="L135">
        <f>+_xlfn.XLOOKUP(Tabla1[[#This Row],[Nombre Cuenta]],PLAN_CUENTAS!$B$2:$B$100,PLAN_CUENTAS!$C$2:$C$100,0,0)</f>
        <v/>
      </c>
    </row>
    <row r="136" ht="15" customHeight="1" s="65">
      <c r="A136" s="33" t="n">
        <v>46118</v>
      </c>
      <c r="B136" t="inlineStr">
        <is>
          <t>2026-04</t>
        </is>
      </c>
      <c r="C136" t="inlineStr">
        <is>
          <t>Pintura En Spray Esmalte Blanco Mate 400ml Rex-mimbral</t>
        </is>
      </c>
      <c r="D136" t="inlineStr">
        <is>
          <t>Mercadolibre</t>
        </is>
      </c>
      <c r="E136" s="73" t="n">
        <v>14950</v>
      </c>
      <c r="F136" t="inlineStr">
        <is>
          <t>F</t>
        </is>
      </c>
      <c r="G136" t="inlineStr">
        <is>
          <t>Mercado Pago</t>
        </is>
      </c>
      <c r="H136" t="inlineStr">
        <is>
          <t>Ferias y Eventos</t>
        </is>
      </c>
      <c r="I136" s="73">
        <f>IF(F136="F",ROUND(E136*0.19/1.19,0),0)</f>
        <v/>
      </c>
      <c r="J136" s="73">
        <f>IF(E136="","",E136-I136)</f>
        <v/>
      </c>
      <c r="K136">
        <f>+_xlfn.XLOOKUP(Tabla1[[#This Row],[Nombre Cuenta]],PLAN_CUENTAS!$B$2:$B$100,PLAN_CUENTAS!$A$2:$A$100,0,0)</f>
        <v/>
      </c>
      <c r="L136">
        <f>+_xlfn.XLOOKUP(Tabla1[[#This Row],[Nombre Cuenta]],PLAN_CUENTAS!$B$2:$B$100,PLAN_CUENTAS!$C$2:$C$100,0,0)</f>
        <v/>
      </c>
    </row>
    <row r="137" ht="15" customHeight="1" s="65">
      <c r="A137" s="33" t="n">
        <v>46121</v>
      </c>
      <c r="B137" t="inlineStr">
        <is>
          <t>2026-04</t>
        </is>
      </c>
      <c r="C137" t="inlineStr">
        <is>
          <t>Fundas personalizadas Caja de 6 Trad</t>
        </is>
      </c>
      <c r="D137" t="inlineStr">
        <is>
          <t>Alo Print</t>
        </is>
      </c>
      <c r="E137" s="73" t="n">
        <v>41598</v>
      </c>
      <c r="F137" t="inlineStr">
        <is>
          <t>F</t>
        </is>
      </c>
      <c r="G137" t="inlineStr">
        <is>
          <t>Mercado Pago</t>
        </is>
      </c>
      <c r="H137" t="inlineStr">
        <is>
          <t>Packaging</t>
        </is>
      </c>
      <c r="I137" s="73">
        <f>IF(F137="F",ROUND(E137*0.19/1.19,0),0)</f>
        <v/>
      </c>
      <c r="J137" s="73">
        <f>IF(E137="","",E137-I137)</f>
        <v/>
      </c>
      <c r="K137">
        <f>+_xlfn.XLOOKUP(Tabla1[[#This Row],[Nombre Cuenta]],PLAN_CUENTAS!$B$2:$B$100,PLAN_CUENTAS!$A$2:$A$100,0,0)</f>
        <v/>
      </c>
      <c r="L137">
        <f>+_xlfn.XLOOKUP(Tabla1[[#This Row],[Nombre Cuenta]],PLAN_CUENTAS!$B$2:$B$100,PLAN_CUENTAS!$C$2:$C$100,0,0)</f>
        <v/>
      </c>
    </row>
    <row r="138" ht="15" customHeight="1" s="65">
      <c r="A138" s="33" t="n">
        <v>46126</v>
      </c>
      <c r="B138" t="inlineStr">
        <is>
          <t>2026-04</t>
        </is>
      </c>
      <c r="C138" t="inlineStr">
        <is>
          <t>Bolsas de basura y film negro</t>
        </is>
      </c>
      <c r="D138" t="inlineStr">
        <is>
          <t>Mercadolibre</t>
        </is>
      </c>
      <c r="E138" s="73" t="n">
        <v>32288</v>
      </c>
      <c r="F138" t="inlineStr">
        <is>
          <t>F</t>
        </is>
      </c>
      <c r="G138" t="inlineStr">
        <is>
          <t>Mercado Pago</t>
        </is>
      </c>
      <c r="H138" t="inlineStr">
        <is>
          <t>Limpieza y Aseo</t>
        </is>
      </c>
      <c r="I138" s="73">
        <f>IF(F138="F",ROUND(E138*0.19/1.19,0),0)</f>
        <v/>
      </c>
      <c r="J138" s="73">
        <f>IF(E138="","",E138-I138)</f>
        <v/>
      </c>
      <c r="K138">
        <f>+_xlfn.XLOOKUP(Tabla1[[#This Row],[Nombre Cuenta]],PLAN_CUENTAS!$B$2:$B$100,PLAN_CUENTAS!$A$2:$A$100,0,0)</f>
        <v/>
      </c>
      <c r="L138">
        <f>+_xlfn.XLOOKUP(Tabla1[[#This Row],[Nombre Cuenta]],PLAN_CUENTAS!$B$2:$B$100,PLAN_CUENTAS!$C$2:$C$100,0,0)</f>
        <v/>
      </c>
    </row>
    <row r="139" ht="15" customHeight="1" s="65">
      <c r="A139" s="33" t="n">
        <v>46132</v>
      </c>
      <c r="B139" t="inlineStr">
        <is>
          <t>2026-04</t>
        </is>
      </c>
      <c r="C139" t="inlineStr">
        <is>
          <t>Syrup vainilla s/a y caramelo</t>
        </is>
      </c>
      <c r="D139" t="inlineStr">
        <is>
          <t>Europa Secreta</t>
        </is>
      </c>
      <c r="E139" s="73" t="n">
        <v>36980</v>
      </c>
      <c r="F139" t="inlineStr">
        <is>
          <t>F</t>
        </is>
      </c>
      <c r="G139" t="inlineStr">
        <is>
          <t>Mercado Pago</t>
        </is>
      </c>
      <c r="H139" t="inlineStr">
        <is>
          <t>Ingredientes</t>
        </is>
      </c>
      <c r="I139" s="73">
        <f>IF(F139="F",ROUND(E139*0.19/1.19,0),0)</f>
        <v/>
      </c>
      <c r="J139" s="73">
        <f>IF(E139="","",E139-I139)</f>
        <v/>
      </c>
      <c r="K139">
        <f>+_xlfn.XLOOKUP(Tabla1[[#This Row],[Nombre Cuenta]],PLAN_CUENTAS!$B$2:$B$100,PLAN_CUENTAS!$A$2:$A$100,0,0)</f>
        <v/>
      </c>
      <c r="L139">
        <f>+_xlfn.XLOOKUP(Tabla1[[#This Row],[Nombre Cuenta]],PLAN_CUENTAS!$B$2:$B$100,PLAN_CUENTAS!$C$2:$C$100,0,0)</f>
        <v/>
      </c>
    </row>
    <row r="140" ht="15" customHeight="1" s="65">
      <c r="A140" s="33" t="n">
        <v>46139</v>
      </c>
      <c r="B140" t="inlineStr">
        <is>
          <t>2026-04</t>
        </is>
      </c>
      <c r="C140" t="inlineStr">
        <is>
          <t>Guantes de latex talla M</t>
        </is>
      </c>
      <c r="D140" t="inlineStr">
        <is>
          <t>Mercadolibre</t>
        </is>
      </c>
      <c r="E140" s="73" t="n">
        <v>16387</v>
      </c>
      <c r="F140" t="inlineStr">
        <is>
          <t>F</t>
        </is>
      </c>
      <c r="G140" t="inlineStr">
        <is>
          <t>Mercado Pago</t>
        </is>
      </c>
      <c r="H140" t="inlineStr">
        <is>
          <t>Limpieza y Aseo</t>
        </is>
      </c>
      <c r="I140" s="73">
        <f>IF(F140="F",ROUND(E140*0.19/1.19,0),0)</f>
        <v/>
      </c>
      <c r="J140" s="73">
        <f>IF(E140="","",E140-I140)</f>
        <v/>
      </c>
      <c r="K140">
        <f>+_xlfn.XLOOKUP(Tabla1[[#This Row],[Nombre Cuenta]],PLAN_CUENTAS!$B$2:$B$100,PLAN_CUENTAS!$A$2:$A$100,0,0)</f>
        <v/>
      </c>
      <c r="L140">
        <f>+_xlfn.XLOOKUP(Tabla1[[#This Row],[Nombre Cuenta]],PLAN_CUENTAS!$B$2:$B$100,PLAN_CUENTAS!$C$2:$C$100,0,0)</f>
        <v/>
      </c>
    </row>
    <row r="141" ht="15" customHeight="1" s="65">
      <c r="A141" s="33" t="n">
        <v>46140</v>
      </c>
      <c r="B141" t="inlineStr">
        <is>
          <t>2026-04</t>
        </is>
      </c>
      <c r="C141" t="inlineStr">
        <is>
          <t>Zapatos Chef</t>
        </is>
      </c>
      <c r="D141" t="inlineStr">
        <is>
          <t>Steward</t>
        </is>
      </c>
      <c r="E141" s="73" t="n">
        <v>58883</v>
      </c>
      <c r="F141" t="inlineStr">
        <is>
          <t>F</t>
        </is>
      </c>
      <c r="G141" t="inlineStr">
        <is>
          <t>Mercado Pago</t>
        </is>
      </c>
      <c r="H141" t="inlineStr">
        <is>
          <t>Equipamiento de Cocina</t>
        </is>
      </c>
      <c r="I141" s="73">
        <f>IF(F141="F",ROUND(E141*0.19/1.19,0),0)</f>
        <v/>
      </c>
      <c r="J141" s="73">
        <f>IF(E141="","",E141-I141)</f>
        <v/>
      </c>
      <c r="K141">
        <f>+_xlfn.XLOOKUP(Tabla1[[#This Row],[Nombre Cuenta]],PLAN_CUENTAS!$B$2:$B$100,PLAN_CUENTAS!$A$2:$A$100,0,0)</f>
        <v/>
      </c>
      <c r="L141">
        <f>+_xlfn.XLOOKUP(Tabla1[[#This Row],[Nombre Cuenta]],PLAN_CUENTAS!$B$2:$B$100,PLAN_CUENTAS!$C$2:$C$100,0,0)</f>
        <v/>
      </c>
    </row>
    <row r="142" ht="15" customHeight="1" s="65">
      <c r="A142" s="33" t="n">
        <v>46116</v>
      </c>
      <c r="B142" t="inlineStr">
        <is>
          <t>2026-04</t>
        </is>
      </c>
      <c r="C142" t="inlineStr">
        <is>
          <t>Compra uber eats ignacia</t>
        </is>
      </c>
      <c r="D142" t="inlineStr">
        <is>
          <t>Uber</t>
        </is>
      </c>
      <c r="E142" s="73" t="n">
        <v>20095</v>
      </c>
      <c r="F142" t="inlineStr">
        <is>
          <t>S</t>
        </is>
      </c>
      <c r="G142" t="inlineStr">
        <is>
          <t>Credito</t>
        </is>
      </c>
      <c r="H142" t="inlineStr">
        <is>
          <t>Ingredientes</t>
        </is>
      </c>
      <c r="I142" s="73">
        <f>IF(F142="F",ROUND(E142*0.19/1.19,0),0)</f>
        <v/>
      </c>
      <c r="J142" s="73">
        <f>IF(E142="","",E142-I142)</f>
        <v/>
      </c>
      <c r="K142">
        <f>+_xlfn.XLOOKUP(Tabla1[[#This Row],[Nombre Cuenta]],PLAN_CUENTAS!$B$2:$B$100,PLAN_CUENTAS!$A$2:$A$100,0,0)</f>
        <v/>
      </c>
      <c r="L142">
        <f>+_xlfn.XLOOKUP(Tabla1[[#This Row],[Nombre Cuenta]],PLAN_CUENTAS!$B$2:$B$100,PLAN_CUENTAS!$C$2:$C$100,0,0)</f>
        <v/>
      </c>
    </row>
    <row r="143" ht="15" customHeight="1" s="65">
      <c r="A143" s="33" t="n">
        <v>46120</v>
      </c>
      <c r="B143" t="inlineStr">
        <is>
          <t>2026-04</t>
        </is>
      </c>
      <c r="C143" t="inlineStr">
        <is>
          <t>Materiales de aseo piso 2 y 3</t>
        </is>
      </c>
      <c r="D143" t="inlineStr">
        <is>
          <t>Lider</t>
        </is>
      </c>
      <c r="E143" s="73" t="n">
        <v>25730</v>
      </c>
      <c r="F143" t="inlineStr">
        <is>
          <t>F</t>
        </is>
      </c>
      <c r="G143" t="inlineStr">
        <is>
          <t>Credito</t>
        </is>
      </c>
      <c r="H143" t="inlineStr">
        <is>
          <t>Limpieza y Aseo</t>
        </is>
      </c>
      <c r="I143" s="73">
        <f>IF(F143="F",ROUND(E143*0.19/1.19,0),0)</f>
        <v/>
      </c>
      <c r="J143" s="73">
        <f>IF(E143="","",E143-I143)</f>
        <v/>
      </c>
      <c r="K143">
        <f>+_xlfn.XLOOKUP(Tabla1[[#This Row],[Nombre Cuenta]],PLAN_CUENTAS!$B$2:$B$100,PLAN_CUENTAS!$A$2:$A$100,0,0)</f>
        <v/>
      </c>
      <c r="L143">
        <f>+_xlfn.XLOOKUP(Tabla1[[#This Row],[Nombre Cuenta]],PLAN_CUENTAS!$B$2:$B$100,PLAN_CUENTAS!$C$2:$C$100,0,0)</f>
        <v/>
      </c>
    </row>
    <row r="144" ht="15" customHeight="1" s="65">
      <c r="A144" s="33" t="n">
        <v>46122</v>
      </c>
      <c r="B144" t="inlineStr">
        <is>
          <t>2026-04</t>
        </is>
      </c>
      <c r="C144" t="inlineStr">
        <is>
          <t>Leche en polvo, leche descremada y crema</t>
        </is>
      </c>
      <c r="D144" t="inlineStr">
        <is>
          <t>Colun</t>
        </is>
      </c>
      <c r="E144" s="73" t="n">
        <v>224509</v>
      </c>
      <c r="F144" t="inlineStr">
        <is>
          <t>F</t>
        </is>
      </c>
      <c r="G144" t="inlineStr">
        <is>
          <t>Credito</t>
        </is>
      </c>
      <c r="H144" t="inlineStr">
        <is>
          <t>Ingredientes</t>
        </is>
      </c>
      <c r="I144" s="73">
        <f>IF(F144="F",ROUND(E144*0.19/1.19,0),0)</f>
        <v/>
      </c>
      <c r="J144" s="73">
        <f>IF(E144="","",E144-I144)</f>
        <v/>
      </c>
      <c r="K144">
        <f>+_xlfn.XLOOKUP(Tabla1[[#This Row],[Nombre Cuenta]],PLAN_CUENTAS!$B$2:$B$100,PLAN_CUENTAS!$A$2:$A$100,0,0)</f>
        <v/>
      </c>
      <c r="L144">
        <f>+_xlfn.XLOOKUP(Tabla1[[#This Row],[Nombre Cuenta]],PLAN_CUENTAS!$B$2:$B$100,PLAN_CUENTAS!$C$2:$C$100,0,0)</f>
        <v/>
      </c>
    </row>
    <row r="145" ht="15" customHeight="1" s="65">
      <c r="A145" s="33" t="n">
        <v>46125</v>
      </c>
      <c r="B145" t="inlineStr">
        <is>
          <t>2026-04</t>
        </is>
      </c>
      <c r="C145" t="inlineStr">
        <is>
          <t>Aguas, coca cola y despacho</t>
        </is>
      </c>
      <c r="D145" t="inlineStr">
        <is>
          <t>Coca Cola Company</t>
        </is>
      </c>
      <c r="E145" s="73" t="n">
        <v>32540</v>
      </c>
      <c r="F145" t="inlineStr">
        <is>
          <t>F</t>
        </is>
      </c>
      <c r="G145" t="inlineStr">
        <is>
          <t>Credito</t>
        </is>
      </c>
      <c r="H145" t="inlineStr">
        <is>
          <t>Ingredientes</t>
        </is>
      </c>
      <c r="I145" s="73">
        <f>IF(F145="F",ROUND(E145*0.19/1.19,0),0)</f>
        <v/>
      </c>
      <c r="J145" s="73">
        <f>IF(E145="","",E145-I145)</f>
        <v/>
      </c>
      <c r="K145">
        <f>+_xlfn.XLOOKUP(Tabla1[[#This Row],[Nombre Cuenta]],PLAN_CUENTAS!$B$2:$B$100,PLAN_CUENTAS!$A$2:$A$100,0,0)</f>
        <v/>
      </c>
      <c r="L145">
        <f>+_xlfn.XLOOKUP(Tabla1[[#This Row],[Nombre Cuenta]],PLAN_CUENTAS!$B$2:$B$100,PLAN_CUENTAS!$C$2:$C$100,0,0)</f>
        <v/>
      </c>
    </row>
    <row r="146" ht="15" customHeight="1" s="65">
      <c r="A146" s="33" t="n">
        <v>46129</v>
      </c>
      <c r="B146" t="inlineStr">
        <is>
          <t>2026-04</t>
        </is>
      </c>
      <c r="C146" t="inlineStr">
        <is>
          <t>Harina 000000</t>
        </is>
      </c>
      <c r="D146" t="inlineStr">
        <is>
          <t>Molinos Cunaco</t>
        </is>
      </c>
      <c r="E146" s="73" t="n">
        <v>99864</v>
      </c>
      <c r="F146" t="inlineStr">
        <is>
          <t>F</t>
        </is>
      </c>
      <c r="G146" t="inlineStr">
        <is>
          <t>Credito</t>
        </is>
      </c>
      <c r="H146" t="inlineStr">
        <is>
          <t>Ingredientes</t>
        </is>
      </c>
      <c r="I146" s="73">
        <f>IF(F146="F",ROUND(E146*0.19/1.19,0),0)</f>
        <v/>
      </c>
      <c r="J146" s="73">
        <f>IF(E146="","",E146-I146)</f>
        <v/>
      </c>
      <c r="K146">
        <f>+_xlfn.XLOOKUP(Tabla1[[#This Row],[Nombre Cuenta]],PLAN_CUENTAS!$B$2:$B$100,PLAN_CUENTAS!$A$2:$A$100,0,0)</f>
        <v/>
      </c>
      <c r="L146">
        <f>+_xlfn.XLOOKUP(Tabla1[[#This Row],[Nombre Cuenta]],PLAN_CUENTAS!$B$2:$B$100,PLAN_CUENTAS!$C$2:$C$100,0,0)</f>
        <v/>
      </c>
    </row>
    <row r="147" ht="15" customHeight="1" s="65">
      <c r="A147" s="33" t="n">
        <v>46129</v>
      </c>
      <c r="B147" t="inlineStr">
        <is>
          <t>2026-04</t>
        </is>
      </c>
      <c r="C147" t="inlineStr">
        <is>
          <t>Leche en polvo</t>
        </is>
      </c>
      <c r="D147" t="inlineStr">
        <is>
          <t>Colun</t>
        </is>
      </c>
      <c r="E147" s="73" t="n">
        <v>162417</v>
      </c>
      <c r="F147" t="inlineStr">
        <is>
          <t>F</t>
        </is>
      </c>
      <c r="G147" t="inlineStr">
        <is>
          <t>Credito</t>
        </is>
      </c>
      <c r="H147" t="inlineStr">
        <is>
          <t>Ingredientes</t>
        </is>
      </c>
      <c r="I147" s="73">
        <f>IF(F147="F",ROUND(E147*0.19/1.19,0),0)</f>
        <v/>
      </c>
      <c r="J147" s="73">
        <f>IF(E147="","",E147-I147)</f>
        <v/>
      </c>
      <c r="K147">
        <f>+_xlfn.XLOOKUP(Tabla1[[#This Row],[Nombre Cuenta]],PLAN_CUENTAS!$B$2:$B$100,PLAN_CUENTAS!$A$2:$A$100,0,0)</f>
        <v/>
      </c>
      <c r="L147">
        <f>+_xlfn.XLOOKUP(Tabla1[[#This Row],[Nombre Cuenta]],PLAN_CUENTAS!$B$2:$B$100,PLAN_CUENTAS!$C$2:$C$100,0,0)</f>
        <v/>
      </c>
    </row>
    <row r="148" ht="15" customHeight="1" s="65">
      <c r="A148" s="33" t="n">
        <v>46132</v>
      </c>
      <c r="B148" t="inlineStr">
        <is>
          <t>2026-04</t>
        </is>
      </c>
      <c r="C148" t="inlineStr">
        <is>
          <t>Vaso latte + tapa</t>
        </is>
      </c>
      <c r="D148" t="inlineStr">
        <is>
          <t>DPS</t>
        </is>
      </c>
      <c r="E148" s="73" t="n">
        <v>72585</v>
      </c>
      <c r="F148" t="inlineStr">
        <is>
          <t>F</t>
        </is>
      </c>
      <c r="G148" t="inlineStr">
        <is>
          <t>Credito</t>
        </is>
      </c>
      <c r="H148" t="inlineStr">
        <is>
          <t>Packaging</t>
        </is>
      </c>
      <c r="I148" s="73">
        <f>IF(F148="F",ROUND(E148*0.19/1.19,0),0)</f>
        <v/>
      </c>
      <c r="J148" s="73">
        <f>IF(E148="","",E148-I148)</f>
        <v/>
      </c>
      <c r="K148">
        <f>+_xlfn.XLOOKUP(Tabla1[[#This Row],[Nombre Cuenta]],PLAN_CUENTAS!$B$2:$B$100,PLAN_CUENTAS!$A$2:$A$100,0,0)</f>
        <v/>
      </c>
      <c r="L148">
        <f>+_xlfn.XLOOKUP(Tabla1[[#This Row],[Nombre Cuenta]],PLAN_CUENTAS!$B$2:$B$100,PLAN_CUENTAS!$C$2:$C$100,0,0)</f>
        <v/>
      </c>
    </row>
    <row r="149" ht="15" customHeight="1" s="65">
      <c r="A149" s="33" t="n">
        <v>46134</v>
      </c>
      <c r="B149" t="inlineStr">
        <is>
          <t>2026-05</t>
        </is>
      </c>
      <c r="C149" t="inlineStr">
        <is>
          <t>Leche en polvo</t>
        </is>
      </c>
      <c r="D149" t="inlineStr">
        <is>
          <t>Colun</t>
        </is>
      </c>
      <c r="E149" s="73" t="n">
        <v>162417</v>
      </c>
      <c r="F149" t="inlineStr">
        <is>
          <t>F</t>
        </is>
      </c>
      <c r="G149" t="inlineStr">
        <is>
          <t>Credito</t>
        </is>
      </c>
      <c r="H149" t="inlineStr">
        <is>
          <t>Ingredientes</t>
        </is>
      </c>
      <c r="I149" s="73">
        <f>IF(F149="F",ROUND(E149*0.19/1.19,0),0)</f>
        <v/>
      </c>
      <c r="J149" s="73">
        <f>IF(E149="","",E149-I149)</f>
        <v/>
      </c>
      <c r="K149">
        <f>+_xlfn.XLOOKUP(Tabla1[[#This Row],[Nombre Cuenta]],PLAN_CUENTAS!$B$2:$B$100,PLAN_CUENTAS!$A$2:$A$100,0,0)</f>
        <v/>
      </c>
      <c r="L149">
        <f>+_xlfn.XLOOKUP(Tabla1[[#This Row],[Nombre Cuenta]],PLAN_CUENTAS!$B$2:$B$100,PLAN_CUENTAS!$C$2:$C$100,0,0)</f>
        <v/>
      </c>
    </row>
    <row r="150" ht="15" customHeight="1" s="65">
      <c r="A150" s="33" t="n">
        <v>46134</v>
      </c>
      <c r="B150" t="inlineStr">
        <is>
          <t>2026-04</t>
        </is>
      </c>
      <c r="C150" t="inlineStr">
        <is>
          <t>Intereses</t>
        </is>
      </c>
      <c r="D150" t="inlineStr">
        <is>
          <t>Banco Santander</t>
        </is>
      </c>
      <c r="E150" s="73" t="n">
        <v>2736</v>
      </c>
      <c r="G150" t="inlineStr">
        <is>
          <t>Credito</t>
        </is>
      </c>
      <c r="H150" t="inlineStr">
        <is>
          <t>Gastos Bancarios</t>
        </is>
      </c>
      <c r="I150" s="73">
        <f>IF(F150="F",ROUND(E150*0.19/1.19,0),0)</f>
        <v/>
      </c>
      <c r="J150" s="73">
        <f>IF(E150="","",E150-I150)</f>
        <v/>
      </c>
      <c r="K150">
        <f>+_xlfn.XLOOKUP(Tabla1[[#This Row],[Nombre Cuenta]],PLAN_CUENTAS!$B$2:$B$100,PLAN_CUENTAS!$A$2:$A$100,0,0)</f>
        <v/>
      </c>
      <c r="L150">
        <f>+_xlfn.XLOOKUP(Tabla1[[#This Row],[Nombre Cuenta]],PLAN_CUENTAS!$B$2:$B$100,PLAN_CUENTAS!$C$2:$C$100,0,0)</f>
        <v/>
      </c>
    </row>
    <row r="151" ht="15" customHeight="1" s="65">
      <c r="A151" s="33" t="n">
        <v>46134</v>
      </c>
      <c r="B151" t="inlineStr">
        <is>
          <t>2026-04</t>
        </is>
      </c>
      <c r="C151" t="inlineStr">
        <is>
          <t>Comision de mantencion</t>
        </is>
      </c>
      <c r="D151" t="inlineStr">
        <is>
          <t>Banco Santander</t>
        </is>
      </c>
      <c r="E151" s="73" t="n">
        <v>9203</v>
      </c>
      <c r="G151" t="inlineStr">
        <is>
          <t>Credito</t>
        </is>
      </c>
      <c r="H151" t="inlineStr">
        <is>
          <t>Gastos Bancarios</t>
        </is>
      </c>
      <c r="I151" s="73">
        <f>IF(F151="F",ROUND(E151*0.19/1.19,0),0)</f>
        <v/>
      </c>
      <c r="J151" s="73">
        <f>IF(E151="","",E151-I151)</f>
        <v/>
      </c>
      <c r="K151">
        <f>+_xlfn.XLOOKUP(Tabla1[[#This Row],[Nombre Cuenta]],PLAN_CUENTAS!$B$2:$B$100,PLAN_CUENTAS!$A$2:$A$100,0,0)</f>
        <v/>
      </c>
      <c r="L151">
        <f>+_xlfn.XLOOKUP(Tabla1[[#This Row],[Nombre Cuenta]],PLAN_CUENTAS!$B$2:$B$100,PLAN_CUENTAS!$C$2:$C$100,0,0)</f>
        <v/>
      </c>
    </row>
    <row r="152" ht="15" customHeight="1" s="65">
      <c r="A152" s="33" t="n">
        <v>46135</v>
      </c>
      <c r="B152" t="inlineStr">
        <is>
          <t>2026-05</t>
        </is>
      </c>
      <c r="C152" t="inlineStr">
        <is>
          <t>Agua, monster, coca cola,, despacho</t>
        </is>
      </c>
      <c r="D152" t="inlineStr">
        <is>
          <t>Coca Cola Company</t>
        </is>
      </c>
      <c r="E152" s="73" t="n">
        <v>44430</v>
      </c>
      <c r="F152" t="inlineStr">
        <is>
          <t>F</t>
        </is>
      </c>
      <c r="G152" t="inlineStr">
        <is>
          <t>Credito</t>
        </is>
      </c>
      <c r="H152" t="inlineStr">
        <is>
          <t>Ingredientes</t>
        </is>
      </c>
      <c r="I152" s="73">
        <f>IF(F152="F",ROUND(E152*0.19/1.19,0),0)</f>
        <v/>
      </c>
      <c r="J152" s="73">
        <f>IF(E152="","",E152-I152)</f>
        <v/>
      </c>
      <c r="K152">
        <f>+_xlfn.XLOOKUP(Tabla1[[#This Row],[Nombre Cuenta]],PLAN_CUENTAS!$B$2:$B$100,PLAN_CUENTAS!$A$2:$A$100,0,0)</f>
        <v/>
      </c>
      <c r="L152">
        <f>+_xlfn.XLOOKUP(Tabla1[[#This Row],[Nombre Cuenta]],PLAN_CUENTAS!$B$2:$B$100,PLAN_CUENTAS!$C$2:$C$100,0,0)</f>
        <v/>
      </c>
    </row>
    <row r="153" ht="15" customHeight="1" s="65">
      <c r="A153" s="33" t="n">
        <v>46136</v>
      </c>
      <c r="B153" t="inlineStr">
        <is>
          <t>2026-05</t>
        </is>
      </c>
      <c r="C153" t="inlineStr">
        <is>
          <t>Caja para despacho ecourier</t>
        </is>
      </c>
      <c r="D153" t="inlineStr">
        <is>
          <t>Via Group Spa</t>
        </is>
      </c>
      <c r="E153" s="73" t="n">
        <v>2500</v>
      </c>
      <c r="F153" t="inlineStr">
        <is>
          <t>S</t>
        </is>
      </c>
      <c r="G153" t="inlineStr">
        <is>
          <t>Credito</t>
        </is>
      </c>
      <c r="H153" t="inlineStr">
        <is>
          <t>Packaging</t>
        </is>
      </c>
      <c r="I153" s="73">
        <f>IF(F153="F",ROUND(E153*0.19/1.19,0),0)</f>
        <v/>
      </c>
      <c r="J153" s="73">
        <f>IF(E153="","",E153-I153)</f>
        <v/>
      </c>
      <c r="K153">
        <f>+_xlfn.XLOOKUP(Tabla1[[#This Row],[Nombre Cuenta]],PLAN_CUENTAS!$B$2:$B$100,PLAN_CUENTAS!$A$2:$A$100,0,0)</f>
        <v/>
      </c>
      <c r="L153">
        <f>+_xlfn.XLOOKUP(Tabla1[[#This Row],[Nombre Cuenta]],PLAN_CUENTAS!$B$2:$B$100,PLAN_CUENTAS!$C$2:$C$100,0,0)</f>
        <v/>
      </c>
    </row>
    <row r="154" ht="15" customHeight="1" s="65">
      <c r="A154" s="33" t="n">
        <v>46136</v>
      </c>
      <c r="B154" t="inlineStr">
        <is>
          <t>2026-05</t>
        </is>
      </c>
      <c r="C154" t="inlineStr">
        <is>
          <t>Mantequilla formato 250 gr</t>
        </is>
      </c>
      <c r="D154" t="inlineStr">
        <is>
          <t>Colun</t>
        </is>
      </c>
      <c r="E154" s="73" t="n">
        <v>179567</v>
      </c>
      <c r="F154" t="inlineStr">
        <is>
          <t>F</t>
        </is>
      </c>
      <c r="G154" t="inlineStr">
        <is>
          <t>Credito</t>
        </is>
      </c>
      <c r="H154" t="inlineStr">
        <is>
          <t>Ingredientes</t>
        </is>
      </c>
      <c r="I154" s="73">
        <f>IF(F154="F",ROUND(E154*0.19/1.19,0),0)</f>
        <v/>
      </c>
      <c r="J154" s="73">
        <f>IF(E154="","",E154-I154)</f>
        <v/>
      </c>
      <c r="K154">
        <f>+_xlfn.XLOOKUP(Tabla1[[#This Row],[Nombre Cuenta]],PLAN_CUENTAS!$B$2:$B$100,PLAN_CUENTAS!$A$2:$A$100,0,0)</f>
        <v/>
      </c>
      <c r="L154">
        <f>+_xlfn.XLOOKUP(Tabla1[[#This Row],[Nombre Cuenta]],PLAN_CUENTAS!$B$2:$B$100,PLAN_CUENTAS!$C$2:$C$100,0,0)</f>
        <v/>
      </c>
    </row>
    <row r="155" ht="15" customHeight="1" s="65">
      <c r="A155" s="33" t="n">
        <v>46140</v>
      </c>
      <c r="B155" t="inlineStr">
        <is>
          <t>2026-05</t>
        </is>
      </c>
      <c r="C155" t="inlineStr">
        <is>
          <t>Manjar Blanco</t>
        </is>
      </c>
      <c r="D155" t="inlineStr">
        <is>
          <t>Manjar natural</t>
        </is>
      </c>
      <c r="E155" s="73" t="n">
        <v>30000</v>
      </c>
      <c r="F155" t="inlineStr">
        <is>
          <t>F</t>
        </is>
      </c>
      <c r="G155" t="inlineStr">
        <is>
          <t>Credito</t>
        </is>
      </c>
      <c r="H155" t="inlineStr">
        <is>
          <t>Ingredientes</t>
        </is>
      </c>
      <c r="I155" s="73">
        <f>IF(F155="F",ROUND(E155*0.19/1.19,0),0)</f>
        <v/>
      </c>
      <c r="J155" s="73">
        <f>IF(E155="","",E155-I155)</f>
        <v/>
      </c>
      <c r="K155">
        <f>+_xlfn.XLOOKUP(Tabla1[[#This Row],[Nombre Cuenta]],PLAN_CUENTAS!$B$2:$B$100,PLAN_CUENTAS!$A$2:$A$100,0,0)</f>
        <v/>
      </c>
      <c r="L155">
        <f>+_xlfn.XLOOKUP(Tabla1[[#This Row],[Nombre Cuenta]],PLAN_CUENTAS!$B$2:$B$100,PLAN_CUENTAS!$C$2:$C$100,0,0)</f>
        <v/>
      </c>
    </row>
    <row r="156" ht="15" customHeight="1" s="65">
      <c r="A156" s="33" t="n">
        <v>46140</v>
      </c>
      <c r="B156" t="inlineStr">
        <is>
          <t>2026-05</t>
        </is>
      </c>
      <c r="C156" t="inlineStr">
        <is>
          <t>50% abono instalacion cuota 1 de 3</t>
        </is>
      </c>
      <c r="D156" t="inlineStr">
        <is>
          <t>Manuel Chunga</t>
        </is>
      </c>
      <c r="E156" s="73" t="n">
        <v>207655</v>
      </c>
      <c r="F156" t="inlineStr">
        <is>
          <t>F</t>
        </is>
      </c>
      <c r="G156" t="inlineStr">
        <is>
          <t>Credito</t>
        </is>
      </c>
      <c r="H156" t="inlineStr">
        <is>
          <t>Seguridad</t>
        </is>
      </c>
      <c r="I156" s="73">
        <f>IF(F156="F",ROUND(E156*0.19/1.19,0),0)</f>
        <v/>
      </c>
      <c r="J156" s="73">
        <f>IF(E156="","",E156-I156)</f>
        <v/>
      </c>
      <c r="K156">
        <f>+_xlfn.XLOOKUP(Tabla1[[#This Row],[Nombre Cuenta]],PLAN_CUENTAS!$B$2:$B$100,PLAN_CUENTAS!$A$2:$A$100,0,0)</f>
        <v/>
      </c>
      <c r="L156">
        <f>+_xlfn.XLOOKUP(Tabla1[[#This Row],[Nombre Cuenta]],PLAN_CUENTAS!$B$2:$B$100,PLAN_CUENTAS!$C$2:$C$100,0,0)</f>
        <v/>
      </c>
    </row>
    <row r="157" ht="15" customHeight="1" s="65">
      <c r="A157" s="33" t="n">
        <v>46140</v>
      </c>
      <c r="B157" t="inlineStr">
        <is>
          <t>2026-05</t>
        </is>
      </c>
      <c r="C157" t="inlineStr">
        <is>
          <t>Harina 000000</t>
        </is>
      </c>
      <c r="D157" t="inlineStr">
        <is>
          <t>Molinos Cunaco</t>
        </is>
      </c>
      <c r="E157" s="73" t="n">
        <v>112347</v>
      </c>
      <c r="F157" t="inlineStr">
        <is>
          <t>F</t>
        </is>
      </c>
      <c r="G157" t="inlineStr">
        <is>
          <t>Credito</t>
        </is>
      </c>
      <c r="H157" t="inlineStr">
        <is>
          <t>Ingredientes</t>
        </is>
      </c>
      <c r="I157" s="73">
        <f>IF(F157="F",ROUND(E157*0.19/1.19,0),0)</f>
        <v/>
      </c>
      <c r="J157" s="73">
        <f>IF(E157="","",E157-I157)</f>
        <v/>
      </c>
      <c r="K157">
        <f>+_xlfn.XLOOKUP(Tabla1[[#This Row],[Nombre Cuenta]],PLAN_CUENTAS!$B$2:$B$100,PLAN_CUENTAS!$A$2:$A$100,0,0)</f>
        <v/>
      </c>
      <c r="L157">
        <f>+_xlfn.XLOOKUP(Tabla1[[#This Row],[Nombre Cuenta]],PLAN_CUENTAS!$B$2:$B$100,PLAN_CUENTAS!$C$2:$C$100,0,0)</f>
        <v/>
      </c>
    </row>
    <row r="158">
      <c r="A158" s="33" t="n"/>
      <c r="E158" s="73" t="n"/>
      <c r="I158" s="73">
        <f>IF(F158="F",ROUND(E158*0.19/1.19,0),0)</f>
        <v/>
      </c>
      <c r="J158" s="73">
        <f>IF(E158="","",E158-I158)</f>
        <v/>
      </c>
      <c r="K158">
        <f>+_xlfn.XLOOKUP(Tabla1[[#This Row],[Nombre Cuenta]],PLAN_CUENTAS!$B$2:$B$100,PLAN_CUENTAS!$A$2:$A$100,0,0)</f>
        <v/>
      </c>
      <c r="L158">
        <f>+_xlfn.XLOOKUP(Tabla1[[#This Row],[Nombre Cuenta]],PLAN_CUENTAS!$B$2:$B$100,PLAN_CUENTAS!$C$2:$C$100,0,0)</f>
        <v/>
      </c>
    </row>
    <row r="159">
      <c r="A159" s="33" t="n"/>
      <c r="E159" s="73" t="n"/>
      <c r="I159" s="73">
        <f>IF(F159="F",ROUND(E159*0.19/1.19,0),0)</f>
        <v/>
      </c>
      <c r="J159" s="73">
        <f>IF(E159="","",E159-I159)</f>
        <v/>
      </c>
      <c r="K159">
        <f>+_xlfn.XLOOKUP(Tabla1[[#This Row],[Nombre Cuenta]],PLAN_CUENTAS!$B$2:$B$100,PLAN_CUENTAS!$A$2:$A$100,0,0)</f>
        <v/>
      </c>
      <c r="L159">
        <f>+_xlfn.XLOOKUP(Tabla1[[#This Row],[Nombre Cuenta]],PLAN_CUENTAS!$B$2:$B$100,PLAN_CUENTAS!$C$2:$C$100,0,0)</f>
        <v/>
      </c>
    </row>
    <row r="160">
      <c r="A160" s="33" t="n"/>
      <c r="E160" s="73" t="n"/>
      <c r="I160" s="73">
        <f>IF(F160="F",ROUND(E160*0.19/1.19,0),0)</f>
        <v/>
      </c>
      <c r="J160" s="73">
        <f>IF(E160="","",E160-I160)</f>
        <v/>
      </c>
      <c r="K160">
        <f>+_xlfn.XLOOKUP(Tabla1[[#This Row],[Nombre Cuenta]],PLAN_CUENTAS!$B$2:$B$100,PLAN_CUENTAS!$A$2:$A$100,0,0)</f>
        <v/>
      </c>
      <c r="L160">
        <f>+_xlfn.XLOOKUP(Tabla1[[#This Row],[Nombre Cuenta]],PLAN_CUENTAS!$B$2:$B$100,PLAN_CUENTAS!$C$2:$C$100,0,0)</f>
        <v/>
      </c>
    </row>
    <row r="161">
      <c r="A161" s="33" t="n"/>
      <c r="E161" s="73" t="n"/>
      <c r="I161" s="73">
        <f>IF(F161="F",ROUND(E161*0.19/1.19,0),0)</f>
        <v/>
      </c>
      <c r="J161" s="73">
        <f>IF(E161="","",E161-I161)</f>
        <v/>
      </c>
      <c r="K161">
        <f>+_xlfn.XLOOKUP(Tabla1[[#This Row],[Nombre Cuenta]],PLAN_CUENTAS!$B$2:$B$100,PLAN_CUENTAS!$A$2:$A$100,0,0)</f>
        <v/>
      </c>
      <c r="L161">
        <f>+_xlfn.XLOOKUP(Tabla1[[#This Row],[Nombre Cuenta]],PLAN_CUENTAS!$B$2:$B$100,PLAN_CUENTAS!$C$2:$C$100,0,0)</f>
        <v/>
      </c>
    </row>
    <row r="162">
      <c r="A162" s="33" t="n"/>
      <c r="E162" s="73" t="n"/>
      <c r="I162" s="73">
        <f>IF(F162="F",ROUND(E162*0.19/1.19,0),0)</f>
        <v/>
      </c>
      <c r="J162" s="73">
        <f>IF(E162="","",E162-I162)</f>
        <v/>
      </c>
      <c r="K162">
        <f>+_xlfn.XLOOKUP(Tabla1[[#This Row],[Nombre Cuenta]],PLAN_CUENTAS!$B$2:$B$100,PLAN_CUENTAS!$A$2:$A$100,0,0)</f>
        <v/>
      </c>
      <c r="L162">
        <f>+_xlfn.XLOOKUP(Tabla1[[#This Row],[Nombre Cuenta]],PLAN_CUENTAS!$B$2:$B$100,PLAN_CUENTAS!$C$2:$C$100,0,0)</f>
        <v/>
      </c>
    </row>
    <row r="163">
      <c r="A163" s="33" t="n"/>
      <c r="E163" s="73" t="n"/>
      <c r="I163" s="73">
        <f>IF(F163="F",ROUND(E163*0.19/1.19,0),0)</f>
        <v/>
      </c>
      <c r="J163" s="73">
        <f>IF(E163="","",E163-I163)</f>
        <v/>
      </c>
      <c r="K163">
        <f>+_xlfn.XLOOKUP(Tabla1[[#This Row],[Nombre Cuenta]],PLAN_CUENTAS!$B$2:$B$100,PLAN_CUENTAS!$A$2:$A$100,0,0)</f>
        <v/>
      </c>
      <c r="L163">
        <f>+_xlfn.XLOOKUP(Tabla1[[#This Row],[Nombre Cuenta]],PLAN_CUENTAS!$B$2:$B$100,PLAN_CUENTAS!$C$2:$C$100,0,0)</f>
        <v/>
      </c>
    </row>
    <row r="164">
      <c r="A164" s="33" t="n"/>
      <c r="E164" s="73" t="n"/>
      <c r="I164" s="73">
        <f>IF(F164="F",ROUND(E164*0.19/1.19,0),0)</f>
        <v/>
      </c>
      <c r="J164" s="73">
        <f>IF(E164="","",E164-I164)</f>
        <v/>
      </c>
      <c r="K164">
        <f>+_xlfn.XLOOKUP(Tabla1[[#This Row],[Nombre Cuenta]],PLAN_CUENTAS!$B$2:$B$100,PLAN_CUENTAS!$A$2:$A$100,0,0)</f>
        <v/>
      </c>
      <c r="L164">
        <f>+_xlfn.XLOOKUP(Tabla1[[#This Row],[Nombre Cuenta]],PLAN_CUENTAS!$B$2:$B$100,PLAN_CUENTAS!$C$2:$C$100,0,0)</f>
        <v/>
      </c>
    </row>
    <row r="165">
      <c r="A165" s="33" t="n"/>
      <c r="E165" s="73" t="n"/>
      <c r="I165" s="73">
        <f>IF(F165="F",ROUND(E165*0.19/1.19,0),0)</f>
        <v/>
      </c>
      <c r="J165" s="73">
        <f>IF(E165="","",E165-I165)</f>
        <v/>
      </c>
      <c r="K165">
        <f>+_xlfn.XLOOKUP(Tabla1[[#This Row],[Nombre Cuenta]],PLAN_CUENTAS!$B$2:$B$100,PLAN_CUENTAS!$A$2:$A$100,0,0)</f>
        <v/>
      </c>
      <c r="L165">
        <f>+_xlfn.XLOOKUP(Tabla1[[#This Row],[Nombre Cuenta]],PLAN_CUENTAS!$B$2:$B$100,PLAN_CUENTAS!$C$2:$C$100,0,0)</f>
        <v/>
      </c>
    </row>
    <row r="166">
      <c r="A166" s="33" t="n"/>
      <c r="E166" s="73" t="n"/>
      <c r="I166" s="73">
        <f>IF(F166="F",ROUND(E166*0.19/1.19,0),0)</f>
        <v/>
      </c>
      <c r="J166" s="73">
        <f>IF(E166="","",E166-I166)</f>
        <v/>
      </c>
      <c r="K166">
        <f>+_xlfn.XLOOKUP(Tabla1[[#This Row],[Nombre Cuenta]],PLAN_CUENTAS!$B$2:$B$100,PLAN_CUENTAS!$A$2:$A$100,0,0)</f>
        <v/>
      </c>
      <c r="L166">
        <f>+_xlfn.XLOOKUP(Tabla1[[#This Row],[Nombre Cuenta]],PLAN_CUENTAS!$B$2:$B$100,PLAN_CUENTAS!$C$2:$C$100,0,0)</f>
        <v/>
      </c>
    </row>
    <row r="167">
      <c r="A167" s="33" t="n"/>
      <c r="E167" s="73" t="n"/>
      <c r="I167" s="73">
        <f>IF(F167="F",ROUND(E167*0.19/1.19,0),0)</f>
        <v/>
      </c>
      <c r="J167" s="73">
        <f>IF(E167="","",E167-I167)</f>
        <v/>
      </c>
      <c r="K167">
        <f>+_xlfn.XLOOKUP(Tabla1[[#This Row],[Nombre Cuenta]],PLAN_CUENTAS!$B$2:$B$100,PLAN_CUENTAS!$A$2:$A$100,0,0)</f>
        <v/>
      </c>
      <c r="L167">
        <f>+_xlfn.XLOOKUP(Tabla1[[#This Row],[Nombre Cuenta]],PLAN_CUENTAS!$B$2:$B$100,PLAN_CUENTAS!$C$2:$C$100,0,0)</f>
        <v/>
      </c>
    </row>
    <row r="168">
      <c r="A168" s="33" t="n"/>
      <c r="E168" s="73" t="n"/>
      <c r="I168" s="73">
        <f>IF(F168="F",ROUND(E168*0.19/1.19,0),0)</f>
        <v/>
      </c>
      <c r="J168" s="73">
        <f>IF(E168="","",E168-I168)</f>
        <v/>
      </c>
      <c r="K168">
        <f>+_xlfn.XLOOKUP(Tabla1[[#This Row],[Nombre Cuenta]],PLAN_CUENTAS!$B$2:$B$100,PLAN_CUENTAS!$A$2:$A$100,0,0)</f>
        <v/>
      </c>
      <c r="L168">
        <f>+_xlfn.XLOOKUP(Tabla1[[#This Row],[Nombre Cuenta]],PLAN_CUENTAS!$B$2:$B$100,PLAN_CUENTAS!$C$2:$C$100,0,0)</f>
        <v/>
      </c>
    </row>
    <row r="169">
      <c r="A169" s="33" t="n"/>
      <c r="E169" s="73" t="n"/>
      <c r="I169" s="73">
        <f>IF(F169="F",ROUND(E169*0.19/1.19,0),0)</f>
        <v/>
      </c>
      <c r="J169" s="73">
        <f>IF(E169="","",E169-I169)</f>
        <v/>
      </c>
      <c r="K169">
        <f>+_xlfn.XLOOKUP(Tabla1[[#This Row],[Nombre Cuenta]],PLAN_CUENTAS!$B$2:$B$100,PLAN_CUENTAS!$A$2:$A$100,0,0)</f>
        <v/>
      </c>
      <c r="L169">
        <f>+_xlfn.XLOOKUP(Tabla1[[#This Row],[Nombre Cuenta]],PLAN_CUENTAS!$B$2:$B$100,PLAN_CUENTAS!$C$2:$C$100,0,0)</f>
        <v/>
      </c>
    </row>
    <row r="170">
      <c r="A170" s="33" t="n"/>
      <c r="E170" s="73" t="n"/>
      <c r="I170" s="73">
        <f>IF(F170="F",ROUND(E170*0.19/1.19,0),0)</f>
        <v/>
      </c>
      <c r="J170" s="73">
        <f>IF(E170="","",E170-I170)</f>
        <v/>
      </c>
      <c r="K170">
        <f>+_xlfn.XLOOKUP(Tabla1[[#This Row],[Nombre Cuenta]],PLAN_CUENTAS!$B$2:$B$100,PLAN_CUENTAS!$A$2:$A$100,0,0)</f>
        <v/>
      </c>
      <c r="L170">
        <f>+_xlfn.XLOOKUP(Tabla1[[#This Row],[Nombre Cuenta]],PLAN_CUENTAS!$B$2:$B$100,PLAN_CUENTAS!$C$2:$C$100,0,0)</f>
        <v/>
      </c>
    </row>
    <row r="171">
      <c r="A171" s="33" t="n"/>
      <c r="E171" s="73" t="n"/>
      <c r="I171" s="73">
        <f>IF(F171="F",ROUND(E171*0.19/1.19,0),0)</f>
        <v/>
      </c>
      <c r="J171" s="73">
        <f>IF(E171="","",E171-I171)</f>
        <v/>
      </c>
      <c r="K171">
        <f>+_xlfn.XLOOKUP(Tabla1[[#This Row],[Nombre Cuenta]],PLAN_CUENTAS!$B$2:$B$100,PLAN_CUENTAS!$A$2:$A$100,0,0)</f>
        <v/>
      </c>
      <c r="L171">
        <f>+_xlfn.XLOOKUP(Tabla1[[#This Row],[Nombre Cuenta]],PLAN_CUENTAS!$B$2:$B$100,PLAN_CUENTAS!$C$2:$C$100,0,0)</f>
        <v/>
      </c>
    </row>
    <row r="172">
      <c r="A172" s="33" t="n"/>
      <c r="E172" s="73" t="n"/>
      <c r="I172" s="73">
        <f>IF(F172="F",ROUND(E172*0.19/1.19,0),0)</f>
        <v/>
      </c>
      <c r="J172" s="73">
        <f>IF(E172="","",E172-I172)</f>
        <v/>
      </c>
      <c r="K172">
        <f>+_xlfn.XLOOKUP(Tabla1[[#This Row],[Nombre Cuenta]],PLAN_CUENTAS!$B$2:$B$100,PLAN_CUENTAS!$A$2:$A$100,0,0)</f>
        <v/>
      </c>
      <c r="L172">
        <f>+_xlfn.XLOOKUP(Tabla1[[#This Row],[Nombre Cuenta]],PLAN_CUENTAS!$B$2:$B$100,PLAN_CUENTAS!$C$2:$C$100,0,0)</f>
        <v/>
      </c>
    </row>
    <row r="173">
      <c r="A173" s="33" t="n"/>
      <c r="E173" s="73" t="n"/>
      <c r="I173" s="73">
        <f>IF(F173="F",ROUND(E173*0.19/1.19,0),0)</f>
        <v/>
      </c>
      <c r="J173" s="73">
        <f>IF(E173="","",E173-I173)</f>
        <v/>
      </c>
      <c r="K173">
        <f>+_xlfn.XLOOKUP(Tabla1[[#This Row],[Nombre Cuenta]],PLAN_CUENTAS!$B$2:$B$100,PLAN_CUENTAS!$A$2:$A$100,0,0)</f>
        <v/>
      </c>
      <c r="L173">
        <f>+_xlfn.XLOOKUP(Tabla1[[#This Row],[Nombre Cuenta]],PLAN_CUENTAS!$B$2:$B$100,PLAN_CUENTAS!$C$2:$C$100,0,0)</f>
        <v/>
      </c>
    </row>
    <row r="174">
      <c r="A174" s="33" t="n"/>
      <c r="E174" s="73" t="n"/>
      <c r="I174" s="73">
        <f>IF(F174="F",ROUND(E174*0.19/1.19,0),0)</f>
        <v/>
      </c>
      <c r="J174" s="73">
        <f>IF(E174="","",E174-I174)</f>
        <v/>
      </c>
      <c r="K174">
        <f>+_xlfn.XLOOKUP(Tabla1[[#This Row],[Nombre Cuenta]],PLAN_CUENTAS!$B$2:$B$100,PLAN_CUENTAS!$A$2:$A$100,0,0)</f>
        <v/>
      </c>
      <c r="L174">
        <f>+_xlfn.XLOOKUP(Tabla1[[#This Row],[Nombre Cuenta]],PLAN_CUENTAS!$B$2:$B$100,PLAN_CUENTAS!$C$2:$C$100,0,0)</f>
        <v/>
      </c>
    </row>
    <row r="175">
      <c r="A175" s="33" t="n"/>
      <c r="E175" s="73" t="n"/>
      <c r="I175" s="73">
        <f>IF(F175="F",ROUND(E175*0.19/1.19,0),0)</f>
        <v/>
      </c>
      <c r="J175" s="73">
        <f>IF(E175="","",E175-I175)</f>
        <v/>
      </c>
      <c r="K175">
        <f>+_xlfn.XLOOKUP(Tabla1[[#This Row],[Nombre Cuenta]],PLAN_CUENTAS!$B$2:$B$100,PLAN_CUENTAS!$A$2:$A$100,0,0)</f>
        <v/>
      </c>
      <c r="L175">
        <f>+_xlfn.XLOOKUP(Tabla1[[#This Row],[Nombre Cuenta]],PLAN_CUENTAS!$B$2:$B$100,PLAN_CUENTAS!$C$2:$C$100,0,0)</f>
        <v/>
      </c>
    </row>
    <row r="176">
      <c r="A176" s="33" t="n"/>
      <c r="E176" s="73" t="n"/>
      <c r="I176" s="73">
        <f>IF(F176="F",ROUND(E176*0.19/1.19,0),0)</f>
        <v/>
      </c>
      <c r="J176" s="73">
        <f>IF(E176="","",E176-I176)</f>
        <v/>
      </c>
      <c r="K176">
        <f>+_xlfn.XLOOKUP(Tabla1[[#This Row],[Nombre Cuenta]],PLAN_CUENTAS!$B$2:$B$100,PLAN_CUENTAS!$A$2:$A$100,0,0)</f>
        <v/>
      </c>
      <c r="L176">
        <f>+_xlfn.XLOOKUP(Tabla1[[#This Row],[Nombre Cuenta]],PLAN_CUENTAS!$B$2:$B$100,PLAN_CUENTAS!$C$2:$C$100,0,0)</f>
        <v/>
      </c>
    </row>
    <row r="177">
      <c r="A177" s="33" t="n"/>
      <c r="E177" s="73" t="n"/>
      <c r="I177" s="73">
        <f>IF(F177="F",ROUND(E177*0.19/1.19,0),0)</f>
        <v/>
      </c>
      <c r="J177" s="73">
        <f>IF(E177="","",E177-I177)</f>
        <v/>
      </c>
      <c r="K177">
        <f>+_xlfn.XLOOKUP(Tabla1[[#This Row],[Nombre Cuenta]],PLAN_CUENTAS!$B$2:$B$100,PLAN_CUENTAS!$A$2:$A$100,0,0)</f>
        <v/>
      </c>
      <c r="L177">
        <f>+_xlfn.XLOOKUP(Tabla1[[#This Row],[Nombre Cuenta]],PLAN_CUENTAS!$B$2:$B$100,PLAN_CUENTAS!$C$2:$C$100,0,0)</f>
        <v/>
      </c>
    </row>
    <row r="178">
      <c r="A178" s="33" t="n"/>
      <c r="E178" s="73" t="n"/>
      <c r="I178" s="73">
        <f>IF(F178="F",ROUND(E178*0.19/1.19,0),0)</f>
        <v/>
      </c>
      <c r="J178" s="73">
        <f>IF(E178="","",E178-I178)</f>
        <v/>
      </c>
      <c r="K178">
        <f>+_xlfn.XLOOKUP(Tabla1[[#This Row],[Nombre Cuenta]],PLAN_CUENTAS!$B$2:$B$100,PLAN_CUENTAS!$A$2:$A$100,0,0)</f>
        <v/>
      </c>
      <c r="L178">
        <f>+_xlfn.XLOOKUP(Tabla1[[#This Row],[Nombre Cuenta]],PLAN_CUENTAS!$B$2:$B$100,PLAN_CUENTAS!$C$2:$C$100,0,0)</f>
        <v/>
      </c>
    </row>
    <row r="179">
      <c r="A179" s="33" t="n"/>
      <c r="E179" s="73" t="n"/>
      <c r="I179" s="73">
        <f>IF(F179="F",ROUND(E179*0.19/1.19,0),0)</f>
        <v/>
      </c>
      <c r="J179" s="73">
        <f>IF(E179="","",E179-I179)</f>
        <v/>
      </c>
      <c r="K179">
        <f>+_xlfn.XLOOKUP(Tabla1[[#This Row],[Nombre Cuenta]],PLAN_CUENTAS!$B$2:$B$100,PLAN_CUENTAS!$A$2:$A$100,0,0)</f>
        <v/>
      </c>
      <c r="L179">
        <f>+_xlfn.XLOOKUP(Tabla1[[#This Row],[Nombre Cuenta]],PLAN_CUENTAS!$B$2:$B$100,PLAN_CUENTAS!$C$2:$C$100,0,0)</f>
        <v/>
      </c>
    </row>
    <row r="180">
      <c r="A180" s="33" t="n"/>
      <c r="E180" s="73" t="n"/>
      <c r="I180" s="73">
        <f>IF(F180="F",ROUND(E180*0.19/1.19,0),0)</f>
        <v/>
      </c>
      <c r="J180" s="73">
        <f>IF(E180="","",E180-I180)</f>
        <v/>
      </c>
      <c r="K180">
        <f>+_xlfn.XLOOKUP(Tabla1[[#This Row],[Nombre Cuenta]],PLAN_CUENTAS!$B$2:$B$100,PLAN_CUENTAS!$A$2:$A$100,0,0)</f>
        <v/>
      </c>
      <c r="L180">
        <f>+_xlfn.XLOOKUP(Tabla1[[#This Row],[Nombre Cuenta]],PLAN_CUENTAS!$B$2:$B$100,PLAN_CUENTAS!$C$2:$C$100,0,0)</f>
        <v/>
      </c>
    </row>
    <row r="181">
      <c r="A181" s="33" t="n"/>
      <c r="E181" s="73" t="n"/>
      <c r="I181" s="73">
        <f>IF(F181="F",ROUND(E181*0.19/1.19,0),0)</f>
        <v/>
      </c>
      <c r="J181" s="73">
        <f>IF(E181="","",E181-I181)</f>
        <v/>
      </c>
      <c r="K181">
        <f>+_xlfn.XLOOKUP(Tabla1[[#This Row],[Nombre Cuenta]],PLAN_CUENTAS!$B$2:$B$100,PLAN_CUENTAS!$A$2:$A$100,0,0)</f>
        <v/>
      </c>
      <c r="L181">
        <f>+_xlfn.XLOOKUP(Tabla1[[#This Row],[Nombre Cuenta]],PLAN_CUENTAS!$B$2:$B$100,PLAN_CUENTAS!$C$2:$C$100,0,0)</f>
        <v/>
      </c>
    </row>
    <row r="182">
      <c r="A182" s="33" t="n"/>
      <c r="E182" s="73" t="n"/>
      <c r="I182" s="73">
        <f>IF(F182="F",ROUND(E182*0.19/1.19,0),0)</f>
        <v/>
      </c>
      <c r="J182" s="73">
        <f>IF(E182="","",E182-I182)</f>
        <v/>
      </c>
      <c r="K182">
        <f>+_xlfn.XLOOKUP(Tabla1[[#This Row],[Nombre Cuenta]],PLAN_CUENTAS!$B$2:$B$100,PLAN_CUENTAS!$A$2:$A$100,0,0)</f>
        <v/>
      </c>
      <c r="L182">
        <f>+_xlfn.XLOOKUP(Tabla1[[#This Row],[Nombre Cuenta]],PLAN_CUENTAS!$B$2:$B$100,PLAN_CUENTAS!$C$2:$C$100,0,0)</f>
        <v/>
      </c>
    </row>
    <row r="183">
      <c r="A183" s="33" t="n"/>
      <c r="E183" s="73" t="n"/>
      <c r="I183" s="73">
        <f>IF(F183="F",ROUND(E183*0.19/1.19,0),0)</f>
        <v/>
      </c>
      <c r="J183" s="73">
        <f>IF(E183="","",E183-I183)</f>
        <v/>
      </c>
      <c r="K183">
        <f>+_xlfn.XLOOKUP(Tabla1[[#This Row],[Nombre Cuenta]],PLAN_CUENTAS!$B$2:$B$100,PLAN_CUENTAS!$A$2:$A$100,0,0)</f>
        <v/>
      </c>
      <c r="L183">
        <f>+_xlfn.XLOOKUP(Tabla1[[#This Row],[Nombre Cuenta]],PLAN_CUENTAS!$B$2:$B$100,PLAN_CUENTAS!$C$2:$C$100,0,0)</f>
        <v/>
      </c>
    </row>
    <row r="184">
      <c r="A184" s="33" t="n"/>
      <c r="E184" s="73" t="n"/>
      <c r="I184" s="73">
        <f>IF(F184="F",ROUND(E184*0.19/1.19,0),0)</f>
        <v/>
      </c>
      <c r="J184" s="73">
        <f>IF(E184="","",E184-I184)</f>
        <v/>
      </c>
      <c r="K184">
        <f>+_xlfn.XLOOKUP(Tabla1[[#This Row],[Nombre Cuenta]],PLAN_CUENTAS!$B$2:$B$100,PLAN_CUENTAS!$A$2:$A$100,0,0)</f>
        <v/>
      </c>
      <c r="L184">
        <f>+_xlfn.XLOOKUP(Tabla1[[#This Row],[Nombre Cuenta]],PLAN_CUENTAS!$B$2:$B$100,PLAN_CUENTAS!$C$2:$C$100,0,0)</f>
        <v/>
      </c>
    </row>
    <row r="185">
      <c r="A185" s="33" t="n"/>
      <c r="E185" s="73" t="n"/>
      <c r="I185" s="73">
        <f>IF(F185="F",ROUND(E185*0.19/1.19,0),0)</f>
        <v/>
      </c>
      <c r="J185" s="73">
        <f>IF(E185="","",E185-I185)</f>
        <v/>
      </c>
      <c r="K185">
        <f>+_xlfn.XLOOKUP(Tabla1[[#This Row],[Nombre Cuenta]],PLAN_CUENTAS!$B$2:$B$100,PLAN_CUENTAS!$A$2:$A$100,0,0)</f>
        <v/>
      </c>
      <c r="L185">
        <f>+_xlfn.XLOOKUP(Tabla1[[#This Row],[Nombre Cuenta]],PLAN_CUENTAS!$B$2:$B$100,PLAN_CUENTAS!$C$2:$C$100,0,0)</f>
        <v/>
      </c>
    </row>
    <row r="186">
      <c r="A186" s="33" t="n"/>
      <c r="E186" s="73" t="n"/>
      <c r="I186" s="73">
        <f>IF(F186="F",ROUND(E186*0.19/1.19,0),0)</f>
        <v/>
      </c>
      <c r="J186" s="73">
        <f>IF(E186="","",E186-I186)</f>
        <v/>
      </c>
      <c r="K186">
        <f>+_xlfn.XLOOKUP(Tabla1[[#This Row],[Nombre Cuenta]],PLAN_CUENTAS!$B$2:$B$100,PLAN_CUENTAS!$A$2:$A$100,0,0)</f>
        <v/>
      </c>
      <c r="L186">
        <f>+_xlfn.XLOOKUP(Tabla1[[#This Row],[Nombre Cuenta]],PLAN_CUENTAS!$B$2:$B$100,PLAN_CUENTAS!$C$2:$C$100,0,0)</f>
        <v/>
      </c>
    </row>
    <row r="187">
      <c r="A187" s="33" t="n"/>
      <c r="E187" s="73" t="n"/>
      <c r="I187" s="73">
        <f>IF(F187="F",ROUND(E187*0.19/1.19,0),0)</f>
        <v/>
      </c>
      <c r="J187" s="73">
        <f>IF(E187="","",E187-I187)</f>
        <v/>
      </c>
      <c r="K187">
        <f>+_xlfn.XLOOKUP(Tabla1[[#This Row],[Nombre Cuenta]],PLAN_CUENTAS!$B$2:$B$100,PLAN_CUENTAS!$A$2:$A$100,0,0)</f>
        <v/>
      </c>
      <c r="L187">
        <f>+_xlfn.XLOOKUP(Tabla1[[#This Row],[Nombre Cuenta]],PLAN_CUENTAS!$B$2:$B$100,PLAN_CUENTAS!$C$2:$C$100,0,0)</f>
        <v/>
      </c>
    </row>
    <row r="188">
      <c r="A188" s="33" t="n"/>
      <c r="E188" s="73" t="n"/>
      <c r="I188" s="73">
        <f>IF(F188="F",ROUND(E188*0.19/1.19,0),0)</f>
        <v/>
      </c>
      <c r="J188" s="73">
        <f>IF(E188="","",E188-I188)</f>
        <v/>
      </c>
      <c r="K188">
        <f>+_xlfn.XLOOKUP(Tabla1[[#This Row],[Nombre Cuenta]],PLAN_CUENTAS!$B$2:$B$100,PLAN_CUENTAS!$A$2:$A$100,0,0)</f>
        <v/>
      </c>
      <c r="L188">
        <f>+_xlfn.XLOOKUP(Tabla1[[#This Row],[Nombre Cuenta]],PLAN_CUENTAS!$B$2:$B$100,PLAN_CUENTAS!$C$2:$C$100,0,0)</f>
        <v/>
      </c>
    </row>
    <row r="189">
      <c r="A189" s="33" t="n"/>
      <c r="E189" s="73" t="n"/>
      <c r="I189" s="73">
        <f>IF(F189="F",ROUND(E189*0.19/1.19,0),0)</f>
        <v/>
      </c>
      <c r="J189" s="73">
        <f>IF(E189="","",E189-I189)</f>
        <v/>
      </c>
      <c r="K189">
        <f>+_xlfn.XLOOKUP(Tabla1[[#This Row],[Nombre Cuenta]],PLAN_CUENTAS!$B$2:$B$100,PLAN_CUENTAS!$A$2:$A$100,0,0)</f>
        <v/>
      </c>
      <c r="L189">
        <f>+_xlfn.XLOOKUP(Tabla1[[#This Row],[Nombre Cuenta]],PLAN_CUENTAS!$B$2:$B$100,PLAN_CUENTAS!$C$2:$C$100,0,0)</f>
        <v/>
      </c>
    </row>
    <row r="190">
      <c r="A190" s="33" t="n"/>
      <c r="E190" s="73" t="n"/>
      <c r="I190" s="73">
        <f>IF(F190="F",ROUND(E190*0.19/1.19,0),0)</f>
        <v/>
      </c>
      <c r="J190" s="73">
        <f>IF(E190="","",E190-I190)</f>
        <v/>
      </c>
      <c r="K190">
        <f>+_xlfn.XLOOKUP(Tabla1[[#This Row],[Nombre Cuenta]],PLAN_CUENTAS!$B$2:$B$100,PLAN_CUENTAS!$A$2:$A$100,0,0)</f>
        <v/>
      </c>
      <c r="L190">
        <f>+_xlfn.XLOOKUP(Tabla1[[#This Row],[Nombre Cuenta]],PLAN_CUENTAS!$B$2:$B$100,PLAN_CUENTAS!$C$2:$C$100,0,0)</f>
        <v/>
      </c>
    </row>
    <row r="191">
      <c r="A191" s="33" t="n"/>
      <c r="E191" s="73" t="n"/>
      <c r="I191" s="73">
        <f>IF(F191="F",ROUND(E191*0.19/1.19,0),0)</f>
        <v/>
      </c>
      <c r="J191" s="73">
        <f>IF(E191="","",E191-I191)</f>
        <v/>
      </c>
      <c r="K191">
        <f>+_xlfn.XLOOKUP(Tabla1[[#This Row],[Nombre Cuenta]],PLAN_CUENTAS!$B$2:$B$100,PLAN_CUENTAS!$A$2:$A$100,0,0)</f>
        <v/>
      </c>
      <c r="L191">
        <f>+_xlfn.XLOOKUP(Tabla1[[#This Row],[Nombre Cuenta]],PLAN_CUENTAS!$B$2:$B$100,PLAN_CUENTAS!$C$2:$C$100,0,0)</f>
        <v/>
      </c>
    </row>
    <row r="192">
      <c r="A192" s="33" t="n"/>
      <c r="E192" s="73" t="n"/>
      <c r="I192" s="73">
        <f>IF(F192="F",ROUND(E192*0.19/1.19,0),0)</f>
        <v/>
      </c>
      <c r="J192" s="73">
        <f>IF(E192="","",E192-I192)</f>
        <v/>
      </c>
      <c r="K192">
        <f>+_xlfn.XLOOKUP(Tabla1[[#This Row],[Nombre Cuenta]],PLAN_CUENTAS!$B$2:$B$100,PLAN_CUENTAS!$A$2:$A$100,0,0)</f>
        <v/>
      </c>
      <c r="L192">
        <f>+_xlfn.XLOOKUP(Tabla1[[#This Row],[Nombre Cuenta]],PLAN_CUENTAS!$B$2:$B$100,PLAN_CUENTAS!$C$2:$C$100,0,0)</f>
        <v/>
      </c>
    </row>
    <row r="193">
      <c r="A193" s="33" t="n"/>
      <c r="E193" s="73" t="n"/>
      <c r="I193" s="73">
        <f>IF(F193="F",ROUND(E193*0.19/1.19,0),0)</f>
        <v/>
      </c>
      <c r="J193" s="73">
        <f>IF(E193="","",E193-I193)</f>
        <v/>
      </c>
      <c r="K193">
        <f>+_xlfn.XLOOKUP(Tabla1[[#This Row],[Nombre Cuenta]],PLAN_CUENTAS!$B$2:$B$100,PLAN_CUENTAS!$A$2:$A$100,0,0)</f>
        <v/>
      </c>
      <c r="L193">
        <f>+_xlfn.XLOOKUP(Tabla1[[#This Row],[Nombre Cuenta]],PLAN_CUENTAS!$B$2:$B$100,PLAN_CUENTAS!$C$2:$C$100,0,0)</f>
        <v/>
      </c>
    </row>
    <row r="194">
      <c r="A194" s="33" t="n"/>
      <c r="E194" s="73" t="n"/>
      <c r="I194" s="73">
        <f>IF(F194="F",ROUND(E194*0.19/1.19,0),0)</f>
        <v/>
      </c>
      <c r="J194" s="73">
        <f>IF(E194="","",E194-I194)</f>
        <v/>
      </c>
      <c r="K194">
        <f>+_xlfn.XLOOKUP(Tabla1[[#This Row],[Nombre Cuenta]],PLAN_CUENTAS!$B$2:$B$100,PLAN_CUENTAS!$A$2:$A$100,0,0)</f>
        <v/>
      </c>
      <c r="L194">
        <f>+_xlfn.XLOOKUP(Tabla1[[#This Row],[Nombre Cuenta]],PLAN_CUENTAS!$B$2:$B$100,PLAN_CUENTAS!$C$2:$C$100,0,0)</f>
        <v/>
      </c>
    </row>
    <row r="195">
      <c r="A195" s="33" t="n"/>
      <c r="E195" s="73" t="n"/>
      <c r="I195" s="73">
        <f>IF(F195="F",ROUND(E195*0.19/1.19,0),0)</f>
        <v/>
      </c>
      <c r="J195" s="73">
        <f>IF(E195="","",E195-I195)</f>
        <v/>
      </c>
      <c r="K195">
        <f>+_xlfn.XLOOKUP(Tabla1[[#This Row],[Nombre Cuenta]],PLAN_CUENTAS!$B$2:$B$100,PLAN_CUENTAS!$A$2:$A$100,0,0)</f>
        <v/>
      </c>
      <c r="L195">
        <f>+_xlfn.XLOOKUP(Tabla1[[#This Row],[Nombre Cuenta]],PLAN_CUENTAS!$B$2:$B$100,PLAN_CUENTAS!$C$2:$C$100,0,0)</f>
        <v/>
      </c>
    </row>
    <row r="196">
      <c r="A196" s="33" t="n"/>
      <c r="E196" s="73" t="n"/>
      <c r="I196" s="73">
        <f>IF(F196="F",ROUND(E196*0.19/1.19,0),0)</f>
        <v/>
      </c>
      <c r="J196" s="73">
        <f>IF(E196="","",E196-I196)</f>
        <v/>
      </c>
      <c r="K196">
        <f>+_xlfn.XLOOKUP(Tabla1[[#This Row],[Nombre Cuenta]],PLAN_CUENTAS!$B$2:$B$100,PLAN_CUENTAS!$A$2:$A$100,0,0)</f>
        <v/>
      </c>
      <c r="L196">
        <f>+_xlfn.XLOOKUP(Tabla1[[#This Row],[Nombre Cuenta]],PLAN_CUENTAS!$B$2:$B$100,PLAN_CUENTAS!$C$2:$C$100,0,0)</f>
        <v/>
      </c>
    </row>
    <row r="197">
      <c r="A197" s="33" t="n"/>
      <c r="E197" s="73" t="n"/>
      <c r="I197" s="73">
        <f>IF(F197="F",ROUND(E197*0.19/1.19,0),0)</f>
        <v/>
      </c>
      <c r="J197" s="73">
        <f>IF(E197="","",E197-I197)</f>
        <v/>
      </c>
      <c r="K197">
        <f>+_xlfn.XLOOKUP(Tabla1[[#This Row],[Nombre Cuenta]],PLAN_CUENTAS!$B$2:$B$100,PLAN_CUENTAS!$A$2:$A$100,0,0)</f>
        <v/>
      </c>
      <c r="L197">
        <f>+_xlfn.XLOOKUP(Tabla1[[#This Row],[Nombre Cuenta]],PLAN_CUENTAS!$B$2:$B$100,PLAN_CUENTAS!$C$2:$C$100,0,0)</f>
        <v/>
      </c>
    </row>
    <row r="198">
      <c r="A198" s="33" t="n"/>
      <c r="E198" s="73" t="n"/>
      <c r="I198" s="73">
        <f>IF(F198="F",ROUND(E198*0.19/1.19,0),0)</f>
        <v/>
      </c>
      <c r="J198" s="73">
        <f>IF(E198="","",E198-I198)</f>
        <v/>
      </c>
      <c r="K198">
        <f>+_xlfn.XLOOKUP(Tabla1[[#This Row],[Nombre Cuenta]],PLAN_CUENTAS!$B$2:$B$100,PLAN_CUENTAS!$A$2:$A$100,0,0)</f>
        <v/>
      </c>
      <c r="L198">
        <f>+_xlfn.XLOOKUP(Tabla1[[#This Row],[Nombre Cuenta]],PLAN_CUENTAS!$B$2:$B$100,PLAN_CUENTAS!$C$2:$C$100,0,0)</f>
        <v/>
      </c>
    </row>
    <row r="199">
      <c r="A199" s="33" t="n"/>
      <c r="E199" s="73" t="n"/>
      <c r="I199" s="73">
        <f>IF(F199="F",ROUND(E199*0.19/1.19,0),0)</f>
        <v/>
      </c>
      <c r="J199" s="73">
        <f>IF(E199="","",E199-I199)</f>
        <v/>
      </c>
      <c r="K199">
        <f>+_xlfn.XLOOKUP(Tabla1[[#This Row],[Nombre Cuenta]],PLAN_CUENTAS!$B$2:$B$100,PLAN_CUENTAS!$A$2:$A$100,0,0)</f>
        <v/>
      </c>
      <c r="L199">
        <f>+_xlfn.XLOOKUP(Tabla1[[#This Row],[Nombre Cuenta]],PLAN_CUENTAS!$B$2:$B$100,PLAN_CUENTAS!$C$2:$C$100,0,0)</f>
        <v/>
      </c>
    </row>
    <row r="200">
      <c r="A200" s="33" t="n"/>
      <c r="E200" s="73" t="n"/>
      <c r="I200" s="73">
        <f>IF(F200="F",ROUND(E200*0.19/1.19,0),0)</f>
        <v/>
      </c>
      <c r="J200" s="73">
        <f>IF(E200="","",E200-I200)</f>
        <v/>
      </c>
      <c r="K200">
        <f>+_xlfn.XLOOKUP(Tabla1[[#This Row],[Nombre Cuenta]],PLAN_CUENTAS!$B$2:$B$100,PLAN_CUENTAS!$A$2:$A$100,0,0)</f>
        <v/>
      </c>
      <c r="L200">
        <f>+_xlfn.XLOOKUP(Tabla1[[#This Row],[Nombre Cuenta]],PLAN_CUENTAS!$B$2:$B$100,PLAN_CUENTAS!$C$2:$C$100,0,0)</f>
        <v/>
      </c>
    </row>
    <row r="201">
      <c r="A201" s="33" t="n"/>
      <c r="E201" s="73" t="n"/>
      <c r="I201" s="73">
        <f>IF(F201="F",ROUND(E201*0.19/1.19,0),0)</f>
        <v/>
      </c>
      <c r="J201" s="73">
        <f>IF(E201="","",E201-I201)</f>
        <v/>
      </c>
      <c r="K201">
        <f>+_xlfn.XLOOKUP(Tabla1[[#This Row],[Nombre Cuenta]],PLAN_CUENTAS!$B$2:$B$100,PLAN_CUENTAS!$A$2:$A$100,0,0)</f>
        <v/>
      </c>
      <c r="L201">
        <f>+_xlfn.XLOOKUP(Tabla1[[#This Row],[Nombre Cuenta]],PLAN_CUENTAS!$B$2:$B$100,PLAN_CUENTAS!$C$2:$C$100,0,0)</f>
        <v/>
      </c>
    </row>
    <row r="202">
      <c r="A202" s="33" t="n"/>
      <c r="E202" s="73" t="n"/>
      <c r="I202" s="73">
        <f>IF(F202="F",ROUND(E202*0.19/1.19,0),0)</f>
        <v/>
      </c>
      <c r="J202" s="73">
        <f>IF(E202="","",E202-I202)</f>
        <v/>
      </c>
      <c r="K202">
        <f>+_xlfn.XLOOKUP(Tabla1[[#This Row],[Nombre Cuenta]],PLAN_CUENTAS!$B$2:$B$100,PLAN_CUENTAS!$A$2:$A$100,0,0)</f>
        <v/>
      </c>
      <c r="L202">
        <f>+_xlfn.XLOOKUP(Tabla1[[#This Row],[Nombre Cuenta]],PLAN_CUENTAS!$B$2:$B$100,PLAN_CUENTAS!$C$2:$C$100,0,0)</f>
        <v/>
      </c>
    </row>
    <row r="203">
      <c r="A203" s="33" t="n"/>
      <c r="E203" s="73" t="n"/>
      <c r="I203" s="73">
        <f>IF(F203="F",ROUND(E203*0.19/1.19,0),0)</f>
        <v/>
      </c>
      <c r="J203" s="73">
        <f>IF(E203="","",E203-I203)</f>
        <v/>
      </c>
      <c r="K203">
        <f>+_xlfn.XLOOKUP(Tabla1[[#This Row],[Nombre Cuenta]],PLAN_CUENTAS!$B$2:$B$100,PLAN_CUENTAS!$A$2:$A$100,0,0)</f>
        <v/>
      </c>
      <c r="L203">
        <f>+_xlfn.XLOOKUP(Tabla1[[#This Row],[Nombre Cuenta]],PLAN_CUENTAS!$B$2:$B$100,PLAN_CUENTAS!$C$2:$C$100,0,0)</f>
        <v/>
      </c>
    </row>
    <row r="204">
      <c r="A204" s="33" t="n"/>
      <c r="E204" s="73" t="n"/>
      <c r="I204" s="73">
        <f>IF(F204="F",ROUND(E204*0.19/1.19,0),0)</f>
        <v/>
      </c>
      <c r="J204" s="73">
        <f>IF(E204="","",E204-I204)</f>
        <v/>
      </c>
      <c r="K204">
        <f>+_xlfn.XLOOKUP(Tabla1[[#This Row],[Nombre Cuenta]],PLAN_CUENTAS!$B$2:$B$100,PLAN_CUENTAS!$A$2:$A$100,0,0)</f>
        <v/>
      </c>
      <c r="L204">
        <f>+_xlfn.XLOOKUP(Tabla1[[#This Row],[Nombre Cuenta]],PLAN_CUENTAS!$B$2:$B$100,PLAN_CUENTAS!$C$2:$C$100,0,0)</f>
        <v/>
      </c>
    </row>
    <row r="205">
      <c r="A205" s="33" t="n"/>
      <c r="E205" s="73" t="n"/>
      <c r="I205" s="73">
        <f>IF(F205="F",ROUND(E205*0.19/1.19,0),0)</f>
        <v/>
      </c>
      <c r="J205" s="73">
        <f>IF(E205="","",E205-I205)</f>
        <v/>
      </c>
      <c r="K205">
        <f>+_xlfn.XLOOKUP(Tabla1[[#This Row],[Nombre Cuenta]],PLAN_CUENTAS!$B$2:$B$100,PLAN_CUENTAS!$A$2:$A$100,0,0)</f>
        <v/>
      </c>
      <c r="L205">
        <f>+_xlfn.XLOOKUP(Tabla1[[#This Row],[Nombre Cuenta]],PLAN_CUENTAS!$B$2:$B$100,PLAN_CUENTAS!$C$2:$C$100,0,0)</f>
        <v/>
      </c>
    </row>
    <row r="206">
      <c r="A206" s="33" t="n"/>
      <c r="E206" s="73" t="n"/>
      <c r="I206" s="73">
        <f>IF(F206="F",ROUND(E206*0.19/1.19,0),0)</f>
        <v/>
      </c>
      <c r="J206" s="73">
        <f>IF(E206="","",E206-I206)</f>
        <v/>
      </c>
      <c r="K206">
        <f>+_xlfn.XLOOKUP(Tabla1[[#This Row],[Nombre Cuenta]],PLAN_CUENTAS!$B$2:$B$100,PLAN_CUENTAS!$A$2:$A$100,0,0)</f>
        <v/>
      </c>
      <c r="L206">
        <f>+_xlfn.XLOOKUP(Tabla1[[#This Row],[Nombre Cuenta]],PLAN_CUENTAS!$B$2:$B$100,PLAN_CUENTAS!$C$2:$C$100,0,0)</f>
        <v/>
      </c>
    </row>
    <row r="207">
      <c r="A207" s="33" t="n"/>
      <c r="E207" s="73" t="n"/>
      <c r="I207" s="73">
        <f>IF(F207="F",ROUND(E207*0.19/1.19,0),0)</f>
        <v/>
      </c>
      <c r="J207" s="73">
        <f>IF(E207="","",E207-I207)</f>
        <v/>
      </c>
      <c r="K207">
        <f>+_xlfn.XLOOKUP(Tabla1[[#This Row],[Nombre Cuenta]],PLAN_CUENTAS!$B$2:$B$100,PLAN_CUENTAS!$A$2:$A$100,0,0)</f>
        <v/>
      </c>
      <c r="L207">
        <f>+_xlfn.XLOOKUP(Tabla1[[#This Row],[Nombre Cuenta]],PLAN_CUENTAS!$B$2:$B$100,PLAN_CUENTAS!$C$2:$C$100,0,0)</f>
        <v/>
      </c>
    </row>
    <row r="208">
      <c r="A208" s="33" t="n"/>
      <c r="E208" s="73" t="n"/>
      <c r="I208" s="73">
        <f>IF(F208="F",ROUND(E208*0.19/1.19,0),0)</f>
        <v/>
      </c>
      <c r="J208" s="73">
        <f>IF(E208="","",E208-I208)</f>
        <v/>
      </c>
      <c r="K208">
        <f>+_xlfn.XLOOKUP(Tabla1[[#This Row],[Nombre Cuenta]],PLAN_CUENTAS!$B$2:$B$100,PLAN_CUENTAS!$A$2:$A$100,0,0)</f>
        <v/>
      </c>
      <c r="L208">
        <f>+_xlfn.XLOOKUP(Tabla1[[#This Row],[Nombre Cuenta]],PLAN_CUENTAS!$B$2:$B$100,PLAN_CUENTAS!$C$2:$C$100,0,0)</f>
        <v/>
      </c>
    </row>
    <row r="209">
      <c r="A209" s="33" t="n"/>
      <c r="E209" s="73" t="n"/>
      <c r="I209" s="73">
        <f>IF(F209="F",ROUND(E209*0.19/1.19,0),0)</f>
        <v/>
      </c>
      <c r="J209" s="73">
        <f>IF(E209="","",E209-I209)</f>
        <v/>
      </c>
      <c r="K209">
        <f>+_xlfn.XLOOKUP(Tabla1[[#This Row],[Nombre Cuenta]],PLAN_CUENTAS!$B$2:$B$100,PLAN_CUENTAS!$A$2:$A$100,0,0)</f>
        <v/>
      </c>
      <c r="L209">
        <f>+_xlfn.XLOOKUP(Tabla1[[#This Row],[Nombre Cuenta]],PLAN_CUENTAS!$B$2:$B$100,PLAN_CUENTAS!$C$2:$C$100,0,0)</f>
        <v/>
      </c>
    </row>
    <row r="210">
      <c r="A210" s="33" t="n"/>
      <c r="E210" s="73" t="n"/>
      <c r="I210" s="73">
        <f>IF(F210="F",ROUND(E210*0.19/1.19,0),0)</f>
        <v/>
      </c>
      <c r="J210" s="73">
        <f>IF(E210="","",E210-I210)</f>
        <v/>
      </c>
      <c r="K210">
        <f>+_xlfn.XLOOKUP(Tabla1[[#This Row],[Nombre Cuenta]],PLAN_CUENTAS!$B$2:$B$100,PLAN_CUENTAS!$A$2:$A$100,0,0)</f>
        <v/>
      </c>
      <c r="L210">
        <f>+_xlfn.XLOOKUP(Tabla1[[#This Row],[Nombre Cuenta]],PLAN_CUENTAS!$B$2:$B$100,PLAN_CUENTAS!$C$2:$C$100,0,0)</f>
        <v/>
      </c>
    </row>
    <row r="211">
      <c r="A211" s="33" t="n"/>
      <c r="E211" s="73" t="n"/>
      <c r="I211" s="73">
        <f>IF(F211="F",ROUND(E211*0.19/1.19,0),0)</f>
        <v/>
      </c>
      <c r="J211" s="73">
        <f>IF(E211="","",E211-I211)</f>
        <v/>
      </c>
      <c r="K211">
        <f>+_xlfn.XLOOKUP(Tabla1[[#This Row],[Nombre Cuenta]],PLAN_CUENTAS!$B$2:$B$100,PLAN_CUENTAS!$A$2:$A$100,0,0)</f>
        <v/>
      </c>
      <c r="L211">
        <f>+_xlfn.XLOOKUP(Tabla1[[#This Row],[Nombre Cuenta]],PLAN_CUENTAS!$B$2:$B$100,PLAN_CUENTAS!$C$2:$C$100,0,0)</f>
        <v/>
      </c>
    </row>
    <row r="212">
      <c r="A212" s="33" t="n"/>
      <c r="E212" s="73" t="n"/>
      <c r="I212" s="73">
        <f>IF(F212="F",ROUND(E212*0.19/1.19,0),0)</f>
        <v/>
      </c>
      <c r="J212" s="73">
        <f>IF(E212="","",E212-I212)</f>
        <v/>
      </c>
      <c r="K212">
        <f>+_xlfn.XLOOKUP(Tabla1[[#This Row],[Nombre Cuenta]],PLAN_CUENTAS!$B$2:$B$100,PLAN_CUENTAS!$A$2:$A$100,0,0)</f>
        <v/>
      </c>
      <c r="L212">
        <f>+_xlfn.XLOOKUP(Tabla1[[#This Row],[Nombre Cuenta]],PLAN_CUENTAS!$B$2:$B$100,PLAN_CUENTAS!$C$2:$C$100,0,0)</f>
        <v/>
      </c>
    </row>
    <row r="213">
      <c r="A213" s="33" t="n"/>
      <c r="E213" s="73" t="n"/>
      <c r="I213" s="73">
        <f>IF(F213="F",ROUND(E213*0.19/1.19,0),0)</f>
        <v/>
      </c>
      <c r="J213" s="73">
        <f>IF(E213="","",E213-I213)</f>
        <v/>
      </c>
      <c r="K213">
        <f>+_xlfn.XLOOKUP(Tabla1[[#This Row],[Nombre Cuenta]],PLAN_CUENTAS!$B$2:$B$100,PLAN_CUENTAS!$A$2:$A$100,0,0)</f>
        <v/>
      </c>
      <c r="L213">
        <f>+_xlfn.XLOOKUP(Tabla1[[#This Row],[Nombre Cuenta]],PLAN_CUENTAS!$B$2:$B$100,PLAN_CUENTAS!$C$2:$C$100,0,0)</f>
        <v/>
      </c>
    </row>
    <row r="214">
      <c r="A214" s="33" t="n"/>
      <c r="E214" s="73" t="n"/>
      <c r="I214" s="73">
        <f>IF(F214="F",ROUND(E214*0.19/1.19,0),0)</f>
        <v/>
      </c>
      <c r="J214" s="73">
        <f>IF(E214="","",E214-I214)</f>
        <v/>
      </c>
      <c r="K214">
        <f>+_xlfn.XLOOKUP(Tabla1[[#This Row],[Nombre Cuenta]],PLAN_CUENTAS!$B$2:$B$100,PLAN_CUENTAS!$A$2:$A$100,0,0)</f>
        <v/>
      </c>
      <c r="L214">
        <f>+_xlfn.XLOOKUP(Tabla1[[#This Row],[Nombre Cuenta]],PLAN_CUENTAS!$B$2:$B$100,PLAN_CUENTAS!$C$2:$C$100,0,0)</f>
        <v/>
      </c>
    </row>
    <row r="215">
      <c r="A215" s="33" t="n"/>
      <c r="E215" s="73" t="n"/>
      <c r="I215" s="73">
        <f>IF(F215="F",ROUND(E215*0.19/1.19,0),0)</f>
        <v/>
      </c>
      <c r="J215" s="73">
        <f>IF(E215="","",E215-I215)</f>
        <v/>
      </c>
      <c r="K215">
        <f>+_xlfn.XLOOKUP(Tabla1[[#This Row],[Nombre Cuenta]],PLAN_CUENTAS!$B$2:$B$100,PLAN_CUENTAS!$A$2:$A$100,0,0)</f>
        <v/>
      </c>
      <c r="L215">
        <f>+_xlfn.XLOOKUP(Tabla1[[#This Row],[Nombre Cuenta]],PLAN_CUENTAS!$B$2:$B$100,PLAN_CUENTAS!$C$2:$C$100,0,0)</f>
        <v/>
      </c>
    </row>
    <row r="216">
      <c r="A216" s="33" t="n"/>
      <c r="E216" s="73" t="n"/>
      <c r="I216" s="73">
        <f>IF(F216="F",ROUND(E216*0.19/1.19,0),0)</f>
        <v/>
      </c>
      <c r="J216" s="73">
        <f>IF(E216="","",E216-I216)</f>
        <v/>
      </c>
      <c r="K216">
        <f>+_xlfn.XLOOKUP(Tabla1[[#This Row],[Nombre Cuenta]],PLAN_CUENTAS!$B$2:$B$100,PLAN_CUENTAS!$A$2:$A$100,0,0)</f>
        <v/>
      </c>
      <c r="L216">
        <f>+_xlfn.XLOOKUP(Tabla1[[#This Row],[Nombre Cuenta]],PLAN_CUENTAS!$B$2:$B$100,PLAN_CUENTAS!$C$2:$C$100,0,0)</f>
        <v/>
      </c>
    </row>
    <row r="217">
      <c r="A217" s="33" t="n"/>
      <c r="E217" s="73" t="n"/>
      <c r="I217" s="73">
        <f>IF(F217="F",ROUND(E217*0.19/1.19,0),0)</f>
        <v/>
      </c>
      <c r="J217" s="73">
        <f>IF(E217="","",E217-I217)</f>
        <v/>
      </c>
      <c r="K217">
        <f>+_xlfn.XLOOKUP(Tabla1[[#This Row],[Nombre Cuenta]],PLAN_CUENTAS!$B$2:$B$100,PLAN_CUENTAS!$A$2:$A$100,0,0)</f>
        <v/>
      </c>
      <c r="L217">
        <f>+_xlfn.XLOOKUP(Tabla1[[#This Row],[Nombre Cuenta]],PLAN_CUENTAS!$B$2:$B$100,PLAN_CUENTAS!$C$2:$C$100,0,0)</f>
        <v/>
      </c>
    </row>
    <row r="218">
      <c r="A218" s="33" t="n"/>
      <c r="E218" s="73" t="n"/>
      <c r="I218" s="73">
        <f>IF(F218="F",ROUND(E218*0.19/1.19,0),0)</f>
        <v/>
      </c>
      <c r="J218" s="73">
        <f>IF(E218="","",E218-I218)</f>
        <v/>
      </c>
      <c r="K218">
        <f>+_xlfn.XLOOKUP(Tabla1[[#This Row],[Nombre Cuenta]],PLAN_CUENTAS!$B$2:$B$100,PLAN_CUENTAS!$A$2:$A$100,0,0)</f>
        <v/>
      </c>
      <c r="L218">
        <f>+_xlfn.XLOOKUP(Tabla1[[#This Row],[Nombre Cuenta]],PLAN_CUENTAS!$B$2:$B$100,PLAN_CUENTAS!$C$2:$C$100,0,0)</f>
        <v/>
      </c>
    </row>
    <row r="219">
      <c r="A219" s="33" t="n"/>
      <c r="E219" s="73" t="n"/>
      <c r="I219" s="73">
        <f>IF(F219="F",ROUND(E219*0.19/1.19,0),0)</f>
        <v/>
      </c>
      <c r="J219" s="73">
        <f>IF(E219="","",E219-I219)</f>
        <v/>
      </c>
      <c r="K219">
        <f>+_xlfn.XLOOKUP(Tabla1[[#This Row],[Nombre Cuenta]],PLAN_CUENTAS!$B$2:$B$100,PLAN_CUENTAS!$A$2:$A$100,0,0)</f>
        <v/>
      </c>
      <c r="L219">
        <f>+_xlfn.XLOOKUP(Tabla1[[#This Row],[Nombre Cuenta]],PLAN_CUENTAS!$B$2:$B$100,PLAN_CUENTAS!$C$2:$C$100,0,0)</f>
        <v/>
      </c>
    </row>
    <row r="220">
      <c r="A220" s="33" t="n"/>
      <c r="E220" s="73" t="n"/>
      <c r="I220" s="73">
        <f>IF(F220="F",ROUND(E220*0.19/1.19,0),0)</f>
        <v/>
      </c>
      <c r="J220" s="73">
        <f>IF(E220="","",E220-I220)</f>
        <v/>
      </c>
      <c r="K220">
        <f>+_xlfn.XLOOKUP(Tabla1[[#This Row],[Nombre Cuenta]],PLAN_CUENTAS!$B$2:$B$100,PLAN_CUENTAS!$A$2:$A$100,0,0)</f>
        <v/>
      </c>
      <c r="L220">
        <f>+_xlfn.XLOOKUP(Tabla1[[#This Row],[Nombre Cuenta]],PLAN_CUENTAS!$B$2:$B$100,PLAN_CUENTAS!$C$2:$C$100,0,0)</f>
        <v/>
      </c>
    </row>
    <row r="221">
      <c r="A221" s="33" t="n"/>
      <c r="E221" s="73" t="n"/>
      <c r="I221" s="73">
        <f>IF(F221="F",ROUND(E221*0.19/1.19,0),0)</f>
        <v/>
      </c>
      <c r="J221" s="73">
        <f>IF(E221="","",E221-I221)</f>
        <v/>
      </c>
      <c r="K221">
        <f>+_xlfn.XLOOKUP(Tabla1[[#This Row],[Nombre Cuenta]],PLAN_CUENTAS!$B$2:$B$100,PLAN_CUENTAS!$A$2:$A$100,0,0)</f>
        <v/>
      </c>
      <c r="L221">
        <f>+_xlfn.XLOOKUP(Tabla1[[#This Row],[Nombre Cuenta]],PLAN_CUENTAS!$B$2:$B$100,PLAN_CUENTAS!$C$2:$C$100,0,0)</f>
        <v/>
      </c>
    </row>
    <row r="222">
      <c r="A222" s="33" t="n"/>
      <c r="E222" s="73" t="n"/>
      <c r="I222" s="73">
        <f>IF(F222="F",ROUND(E222*0.19/1.19,0),0)</f>
        <v/>
      </c>
      <c r="J222" s="73">
        <f>IF(E222="","",E222-I222)</f>
        <v/>
      </c>
      <c r="K222">
        <f>+_xlfn.XLOOKUP(Tabla1[[#This Row],[Nombre Cuenta]],PLAN_CUENTAS!$B$2:$B$100,PLAN_CUENTAS!$A$2:$A$100,0,0)</f>
        <v/>
      </c>
      <c r="L222">
        <f>+_xlfn.XLOOKUP(Tabla1[[#This Row],[Nombre Cuenta]],PLAN_CUENTAS!$B$2:$B$100,PLAN_CUENTAS!$C$2:$C$100,0,0)</f>
        <v/>
      </c>
    </row>
    <row r="223">
      <c r="A223" s="33" t="n"/>
      <c r="E223" s="73" t="n"/>
      <c r="I223" s="73">
        <f>IF(F223="F",ROUND(E223*0.19/1.19,0),0)</f>
        <v/>
      </c>
      <c r="J223" s="73">
        <f>IF(E223="","",E223-I223)</f>
        <v/>
      </c>
      <c r="K223">
        <f>+_xlfn.XLOOKUP(Tabla1[[#This Row],[Nombre Cuenta]],PLAN_CUENTAS!$B$2:$B$100,PLAN_CUENTAS!$A$2:$A$100,0,0)</f>
        <v/>
      </c>
      <c r="L223">
        <f>+_xlfn.XLOOKUP(Tabla1[[#This Row],[Nombre Cuenta]],PLAN_CUENTAS!$B$2:$B$100,PLAN_CUENTAS!$C$2:$C$100,0,0)</f>
        <v/>
      </c>
    </row>
    <row r="224">
      <c r="A224" s="33" t="n"/>
      <c r="E224" s="73" t="n"/>
      <c r="I224" s="73">
        <f>IF(F224="F",ROUND(E224*0.19/1.19,0),0)</f>
        <v/>
      </c>
      <c r="J224" s="73">
        <f>IF(E224="","",E224-I224)</f>
        <v/>
      </c>
      <c r="K224">
        <f>+_xlfn.XLOOKUP(Tabla1[[#This Row],[Nombre Cuenta]],PLAN_CUENTAS!$B$2:$B$100,PLAN_CUENTAS!$A$2:$A$100,0,0)</f>
        <v/>
      </c>
      <c r="L224">
        <f>+_xlfn.XLOOKUP(Tabla1[[#This Row],[Nombre Cuenta]],PLAN_CUENTAS!$B$2:$B$100,PLAN_CUENTAS!$C$2:$C$100,0,0)</f>
        <v/>
      </c>
    </row>
    <row r="225">
      <c r="A225" s="33" t="n"/>
      <c r="E225" s="73" t="n"/>
      <c r="I225" s="73">
        <f>IF(F225="F",ROUND(E225*0.19/1.19,0),0)</f>
        <v/>
      </c>
      <c r="J225" s="73">
        <f>IF(E225="","",E225-I225)</f>
        <v/>
      </c>
      <c r="K225">
        <f>+_xlfn.XLOOKUP(Tabla1[[#This Row],[Nombre Cuenta]],PLAN_CUENTAS!$B$2:$B$100,PLAN_CUENTAS!$A$2:$A$100,0,0)</f>
        <v/>
      </c>
      <c r="L225">
        <f>+_xlfn.XLOOKUP(Tabla1[[#This Row],[Nombre Cuenta]],PLAN_CUENTAS!$B$2:$B$100,PLAN_CUENTAS!$C$2:$C$100,0,0)</f>
        <v/>
      </c>
    </row>
    <row r="226">
      <c r="A226" s="33" t="n"/>
      <c r="E226" s="73" t="n"/>
      <c r="I226" s="73">
        <f>IF(F226="F",ROUND(E226*0.19/1.19,0),0)</f>
        <v/>
      </c>
      <c r="J226" s="73">
        <f>IF(E226="","",E226-I226)</f>
        <v/>
      </c>
      <c r="K226">
        <f>+_xlfn.XLOOKUP(Tabla1[[#This Row],[Nombre Cuenta]],PLAN_CUENTAS!$B$2:$B$100,PLAN_CUENTAS!$A$2:$A$100,0,0)</f>
        <v/>
      </c>
      <c r="L226">
        <f>+_xlfn.XLOOKUP(Tabla1[[#This Row],[Nombre Cuenta]],PLAN_CUENTAS!$B$2:$B$100,PLAN_CUENTAS!$C$2:$C$100,0,0)</f>
        <v/>
      </c>
    </row>
    <row r="227">
      <c r="A227" s="33" t="n"/>
      <c r="E227" s="73" t="n"/>
      <c r="I227" s="73">
        <f>IF(F227="F",ROUND(E227*0.19/1.19,0),0)</f>
        <v/>
      </c>
      <c r="J227" s="73">
        <f>IF(E227="","",E227-I227)</f>
        <v/>
      </c>
      <c r="K227">
        <f>+_xlfn.XLOOKUP(Tabla1[[#This Row],[Nombre Cuenta]],PLAN_CUENTAS!$B$2:$B$100,PLAN_CUENTAS!$A$2:$A$100,0,0)</f>
        <v/>
      </c>
      <c r="L227">
        <f>+_xlfn.XLOOKUP(Tabla1[[#This Row],[Nombre Cuenta]],PLAN_CUENTAS!$B$2:$B$100,PLAN_CUENTAS!$C$2:$C$100,0,0)</f>
        <v/>
      </c>
    </row>
    <row r="228">
      <c r="A228" s="33" t="n"/>
      <c r="E228" s="73" t="n"/>
      <c r="I228" s="73">
        <f>IF(F228="F",ROUND(E228*0.19/1.19,0),0)</f>
        <v/>
      </c>
      <c r="J228" s="73">
        <f>IF(E228="","",E228-I228)</f>
        <v/>
      </c>
      <c r="K228">
        <f>+_xlfn.XLOOKUP(Tabla1[[#This Row],[Nombre Cuenta]],PLAN_CUENTAS!$B$2:$B$100,PLAN_CUENTAS!$A$2:$A$100,0,0)</f>
        <v/>
      </c>
      <c r="L228">
        <f>+_xlfn.XLOOKUP(Tabla1[[#This Row],[Nombre Cuenta]],PLAN_CUENTAS!$B$2:$B$100,PLAN_CUENTAS!$C$2:$C$100,0,0)</f>
        <v/>
      </c>
    </row>
    <row r="229">
      <c r="A229" s="33" t="n"/>
      <c r="E229" s="73" t="n"/>
      <c r="I229" s="73">
        <f>IF(F229="F",ROUND(E229*0.19/1.19,0),0)</f>
        <v/>
      </c>
      <c r="J229" s="73">
        <f>IF(E229="","",E229-I229)</f>
        <v/>
      </c>
      <c r="K229">
        <f>+_xlfn.XLOOKUP(Tabla1[[#This Row],[Nombre Cuenta]],PLAN_CUENTAS!$B$2:$B$100,PLAN_CUENTAS!$A$2:$A$100,0,0)</f>
        <v/>
      </c>
      <c r="L229">
        <f>+_xlfn.XLOOKUP(Tabla1[[#This Row],[Nombre Cuenta]],PLAN_CUENTAS!$B$2:$B$100,PLAN_CUENTAS!$C$2:$C$100,0,0)</f>
        <v/>
      </c>
    </row>
    <row r="230">
      <c r="A230" s="33" t="n"/>
      <c r="E230" s="73" t="n"/>
      <c r="I230" s="73">
        <f>IF(F230="F",ROUND(E230*0.19/1.19,0),0)</f>
        <v/>
      </c>
      <c r="J230" s="73">
        <f>IF(E230="","",E230-I230)</f>
        <v/>
      </c>
      <c r="K230">
        <f>+_xlfn.XLOOKUP(Tabla1[[#This Row],[Nombre Cuenta]],PLAN_CUENTAS!$B$2:$B$100,PLAN_CUENTAS!$A$2:$A$100,0,0)</f>
        <v/>
      </c>
      <c r="L230">
        <f>+_xlfn.XLOOKUP(Tabla1[[#This Row],[Nombre Cuenta]],PLAN_CUENTAS!$B$2:$B$100,PLAN_CUENTAS!$C$2:$C$100,0,0)</f>
        <v/>
      </c>
    </row>
    <row r="231">
      <c r="A231" s="33" t="n"/>
      <c r="E231" s="73" t="n"/>
      <c r="I231" s="73">
        <f>IF(F231="F",ROUND(E231*0.19/1.19,0),0)</f>
        <v/>
      </c>
      <c r="J231" s="73">
        <f>IF(E231="","",E231-I231)</f>
        <v/>
      </c>
      <c r="K231">
        <f>+_xlfn.XLOOKUP(Tabla1[[#This Row],[Nombre Cuenta]],PLAN_CUENTAS!$B$2:$B$100,PLAN_CUENTAS!$A$2:$A$100,0,0)</f>
        <v/>
      </c>
      <c r="L231">
        <f>+_xlfn.XLOOKUP(Tabla1[[#This Row],[Nombre Cuenta]],PLAN_CUENTAS!$B$2:$B$100,PLAN_CUENTAS!$C$2:$C$100,0,0)</f>
        <v/>
      </c>
    </row>
    <row r="232">
      <c r="A232" s="33" t="n"/>
      <c r="E232" s="73" t="n"/>
      <c r="I232" s="73">
        <f>IF(F232="F",ROUND(E232*0.19/1.19,0),0)</f>
        <v/>
      </c>
      <c r="J232" s="73">
        <f>IF(E232="","",E232-I232)</f>
        <v/>
      </c>
      <c r="K232">
        <f>+_xlfn.XLOOKUP(Tabla1[[#This Row],[Nombre Cuenta]],PLAN_CUENTAS!$B$2:$B$100,PLAN_CUENTAS!$A$2:$A$100,0,0)</f>
        <v/>
      </c>
      <c r="L232">
        <f>+_xlfn.XLOOKUP(Tabla1[[#This Row],[Nombre Cuenta]],PLAN_CUENTAS!$B$2:$B$100,PLAN_CUENTAS!$C$2:$C$100,0,0)</f>
        <v/>
      </c>
    </row>
    <row r="233">
      <c r="A233" s="33" t="n"/>
      <c r="E233" s="73" t="n"/>
      <c r="I233" s="73">
        <f>IF(F233="F",ROUND(E233*0.19/1.19,0),0)</f>
        <v/>
      </c>
      <c r="J233" s="73">
        <f>IF(E233="","",E233-I233)</f>
        <v/>
      </c>
      <c r="K233">
        <f>+_xlfn.XLOOKUP(Tabla1[[#This Row],[Nombre Cuenta]],PLAN_CUENTAS!$B$2:$B$100,PLAN_CUENTAS!$A$2:$A$100,0,0)</f>
        <v/>
      </c>
      <c r="L233">
        <f>+_xlfn.XLOOKUP(Tabla1[[#This Row],[Nombre Cuenta]],PLAN_CUENTAS!$B$2:$B$100,PLAN_CUENTAS!$C$2:$C$100,0,0)</f>
        <v/>
      </c>
    </row>
    <row r="234">
      <c r="A234" s="33" t="n"/>
      <c r="E234" s="73" t="n"/>
      <c r="I234" s="73">
        <f>IF(F234="F",ROUND(E234*0.19/1.19,0),0)</f>
        <v/>
      </c>
      <c r="J234" s="73">
        <f>IF(E234="","",E234-I234)</f>
        <v/>
      </c>
      <c r="K234">
        <f>+_xlfn.XLOOKUP(Tabla1[[#This Row],[Nombre Cuenta]],PLAN_CUENTAS!$B$2:$B$100,PLAN_CUENTAS!$A$2:$A$100,0,0)</f>
        <v/>
      </c>
      <c r="L234">
        <f>+_xlfn.XLOOKUP(Tabla1[[#This Row],[Nombre Cuenta]],PLAN_CUENTAS!$B$2:$B$100,PLAN_CUENTAS!$C$2:$C$100,0,0)</f>
        <v/>
      </c>
    </row>
    <row r="235">
      <c r="A235" s="33" t="n"/>
      <c r="E235" s="73" t="n"/>
      <c r="I235" s="73">
        <f>IF(F235="F",ROUND(E235*0.19/1.19,0),0)</f>
        <v/>
      </c>
      <c r="J235" s="73">
        <f>IF(E235="","",E235-I235)</f>
        <v/>
      </c>
      <c r="K235">
        <f>+_xlfn.XLOOKUP(Tabla1[[#This Row],[Nombre Cuenta]],PLAN_CUENTAS!$B$2:$B$100,PLAN_CUENTAS!$A$2:$A$100,0,0)</f>
        <v/>
      </c>
      <c r="L235">
        <f>+_xlfn.XLOOKUP(Tabla1[[#This Row],[Nombre Cuenta]],PLAN_CUENTAS!$B$2:$B$100,PLAN_CUENTAS!$C$2:$C$100,0,0)</f>
        <v/>
      </c>
    </row>
    <row r="236">
      <c r="A236" s="33" t="n"/>
      <c r="E236" s="73" t="n"/>
      <c r="I236" s="73">
        <f>IF(F236="F",ROUND(E236*0.19/1.19,0),0)</f>
        <v/>
      </c>
      <c r="J236" s="73">
        <f>IF(E236="","",E236-I236)</f>
        <v/>
      </c>
      <c r="K236">
        <f>+_xlfn.XLOOKUP(Tabla1[[#This Row],[Nombre Cuenta]],PLAN_CUENTAS!$B$2:$B$100,PLAN_CUENTAS!$A$2:$A$100,0,0)</f>
        <v/>
      </c>
      <c r="L236">
        <f>+_xlfn.XLOOKUP(Tabla1[[#This Row],[Nombre Cuenta]],PLAN_CUENTAS!$B$2:$B$100,PLAN_CUENTAS!$C$2:$C$100,0,0)</f>
        <v/>
      </c>
    </row>
    <row r="237">
      <c r="A237" s="33" t="n"/>
      <c r="E237" s="73" t="n"/>
      <c r="I237" s="73">
        <f>IF(F237="F",ROUND(E237*0.19/1.19,0),0)</f>
        <v/>
      </c>
      <c r="J237" s="73">
        <f>IF(E237="","",E237-I237)</f>
        <v/>
      </c>
      <c r="K237">
        <f>+_xlfn.XLOOKUP(Tabla1[[#This Row],[Nombre Cuenta]],PLAN_CUENTAS!$B$2:$B$100,PLAN_CUENTAS!$A$2:$A$100,0,0)</f>
        <v/>
      </c>
      <c r="L237">
        <f>+_xlfn.XLOOKUP(Tabla1[[#This Row],[Nombre Cuenta]],PLAN_CUENTAS!$B$2:$B$100,PLAN_CUENTAS!$C$2:$C$100,0,0)</f>
        <v/>
      </c>
    </row>
    <row r="238">
      <c r="A238" s="33" t="n"/>
      <c r="E238" s="73" t="n"/>
      <c r="I238" s="73">
        <f>IF(F238="F",ROUND(E238*0.19/1.19,0),0)</f>
        <v/>
      </c>
      <c r="J238" s="73">
        <f>IF(E238="","",E238-I238)</f>
        <v/>
      </c>
      <c r="K238">
        <f>+_xlfn.XLOOKUP(Tabla1[[#This Row],[Nombre Cuenta]],PLAN_CUENTAS!$B$2:$B$100,PLAN_CUENTAS!$A$2:$A$100,0,0)</f>
        <v/>
      </c>
      <c r="L238">
        <f>+_xlfn.XLOOKUP(Tabla1[[#This Row],[Nombre Cuenta]],PLAN_CUENTAS!$B$2:$B$100,PLAN_CUENTAS!$C$2:$C$100,0,0)</f>
        <v/>
      </c>
    </row>
    <row r="239">
      <c r="A239" s="33" t="n"/>
      <c r="E239" s="73" t="n"/>
      <c r="I239" s="73">
        <f>IF(F239="F",ROUND(E239*0.19/1.19,0),0)</f>
        <v/>
      </c>
      <c r="J239" s="73">
        <f>IF(E239="","",E239-I239)</f>
        <v/>
      </c>
      <c r="K239">
        <f>+_xlfn.XLOOKUP(Tabla1[[#This Row],[Nombre Cuenta]],PLAN_CUENTAS!$B$2:$B$100,PLAN_CUENTAS!$A$2:$A$100,0,0)</f>
        <v/>
      </c>
      <c r="L239">
        <f>+_xlfn.XLOOKUP(Tabla1[[#This Row],[Nombre Cuenta]],PLAN_CUENTAS!$B$2:$B$100,PLAN_CUENTAS!$C$2:$C$100,0,0)</f>
        <v/>
      </c>
    </row>
    <row r="240">
      <c r="A240" s="33" t="n"/>
      <c r="E240" s="73" t="n"/>
      <c r="I240" s="73">
        <f>IF(F240="F",ROUND(E240*0.19/1.19,0),0)</f>
        <v/>
      </c>
      <c r="J240" s="73">
        <f>IF(E240="","",E240-I240)</f>
        <v/>
      </c>
      <c r="K240">
        <f>+_xlfn.XLOOKUP(Tabla1[[#This Row],[Nombre Cuenta]],PLAN_CUENTAS!$B$2:$B$100,PLAN_CUENTAS!$A$2:$A$100,0,0)</f>
        <v/>
      </c>
      <c r="L240">
        <f>+_xlfn.XLOOKUP(Tabla1[[#This Row],[Nombre Cuenta]],PLAN_CUENTAS!$B$2:$B$100,PLAN_CUENTAS!$C$2:$C$100,0,0)</f>
        <v/>
      </c>
    </row>
    <row r="241">
      <c r="A241" s="33" t="n"/>
      <c r="E241" s="73" t="n"/>
      <c r="I241" s="73">
        <f>IF(F241="F",ROUND(E241*0.19/1.19,0),0)</f>
        <v/>
      </c>
      <c r="J241" s="73">
        <f>IF(E241="","",E241-I241)</f>
        <v/>
      </c>
      <c r="K241">
        <f>+_xlfn.XLOOKUP(Tabla1[[#This Row],[Nombre Cuenta]],PLAN_CUENTAS!$B$2:$B$100,PLAN_CUENTAS!$A$2:$A$100,0,0)</f>
        <v/>
      </c>
      <c r="L241">
        <f>+_xlfn.XLOOKUP(Tabla1[[#This Row],[Nombre Cuenta]],PLAN_CUENTAS!$B$2:$B$100,PLAN_CUENTAS!$C$2:$C$100,0,0)</f>
        <v/>
      </c>
    </row>
    <row r="242">
      <c r="A242" s="33" t="n"/>
      <c r="E242" s="73" t="n"/>
      <c r="I242" s="73">
        <f>IF(F242="F",ROUND(E242*0.19/1.19,0),0)</f>
        <v/>
      </c>
      <c r="J242" s="73">
        <f>IF(E242="","",E242-I242)</f>
        <v/>
      </c>
      <c r="K242">
        <f>+_xlfn.XLOOKUP(Tabla1[[#This Row],[Nombre Cuenta]],PLAN_CUENTAS!$B$2:$B$100,PLAN_CUENTAS!$A$2:$A$100,0,0)</f>
        <v/>
      </c>
      <c r="L242">
        <f>+_xlfn.XLOOKUP(Tabla1[[#This Row],[Nombre Cuenta]],PLAN_CUENTAS!$B$2:$B$100,PLAN_CUENTAS!$C$2:$C$100,0,0)</f>
        <v/>
      </c>
    </row>
    <row r="243">
      <c r="A243" s="33" t="n"/>
      <c r="E243" s="73" t="n"/>
      <c r="I243" s="73">
        <f>IF(F243="F",ROUND(E243*0.19/1.19,0),0)</f>
        <v/>
      </c>
      <c r="J243" s="73">
        <f>IF(E243="","",E243-I243)</f>
        <v/>
      </c>
      <c r="K243">
        <f>+_xlfn.XLOOKUP(Tabla1[[#This Row],[Nombre Cuenta]],PLAN_CUENTAS!$B$2:$B$100,PLAN_CUENTAS!$A$2:$A$100,0,0)</f>
        <v/>
      </c>
      <c r="L243">
        <f>+_xlfn.XLOOKUP(Tabla1[[#This Row],[Nombre Cuenta]],PLAN_CUENTAS!$B$2:$B$100,PLAN_CUENTAS!$C$2:$C$100,0,0)</f>
        <v/>
      </c>
    </row>
    <row r="244">
      <c r="A244" s="33" t="n"/>
      <c r="E244" s="73" t="n"/>
      <c r="I244" s="73">
        <f>IF(F244="F",ROUND(E244*0.19/1.19,0),0)</f>
        <v/>
      </c>
      <c r="J244" s="73">
        <f>IF(E244="","",E244-I244)</f>
        <v/>
      </c>
      <c r="K244">
        <f>+_xlfn.XLOOKUP(Tabla1[[#This Row],[Nombre Cuenta]],PLAN_CUENTAS!$B$2:$B$100,PLAN_CUENTAS!$A$2:$A$100,0,0)</f>
        <v/>
      </c>
      <c r="L244">
        <f>+_xlfn.XLOOKUP(Tabla1[[#This Row],[Nombre Cuenta]],PLAN_CUENTAS!$B$2:$B$100,PLAN_CUENTAS!$C$2:$C$100,0,0)</f>
        <v/>
      </c>
    </row>
    <row r="245">
      <c r="A245" s="33" t="n"/>
      <c r="E245" s="73" t="n"/>
      <c r="I245" s="73">
        <f>IF(F245="F",ROUND(E245*0.19/1.19,0),0)</f>
        <v/>
      </c>
      <c r="J245" s="73">
        <f>IF(E245="","",E245-I245)</f>
        <v/>
      </c>
      <c r="K245">
        <f>+_xlfn.XLOOKUP(Tabla1[[#This Row],[Nombre Cuenta]],PLAN_CUENTAS!$B$2:$B$100,PLAN_CUENTAS!$A$2:$A$100,0,0)</f>
        <v/>
      </c>
      <c r="L245">
        <f>+_xlfn.XLOOKUP(Tabla1[[#This Row],[Nombre Cuenta]],PLAN_CUENTAS!$B$2:$B$100,PLAN_CUENTAS!$C$2:$C$100,0,0)</f>
        <v/>
      </c>
    </row>
    <row r="246">
      <c r="A246" s="33" t="n"/>
      <c r="E246" s="73" t="n"/>
      <c r="I246" s="73">
        <f>IF(F246="F",ROUND(E246*0.19/1.19,0),0)</f>
        <v/>
      </c>
      <c r="J246" s="73">
        <f>IF(E246="","",E246-I246)</f>
        <v/>
      </c>
      <c r="K246">
        <f>+_xlfn.XLOOKUP(Tabla1[[#This Row],[Nombre Cuenta]],PLAN_CUENTAS!$B$2:$B$100,PLAN_CUENTAS!$A$2:$A$100,0,0)</f>
        <v/>
      </c>
      <c r="L246">
        <f>+_xlfn.XLOOKUP(Tabla1[[#This Row],[Nombre Cuenta]],PLAN_CUENTAS!$B$2:$B$100,PLAN_CUENTAS!$C$2:$C$100,0,0)</f>
        <v/>
      </c>
    </row>
    <row r="247">
      <c r="A247" s="33" t="n"/>
      <c r="E247" s="73" t="n"/>
      <c r="I247" s="73">
        <f>IF(F247="F",ROUND(E247*0.19/1.19,0),0)</f>
        <v/>
      </c>
      <c r="J247" s="73">
        <f>IF(E247="","",E247-I247)</f>
        <v/>
      </c>
      <c r="K247">
        <f>+_xlfn.XLOOKUP(Tabla1[[#This Row],[Nombre Cuenta]],PLAN_CUENTAS!$B$2:$B$100,PLAN_CUENTAS!$A$2:$A$100,0,0)</f>
        <v/>
      </c>
      <c r="L247">
        <f>+_xlfn.XLOOKUP(Tabla1[[#This Row],[Nombre Cuenta]],PLAN_CUENTAS!$B$2:$B$100,PLAN_CUENTAS!$C$2:$C$100,0,0)</f>
        <v/>
      </c>
    </row>
    <row r="248">
      <c r="A248" s="33" t="n"/>
      <c r="E248" s="73" t="n"/>
      <c r="I248" s="73">
        <f>IF(F248="F",ROUND(E248*0.19/1.19,0),0)</f>
        <v/>
      </c>
      <c r="J248" s="73">
        <f>IF(E248="","",E248-I248)</f>
        <v/>
      </c>
      <c r="K248">
        <f>+_xlfn.XLOOKUP(Tabla1[[#This Row],[Nombre Cuenta]],PLAN_CUENTAS!$B$2:$B$100,PLAN_CUENTAS!$A$2:$A$100,0,0)</f>
        <v/>
      </c>
      <c r="L248">
        <f>+_xlfn.XLOOKUP(Tabla1[[#This Row],[Nombre Cuenta]],PLAN_CUENTAS!$B$2:$B$100,PLAN_CUENTAS!$C$2:$C$100,0,0)</f>
        <v/>
      </c>
    </row>
    <row r="249">
      <c r="A249" s="33" t="n"/>
      <c r="E249" s="73" t="n"/>
      <c r="I249" s="73">
        <f>IF(F249="F",ROUND(E249*0.19/1.19,0),0)</f>
        <v/>
      </c>
      <c r="J249" s="73">
        <f>IF(E249="","",E249-I249)</f>
        <v/>
      </c>
      <c r="K249">
        <f>+_xlfn.XLOOKUP(Tabla1[[#This Row],[Nombre Cuenta]],PLAN_CUENTAS!$B$2:$B$100,PLAN_CUENTAS!$A$2:$A$100,0,0)</f>
        <v/>
      </c>
      <c r="L249">
        <f>+_xlfn.XLOOKUP(Tabla1[[#This Row],[Nombre Cuenta]],PLAN_CUENTAS!$B$2:$B$100,PLAN_CUENTAS!$C$2:$C$100,0,0)</f>
        <v/>
      </c>
    </row>
    <row r="250">
      <c r="A250" s="33" t="n"/>
      <c r="E250" s="73" t="n"/>
      <c r="I250" s="73">
        <f>IF(F250="F",ROUND(E250*0.19/1.19,0),0)</f>
        <v/>
      </c>
      <c r="J250" s="73">
        <f>IF(E250="","",E250-I250)</f>
        <v/>
      </c>
      <c r="K250">
        <f>+_xlfn.XLOOKUP(Tabla1[[#This Row],[Nombre Cuenta]],PLAN_CUENTAS!$B$2:$B$100,PLAN_CUENTAS!$A$2:$A$100,0,0)</f>
        <v/>
      </c>
      <c r="L250">
        <f>+_xlfn.XLOOKUP(Tabla1[[#This Row],[Nombre Cuenta]],PLAN_CUENTAS!$B$2:$B$100,PLAN_CUENTAS!$C$2:$C$100,0,0)</f>
        <v/>
      </c>
    </row>
    <row r="251">
      <c r="A251" s="33" t="n"/>
      <c r="E251" s="73" t="n"/>
      <c r="I251" s="73">
        <f>IF(F251="F",ROUND(E251*0.19/1.19,0),0)</f>
        <v/>
      </c>
      <c r="J251" s="73">
        <f>IF(E251="","",E251-I251)</f>
        <v/>
      </c>
      <c r="K251">
        <f>+_xlfn.XLOOKUP(Tabla1[[#This Row],[Nombre Cuenta]],PLAN_CUENTAS!$B$2:$B$100,PLAN_CUENTAS!$A$2:$A$100,0,0)</f>
        <v/>
      </c>
      <c r="L251">
        <f>+_xlfn.XLOOKUP(Tabla1[[#This Row],[Nombre Cuenta]],PLAN_CUENTAS!$B$2:$B$100,PLAN_CUENTAS!$C$2:$C$100,0,0)</f>
        <v/>
      </c>
    </row>
    <row r="252">
      <c r="A252" s="33" t="n"/>
      <c r="E252" s="73" t="n"/>
      <c r="I252" s="73">
        <f>IF(F252="F",ROUND(E252*0.19/1.19,0),0)</f>
        <v/>
      </c>
      <c r="J252" s="73">
        <f>IF(E252="","",E252-I252)</f>
        <v/>
      </c>
      <c r="K252">
        <f>+_xlfn.XLOOKUP(Tabla1[[#This Row],[Nombre Cuenta]],PLAN_CUENTAS!$B$2:$B$100,PLAN_CUENTAS!$A$2:$A$100,0,0)</f>
        <v/>
      </c>
      <c r="L252">
        <f>+_xlfn.XLOOKUP(Tabla1[[#This Row],[Nombre Cuenta]],PLAN_CUENTAS!$B$2:$B$100,PLAN_CUENTAS!$C$2:$C$100,0,0)</f>
        <v/>
      </c>
    </row>
    <row r="253">
      <c r="A253" s="33" t="n"/>
      <c r="E253" s="73" t="n"/>
      <c r="I253" s="73">
        <f>IF(F253="F",ROUND(E253*0.19/1.19,0),0)</f>
        <v/>
      </c>
      <c r="J253" s="73">
        <f>IF(E253="","",E253-I253)</f>
        <v/>
      </c>
      <c r="K253">
        <f>+_xlfn.XLOOKUP(Tabla1[[#This Row],[Nombre Cuenta]],PLAN_CUENTAS!$B$2:$B$100,PLAN_CUENTAS!$A$2:$A$100,0,0)</f>
        <v/>
      </c>
      <c r="L253">
        <f>+_xlfn.XLOOKUP(Tabla1[[#This Row],[Nombre Cuenta]],PLAN_CUENTAS!$B$2:$B$100,PLAN_CUENTAS!$C$2:$C$100,0,0)</f>
        <v/>
      </c>
    </row>
    <row r="254">
      <c r="A254" s="33" t="n"/>
      <c r="E254" s="73" t="n"/>
      <c r="I254" s="73">
        <f>IF(F254="F",ROUND(E254*0.19/1.19,0),0)</f>
        <v/>
      </c>
      <c r="J254" s="73">
        <f>IF(E254="","",E254-I254)</f>
        <v/>
      </c>
      <c r="K254">
        <f>+_xlfn.XLOOKUP(Tabla1[[#This Row],[Nombre Cuenta]],PLAN_CUENTAS!$B$2:$B$100,PLAN_CUENTAS!$A$2:$A$100,0,0)</f>
        <v/>
      </c>
      <c r="L254">
        <f>+_xlfn.XLOOKUP(Tabla1[[#This Row],[Nombre Cuenta]],PLAN_CUENTAS!$B$2:$B$100,PLAN_CUENTAS!$C$2:$C$100,0,0)</f>
        <v/>
      </c>
    </row>
    <row r="255">
      <c r="A255" s="33" t="n"/>
      <c r="E255" s="73" t="n"/>
      <c r="I255" s="73">
        <f>IF(F255="F",ROUND(E255*0.19/1.19,0),0)</f>
        <v/>
      </c>
      <c r="J255" s="73">
        <f>IF(E255="","",E255-I255)</f>
        <v/>
      </c>
      <c r="K255">
        <f>+_xlfn.XLOOKUP(Tabla1[[#This Row],[Nombre Cuenta]],PLAN_CUENTAS!$B$2:$B$100,PLAN_CUENTAS!$A$2:$A$100,0,0)</f>
        <v/>
      </c>
      <c r="L255">
        <f>+_xlfn.XLOOKUP(Tabla1[[#This Row],[Nombre Cuenta]],PLAN_CUENTAS!$B$2:$B$100,PLAN_CUENTAS!$C$2:$C$100,0,0)</f>
        <v/>
      </c>
    </row>
    <row r="256">
      <c r="E256" s="73" t="n"/>
      <c r="I256" s="73">
        <f>IF(F256="F",ROUND(E256*0.19/1.19,0),0)</f>
        <v/>
      </c>
      <c r="J256" s="73">
        <f>IF(E256="","",E256-I256)</f>
        <v/>
      </c>
      <c r="K256">
        <f>+_xlfn.XLOOKUP(Tabla1[[#This Row],[Nombre Cuenta]],PLAN_CUENTAS!$B$2:$B$100,PLAN_CUENTAS!$A$2:$A$100,0,0)</f>
        <v/>
      </c>
      <c r="L256">
        <f>+_xlfn.XLOOKUP(Tabla1[[#This Row],[Nombre Cuenta]],PLAN_CUENTAS!$B$2:$B$100,PLAN_CUENTAS!$C$2:$C$100,0,0)</f>
        <v/>
      </c>
    </row>
    <row r="257">
      <c r="E257" s="73" t="n"/>
      <c r="I257" s="73">
        <f>IF(F257="F",ROUND(E257*0.19/1.19,0),0)</f>
        <v/>
      </c>
      <c r="J257" s="73">
        <f>IF(E257="","",E257-I257)</f>
        <v/>
      </c>
      <c r="K257">
        <f>+_xlfn.XLOOKUP(Tabla1[[#This Row],[Nombre Cuenta]],PLAN_CUENTAS!$B$2:$B$100,PLAN_CUENTAS!$A$2:$A$100,0,0)</f>
        <v/>
      </c>
      <c r="L257">
        <f>+_xlfn.XLOOKUP(Tabla1[[#This Row],[Nombre Cuenta]],PLAN_CUENTAS!$B$2:$B$100,PLAN_CUENTAS!$C$2:$C$100,0,0)</f>
        <v/>
      </c>
    </row>
    <row r="258">
      <c r="E258" s="73" t="n"/>
      <c r="I258" s="73">
        <f>IF(F258="F",ROUND(E258*0.19/1.19,0),0)</f>
        <v/>
      </c>
      <c r="J258" s="73">
        <f>IF(E258="","",E258-I258)</f>
        <v/>
      </c>
      <c r="K258">
        <f>+_xlfn.XLOOKUP(Tabla1[[#This Row],[Nombre Cuenta]],PLAN_CUENTAS!$B$2:$B$100,PLAN_CUENTAS!$A$2:$A$100,0,0)</f>
        <v/>
      </c>
      <c r="L258">
        <f>+_xlfn.XLOOKUP(Tabla1[[#This Row],[Nombre Cuenta]],PLAN_CUENTAS!$B$2:$B$100,PLAN_CUENTAS!$C$2:$C$100,0,0)</f>
        <v/>
      </c>
    </row>
    <row r="259">
      <c r="E259" s="73" t="n"/>
      <c r="I259" s="73">
        <f>IF(F259="F",ROUND(E259*0.19/1.19,0),0)</f>
        <v/>
      </c>
      <c r="J259" s="73">
        <f>IF(E259="","",E259-I259)</f>
        <v/>
      </c>
      <c r="K259">
        <f>+_xlfn.XLOOKUP(Tabla1[[#This Row],[Nombre Cuenta]],PLAN_CUENTAS!$B$2:$B$100,PLAN_CUENTAS!$A$2:$A$100,0,0)</f>
        <v/>
      </c>
      <c r="L259">
        <f>+_xlfn.XLOOKUP(Tabla1[[#This Row],[Nombre Cuenta]],PLAN_CUENTAS!$B$2:$B$100,PLAN_CUENTAS!$C$2:$C$100,0,0)</f>
        <v/>
      </c>
    </row>
    <row r="260">
      <c r="E260" s="73" t="n"/>
      <c r="I260" s="73">
        <f>IF(F260="F",ROUND(E260*0.19/1.19,0),0)</f>
        <v/>
      </c>
      <c r="J260" s="73">
        <f>IF(E260="","",E260-I260)</f>
        <v/>
      </c>
      <c r="K260">
        <f>+_xlfn.XLOOKUP(Tabla1[[#This Row],[Nombre Cuenta]],PLAN_CUENTAS!$B$2:$B$100,PLAN_CUENTAS!$A$2:$A$100,0,0)</f>
        <v/>
      </c>
      <c r="L260">
        <f>+_xlfn.XLOOKUP(Tabla1[[#This Row],[Nombre Cuenta]],PLAN_CUENTAS!$B$2:$B$100,PLAN_CUENTAS!$C$2:$C$100,0,0)</f>
        <v/>
      </c>
    </row>
    <row r="261">
      <c r="E261" s="73" t="n"/>
      <c r="I261" s="73">
        <f>IF(F261="F",ROUND(E261*0.19/1.19,0),0)</f>
        <v/>
      </c>
      <c r="J261" s="73">
        <f>IF(E261="","",E261-I261)</f>
        <v/>
      </c>
      <c r="K261">
        <f>+_xlfn.XLOOKUP(Tabla1[[#This Row],[Nombre Cuenta]],PLAN_CUENTAS!$B$2:$B$100,PLAN_CUENTAS!$A$2:$A$100,0,0)</f>
        <v/>
      </c>
      <c r="L261">
        <f>+_xlfn.XLOOKUP(Tabla1[[#This Row],[Nombre Cuenta]],PLAN_CUENTAS!$B$2:$B$100,PLAN_CUENTAS!$C$2:$C$100,0,0)</f>
        <v/>
      </c>
    </row>
    <row r="262">
      <c r="E262" s="73" t="n"/>
      <c r="I262" s="73">
        <f>IF(F262="F",ROUND(E262*0.19/1.19,0),0)</f>
        <v/>
      </c>
      <c r="J262" s="73">
        <f>IF(E262="","",E262-I262)</f>
        <v/>
      </c>
      <c r="K262">
        <f>+_xlfn.XLOOKUP(Tabla1[[#This Row],[Nombre Cuenta]],PLAN_CUENTAS!$B$2:$B$100,PLAN_CUENTAS!$A$2:$A$100,0,0)</f>
        <v/>
      </c>
      <c r="L262">
        <f>+_xlfn.XLOOKUP(Tabla1[[#This Row],[Nombre Cuenta]],PLAN_CUENTAS!$B$2:$B$100,PLAN_CUENTAS!$C$2:$C$100,0,0)</f>
        <v/>
      </c>
    </row>
    <row r="263">
      <c r="E263" s="73" t="n"/>
      <c r="I263" s="73">
        <f>IF(F263="F",ROUND(E263*0.19/1.19,0),0)</f>
        <v/>
      </c>
      <c r="J263" s="73">
        <f>IF(E263="","",E263-I263)</f>
        <v/>
      </c>
      <c r="K263">
        <f>+_xlfn.XLOOKUP(Tabla1[[#This Row],[Nombre Cuenta]],PLAN_CUENTAS!$B$2:$B$100,PLAN_CUENTAS!$A$2:$A$100,0,0)</f>
        <v/>
      </c>
      <c r="L263">
        <f>+_xlfn.XLOOKUP(Tabla1[[#This Row],[Nombre Cuenta]],PLAN_CUENTAS!$B$2:$B$100,PLAN_CUENTAS!$C$2:$C$100,0,0)</f>
        <v/>
      </c>
    </row>
    <row r="264">
      <c r="E264" s="73" t="n"/>
      <c r="I264" s="73">
        <f>IF(F264="F",ROUND(E264*0.19/1.19,0),0)</f>
        <v/>
      </c>
      <c r="J264" s="73">
        <f>IF(E264="","",E264-I264)</f>
        <v/>
      </c>
      <c r="K264">
        <f>+_xlfn.XLOOKUP(Tabla1[[#This Row],[Nombre Cuenta]],PLAN_CUENTAS!$B$2:$B$100,PLAN_CUENTAS!$A$2:$A$100,0,0)</f>
        <v/>
      </c>
      <c r="L264">
        <f>+_xlfn.XLOOKUP(Tabla1[[#This Row],[Nombre Cuenta]],PLAN_CUENTAS!$B$2:$B$100,PLAN_CUENTAS!$C$2:$C$100,0,0)</f>
        <v/>
      </c>
    </row>
    <row r="265">
      <c r="E265" s="73" t="n"/>
      <c r="I265" s="73">
        <f>IF(F265="F",ROUND(E265*0.19/1.19,0),0)</f>
        <v/>
      </c>
      <c r="J265" s="73">
        <f>IF(E265="","",E265-I265)</f>
        <v/>
      </c>
      <c r="K265">
        <f>+_xlfn.XLOOKUP(Tabla1[[#This Row],[Nombre Cuenta]],PLAN_CUENTAS!$B$2:$B$100,PLAN_CUENTAS!$A$2:$A$100,0,0)</f>
        <v/>
      </c>
      <c r="L265">
        <f>+_xlfn.XLOOKUP(Tabla1[[#This Row],[Nombre Cuenta]],PLAN_CUENTAS!$B$2:$B$100,PLAN_CUENTAS!$C$2:$C$100,0,0)</f>
        <v/>
      </c>
    </row>
    <row r="266">
      <c r="E266" s="73" t="n"/>
      <c r="I266" s="73">
        <f>IF(F266="F",ROUND(E266*0.19/1.19,0),0)</f>
        <v/>
      </c>
      <c r="J266" s="73">
        <f>IF(E266="","",E266-I266)</f>
        <v/>
      </c>
      <c r="K266">
        <f>+_xlfn.XLOOKUP(Tabla1[[#This Row],[Nombre Cuenta]],PLAN_CUENTAS!$B$2:$B$100,PLAN_CUENTAS!$A$2:$A$100,0,0)</f>
        <v/>
      </c>
      <c r="L266">
        <f>+_xlfn.XLOOKUP(Tabla1[[#This Row],[Nombre Cuenta]],PLAN_CUENTAS!$B$2:$B$100,PLAN_CUENTAS!$C$2:$C$100,0,0)</f>
        <v/>
      </c>
    </row>
    <row r="267">
      <c r="E267" s="73" t="n"/>
      <c r="I267" s="73">
        <f>IF(F267="F",ROUND(E267*0.19/1.19,0),0)</f>
        <v/>
      </c>
      <c r="J267" s="73">
        <f>IF(E267="","",E267-I267)</f>
        <v/>
      </c>
      <c r="K267">
        <f>+_xlfn.XLOOKUP(Tabla1[[#This Row],[Nombre Cuenta]],PLAN_CUENTAS!$B$2:$B$100,PLAN_CUENTAS!$A$2:$A$100,0,0)</f>
        <v/>
      </c>
      <c r="L267">
        <f>+_xlfn.XLOOKUP(Tabla1[[#This Row],[Nombre Cuenta]],PLAN_CUENTAS!$B$2:$B$100,PLAN_CUENTAS!$C$2:$C$100,0,0)</f>
        <v/>
      </c>
    </row>
    <row r="268">
      <c r="E268" s="73" t="n"/>
      <c r="I268" s="73">
        <f>IF(F268="F",ROUND(E268*0.19/1.19,0),0)</f>
        <v/>
      </c>
      <c r="J268" s="73">
        <f>IF(E268="","",E268-I268)</f>
        <v/>
      </c>
      <c r="K268">
        <f>+_xlfn.XLOOKUP(Tabla1[[#This Row],[Nombre Cuenta]],PLAN_CUENTAS!$B$2:$B$100,PLAN_CUENTAS!$A$2:$A$100,0,0)</f>
        <v/>
      </c>
      <c r="L268">
        <f>+_xlfn.XLOOKUP(Tabla1[[#This Row],[Nombre Cuenta]],PLAN_CUENTAS!$B$2:$B$100,PLAN_CUENTAS!$C$2:$C$100,0,0)</f>
        <v/>
      </c>
    </row>
    <row r="269">
      <c r="E269" s="73" t="n"/>
      <c r="I269" s="73">
        <f>IF(F269="F",ROUND(E269*0.19/1.19,0),0)</f>
        <v/>
      </c>
      <c r="J269" s="73">
        <f>IF(E269="","",E269-I269)</f>
        <v/>
      </c>
      <c r="K269">
        <f>+_xlfn.XLOOKUP(Tabla1[[#This Row],[Nombre Cuenta]],PLAN_CUENTAS!$B$2:$B$100,PLAN_CUENTAS!$A$2:$A$100,0,0)</f>
        <v/>
      </c>
      <c r="L269">
        <f>+_xlfn.XLOOKUP(Tabla1[[#This Row],[Nombre Cuenta]],PLAN_CUENTAS!$B$2:$B$100,PLAN_CUENTAS!$C$2:$C$100,0,0)</f>
        <v/>
      </c>
    </row>
    <row r="270">
      <c r="E270" s="73" t="n"/>
      <c r="I270" s="73">
        <f>IF(F270="F",ROUND(E270*0.19/1.19,0),0)</f>
        <v/>
      </c>
      <c r="J270" s="73">
        <f>IF(E270="","",E270-I270)</f>
        <v/>
      </c>
      <c r="K270">
        <f>+_xlfn.XLOOKUP(Tabla1[[#This Row],[Nombre Cuenta]],PLAN_CUENTAS!$B$2:$B$100,PLAN_CUENTAS!$A$2:$A$100,0,0)</f>
        <v/>
      </c>
      <c r="L270">
        <f>+_xlfn.XLOOKUP(Tabla1[[#This Row],[Nombre Cuenta]],PLAN_CUENTAS!$B$2:$B$100,PLAN_CUENTAS!$C$2:$C$100,0,0)</f>
        <v/>
      </c>
    </row>
    <row r="271">
      <c r="E271" s="73" t="n"/>
      <c r="I271" s="73">
        <f>IF(F271="F",ROUND(E271*0.19/1.19,0),0)</f>
        <v/>
      </c>
      <c r="J271" s="73">
        <f>IF(E271="","",E271-I271)</f>
        <v/>
      </c>
      <c r="K271">
        <f>+_xlfn.XLOOKUP(Tabla1[[#This Row],[Nombre Cuenta]],PLAN_CUENTAS!$B$2:$B$100,PLAN_CUENTAS!$A$2:$A$100,0,0)</f>
        <v/>
      </c>
      <c r="L271">
        <f>+_xlfn.XLOOKUP(Tabla1[[#This Row],[Nombre Cuenta]],PLAN_CUENTAS!$B$2:$B$100,PLAN_CUENTAS!$C$2:$C$100,0,0)</f>
        <v/>
      </c>
    </row>
    <row r="272">
      <c r="E272" s="73" t="n"/>
      <c r="I272" s="73">
        <f>IF(F272="F",ROUND(E272*0.19/1.19,0),0)</f>
        <v/>
      </c>
      <c r="J272" s="73">
        <f>IF(E272="","",E272-I272)</f>
        <v/>
      </c>
      <c r="K272">
        <f>+_xlfn.XLOOKUP(Tabla1[[#This Row],[Nombre Cuenta]],PLAN_CUENTAS!$B$2:$B$100,PLAN_CUENTAS!$A$2:$A$100,0,0)</f>
        <v/>
      </c>
      <c r="L272">
        <f>+_xlfn.XLOOKUP(Tabla1[[#This Row],[Nombre Cuenta]],PLAN_CUENTAS!$B$2:$B$100,PLAN_CUENTAS!$C$2:$C$100,0,0)</f>
        <v/>
      </c>
    </row>
    <row r="273">
      <c r="E273" s="73" t="n"/>
      <c r="I273" s="73">
        <f>IF(F273="F",ROUND(E273*0.19/1.19,0),0)</f>
        <v/>
      </c>
      <c r="J273" s="73">
        <f>IF(E273="","",E273-I273)</f>
        <v/>
      </c>
      <c r="K273">
        <f>+_xlfn.XLOOKUP(Tabla1[[#This Row],[Nombre Cuenta]],PLAN_CUENTAS!$B$2:$B$100,PLAN_CUENTAS!$A$2:$A$100,0,0)</f>
        <v/>
      </c>
      <c r="L273">
        <f>+_xlfn.XLOOKUP(Tabla1[[#This Row],[Nombre Cuenta]],PLAN_CUENTAS!$B$2:$B$100,PLAN_CUENTAS!$C$2:$C$100,0,0)</f>
        <v/>
      </c>
    </row>
    <row r="274">
      <c r="E274" s="73" t="n"/>
      <c r="I274" s="73">
        <f>IF(F274="F",ROUND(E274*0.19/1.19,0),0)</f>
        <v/>
      </c>
      <c r="J274" s="73">
        <f>IF(E274="","",E274-I274)</f>
        <v/>
      </c>
      <c r="K274">
        <f>+_xlfn.XLOOKUP(Tabla1[[#This Row],[Nombre Cuenta]],PLAN_CUENTAS!$B$2:$B$100,PLAN_CUENTAS!$A$2:$A$100,0,0)</f>
        <v/>
      </c>
      <c r="L274">
        <f>+_xlfn.XLOOKUP(Tabla1[[#This Row],[Nombre Cuenta]],PLAN_CUENTAS!$B$2:$B$100,PLAN_CUENTAS!$C$2:$C$100,0,0)</f>
        <v/>
      </c>
    </row>
    <row r="275">
      <c r="E275" s="73" t="n"/>
      <c r="I275" s="73">
        <f>IF(F275="F",ROUND(E275*0.19/1.19,0),0)</f>
        <v/>
      </c>
      <c r="J275" s="73">
        <f>IF(E275="","",E275-I275)</f>
        <v/>
      </c>
      <c r="K275">
        <f>+_xlfn.XLOOKUP(Tabla1[[#This Row],[Nombre Cuenta]],PLAN_CUENTAS!$B$2:$B$100,PLAN_CUENTAS!$A$2:$A$100,0,0)</f>
        <v/>
      </c>
      <c r="L275">
        <f>+_xlfn.XLOOKUP(Tabla1[[#This Row],[Nombre Cuenta]],PLAN_CUENTAS!$B$2:$B$100,PLAN_CUENTAS!$C$2:$C$100,0,0)</f>
        <v/>
      </c>
    </row>
    <row r="276">
      <c r="E276" s="73" t="n"/>
      <c r="I276" s="73">
        <f>IF(F276="F",ROUND(E276*0.19/1.19,0),0)</f>
        <v/>
      </c>
      <c r="J276" s="73">
        <f>IF(E276="","",E276-I276)</f>
        <v/>
      </c>
      <c r="K276">
        <f>+_xlfn.XLOOKUP(Tabla1[[#This Row],[Nombre Cuenta]],PLAN_CUENTAS!$B$2:$B$100,PLAN_CUENTAS!$A$2:$A$100,0,0)</f>
        <v/>
      </c>
      <c r="L276">
        <f>+_xlfn.XLOOKUP(Tabla1[[#This Row],[Nombre Cuenta]],PLAN_CUENTAS!$B$2:$B$100,PLAN_CUENTAS!$C$2:$C$100,0,0)</f>
        <v/>
      </c>
    </row>
    <row r="277">
      <c r="E277" s="73" t="n"/>
      <c r="I277" s="73">
        <f>IF(F277="F",ROUND(E277*0.19/1.19,0),0)</f>
        <v/>
      </c>
      <c r="J277" s="73">
        <f>IF(E277="","",E277-I277)</f>
        <v/>
      </c>
      <c r="K277">
        <f>+_xlfn.XLOOKUP(Tabla1[[#This Row],[Nombre Cuenta]],PLAN_CUENTAS!$B$2:$B$100,PLAN_CUENTAS!$A$2:$A$100,0,0)</f>
        <v/>
      </c>
      <c r="L277">
        <f>+_xlfn.XLOOKUP(Tabla1[[#This Row],[Nombre Cuenta]],PLAN_CUENTAS!$B$2:$B$100,PLAN_CUENTAS!$C$2:$C$100,0,0)</f>
        <v/>
      </c>
    </row>
    <row r="278">
      <c r="E278" s="73" t="n"/>
      <c r="I278" s="73">
        <f>IF(F278="F",ROUND(E278*0.19/1.19,0),0)</f>
        <v/>
      </c>
      <c r="J278" s="73">
        <f>IF(E278="","",E278-I278)</f>
        <v/>
      </c>
      <c r="K278">
        <f>+_xlfn.XLOOKUP(Tabla1[[#This Row],[Nombre Cuenta]],PLAN_CUENTAS!$B$2:$B$100,PLAN_CUENTAS!$A$2:$A$100,0,0)</f>
        <v/>
      </c>
      <c r="L278">
        <f>+_xlfn.XLOOKUP(Tabla1[[#This Row],[Nombre Cuenta]],PLAN_CUENTAS!$B$2:$B$100,PLAN_CUENTAS!$C$2:$C$100,0,0)</f>
        <v/>
      </c>
    </row>
    <row r="279">
      <c r="E279" s="73" t="n"/>
      <c r="I279" s="73">
        <f>IF(F279="F",ROUND(E279*0.19/1.19,0),0)</f>
        <v/>
      </c>
      <c r="J279" s="73">
        <f>IF(E279="","",E279-I279)</f>
        <v/>
      </c>
      <c r="K279">
        <f>+_xlfn.XLOOKUP(Tabla1[[#This Row],[Nombre Cuenta]],PLAN_CUENTAS!$B$2:$B$100,PLAN_CUENTAS!$A$2:$A$100,0,0)</f>
        <v/>
      </c>
      <c r="L279">
        <f>+_xlfn.XLOOKUP(Tabla1[[#This Row],[Nombre Cuenta]],PLAN_CUENTAS!$B$2:$B$100,PLAN_CUENTAS!$C$2:$C$100,0,0)</f>
        <v/>
      </c>
    </row>
    <row r="280">
      <c r="E280" s="73" t="n"/>
      <c r="I280" s="73">
        <f>IF(F280="F",ROUND(E280*0.19/1.19,0),0)</f>
        <v/>
      </c>
      <c r="J280" s="73">
        <f>IF(E280="","",E280-I280)</f>
        <v/>
      </c>
      <c r="K280">
        <f>+_xlfn.XLOOKUP(Tabla1[[#This Row],[Nombre Cuenta]],PLAN_CUENTAS!$B$2:$B$100,PLAN_CUENTAS!$A$2:$A$100,0,0)</f>
        <v/>
      </c>
      <c r="L280">
        <f>+_xlfn.XLOOKUP(Tabla1[[#This Row],[Nombre Cuenta]],PLAN_CUENTAS!$B$2:$B$100,PLAN_CUENTAS!$C$2:$C$100,0,0)</f>
        <v/>
      </c>
    </row>
    <row r="281">
      <c r="E281" s="73" t="n"/>
      <c r="I281" s="73">
        <f>IF(F281="F",ROUND(E281*0.19/1.19,0),0)</f>
        <v/>
      </c>
      <c r="J281" s="73">
        <f>IF(E281="","",E281-I281)</f>
        <v/>
      </c>
      <c r="K281">
        <f>+_xlfn.XLOOKUP(Tabla1[[#This Row],[Nombre Cuenta]],PLAN_CUENTAS!$B$2:$B$100,PLAN_CUENTAS!$A$2:$A$100,0,0)</f>
        <v/>
      </c>
      <c r="L281">
        <f>+_xlfn.XLOOKUP(Tabla1[[#This Row],[Nombre Cuenta]],PLAN_CUENTAS!$B$2:$B$100,PLAN_CUENTAS!$C$2:$C$100,0,0)</f>
        <v/>
      </c>
    </row>
    <row r="282">
      <c r="E282" s="73" t="n"/>
      <c r="I282" s="73">
        <f>IF(F282="F",ROUND(E282*0.19/1.19,0),0)</f>
        <v/>
      </c>
      <c r="J282" s="73">
        <f>IF(E282="","",E282-I282)</f>
        <v/>
      </c>
      <c r="K282">
        <f>+_xlfn.XLOOKUP(Tabla1[[#This Row],[Nombre Cuenta]],PLAN_CUENTAS!$B$2:$B$100,PLAN_CUENTAS!$A$2:$A$100,0,0)</f>
        <v/>
      </c>
      <c r="L282">
        <f>+_xlfn.XLOOKUP(Tabla1[[#This Row],[Nombre Cuenta]],PLAN_CUENTAS!$B$2:$B$100,PLAN_CUENTAS!$C$2:$C$100,0,0)</f>
        <v/>
      </c>
    </row>
    <row r="283">
      <c r="E283" s="73" t="n"/>
      <c r="I283" s="73">
        <f>IF(F283="F",ROUND(E283*0.19/1.19,0),0)</f>
        <v/>
      </c>
      <c r="J283" s="73">
        <f>IF(E283="","",E283-I283)</f>
        <v/>
      </c>
      <c r="K283">
        <f>+_xlfn.XLOOKUP(Tabla1[[#This Row],[Nombre Cuenta]],PLAN_CUENTAS!$B$2:$B$100,PLAN_CUENTAS!$A$2:$A$100,0,0)</f>
        <v/>
      </c>
      <c r="L283">
        <f>+_xlfn.XLOOKUP(Tabla1[[#This Row],[Nombre Cuenta]],PLAN_CUENTAS!$B$2:$B$100,PLAN_CUENTAS!$C$2:$C$100,0,0)</f>
        <v/>
      </c>
    </row>
    <row r="284">
      <c r="E284" s="73" t="n"/>
      <c r="I284" s="73">
        <f>IF(F284="F",ROUND(E284*0.19/1.19,0),0)</f>
        <v/>
      </c>
      <c r="J284" s="73">
        <f>IF(E284="","",E284-I284)</f>
        <v/>
      </c>
      <c r="K284">
        <f>+_xlfn.XLOOKUP(Tabla1[[#This Row],[Nombre Cuenta]],PLAN_CUENTAS!$B$2:$B$100,PLAN_CUENTAS!$A$2:$A$100,0,0)</f>
        <v/>
      </c>
      <c r="L284">
        <f>+_xlfn.XLOOKUP(Tabla1[[#This Row],[Nombre Cuenta]],PLAN_CUENTAS!$B$2:$B$100,PLAN_CUENTAS!$C$2:$C$100,0,0)</f>
        <v/>
      </c>
    </row>
    <row r="285">
      <c r="E285" s="73" t="n"/>
      <c r="I285" s="73">
        <f>IF(F285="F",ROUND(E285*0.19/1.19,0),0)</f>
        <v/>
      </c>
      <c r="J285" s="73">
        <f>IF(E285="","",E285-I285)</f>
        <v/>
      </c>
      <c r="K285">
        <f>+_xlfn.XLOOKUP(Tabla1[[#This Row],[Nombre Cuenta]],PLAN_CUENTAS!$B$2:$B$100,PLAN_CUENTAS!$A$2:$A$100,0,0)</f>
        <v/>
      </c>
      <c r="L285">
        <f>+_xlfn.XLOOKUP(Tabla1[[#This Row],[Nombre Cuenta]],PLAN_CUENTAS!$B$2:$B$100,PLAN_CUENTAS!$C$2:$C$100,0,0)</f>
        <v/>
      </c>
    </row>
    <row r="286">
      <c r="E286" s="73" t="n"/>
      <c r="I286" s="73">
        <f>IF(F286="F",ROUND(E286*0.19/1.19,0),0)</f>
        <v/>
      </c>
      <c r="J286" s="73">
        <f>IF(E286="","",E286-I286)</f>
        <v/>
      </c>
      <c r="K286">
        <f>+_xlfn.XLOOKUP(Tabla1[[#This Row],[Nombre Cuenta]],PLAN_CUENTAS!$B$2:$B$100,PLAN_CUENTAS!$A$2:$A$100,0,0)</f>
        <v/>
      </c>
      <c r="L286">
        <f>+_xlfn.XLOOKUP(Tabla1[[#This Row],[Nombre Cuenta]],PLAN_CUENTAS!$B$2:$B$100,PLAN_CUENTAS!$C$2:$C$100,0,0)</f>
        <v/>
      </c>
    </row>
    <row r="287">
      <c r="E287" s="73" t="n"/>
      <c r="I287" s="73">
        <f>IF(F287="F",ROUND(E287*0.19/1.19,0),0)</f>
        <v/>
      </c>
      <c r="J287" s="73">
        <f>IF(E287="","",E287-I287)</f>
        <v/>
      </c>
      <c r="K287">
        <f>+_xlfn.XLOOKUP(Tabla1[[#This Row],[Nombre Cuenta]],PLAN_CUENTAS!$B$2:$B$100,PLAN_CUENTAS!$A$2:$A$100,0,0)</f>
        <v/>
      </c>
      <c r="L287">
        <f>+_xlfn.XLOOKUP(Tabla1[[#This Row],[Nombre Cuenta]],PLAN_CUENTAS!$B$2:$B$100,PLAN_CUENTAS!$C$2:$C$100,0,0)</f>
        <v/>
      </c>
    </row>
    <row r="288">
      <c r="E288" s="73" t="n"/>
      <c r="I288" s="73">
        <f>IF(F288="F",ROUND(E288*0.19/1.19,0),0)</f>
        <v/>
      </c>
      <c r="J288" s="73">
        <f>IF(E288="","",E288-I288)</f>
        <v/>
      </c>
      <c r="K288">
        <f>+_xlfn.XLOOKUP(Tabla1[[#This Row],[Nombre Cuenta]],PLAN_CUENTAS!$B$2:$B$100,PLAN_CUENTAS!$A$2:$A$100,0,0)</f>
        <v/>
      </c>
      <c r="L288">
        <f>+_xlfn.XLOOKUP(Tabla1[[#This Row],[Nombre Cuenta]],PLAN_CUENTAS!$B$2:$B$100,PLAN_CUENTAS!$C$2:$C$100,0,0)</f>
        <v/>
      </c>
    </row>
    <row r="289">
      <c r="E289" s="73" t="n"/>
      <c r="I289" s="73">
        <f>IF(F289="F",ROUND(E289*0.19/1.19,0),0)</f>
        <v/>
      </c>
      <c r="J289" s="73">
        <f>IF(E289="","",E289-I289)</f>
        <v/>
      </c>
      <c r="K289">
        <f>+_xlfn.XLOOKUP(Tabla1[[#This Row],[Nombre Cuenta]],PLAN_CUENTAS!$B$2:$B$100,PLAN_CUENTAS!$A$2:$A$100,0,0)</f>
        <v/>
      </c>
      <c r="L289">
        <f>+_xlfn.XLOOKUP(Tabla1[[#This Row],[Nombre Cuenta]],PLAN_CUENTAS!$B$2:$B$100,PLAN_CUENTAS!$C$2:$C$100,0,0)</f>
        <v/>
      </c>
    </row>
    <row r="290">
      <c r="E290" s="73" t="n"/>
      <c r="I290" s="73">
        <f>IF(F290="F",ROUND(E290*0.19/1.19,0),0)</f>
        <v/>
      </c>
      <c r="J290" s="73">
        <f>IF(E290="","",E290-I290)</f>
        <v/>
      </c>
      <c r="K290">
        <f>+_xlfn.XLOOKUP(Tabla1[[#This Row],[Nombre Cuenta]],PLAN_CUENTAS!$B$2:$B$100,PLAN_CUENTAS!$A$2:$A$100,0,0)</f>
        <v/>
      </c>
      <c r="L290">
        <f>+_xlfn.XLOOKUP(Tabla1[[#This Row],[Nombre Cuenta]],PLAN_CUENTAS!$B$2:$B$100,PLAN_CUENTAS!$C$2:$C$100,0,0)</f>
        <v/>
      </c>
    </row>
    <row r="291">
      <c r="E291" s="73" t="n"/>
      <c r="I291" s="73">
        <f>IF(F291="F",ROUND(E291*0.19/1.19,0),0)</f>
        <v/>
      </c>
      <c r="J291" s="73">
        <f>IF(E291="","",E291-I291)</f>
        <v/>
      </c>
      <c r="K291">
        <f>+_xlfn.XLOOKUP(Tabla1[[#This Row],[Nombre Cuenta]],PLAN_CUENTAS!$B$2:$B$100,PLAN_CUENTAS!$A$2:$A$100,0,0)</f>
        <v/>
      </c>
      <c r="L291">
        <f>+_xlfn.XLOOKUP(Tabla1[[#This Row],[Nombre Cuenta]],PLAN_CUENTAS!$B$2:$B$100,PLAN_CUENTAS!$C$2:$C$100,0,0)</f>
        <v/>
      </c>
    </row>
    <row r="292">
      <c r="E292" s="73" t="n"/>
      <c r="I292" s="73">
        <f>IF(F292="F",ROUND(E292*0.19/1.19,0),0)</f>
        <v/>
      </c>
      <c r="J292" s="73">
        <f>IF(E292="","",E292-I292)</f>
        <v/>
      </c>
      <c r="K292">
        <f>+_xlfn.XLOOKUP(Tabla1[[#This Row],[Nombre Cuenta]],PLAN_CUENTAS!$B$2:$B$100,PLAN_CUENTAS!$A$2:$A$100,0,0)</f>
        <v/>
      </c>
      <c r="L292">
        <f>+_xlfn.XLOOKUP(Tabla1[[#This Row],[Nombre Cuenta]],PLAN_CUENTAS!$B$2:$B$100,PLAN_CUENTAS!$C$2:$C$100,0,0)</f>
        <v/>
      </c>
    </row>
    <row r="293">
      <c r="E293" s="73" t="n"/>
      <c r="I293" s="73">
        <f>IF(F293="F",ROUND(E293*0.19/1.19,0),0)</f>
        <v/>
      </c>
      <c r="J293" s="73">
        <f>IF(E293="","",E293-I293)</f>
        <v/>
      </c>
      <c r="K293">
        <f>+_xlfn.XLOOKUP(Tabla1[[#This Row],[Nombre Cuenta]],PLAN_CUENTAS!$B$2:$B$100,PLAN_CUENTAS!$A$2:$A$100,0,0)</f>
        <v/>
      </c>
      <c r="L293">
        <f>+_xlfn.XLOOKUP(Tabla1[[#This Row],[Nombre Cuenta]],PLAN_CUENTAS!$B$2:$B$100,PLAN_CUENTAS!$C$2:$C$100,0,0)</f>
        <v/>
      </c>
    </row>
    <row r="294">
      <c r="E294" s="73" t="n"/>
      <c r="I294" s="73">
        <f>IF(F294="F",ROUND(E294*0.19/1.19,0),0)</f>
        <v/>
      </c>
      <c r="J294" s="73">
        <f>IF(E294="","",E294-I294)</f>
        <v/>
      </c>
      <c r="K294">
        <f>+_xlfn.XLOOKUP(Tabla1[[#This Row],[Nombre Cuenta]],PLAN_CUENTAS!$B$2:$B$100,PLAN_CUENTAS!$A$2:$A$100,0,0)</f>
        <v/>
      </c>
      <c r="L294">
        <f>+_xlfn.XLOOKUP(Tabla1[[#This Row],[Nombre Cuenta]],PLAN_CUENTAS!$B$2:$B$100,PLAN_CUENTAS!$C$2:$C$100,0,0)</f>
        <v/>
      </c>
    </row>
    <row r="295">
      <c r="E295" s="73" t="n"/>
      <c r="I295" s="73">
        <f>IF(F295="F",ROUND(E295*0.19/1.19,0),0)</f>
        <v/>
      </c>
      <c r="J295" s="73">
        <f>IF(E295="","",E295-I295)</f>
        <v/>
      </c>
      <c r="K295">
        <f>+_xlfn.XLOOKUP(Tabla1[[#This Row],[Nombre Cuenta]],PLAN_CUENTAS!$B$2:$B$100,PLAN_CUENTAS!$A$2:$A$100,0,0)</f>
        <v/>
      </c>
      <c r="L295">
        <f>+_xlfn.XLOOKUP(Tabla1[[#This Row],[Nombre Cuenta]],PLAN_CUENTAS!$B$2:$B$100,PLAN_CUENTAS!$C$2:$C$100,0,0)</f>
        <v/>
      </c>
    </row>
    <row r="296">
      <c r="E296" s="73" t="n"/>
      <c r="I296" s="73">
        <f>IF(F296="F",ROUND(E296*0.19/1.19,0),0)</f>
        <v/>
      </c>
      <c r="J296" s="73">
        <f>IF(E296="","",E296-I296)</f>
        <v/>
      </c>
      <c r="K296">
        <f>+_xlfn.XLOOKUP(Tabla1[[#This Row],[Nombre Cuenta]],PLAN_CUENTAS!$B$2:$B$100,PLAN_CUENTAS!$A$2:$A$100,0,0)</f>
        <v/>
      </c>
      <c r="L296">
        <f>+_xlfn.XLOOKUP(Tabla1[[#This Row],[Nombre Cuenta]],PLAN_CUENTAS!$B$2:$B$100,PLAN_CUENTAS!$C$2:$C$100,0,0)</f>
        <v/>
      </c>
    </row>
    <row r="297">
      <c r="E297" s="73" t="n"/>
      <c r="I297" s="73">
        <f>IF(F297="F",ROUND(E297*0.19/1.19,0),0)</f>
        <v/>
      </c>
      <c r="J297" s="73">
        <f>IF(E297="","",E297-I297)</f>
        <v/>
      </c>
      <c r="K297">
        <f>+_xlfn.XLOOKUP(Tabla1[[#This Row],[Nombre Cuenta]],PLAN_CUENTAS!$B$2:$B$100,PLAN_CUENTAS!$A$2:$A$100,0,0)</f>
        <v/>
      </c>
      <c r="L297">
        <f>+_xlfn.XLOOKUP(Tabla1[[#This Row],[Nombre Cuenta]],PLAN_CUENTAS!$B$2:$B$100,PLAN_CUENTAS!$C$2:$C$100,0,0)</f>
        <v/>
      </c>
    </row>
    <row r="298">
      <c r="E298" s="73" t="n"/>
      <c r="I298" s="73">
        <f>IF(F298="F",ROUND(E298*0.19/1.19,0),0)</f>
        <v/>
      </c>
      <c r="J298" s="73">
        <f>IF(E298="","",E298-I298)</f>
        <v/>
      </c>
      <c r="K298">
        <f>+_xlfn.XLOOKUP(Tabla1[[#This Row],[Nombre Cuenta]],PLAN_CUENTAS!$B$2:$B$100,PLAN_CUENTAS!$A$2:$A$100,0,0)</f>
        <v/>
      </c>
      <c r="L298">
        <f>+_xlfn.XLOOKUP(Tabla1[[#This Row],[Nombre Cuenta]],PLAN_CUENTAS!$B$2:$B$100,PLAN_CUENTAS!$C$2:$C$100,0,0)</f>
        <v/>
      </c>
    </row>
    <row r="299">
      <c r="E299" s="73" t="n"/>
      <c r="I299" s="73">
        <f>IF(F299="F",ROUND(E299*0.19/1.19,0),0)</f>
        <v/>
      </c>
      <c r="J299" s="73">
        <f>IF(E299="","",E299-I299)</f>
        <v/>
      </c>
      <c r="K299">
        <f>+_xlfn.XLOOKUP(Tabla1[[#This Row],[Nombre Cuenta]],PLAN_CUENTAS!$B$2:$B$100,PLAN_CUENTAS!$A$2:$A$100,0,0)</f>
        <v/>
      </c>
      <c r="L299">
        <f>+_xlfn.XLOOKUP(Tabla1[[#This Row],[Nombre Cuenta]],PLAN_CUENTAS!$B$2:$B$100,PLAN_CUENTAS!$C$2:$C$100,0,0)</f>
        <v/>
      </c>
    </row>
    <row r="300">
      <c r="E300" s="73" t="n"/>
      <c r="I300" s="73">
        <f>IF(F300="F",ROUND(E300*0.19/1.19,0),0)</f>
        <v/>
      </c>
      <c r="J300" s="73">
        <f>IF(E300="","",E300-I300)</f>
        <v/>
      </c>
      <c r="K300">
        <f>+_xlfn.XLOOKUP(Tabla1[[#This Row],[Nombre Cuenta]],PLAN_CUENTAS!$B$2:$B$100,PLAN_CUENTAS!$A$2:$A$100,0,0)</f>
        <v/>
      </c>
      <c r="L300">
        <f>+_xlfn.XLOOKUP(Tabla1[[#This Row],[Nombre Cuenta]],PLAN_CUENTAS!$B$2:$B$100,PLAN_CUENTAS!$C$2:$C$100,0,0)</f>
        <v/>
      </c>
    </row>
    <row r="301">
      <c r="E301" s="73" t="n"/>
      <c r="I301" s="73">
        <f>IF(F301="F",ROUND(E301*0.19/1.19,0),0)</f>
        <v/>
      </c>
      <c r="J301" s="73">
        <f>IF(E301="","",E301-I301)</f>
        <v/>
      </c>
      <c r="K301">
        <f>+_xlfn.XLOOKUP(Tabla1[[#This Row],[Nombre Cuenta]],PLAN_CUENTAS!$B$2:$B$100,PLAN_CUENTAS!$A$2:$A$100,0,0)</f>
        <v/>
      </c>
      <c r="L301">
        <f>+_xlfn.XLOOKUP(Tabla1[[#This Row],[Nombre Cuenta]],PLAN_CUENTAS!$B$2:$B$100,PLAN_CUENTAS!$C$2:$C$100,0,0)</f>
        <v/>
      </c>
    </row>
    <row r="302">
      <c r="E302" s="73" t="n"/>
      <c r="I302" s="73">
        <f>IF(F302="F",ROUND(E302*0.19/1.19,0),0)</f>
        <v/>
      </c>
      <c r="J302" s="73">
        <f>IF(E302="","",E302-I302)</f>
        <v/>
      </c>
      <c r="K302">
        <f>+_xlfn.XLOOKUP(Tabla1[[#This Row],[Nombre Cuenta]],PLAN_CUENTAS!$B$2:$B$100,PLAN_CUENTAS!$A$2:$A$100,0,0)</f>
        <v/>
      </c>
      <c r="L302">
        <f>+_xlfn.XLOOKUP(Tabla1[[#This Row],[Nombre Cuenta]],PLAN_CUENTAS!$B$2:$B$100,PLAN_CUENTAS!$C$2:$C$100,0,0)</f>
        <v/>
      </c>
    </row>
    <row r="303">
      <c r="E303" s="73" t="n"/>
      <c r="I303" s="73">
        <f>IF(F303="F",ROUND(E303*0.19/1.19,0),0)</f>
        <v/>
      </c>
      <c r="J303" s="73">
        <f>IF(E303="","",E303-I303)</f>
        <v/>
      </c>
      <c r="K303">
        <f>+_xlfn.XLOOKUP(Tabla1[[#This Row],[Nombre Cuenta]],PLAN_CUENTAS!$B$2:$B$100,PLAN_CUENTAS!$A$2:$A$100,0,0)</f>
        <v/>
      </c>
      <c r="L303">
        <f>+_xlfn.XLOOKUP(Tabla1[[#This Row],[Nombre Cuenta]],PLAN_CUENTAS!$B$2:$B$100,PLAN_CUENTAS!$C$2:$C$100,0,0)</f>
        <v/>
      </c>
    </row>
    <row r="304">
      <c r="E304" s="73" t="n"/>
      <c r="I304" s="73">
        <f>IF(F304="F",ROUND(E304*0.19/1.19,0),0)</f>
        <v/>
      </c>
      <c r="J304" s="73">
        <f>IF(E304="","",E304-I304)</f>
        <v/>
      </c>
      <c r="K304">
        <f>+_xlfn.XLOOKUP(Tabla1[[#This Row],[Nombre Cuenta]],PLAN_CUENTAS!$B$2:$B$100,PLAN_CUENTAS!$A$2:$A$100,0,0)</f>
        <v/>
      </c>
      <c r="L304">
        <f>+_xlfn.XLOOKUP(Tabla1[[#This Row],[Nombre Cuenta]],PLAN_CUENTAS!$B$2:$B$100,PLAN_CUENTAS!$C$2:$C$100,0,0)</f>
        <v/>
      </c>
    </row>
    <row r="305">
      <c r="E305" s="73" t="n"/>
      <c r="K305">
        <f>+_xlfn.XLOOKUP(Tabla1[[#This Row],[Nombre Cuenta]],PLAN_CUENTAS!$B$2:$B$100,PLAN_CUENTAS!$A$2:$A$100,0,0)</f>
        <v/>
      </c>
      <c r="L305">
        <f>+_xlfn.XLOOKUP(Tabla1[[#This Row],[Nombre Cuenta]],PLAN_CUENTAS!$B$2:$B$100,PLAN_CUENTAS!$C$2:$C$100,0,0)</f>
        <v/>
      </c>
    </row>
    <row r="306">
      <c r="E306" s="73" t="n"/>
      <c r="K306">
        <f>+_xlfn.XLOOKUP(Tabla1[[#This Row],[Nombre Cuenta]],PLAN_CUENTAS!$B$2:$B$100,PLAN_CUENTAS!$A$2:$A$100,0,0)</f>
        <v/>
      </c>
      <c r="L306">
        <f>+_xlfn.XLOOKUP(Tabla1[[#This Row],[Nombre Cuenta]],PLAN_CUENTAS!$B$2:$B$100,PLAN_CUENTAS!$C$2:$C$100,0,0)</f>
        <v/>
      </c>
    </row>
    <row r="307">
      <c r="E307" s="73" t="n"/>
      <c r="K307">
        <f>+_xlfn.XLOOKUP(Tabla1[[#This Row],[Nombre Cuenta]],PLAN_CUENTAS!$B$2:$B$100,PLAN_CUENTAS!$A$2:$A$100,0,0)</f>
        <v/>
      </c>
      <c r="L307">
        <f>+_xlfn.XLOOKUP(Tabla1[[#This Row],[Nombre Cuenta]],PLAN_CUENTAS!$B$2:$B$100,PLAN_CUENTAS!$C$2:$C$100,0,0)</f>
        <v/>
      </c>
    </row>
    <row r="308">
      <c r="E308" s="73" t="n"/>
      <c r="K308">
        <f>+_xlfn.XLOOKUP(Tabla1[[#This Row],[Nombre Cuenta]],PLAN_CUENTAS!$B$2:$B$100,PLAN_CUENTAS!$A$2:$A$100,0,0)</f>
        <v/>
      </c>
      <c r="L308">
        <f>+_xlfn.XLOOKUP(Tabla1[[#This Row],[Nombre Cuenta]],PLAN_CUENTAS!$B$2:$B$100,PLAN_CUENTAS!$C$2:$C$100,0,0)</f>
        <v/>
      </c>
    </row>
    <row r="309">
      <c r="E309" s="73" t="n"/>
      <c r="K309">
        <f>+_xlfn.XLOOKUP(Tabla1[[#This Row],[Nombre Cuenta]],PLAN_CUENTAS!$B$2:$B$100,PLAN_CUENTAS!$A$2:$A$100,0,0)</f>
        <v/>
      </c>
      <c r="L309">
        <f>+_xlfn.XLOOKUP(Tabla1[[#This Row],[Nombre Cuenta]],PLAN_CUENTAS!$B$2:$B$100,PLAN_CUENTAS!$C$2:$C$100,0,0)</f>
        <v/>
      </c>
    </row>
    <row r="310">
      <c r="E310" s="73" t="n"/>
      <c r="K310">
        <f>+_xlfn.XLOOKUP(Tabla1[[#This Row],[Nombre Cuenta]],PLAN_CUENTAS!$B$2:$B$100,PLAN_CUENTAS!$A$2:$A$100,0,0)</f>
        <v/>
      </c>
      <c r="L310">
        <f>+_xlfn.XLOOKUP(Tabla1[[#This Row],[Nombre Cuenta]],PLAN_CUENTAS!$B$2:$B$100,PLAN_CUENTAS!$C$2:$C$100,0,0)</f>
        <v/>
      </c>
    </row>
    <row r="311">
      <c r="E311" s="73" t="n"/>
      <c r="K311">
        <f>+_xlfn.XLOOKUP(Tabla1[[#This Row],[Nombre Cuenta]],PLAN_CUENTAS!$B$2:$B$100,PLAN_CUENTAS!$A$2:$A$100,0,0)</f>
        <v/>
      </c>
      <c r="L311">
        <f>+_xlfn.XLOOKUP(Tabla1[[#This Row],[Nombre Cuenta]],PLAN_CUENTAS!$B$2:$B$100,PLAN_CUENTAS!$C$2:$C$100,0,0)</f>
        <v/>
      </c>
    </row>
    <row r="312">
      <c r="E312" s="73" t="n"/>
      <c r="K312">
        <f>+_xlfn.XLOOKUP(Tabla1[[#This Row],[Nombre Cuenta]],PLAN_CUENTAS!$B$2:$B$100,PLAN_CUENTAS!$A$2:$A$100,0,0)</f>
        <v/>
      </c>
      <c r="L312">
        <f>+_xlfn.XLOOKUP(Tabla1[[#This Row],[Nombre Cuenta]],PLAN_CUENTAS!$B$2:$B$100,PLAN_CUENTAS!$C$2:$C$100,0,0)</f>
        <v/>
      </c>
    </row>
    <row r="313">
      <c r="E313" s="73" t="n"/>
      <c r="K313">
        <f>+_xlfn.XLOOKUP(Tabla1[[#This Row],[Nombre Cuenta]],PLAN_CUENTAS!$B$2:$B$100,PLAN_CUENTAS!$A$2:$A$100,0,0)</f>
        <v/>
      </c>
      <c r="L313">
        <f>+_xlfn.XLOOKUP(Tabla1[[#This Row],[Nombre Cuenta]],PLAN_CUENTAS!$B$2:$B$100,PLAN_CUENTAS!$C$2:$C$100,0,0)</f>
        <v/>
      </c>
    </row>
    <row r="314">
      <c r="E314" s="73" t="n"/>
      <c r="K314">
        <f>+_xlfn.XLOOKUP(Tabla1[[#This Row],[Nombre Cuenta]],PLAN_CUENTAS!$B$2:$B$100,PLAN_CUENTAS!$A$2:$A$100,0,0)</f>
        <v/>
      </c>
      <c r="L314">
        <f>+_xlfn.XLOOKUP(Tabla1[[#This Row],[Nombre Cuenta]],PLAN_CUENTAS!$B$2:$B$100,PLAN_CUENTAS!$C$2:$C$100,0,0)</f>
        <v/>
      </c>
    </row>
    <row r="315">
      <c r="E315" s="73" t="n"/>
      <c r="K315">
        <f>+_xlfn.XLOOKUP(Tabla1[[#This Row],[Nombre Cuenta]],PLAN_CUENTAS!$B$2:$B$100,PLAN_CUENTAS!$A$2:$A$100,0,0)</f>
        <v/>
      </c>
      <c r="L315">
        <f>+_xlfn.XLOOKUP(Tabla1[[#This Row],[Nombre Cuenta]],PLAN_CUENTAS!$B$2:$B$100,PLAN_CUENTAS!$C$2:$C$100,0,0)</f>
        <v/>
      </c>
    </row>
    <row r="316">
      <c r="E316" s="73" t="n"/>
      <c r="K316">
        <f>+_xlfn.XLOOKUP(Tabla1[[#This Row],[Nombre Cuenta]],PLAN_CUENTAS!$B$2:$B$100,PLAN_CUENTAS!$A$2:$A$100,0,0)</f>
        <v/>
      </c>
      <c r="L316">
        <f>+_xlfn.XLOOKUP(Tabla1[[#This Row],[Nombre Cuenta]],PLAN_CUENTAS!$B$2:$B$100,PLAN_CUENTAS!$C$2:$C$100,0,0)</f>
        <v/>
      </c>
    </row>
    <row r="317">
      <c r="E317" s="73" t="n"/>
      <c r="K317">
        <f>+_xlfn.XLOOKUP(Tabla1[[#This Row],[Nombre Cuenta]],PLAN_CUENTAS!$B$2:$B$100,PLAN_CUENTAS!$A$2:$A$100,0,0)</f>
        <v/>
      </c>
      <c r="L317">
        <f>+_xlfn.XLOOKUP(Tabla1[[#This Row],[Nombre Cuenta]],PLAN_CUENTAS!$B$2:$B$100,PLAN_CUENTAS!$C$2:$C$100,0,0)</f>
        <v/>
      </c>
    </row>
    <row r="318">
      <c r="E318" s="73" t="n"/>
      <c r="K318">
        <f>+_xlfn.XLOOKUP(Tabla1[[#This Row],[Nombre Cuenta]],PLAN_CUENTAS!$B$2:$B$100,PLAN_CUENTAS!$A$2:$A$100,0,0)</f>
        <v/>
      </c>
      <c r="L318">
        <f>+_xlfn.XLOOKUP(Tabla1[[#This Row],[Nombre Cuenta]],PLAN_CUENTAS!$B$2:$B$100,PLAN_CUENTAS!$C$2:$C$100,0,0)</f>
        <v/>
      </c>
    </row>
    <row r="319">
      <c r="E319" s="73" t="n"/>
      <c r="K319">
        <f>+_xlfn.XLOOKUP(Tabla1[[#This Row],[Nombre Cuenta]],PLAN_CUENTAS!$B$2:$B$100,PLAN_CUENTAS!$A$2:$A$100,0,0)</f>
        <v/>
      </c>
      <c r="L319">
        <f>+_xlfn.XLOOKUP(Tabla1[[#This Row],[Nombre Cuenta]],PLAN_CUENTAS!$B$2:$B$100,PLAN_CUENTAS!$C$2:$C$100,0,0)</f>
        <v/>
      </c>
    </row>
    <row r="320">
      <c r="E320" s="73" t="n"/>
      <c r="K320">
        <f>+_xlfn.XLOOKUP(Tabla1[[#This Row],[Nombre Cuenta]],PLAN_CUENTAS!$B$2:$B$100,PLAN_CUENTAS!$A$2:$A$100,0,0)</f>
        <v/>
      </c>
      <c r="L320">
        <f>+_xlfn.XLOOKUP(Tabla1[[#This Row],[Nombre Cuenta]],PLAN_CUENTAS!$B$2:$B$100,PLAN_CUENTAS!$C$2:$C$100,0,0)</f>
        <v/>
      </c>
    </row>
    <row r="321">
      <c r="E321" s="73" t="n"/>
      <c r="K321">
        <f>+_xlfn.XLOOKUP(Tabla1[[#This Row],[Nombre Cuenta]],PLAN_CUENTAS!$B$2:$B$100,PLAN_CUENTAS!$A$2:$A$100,0,0)</f>
        <v/>
      </c>
      <c r="L321">
        <f>+_xlfn.XLOOKUP(Tabla1[[#This Row],[Nombre Cuenta]],PLAN_CUENTAS!$B$2:$B$100,PLAN_CUENTAS!$C$2:$C$100,0,0)</f>
        <v/>
      </c>
    </row>
    <row r="322">
      <c r="E322" s="73" t="n"/>
      <c r="K322">
        <f>+_xlfn.XLOOKUP(Tabla1[[#This Row],[Nombre Cuenta]],PLAN_CUENTAS!$B$2:$B$100,PLAN_CUENTAS!$A$2:$A$100,0,0)</f>
        <v/>
      </c>
      <c r="L322">
        <f>+_xlfn.XLOOKUP(Tabla1[[#This Row],[Nombre Cuenta]],PLAN_CUENTAS!$B$2:$B$100,PLAN_CUENTAS!$C$2:$C$100,0,0)</f>
        <v/>
      </c>
    </row>
    <row r="323">
      <c r="E323" s="73" t="n"/>
      <c r="K323">
        <f>+_xlfn.XLOOKUP(Tabla1[[#This Row],[Nombre Cuenta]],PLAN_CUENTAS!$B$2:$B$100,PLAN_CUENTAS!$A$2:$A$100,0,0)</f>
        <v/>
      </c>
      <c r="L323">
        <f>+_xlfn.XLOOKUP(Tabla1[[#This Row],[Nombre Cuenta]],PLAN_CUENTAS!$B$2:$B$100,PLAN_CUENTAS!$C$2:$C$100,0,0)</f>
        <v/>
      </c>
    </row>
    <row r="324">
      <c r="E324" s="73" t="n"/>
      <c r="K324">
        <f>+_xlfn.XLOOKUP(Tabla1[[#This Row],[Nombre Cuenta]],PLAN_CUENTAS!$B$2:$B$100,PLAN_CUENTAS!$A$2:$A$100,0,0)</f>
        <v/>
      </c>
      <c r="L324">
        <f>+_xlfn.XLOOKUP(Tabla1[[#This Row],[Nombre Cuenta]],PLAN_CUENTAS!$B$2:$B$100,PLAN_CUENTAS!$C$2:$C$100,0,0)</f>
        <v/>
      </c>
    </row>
    <row r="325">
      <c r="E325" s="73" t="n"/>
      <c r="K325">
        <f>+_xlfn.XLOOKUP(Tabla1[[#This Row],[Nombre Cuenta]],PLAN_CUENTAS!$B$2:$B$100,PLAN_CUENTAS!$A$2:$A$100,0,0)</f>
        <v/>
      </c>
      <c r="L325">
        <f>+_xlfn.XLOOKUP(Tabla1[[#This Row],[Nombre Cuenta]],PLAN_CUENTAS!$B$2:$B$100,PLAN_CUENTAS!$C$2:$C$100,0,0)</f>
        <v/>
      </c>
    </row>
    <row r="326">
      <c r="E326" s="73" t="n"/>
      <c r="K326">
        <f>+_xlfn.XLOOKUP(Tabla1[[#This Row],[Nombre Cuenta]],PLAN_CUENTAS!$B$2:$B$100,PLAN_CUENTAS!$A$2:$A$100,0,0)</f>
        <v/>
      </c>
      <c r="L326">
        <f>+_xlfn.XLOOKUP(Tabla1[[#This Row],[Nombre Cuenta]],PLAN_CUENTAS!$B$2:$B$100,PLAN_CUENTAS!$C$2:$C$100,0,0)</f>
        <v/>
      </c>
    </row>
    <row r="327">
      <c r="E327" s="73" t="n"/>
      <c r="K327">
        <f>+_xlfn.XLOOKUP(Tabla1[[#This Row],[Nombre Cuenta]],PLAN_CUENTAS!$B$2:$B$100,PLAN_CUENTAS!$A$2:$A$100,0,0)</f>
        <v/>
      </c>
      <c r="L327">
        <f>+_xlfn.XLOOKUP(Tabla1[[#This Row],[Nombre Cuenta]],PLAN_CUENTAS!$B$2:$B$100,PLAN_CUENTAS!$C$2:$C$100,0,0)</f>
        <v/>
      </c>
    </row>
    <row r="328">
      <c r="E328" s="73" t="n"/>
      <c r="K328">
        <f>+_xlfn.XLOOKUP(Tabla1[[#This Row],[Nombre Cuenta]],PLAN_CUENTAS!$B$2:$B$100,PLAN_CUENTAS!$A$2:$A$100,0,0)</f>
        <v/>
      </c>
      <c r="L328">
        <f>+_xlfn.XLOOKUP(Tabla1[[#This Row],[Nombre Cuenta]],PLAN_CUENTAS!$B$2:$B$100,PLAN_CUENTAS!$C$2:$C$100,0,0)</f>
        <v/>
      </c>
    </row>
    <row r="329">
      <c r="E329" s="73" t="n"/>
      <c r="K329">
        <f>+_xlfn.XLOOKUP(Tabla1[[#This Row],[Nombre Cuenta]],PLAN_CUENTAS!$B$2:$B$100,PLAN_CUENTAS!$A$2:$A$100,0,0)</f>
        <v/>
      </c>
      <c r="L329">
        <f>+_xlfn.XLOOKUP(Tabla1[[#This Row],[Nombre Cuenta]],PLAN_CUENTAS!$B$2:$B$100,PLAN_CUENTAS!$C$2:$C$100,0,0)</f>
        <v/>
      </c>
    </row>
    <row r="330">
      <c r="E330" s="73" t="n"/>
      <c r="K330">
        <f>+_xlfn.XLOOKUP(Tabla1[[#This Row],[Nombre Cuenta]],PLAN_CUENTAS!$B$2:$B$100,PLAN_CUENTAS!$A$2:$A$100,0,0)</f>
        <v/>
      </c>
      <c r="L330">
        <f>+_xlfn.XLOOKUP(Tabla1[[#This Row],[Nombre Cuenta]],PLAN_CUENTAS!$B$2:$B$100,PLAN_CUENTAS!$C$2:$C$100,0,0)</f>
        <v/>
      </c>
    </row>
    <row r="331">
      <c r="E331" s="73" t="n"/>
      <c r="K331">
        <f>+_xlfn.XLOOKUP(Tabla1[[#This Row],[Nombre Cuenta]],PLAN_CUENTAS!$B$2:$B$100,PLAN_CUENTAS!$A$2:$A$100,0,0)</f>
        <v/>
      </c>
      <c r="L331">
        <f>+_xlfn.XLOOKUP(Tabla1[[#This Row],[Nombre Cuenta]],PLAN_CUENTAS!$B$2:$B$100,PLAN_CUENTAS!$C$2:$C$100,0,0)</f>
        <v/>
      </c>
    </row>
    <row r="332">
      <c r="E332" s="73" t="n"/>
      <c r="K332">
        <f>+_xlfn.XLOOKUP(Tabla1[[#This Row],[Nombre Cuenta]],PLAN_CUENTAS!$B$2:$B$100,PLAN_CUENTAS!$A$2:$A$100,0,0)</f>
        <v/>
      </c>
      <c r="L332">
        <f>+_xlfn.XLOOKUP(Tabla1[[#This Row],[Nombre Cuenta]],PLAN_CUENTAS!$B$2:$B$100,PLAN_CUENTAS!$C$2:$C$100,0,0)</f>
        <v/>
      </c>
    </row>
    <row r="333">
      <c r="E333" s="73" t="n"/>
      <c r="K333">
        <f>+_xlfn.XLOOKUP(Tabla1[[#This Row],[Nombre Cuenta]],PLAN_CUENTAS!$B$2:$B$100,PLAN_CUENTAS!$A$2:$A$100,0,0)</f>
        <v/>
      </c>
      <c r="L333">
        <f>+_xlfn.XLOOKUP(Tabla1[[#This Row],[Nombre Cuenta]],PLAN_CUENTAS!$B$2:$B$100,PLAN_CUENTAS!$C$2:$C$100,0,0)</f>
        <v/>
      </c>
    </row>
    <row r="334">
      <c r="E334" s="73" t="n"/>
      <c r="K334">
        <f>+_xlfn.XLOOKUP(Tabla1[[#This Row],[Nombre Cuenta]],PLAN_CUENTAS!$B$2:$B$100,PLAN_CUENTAS!$A$2:$A$100,0,0)</f>
        <v/>
      </c>
      <c r="L334">
        <f>+_xlfn.XLOOKUP(Tabla1[[#This Row],[Nombre Cuenta]],PLAN_CUENTAS!$B$2:$B$100,PLAN_CUENTAS!$C$2:$C$100,0,0)</f>
        <v/>
      </c>
    </row>
    <row r="335">
      <c r="E335" s="73" t="n"/>
      <c r="K335">
        <f>+_xlfn.XLOOKUP(Tabla1[[#This Row],[Nombre Cuenta]],PLAN_CUENTAS!$B$2:$B$100,PLAN_CUENTAS!$A$2:$A$100,0,0)</f>
        <v/>
      </c>
      <c r="L335">
        <f>+_xlfn.XLOOKUP(Tabla1[[#This Row],[Nombre Cuenta]],PLAN_CUENTAS!$B$2:$B$100,PLAN_CUENTAS!$C$2:$C$100,0,0)</f>
        <v/>
      </c>
    </row>
    <row r="336">
      <c r="E336" s="73" t="n"/>
      <c r="K336">
        <f>+_xlfn.XLOOKUP(Tabla1[[#This Row],[Nombre Cuenta]],PLAN_CUENTAS!$B$2:$B$100,PLAN_CUENTAS!$A$2:$A$100,0,0)</f>
        <v/>
      </c>
      <c r="L336">
        <f>+_xlfn.XLOOKUP(Tabla1[[#This Row],[Nombre Cuenta]],PLAN_CUENTAS!$B$2:$B$100,PLAN_CUENTAS!$C$2:$C$100,0,0)</f>
        <v/>
      </c>
    </row>
    <row r="337">
      <c r="E337" s="73" t="n"/>
      <c r="K337">
        <f>+_xlfn.XLOOKUP(Tabla1[[#This Row],[Nombre Cuenta]],PLAN_CUENTAS!$B$2:$B$100,PLAN_CUENTAS!$A$2:$A$100,0,0)</f>
        <v/>
      </c>
      <c r="L337">
        <f>+_xlfn.XLOOKUP(Tabla1[[#This Row],[Nombre Cuenta]],PLAN_CUENTAS!$B$2:$B$100,PLAN_CUENTAS!$C$2:$C$100,0,0)</f>
        <v/>
      </c>
    </row>
    <row r="338">
      <c r="E338" s="73" t="n"/>
      <c r="K338">
        <f>+_xlfn.XLOOKUP(Tabla1[[#This Row],[Nombre Cuenta]],PLAN_CUENTAS!$B$2:$B$100,PLAN_CUENTAS!$A$2:$A$100,0,0)</f>
        <v/>
      </c>
      <c r="L338">
        <f>+_xlfn.XLOOKUP(Tabla1[[#This Row],[Nombre Cuenta]],PLAN_CUENTAS!$B$2:$B$100,PLAN_CUENTAS!$C$2:$C$100,0,0)</f>
        <v/>
      </c>
    </row>
    <row r="339">
      <c r="E339" s="73" t="n"/>
      <c r="K339">
        <f>+_xlfn.XLOOKUP(Tabla1[[#This Row],[Nombre Cuenta]],PLAN_CUENTAS!$B$2:$B$100,PLAN_CUENTAS!$A$2:$A$100,0,0)</f>
        <v/>
      </c>
      <c r="L339">
        <f>+_xlfn.XLOOKUP(Tabla1[[#This Row],[Nombre Cuenta]],PLAN_CUENTAS!$B$2:$B$100,PLAN_CUENTAS!$C$2:$C$100,0,0)</f>
        <v/>
      </c>
    </row>
    <row r="340">
      <c r="E340" s="73" t="n"/>
      <c r="K340">
        <f>+_xlfn.XLOOKUP(Tabla1[[#This Row],[Nombre Cuenta]],PLAN_CUENTAS!$B$2:$B$100,PLAN_CUENTAS!$A$2:$A$100,0,0)</f>
        <v/>
      </c>
      <c r="L340">
        <f>+_xlfn.XLOOKUP(Tabla1[[#This Row],[Nombre Cuenta]],PLAN_CUENTAS!$B$2:$B$100,PLAN_CUENTAS!$C$2:$C$100,0,0)</f>
        <v/>
      </c>
    </row>
    <row r="341">
      <c r="E341" s="73" t="n"/>
      <c r="K341">
        <f>+_xlfn.XLOOKUP(Tabla1[[#This Row],[Nombre Cuenta]],PLAN_CUENTAS!$B$2:$B$100,PLAN_CUENTAS!$A$2:$A$100,0,0)</f>
        <v/>
      </c>
      <c r="L341">
        <f>+_xlfn.XLOOKUP(Tabla1[[#This Row],[Nombre Cuenta]],PLAN_CUENTAS!$B$2:$B$100,PLAN_CUENTAS!$C$2:$C$100,0,0)</f>
        <v/>
      </c>
    </row>
    <row r="342">
      <c r="E342" s="73" t="n"/>
      <c r="K342">
        <f>+_xlfn.XLOOKUP(Tabla1[[#This Row],[Nombre Cuenta]],PLAN_CUENTAS!$B$2:$B$100,PLAN_CUENTAS!$A$2:$A$100,0,0)</f>
        <v/>
      </c>
      <c r="L342">
        <f>+_xlfn.XLOOKUP(Tabla1[[#This Row],[Nombre Cuenta]],PLAN_CUENTAS!$B$2:$B$100,PLAN_CUENTAS!$C$2:$C$100,0,0)</f>
        <v/>
      </c>
    </row>
    <row r="343">
      <c r="E343" s="73" t="n"/>
      <c r="K343">
        <f>+_xlfn.XLOOKUP(Tabla1[[#This Row],[Nombre Cuenta]],PLAN_CUENTAS!$B$2:$B$100,PLAN_CUENTAS!$A$2:$A$100,0,0)</f>
        <v/>
      </c>
      <c r="L343">
        <f>+_xlfn.XLOOKUP(Tabla1[[#This Row],[Nombre Cuenta]],PLAN_CUENTAS!$B$2:$B$100,PLAN_CUENTAS!$C$2:$C$100,0,0)</f>
        <v/>
      </c>
    </row>
    <row r="344">
      <c r="E344" s="73" t="n"/>
      <c r="K344">
        <f>+_xlfn.XLOOKUP(Tabla1[[#This Row],[Nombre Cuenta]],PLAN_CUENTAS!$B$2:$B$100,PLAN_CUENTAS!$A$2:$A$100,0,0)</f>
        <v/>
      </c>
      <c r="L344">
        <f>+_xlfn.XLOOKUP(Tabla1[[#This Row],[Nombre Cuenta]],PLAN_CUENTAS!$B$2:$B$100,PLAN_CUENTAS!$C$2:$C$100,0,0)</f>
        <v/>
      </c>
    </row>
    <row r="345">
      <c r="E345" s="73" t="n"/>
      <c r="K345">
        <f>+_xlfn.XLOOKUP(Tabla1[[#This Row],[Nombre Cuenta]],PLAN_CUENTAS!$B$2:$B$100,PLAN_CUENTAS!$A$2:$A$100,0,0)</f>
        <v/>
      </c>
      <c r="L345">
        <f>+_xlfn.XLOOKUP(Tabla1[[#This Row],[Nombre Cuenta]],PLAN_CUENTAS!$B$2:$B$100,PLAN_CUENTAS!$C$2:$C$100,0,0)</f>
        <v/>
      </c>
    </row>
    <row r="346">
      <c r="E346" s="73" t="n"/>
      <c r="K346">
        <f>+_xlfn.XLOOKUP(Tabla1[[#This Row],[Nombre Cuenta]],PLAN_CUENTAS!$B$2:$B$100,PLAN_CUENTAS!$A$2:$A$100,0,0)</f>
        <v/>
      </c>
      <c r="L346">
        <f>+_xlfn.XLOOKUP(Tabla1[[#This Row],[Nombre Cuenta]],PLAN_CUENTAS!$B$2:$B$100,PLAN_CUENTAS!$C$2:$C$100,0,0)</f>
        <v/>
      </c>
    </row>
    <row r="347">
      <c r="E347" s="73" t="n"/>
      <c r="K347">
        <f>+_xlfn.XLOOKUP(Tabla1[[#This Row],[Nombre Cuenta]],PLAN_CUENTAS!$B$2:$B$100,PLAN_CUENTAS!$A$2:$A$100,0,0)</f>
        <v/>
      </c>
      <c r="L347">
        <f>+_xlfn.XLOOKUP(Tabla1[[#This Row],[Nombre Cuenta]],PLAN_CUENTAS!$B$2:$B$100,PLAN_CUENTAS!$C$2:$C$100,0,0)</f>
        <v/>
      </c>
    </row>
    <row r="348">
      <c r="E348" s="73" t="n"/>
      <c r="K348">
        <f>+_xlfn.XLOOKUP(Tabla1[[#This Row],[Nombre Cuenta]],PLAN_CUENTAS!$B$2:$B$100,PLAN_CUENTAS!$A$2:$A$100,0,0)</f>
        <v/>
      </c>
      <c r="L348">
        <f>+_xlfn.XLOOKUP(Tabla1[[#This Row],[Nombre Cuenta]],PLAN_CUENTAS!$B$2:$B$100,PLAN_CUENTAS!$C$2:$C$100,0,0)</f>
        <v/>
      </c>
    </row>
    <row r="349">
      <c r="E349" s="73" t="n"/>
      <c r="K349">
        <f>+_xlfn.XLOOKUP(Tabla1[[#This Row],[Nombre Cuenta]],PLAN_CUENTAS!$B$2:$B$100,PLAN_CUENTAS!$A$2:$A$100,0,0)</f>
        <v/>
      </c>
      <c r="L349">
        <f>+_xlfn.XLOOKUP(Tabla1[[#This Row],[Nombre Cuenta]],PLAN_CUENTAS!$B$2:$B$100,PLAN_CUENTAS!$C$2:$C$100,0,0)</f>
        <v/>
      </c>
    </row>
    <row r="350">
      <c r="E350" s="73" t="n"/>
      <c r="K350">
        <f>+_xlfn.XLOOKUP(Tabla1[[#This Row],[Nombre Cuenta]],PLAN_CUENTAS!$B$2:$B$100,PLAN_CUENTAS!$A$2:$A$100,0,0)</f>
        <v/>
      </c>
      <c r="L350">
        <f>+_xlfn.XLOOKUP(Tabla1[[#This Row],[Nombre Cuenta]],PLAN_CUENTAS!$B$2:$B$100,PLAN_CUENTAS!$C$2:$C$100,0,0)</f>
        <v/>
      </c>
    </row>
    <row r="351">
      <c r="E351" s="73" t="n"/>
      <c r="K351">
        <f>+_xlfn.XLOOKUP(Tabla1[[#This Row],[Nombre Cuenta]],PLAN_CUENTAS!$B$2:$B$100,PLAN_CUENTAS!$A$2:$A$100,0,0)</f>
        <v/>
      </c>
      <c r="L351">
        <f>+_xlfn.XLOOKUP(Tabla1[[#This Row],[Nombre Cuenta]],PLAN_CUENTAS!$B$2:$B$100,PLAN_CUENTAS!$C$2:$C$100,0,0)</f>
        <v/>
      </c>
    </row>
    <row r="352">
      <c r="E352" s="73" t="n"/>
      <c r="K352">
        <f>+_xlfn.XLOOKUP(Tabla1[[#This Row],[Nombre Cuenta]],PLAN_CUENTAS!$B$2:$B$100,PLAN_CUENTAS!$A$2:$A$100,0,0)</f>
        <v/>
      </c>
      <c r="L352">
        <f>+_xlfn.XLOOKUP(Tabla1[[#This Row],[Nombre Cuenta]],PLAN_CUENTAS!$B$2:$B$100,PLAN_CUENTAS!$C$2:$C$100,0,0)</f>
        <v/>
      </c>
    </row>
    <row r="353">
      <c r="E353" s="73" t="n"/>
      <c r="K353">
        <f>+_xlfn.XLOOKUP(Tabla1[[#This Row],[Nombre Cuenta]],PLAN_CUENTAS!$B$2:$B$100,PLAN_CUENTAS!$A$2:$A$100,0,0)</f>
        <v/>
      </c>
      <c r="L353">
        <f>+_xlfn.XLOOKUP(Tabla1[[#This Row],[Nombre Cuenta]],PLAN_CUENTAS!$B$2:$B$100,PLAN_CUENTAS!$C$2:$C$100,0,0)</f>
        <v/>
      </c>
    </row>
    <row r="354">
      <c r="E354" s="73" t="n"/>
      <c r="K354">
        <f>+_xlfn.XLOOKUP(Tabla1[[#This Row],[Nombre Cuenta]],PLAN_CUENTAS!$B$2:$B$100,PLAN_CUENTAS!$A$2:$A$100,0,0)</f>
        <v/>
      </c>
      <c r="L354">
        <f>+_xlfn.XLOOKUP(Tabla1[[#This Row],[Nombre Cuenta]],PLAN_CUENTAS!$B$2:$B$100,PLAN_CUENTAS!$C$2:$C$100,0,0)</f>
        <v/>
      </c>
    </row>
    <row r="355">
      <c r="E355" s="73" t="n"/>
      <c r="K355">
        <f>+_xlfn.XLOOKUP(Tabla1[[#This Row],[Nombre Cuenta]],PLAN_CUENTAS!$B$2:$B$100,PLAN_CUENTAS!$A$2:$A$100,0,0)</f>
        <v/>
      </c>
      <c r="L355">
        <f>+_xlfn.XLOOKUP(Tabla1[[#This Row],[Nombre Cuenta]],PLAN_CUENTAS!$B$2:$B$100,PLAN_CUENTAS!$C$2:$C$100,0,0)</f>
        <v/>
      </c>
    </row>
    <row r="356">
      <c r="E356" s="73" t="n"/>
      <c r="K356">
        <f>+_xlfn.XLOOKUP(Tabla1[[#This Row],[Nombre Cuenta]],PLAN_CUENTAS!$B$2:$B$100,PLAN_CUENTAS!$A$2:$A$100,0,0)</f>
        <v/>
      </c>
      <c r="L356">
        <f>+_xlfn.XLOOKUP(Tabla1[[#This Row],[Nombre Cuenta]],PLAN_CUENTAS!$B$2:$B$100,PLAN_CUENTAS!$C$2:$C$100,0,0)</f>
        <v/>
      </c>
    </row>
    <row r="357">
      <c r="E357" s="73" t="n"/>
      <c r="K357">
        <f>+_xlfn.XLOOKUP(Tabla1[[#This Row],[Nombre Cuenta]],PLAN_CUENTAS!$B$2:$B$100,PLAN_CUENTAS!$A$2:$A$100,0,0)</f>
        <v/>
      </c>
      <c r="L357">
        <f>+_xlfn.XLOOKUP(Tabla1[[#This Row],[Nombre Cuenta]],PLAN_CUENTAS!$B$2:$B$100,PLAN_CUENTAS!$C$2:$C$100,0,0)</f>
        <v/>
      </c>
    </row>
    <row r="358">
      <c r="E358" s="73" t="n"/>
      <c r="K358">
        <f>+_xlfn.XLOOKUP(Tabla1[[#This Row],[Nombre Cuenta]],PLAN_CUENTAS!$B$2:$B$100,PLAN_CUENTAS!$A$2:$A$100,0,0)</f>
        <v/>
      </c>
      <c r="L358">
        <f>+_xlfn.XLOOKUP(Tabla1[[#This Row],[Nombre Cuenta]],PLAN_CUENTAS!$B$2:$B$100,PLAN_CUENTAS!$C$2:$C$100,0,0)</f>
        <v/>
      </c>
    </row>
    <row r="359">
      <c r="E359" s="73" t="n"/>
      <c r="K359">
        <f>+_xlfn.XLOOKUP(Tabla1[[#This Row],[Nombre Cuenta]],PLAN_CUENTAS!$B$2:$B$100,PLAN_CUENTAS!$A$2:$A$100,0,0)</f>
        <v/>
      </c>
      <c r="L359">
        <f>+_xlfn.XLOOKUP(Tabla1[[#This Row],[Nombre Cuenta]],PLAN_CUENTAS!$B$2:$B$100,PLAN_CUENTAS!$C$2:$C$100,0,0)</f>
        <v/>
      </c>
    </row>
    <row r="360">
      <c r="E360" s="73" t="n"/>
      <c r="K360">
        <f>+_xlfn.XLOOKUP(Tabla1[[#This Row],[Nombre Cuenta]],PLAN_CUENTAS!$B$2:$B$100,PLAN_CUENTAS!$A$2:$A$100,0,0)</f>
        <v/>
      </c>
      <c r="L360">
        <f>+_xlfn.XLOOKUP(Tabla1[[#This Row],[Nombre Cuenta]],PLAN_CUENTAS!$B$2:$B$100,PLAN_CUENTAS!$C$2:$C$100,0,0)</f>
        <v/>
      </c>
    </row>
    <row r="361">
      <c r="E361" s="73" t="n"/>
      <c r="K361">
        <f>+_xlfn.XLOOKUP(Tabla1[[#This Row],[Nombre Cuenta]],PLAN_CUENTAS!$B$2:$B$100,PLAN_CUENTAS!$A$2:$A$100,0,0)</f>
        <v/>
      </c>
      <c r="L361">
        <f>+_xlfn.XLOOKUP(Tabla1[[#This Row],[Nombre Cuenta]],PLAN_CUENTAS!$B$2:$B$100,PLAN_CUENTAS!$C$2:$C$100,0,0)</f>
        <v/>
      </c>
    </row>
    <row r="362">
      <c r="E362" s="73" t="n"/>
      <c r="K362">
        <f>+_xlfn.XLOOKUP(Tabla1[[#This Row],[Nombre Cuenta]],PLAN_CUENTAS!$B$2:$B$100,PLAN_CUENTAS!$A$2:$A$100,0,0)</f>
        <v/>
      </c>
      <c r="L362">
        <f>+_xlfn.XLOOKUP(Tabla1[[#This Row],[Nombre Cuenta]],PLAN_CUENTAS!$B$2:$B$100,PLAN_CUENTAS!$C$2:$C$100,0,0)</f>
        <v/>
      </c>
    </row>
    <row r="363">
      <c r="E363" s="73" t="n"/>
      <c r="K363">
        <f>+_xlfn.XLOOKUP(Tabla1[[#This Row],[Nombre Cuenta]],PLAN_CUENTAS!$B$2:$B$100,PLAN_CUENTAS!$A$2:$A$100,0,0)</f>
        <v/>
      </c>
      <c r="L363">
        <f>+_xlfn.XLOOKUP(Tabla1[[#This Row],[Nombre Cuenta]],PLAN_CUENTAS!$B$2:$B$100,PLAN_CUENTAS!$C$2:$C$100,0,0)</f>
        <v/>
      </c>
    </row>
    <row r="364">
      <c r="E364" s="73" t="n"/>
      <c r="K364">
        <f>+_xlfn.XLOOKUP(Tabla1[[#This Row],[Nombre Cuenta]],PLAN_CUENTAS!$B$2:$B$100,PLAN_CUENTAS!$A$2:$A$100,0,0)</f>
        <v/>
      </c>
      <c r="L364">
        <f>+_xlfn.XLOOKUP(Tabla1[[#This Row],[Nombre Cuenta]],PLAN_CUENTAS!$B$2:$B$100,PLAN_CUENTAS!$C$2:$C$100,0,0)</f>
        <v/>
      </c>
    </row>
    <row r="365">
      <c r="E365" s="73" t="n"/>
      <c r="K365">
        <f>+_xlfn.XLOOKUP(Tabla1[[#This Row],[Nombre Cuenta]],PLAN_CUENTAS!$B$2:$B$100,PLAN_CUENTAS!$A$2:$A$100,0,0)</f>
        <v/>
      </c>
      <c r="L365">
        <f>+_xlfn.XLOOKUP(Tabla1[[#This Row],[Nombre Cuenta]],PLAN_CUENTAS!$B$2:$B$100,PLAN_CUENTAS!$C$2:$C$100,0,0)</f>
        <v/>
      </c>
    </row>
    <row r="366">
      <c r="E366" s="73" t="n"/>
      <c r="K366">
        <f>+_xlfn.XLOOKUP(Tabla1[[#This Row],[Nombre Cuenta]],PLAN_CUENTAS!$B$2:$B$100,PLAN_CUENTAS!$A$2:$A$100,0,0)</f>
        <v/>
      </c>
      <c r="L366">
        <f>+_xlfn.XLOOKUP(Tabla1[[#This Row],[Nombre Cuenta]],PLAN_CUENTAS!$B$2:$B$100,PLAN_CUENTAS!$C$2:$C$100,0,0)</f>
        <v/>
      </c>
    </row>
    <row r="367">
      <c r="E367" s="73" t="n"/>
      <c r="K367">
        <f>+_xlfn.XLOOKUP(Tabla1[[#This Row],[Nombre Cuenta]],PLAN_CUENTAS!$B$2:$B$100,PLAN_CUENTAS!$A$2:$A$100,0,0)</f>
        <v/>
      </c>
      <c r="L367">
        <f>+_xlfn.XLOOKUP(Tabla1[[#This Row],[Nombre Cuenta]],PLAN_CUENTAS!$B$2:$B$100,PLAN_CUENTAS!$C$2:$C$100,0,0)</f>
        <v/>
      </c>
    </row>
    <row r="368">
      <c r="E368" s="73" t="n"/>
      <c r="K368">
        <f>+_xlfn.XLOOKUP(Tabla1[[#This Row],[Nombre Cuenta]],PLAN_CUENTAS!$B$2:$B$100,PLAN_CUENTAS!$A$2:$A$100,0,0)</f>
        <v/>
      </c>
      <c r="L368">
        <f>+_xlfn.XLOOKUP(Tabla1[[#This Row],[Nombre Cuenta]],PLAN_CUENTAS!$B$2:$B$100,PLAN_CUENTAS!$C$2:$C$100,0,0)</f>
        <v/>
      </c>
    </row>
    <row r="369">
      <c r="E369" s="73" t="n"/>
      <c r="K369">
        <f>+_xlfn.XLOOKUP(Tabla1[[#This Row],[Nombre Cuenta]],PLAN_CUENTAS!$B$2:$B$100,PLAN_CUENTAS!$A$2:$A$100,0,0)</f>
        <v/>
      </c>
      <c r="L369">
        <f>+_xlfn.XLOOKUP(Tabla1[[#This Row],[Nombre Cuenta]],PLAN_CUENTAS!$B$2:$B$100,PLAN_CUENTAS!$C$2:$C$100,0,0)</f>
        <v/>
      </c>
    </row>
    <row r="370">
      <c r="E370" s="73" t="n"/>
      <c r="K370">
        <f>+_xlfn.XLOOKUP(Tabla1[[#This Row],[Nombre Cuenta]],PLAN_CUENTAS!$B$2:$B$100,PLAN_CUENTAS!$A$2:$A$100,0,0)</f>
        <v/>
      </c>
      <c r="L370">
        <f>+_xlfn.XLOOKUP(Tabla1[[#This Row],[Nombre Cuenta]],PLAN_CUENTAS!$B$2:$B$100,PLAN_CUENTAS!$C$2:$C$100,0,0)</f>
        <v/>
      </c>
    </row>
    <row r="371">
      <c r="E371" s="73" t="n"/>
      <c r="K371">
        <f>+_xlfn.XLOOKUP(Tabla1[[#This Row],[Nombre Cuenta]],PLAN_CUENTAS!$B$2:$B$100,PLAN_CUENTAS!$A$2:$A$100,0,0)</f>
        <v/>
      </c>
      <c r="L371">
        <f>+_xlfn.XLOOKUP(Tabla1[[#This Row],[Nombre Cuenta]],PLAN_CUENTAS!$B$2:$B$100,PLAN_CUENTAS!$C$2:$C$100,0,0)</f>
        <v/>
      </c>
    </row>
    <row r="372">
      <c r="E372" s="73" t="n"/>
      <c r="K372">
        <f>+_xlfn.XLOOKUP(Tabla1[[#This Row],[Nombre Cuenta]],PLAN_CUENTAS!$B$2:$B$100,PLAN_CUENTAS!$A$2:$A$100,0,0)</f>
        <v/>
      </c>
      <c r="L372">
        <f>+_xlfn.XLOOKUP(Tabla1[[#This Row],[Nombre Cuenta]],PLAN_CUENTAS!$B$2:$B$100,PLAN_CUENTAS!$C$2:$C$100,0,0)</f>
        <v/>
      </c>
    </row>
    <row r="373">
      <c r="E373" s="73" t="n"/>
      <c r="K373">
        <f>+_xlfn.XLOOKUP(Tabla1[[#This Row],[Nombre Cuenta]],PLAN_CUENTAS!$B$2:$B$100,PLAN_CUENTAS!$A$2:$A$100,0,0)</f>
        <v/>
      </c>
      <c r="L373">
        <f>+_xlfn.XLOOKUP(Tabla1[[#This Row],[Nombre Cuenta]],PLAN_CUENTAS!$B$2:$B$100,PLAN_CUENTAS!$C$2:$C$100,0,0)</f>
        <v/>
      </c>
    </row>
    <row r="374">
      <c r="E374" s="73" t="n"/>
      <c r="K374">
        <f>+_xlfn.XLOOKUP(Tabla1[[#This Row],[Nombre Cuenta]],PLAN_CUENTAS!$B$2:$B$100,PLAN_CUENTAS!$A$2:$A$100,0,0)</f>
        <v/>
      </c>
      <c r="L374">
        <f>+_xlfn.XLOOKUP(Tabla1[[#This Row],[Nombre Cuenta]],PLAN_CUENTAS!$B$2:$B$100,PLAN_CUENTAS!$C$2:$C$100,0,0)</f>
        <v/>
      </c>
    </row>
    <row r="375">
      <c r="E375" s="73" t="n"/>
      <c r="K375">
        <f>+_xlfn.XLOOKUP(Tabla1[[#This Row],[Nombre Cuenta]],PLAN_CUENTAS!$B$2:$B$100,PLAN_CUENTAS!$A$2:$A$100,0,0)</f>
        <v/>
      </c>
      <c r="L375">
        <f>+_xlfn.XLOOKUP(Tabla1[[#This Row],[Nombre Cuenta]],PLAN_CUENTAS!$B$2:$B$100,PLAN_CUENTAS!$C$2:$C$100,0,0)</f>
        <v/>
      </c>
    </row>
    <row r="376">
      <c r="E376" s="73" t="n"/>
      <c r="K376">
        <f>+_xlfn.XLOOKUP(Tabla1[[#This Row],[Nombre Cuenta]],PLAN_CUENTAS!$B$2:$B$100,PLAN_CUENTAS!$A$2:$A$100,0,0)</f>
        <v/>
      </c>
      <c r="L376">
        <f>+_xlfn.XLOOKUP(Tabla1[[#This Row],[Nombre Cuenta]],PLAN_CUENTAS!$B$2:$B$100,PLAN_CUENTAS!$C$2:$C$100,0,0)</f>
        <v/>
      </c>
    </row>
    <row r="377">
      <c r="E377" s="73" t="n"/>
      <c r="K377">
        <f>+_xlfn.XLOOKUP(Tabla1[[#This Row],[Nombre Cuenta]],PLAN_CUENTAS!$B$2:$B$100,PLAN_CUENTAS!$A$2:$A$100,0,0)</f>
        <v/>
      </c>
      <c r="L377">
        <f>+_xlfn.XLOOKUP(Tabla1[[#This Row],[Nombre Cuenta]],PLAN_CUENTAS!$B$2:$B$100,PLAN_CUENTAS!$C$2:$C$100,0,0)</f>
        <v/>
      </c>
    </row>
    <row r="378">
      <c r="E378" s="73" t="n"/>
      <c r="K378">
        <f>+_xlfn.XLOOKUP(Tabla1[[#This Row],[Nombre Cuenta]],PLAN_CUENTAS!$B$2:$B$100,PLAN_CUENTAS!$A$2:$A$100,0,0)</f>
        <v/>
      </c>
      <c r="L378">
        <f>+_xlfn.XLOOKUP(Tabla1[[#This Row],[Nombre Cuenta]],PLAN_CUENTAS!$B$2:$B$100,PLAN_CUENTAS!$C$2:$C$100,0,0)</f>
        <v/>
      </c>
    </row>
    <row r="379">
      <c r="E379" s="73" t="n"/>
      <c r="K379">
        <f>+_xlfn.XLOOKUP(Tabla1[[#This Row],[Nombre Cuenta]],PLAN_CUENTAS!$B$2:$B$100,PLAN_CUENTAS!$A$2:$A$100,0,0)</f>
        <v/>
      </c>
      <c r="L379">
        <f>+_xlfn.XLOOKUP(Tabla1[[#This Row],[Nombre Cuenta]],PLAN_CUENTAS!$B$2:$B$100,PLAN_CUENTAS!$C$2:$C$100,0,0)</f>
        <v/>
      </c>
    </row>
    <row r="380">
      <c r="E380" s="73" t="n"/>
      <c r="K380">
        <f>+_xlfn.XLOOKUP(Tabla1[[#This Row],[Nombre Cuenta]],PLAN_CUENTAS!$B$2:$B$100,PLAN_CUENTAS!$A$2:$A$100,0,0)</f>
        <v/>
      </c>
      <c r="L380">
        <f>+_xlfn.XLOOKUP(Tabla1[[#This Row],[Nombre Cuenta]],PLAN_CUENTAS!$B$2:$B$100,PLAN_CUENTAS!$C$2:$C$100,0,0)</f>
        <v/>
      </c>
    </row>
    <row r="381">
      <c r="E381" s="73" t="n"/>
      <c r="K381">
        <f>+_xlfn.XLOOKUP(Tabla1[[#This Row],[Nombre Cuenta]],PLAN_CUENTAS!$B$2:$B$100,PLAN_CUENTAS!$A$2:$A$100,0,0)</f>
        <v/>
      </c>
      <c r="L381">
        <f>+_xlfn.XLOOKUP(Tabla1[[#This Row],[Nombre Cuenta]],PLAN_CUENTAS!$B$2:$B$100,PLAN_CUENTAS!$C$2:$C$100,0,0)</f>
        <v/>
      </c>
    </row>
    <row r="382">
      <c r="E382" s="73" t="n"/>
      <c r="K382">
        <f>+_xlfn.XLOOKUP(Tabla1[[#This Row],[Nombre Cuenta]],PLAN_CUENTAS!$B$2:$B$100,PLAN_CUENTAS!$A$2:$A$100,0,0)</f>
        <v/>
      </c>
      <c r="L382">
        <f>+_xlfn.XLOOKUP(Tabla1[[#This Row],[Nombre Cuenta]],PLAN_CUENTAS!$B$2:$B$100,PLAN_CUENTAS!$C$2:$C$100,0,0)</f>
        <v/>
      </c>
    </row>
    <row r="383">
      <c r="E383" s="73" t="n"/>
      <c r="K383">
        <f>+_xlfn.XLOOKUP(Tabla1[[#This Row],[Nombre Cuenta]],PLAN_CUENTAS!$B$2:$B$100,PLAN_CUENTAS!$A$2:$A$100,0,0)</f>
        <v/>
      </c>
      <c r="L383">
        <f>+_xlfn.XLOOKUP(Tabla1[[#This Row],[Nombre Cuenta]],PLAN_CUENTAS!$B$2:$B$100,PLAN_CUENTAS!$C$2:$C$100,0,0)</f>
        <v/>
      </c>
    </row>
    <row r="384">
      <c r="E384" s="73" t="n"/>
      <c r="K384">
        <f>+_xlfn.XLOOKUP(Tabla1[[#This Row],[Nombre Cuenta]],PLAN_CUENTAS!$B$2:$B$100,PLAN_CUENTAS!$A$2:$A$100,0,0)</f>
        <v/>
      </c>
      <c r="L384">
        <f>+_xlfn.XLOOKUP(Tabla1[[#This Row],[Nombre Cuenta]],PLAN_CUENTAS!$B$2:$B$100,PLAN_CUENTAS!$C$2:$C$100,0,0)</f>
        <v/>
      </c>
    </row>
    <row r="385">
      <c r="E385" s="73" t="n"/>
      <c r="K385">
        <f>+_xlfn.XLOOKUP(Tabla1[[#This Row],[Nombre Cuenta]],PLAN_CUENTAS!$B$2:$B$100,PLAN_CUENTAS!$A$2:$A$100,0,0)</f>
        <v/>
      </c>
      <c r="L385">
        <f>+_xlfn.XLOOKUP(Tabla1[[#This Row],[Nombre Cuenta]],PLAN_CUENTAS!$B$2:$B$100,PLAN_CUENTAS!$C$2:$C$100,0,0)</f>
        <v/>
      </c>
    </row>
    <row r="386">
      <c r="E386" s="73" t="n"/>
      <c r="K386">
        <f>+_xlfn.XLOOKUP(Tabla1[[#This Row],[Nombre Cuenta]],PLAN_CUENTAS!$B$2:$B$100,PLAN_CUENTAS!$A$2:$A$100,0,0)</f>
        <v/>
      </c>
      <c r="L386">
        <f>+_xlfn.XLOOKUP(Tabla1[[#This Row],[Nombre Cuenta]],PLAN_CUENTAS!$B$2:$B$100,PLAN_CUENTAS!$C$2:$C$100,0,0)</f>
        <v/>
      </c>
    </row>
    <row r="387">
      <c r="E387" s="73" t="n"/>
      <c r="K387">
        <f>+_xlfn.XLOOKUP(Tabla1[[#This Row],[Nombre Cuenta]],PLAN_CUENTAS!$B$2:$B$100,PLAN_CUENTAS!$A$2:$A$100,0,0)</f>
        <v/>
      </c>
      <c r="L387">
        <f>+_xlfn.XLOOKUP(Tabla1[[#This Row],[Nombre Cuenta]],PLAN_CUENTAS!$B$2:$B$100,PLAN_CUENTAS!$C$2:$C$100,0,0)</f>
        <v/>
      </c>
    </row>
    <row r="388">
      <c r="E388" s="73" t="n"/>
      <c r="K388">
        <f>+_xlfn.XLOOKUP(Tabla1[[#This Row],[Nombre Cuenta]],PLAN_CUENTAS!$B$2:$B$100,PLAN_CUENTAS!$A$2:$A$100,0,0)</f>
        <v/>
      </c>
      <c r="L388">
        <f>+_xlfn.XLOOKUP(Tabla1[[#This Row],[Nombre Cuenta]],PLAN_CUENTAS!$B$2:$B$100,PLAN_CUENTAS!$C$2:$C$100,0,0)</f>
        <v/>
      </c>
    </row>
    <row r="389">
      <c r="E389" s="73" t="n"/>
      <c r="K389">
        <f>+_xlfn.XLOOKUP(Tabla1[[#This Row],[Nombre Cuenta]],PLAN_CUENTAS!$B$2:$B$100,PLAN_CUENTAS!$A$2:$A$100,0,0)</f>
        <v/>
      </c>
      <c r="L389">
        <f>+_xlfn.XLOOKUP(Tabla1[[#This Row],[Nombre Cuenta]],PLAN_CUENTAS!$B$2:$B$100,PLAN_CUENTAS!$C$2:$C$100,0,0)</f>
        <v/>
      </c>
    </row>
    <row r="390">
      <c r="E390" s="73" t="n"/>
      <c r="K390">
        <f>+_xlfn.XLOOKUP(Tabla1[[#This Row],[Nombre Cuenta]],PLAN_CUENTAS!$B$2:$B$100,PLAN_CUENTAS!$A$2:$A$100,0,0)</f>
        <v/>
      </c>
      <c r="L390">
        <f>+_xlfn.XLOOKUP(Tabla1[[#This Row],[Nombre Cuenta]],PLAN_CUENTAS!$B$2:$B$100,PLAN_CUENTAS!$C$2:$C$100,0,0)</f>
        <v/>
      </c>
    </row>
    <row r="391">
      <c r="E391" s="73" t="n"/>
      <c r="K391">
        <f>+_xlfn.XLOOKUP(Tabla1[[#This Row],[Nombre Cuenta]],PLAN_CUENTAS!$B$2:$B$100,PLAN_CUENTAS!$A$2:$A$100,0,0)</f>
        <v/>
      </c>
      <c r="L391">
        <f>+_xlfn.XLOOKUP(Tabla1[[#This Row],[Nombre Cuenta]],PLAN_CUENTAS!$B$2:$B$100,PLAN_CUENTAS!$C$2:$C$100,0,0)</f>
        <v/>
      </c>
    </row>
    <row r="392">
      <c r="E392" s="73" t="n"/>
      <c r="K392">
        <f>+_xlfn.XLOOKUP(Tabla1[[#This Row],[Nombre Cuenta]],PLAN_CUENTAS!$B$2:$B$100,PLAN_CUENTAS!$A$2:$A$100,0,0)</f>
        <v/>
      </c>
      <c r="L392">
        <f>+_xlfn.XLOOKUP(Tabla1[[#This Row],[Nombre Cuenta]],PLAN_CUENTAS!$B$2:$B$100,PLAN_CUENTAS!$C$2:$C$100,0,0)</f>
        <v/>
      </c>
    </row>
    <row r="393">
      <c r="E393" s="73" t="n"/>
      <c r="K393">
        <f>+_xlfn.XLOOKUP(Tabla1[[#This Row],[Nombre Cuenta]],PLAN_CUENTAS!$B$2:$B$100,PLAN_CUENTAS!$A$2:$A$100,0,0)</f>
        <v/>
      </c>
      <c r="L393">
        <f>+_xlfn.XLOOKUP(Tabla1[[#This Row],[Nombre Cuenta]],PLAN_CUENTAS!$B$2:$B$100,PLAN_CUENTAS!$C$2:$C$100,0,0)</f>
        <v/>
      </c>
    </row>
    <row r="394">
      <c r="E394" s="73" t="n"/>
      <c r="K394">
        <f>+_xlfn.XLOOKUP(Tabla1[[#This Row],[Nombre Cuenta]],PLAN_CUENTAS!$B$2:$B$100,PLAN_CUENTAS!$A$2:$A$100,0,0)</f>
        <v/>
      </c>
      <c r="L394">
        <f>+_xlfn.XLOOKUP(Tabla1[[#This Row],[Nombre Cuenta]],PLAN_CUENTAS!$B$2:$B$100,PLAN_CUENTAS!$C$2:$C$100,0,0)</f>
        <v/>
      </c>
    </row>
    <row r="395">
      <c r="E395" s="73" t="n"/>
      <c r="K395">
        <f>+_xlfn.XLOOKUP(Tabla1[[#This Row],[Nombre Cuenta]],PLAN_CUENTAS!$B$2:$B$100,PLAN_CUENTAS!$A$2:$A$100,0,0)</f>
        <v/>
      </c>
      <c r="L395">
        <f>+_xlfn.XLOOKUP(Tabla1[[#This Row],[Nombre Cuenta]],PLAN_CUENTAS!$B$2:$B$100,PLAN_CUENTAS!$C$2:$C$100,0,0)</f>
        <v/>
      </c>
    </row>
    <row r="396">
      <c r="E396" s="73" t="n"/>
      <c r="K396">
        <f>+_xlfn.XLOOKUP(Tabla1[[#This Row],[Nombre Cuenta]],PLAN_CUENTAS!$B$2:$B$100,PLAN_CUENTAS!$A$2:$A$100,0,0)</f>
        <v/>
      </c>
      <c r="L396">
        <f>+_xlfn.XLOOKUP(Tabla1[[#This Row],[Nombre Cuenta]],PLAN_CUENTAS!$B$2:$B$100,PLAN_CUENTAS!$C$2:$C$100,0,0)</f>
        <v/>
      </c>
    </row>
    <row r="397">
      <c r="E397" s="73" t="n"/>
      <c r="K397">
        <f>+_xlfn.XLOOKUP(Tabla1[[#This Row],[Nombre Cuenta]],PLAN_CUENTAS!$B$2:$B$100,PLAN_CUENTAS!$A$2:$A$100,0,0)</f>
        <v/>
      </c>
      <c r="L397">
        <f>+_xlfn.XLOOKUP(Tabla1[[#This Row],[Nombre Cuenta]],PLAN_CUENTAS!$B$2:$B$100,PLAN_CUENTAS!$C$2:$C$100,0,0)</f>
        <v/>
      </c>
    </row>
    <row r="398">
      <c r="E398" s="73" t="n"/>
      <c r="K398">
        <f>+_xlfn.XLOOKUP(Tabla1[[#This Row],[Nombre Cuenta]],PLAN_CUENTAS!$B$2:$B$100,PLAN_CUENTAS!$A$2:$A$100,0,0)</f>
        <v/>
      </c>
      <c r="L398">
        <f>+_xlfn.XLOOKUP(Tabla1[[#This Row],[Nombre Cuenta]],PLAN_CUENTAS!$B$2:$B$100,PLAN_CUENTAS!$C$2:$C$100,0,0)</f>
        <v/>
      </c>
    </row>
    <row r="399">
      <c r="E399" s="73" t="n"/>
      <c r="K399">
        <f>+_xlfn.XLOOKUP(Tabla1[[#This Row],[Nombre Cuenta]],PLAN_CUENTAS!$B$2:$B$100,PLAN_CUENTAS!$A$2:$A$100,0,0)</f>
        <v/>
      </c>
      <c r="L399">
        <f>+_xlfn.XLOOKUP(Tabla1[[#This Row],[Nombre Cuenta]],PLAN_CUENTAS!$B$2:$B$100,PLAN_CUENTAS!$C$2:$C$100,0,0)</f>
        <v/>
      </c>
    </row>
    <row r="400">
      <c r="E400" s="73" t="n"/>
      <c r="K400">
        <f>+_xlfn.XLOOKUP(Tabla1[[#This Row],[Nombre Cuenta]],PLAN_CUENTAS!$B$2:$B$100,PLAN_CUENTAS!$A$2:$A$100,0,0)</f>
        <v/>
      </c>
      <c r="L400">
        <f>+_xlfn.XLOOKUP(Tabla1[[#This Row],[Nombre Cuenta]],PLAN_CUENTAS!$B$2:$B$100,PLAN_CUENTAS!$C$2:$C$100,0,0)</f>
        <v/>
      </c>
    </row>
    <row r="401">
      <c r="E401" s="73" t="n"/>
      <c r="K401">
        <f>+_xlfn.XLOOKUP(Tabla1[[#This Row],[Nombre Cuenta]],PLAN_CUENTAS!$B$2:$B$100,PLAN_CUENTAS!$A$2:$A$100,0,0)</f>
        <v/>
      </c>
      <c r="L401">
        <f>+_xlfn.XLOOKUP(Tabla1[[#This Row],[Nombre Cuenta]],PLAN_CUENTAS!$B$2:$B$100,PLAN_CUENTAS!$C$2:$C$100,0,0)</f>
        <v/>
      </c>
    </row>
    <row r="402">
      <c r="E402" s="73" t="n"/>
      <c r="K402">
        <f>+_xlfn.XLOOKUP(Tabla1[[#This Row],[Nombre Cuenta]],PLAN_CUENTAS!$B$2:$B$100,PLAN_CUENTAS!$A$2:$A$100,0,0)</f>
        <v/>
      </c>
      <c r="L402">
        <f>+_xlfn.XLOOKUP(Tabla1[[#This Row],[Nombre Cuenta]],PLAN_CUENTAS!$B$2:$B$100,PLAN_CUENTAS!$C$2:$C$100,0,0)</f>
        <v/>
      </c>
    </row>
    <row r="403">
      <c r="E403" s="73" t="n"/>
      <c r="K403">
        <f>+_xlfn.XLOOKUP(Tabla1[[#This Row],[Nombre Cuenta]],PLAN_CUENTAS!$B$2:$B$100,PLAN_CUENTAS!$A$2:$A$100,0,0)</f>
        <v/>
      </c>
      <c r="L403">
        <f>+_xlfn.XLOOKUP(Tabla1[[#This Row],[Nombre Cuenta]],PLAN_CUENTAS!$B$2:$B$100,PLAN_CUENTAS!$C$2:$C$100,0,0)</f>
        <v/>
      </c>
    </row>
    <row r="404">
      <c r="E404" s="73" t="n"/>
      <c r="K404">
        <f>+_xlfn.XLOOKUP(Tabla1[[#This Row],[Nombre Cuenta]],PLAN_CUENTAS!$B$2:$B$100,PLAN_CUENTAS!$A$2:$A$100,0,0)</f>
        <v/>
      </c>
      <c r="L404">
        <f>+_xlfn.XLOOKUP(Tabla1[[#This Row],[Nombre Cuenta]],PLAN_CUENTAS!$B$2:$B$100,PLAN_CUENTAS!$C$2:$C$100,0,0)</f>
        <v/>
      </c>
    </row>
    <row r="405">
      <c r="E405" s="73" t="n"/>
      <c r="K405">
        <f>+_xlfn.XLOOKUP(Tabla1[[#This Row],[Nombre Cuenta]],PLAN_CUENTAS!$B$2:$B$100,PLAN_CUENTAS!$A$2:$A$100,0,0)</f>
        <v/>
      </c>
      <c r="L405">
        <f>+_xlfn.XLOOKUP(Tabla1[[#This Row],[Nombre Cuenta]],PLAN_CUENTAS!$B$2:$B$100,PLAN_CUENTAS!$C$2:$C$100,0,0)</f>
        <v/>
      </c>
    </row>
    <row r="406">
      <c r="E406" s="73" t="n"/>
      <c r="K406">
        <f>+_xlfn.XLOOKUP(Tabla1[[#This Row],[Nombre Cuenta]],PLAN_CUENTAS!$B$2:$B$100,PLAN_CUENTAS!$A$2:$A$100,0,0)</f>
        <v/>
      </c>
      <c r="L406">
        <f>+_xlfn.XLOOKUP(Tabla1[[#This Row],[Nombre Cuenta]],PLAN_CUENTAS!$B$2:$B$100,PLAN_CUENTAS!$C$2:$C$100,0,0)</f>
        <v/>
      </c>
    </row>
    <row r="407">
      <c r="E407" s="73" t="n"/>
      <c r="K407">
        <f>+_xlfn.XLOOKUP(Tabla1[[#This Row],[Nombre Cuenta]],PLAN_CUENTAS!$B$2:$B$100,PLAN_CUENTAS!$A$2:$A$100,0,0)</f>
        <v/>
      </c>
      <c r="L407">
        <f>+_xlfn.XLOOKUP(Tabla1[[#This Row],[Nombre Cuenta]],PLAN_CUENTAS!$B$2:$B$100,PLAN_CUENTAS!$C$2:$C$100,0,0)</f>
        <v/>
      </c>
    </row>
    <row r="408">
      <c r="E408" s="73" t="n"/>
      <c r="K408">
        <f>+_xlfn.XLOOKUP(Tabla1[[#This Row],[Nombre Cuenta]],PLAN_CUENTAS!$B$2:$B$100,PLAN_CUENTAS!$A$2:$A$100,0,0)</f>
        <v/>
      </c>
      <c r="L408">
        <f>+_xlfn.XLOOKUP(Tabla1[[#This Row],[Nombre Cuenta]],PLAN_CUENTAS!$B$2:$B$100,PLAN_CUENTAS!$C$2:$C$100,0,0)</f>
        <v/>
      </c>
    </row>
    <row r="409">
      <c r="E409" s="73" t="n"/>
      <c r="K409">
        <f>+_xlfn.XLOOKUP(Tabla1[[#This Row],[Nombre Cuenta]],PLAN_CUENTAS!$B$2:$B$100,PLAN_CUENTAS!$A$2:$A$100,0,0)</f>
        <v/>
      </c>
      <c r="L409">
        <f>+_xlfn.XLOOKUP(Tabla1[[#This Row],[Nombre Cuenta]],PLAN_CUENTAS!$B$2:$B$100,PLAN_CUENTAS!$C$2:$C$100,0,0)</f>
        <v/>
      </c>
    </row>
    <row r="410">
      <c r="E410" s="73" t="n"/>
      <c r="K410">
        <f>+_xlfn.XLOOKUP(Tabla1[[#This Row],[Nombre Cuenta]],PLAN_CUENTAS!$B$2:$B$100,PLAN_CUENTAS!$A$2:$A$100,0,0)</f>
        <v/>
      </c>
      <c r="L410">
        <f>+_xlfn.XLOOKUP(Tabla1[[#This Row],[Nombre Cuenta]],PLAN_CUENTAS!$B$2:$B$100,PLAN_CUENTAS!$C$2:$C$100,0,0)</f>
        <v/>
      </c>
    </row>
    <row r="411">
      <c r="E411" s="73" t="n"/>
      <c r="K411">
        <f>+_xlfn.XLOOKUP(Tabla1[[#This Row],[Nombre Cuenta]],PLAN_CUENTAS!$B$2:$B$100,PLAN_CUENTAS!$A$2:$A$100,0,0)</f>
        <v/>
      </c>
      <c r="L411">
        <f>+_xlfn.XLOOKUP(Tabla1[[#This Row],[Nombre Cuenta]],PLAN_CUENTAS!$B$2:$B$100,PLAN_CUENTAS!$C$2:$C$100,0,0)</f>
        <v/>
      </c>
    </row>
    <row r="412">
      <c r="E412" s="73" t="n"/>
      <c r="K412">
        <f>+_xlfn.XLOOKUP(Tabla1[[#This Row],[Nombre Cuenta]],PLAN_CUENTAS!$B$2:$B$100,PLAN_CUENTAS!$A$2:$A$100,0,0)</f>
        <v/>
      </c>
      <c r="L412">
        <f>+_xlfn.XLOOKUP(Tabla1[[#This Row],[Nombre Cuenta]],PLAN_CUENTAS!$B$2:$B$100,PLAN_CUENTAS!$C$2:$C$100,0,0)</f>
        <v/>
      </c>
    </row>
    <row r="413">
      <c r="E413" s="73" t="n"/>
      <c r="K413">
        <f>+_xlfn.XLOOKUP(Tabla1[[#This Row],[Nombre Cuenta]],PLAN_CUENTAS!$B$2:$B$100,PLAN_CUENTAS!$A$2:$A$100,0,0)</f>
        <v/>
      </c>
      <c r="L413">
        <f>+_xlfn.XLOOKUP(Tabla1[[#This Row],[Nombre Cuenta]],PLAN_CUENTAS!$B$2:$B$100,PLAN_CUENTAS!$C$2:$C$100,0,0)</f>
        <v/>
      </c>
    </row>
    <row r="414">
      <c r="E414" s="73" t="n"/>
      <c r="K414">
        <f>+_xlfn.XLOOKUP(Tabla1[[#This Row],[Nombre Cuenta]],PLAN_CUENTAS!$B$2:$B$100,PLAN_CUENTAS!$A$2:$A$100,0,0)</f>
        <v/>
      </c>
      <c r="L414">
        <f>+_xlfn.XLOOKUP(Tabla1[[#This Row],[Nombre Cuenta]],PLAN_CUENTAS!$B$2:$B$100,PLAN_CUENTAS!$C$2:$C$100,0,0)</f>
        <v/>
      </c>
    </row>
    <row r="415">
      <c r="E415" s="73" t="n"/>
      <c r="K415">
        <f>+_xlfn.XLOOKUP(Tabla1[[#This Row],[Nombre Cuenta]],PLAN_CUENTAS!$B$2:$B$100,PLAN_CUENTAS!$A$2:$A$100,0,0)</f>
        <v/>
      </c>
      <c r="L415">
        <f>+_xlfn.XLOOKUP(Tabla1[[#This Row],[Nombre Cuenta]],PLAN_CUENTAS!$B$2:$B$100,PLAN_CUENTAS!$C$2:$C$100,0,0)</f>
        <v/>
      </c>
    </row>
    <row r="416">
      <c r="E416" s="73" t="n"/>
      <c r="K416">
        <f>+_xlfn.XLOOKUP(Tabla1[[#This Row],[Nombre Cuenta]],PLAN_CUENTAS!$B$2:$B$100,PLAN_CUENTAS!$A$2:$A$100,0,0)</f>
        <v/>
      </c>
      <c r="L416">
        <f>+_xlfn.XLOOKUP(Tabla1[[#This Row],[Nombre Cuenta]],PLAN_CUENTAS!$B$2:$B$100,PLAN_CUENTAS!$C$2:$C$100,0,0)</f>
        <v/>
      </c>
    </row>
    <row r="417">
      <c r="E417" s="73" t="n"/>
      <c r="K417">
        <f>+_xlfn.XLOOKUP(Tabla1[[#This Row],[Nombre Cuenta]],PLAN_CUENTAS!$B$2:$B$100,PLAN_CUENTAS!$A$2:$A$100,0,0)</f>
        <v/>
      </c>
      <c r="L417">
        <f>+_xlfn.XLOOKUP(Tabla1[[#This Row],[Nombre Cuenta]],PLAN_CUENTAS!$B$2:$B$100,PLAN_CUENTAS!$C$2:$C$100,0,0)</f>
        <v/>
      </c>
    </row>
    <row r="418">
      <c r="E418" s="73" t="n"/>
      <c r="K418">
        <f>+_xlfn.XLOOKUP(Tabla1[[#This Row],[Nombre Cuenta]],PLAN_CUENTAS!$B$2:$B$100,PLAN_CUENTAS!$A$2:$A$100,0,0)</f>
        <v/>
      </c>
      <c r="L418">
        <f>+_xlfn.XLOOKUP(Tabla1[[#This Row],[Nombre Cuenta]],PLAN_CUENTAS!$B$2:$B$100,PLAN_CUENTAS!$C$2:$C$100,0,0)</f>
        <v/>
      </c>
    </row>
    <row r="419">
      <c r="E419" s="73" t="n"/>
      <c r="K419">
        <f>+_xlfn.XLOOKUP(Tabla1[[#This Row],[Nombre Cuenta]],PLAN_CUENTAS!$B$2:$B$100,PLAN_CUENTAS!$A$2:$A$100,0,0)</f>
        <v/>
      </c>
      <c r="L419">
        <f>+_xlfn.XLOOKUP(Tabla1[[#This Row],[Nombre Cuenta]],PLAN_CUENTAS!$B$2:$B$100,PLAN_CUENTAS!$C$2:$C$100,0,0)</f>
        <v/>
      </c>
    </row>
    <row r="420">
      <c r="E420" s="73" t="n"/>
      <c r="K420">
        <f>+_xlfn.XLOOKUP(Tabla1[[#This Row],[Nombre Cuenta]],PLAN_CUENTAS!$B$2:$B$100,PLAN_CUENTAS!$A$2:$A$100,0,0)</f>
        <v/>
      </c>
      <c r="L420">
        <f>+_xlfn.XLOOKUP(Tabla1[[#This Row],[Nombre Cuenta]],PLAN_CUENTAS!$B$2:$B$100,PLAN_CUENTAS!$C$2:$C$100,0,0)</f>
        <v/>
      </c>
    </row>
    <row r="421">
      <c r="E421" s="73" t="n"/>
      <c r="K421">
        <f>+_xlfn.XLOOKUP(Tabla1[[#This Row],[Nombre Cuenta]],PLAN_CUENTAS!$B$2:$B$100,PLAN_CUENTAS!$A$2:$A$100,0,0)</f>
        <v/>
      </c>
      <c r="L421">
        <f>+_xlfn.XLOOKUP(Tabla1[[#This Row],[Nombre Cuenta]],PLAN_CUENTAS!$B$2:$B$100,PLAN_CUENTAS!$C$2:$C$100,0,0)</f>
        <v/>
      </c>
    </row>
    <row r="422">
      <c r="E422" s="73" t="n"/>
      <c r="K422">
        <f>+_xlfn.XLOOKUP(Tabla1[[#This Row],[Nombre Cuenta]],PLAN_CUENTAS!$B$2:$B$100,PLAN_CUENTAS!$A$2:$A$100,0,0)</f>
        <v/>
      </c>
      <c r="L422">
        <f>+_xlfn.XLOOKUP(Tabla1[[#This Row],[Nombre Cuenta]],PLAN_CUENTAS!$B$2:$B$100,PLAN_CUENTAS!$C$2:$C$100,0,0)</f>
        <v/>
      </c>
    </row>
    <row r="423">
      <c r="E423" s="73" t="n"/>
      <c r="K423">
        <f>+_xlfn.XLOOKUP(Tabla1[[#This Row],[Nombre Cuenta]],PLAN_CUENTAS!$B$2:$B$100,PLAN_CUENTAS!$A$2:$A$100,0,0)</f>
        <v/>
      </c>
      <c r="L423">
        <f>+_xlfn.XLOOKUP(Tabla1[[#This Row],[Nombre Cuenta]],PLAN_CUENTAS!$B$2:$B$100,PLAN_CUENTAS!$C$2:$C$100,0,0)</f>
        <v/>
      </c>
    </row>
    <row r="424">
      <c r="E424" s="73" t="n"/>
      <c r="K424">
        <f>+_xlfn.XLOOKUP(Tabla1[[#This Row],[Nombre Cuenta]],PLAN_CUENTAS!$B$2:$B$100,PLAN_CUENTAS!$A$2:$A$100,0,0)</f>
        <v/>
      </c>
      <c r="L424">
        <f>+_xlfn.XLOOKUP(Tabla1[[#This Row],[Nombre Cuenta]],PLAN_CUENTAS!$B$2:$B$100,PLAN_CUENTAS!$C$2:$C$100,0,0)</f>
        <v/>
      </c>
    </row>
    <row r="425">
      <c r="E425" s="73" t="n"/>
      <c r="K425">
        <f>+_xlfn.XLOOKUP(Tabla1[[#This Row],[Nombre Cuenta]],PLAN_CUENTAS!$B$2:$B$100,PLAN_CUENTAS!$A$2:$A$100,0,0)</f>
        <v/>
      </c>
      <c r="L425">
        <f>+_xlfn.XLOOKUP(Tabla1[[#This Row],[Nombre Cuenta]],PLAN_CUENTAS!$B$2:$B$100,PLAN_CUENTAS!$C$2:$C$100,0,0)</f>
        <v/>
      </c>
    </row>
    <row r="426">
      <c r="E426" s="73" t="n"/>
      <c r="K426">
        <f>+_xlfn.XLOOKUP(Tabla1[[#This Row],[Nombre Cuenta]],PLAN_CUENTAS!$B$2:$B$100,PLAN_CUENTAS!$A$2:$A$100,0,0)</f>
        <v/>
      </c>
      <c r="L426">
        <f>+_xlfn.XLOOKUP(Tabla1[[#This Row],[Nombre Cuenta]],PLAN_CUENTAS!$B$2:$B$100,PLAN_CUENTAS!$C$2:$C$100,0,0)</f>
        <v/>
      </c>
    </row>
    <row r="427">
      <c r="E427" s="73" t="n"/>
      <c r="K427">
        <f>+_xlfn.XLOOKUP(Tabla1[[#This Row],[Nombre Cuenta]],PLAN_CUENTAS!$B$2:$B$100,PLAN_CUENTAS!$A$2:$A$100,0,0)</f>
        <v/>
      </c>
      <c r="L427">
        <f>+_xlfn.XLOOKUP(Tabla1[[#This Row],[Nombre Cuenta]],PLAN_CUENTAS!$B$2:$B$100,PLAN_CUENTAS!$C$2:$C$100,0,0)</f>
        <v/>
      </c>
    </row>
    <row r="428">
      <c r="E428" s="73" t="n"/>
      <c r="K428">
        <f>+_xlfn.XLOOKUP(Tabla1[[#This Row],[Nombre Cuenta]],PLAN_CUENTAS!$B$2:$B$100,PLAN_CUENTAS!$A$2:$A$100,0,0)</f>
        <v/>
      </c>
      <c r="L428">
        <f>+_xlfn.XLOOKUP(Tabla1[[#This Row],[Nombre Cuenta]],PLAN_CUENTAS!$B$2:$B$100,PLAN_CUENTAS!$C$2:$C$100,0,0)</f>
        <v/>
      </c>
    </row>
    <row r="429">
      <c r="E429" s="73" t="n"/>
      <c r="K429">
        <f>+_xlfn.XLOOKUP(Tabla1[[#This Row],[Nombre Cuenta]],PLAN_CUENTAS!$B$2:$B$100,PLAN_CUENTAS!$A$2:$A$100,0,0)</f>
        <v/>
      </c>
      <c r="L429">
        <f>+_xlfn.XLOOKUP(Tabla1[[#This Row],[Nombre Cuenta]],PLAN_CUENTAS!$B$2:$B$100,PLAN_CUENTAS!$C$2:$C$100,0,0)</f>
        <v/>
      </c>
    </row>
    <row r="430">
      <c r="E430" s="73" t="n"/>
      <c r="K430">
        <f>+_xlfn.XLOOKUP(Tabla1[[#This Row],[Nombre Cuenta]],PLAN_CUENTAS!$B$2:$B$100,PLAN_CUENTAS!$A$2:$A$100,0,0)</f>
        <v/>
      </c>
      <c r="L430">
        <f>+_xlfn.XLOOKUP(Tabla1[[#This Row],[Nombre Cuenta]],PLAN_CUENTAS!$B$2:$B$100,PLAN_CUENTAS!$C$2:$C$100,0,0)</f>
        <v/>
      </c>
    </row>
    <row r="431">
      <c r="E431" s="73" t="n"/>
      <c r="K431">
        <f>+_xlfn.XLOOKUP(Tabla1[[#This Row],[Nombre Cuenta]],PLAN_CUENTAS!$B$2:$B$100,PLAN_CUENTAS!$A$2:$A$100,0,0)</f>
        <v/>
      </c>
      <c r="L431">
        <f>+_xlfn.XLOOKUP(Tabla1[[#This Row],[Nombre Cuenta]],PLAN_CUENTAS!$B$2:$B$100,PLAN_CUENTAS!$C$2:$C$100,0,0)</f>
        <v/>
      </c>
    </row>
    <row r="432">
      <c r="E432" s="73" t="n"/>
      <c r="K432">
        <f>+_xlfn.XLOOKUP(Tabla1[[#This Row],[Nombre Cuenta]],PLAN_CUENTAS!$B$2:$B$100,PLAN_CUENTAS!$A$2:$A$100,0,0)</f>
        <v/>
      </c>
      <c r="L432">
        <f>+_xlfn.XLOOKUP(Tabla1[[#This Row],[Nombre Cuenta]],PLAN_CUENTAS!$B$2:$B$100,PLAN_CUENTAS!$C$2:$C$100,0,0)</f>
        <v/>
      </c>
    </row>
    <row r="433">
      <c r="E433" s="73" t="n"/>
      <c r="K433">
        <f>+_xlfn.XLOOKUP(Tabla1[[#This Row],[Nombre Cuenta]],PLAN_CUENTAS!$B$2:$B$100,PLAN_CUENTAS!$A$2:$A$100,0,0)</f>
        <v/>
      </c>
      <c r="L433">
        <f>+_xlfn.XLOOKUP(Tabla1[[#This Row],[Nombre Cuenta]],PLAN_CUENTAS!$B$2:$B$100,PLAN_CUENTAS!$C$2:$C$100,0,0)</f>
        <v/>
      </c>
    </row>
    <row r="434">
      <c r="E434" s="73" t="n"/>
      <c r="K434">
        <f>+_xlfn.XLOOKUP(Tabla1[[#This Row],[Nombre Cuenta]],PLAN_CUENTAS!$B$2:$B$100,PLAN_CUENTAS!$A$2:$A$100,0,0)</f>
        <v/>
      </c>
      <c r="L434">
        <f>+_xlfn.XLOOKUP(Tabla1[[#This Row],[Nombre Cuenta]],PLAN_CUENTAS!$B$2:$B$100,PLAN_CUENTAS!$C$2:$C$100,0,0)</f>
        <v/>
      </c>
    </row>
    <row r="435">
      <c r="E435" s="73" t="n"/>
      <c r="K435">
        <f>+_xlfn.XLOOKUP(Tabla1[[#This Row],[Nombre Cuenta]],PLAN_CUENTAS!$B$2:$B$100,PLAN_CUENTAS!$A$2:$A$100,0,0)</f>
        <v/>
      </c>
      <c r="L435">
        <f>+_xlfn.XLOOKUP(Tabla1[[#This Row],[Nombre Cuenta]],PLAN_CUENTAS!$B$2:$B$100,PLAN_CUENTAS!$C$2:$C$100,0,0)</f>
        <v/>
      </c>
    </row>
    <row r="436">
      <c r="E436" s="73" t="n"/>
      <c r="K436">
        <f>+_xlfn.XLOOKUP(Tabla1[[#This Row],[Nombre Cuenta]],PLAN_CUENTAS!$B$2:$B$100,PLAN_CUENTAS!$A$2:$A$100,0,0)</f>
        <v/>
      </c>
      <c r="L436">
        <f>+_xlfn.XLOOKUP(Tabla1[[#This Row],[Nombre Cuenta]],PLAN_CUENTAS!$B$2:$B$100,PLAN_CUENTAS!$C$2:$C$100,0,0)</f>
        <v/>
      </c>
    </row>
    <row r="437">
      <c r="E437" s="73" t="n"/>
      <c r="K437">
        <f>+_xlfn.XLOOKUP(Tabla1[[#This Row],[Nombre Cuenta]],PLAN_CUENTAS!$B$2:$B$100,PLAN_CUENTAS!$A$2:$A$100,0,0)</f>
        <v/>
      </c>
      <c r="L437">
        <f>+_xlfn.XLOOKUP(Tabla1[[#This Row],[Nombre Cuenta]],PLAN_CUENTAS!$B$2:$B$100,PLAN_CUENTAS!$C$2:$C$100,0,0)</f>
        <v/>
      </c>
    </row>
    <row r="438">
      <c r="E438" s="73" t="n"/>
      <c r="K438">
        <f>+_xlfn.XLOOKUP(Tabla1[[#This Row],[Nombre Cuenta]],PLAN_CUENTAS!$B$2:$B$100,PLAN_CUENTAS!$A$2:$A$100,0,0)</f>
        <v/>
      </c>
      <c r="L438">
        <f>+_xlfn.XLOOKUP(Tabla1[[#This Row],[Nombre Cuenta]],PLAN_CUENTAS!$B$2:$B$100,PLAN_CUENTAS!$C$2:$C$100,0,0)</f>
        <v/>
      </c>
    </row>
    <row r="439">
      <c r="E439" s="73" t="n"/>
      <c r="K439">
        <f>+_xlfn.XLOOKUP(Tabla1[[#This Row],[Nombre Cuenta]],PLAN_CUENTAS!$B$2:$B$100,PLAN_CUENTAS!$A$2:$A$100,0,0)</f>
        <v/>
      </c>
      <c r="L439">
        <f>+_xlfn.XLOOKUP(Tabla1[[#This Row],[Nombre Cuenta]],PLAN_CUENTAS!$B$2:$B$100,PLAN_CUENTAS!$C$2:$C$100,0,0)</f>
        <v/>
      </c>
    </row>
    <row r="440">
      <c r="E440" s="73" t="n"/>
      <c r="K440">
        <f>+_xlfn.XLOOKUP(Tabla1[[#This Row],[Nombre Cuenta]],PLAN_CUENTAS!$B$2:$B$100,PLAN_CUENTAS!$A$2:$A$100,0,0)</f>
        <v/>
      </c>
      <c r="L440">
        <f>+_xlfn.XLOOKUP(Tabla1[[#This Row],[Nombre Cuenta]],PLAN_CUENTAS!$B$2:$B$100,PLAN_CUENTAS!$C$2:$C$100,0,0)</f>
        <v/>
      </c>
    </row>
    <row r="441">
      <c r="E441" s="73" t="n"/>
      <c r="K441">
        <f>+_xlfn.XLOOKUP(Tabla1[[#This Row],[Nombre Cuenta]],PLAN_CUENTAS!$B$2:$B$100,PLAN_CUENTAS!$A$2:$A$100,0,0)</f>
        <v/>
      </c>
      <c r="L441">
        <f>+_xlfn.XLOOKUP(Tabla1[[#This Row],[Nombre Cuenta]],PLAN_CUENTAS!$B$2:$B$100,PLAN_CUENTAS!$C$2:$C$100,0,0)</f>
        <v/>
      </c>
    </row>
    <row r="442">
      <c r="E442" s="73" t="n"/>
      <c r="K442">
        <f>+_xlfn.XLOOKUP(Tabla1[[#This Row],[Nombre Cuenta]],PLAN_CUENTAS!$B$2:$B$100,PLAN_CUENTAS!$A$2:$A$100,0,0)</f>
        <v/>
      </c>
      <c r="L442">
        <f>+_xlfn.XLOOKUP(Tabla1[[#This Row],[Nombre Cuenta]],PLAN_CUENTAS!$B$2:$B$100,PLAN_CUENTAS!$C$2:$C$100,0,0)</f>
        <v/>
      </c>
    </row>
    <row r="443">
      <c r="E443" s="73" t="n"/>
      <c r="K443">
        <f>+_xlfn.XLOOKUP(Tabla1[[#This Row],[Nombre Cuenta]],PLAN_CUENTAS!$B$2:$B$100,PLAN_CUENTAS!$A$2:$A$100,0,0)</f>
        <v/>
      </c>
      <c r="L443">
        <f>+_xlfn.XLOOKUP(Tabla1[[#This Row],[Nombre Cuenta]],PLAN_CUENTAS!$B$2:$B$100,PLAN_CUENTAS!$C$2:$C$100,0,0)</f>
        <v/>
      </c>
    </row>
    <row r="444">
      <c r="E444" s="73" t="n"/>
      <c r="K444">
        <f>+_xlfn.XLOOKUP(Tabla1[[#This Row],[Nombre Cuenta]],PLAN_CUENTAS!$B$2:$B$100,PLAN_CUENTAS!$A$2:$A$100,0,0)</f>
        <v/>
      </c>
      <c r="L444">
        <f>+_xlfn.XLOOKUP(Tabla1[[#This Row],[Nombre Cuenta]],PLAN_CUENTAS!$B$2:$B$100,PLAN_CUENTAS!$C$2:$C$100,0,0)</f>
        <v/>
      </c>
    </row>
    <row r="445">
      <c r="E445" s="73" t="n"/>
      <c r="K445">
        <f>+_xlfn.XLOOKUP(Tabla1[[#This Row],[Nombre Cuenta]],PLAN_CUENTAS!$B$2:$B$100,PLAN_CUENTAS!$A$2:$A$100,0,0)</f>
        <v/>
      </c>
      <c r="L445">
        <f>+_xlfn.XLOOKUP(Tabla1[[#This Row],[Nombre Cuenta]],PLAN_CUENTAS!$B$2:$B$100,PLAN_CUENTAS!$C$2:$C$100,0,0)</f>
        <v/>
      </c>
    </row>
    <row r="446">
      <c r="E446" s="73" t="n"/>
      <c r="K446">
        <f>+_xlfn.XLOOKUP(Tabla1[[#This Row],[Nombre Cuenta]],PLAN_CUENTAS!$B$2:$B$100,PLAN_CUENTAS!$A$2:$A$100,0,0)</f>
        <v/>
      </c>
      <c r="L446">
        <f>+_xlfn.XLOOKUP(Tabla1[[#This Row],[Nombre Cuenta]],PLAN_CUENTAS!$B$2:$B$100,PLAN_CUENTAS!$C$2:$C$100,0,0)</f>
        <v/>
      </c>
    </row>
    <row r="447">
      <c r="E447" s="73" t="n"/>
      <c r="K447">
        <f>+_xlfn.XLOOKUP(Tabla1[[#This Row],[Nombre Cuenta]],PLAN_CUENTAS!$B$2:$B$100,PLAN_CUENTAS!$A$2:$A$100,0,0)</f>
        <v/>
      </c>
      <c r="L447">
        <f>+_xlfn.XLOOKUP(Tabla1[[#This Row],[Nombre Cuenta]],PLAN_CUENTAS!$B$2:$B$100,PLAN_CUENTAS!$C$2:$C$100,0,0)</f>
        <v/>
      </c>
    </row>
    <row r="448">
      <c r="E448" s="73" t="n"/>
      <c r="K448">
        <f>+_xlfn.XLOOKUP(Tabla1[[#This Row],[Nombre Cuenta]],PLAN_CUENTAS!$B$2:$B$100,PLAN_CUENTAS!$A$2:$A$100,0,0)</f>
        <v/>
      </c>
      <c r="L448">
        <f>+_xlfn.XLOOKUP(Tabla1[[#This Row],[Nombre Cuenta]],PLAN_CUENTAS!$B$2:$B$100,PLAN_CUENTAS!$C$2:$C$100,0,0)</f>
        <v/>
      </c>
    </row>
    <row r="449">
      <c r="E449" s="73" t="n"/>
      <c r="K449">
        <f>+_xlfn.XLOOKUP(Tabla1[[#This Row],[Nombre Cuenta]],PLAN_CUENTAS!$B$2:$B$100,PLAN_CUENTAS!$A$2:$A$100,0,0)</f>
        <v/>
      </c>
      <c r="L449">
        <f>+_xlfn.XLOOKUP(Tabla1[[#This Row],[Nombre Cuenta]],PLAN_CUENTAS!$B$2:$B$100,PLAN_CUENTAS!$C$2:$C$100,0,0)</f>
        <v/>
      </c>
    </row>
    <row r="450">
      <c r="E450" s="73" t="n"/>
      <c r="K450">
        <f>+_xlfn.XLOOKUP(Tabla1[[#This Row],[Nombre Cuenta]],PLAN_CUENTAS!$B$2:$B$100,PLAN_CUENTAS!$A$2:$A$100,0,0)</f>
        <v/>
      </c>
      <c r="L450">
        <f>+_xlfn.XLOOKUP(Tabla1[[#This Row],[Nombre Cuenta]],PLAN_CUENTAS!$B$2:$B$100,PLAN_CUENTAS!$C$2:$C$100,0,0)</f>
        <v/>
      </c>
    </row>
    <row r="451">
      <c r="E451" s="73" t="n"/>
      <c r="K451">
        <f>+_xlfn.XLOOKUP(Tabla1[[#This Row],[Nombre Cuenta]],PLAN_CUENTAS!$B$2:$B$100,PLAN_CUENTAS!$A$2:$A$100,0,0)</f>
        <v/>
      </c>
      <c r="L451">
        <f>+_xlfn.XLOOKUP(Tabla1[[#This Row],[Nombre Cuenta]],PLAN_CUENTAS!$B$2:$B$100,PLAN_CUENTAS!$C$2:$C$100,0,0)</f>
        <v/>
      </c>
    </row>
    <row r="452">
      <c r="E452" s="73" t="n"/>
      <c r="K452">
        <f>+_xlfn.XLOOKUP(Tabla1[[#This Row],[Nombre Cuenta]],PLAN_CUENTAS!$B$2:$B$100,PLAN_CUENTAS!$A$2:$A$100,0,0)</f>
        <v/>
      </c>
      <c r="L452">
        <f>+_xlfn.XLOOKUP(Tabla1[[#This Row],[Nombre Cuenta]],PLAN_CUENTAS!$B$2:$B$100,PLAN_CUENTAS!$C$2:$C$100,0,0)</f>
        <v/>
      </c>
    </row>
    <row r="453">
      <c r="E453" s="73" t="n"/>
      <c r="K453">
        <f>+_xlfn.XLOOKUP(Tabla1[[#This Row],[Nombre Cuenta]],PLAN_CUENTAS!$B$2:$B$100,PLAN_CUENTAS!$A$2:$A$100,0,0)</f>
        <v/>
      </c>
      <c r="L453">
        <f>+_xlfn.XLOOKUP(Tabla1[[#This Row],[Nombre Cuenta]],PLAN_CUENTAS!$B$2:$B$100,PLAN_CUENTAS!$C$2:$C$100,0,0)</f>
        <v/>
      </c>
    </row>
    <row r="454">
      <c r="E454" s="73" t="n"/>
      <c r="K454">
        <f>+_xlfn.XLOOKUP(Tabla1[[#This Row],[Nombre Cuenta]],PLAN_CUENTAS!$B$2:$B$100,PLAN_CUENTAS!$A$2:$A$100,0,0)</f>
        <v/>
      </c>
      <c r="L454">
        <f>+_xlfn.XLOOKUP(Tabla1[[#This Row],[Nombre Cuenta]],PLAN_CUENTAS!$B$2:$B$100,PLAN_CUENTAS!$C$2:$C$100,0,0)</f>
        <v/>
      </c>
    </row>
    <row r="455">
      <c r="E455" s="73" t="n"/>
      <c r="K455">
        <f>+_xlfn.XLOOKUP(Tabla1[[#This Row],[Nombre Cuenta]],PLAN_CUENTAS!$B$2:$B$100,PLAN_CUENTAS!$A$2:$A$100,0,0)</f>
        <v/>
      </c>
      <c r="L455">
        <f>+_xlfn.XLOOKUP(Tabla1[[#This Row],[Nombre Cuenta]],PLAN_CUENTAS!$B$2:$B$100,PLAN_CUENTAS!$C$2:$C$100,0,0)</f>
        <v/>
      </c>
    </row>
    <row r="456">
      <c r="E456" s="73" t="n"/>
      <c r="K456">
        <f>+_xlfn.XLOOKUP(Tabla1[[#This Row],[Nombre Cuenta]],PLAN_CUENTAS!$B$2:$B$100,PLAN_CUENTAS!$A$2:$A$100,0,0)</f>
        <v/>
      </c>
      <c r="L456">
        <f>+_xlfn.XLOOKUP(Tabla1[[#This Row],[Nombre Cuenta]],PLAN_CUENTAS!$B$2:$B$100,PLAN_CUENTAS!$C$2:$C$100,0,0)</f>
        <v/>
      </c>
    </row>
    <row r="457">
      <c r="E457" s="73" t="n"/>
      <c r="K457">
        <f>+_xlfn.XLOOKUP(Tabla1[[#This Row],[Nombre Cuenta]],PLAN_CUENTAS!$B$2:$B$100,PLAN_CUENTAS!$A$2:$A$100,0,0)</f>
        <v/>
      </c>
      <c r="L457">
        <f>+_xlfn.XLOOKUP(Tabla1[[#This Row],[Nombre Cuenta]],PLAN_CUENTAS!$B$2:$B$100,PLAN_CUENTAS!$C$2:$C$100,0,0)</f>
        <v/>
      </c>
    </row>
    <row r="458">
      <c r="E458" s="73" t="n"/>
      <c r="K458">
        <f>+_xlfn.XLOOKUP(Tabla1[[#This Row],[Nombre Cuenta]],PLAN_CUENTAS!$B$2:$B$100,PLAN_CUENTAS!$A$2:$A$100,0,0)</f>
        <v/>
      </c>
      <c r="L458">
        <f>+_xlfn.XLOOKUP(Tabla1[[#This Row],[Nombre Cuenta]],PLAN_CUENTAS!$B$2:$B$100,PLAN_CUENTAS!$C$2:$C$100,0,0)</f>
        <v/>
      </c>
    </row>
    <row r="459">
      <c r="E459" s="73" t="n"/>
      <c r="K459">
        <f>+_xlfn.XLOOKUP(Tabla1[[#This Row],[Nombre Cuenta]],PLAN_CUENTAS!$B$2:$B$100,PLAN_CUENTAS!$A$2:$A$100,0,0)</f>
        <v/>
      </c>
      <c r="L459">
        <f>+_xlfn.XLOOKUP(Tabla1[[#This Row],[Nombre Cuenta]],PLAN_CUENTAS!$B$2:$B$100,PLAN_CUENTAS!$C$2:$C$100,0,0)</f>
        <v/>
      </c>
    </row>
    <row r="460">
      <c r="E460" s="73" t="n"/>
      <c r="K460">
        <f>+_xlfn.XLOOKUP(Tabla1[[#This Row],[Nombre Cuenta]],PLAN_CUENTAS!$B$2:$B$100,PLAN_CUENTAS!$A$2:$A$100,0,0)</f>
        <v/>
      </c>
      <c r="L460">
        <f>+_xlfn.XLOOKUP(Tabla1[[#This Row],[Nombre Cuenta]],PLAN_CUENTAS!$B$2:$B$100,PLAN_CUENTAS!$C$2:$C$100,0,0)</f>
        <v/>
      </c>
    </row>
    <row r="461">
      <c r="E461" s="73" t="n"/>
      <c r="K461">
        <f>+_xlfn.XLOOKUP(Tabla1[[#This Row],[Nombre Cuenta]],PLAN_CUENTAS!$B$2:$B$100,PLAN_CUENTAS!$A$2:$A$100,0,0)</f>
        <v/>
      </c>
      <c r="L461">
        <f>+_xlfn.XLOOKUP(Tabla1[[#This Row],[Nombre Cuenta]],PLAN_CUENTAS!$B$2:$B$100,PLAN_CUENTAS!$C$2:$C$100,0,0)</f>
        <v/>
      </c>
    </row>
    <row r="462">
      <c r="E462" s="73" t="n"/>
      <c r="K462">
        <f>+_xlfn.XLOOKUP(Tabla1[[#This Row],[Nombre Cuenta]],PLAN_CUENTAS!$B$2:$B$100,PLAN_CUENTAS!$A$2:$A$100,0,0)</f>
        <v/>
      </c>
      <c r="L462">
        <f>+_xlfn.XLOOKUP(Tabla1[[#This Row],[Nombre Cuenta]],PLAN_CUENTAS!$B$2:$B$100,PLAN_CUENTAS!$C$2:$C$100,0,0)</f>
        <v/>
      </c>
    </row>
    <row r="463">
      <c r="E463" s="73" t="n"/>
      <c r="K463">
        <f>+_xlfn.XLOOKUP(Tabla1[[#This Row],[Nombre Cuenta]],PLAN_CUENTAS!$B$2:$B$100,PLAN_CUENTAS!$A$2:$A$100,0,0)</f>
        <v/>
      </c>
      <c r="L463">
        <f>+_xlfn.XLOOKUP(Tabla1[[#This Row],[Nombre Cuenta]],PLAN_CUENTAS!$B$2:$B$100,PLAN_CUENTAS!$C$2:$C$100,0,0)</f>
        <v/>
      </c>
    </row>
    <row r="464">
      <c r="E464" s="73" t="n"/>
      <c r="K464">
        <f>+_xlfn.XLOOKUP(Tabla1[[#This Row],[Nombre Cuenta]],PLAN_CUENTAS!$B$2:$B$100,PLAN_CUENTAS!$A$2:$A$100,0,0)</f>
        <v/>
      </c>
      <c r="L464">
        <f>+_xlfn.XLOOKUP(Tabla1[[#This Row],[Nombre Cuenta]],PLAN_CUENTAS!$B$2:$B$100,PLAN_CUENTAS!$C$2:$C$100,0,0)</f>
        <v/>
      </c>
    </row>
    <row r="465">
      <c r="E465" s="73" t="n"/>
      <c r="K465">
        <f>+_xlfn.XLOOKUP(Tabla1[[#This Row],[Nombre Cuenta]],PLAN_CUENTAS!$B$2:$B$100,PLAN_CUENTAS!$A$2:$A$100,0,0)</f>
        <v/>
      </c>
      <c r="L465">
        <f>+_xlfn.XLOOKUP(Tabla1[[#This Row],[Nombre Cuenta]],PLAN_CUENTAS!$B$2:$B$100,PLAN_CUENTAS!$C$2:$C$100,0,0)</f>
        <v/>
      </c>
    </row>
    <row r="466">
      <c r="E466" s="73" t="n"/>
      <c r="K466">
        <f>+_xlfn.XLOOKUP(Tabla1[[#This Row],[Nombre Cuenta]],PLAN_CUENTAS!$B$2:$B$100,PLAN_CUENTAS!$A$2:$A$100,0,0)</f>
        <v/>
      </c>
      <c r="L466">
        <f>+_xlfn.XLOOKUP(Tabla1[[#This Row],[Nombre Cuenta]],PLAN_CUENTAS!$B$2:$B$100,PLAN_CUENTAS!$C$2:$C$100,0,0)</f>
        <v/>
      </c>
    </row>
    <row r="467">
      <c r="E467" s="73" t="n"/>
      <c r="K467">
        <f>+_xlfn.XLOOKUP(Tabla1[[#This Row],[Nombre Cuenta]],PLAN_CUENTAS!$B$2:$B$100,PLAN_CUENTAS!$A$2:$A$100,0,0)</f>
        <v/>
      </c>
      <c r="L467">
        <f>+_xlfn.XLOOKUP(Tabla1[[#This Row],[Nombre Cuenta]],PLAN_CUENTAS!$B$2:$B$100,PLAN_CUENTAS!$C$2:$C$100,0,0)</f>
        <v/>
      </c>
    </row>
    <row r="468">
      <c r="E468" s="73" t="n"/>
      <c r="K468">
        <f>+_xlfn.XLOOKUP(Tabla1[[#This Row],[Nombre Cuenta]],PLAN_CUENTAS!$B$2:$B$100,PLAN_CUENTAS!$A$2:$A$100,0,0)</f>
        <v/>
      </c>
      <c r="L468">
        <f>+_xlfn.XLOOKUP(Tabla1[[#This Row],[Nombre Cuenta]],PLAN_CUENTAS!$B$2:$B$100,PLAN_CUENTAS!$C$2:$C$100,0,0)</f>
        <v/>
      </c>
    </row>
    <row r="469">
      <c r="E469" s="73" t="n"/>
      <c r="K469">
        <f>+_xlfn.XLOOKUP(Tabla1[[#This Row],[Nombre Cuenta]],PLAN_CUENTAS!$B$2:$B$100,PLAN_CUENTAS!$A$2:$A$100,0,0)</f>
        <v/>
      </c>
      <c r="L469">
        <f>+_xlfn.XLOOKUP(Tabla1[[#This Row],[Nombre Cuenta]],PLAN_CUENTAS!$B$2:$B$100,PLAN_CUENTAS!$C$2:$C$100,0,0)</f>
        <v/>
      </c>
    </row>
    <row r="470">
      <c r="E470" s="73" t="n"/>
      <c r="K470">
        <f>+_xlfn.XLOOKUP(Tabla1[[#This Row],[Nombre Cuenta]],PLAN_CUENTAS!$B$2:$B$100,PLAN_CUENTAS!$A$2:$A$100,0,0)</f>
        <v/>
      </c>
      <c r="L470">
        <f>+_xlfn.XLOOKUP(Tabla1[[#This Row],[Nombre Cuenta]],PLAN_CUENTAS!$B$2:$B$100,PLAN_CUENTAS!$C$2:$C$100,0,0)</f>
        <v/>
      </c>
    </row>
    <row r="471">
      <c r="E471" s="73" t="n"/>
      <c r="K471">
        <f>+_xlfn.XLOOKUP(Tabla1[[#This Row],[Nombre Cuenta]],PLAN_CUENTAS!$B$2:$B$100,PLAN_CUENTAS!$A$2:$A$100,0,0)</f>
        <v/>
      </c>
      <c r="L471">
        <f>+_xlfn.XLOOKUP(Tabla1[[#This Row],[Nombre Cuenta]],PLAN_CUENTAS!$B$2:$B$100,PLAN_CUENTAS!$C$2:$C$100,0,0)</f>
        <v/>
      </c>
    </row>
    <row r="472">
      <c r="E472" s="73" t="n"/>
      <c r="K472">
        <f>+_xlfn.XLOOKUP(Tabla1[[#This Row],[Nombre Cuenta]],PLAN_CUENTAS!$B$2:$B$100,PLAN_CUENTAS!$A$2:$A$100,0,0)</f>
        <v/>
      </c>
      <c r="L472">
        <f>+_xlfn.XLOOKUP(Tabla1[[#This Row],[Nombre Cuenta]],PLAN_CUENTAS!$B$2:$B$100,PLAN_CUENTAS!$C$2:$C$100,0,0)</f>
        <v/>
      </c>
    </row>
    <row r="473">
      <c r="E473" s="73" t="n"/>
      <c r="K473">
        <f>+_xlfn.XLOOKUP(Tabla1[[#This Row],[Nombre Cuenta]],PLAN_CUENTAS!$B$2:$B$100,PLAN_CUENTAS!$A$2:$A$100,0,0)</f>
        <v/>
      </c>
      <c r="L473">
        <f>+_xlfn.XLOOKUP(Tabla1[[#This Row],[Nombre Cuenta]],PLAN_CUENTAS!$B$2:$B$100,PLAN_CUENTAS!$C$2:$C$100,0,0)</f>
        <v/>
      </c>
    </row>
    <row r="474">
      <c r="E474" s="73" t="n"/>
      <c r="K474">
        <f>+_xlfn.XLOOKUP(Tabla1[[#This Row],[Nombre Cuenta]],PLAN_CUENTAS!$B$2:$B$100,PLAN_CUENTAS!$A$2:$A$100,0,0)</f>
        <v/>
      </c>
      <c r="L474">
        <f>+_xlfn.XLOOKUP(Tabla1[[#This Row],[Nombre Cuenta]],PLAN_CUENTAS!$B$2:$B$100,PLAN_CUENTAS!$C$2:$C$100,0,0)</f>
        <v/>
      </c>
    </row>
    <row r="475">
      <c r="E475" s="73" t="n"/>
      <c r="K475">
        <f>+_xlfn.XLOOKUP(Tabla1[[#This Row],[Nombre Cuenta]],PLAN_CUENTAS!$B$2:$B$100,PLAN_CUENTAS!$A$2:$A$100,0,0)</f>
        <v/>
      </c>
      <c r="L475">
        <f>+_xlfn.XLOOKUP(Tabla1[[#This Row],[Nombre Cuenta]],PLAN_CUENTAS!$B$2:$B$100,PLAN_CUENTAS!$C$2:$C$100,0,0)</f>
        <v/>
      </c>
    </row>
    <row r="476">
      <c r="E476" s="73" t="n"/>
      <c r="K476">
        <f>+_xlfn.XLOOKUP(Tabla1[[#This Row],[Nombre Cuenta]],PLAN_CUENTAS!$B$2:$B$100,PLAN_CUENTAS!$A$2:$A$100,0,0)</f>
        <v/>
      </c>
      <c r="L476">
        <f>+_xlfn.XLOOKUP(Tabla1[[#This Row],[Nombre Cuenta]],PLAN_CUENTAS!$B$2:$B$100,PLAN_CUENTAS!$C$2:$C$100,0,0)</f>
        <v/>
      </c>
    </row>
    <row r="477">
      <c r="E477" s="73" t="n"/>
      <c r="K477">
        <f>+_xlfn.XLOOKUP(Tabla1[[#This Row],[Nombre Cuenta]],PLAN_CUENTAS!$B$2:$B$100,PLAN_CUENTAS!$A$2:$A$100,0,0)</f>
        <v/>
      </c>
      <c r="L477">
        <f>+_xlfn.XLOOKUP(Tabla1[[#This Row],[Nombre Cuenta]],PLAN_CUENTAS!$B$2:$B$100,PLAN_CUENTAS!$C$2:$C$100,0,0)</f>
        <v/>
      </c>
    </row>
    <row r="478">
      <c r="E478" s="73" t="n"/>
      <c r="K478">
        <f>+_xlfn.XLOOKUP(Tabla1[[#This Row],[Nombre Cuenta]],PLAN_CUENTAS!$B$2:$B$100,PLAN_CUENTAS!$A$2:$A$100,0,0)</f>
        <v/>
      </c>
      <c r="L478">
        <f>+_xlfn.XLOOKUP(Tabla1[[#This Row],[Nombre Cuenta]],PLAN_CUENTAS!$B$2:$B$100,PLAN_CUENTAS!$C$2:$C$100,0,0)</f>
        <v/>
      </c>
    </row>
    <row r="479">
      <c r="E479" s="73" t="n"/>
      <c r="K479">
        <f>+_xlfn.XLOOKUP(Tabla1[[#This Row],[Nombre Cuenta]],PLAN_CUENTAS!$B$2:$B$100,PLAN_CUENTAS!$A$2:$A$100,0,0)</f>
        <v/>
      </c>
      <c r="L479">
        <f>+_xlfn.XLOOKUP(Tabla1[[#This Row],[Nombre Cuenta]],PLAN_CUENTAS!$B$2:$B$100,PLAN_CUENTAS!$C$2:$C$100,0,0)</f>
        <v/>
      </c>
    </row>
    <row r="480">
      <c r="E480" s="73" t="n"/>
      <c r="K480">
        <f>+_xlfn.XLOOKUP(Tabla1[[#This Row],[Nombre Cuenta]],PLAN_CUENTAS!$B$2:$B$100,PLAN_CUENTAS!$A$2:$A$100,0,0)</f>
        <v/>
      </c>
      <c r="L480">
        <f>+_xlfn.XLOOKUP(Tabla1[[#This Row],[Nombre Cuenta]],PLAN_CUENTAS!$B$2:$B$100,PLAN_CUENTAS!$C$2:$C$100,0,0)</f>
        <v/>
      </c>
    </row>
    <row r="481">
      <c r="E481" s="73" t="n"/>
      <c r="K481">
        <f>+_xlfn.XLOOKUP(Tabla1[[#This Row],[Nombre Cuenta]],PLAN_CUENTAS!$B$2:$B$100,PLAN_CUENTAS!$A$2:$A$100,0,0)</f>
        <v/>
      </c>
      <c r="L481">
        <f>+_xlfn.XLOOKUP(Tabla1[[#This Row],[Nombre Cuenta]],PLAN_CUENTAS!$B$2:$B$100,PLAN_CUENTAS!$C$2:$C$100,0,0)</f>
        <v/>
      </c>
    </row>
    <row r="482">
      <c r="E482" s="73" t="n"/>
      <c r="K482">
        <f>+_xlfn.XLOOKUP(Tabla1[[#This Row],[Nombre Cuenta]],PLAN_CUENTAS!$B$2:$B$100,PLAN_CUENTAS!$A$2:$A$100,0,0)</f>
        <v/>
      </c>
      <c r="L482">
        <f>+_xlfn.XLOOKUP(Tabla1[[#This Row],[Nombre Cuenta]],PLAN_CUENTAS!$B$2:$B$100,PLAN_CUENTAS!$C$2:$C$100,0,0)</f>
        <v/>
      </c>
    </row>
    <row r="483">
      <c r="E483" s="73" t="n"/>
      <c r="K483">
        <f>+_xlfn.XLOOKUP(Tabla1[[#This Row],[Nombre Cuenta]],PLAN_CUENTAS!$B$2:$B$100,PLAN_CUENTAS!$A$2:$A$100,0,0)</f>
        <v/>
      </c>
      <c r="L483">
        <f>+_xlfn.XLOOKUP(Tabla1[[#This Row],[Nombre Cuenta]],PLAN_CUENTAS!$B$2:$B$100,PLAN_CUENTAS!$C$2:$C$100,0,0)</f>
        <v/>
      </c>
    </row>
    <row r="484">
      <c r="E484" s="73" t="n"/>
      <c r="K484">
        <f>+_xlfn.XLOOKUP(Tabla1[[#This Row],[Nombre Cuenta]],PLAN_CUENTAS!$B$2:$B$100,PLAN_CUENTAS!$A$2:$A$100,0,0)</f>
        <v/>
      </c>
      <c r="L484">
        <f>+_xlfn.XLOOKUP(Tabla1[[#This Row],[Nombre Cuenta]],PLAN_CUENTAS!$B$2:$B$100,PLAN_CUENTAS!$C$2:$C$100,0,0)</f>
        <v/>
      </c>
    </row>
    <row r="485">
      <c r="E485" s="73" t="n"/>
      <c r="K485">
        <f>+_xlfn.XLOOKUP(Tabla1[[#This Row],[Nombre Cuenta]],PLAN_CUENTAS!$B$2:$B$100,PLAN_CUENTAS!$A$2:$A$100,0,0)</f>
        <v/>
      </c>
      <c r="L485">
        <f>+_xlfn.XLOOKUP(Tabla1[[#This Row],[Nombre Cuenta]],PLAN_CUENTAS!$B$2:$B$100,PLAN_CUENTAS!$C$2:$C$100,0,0)</f>
        <v/>
      </c>
    </row>
    <row r="486">
      <c r="E486" s="73" t="n"/>
      <c r="K486">
        <f>+_xlfn.XLOOKUP(Tabla1[[#This Row],[Nombre Cuenta]],PLAN_CUENTAS!$B$2:$B$100,PLAN_CUENTAS!$A$2:$A$100,0,0)</f>
        <v/>
      </c>
      <c r="L486">
        <f>+_xlfn.XLOOKUP(Tabla1[[#This Row],[Nombre Cuenta]],PLAN_CUENTAS!$B$2:$B$100,PLAN_CUENTAS!$C$2:$C$100,0,0)</f>
        <v/>
      </c>
    </row>
    <row r="487">
      <c r="E487" s="73" t="n"/>
      <c r="K487">
        <f>+_xlfn.XLOOKUP(Tabla1[[#This Row],[Nombre Cuenta]],PLAN_CUENTAS!$B$2:$B$100,PLAN_CUENTAS!$A$2:$A$100,0,0)</f>
        <v/>
      </c>
      <c r="L487">
        <f>+_xlfn.XLOOKUP(Tabla1[[#This Row],[Nombre Cuenta]],PLAN_CUENTAS!$B$2:$B$100,PLAN_CUENTAS!$C$2:$C$100,0,0)</f>
        <v/>
      </c>
    </row>
    <row r="488">
      <c r="E488" s="73" t="n"/>
      <c r="K488">
        <f>+_xlfn.XLOOKUP(Tabla1[[#This Row],[Nombre Cuenta]],PLAN_CUENTAS!$B$2:$B$100,PLAN_CUENTAS!$A$2:$A$100,0,0)</f>
        <v/>
      </c>
      <c r="L488">
        <f>+_xlfn.XLOOKUP(Tabla1[[#This Row],[Nombre Cuenta]],PLAN_CUENTAS!$B$2:$B$100,PLAN_CUENTAS!$C$2:$C$100,0,0)</f>
        <v/>
      </c>
    </row>
    <row r="489">
      <c r="E489" s="73" t="n"/>
      <c r="K489">
        <f>+_xlfn.XLOOKUP(Tabla1[[#This Row],[Nombre Cuenta]],PLAN_CUENTAS!$B$2:$B$100,PLAN_CUENTAS!$A$2:$A$100,0,0)</f>
        <v/>
      </c>
      <c r="L489">
        <f>+_xlfn.XLOOKUP(Tabla1[[#This Row],[Nombre Cuenta]],PLAN_CUENTAS!$B$2:$B$100,PLAN_CUENTAS!$C$2:$C$100,0,0)</f>
        <v/>
      </c>
    </row>
    <row r="490">
      <c r="E490" s="73" t="n"/>
      <c r="K490">
        <f>+_xlfn.XLOOKUP(Tabla1[[#This Row],[Nombre Cuenta]],PLAN_CUENTAS!$B$2:$B$100,PLAN_CUENTAS!$A$2:$A$100,0,0)</f>
        <v/>
      </c>
      <c r="L490">
        <f>+_xlfn.XLOOKUP(Tabla1[[#This Row],[Nombre Cuenta]],PLAN_CUENTAS!$B$2:$B$100,PLAN_CUENTAS!$C$2:$C$100,0,0)</f>
        <v/>
      </c>
    </row>
    <row r="491">
      <c r="E491" s="73" t="n"/>
      <c r="K491">
        <f>+_xlfn.XLOOKUP(Tabla1[[#This Row],[Nombre Cuenta]],PLAN_CUENTAS!$B$2:$B$100,PLAN_CUENTAS!$A$2:$A$100,0,0)</f>
        <v/>
      </c>
      <c r="L491">
        <f>+_xlfn.XLOOKUP(Tabla1[[#This Row],[Nombre Cuenta]],PLAN_CUENTAS!$B$2:$B$100,PLAN_CUENTAS!$C$2:$C$100,0,0)</f>
        <v/>
      </c>
    </row>
    <row r="492">
      <c r="E492" s="73" t="n"/>
      <c r="K492">
        <f>+_xlfn.XLOOKUP(Tabla1[[#This Row],[Nombre Cuenta]],PLAN_CUENTAS!$B$2:$B$100,PLAN_CUENTAS!$A$2:$A$100,0,0)</f>
        <v/>
      </c>
      <c r="L492">
        <f>+_xlfn.XLOOKUP(Tabla1[[#This Row],[Nombre Cuenta]],PLAN_CUENTAS!$B$2:$B$100,PLAN_CUENTAS!$C$2:$C$100,0,0)</f>
        <v/>
      </c>
    </row>
    <row r="493">
      <c r="E493" s="73" t="n"/>
      <c r="K493">
        <f>+_xlfn.XLOOKUP(Tabla1[[#This Row],[Nombre Cuenta]],PLAN_CUENTAS!$B$2:$B$100,PLAN_CUENTAS!$A$2:$A$100,0,0)</f>
        <v/>
      </c>
      <c r="L493">
        <f>+_xlfn.XLOOKUP(Tabla1[[#This Row],[Nombre Cuenta]],PLAN_CUENTAS!$B$2:$B$100,PLAN_CUENTAS!$C$2:$C$100,0,0)</f>
        <v/>
      </c>
    </row>
    <row r="494">
      <c r="E494" s="73" t="n"/>
      <c r="K494">
        <f>+_xlfn.XLOOKUP(Tabla1[[#This Row],[Nombre Cuenta]],PLAN_CUENTAS!$B$2:$B$100,PLAN_CUENTAS!$A$2:$A$100,0,0)</f>
        <v/>
      </c>
      <c r="L494">
        <f>+_xlfn.XLOOKUP(Tabla1[[#This Row],[Nombre Cuenta]],PLAN_CUENTAS!$B$2:$B$100,PLAN_CUENTAS!$C$2:$C$100,0,0)</f>
        <v/>
      </c>
    </row>
    <row r="495">
      <c r="E495" s="73" t="n"/>
      <c r="K495">
        <f>+_xlfn.XLOOKUP(Tabla1[[#This Row],[Nombre Cuenta]],PLAN_CUENTAS!$B$2:$B$100,PLAN_CUENTAS!$A$2:$A$100,0,0)</f>
        <v/>
      </c>
      <c r="L495">
        <f>+_xlfn.XLOOKUP(Tabla1[[#This Row],[Nombre Cuenta]],PLAN_CUENTAS!$B$2:$B$100,PLAN_CUENTAS!$C$2:$C$100,0,0)</f>
        <v/>
      </c>
    </row>
    <row r="496">
      <c r="E496" s="73" t="n"/>
      <c r="K496">
        <f>+_xlfn.XLOOKUP(Tabla1[[#This Row],[Nombre Cuenta]],PLAN_CUENTAS!$B$2:$B$100,PLAN_CUENTAS!$A$2:$A$100,0,0)</f>
        <v/>
      </c>
      <c r="L496">
        <f>+_xlfn.XLOOKUP(Tabla1[[#This Row],[Nombre Cuenta]],PLAN_CUENTAS!$B$2:$B$100,PLAN_CUENTAS!$C$2:$C$100,0,0)</f>
        <v/>
      </c>
    </row>
    <row r="497">
      <c r="E497" s="73" t="n"/>
      <c r="K497">
        <f>+_xlfn.XLOOKUP(Tabla1[[#This Row],[Nombre Cuenta]],PLAN_CUENTAS!$B$2:$B$100,PLAN_CUENTAS!$A$2:$A$100,0,0)</f>
        <v/>
      </c>
      <c r="L497">
        <f>+_xlfn.XLOOKUP(Tabla1[[#This Row],[Nombre Cuenta]],PLAN_CUENTAS!$B$2:$B$100,PLAN_CUENTAS!$C$2:$C$100,0,0)</f>
        <v/>
      </c>
    </row>
    <row r="498">
      <c r="E498" s="73" t="n"/>
      <c r="K498">
        <f>+_xlfn.XLOOKUP(Tabla1[[#This Row],[Nombre Cuenta]],PLAN_CUENTAS!$B$2:$B$100,PLAN_CUENTAS!$A$2:$A$100,0,0)</f>
        <v/>
      </c>
      <c r="L498">
        <f>+_xlfn.XLOOKUP(Tabla1[[#This Row],[Nombre Cuenta]],PLAN_CUENTAS!$B$2:$B$100,PLAN_CUENTAS!$C$2:$C$100,0,0)</f>
        <v/>
      </c>
    </row>
    <row r="499">
      <c r="E499" s="73" t="n"/>
      <c r="K499">
        <f>+_xlfn.XLOOKUP(Tabla1[[#This Row],[Nombre Cuenta]],PLAN_CUENTAS!$B$2:$B$100,PLAN_CUENTAS!$A$2:$A$100,0,0)</f>
        <v/>
      </c>
      <c r="L499">
        <f>+_xlfn.XLOOKUP(Tabla1[[#This Row],[Nombre Cuenta]],PLAN_CUENTAS!$B$2:$B$100,PLAN_CUENTAS!$C$2:$C$100,0,0)</f>
        <v/>
      </c>
    </row>
    <row r="500">
      <c r="E500" s="73" t="n"/>
      <c r="K500">
        <f>+_xlfn.XLOOKUP(Tabla1[[#This Row],[Nombre Cuenta]],PLAN_CUENTAS!$B$2:$B$100,PLAN_CUENTAS!$A$2:$A$100,0,0)</f>
        <v/>
      </c>
      <c r="L500">
        <f>+_xlfn.XLOOKUP(Tabla1[[#This Row],[Nombre Cuenta]],PLAN_CUENTAS!$B$2:$B$100,PLAN_CUENTAS!$C$2:$C$100,0,0)</f>
        <v/>
      </c>
    </row>
  </sheetData>
  <conditionalFormatting sqref="A2:L500 G2:G500">
    <cfRule type="expression" priority="1" dxfId="0">
      <formula>#REF!="Pendiente"</formula>
    </cfRule>
  </conditionalFormatting>
  <dataValidations count="3">
    <dataValidation sqref="F2:F500" showDropDown="0" showInputMessage="0" showErrorMessage="0" allowBlank="1" type="list">
      <formula1>"F,B,S"</formula1>
    </dataValidation>
    <dataValidation sqref="L2:L500" showDropDown="0" showInputMessage="0" showErrorMessage="0" allowBlank="1" type="list">
      <formula1>"CC1,CC2,CC3,CC4,CC5,CC6,CC7,CC8"</formula1>
    </dataValidation>
    <dataValidation sqref="G2:G500" showDropDown="0" showInputMessage="0" showErrorMessage="0" allowBlank="1" type="list">
      <formula1>"Credito,Debito,Mercado Pago"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5"/>
  <sheetViews>
    <sheetView showGridLines="0" zoomScale="130" zoomScaleNormal="130" workbookViewId="0">
      <pane xSplit="2" ySplit="3" topLeftCell="N52" activePane="bottomRight" state="frozen"/>
      <selection pane="topRight" activeCell="A1" sqref="A1"/>
      <selection pane="bottomLeft" activeCell="A1" sqref="A1"/>
      <selection pane="bottomRight" activeCell="S62" sqref="Q62:S62"/>
    </sheetView>
  </sheetViews>
  <sheetFormatPr baseColWidth="10" defaultColWidth="8.88671875" defaultRowHeight="14.4"/>
  <cols>
    <col width="8" customWidth="1" style="65" min="1" max="1"/>
    <col width="30" customWidth="1" style="65" min="2" max="2"/>
    <col width="13" customWidth="1" style="65" min="3" max="26"/>
  </cols>
  <sheetData>
    <row r="1" ht="28.05" customHeight="1" s="65">
      <c r="C1" s="30" t="inlineStr">
        <is>
          <t>RESUMEN MENSUAL — FAIT PAR MARIE | Plan de Cuentas 2025-2026</t>
        </is>
      </c>
    </row>
    <row r="2">
      <c r="C2" s="29" t="inlineStr">
        <is>
          <t>Basado en Mes Devengo (no fecha de pago). Ingresos y costos en Monto Neto sin IVA.</t>
        </is>
      </c>
    </row>
    <row r="3">
      <c r="A3" s="28" t="inlineStr">
        <is>
          <t>N</t>
        </is>
      </c>
      <c r="B3" s="28" t="inlineStr">
        <is>
          <t>CC / Cuenta</t>
        </is>
      </c>
      <c r="C3" s="2" t="inlineStr">
        <is>
          <t>2025-01</t>
        </is>
      </c>
      <c r="D3" s="2" t="inlineStr">
        <is>
          <t>2025-02</t>
        </is>
      </c>
      <c r="E3" s="2" t="inlineStr">
        <is>
          <t>2025-03</t>
        </is>
      </c>
      <c r="F3" s="2" t="inlineStr">
        <is>
          <t>2025-04</t>
        </is>
      </c>
      <c r="G3" s="2" t="inlineStr">
        <is>
          <t>2025-05</t>
        </is>
      </c>
      <c r="H3" s="2" t="inlineStr">
        <is>
          <t>2025-06</t>
        </is>
      </c>
      <c r="I3" s="2" t="inlineStr">
        <is>
          <t>2025-07</t>
        </is>
      </c>
      <c r="J3" s="2" t="inlineStr">
        <is>
          <t>2025-08</t>
        </is>
      </c>
      <c r="K3" s="2" t="inlineStr">
        <is>
          <t>2025-09</t>
        </is>
      </c>
      <c r="L3" s="2" t="inlineStr">
        <is>
          <t>2025-10</t>
        </is>
      </c>
      <c r="M3" s="2" t="inlineStr">
        <is>
          <t>2025-11</t>
        </is>
      </c>
      <c r="N3" s="2" t="inlineStr">
        <is>
          <t>2025-12</t>
        </is>
      </c>
      <c r="O3" s="2" t="inlineStr">
        <is>
          <t>2026-01</t>
        </is>
      </c>
      <c r="P3" s="2" t="inlineStr">
        <is>
          <t>2026-02</t>
        </is>
      </c>
      <c r="Q3" s="2" t="inlineStr">
        <is>
          <t>2026-03</t>
        </is>
      </c>
      <c r="R3" s="2" t="inlineStr">
        <is>
          <t>2026-04</t>
        </is>
      </c>
      <c r="S3" s="2" t="inlineStr">
        <is>
          <t>2026-05</t>
        </is>
      </c>
      <c r="T3" s="2" t="inlineStr">
        <is>
          <t>2026-06</t>
        </is>
      </c>
      <c r="U3" s="2" t="inlineStr">
        <is>
          <t>2026-07</t>
        </is>
      </c>
      <c r="V3" s="2" t="inlineStr">
        <is>
          <t>2026-08</t>
        </is>
      </c>
      <c r="W3" s="2" t="inlineStr">
        <is>
          <t>2026-09</t>
        </is>
      </c>
      <c r="X3" s="2" t="inlineStr">
        <is>
          <t>2026-10</t>
        </is>
      </c>
      <c r="Y3" s="2" t="inlineStr">
        <is>
          <t>2026-11</t>
        </is>
      </c>
      <c r="Z3" s="2" t="inlineStr">
        <is>
          <t>2026-12</t>
        </is>
      </c>
    </row>
    <row r="4">
      <c r="A4" s="64" t="inlineStr">
        <is>
          <t>INGRESOS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9" t="inlineStr">
        <is>
          <t>2.1</t>
        </is>
      </c>
      <c r="B5" s="10" t="inlineStr">
        <is>
          <t xml:space="preserve">  Ventas HoReCa</t>
        </is>
      </c>
      <c r="C5" s="11">
        <f>SUMIFS('1. INGRESOS'!$E:$E,'1. INGRESOS'!$I:$I,$A5,'1. INGRESOS'!$B:$B,C$3)</f>
        <v/>
      </c>
      <c r="D5" s="11">
        <f>SUMIFS('1. INGRESOS'!$E:$E,'1. INGRESOS'!$I:$I,$A5,'1. INGRESOS'!$B:$B,D$3)</f>
        <v/>
      </c>
      <c r="E5" s="11">
        <f>SUMIFS('1. INGRESOS'!$E:$E,'1. INGRESOS'!$I:$I,$A5,'1. INGRESOS'!$B:$B,E$3)</f>
        <v/>
      </c>
      <c r="F5" s="11">
        <f>SUMIFS('1. INGRESOS'!$E:$E,'1. INGRESOS'!$I:$I,$A5,'1. INGRESOS'!$B:$B,F$3)</f>
        <v/>
      </c>
      <c r="G5" s="11">
        <f>SUMIFS('1. INGRESOS'!$E:$E,'1. INGRESOS'!$I:$I,$A5,'1. INGRESOS'!$B:$B,G$3)</f>
        <v/>
      </c>
      <c r="H5" s="11">
        <f>SUMIFS('1. INGRESOS'!$E:$E,'1. INGRESOS'!$I:$I,$A5,'1. INGRESOS'!$B:$B,H$3)</f>
        <v/>
      </c>
      <c r="I5" s="11">
        <f>SUMIFS('1. INGRESOS'!$E:$E,'1. INGRESOS'!$I:$I,$A5,'1. INGRESOS'!$B:$B,I$3)</f>
        <v/>
      </c>
      <c r="J5" s="11">
        <f>SUMIFS('1. INGRESOS'!$E:$E,'1. INGRESOS'!$I:$I,$A5,'1. INGRESOS'!$B:$B,J$3)</f>
        <v/>
      </c>
      <c r="K5" s="11">
        <f>SUMIFS('1. INGRESOS'!$E:$E,'1. INGRESOS'!$I:$I,$A5,'1. INGRESOS'!$B:$B,K$3)</f>
        <v/>
      </c>
      <c r="L5" s="11">
        <f>SUMIFS('1. INGRESOS'!$E:$E,'1. INGRESOS'!$I:$I,$A5,'1. INGRESOS'!$B:$B,L$3)</f>
        <v/>
      </c>
      <c r="M5" s="11">
        <f>SUMIFS('1. INGRESOS'!$E:$E,'1. INGRESOS'!$I:$I,$A5,'1. INGRESOS'!$B:$B,M$3)</f>
        <v/>
      </c>
      <c r="N5" s="11">
        <f>SUMIFS('1. INGRESOS'!$E:$E,'1. INGRESOS'!$I:$I,$A5,'1. INGRESOS'!$B:$B,N$3)</f>
        <v/>
      </c>
      <c r="O5" s="11">
        <f>SUMIFS('1. INGRESOS'!$E:$E,'1. INGRESOS'!$I:$I,$A5,'1. INGRESOS'!$B:$B,O$3)</f>
        <v/>
      </c>
      <c r="P5" s="11">
        <f>SUMIFS('1. INGRESOS'!$E:$E,'1. INGRESOS'!$I:$I,$A5,'1. INGRESOS'!$B:$B,P$3)</f>
        <v/>
      </c>
      <c r="Q5" s="11">
        <f>SUMIFS('1. INGRESOS'!$E:$E,'1. INGRESOS'!$I:$I,$A5,'1. INGRESOS'!$B:$B,Q$3)</f>
        <v/>
      </c>
      <c r="R5" s="11">
        <f>SUMIFS('1. INGRESOS'!$E:$E,'1. INGRESOS'!$I:$I,$A5,'1. INGRESOS'!$B:$B,R$3)</f>
        <v/>
      </c>
      <c r="S5" s="11">
        <f>SUMIFS('1. INGRESOS'!$E:$E,'1. INGRESOS'!$I:$I,$A5,'1. INGRESOS'!$B:$B,S$3)</f>
        <v/>
      </c>
      <c r="T5" s="11">
        <f>SUMIFS('1. INGRESOS'!$E:$E,'1. INGRESOS'!$I:$I,$A5,'1. INGRESOS'!$B:$B,T$3)</f>
        <v/>
      </c>
      <c r="U5" s="11">
        <f>SUMIFS('1. INGRESOS'!$E:$E,'1. INGRESOS'!$I:$I,$A5,'1. INGRESOS'!$B:$B,U$3)</f>
        <v/>
      </c>
      <c r="V5" s="11">
        <f>SUMIFS('1. INGRESOS'!$E:$E,'1. INGRESOS'!$I:$I,$A5,'1. INGRESOS'!$B:$B,V$3)</f>
        <v/>
      </c>
      <c r="W5" s="11">
        <f>SUMIFS('1. INGRESOS'!$E:$E,'1. INGRESOS'!$I:$I,$A5,'1. INGRESOS'!$B:$B,W$3)</f>
        <v/>
      </c>
      <c r="X5" s="11">
        <f>SUMIFS('1. INGRESOS'!$E:$E,'1. INGRESOS'!$I:$I,$A5,'1. INGRESOS'!$B:$B,X$3)</f>
        <v/>
      </c>
      <c r="Y5" s="11">
        <f>SUMIFS('1. INGRESOS'!$E:$E,'1. INGRESOS'!$I:$I,$A5,'1. INGRESOS'!$B:$B,Y$3)</f>
        <v/>
      </c>
      <c r="Z5" s="11">
        <f>SUMIFS('1. INGRESOS'!$E:$E,'1. INGRESOS'!$I:$I,$A5,'1. INGRESOS'!$B:$B,Z$3)</f>
        <v/>
      </c>
    </row>
    <row r="6">
      <c r="A6" s="6" t="inlineStr">
        <is>
          <t>2.2</t>
        </is>
      </c>
      <c r="B6" s="7" t="inlineStr">
        <is>
          <t xml:space="preserve">  Ventas Personas (B2C)</t>
        </is>
      </c>
      <c r="C6" s="11">
        <f>SUMIFS('1. INGRESOS'!$E:$E,'1. INGRESOS'!$I:$I,$A6,'1. INGRESOS'!$B:$B,C$3)</f>
        <v/>
      </c>
      <c r="D6" s="11">
        <f>SUMIFS('1. INGRESOS'!$E:$E,'1. INGRESOS'!$I:$I,$A6,'1. INGRESOS'!$B:$B,D$3)</f>
        <v/>
      </c>
      <c r="E6" s="11">
        <f>SUMIFS('1. INGRESOS'!$E:$E,'1. INGRESOS'!$I:$I,$A6,'1. INGRESOS'!$B:$B,E$3)</f>
        <v/>
      </c>
      <c r="F6" s="11">
        <f>SUMIFS('1. INGRESOS'!$E:$E,'1. INGRESOS'!$I:$I,$A6,'1. INGRESOS'!$B:$B,F$3)</f>
        <v/>
      </c>
      <c r="G6" s="11">
        <f>SUMIFS('1. INGRESOS'!$E:$E,'1. INGRESOS'!$I:$I,$A6,'1. INGRESOS'!$B:$B,G$3)</f>
        <v/>
      </c>
      <c r="H6" s="11">
        <f>SUMIFS('1. INGRESOS'!$E:$E,'1. INGRESOS'!$I:$I,$A6,'1. INGRESOS'!$B:$B,H$3)</f>
        <v/>
      </c>
      <c r="I6" s="11">
        <f>SUMIFS('1. INGRESOS'!$E:$E,'1. INGRESOS'!$I:$I,$A6,'1. INGRESOS'!$B:$B,I$3)</f>
        <v/>
      </c>
      <c r="J6" s="11">
        <f>SUMIFS('1. INGRESOS'!$E:$E,'1. INGRESOS'!$I:$I,$A6,'1. INGRESOS'!$B:$B,J$3)</f>
        <v/>
      </c>
      <c r="K6" s="11">
        <f>SUMIFS('1. INGRESOS'!$E:$E,'1. INGRESOS'!$I:$I,$A6,'1. INGRESOS'!$B:$B,K$3)</f>
        <v/>
      </c>
      <c r="L6" s="11">
        <f>SUMIFS('1. INGRESOS'!$E:$E,'1. INGRESOS'!$I:$I,$A6,'1. INGRESOS'!$B:$B,L$3)</f>
        <v/>
      </c>
      <c r="M6" s="11">
        <f>SUMIFS('1. INGRESOS'!$E:$E,'1. INGRESOS'!$I:$I,$A6,'1. INGRESOS'!$B:$B,M$3)</f>
        <v/>
      </c>
      <c r="N6" s="11">
        <f>SUMIFS('1. INGRESOS'!$E:$E,'1. INGRESOS'!$I:$I,$A6,'1. INGRESOS'!$B:$B,N$3)</f>
        <v/>
      </c>
      <c r="O6" s="11">
        <f>SUMIFS('1. INGRESOS'!$E:$E,'1. INGRESOS'!$I:$I,$A6,'1. INGRESOS'!$B:$B,O$3)</f>
        <v/>
      </c>
      <c r="P6" s="11">
        <f>SUMIFS('1. INGRESOS'!$E:$E,'1. INGRESOS'!$I:$I,$A6,'1. INGRESOS'!$B:$B,P$3)</f>
        <v/>
      </c>
      <c r="Q6" s="11">
        <f>SUMIFS('1. INGRESOS'!$E:$E,'1. INGRESOS'!$I:$I,$A6,'1. INGRESOS'!$B:$B,Q$3)</f>
        <v/>
      </c>
      <c r="R6" s="11">
        <f>SUMIFS('1. INGRESOS'!$E:$E,'1. INGRESOS'!$I:$I,$A6,'1. INGRESOS'!$B:$B,R$3)</f>
        <v/>
      </c>
      <c r="S6" s="11">
        <f>SUMIFS('1. INGRESOS'!$E:$E,'1. INGRESOS'!$I:$I,$A6,'1. INGRESOS'!$B:$B,S$3)</f>
        <v/>
      </c>
      <c r="T6" s="11">
        <f>SUMIFS('1. INGRESOS'!$E:$E,'1. INGRESOS'!$I:$I,$A6,'1. INGRESOS'!$B:$B,T$3)</f>
        <v/>
      </c>
      <c r="U6" s="11">
        <f>SUMIFS('1. INGRESOS'!$E:$E,'1. INGRESOS'!$I:$I,$A6,'1. INGRESOS'!$B:$B,U$3)</f>
        <v/>
      </c>
      <c r="V6" s="11">
        <f>SUMIFS('1. INGRESOS'!$E:$E,'1. INGRESOS'!$I:$I,$A6,'1. INGRESOS'!$B:$B,V$3)</f>
        <v/>
      </c>
      <c r="W6" s="11">
        <f>SUMIFS('1. INGRESOS'!$E:$E,'1. INGRESOS'!$I:$I,$A6,'1. INGRESOS'!$B:$B,W$3)</f>
        <v/>
      </c>
      <c r="X6" s="11">
        <f>SUMIFS('1. INGRESOS'!$E:$E,'1. INGRESOS'!$I:$I,$A6,'1. INGRESOS'!$B:$B,X$3)</f>
        <v/>
      </c>
      <c r="Y6" s="11">
        <f>SUMIFS('1. INGRESOS'!$E:$E,'1. INGRESOS'!$I:$I,$A6,'1. INGRESOS'!$B:$B,Y$3)</f>
        <v/>
      </c>
      <c r="Z6" s="11">
        <f>SUMIFS('1. INGRESOS'!$E:$E,'1. INGRESOS'!$I:$I,$A6,'1. INGRESOS'!$B:$B,Z$3)</f>
        <v/>
      </c>
    </row>
    <row r="7">
      <c r="A7" s="9" t="inlineStr">
        <is>
          <t>2.3</t>
        </is>
      </c>
      <c r="B7" s="10" t="inlineStr">
        <is>
          <t xml:space="preserve">  Ventas Carrito</t>
        </is>
      </c>
      <c r="C7" s="11">
        <f>SUMIFS('1. INGRESOS'!$E:$E,'1. INGRESOS'!$I:$I,$A7,'1. INGRESOS'!$B:$B,C$3)</f>
        <v/>
      </c>
      <c r="D7" s="11">
        <f>SUMIFS('1. INGRESOS'!$E:$E,'1. INGRESOS'!$I:$I,$A7,'1. INGRESOS'!$B:$B,D$3)</f>
        <v/>
      </c>
      <c r="E7" s="11">
        <f>SUMIFS('1. INGRESOS'!$E:$E,'1. INGRESOS'!$I:$I,$A7,'1. INGRESOS'!$B:$B,E$3)</f>
        <v/>
      </c>
      <c r="F7" s="11">
        <f>SUMIFS('1. INGRESOS'!$E:$E,'1. INGRESOS'!$I:$I,$A7,'1. INGRESOS'!$B:$B,F$3)</f>
        <v/>
      </c>
      <c r="G7" s="11">
        <f>SUMIFS('1. INGRESOS'!$E:$E,'1. INGRESOS'!$I:$I,$A7,'1. INGRESOS'!$B:$B,G$3)</f>
        <v/>
      </c>
      <c r="H7" s="11">
        <f>SUMIFS('1. INGRESOS'!$E:$E,'1. INGRESOS'!$I:$I,$A7,'1. INGRESOS'!$B:$B,H$3)</f>
        <v/>
      </c>
      <c r="I7" s="11">
        <f>SUMIFS('1. INGRESOS'!$E:$E,'1. INGRESOS'!$I:$I,$A7,'1. INGRESOS'!$B:$B,I$3)</f>
        <v/>
      </c>
      <c r="J7" s="11">
        <f>SUMIFS('1. INGRESOS'!$E:$E,'1. INGRESOS'!$I:$I,$A7,'1. INGRESOS'!$B:$B,J$3)</f>
        <v/>
      </c>
      <c r="K7" s="11">
        <f>SUMIFS('1. INGRESOS'!$E:$E,'1. INGRESOS'!$I:$I,$A7,'1. INGRESOS'!$B:$B,K$3)</f>
        <v/>
      </c>
      <c r="L7" s="11">
        <f>SUMIFS('1. INGRESOS'!$E:$E,'1. INGRESOS'!$I:$I,$A7,'1. INGRESOS'!$B:$B,L$3)</f>
        <v/>
      </c>
      <c r="M7" s="11">
        <f>SUMIFS('1. INGRESOS'!$E:$E,'1. INGRESOS'!$I:$I,$A7,'1. INGRESOS'!$B:$B,M$3)</f>
        <v/>
      </c>
      <c r="N7" s="11">
        <f>SUMIFS('1. INGRESOS'!$E:$E,'1. INGRESOS'!$I:$I,$A7,'1. INGRESOS'!$B:$B,N$3)</f>
        <v/>
      </c>
      <c r="O7" s="11">
        <f>SUMIFS('1. INGRESOS'!$E:$E,'1. INGRESOS'!$I:$I,$A7,'1. INGRESOS'!$B:$B,O$3)</f>
        <v/>
      </c>
      <c r="P7" s="11">
        <f>SUMIFS('1. INGRESOS'!$E:$E,'1. INGRESOS'!$I:$I,$A7,'1. INGRESOS'!$B:$B,P$3)</f>
        <v/>
      </c>
      <c r="Q7" s="11">
        <f>SUMIFS('1. INGRESOS'!$E:$E,'1. INGRESOS'!$I:$I,$A7,'1. INGRESOS'!$B:$B,Q$3)</f>
        <v/>
      </c>
      <c r="R7" s="11">
        <f>SUMIFS('1. INGRESOS'!$E:$E,'1. INGRESOS'!$I:$I,$A7,'1. INGRESOS'!$B:$B,R$3)</f>
        <v/>
      </c>
      <c r="S7" s="11">
        <f>SUMIFS('1. INGRESOS'!$E:$E,'1. INGRESOS'!$I:$I,$A7,'1. INGRESOS'!$B:$B,S$3)</f>
        <v/>
      </c>
      <c r="T7" s="11">
        <f>SUMIFS('1. INGRESOS'!$E:$E,'1. INGRESOS'!$I:$I,$A7,'1. INGRESOS'!$B:$B,T$3)</f>
        <v/>
      </c>
      <c r="U7" s="11">
        <f>SUMIFS('1. INGRESOS'!$E:$E,'1. INGRESOS'!$I:$I,$A7,'1. INGRESOS'!$B:$B,U$3)</f>
        <v/>
      </c>
      <c r="V7" s="11">
        <f>SUMIFS('1. INGRESOS'!$E:$E,'1. INGRESOS'!$I:$I,$A7,'1. INGRESOS'!$B:$B,V$3)</f>
        <v/>
      </c>
      <c r="W7" s="11">
        <f>SUMIFS('1. INGRESOS'!$E:$E,'1. INGRESOS'!$I:$I,$A7,'1. INGRESOS'!$B:$B,W$3)</f>
        <v/>
      </c>
      <c r="X7" s="11">
        <f>SUMIFS('1. INGRESOS'!$E:$E,'1. INGRESOS'!$I:$I,$A7,'1. INGRESOS'!$B:$B,X$3)</f>
        <v/>
      </c>
      <c r="Y7" s="11">
        <f>SUMIFS('1. INGRESOS'!$E:$E,'1. INGRESOS'!$I:$I,$A7,'1. INGRESOS'!$B:$B,Y$3)</f>
        <v/>
      </c>
      <c r="Z7" s="11">
        <f>SUMIFS('1. INGRESOS'!$E:$E,'1. INGRESOS'!$I:$I,$A7,'1. INGRESOS'!$B:$B,Z$3)</f>
        <v/>
      </c>
    </row>
    <row r="8">
      <c r="A8" s="6" t="inlineStr">
        <is>
          <t>2.4</t>
        </is>
      </c>
      <c r="B8" s="10" t="inlineStr">
        <is>
          <t xml:space="preserve">  Ventas Ferias</t>
        </is>
      </c>
      <c r="C8" s="11">
        <f>SUMIFS('1. INGRESOS'!$E:$E,'1. INGRESOS'!$I:$I,$A8,'1. INGRESOS'!$B:$B,C$3)</f>
        <v/>
      </c>
      <c r="D8" s="11">
        <f>SUMIFS('1. INGRESOS'!$E:$E,'1. INGRESOS'!$I:$I,$A8,'1. INGRESOS'!$B:$B,D$3)</f>
        <v/>
      </c>
      <c r="E8" s="11">
        <f>SUMIFS('1. INGRESOS'!$E:$E,'1. INGRESOS'!$I:$I,$A8,'1. INGRESOS'!$B:$B,E$3)</f>
        <v/>
      </c>
      <c r="F8" s="11">
        <f>SUMIFS('1. INGRESOS'!$E:$E,'1. INGRESOS'!$I:$I,$A8,'1. INGRESOS'!$B:$B,F$3)</f>
        <v/>
      </c>
      <c r="G8" s="11">
        <f>SUMIFS('1. INGRESOS'!$E:$E,'1. INGRESOS'!$I:$I,$A8,'1. INGRESOS'!$B:$B,G$3)</f>
        <v/>
      </c>
      <c r="H8" s="11">
        <f>SUMIFS('1. INGRESOS'!$E:$E,'1. INGRESOS'!$I:$I,$A8,'1. INGRESOS'!$B:$B,H$3)</f>
        <v/>
      </c>
      <c r="I8" s="11">
        <f>SUMIFS('1. INGRESOS'!$E:$E,'1. INGRESOS'!$I:$I,$A8,'1. INGRESOS'!$B:$B,I$3)</f>
        <v/>
      </c>
      <c r="J8" s="11">
        <f>SUMIFS('1. INGRESOS'!$E:$E,'1. INGRESOS'!$I:$I,$A8,'1. INGRESOS'!$B:$B,J$3)</f>
        <v/>
      </c>
      <c r="K8" s="11">
        <f>SUMIFS('1. INGRESOS'!$E:$E,'1. INGRESOS'!$I:$I,$A8,'1. INGRESOS'!$B:$B,K$3)</f>
        <v/>
      </c>
      <c r="L8" s="11">
        <f>SUMIFS('1. INGRESOS'!$E:$E,'1. INGRESOS'!$I:$I,$A8,'1. INGRESOS'!$B:$B,L$3)</f>
        <v/>
      </c>
      <c r="M8" s="11">
        <f>SUMIFS('1. INGRESOS'!$E:$E,'1. INGRESOS'!$I:$I,$A8,'1. INGRESOS'!$B:$B,M$3)</f>
        <v/>
      </c>
      <c r="N8" s="11">
        <f>SUMIFS('1. INGRESOS'!$E:$E,'1. INGRESOS'!$I:$I,$A8,'1. INGRESOS'!$B:$B,N$3)</f>
        <v/>
      </c>
      <c r="O8" s="11">
        <f>SUMIFS('1. INGRESOS'!$E:$E,'1. INGRESOS'!$I:$I,$A8,'1. INGRESOS'!$B:$B,O$3)</f>
        <v/>
      </c>
      <c r="P8" s="11">
        <f>SUMIFS('1. INGRESOS'!$E:$E,'1. INGRESOS'!$I:$I,$A8,'1. INGRESOS'!$B:$B,P$3)</f>
        <v/>
      </c>
      <c r="Q8" s="11">
        <f>SUMIFS('1. INGRESOS'!$E:$E,'1. INGRESOS'!$I:$I,$A8,'1. INGRESOS'!$B:$B,Q$3)</f>
        <v/>
      </c>
      <c r="R8" s="11">
        <f>SUMIFS('1. INGRESOS'!$E:$E,'1. INGRESOS'!$I:$I,$A8,'1. INGRESOS'!$B:$B,R$3)</f>
        <v/>
      </c>
      <c r="S8" s="11">
        <f>SUMIFS('1. INGRESOS'!$E:$E,'1. INGRESOS'!$I:$I,$A8,'1. INGRESOS'!$B:$B,S$3)</f>
        <v/>
      </c>
      <c r="T8" s="11">
        <f>SUMIFS('1. INGRESOS'!$E:$E,'1. INGRESOS'!$I:$I,$A8,'1. INGRESOS'!$B:$B,T$3)</f>
        <v/>
      </c>
      <c r="U8" s="11">
        <f>SUMIFS('1. INGRESOS'!$E:$E,'1. INGRESOS'!$I:$I,$A8,'1. INGRESOS'!$B:$B,U$3)</f>
        <v/>
      </c>
      <c r="V8" s="11">
        <f>SUMIFS('1. INGRESOS'!$E:$E,'1. INGRESOS'!$I:$I,$A8,'1. INGRESOS'!$B:$B,V$3)</f>
        <v/>
      </c>
      <c r="W8" s="11">
        <f>SUMIFS('1. INGRESOS'!$E:$E,'1. INGRESOS'!$I:$I,$A8,'1. INGRESOS'!$B:$B,W$3)</f>
        <v/>
      </c>
      <c r="X8" s="11">
        <f>SUMIFS('1. INGRESOS'!$E:$E,'1. INGRESOS'!$I:$I,$A8,'1. INGRESOS'!$B:$B,X$3)</f>
        <v/>
      </c>
      <c r="Y8" s="11">
        <f>SUMIFS('1. INGRESOS'!$E:$E,'1. INGRESOS'!$I:$I,$A8,'1. INGRESOS'!$B:$B,Y$3)</f>
        <v/>
      </c>
      <c r="Z8" s="11">
        <f>SUMIFS('1. INGRESOS'!$E:$E,'1. INGRESOS'!$I:$I,$A8,'1. INGRESOS'!$B:$B,Z$3)</f>
        <v/>
      </c>
    </row>
    <row r="9">
      <c r="A9" s="9" t="inlineStr">
        <is>
          <t>2.5</t>
        </is>
      </c>
      <c r="B9" s="7" t="inlineStr">
        <is>
          <t xml:space="preserve">  Ventas Delivery Apps</t>
        </is>
      </c>
      <c r="C9" s="11">
        <f>SUMIFS('1. INGRESOS'!$E:$E,'1. INGRESOS'!$I:$I,$A9,'1. INGRESOS'!$B:$B,C$3)</f>
        <v/>
      </c>
      <c r="D9" s="11">
        <f>SUMIFS('1. INGRESOS'!$E:$E,'1. INGRESOS'!$I:$I,$A9,'1. INGRESOS'!$B:$B,D$3)</f>
        <v/>
      </c>
      <c r="E9" s="11">
        <f>SUMIFS('1. INGRESOS'!$E:$E,'1. INGRESOS'!$I:$I,$A9,'1. INGRESOS'!$B:$B,E$3)</f>
        <v/>
      </c>
      <c r="F9" s="11">
        <f>SUMIFS('1. INGRESOS'!$E:$E,'1. INGRESOS'!$I:$I,$A9,'1. INGRESOS'!$B:$B,F$3)</f>
        <v/>
      </c>
      <c r="G9" s="11">
        <f>SUMIFS('1. INGRESOS'!$E:$E,'1. INGRESOS'!$I:$I,$A9,'1. INGRESOS'!$B:$B,G$3)</f>
        <v/>
      </c>
      <c r="H9" s="11">
        <f>SUMIFS('1. INGRESOS'!$E:$E,'1. INGRESOS'!$I:$I,$A9,'1. INGRESOS'!$B:$B,H$3)</f>
        <v/>
      </c>
      <c r="I9" s="11">
        <f>SUMIFS('1. INGRESOS'!$E:$E,'1. INGRESOS'!$I:$I,$A9,'1. INGRESOS'!$B:$B,I$3)</f>
        <v/>
      </c>
      <c r="J9" s="11">
        <f>SUMIFS('1. INGRESOS'!$E:$E,'1. INGRESOS'!$I:$I,$A9,'1. INGRESOS'!$B:$B,J$3)</f>
        <v/>
      </c>
      <c r="K9" s="11">
        <f>SUMIFS('1. INGRESOS'!$E:$E,'1. INGRESOS'!$I:$I,$A9,'1. INGRESOS'!$B:$B,K$3)</f>
        <v/>
      </c>
      <c r="L9" s="11">
        <f>SUMIFS('1. INGRESOS'!$E:$E,'1. INGRESOS'!$I:$I,$A9,'1. INGRESOS'!$B:$B,L$3)</f>
        <v/>
      </c>
      <c r="M9" s="11">
        <f>SUMIFS('1. INGRESOS'!$E:$E,'1. INGRESOS'!$I:$I,$A9,'1. INGRESOS'!$B:$B,M$3)</f>
        <v/>
      </c>
      <c r="N9" s="11">
        <f>SUMIFS('1. INGRESOS'!$E:$E,'1. INGRESOS'!$I:$I,$A9,'1. INGRESOS'!$B:$B,N$3)</f>
        <v/>
      </c>
      <c r="O9" s="11">
        <f>SUMIFS('1. INGRESOS'!$E:$E,'1. INGRESOS'!$I:$I,$A9,'1. INGRESOS'!$B:$B,O$3)</f>
        <v/>
      </c>
      <c r="P9" s="11">
        <f>SUMIFS('1. INGRESOS'!$E:$E,'1. INGRESOS'!$I:$I,$A9,'1. INGRESOS'!$B:$B,P$3)</f>
        <v/>
      </c>
      <c r="Q9" s="11">
        <f>SUMIFS('1. INGRESOS'!$E:$E,'1. INGRESOS'!$I:$I,$A9,'1. INGRESOS'!$B:$B,Q$3)</f>
        <v/>
      </c>
      <c r="R9" s="11">
        <f>SUMIFS('1. INGRESOS'!$E:$E,'1. INGRESOS'!$I:$I,$A9,'1. INGRESOS'!$B:$B,R$3)</f>
        <v/>
      </c>
      <c r="S9" s="11">
        <f>SUMIFS('1. INGRESOS'!$E:$E,'1. INGRESOS'!$I:$I,$A9,'1. INGRESOS'!$B:$B,S$3)</f>
        <v/>
      </c>
      <c r="T9" s="11">
        <f>SUMIFS('1. INGRESOS'!$E:$E,'1. INGRESOS'!$I:$I,$A9,'1. INGRESOS'!$B:$B,T$3)</f>
        <v/>
      </c>
      <c r="U9" s="11">
        <f>SUMIFS('1. INGRESOS'!$E:$E,'1. INGRESOS'!$I:$I,$A9,'1. INGRESOS'!$B:$B,U$3)</f>
        <v/>
      </c>
      <c r="V9" s="11">
        <f>SUMIFS('1. INGRESOS'!$E:$E,'1. INGRESOS'!$I:$I,$A9,'1. INGRESOS'!$B:$B,V$3)</f>
        <v/>
      </c>
      <c r="W9" s="11">
        <f>SUMIFS('1. INGRESOS'!$E:$E,'1. INGRESOS'!$I:$I,$A9,'1. INGRESOS'!$B:$B,W$3)</f>
        <v/>
      </c>
      <c r="X9" s="11">
        <f>SUMIFS('1. INGRESOS'!$E:$E,'1. INGRESOS'!$I:$I,$A9,'1. INGRESOS'!$B:$B,X$3)</f>
        <v/>
      </c>
      <c r="Y9" s="11">
        <f>SUMIFS('1. INGRESOS'!$E:$E,'1. INGRESOS'!$I:$I,$A9,'1. INGRESOS'!$B:$B,Y$3)</f>
        <v/>
      </c>
      <c r="Z9" s="11">
        <f>SUMIFS('1. INGRESOS'!$E:$E,'1. INGRESOS'!$I:$I,$A9,'1. INGRESOS'!$B:$B,Z$3)</f>
        <v/>
      </c>
    </row>
    <row r="10">
      <c r="A10" s="6" t="inlineStr">
        <is>
          <t>2.6</t>
        </is>
      </c>
      <c r="B10" s="10" t="inlineStr">
        <is>
          <t xml:space="preserve">  Otros Ingresos</t>
        </is>
      </c>
      <c r="C10" s="11">
        <f>SUMIFS('1. INGRESOS'!$E:$E,'1. INGRESOS'!$I:$I,$A10,'1. INGRESOS'!$B:$B,C$3)</f>
        <v/>
      </c>
      <c r="D10" s="11">
        <f>SUMIFS('1. INGRESOS'!$E:$E,'1. INGRESOS'!$I:$I,$A10,'1. INGRESOS'!$B:$B,D$3)</f>
        <v/>
      </c>
      <c r="E10" s="11">
        <f>SUMIFS('1. INGRESOS'!$E:$E,'1. INGRESOS'!$I:$I,$A10,'1. INGRESOS'!$B:$B,E$3)</f>
        <v/>
      </c>
      <c r="F10" s="11">
        <f>SUMIFS('1. INGRESOS'!$E:$E,'1. INGRESOS'!$I:$I,$A10,'1. INGRESOS'!$B:$B,F$3)</f>
        <v/>
      </c>
      <c r="G10" s="11">
        <f>SUMIFS('1. INGRESOS'!$E:$E,'1. INGRESOS'!$I:$I,$A10,'1. INGRESOS'!$B:$B,G$3)</f>
        <v/>
      </c>
      <c r="H10" s="11">
        <f>SUMIFS('1. INGRESOS'!$E:$E,'1. INGRESOS'!$I:$I,$A10,'1. INGRESOS'!$B:$B,H$3)</f>
        <v/>
      </c>
      <c r="I10" s="11">
        <f>SUMIFS('1. INGRESOS'!$E:$E,'1. INGRESOS'!$I:$I,$A10,'1. INGRESOS'!$B:$B,I$3)</f>
        <v/>
      </c>
      <c r="J10" s="11">
        <f>SUMIFS('1. INGRESOS'!$E:$E,'1. INGRESOS'!$I:$I,$A10,'1. INGRESOS'!$B:$B,J$3)</f>
        <v/>
      </c>
      <c r="K10" s="11">
        <f>SUMIFS('1. INGRESOS'!$E:$E,'1. INGRESOS'!$I:$I,$A10,'1. INGRESOS'!$B:$B,K$3)</f>
        <v/>
      </c>
      <c r="L10" s="11">
        <f>SUMIFS('1. INGRESOS'!$E:$E,'1. INGRESOS'!$I:$I,$A10,'1. INGRESOS'!$B:$B,L$3)</f>
        <v/>
      </c>
      <c r="M10" s="11">
        <f>SUMIFS('1. INGRESOS'!$E:$E,'1. INGRESOS'!$I:$I,$A10,'1. INGRESOS'!$B:$B,M$3)</f>
        <v/>
      </c>
      <c r="N10" s="11">
        <f>SUMIFS('1. INGRESOS'!$E:$E,'1. INGRESOS'!$I:$I,$A10,'1. INGRESOS'!$B:$B,N$3)</f>
        <v/>
      </c>
      <c r="O10" s="11">
        <f>SUMIFS('1. INGRESOS'!$E:$E,'1. INGRESOS'!$I:$I,$A10,'1. INGRESOS'!$B:$B,O$3)</f>
        <v/>
      </c>
      <c r="P10" s="11">
        <f>SUMIFS('1. INGRESOS'!$E:$E,'1. INGRESOS'!$I:$I,$A10,'1. INGRESOS'!$B:$B,P$3)</f>
        <v/>
      </c>
      <c r="Q10" s="11">
        <f>SUMIFS('1. INGRESOS'!$E:$E,'1. INGRESOS'!$I:$I,$A10,'1. INGRESOS'!$B:$B,Q$3)</f>
        <v/>
      </c>
      <c r="R10" s="11">
        <f>SUMIFS('1. INGRESOS'!$E:$E,'1. INGRESOS'!$I:$I,$A10,'1. INGRESOS'!$B:$B,R$3)</f>
        <v/>
      </c>
      <c r="S10" s="11">
        <f>SUMIFS('1. INGRESOS'!$E:$E,'1. INGRESOS'!$I:$I,$A10,'1. INGRESOS'!$B:$B,S$3)</f>
        <v/>
      </c>
      <c r="T10" s="11">
        <f>SUMIFS('1. INGRESOS'!$E:$E,'1. INGRESOS'!$I:$I,$A10,'1. INGRESOS'!$B:$B,T$3)</f>
        <v/>
      </c>
      <c r="U10" s="11">
        <f>SUMIFS('1. INGRESOS'!$E:$E,'1. INGRESOS'!$I:$I,$A10,'1. INGRESOS'!$B:$B,U$3)</f>
        <v/>
      </c>
      <c r="V10" s="11">
        <f>SUMIFS('1. INGRESOS'!$E:$E,'1. INGRESOS'!$I:$I,$A10,'1. INGRESOS'!$B:$B,V$3)</f>
        <v/>
      </c>
      <c r="W10" s="11">
        <f>SUMIFS('1. INGRESOS'!$E:$E,'1. INGRESOS'!$I:$I,$A10,'1. INGRESOS'!$B:$B,W$3)</f>
        <v/>
      </c>
      <c r="X10" s="11">
        <f>SUMIFS('1. INGRESOS'!$E:$E,'1. INGRESOS'!$I:$I,$A10,'1. INGRESOS'!$B:$B,X$3)</f>
        <v/>
      </c>
      <c r="Y10" s="11">
        <f>SUMIFS('1. INGRESOS'!$E:$E,'1. INGRESOS'!$I:$I,$A10,'1. INGRESOS'!$B:$B,Y$3)</f>
        <v/>
      </c>
      <c r="Z10" s="11">
        <f>SUMIFS('1. INGRESOS'!$E:$E,'1. INGRESOS'!$I:$I,$A10,'1. INGRESOS'!$B:$B,Z$3)</f>
        <v/>
      </c>
    </row>
    <row r="11">
      <c r="A11" s="9" t="inlineStr">
        <is>
          <t>2.7</t>
        </is>
      </c>
      <c r="B11" s="10" t="inlineStr">
        <is>
          <t xml:space="preserve">  Descuentos y devoluciones</t>
        </is>
      </c>
      <c r="C11" s="11">
        <f>SUMIFS('1. INGRESOS'!$E:$E,'1. INGRESOS'!$I:$I,$A11,'1. INGRESOS'!$B:$B,C$3)</f>
        <v/>
      </c>
      <c r="D11" s="11">
        <f>SUMIFS('1. INGRESOS'!$E:$E,'1. INGRESOS'!$I:$I,$A11,'1. INGRESOS'!$B:$B,D$3)</f>
        <v/>
      </c>
      <c r="E11" s="11">
        <f>SUMIFS('1. INGRESOS'!$E:$E,'1. INGRESOS'!$I:$I,$A11,'1. INGRESOS'!$B:$B,E$3)</f>
        <v/>
      </c>
      <c r="F11" s="11">
        <f>SUMIFS('1. INGRESOS'!$E:$E,'1. INGRESOS'!$I:$I,$A11,'1. INGRESOS'!$B:$B,F$3)</f>
        <v/>
      </c>
      <c r="G11" s="11">
        <f>SUMIFS('1. INGRESOS'!$E:$E,'1. INGRESOS'!$I:$I,$A11,'1. INGRESOS'!$B:$B,G$3)</f>
        <v/>
      </c>
      <c r="H11" s="11">
        <f>SUMIFS('1. INGRESOS'!$E:$E,'1. INGRESOS'!$I:$I,$A11,'1. INGRESOS'!$B:$B,H$3)</f>
        <v/>
      </c>
      <c r="I11" s="11">
        <f>SUMIFS('1. INGRESOS'!$E:$E,'1. INGRESOS'!$I:$I,$A11,'1. INGRESOS'!$B:$B,I$3)</f>
        <v/>
      </c>
      <c r="J11" s="11">
        <f>SUMIFS('1. INGRESOS'!$E:$E,'1. INGRESOS'!$I:$I,$A11,'1. INGRESOS'!$B:$B,J$3)</f>
        <v/>
      </c>
      <c r="K11" s="11">
        <f>SUMIFS('1. INGRESOS'!$E:$E,'1. INGRESOS'!$I:$I,$A11,'1. INGRESOS'!$B:$B,K$3)</f>
        <v/>
      </c>
      <c r="L11" s="11">
        <f>SUMIFS('1. INGRESOS'!$E:$E,'1. INGRESOS'!$I:$I,$A11,'1. INGRESOS'!$B:$B,L$3)</f>
        <v/>
      </c>
      <c r="M11" s="11">
        <f>SUMIFS('1. INGRESOS'!$E:$E,'1. INGRESOS'!$I:$I,$A11,'1. INGRESOS'!$B:$B,M$3)</f>
        <v/>
      </c>
      <c r="N11" s="11">
        <f>SUMIFS('1. INGRESOS'!$E:$E,'1. INGRESOS'!$I:$I,$A11,'1. INGRESOS'!$B:$B,N$3)</f>
        <v/>
      </c>
      <c r="O11" s="11">
        <f>SUMIFS('1. INGRESOS'!$E:$E,'1. INGRESOS'!$I:$I,$A11,'1. INGRESOS'!$B:$B,O$3)</f>
        <v/>
      </c>
      <c r="P11" s="11">
        <f>SUMIFS('1. INGRESOS'!$E:$E,'1. INGRESOS'!$I:$I,$A11,'1. INGRESOS'!$B:$B,P$3)</f>
        <v/>
      </c>
      <c r="Q11" s="11">
        <f>SUMIFS('1. INGRESOS'!$E:$E,'1. INGRESOS'!$I:$I,$A11,'1. INGRESOS'!$B:$B,Q$3)</f>
        <v/>
      </c>
      <c r="R11" s="11">
        <f>SUMIFS('1. INGRESOS'!$E:$E,'1. INGRESOS'!$I:$I,$A11,'1. INGRESOS'!$B:$B,R$3)</f>
        <v/>
      </c>
      <c r="S11" s="11">
        <f>SUMIFS('1. INGRESOS'!$E:$E,'1. INGRESOS'!$I:$I,$A11,'1. INGRESOS'!$B:$B,S$3)</f>
        <v/>
      </c>
      <c r="T11" s="11">
        <f>SUMIFS('1. INGRESOS'!$E:$E,'1. INGRESOS'!$I:$I,$A11,'1. INGRESOS'!$B:$B,T$3)</f>
        <v/>
      </c>
      <c r="U11" s="11">
        <f>SUMIFS('1. INGRESOS'!$E:$E,'1. INGRESOS'!$I:$I,$A11,'1. INGRESOS'!$B:$B,U$3)</f>
        <v/>
      </c>
      <c r="V11" s="11">
        <f>SUMIFS('1. INGRESOS'!$E:$E,'1. INGRESOS'!$I:$I,$A11,'1. INGRESOS'!$B:$B,V$3)</f>
        <v/>
      </c>
      <c r="W11" s="11">
        <f>SUMIFS('1. INGRESOS'!$E:$E,'1. INGRESOS'!$I:$I,$A11,'1. INGRESOS'!$B:$B,W$3)</f>
        <v/>
      </c>
      <c r="X11" s="11">
        <f>SUMIFS('1. INGRESOS'!$E:$E,'1. INGRESOS'!$I:$I,$A11,'1. INGRESOS'!$B:$B,X$3)</f>
        <v/>
      </c>
      <c r="Y11" s="11">
        <f>SUMIFS('1. INGRESOS'!$E:$E,'1. INGRESOS'!$I:$I,$A11,'1. INGRESOS'!$B:$B,Y$3)</f>
        <v/>
      </c>
      <c r="Z11" s="11">
        <f>SUMIFS('1. INGRESOS'!$E:$E,'1. INGRESOS'!$I:$I,$A11,'1. INGRESOS'!$B:$B,Z$3)</f>
        <v/>
      </c>
    </row>
    <row r="12">
      <c r="A12" s="35" t="inlineStr">
        <is>
          <t>TOTAL INGRESOS</t>
        </is>
      </c>
      <c r="B12" s="25" t="n"/>
      <c r="C12" s="14">
        <f>SUM(C5:C10)</f>
        <v/>
      </c>
      <c r="D12" s="14">
        <f>SUM(D5:D10)</f>
        <v/>
      </c>
      <c r="E12" s="14">
        <f>SUM(E5:E10)</f>
        <v/>
      </c>
      <c r="F12" s="14">
        <f>SUM(F5:F10)</f>
        <v/>
      </c>
      <c r="G12" s="14">
        <f>SUM(G5:G10)</f>
        <v/>
      </c>
      <c r="H12" s="14">
        <f>SUM(H5:H10)</f>
        <v/>
      </c>
      <c r="I12" s="14">
        <f>SUM(I5:I10)</f>
        <v/>
      </c>
      <c r="J12" s="14">
        <f>SUM(J5:J10)</f>
        <v/>
      </c>
      <c r="K12" s="14">
        <f>SUM(K5:K10)</f>
        <v/>
      </c>
      <c r="L12" s="14">
        <f>SUM(L5:L10)</f>
        <v/>
      </c>
      <c r="M12" s="14">
        <f>SUM(M5:M10)</f>
        <v/>
      </c>
      <c r="N12" s="14">
        <f>SUM(N5:N10)</f>
        <v/>
      </c>
      <c r="O12" s="14">
        <f>SUM(O5:O10)</f>
        <v/>
      </c>
      <c r="P12" s="14">
        <f>SUM(P5:P10)</f>
        <v/>
      </c>
      <c r="Q12" s="14">
        <f>SUM(Q5:Q10)</f>
        <v/>
      </c>
      <c r="R12" s="14">
        <f>SUM(R5:R10)</f>
        <v/>
      </c>
      <c r="S12" s="14">
        <f>SUM(S5:S10)</f>
        <v/>
      </c>
      <c r="T12" s="14">
        <f>SUM(T5:T10)</f>
        <v/>
      </c>
      <c r="U12" s="14">
        <f>SUM(U5:U10)</f>
        <v/>
      </c>
      <c r="V12" s="14">
        <f>SUM(V5:V10)</f>
        <v/>
      </c>
      <c r="W12" s="14">
        <f>SUM(W5:W10)</f>
        <v/>
      </c>
      <c r="X12" s="14">
        <f>SUM(X5:X10)</f>
        <v/>
      </c>
      <c r="Y12" s="14">
        <f>SUM(Y5:Y10)</f>
        <v/>
      </c>
      <c r="Z12" s="14">
        <f>SUM(Z5:Z10)</f>
        <v/>
      </c>
    </row>
    <row r="13">
      <c r="A13" s="71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>
      <c r="A14" s="3" t="inlineStr">
        <is>
          <t>CC1</t>
        </is>
      </c>
      <c r="B14" s="4" t="inlineStr">
        <is>
          <t>Costos de Producto</t>
        </is>
      </c>
      <c r="C14" s="5">
        <f>+SUBTOTAL(9,C15:C17)</f>
        <v/>
      </c>
      <c r="D14" s="5">
        <f>+SUBTOTAL(9,D15:D17)</f>
        <v/>
      </c>
      <c r="E14" s="5">
        <f>+SUBTOTAL(9,E15:E17)</f>
        <v/>
      </c>
      <c r="F14" s="5">
        <f>+SUBTOTAL(9,F15:F17)</f>
        <v/>
      </c>
      <c r="G14" s="5">
        <f>+SUBTOTAL(9,G15:G17)</f>
        <v/>
      </c>
      <c r="H14" s="5">
        <f>+SUBTOTAL(9,H15:H17)</f>
        <v/>
      </c>
      <c r="I14" s="5">
        <f>+SUBTOTAL(9,I15:I17)</f>
        <v/>
      </c>
      <c r="J14" s="5">
        <f>+SUBTOTAL(9,J15:J17)</f>
        <v/>
      </c>
      <c r="K14" s="5">
        <f>+SUBTOTAL(9,K15:K17)</f>
        <v/>
      </c>
      <c r="L14" s="5">
        <f>+SUBTOTAL(9,L15:L17)</f>
        <v/>
      </c>
      <c r="M14" s="5">
        <f>+SUBTOTAL(9,M15:M17)</f>
        <v/>
      </c>
      <c r="N14" s="5">
        <f>+SUBTOTAL(9,N15:N17)</f>
        <v/>
      </c>
      <c r="O14" s="5">
        <f>+SUBTOTAL(9,O15:O17)</f>
        <v/>
      </c>
      <c r="P14" s="5">
        <f>+SUBTOTAL(9,P15:P17)</f>
        <v/>
      </c>
      <c r="Q14" s="5">
        <f>+SUBTOTAL(9,Q15:Q17)</f>
        <v/>
      </c>
      <c r="R14" s="5">
        <f>+SUBTOTAL(9,R15:R17)</f>
        <v/>
      </c>
      <c r="S14" s="5">
        <f>+SUBTOTAL(9,S15:S17)</f>
        <v/>
      </c>
      <c r="T14" s="5">
        <f>+SUBTOTAL(9,T15:T17)</f>
        <v/>
      </c>
      <c r="U14" s="5">
        <f>+SUBTOTAL(9,U15:U17)</f>
        <v/>
      </c>
      <c r="V14" s="5">
        <f>+SUBTOTAL(9,V15:V17)</f>
        <v/>
      </c>
      <c r="W14" s="5">
        <f>+SUBTOTAL(9,W15:W17)</f>
        <v/>
      </c>
      <c r="X14" s="5">
        <f>+SUBTOTAL(9,X15:X17)</f>
        <v/>
      </c>
      <c r="Y14" s="5">
        <f>+SUBTOTAL(9,Y15:Y17)</f>
        <v/>
      </c>
      <c r="Z14" s="5">
        <f>+SUBTOTAL(9,Z15:Z17)</f>
        <v/>
      </c>
    </row>
    <row r="15">
      <c r="A15" s="6" t="inlineStr">
        <is>
          <t>1.1.1</t>
        </is>
      </c>
      <c r="B15" s="7" t="inlineStr">
        <is>
          <t xml:space="preserve">  Ingredientes</t>
        </is>
      </c>
      <c r="C15" s="8">
        <f>SUMIFS('2. EGRESOS'!$E:$E,'2. EGRESOS'!$K:$K,$A15,'2. EGRESOS'!$B:$B,C$3)</f>
        <v/>
      </c>
      <c r="D15" s="8">
        <f>SUMIFS('2. EGRESOS'!$E:$E,'2. EGRESOS'!$K:$K,$A15,'2. EGRESOS'!$B:$B,D$3)</f>
        <v/>
      </c>
      <c r="E15" s="8">
        <f>SUMIFS('2. EGRESOS'!$E:$E,'2. EGRESOS'!$K:$K,$A15,'2. EGRESOS'!$B:$B,E$3)</f>
        <v/>
      </c>
      <c r="F15" s="8">
        <f>SUMIFS('2. EGRESOS'!$E:$E,'2. EGRESOS'!$K:$K,$A15,'2. EGRESOS'!$B:$B,F$3)</f>
        <v/>
      </c>
      <c r="G15" s="8">
        <f>SUMIFS('2. EGRESOS'!$E:$E,'2. EGRESOS'!$K:$K,$A15,'2. EGRESOS'!$B:$B,G$3)</f>
        <v/>
      </c>
      <c r="H15" s="8">
        <f>SUMIFS('2. EGRESOS'!$E:$E,'2. EGRESOS'!$K:$K,$A15,'2. EGRESOS'!$B:$B,H$3)</f>
        <v/>
      </c>
      <c r="I15" s="8">
        <f>SUMIFS('2. EGRESOS'!$E:$E,'2. EGRESOS'!$K:$K,$A15,'2. EGRESOS'!$B:$B,I$3)</f>
        <v/>
      </c>
      <c r="J15" s="8">
        <f>SUMIFS('2. EGRESOS'!$E:$E,'2. EGRESOS'!$K:$K,$A15,'2. EGRESOS'!$B:$B,J$3)</f>
        <v/>
      </c>
      <c r="K15" s="8">
        <f>SUMIFS('2. EGRESOS'!$E:$E,'2. EGRESOS'!$K:$K,$A15,'2. EGRESOS'!$B:$B,K$3)</f>
        <v/>
      </c>
      <c r="L15" s="8">
        <f>SUMIFS('2. EGRESOS'!$E:$E,'2. EGRESOS'!$K:$K,$A15,'2. EGRESOS'!$B:$B,L$3)</f>
        <v/>
      </c>
      <c r="M15" s="8">
        <f>SUMIFS('2. EGRESOS'!$E:$E,'2. EGRESOS'!$K:$K,$A15,'2. EGRESOS'!$B:$B,M$3)</f>
        <v/>
      </c>
      <c r="N15" s="8">
        <f>SUMIFS('2. EGRESOS'!$E:$E,'2. EGRESOS'!$K:$K,$A15,'2. EGRESOS'!$B:$B,N$3)</f>
        <v/>
      </c>
      <c r="O15" s="8">
        <f>SUMIFS('2. EGRESOS'!$E:$E,'2. EGRESOS'!$K:$K,$A15,'2. EGRESOS'!$B:$B,O$3)</f>
        <v/>
      </c>
      <c r="P15" s="8">
        <f>SUMIFS('2. EGRESOS'!$E:$E,'2. EGRESOS'!$K:$K,$A15,'2. EGRESOS'!$B:$B,P$3)</f>
        <v/>
      </c>
      <c r="Q15" s="8">
        <f>SUMIFS('2. EGRESOS'!$E:$E,'2. EGRESOS'!$K:$K,$A15,'2. EGRESOS'!$B:$B,Q$3)</f>
        <v/>
      </c>
      <c r="R15" s="8">
        <f>SUMIFS('2. EGRESOS'!$E:$E,'2. EGRESOS'!$K:$K,$A15,'2. EGRESOS'!$B:$B,R$3)</f>
        <v/>
      </c>
      <c r="S15" s="8">
        <f>SUMIFS('2. EGRESOS'!$E:$E,'2. EGRESOS'!$K:$K,$A15,'2. EGRESOS'!$B:$B,S$3)</f>
        <v/>
      </c>
      <c r="T15" s="8">
        <f>SUMIFS('2. EGRESOS'!$E:$E,'2. EGRESOS'!$K:$K,$A15,'2. EGRESOS'!$B:$B,T$3)</f>
        <v/>
      </c>
      <c r="U15" s="8">
        <f>SUMIFS('2. EGRESOS'!$E:$E,'2. EGRESOS'!$K:$K,$A15,'2. EGRESOS'!$B:$B,U$3)</f>
        <v/>
      </c>
      <c r="V15" s="8">
        <f>SUMIFS('2. EGRESOS'!$E:$E,'2. EGRESOS'!$K:$K,$A15,'2. EGRESOS'!$B:$B,V$3)</f>
        <v/>
      </c>
      <c r="W15" s="8">
        <f>SUMIFS('2. EGRESOS'!$E:$E,'2. EGRESOS'!$K:$K,$A15,'2. EGRESOS'!$B:$B,W$3)</f>
        <v/>
      </c>
      <c r="X15" s="8">
        <f>SUMIFS('2. EGRESOS'!$E:$E,'2. EGRESOS'!$K:$K,$A15,'2. EGRESOS'!$B:$B,X$3)</f>
        <v/>
      </c>
      <c r="Y15" s="8">
        <f>SUMIFS('2. EGRESOS'!$E:$E,'2. EGRESOS'!$K:$K,$A15,'2. EGRESOS'!$B:$B,Y$3)</f>
        <v/>
      </c>
      <c r="Z15" s="8">
        <f>SUMIFS('2. EGRESOS'!$E:$E,'2. EGRESOS'!$K:$K,$A15,'2. EGRESOS'!$B:$B,Z$3)</f>
        <v/>
      </c>
    </row>
    <row r="16">
      <c r="A16" s="9" t="inlineStr">
        <is>
          <t>1.1.2</t>
        </is>
      </c>
      <c r="B16" s="10" t="inlineStr">
        <is>
          <t xml:space="preserve">  Packaging</t>
        </is>
      </c>
      <c r="C16" s="8">
        <f>SUMIFS('2. EGRESOS'!$E:$E,'2. EGRESOS'!$K:$K,$A16,'2. EGRESOS'!$B:$B,C$3)</f>
        <v/>
      </c>
      <c r="D16" s="8">
        <f>SUMIFS('2. EGRESOS'!$E:$E,'2. EGRESOS'!$K:$K,$A16,'2. EGRESOS'!$B:$B,D$3)</f>
        <v/>
      </c>
      <c r="E16" s="8">
        <f>SUMIFS('2. EGRESOS'!$E:$E,'2. EGRESOS'!$K:$K,$A16,'2. EGRESOS'!$B:$B,E$3)</f>
        <v/>
      </c>
      <c r="F16" s="8">
        <f>SUMIFS('2. EGRESOS'!$E:$E,'2. EGRESOS'!$K:$K,$A16,'2. EGRESOS'!$B:$B,F$3)</f>
        <v/>
      </c>
      <c r="G16" s="8">
        <f>SUMIFS('2. EGRESOS'!$E:$E,'2. EGRESOS'!$K:$K,$A16,'2. EGRESOS'!$B:$B,G$3)</f>
        <v/>
      </c>
      <c r="H16" s="8">
        <f>SUMIFS('2. EGRESOS'!$E:$E,'2. EGRESOS'!$K:$K,$A16,'2. EGRESOS'!$B:$B,H$3)</f>
        <v/>
      </c>
      <c r="I16" s="8">
        <f>SUMIFS('2. EGRESOS'!$E:$E,'2. EGRESOS'!$K:$K,$A16,'2. EGRESOS'!$B:$B,I$3)</f>
        <v/>
      </c>
      <c r="J16" s="8">
        <f>SUMIFS('2. EGRESOS'!$E:$E,'2. EGRESOS'!$K:$K,$A16,'2. EGRESOS'!$B:$B,J$3)</f>
        <v/>
      </c>
      <c r="K16" s="8">
        <f>SUMIFS('2. EGRESOS'!$E:$E,'2. EGRESOS'!$K:$K,$A16,'2. EGRESOS'!$B:$B,K$3)</f>
        <v/>
      </c>
      <c r="L16" s="8">
        <f>SUMIFS('2. EGRESOS'!$E:$E,'2. EGRESOS'!$K:$K,$A16,'2. EGRESOS'!$B:$B,L$3)</f>
        <v/>
      </c>
      <c r="M16" s="8">
        <f>SUMIFS('2. EGRESOS'!$E:$E,'2. EGRESOS'!$K:$K,$A16,'2. EGRESOS'!$B:$B,M$3)</f>
        <v/>
      </c>
      <c r="N16" s="8">
        <f>SUMIFS('2. EGRESOS'!$E:$E,'2. EGRESOS'!$K:$K,$A16,'2. EGRESOS'!$B:$B,N$3)</f>
        <v/>
      </c>
      <c r="O16" s="8">
        <f>SUMIFS('2. EGRESOS'!$E:$E,'2. EGRESOS'!$K:$K,$A16,'2. EGRESOS'!$B:$B,O$3)</f>
        <v/>
      </c>
      <c r="P16" s="8">
        <f>SUMIFS('2. EGRESOS'!$E:$E,'2. EGRESOS'!$K:$K,$A16,'2. EGRESOS'!$B:$B,P$3)</f>
        <v/>
      </c>
      <c r="Q16" s="8">
        <f>SUMIFS('2. EGRESOS'!$E:$E,'2. EGRESOS'!$K:$K,$A16,'2. EGRESOS'!$B:$B,Q$3)</f>
        <v/>
      </c>
      <c r="R16" s="8">
        <f>SUMIFS('2. EGRESOS'!$E:$E,'2. EGRESOS'!$K:$K,$A16,'2. EGRESOS'!$B:$B,R$3)</f>
        <v/>
      </c>
      <c r="S16" s="8">
        <f>SUMIFS('2. EGRESOS'!$E:$E,'2. EGRESOS'!$K:$K,$A16,'2. EGRESOS'!$B:$B,S$3)</f>
        <v/>
      </c>
      <c r="T16" s="8">
        <f>SUMIFS('2. EGRESOS'!$E:$E,'2. EGRESOS'!$K:$K,$A16,'2. EGRESOS'!$B:$B,T$3)</f>
        <v/>
      </c>
      <c r="U16" s="8">
        <f>SUMIFS('2. EGRESOS'!$E:$E,'2. EGRESOS'!$K:$K,$A16,'2. EGRESOS'!$B:$B,U$3)</f>
        <v/>
      </c>
      <c r="V16" s="8">
        <f>SUMIFS('2. EGRESOS'!$E:$E,'2. EGRESOS'!$K:$K,$A16,'2. EGRESOS'!$B:$B,V$3)</f>
        <v/>
      </c>
      <c r="W16" s="8">
        <f>SUMIFS('2. EGRESOS'!$E:$E,'2. EGRESOS'!$K:$K,$A16,'2. EGRESOS'!$B:$B,W$3)</f>
        <v/>
      </c>
      <c r="X16" s="8">
        <f>SUMIFS('2. EGRESOS'!$E:$E,'2. EGRESOS'!$K:$K,$A16,'2. EGRESOS'!$B:$B,X$3)</f>
        <v/>
      </c>
      <c r="Y16" s="8">
        <f>SUMIFS('2. EGRESOS'!$E:$E,'2. EGRESOS'!$K:$K,$A16,'2. EGRESOS'!$B:$B,Y$3)</f>
        <v/>
      </c>
      <c r="Z16" s="8">
        <f>SUMIFS('2. EGRESOS'!$E:$E,'2. EGRESOS'!$K:$K,$A16,'2. EGRESOS'!$B:$B,Z$3)</f>
        <v/>
      </c>
    </row>
    <row r="17">
      <c r="A17" s="6" t="inlineStr">
        <is>
          <t>1.1.3</t>
        </is>
      </c>
      <c r="B17" s="10" t="inlineStr">
        <is>
          <t>Equipamiento de cocina</t>
        </is>
      </c>
      <c r="C17" s="8">
        <f>SUMIFS('2. EGRESOS'!$E:$E,'2. EGRESOS'!$K:$K,$A17,'2. EGRESOS'!$B:$B,C$3)</f>
        <v/>
      </c>
      <c r="D17" s="8">
        <f>SUMIFS('2. EGRESOS'!$E:$E,'2. EGRESOS'!$K:$K,$A17,'2. EGRESOS'!$B:$B,D$3)</f>
        <v/>
      </c>
      <c r="E17" s="8">
        <f>SUMIFS('2. EGRESOS'!$E:$E,'2. EGRESOS'!$K:$K,$A17,'2. EGRESOS'!$B:$B,E$3)</f>
        <v/>
      </c>
      <c r="F17" s="8">
        <f>SUMIFS('2. EGRESOS'!$E:$E,'2. EGRESOS'!$K:$K,$A17,'2. EGRESOS'!$B:$B,F$3)</f>
        <v/>
      </c>
      <c r="G17" s="8">
        <f>SUMIFS('2. EGRESOS'!$E:$E,'2. EGRESOS'!$K:$K,$A17,'2. EGRESOS'!$B:$B,G$3)</f>
        <v/>
      </c>
      <c r="H17" s="8">
        <f>SUMIFS('2. EGRESOS'!$E:$E,'2. EGRESOS'!$K:$K,$A17,'2. EGRESOS'!$B:$B,H$3)</f>
        <v/>
      </c>
      <c r="I17" s="8">
        <f>SUMIFS('2. EGRESOS'!$E:$E,'2. EGRESOS'!$K:$K,$A17,'2. EGRESOS'!$B:$B,I$3)</f>
        <v/>
      </c>
      <c r="J17" s="8">
        <f>SUMIFS('2. EGRESOS'!$E:$E,'2. EGRESOS'!$K:$K,$A17,'2. EGRESOS'!$B:$B,J$3)</f>
        <v/>
      </c>
      <c r="K17" s="8">
        <f>SUMIFS('2. EGRESOS'!$E:$E,'2. EGRESOS'!$K:$K,$A17,'2. EGRESOS'!$B:$B,K$3)</f>
        <v/>
      </c>
      <c r="L17" s="8">
        <f>SUMIFS('2. EGRESOS'!$E:$E,'2. EGRESOS'!$K:$K,$A17,'2. EGRESOS'!$B:$B,L$3)</f>
        <v/>
      </c>
      <c r="M17" s="8">
        <f>SUMIFS('2. EGRESOS'!$E:$E,'2. EGRESOS'!$K:$K,$A17,'2. EGRESOS'!$B:$B,M$3)</f>
        <v/>
      </c>
      <c r="N17" s="8">
        <f>SUMIFS('2. EGRESOS'!$E:$E,'2. EGRESOS'!$K:$K,$A17,'2. EGRESOS'!$B:$B,N$3)</f>
        <v/>
      </c>
      <c r="O17" s="8">
        <f>SUMIFS('2. EGRESOS'!$E:$E,'2. EGRESOS'!$K:$K,$A17,'2. EGRESOS'!$B:$B,O$3)</f>
        <v/>
      </c>
      <c r="P17" s="8">
        <f>SUMIFS('2. EGRESOS'!$E:$E,'2. EGRESOS'!$K:$K,$A17,'2. EGRESOS'!$B:$B,P$3)</f>
        <v/>
      </c>
      <c r="Q17" s="8">
        <f>SUMIFS('2. EGRESOS'!$E:$E,'2. EGRESOS'!$K:$K,$A17,'2. EGRESOS'!$B:$B,Q$3)</f>
        <v/>
      </c>
      <c r="R17" s="8">
        <f>SUMIFS('2. EGRESOS'!$E:$E,'2. EGRESOS'!$K:$K,$A17,'2. EGRESOS'!$B:$B,R$3)</f>
        <v/>
      </c>
      <c r="S17" s="8">
        <f>SUMIFS('2. EGRESOS'!$E:$E,'2. EGRESOS'!$K:$K,$A17,'2. EGRESOS'!$B:$B,S$3)</f>
        <v/>
      </c>
      <c r="T17" s="8">
        <f>SUMIFS('2. EGRESOS'!$E:$E,'2. EGRESOS'!$K:$K,$A17,'2. EGRESOS'!$B:$B,T$3)</f>
        <v/>
      </c>
      <c r="U17" s="8">
        <f>SUMIFS('2. EGRESOS'!$E:$E,'2. EGRESOS'!$K:$K,$A17,'2. EGRESOS'!$B:$B,U$3)</f>
        <v/>
      </c>
      <c r="V17" s="8">
        <f>SUMIFS('2. EGRESOS'!$E:$E,'2. EGRESOS'!$K:$K,$A17,'2. EGRESOS'!$B:$B,V$3)</f>
        <v/>
      </c>
      <c r="W17" s="8">
        <f>SUMIFS('2. EGRESOS'!$E:$E,'2. EGRESOS'!$K:$K,$A17,'2. EGRESOS'!$B:$B,W$3)</f>
        <v/>
      </c>
      <c r="X17" s="8">
        <f>SUMIFS('2. EGRESOS'!$E:$E,'2. EGRESOS'!$K:$K,$A17,'2. EGRESOS'!$B:$B,X$3)</f>
        <v/>
      </c>
      <c r="Y17" s="8">
        <f>SUMIFS('2. EGRESOS'!$E:$E,'2. EGRESOS'!$K:$K,$A17,'2. EGRESOS'!$B:$B,Y$3)</f>
        <v/>
      </c>
      <c r="Z17" s="8">
        <f>SUMIFS('2. EGRESOS'!$E:$E,'2. EGRESOS'!$K:$K,$A17,'2. EGRESOS'!$B:$B,Z$3)</f>
        <v/>
      </c>
    </row>
    <row r="18">
      <c r="A18" s="3" t="inlineStr">
        <is>
          <t>CC2</t>
        </is>
      </c>
      <c r="B18" s="4" t="inlineStr">
        <is>
          <t>Sueldos y RRHH</t>
        </is>
      </c>
      <c r="C18" s="5">
        <f>+SUBTOTAL(9,C19:C23)</f>
        <v/>
      </c>
      <c r="D18" s="5">
        <f>+SUBTOTAL(9,D19:D23)</f>
        <v/>
      </c>
      <c r="E18" s="5">
        <f>+SUBTOTAL(9,E19:E23)</f>
        <v/>
      </c>
      <c r="F18" s="5">
        <f>+SUBTOTAL(9,F19:F23)</f>
        <v/>
      </c>
      <c r="G18" s="5">
        <f>+SUBTOTAL(9,G19:G23)</f>
        <v/>
      </c>
      <c r="H18" s="5">
        <f>+SUBTOTAL(9,H19:H23)</f>
        <v/>
      </c>
      <c r="I18" s="5">
        <f>+SUBTOTAL(9,I19:I23)</f>
        <v/>
      </c>
      <c r="J18" s="5">
        <f>+SUBTOTAL(9,J19:J23)</f>
        <v/>
      </c>
      <c r="K18" s="5">
        <f>+SUBTOTAL(9,K19:K23)</f>
        <v/>
      </c>
      <c r="L18" s="5">
        <f>+SUBTOTAL(9,L19:L23)</f>
        <v/>
      </c>
      <c r="M18" s="5">
        <f>+SUBTOTAL(9,M19:M23)</f>
        <v/>
      </c>
      <c r="N18" s="5">
        <f>+SUBTOTAL(9,N19:N23)</f>
        <v/>
      </c>
      <c r="O18" s="5">
        <f>+SUBTOTAL(9,O19:O23)</f>
        <v/>
      </c>
      <c r="P18" s="5">
        <f>+SUBTOTAL(9,P19:P23)</f>
        <v/>
      </c>
      <c r="Q18" s="5">
        <f>+SUBTOTAL(9,Q19:Q23)</f>
        <v/>
      </c>
      <c r="R18" s="5">
        <f>+SUBTOTAL(9,R19:R23)</f>
        <v/>
      </c>
      <c r="S18" s="5">
        <f>+SUBTOTAL(9,S19:S23)</f>
        <v/>
      </c>
      <c r="T18" s="5">
        <f>+SUBTOTAL(9,T19:T23)</f>
        <v/>
      </c>
      <c r="U18" s="5">
        <f>+SUBTOTAL(9,U19:U23)</f>
        <v/>
      </c>
      <c r="V18" s="5">
        <f>+SUBTOTAL(9,V19:V23)</f>
        <v/>
      </c>
      <c r="W18" s="5">
        <f>+SUBTOTAL(9,W19:W23)</f>
        <v/>
      </c>
      <c r="X18" s="5">
        <f>+SUBTOTAL(9,X19:X23)</f>
        <v/>
      </c>
      <c r="Y18" s="5">
        <f>+SUBTOTAL(9,Y19:Y23)</f>
        <v/>
      </c>
      <c r="Z18" s="5">
        <f>+SUBTOTAL(9,Z19:Z23)</f>
        <v/>
      </c>
    </row>
    <row r="19">
      <c r="A19" s="6" t="inlineStr">
        <is>
          <t>1.2.1</t>
        </is>
      </c>
      <c r="B19" s="7" t="inlineStr">
        <is>
          <t xml:space="preserve">  Sueldos con Contrato</t>
        </is>
      </c>
      <c r="C19" s="8">
        <f>SUMIFS('2. EGRESOS'!$E:$E,'2. EGRESOS'!$K:$K,$A19,'2. EGRESOS'!$B:$B,C$3)</f>
        <v/>
      </c>
      <c r="D19" s="8">
        <f>SUMIFS('2. EGRESOS'!$E:$E,'2. EGRESOS'!$K:$K,$A19,'2. EGRESOS'!$B:$B,D$3)</f>
        <v/>
      </c>
      <c r="E19" s="8">
        <f>SUMIFS('2. EGRESOS'!$E:$E,'2. EGRESOS'!$K:$K,$A19,'2. EGRESOS'!$B:$B,E$3)</f>
        <v/>
      </c>
      <c r="F19" s="8">
        <f>SUMIFS('2. EGRESOS'!$E:$E,'2. EGRESOS'!$K:$K,$A19,'2. EGRESOS'!$B:$B,F$3)</f>
        <v/>
      </c>
      <c r="G19" s="8">
        <f>SUMIFS('2. EGRESOS'!$E:$E,'2. EGRESOS'!$K:$K,$A19,'2. EGRESOS'!$B:$B,G$3)</f>
        <v/>
      </c>
      <c r="H19" s="8">
        <f>SUMIFS('2. EGRESOS'!$E:$E,'2. EGRESOS'!$K:$K,$A19,'2. EGRESOS'!$B:$B,H$3)</f>
        <v/>
      </c>
      <c r="I19" s="8">
        <f>SUMIFS('2. EGRESOS'!$E:$E,'2. EGRESOS'!$K:$K,$A19,'2. EGRESOS'!$B:$B,I$3)</f>
        <v/>
      </c>
      <c r="J19" s="8">
        <f>SUMIFS('2. EGRESOS'!$E:$E,'2. EGRESOS'!$K:$K,$A19,'2. EGRESOS'!$B:$B,J$3)</f>
        <v/>
      </c>
      <c r="K19" s="8">
        <f>SUMIFS('2. EGRESOS'!$E:$E,'2. EGRESOS'!$K:$K,$A19,'2. EGRESOS'!$B:$B,K$3)</f>
        <v/>
      </c>
      <c r="L19" s="8">
        <f>SUMIFS('2. EGRESOS'!$E:$E,'2. EGRESOS'!$K:$K,$A19,'2. EGRESOS'!$B:$B,L$3)</f>
        <v/>
      </c>
      <c r="M19" s="8">
        <f>SUMIFS('2. EGRESOS'!$E:$E,'2. EGRESOS'!$K:$K,$A19,'2. EGRESOS'!$B:$B,M$3)</f>
        <v/>
      </c>
      <c r="N19" s="8">
        <f>SUMIFS('2. EGRESOS'!$E:$E,'2. EGRESOS'!$K:$K,$A19,'2. EGRESOS'!$B:$B,N$3)</f>
        <v/>
      </c>
      <c r="O19" s="8">
        <f>SUMIFS('2. EGRESOS'!$E:$E,'2. EGRESOS'!$K:$K,$A19,'2. EGRESOS'!$B:$B,O$3)</f>
        <v/>
      </c>
      <c r="P19" s="8">
        <f>SUMIFS('2. EGRESOS'!$E:$E,'2. EGRESOS'!$K:$K,$A19,'2. EGRESOS'!$B:$B,P$3)</f>
        <v/>
      </c>
      <c r="Q19" s="8">
        <f>SUMIFS('2. EGRESOS'!$E:$E,'2. EGRESOS'!$K:$K,$A19,'2. EGRESOS'!$B:$B,Q$3)</f>
        <v/>
      </c>
      <c r="R19" s="8">
        <f>SUMIFS('2. EGRESOS'!$E:$E,'2. EGRESOS'!$K:$K,$A19,'2. EGRESOS'!$B:$B,R$3)</f>
        <v/>
      </c>
      <c r="S19" s="8">
        <f>SUMIFS('2. EGRESOS'!$E:$E,'2. EGRESOS'!$K:$K,$A19,'2. EGRESOS'!$B:$B,S$3)</f>
        <v/>
      </c>
      <c r="T19" s="8">
        <f>SUMIFS('2. EGRESOS'!$E:$E,'2. EGRESOS'!$K:$K,$A19,'2. EGRESOS'!$B:$B,T$3)</f>
        <v/>
      </c>
      <c r="U19" s="8">
        <f>SUMIFS('2. EGRESOS'!$E:$E,'2. EGRESOS'!$K:$K,$A19,'2. EGRESOS'!$B:$B,U$3)</f>
        <v/>
      </c>
      <c r="V19" s="8">
        <f>SUMIFS('2. EGRESOS'!$E:$E,'2. EGRESOS'!$K:$K,$A19,'2. EGRESOS'!$B:$B,V$3)</f>
        <v/>
      </c>
      <c r="W19" s="8">
        <f>SUMIFS('2. EGRESOS'!$E:$E,'2. EGRESOS'!$K:$K,$A19,'2. EGRESOS'!$B:$B,W$3)</f>
        <v/>
      </c>
      <c r="X19" s="8">
        <f>SUMIFS('2. EGRESOS'!$E:$E,'2. EGRESOS'!$K:$K,$A19,'2. EGRESOS'!$B:$B,X$3)</f>
        <v/>
      </c>
      <c r="Y19" s="8">
        <f>SUMIFS('2. EGRESOS'!$E:$E,'2. EGRESOS'!$K:$K,$A19,'2. EGRESOS'!$B:$B,Y$3)</f>
        <v/>
      </c>
      <c r="Z19" s="8">
        <f>SUMIFS('2. EGRESOS'!$E:$E,'2. EGRESOS'!$K:$K,$A19,'2. EGRESOS'!$B:$B,Z$3)</f>
        <v/>
      </c>
    </row>
    <row r="20">
      <c r="A20" s="9" t="inlineStr">
        <is>
          <t>1.2.2</t>
        </is>
      </c>
      <c r="B20" s="10" t="inlineStr">
        <is>
          <t xml:space="preserve">  Honorarios</t>
        </is>
      </c>
      <c r="C20" s="8">
        <f>SUMIFS('2. EGRESOS'!$E:$E,'2. EGRESOS'!$K:$K,$A20,'2. EGRESOS'!$B:$B,C$3)</f>
        <v/>
      </c>
      <c r="D20" s="8">
        <f>SUMIFS('2. EGRESOS'!$E:$E,'2. EGRESOS'!$K:$K,$A20,'2. EGRESOS'!$B:$B,D$3)</f>
        <v/>
      </c>
      <c r="E20" s="8">
        <f>SUMIFS('2. EGRESOS'!$E:$E,'2. EGRESOS'!$K:$K,$A20,'2. EGRESOS'!$B:$B,E$3)</f>
        <v/>
      </c>
      <c r="F20" s="8">
        <f>SUMIFS('2. EGRESOS'!$E:$E,'2. EGRESOS'!$K:$K,$A20,'2. EGRESOS'!$B:$B,F$3)</f>
        <v/>
      </c>
      <c r="G20" s="8">
        <f>SUMIFS('2. EGRESOS'!$E:$E,'2. EGRESOS'!$K:$K,$A20,'2. EGRESOS'!$B:$B,G$3)</f>
        <v/>
      </c>
      <c r="H20" s="8">
        <f>SUMIFS('2. EGRESOS'!$E:$E,'2. EGRESOS'!$K:$K,$A20,'2. EGRESOS'!$B:$B,H$3)</f>
        <v/>
      </c>
      <c r="I20" s="8">
        <f>SUMIFS('2. EGRESOS'!$E:$E,'2. EGRESOS'!$K:$K,$A20,'2. EGRESOS'!$B:$B,I$3)</f>
        <v/>
      </c>
      <c r="J20" s="8">
        <f>SUMIFS('2. EGRESOS'!$E:$E,'2. EGRESOS'!$K:$K,$A20,'2. EGRESOS'!$B:$B,J$3)</f>
        <v/>
      </c>
      <c r="K20" s="8">
        <f>SUMIFS('2. EGRESOS'!$E:$E,'2. EGRESOS'!$K:$K,$A20,'2. EGRESOS'!$B:$B,K$3)</f>
        <v/>
      </c>
      <c r="L20" s="8">
        <f>SUMIFS('2. EGRESOS'!$E:$E,'2. EGRESOS'!$K:$K,$A20,'2. EGRESOS'!$B:$B,L$3)</f>
        <v/>
      </c>
      <c r="M20" s="8">
        <f>SUMIFS('2. EGRESOS'!$E:$E,'2. EGRESOS'!$K:$K,$A20,'2. EGRESOS'!$B:$B,M$3)</f>
        <v/>
      </c>
      <c r="N20" s="8">
        <f>SUMIFS('2. EGRESOS'!$E:$E,'2. EGRESOS'!$K:$K,$A20,'2. EGRESOS'!$B:$B,N$3)</f>
        <v/>
      </c>
      <c r="O20" s="8">
        <f>SUMIFS('2. EGRESOS'!$E:$E,'2. EGRESOS'!$K:$K,$A20,'2. EGRESOS'!$B:$B,O$3)</f>
        <v/>
      </c>
      <c r="P20" s="8">
        <f>SUMIFS('2. EGRESOS'!$E:$E,'2. EGRESOS'!$K:$K,$A20,'2. EGRESOS'!$B:$B,P$3)</f>
        <v/>
      </c>
      <c r="Q20" s="8">
        <f>SUMIFS('2. EGRESOS'!$E:$E,'2. EGRESOS'!$K:$K,$A20,'2. EGRESOS'!$B:$B,Q$3)</f>
        <v/>
      </c>
      <c r="R20" s="8">
        <f>SUMIFS('2. EGRESOS'!$E:$E,'2. EGRESOS'!$K:$K,$A20,'2. EGRESOS'!$B:$B,R$3)</f>
        <v/>
      </c>
      <c r="S20" s="8">
        <f>SUMIFS('2. EGRESOS'!$E:$E,'2. EGRESOS'!$K:$K,$A20,'2. EGRESOS'!$B:$B,S$3)</f>
        <v/>
      </c>
      <c r="T20" s="8">
        <f>SUMIFS('2. EGRESOS'!$E:$E,'2. EGRESOS'!$K:$K,$A20,'2. EGRESOS'!$B:$B,T$3)</f>
        <v/>
      </c>
      <c r="U20" s="8">
        <f>SUMIFS('2. EGRESOS'!$E:$E,'2. EGRESOS'!$K:$K,$A20,'2. EGRESOS'!$B:$B,U$3)</f>
        <v/>
      </c>
      <c r="V20" s="8">
        <f>SUMIFS('2. EGRESOS'!$E:$E,'2. EGRESOS'!$K:$K,$A20,'2. EGRESOS'!$B:$B,V$3)</f>
        <v/>
      </c>
      <c r="W20" s="8">
        <f>SUMIFS('2. EGRESOS'!$E:$E,'2. EGRESOS'!$K:$K,$A20,'2. EGRESOS'!$B:$B,W$3)</f>
        <v/>
      </c>
      <c r="X20" s="8">
        <f>SUMIFS('2. EGRESOS'!$E:$E,'2. EGRESOS'!$K:$K,$A20,'2. EGRESOS'!$B:$B,X$3)</f>
        <v/>
      </c>
      <c r="Y20" s="8">
        <f>SUMIFS('2. EGRESOS'!$E:$E,'2. EGRESOS'!$K:$K,$A20,'2. EGRESOS'!$B:$B,Y$3)</f>
        <v/>
      </c>
      <c r="Z20" s="8">
        <f>SUMIFS('2. EGRESOS'!$E:$E,'2. EGRESOS'!$K:$K,$A20,'2. EGRESOS'!$B:$B,Z$3)</f>
        <v/>
      </c>
    </row>
    <row r="21">
      <c r="A21" s="6" t="inlineStr">
        <is>
          <t>1.2.3</t>
        </is>
      </c>
      <c r="B21" s="7" t="inlineStr">
        <is>
          <t xml:space="preserve">  Asesoria Contable</t>
        </is>
      </c>
      <c r="C21" s="8">
        <f>SUMIFS('2. EGRESOS'!$E:$E,'2. EGRESOS'!$K:$K,$A21,'2. EGRESOS'!$B:$B,C$3)</f>
        <v/>
      </c>
      <c r="D21" s="8">
        <f>SUMIFS('2. EGRESOS'!$E:$E,'2. EGRESOS'!$K:$K,$A21,'2. EGRESOS'!$B:$B,D$3)</f>
        <v/>
      </c>
      <c r="E21" s="8">
        <f>SUMIFS('2. EGRESOS'!$E:$E,'2. EGRESOS'!$K:$K,$A21,'2. EGRESOS'!$B:$B,E$3)</f>
        <v/>
      </c>
      <c r="F21" s="8">
        <f>SUMIFS('2. EGRESOS'!$E:$E,'2. EGRESOS'!$K:$K,$A21,'2. EGRESOS'!$B:$B,F$3)</f>
        <v/>
      </c>
      <c r="G21" s="8">
        <f>SUMIFS('2. EGRESOS'!$E:$E,'2. EGRESOS'!$K:$K,$A21,'2. EGRESOS'!$B:$B,G$3)</f>
        <v/>
      </c>
      <c r="H21" s="8">
        <f>SUMIFS('2. EGRESOS'!$E:$E,'2. EGRESOS'!$K:$K,$A21,'2. EGRESOS'!$B:$B,H$3)</f>
        <v/>
      </c>
      <c r="I21" s="8">
        <f>SUMIFS('2. EGRESOS'!$E:$E,'2. EGRESOS'!$K:$K,$A21,'2. EGRESOS'!$B:$B,I$3)</f>
        <v/>
      </c>
      <c r="J21" s="8">
        <f>SUMIFS('2. EGRESOS'!$E:$E,'2. EGRESOS'!$K:$K,$A21,'2. EGRESOS'!$B:$B,J$3)</f>
        <v/>
      </c>
      <c r="K21" s="8">
        <f>SUMIFS('2. EGRESOS'!$E:$E,'2. EGRESOS'!$K:$K,$A21,'2. EGRESOS'!$B:$B,K$3)</f>
        <v/>
      </c>
      <c r="L21" s="8">
        <f>SUMIFS('2. EGRESOS'!$E:$E,'2. EGRESOS'!$K:$K,$A21,'2. EGRESOS'!$B:$B,L$3)</f>
        <v/>
      </c>
      <c r="M21" s="8">
        <f>SUMIFS('2. EGRESOS'!$E:$E,'2. EGRESOS'!$K:$K,$A21,'2. EGRESOS'!$B:$B,M$3)</f>
        <v/>
      </c>
      <c r="N21" s="8">
        <f>SUMIFS('2. EGRESOS'!$E:$E,'2. EGRESOS'!$K:$K,$A21,'2. EGRESOS'!$B:$B,N$3)</f>
        <v/>
      </c>
      <c r="O21" s="8">
        <f>SUMIFS('2. EGRESOS'!$E:$E,'2. EGRESOS'!$K:$K,$A21,'2. EGRESOS'!$B:$B,O$3)</f>
        <v/>
      </c>
      <c r="P21" s="8">
        <f>SUMIFS('2. EGRESOS'!$E:$E,'2. EGRESOS'!$K:$K,$A21,'2. EGRESOS'!$B:$B,P$3)</f>
        <v/>
      </c>
      <c r="Q21" s="8">
        <f>SUMIFS('2. EGRESOS'!$E:$E,'2. EGRESOS'!$K:$K,$A21,'2. EGRESOS'!$B:$B,Q$3)</f>
        <v/>
      </c>
      <c r="R21" s="8">
        <f>SUMIFS('2. EGRESOS'!$E:$E,'2. EGRESOS'!$K:$K,$A21,'2. EGRESOS'!$B:$B,R$3)</f>
        <v/>
      </c>
      <c r="S21" s="8">
        <f>SUMIFS('2. EGRESOS'!$E:$E,'2. EGRESOS'!$K:$K,$A21,'2. EGRESOS'!$B:$B,S$3)</f>
        <v/>
      </c>
      <c r="T21" s="8">
        <f>SUMIFS('2. EGRESOS'!$E:$E,'2. EGRESOS'!$K:$K,$A21,'2. EGRESOS'!$B:$B,T$3)</f>
        <v/>
      </c>
      <c r="U21" s="8">
        <f>SUMIFS('2. EGRESOS'!$E:$E,'2. EGRESOS'!$K:$K,$A21,'2. EGRESOS'!$B:$B,U$3)</f>
        <v/>
      </c>
      <c r="V21" s="8">
        <f>SUMIFS('2. EGRESOS'!$E:$E,'2. EGRESOS'!$K:$K,$A21,'2. EGRESOS'!$B:$B,V$3)</f>
        <v/>
      </c>
      <c r="W21" s="8">
        <f>SUMIFS('2. EGRESOS'!$E:$E,'2. EGRESOS'!$K:$K,$A21,'2. EGRESOS'!$B:$B,W$3)</f>
        <v/>
      </c>
      <c r="X21" s="8">
        <f>SUMIFS('2. EGRESOS'!$E:$E,'2. EGRESOS'!$K:$K,$A21,'2. EGRESOS'!$B:$B,X$3)</f>
        <v/>
      </c>
      <c r="Y21" s="8">
        <f>SUMIFS('2. EGRESOS'!$E:$E,'2. EGRESOS'!$K:$K,$A21,'2. EGRESOS'!$B:$B,Y$3)</f>
        <v/>
      </c>
      <c r="Z21" s="8">
        <f>SUMIFS('2. EGRESOS'!$E:$E,'2. EGRESOS'!$K:$K,$A21,'2. EGRESOS'!$B:$B,Z$3)</f>
        <v/>
      </c>
    </row>
    <row r="22">
      <c r="A22" s="6" t="inlineStr">
        <is>
          <t>1.2.4</t>
        </is>
      </c>
      <c r="B22" s="7" t="inlineStr">
        <is>
          <t>Uniformes Personal</t>
        </is>
      </c>
      <c r="C22" s="8">
        <f>SUMIFS('2. EGRESOS'!$E:$E,'2. EGRESOS'!$K:$K,$A22,'2. EGRESOS'!$B:$B,C$3)</f>
        <v/>
      </c>
      <c r="D22" s="8">
        <f>SUMIFS('2. EGRESOS'!$E:$E,'2. EGRESOS'!$K:$K,$A22,'2. EGRESOS'!$B:$B,D$3)</f>
        <v/>
      </c>
      <c r="E22" s="8">
        <f>SUMIFS('2. EGRESOS'!$E:$E,'2. EGRESOS'!$K:$K,$A22,'2. EGRESOS'!$B:$B,E$3)</f>
        <v/>
      </c>
      <c r="F22" s="8">
        <f>SUMIFS('2. EGRESOS'!$E:$E,'2. EGRESOS'!$K:$K,$A22,'2. EGRESOS'!$B:$B,F$3)</f>
        <v/>
      </c>
      <c r="G22" s="8">
        <f>SUMIFS('2. EGRESOS'!$E:$E,'2. EGRESOS'!$K:$K,$A22,'2. EGRESOS'!$B:$B,G$3)</f>
        <v/>
      </c>
      <c r="H22" s="8">
        <f>SUMIFS('2. EGRESOS'!$E:$E,'2. EGRESOS'!$K:$K,$A22,'2. EGRESOS'!$B:$B,H$3)</f>
        <v/>
      </c>
      <c r="I22" s="8">
        <f>SUMIFS('2. EGRESOS'!$E:$E,'2. EGRESOS'!$K:$K,$A22,'2. EGRESOS'!$B:$B,I$3)</f>
        <v/>
      </c>
      <c r="J22" s="8">
        <f>SUMIFS('2. EGRESOS'!$E:$E,'2. EGRESOS'!$K:$K,$A22,'2. EGRESOS'!$B:$B,J$3)</f>
        <v/>
      </c>
      <c r="K22" s="8">
        <f>SUMIFS('2. EGRESOS'!$E:$E,'2. EGRESOS'!$K:$K,$A22,'2. EGRESOS'!$B:$B,K$3)</f>
        <v/>
      </c>
      <c r="L22" s="8">
        <f>SUMIFS('2. EGRESOS'!$E:$E,'2. EGRESOS'!$K:$K,$A22,'2. EGRESOS'!$B:$B,L$3)</f>
        <v/>
      </c>
      <c r="M22" s="8">
        <f>SUMIFS('2. EGRESOS'!$E:$E,'2. EGRESOS'!$K:$K,$A22,'2. EGRESOS'!$B:$B,M$3)</f>
        <v/>
      </c>
      <c r="N22" s="8">
        <f>SUMIFS('2. EGRESOS'!$E:$E,'2. EGRESOS'!$K:$K,$A22,'2. EGRESOS'!$B:$B,N$3)</f>
        <v/>
      </c>
      <c r="O22" s="8">
        <f>SUMIFS('2. EGRESOS'!$E:$E,'2. EGRESOS'!$K:$K,$A22,'2. EGRESOS'!$B:$B,O$3)</f>
        <v/>
      </c>
      <c r="P22" s="8">
        <f>SUMIFS('2. EGRESOS'!$E:$E,'2. EGRESOS'!$K:$K,$A22,'2. EGRESOS'!$B:$B,P$3)</f>
        <v/>
      </c>
      <c r="Q22" s="8">
        <f>SUMIFS('2. EGRESOS'!$E:$E,'2. EGRESOS'!$K:$K,$A22,'2. EGRESOS'!$B:$B,Q$3)</f>
        <v/>
      </c>
      <c r="R22" s="8">
        <f>SUMIFS('2. EGRESOS'!$E:$E,'2. EGRESOS'!$K:$K,$A22,'2. EGRESOS'!$B:$B,R$3)</f>
        <v/>
      </c>
      <c r="S22" s="8">
        <f>SUMIFS('2. EGRESOS'!$E:$E,'2. EGRESOS'!$K:$K,$A22,'2. EGRESOS'!$B:$B,S$3)</f>
        <v/>
      </c>
      <c r="T22" s="8">
        <f>SUMIFS('2. EGRESOS'!$E:$E,'2. EGRESOS'!$K:$K,$A22,'2. EGRESOS'!$B:$B,T$3)</f>
        <v/>
      </c>
      <c r="U22" s="8">
        <f>SUMIFS('2. EGRESOS'!$E:$E,'2. EGRESOS'!$K:$K,$A22,'2. EGRESOS'!$B:$B,U$3)</f>
        <v/>
      </c>
      <c r="V22" s="8">
        <f>SUMIFS('2. EGRESOS'!$E:$E,'2. EGRESOS'!$K:$K,$A22,'2. EGRESOS'!$B:$B,V$3)</f>
        <v/>
      </c>
      <c r="W22" s="8">
        <f>SUMIFS('2. EGRESOS'!$E:$E,'2. EGRESOS'!$K:$K,$A22,'2. EGRESOS'!$B:$B,W$3)</f>
        <v/>
      </c>
      <c r="X22" s="8">
        <f>SUMIFS('2. EGRESOS'!$E:$E,'2. EGRESOS'!$K:$K,$A22,'2. EGRESOS'!$B:$B,X$3)</f>
        <v/>
      </c>
      <c r="Y22" s="8">
        <f>SUMIFS('2. EGRESOS'!$E:$E,'2. EGRESOS'!$K:$K,$A22,'2. EGRESOS'!$B:$B,Y$3)</f>
        <v/>
      </c>
      <c r="Z22" s="8">
        <f>SUMIFS('2. EGRESOS'!$E:$E,'2. EGRESOS'!$K:$K,$A22,'2. EGRESOS'!$B:$B,Z$3)</f>
        <v/>
      </c>
    </row>
    <row r="23">
      <c r="A23" s="6" t="inlineStr">
        <is>
          <t>1.2.5</t>
        </is>
      </c>
      <c r="B23" s="7" t="inlineStr">
        <is>
          <t>Prestamos Personal</t>
        </is>
      </c>
      <c r="C23" s="8">
        <f>SUMIFS('2. EGRESOS'!$E:$E,'2. EGRESOS'!$K:$K,$A23,'2. EGRESOS'!$B:$B,C$3)</f>
        <v/>
      </c>
      <c r="D23" s="8">
        <f>SUMIFS('2. EGRESOS'!$E:$E,'2. EGRESOS'!$K:$K,$A23,'2. EGRESOS'!$B:$B,D$3)</f>
        <v/>
      </c>
      <c r="E23" s="8">
        <f>SUMIFS('2. EGRESOS'!$E:$E,'2. EGRESOS'!$K:$K,$A23,'2. EGRESOS'!$B:$B,E$3)</f>
        <v/>
      </c>
      <c r="F23" s="8">
        <f>SUMIFS('2. EGRESOS'!$E:$E,'2. EGRESOS'!$K:$K,$A23,'2. EGRESOS'!$B:$B,F$3)</f>
        <v/>
      </c>
      <c r="G23" s="8">
        <f>SUMIFS('2. EGRESOS'!$E:$E,'2. EGRESOS'!$K:$K,$A23,'2. EGRESOS'!$B:$B,G$3)</f>
        <v/>
      </c>
      <c r="H23" s="8">
        <f>SUMIFS('2. EGRESOS'!$E:$E,'2. EGRESOS'!$K:$K,$A23,'2. EGRESOS'!$B:$B,H$3)</f>
        <v/>
      </c>
      <c r="I23" s="8">
        <f>SUMIFS('2. EGRESOS'!$E:$E,'2. EGRESOS'!$K:$K,$A23,'2. EGRESOS'!$B:$B,I$3)</f>
        <v/>
      </c>
      <c r="J23" s="8">
        <f>SUMIFS('2. EGRESOS'!$E:$E,'2. EGRESOS'!$K:$K,$A23,'2. EGRESOS'!$B:$B,J$3)</f>
        <v/>
      </c>
      <c r="K23" s="8">
        <f>SUMIFS('2. EGRESOS'!$E:$E,'2. EGRESOS'!$K:$K,$A23,'2. EGRESOS'!$B:$B,K$3)</f>
        <v/>
      </c>
      <c r="L23" s="8">
        <f>SUMIFS('2. EGRESOS'!$E:$E,'2. EGRESOS'!$K:$K,$A23,'2. EGRESOS'!$B:$B,L$3)</f>
        <v/>
      </c>
      <c r="M23" s="8">
        <f>SUMIFS('2. EGRESOS'!$E:$E,'2. EGRESOS'!$K:$K,$A23,'2. EGRESOS'!$B:$B,M$3)</f>
        <v/>
      </c>
      <c r="N23" s="8">
        <f>SUMIFS('2. EGRESOS'!$E:$E,'2. EGRESOS'!$K:$K,$A23,'2. EGRESOS'!$B:$B,N$3)</f>
        <v/>
      </c>
      <c r="O23" s="8">
        <f>SUMIFS('2. EGRESOS'!$E:$E,'2. EGRESOS'!$K:$K,$A23,'2. EGRESOS'!$B:$B,O$3)</f>
        <v/>
      </c>
      <c r="P23" s="8">
        <f>SUMIFS('2. EGRESOS'!$E:$E,'2. EGRESOS'!$K:$K,$A23,'2. EGRESOS'!$B:$B,P$3)</f>
        <v/>
      </c>
      <c r="Q23" s="8">
        <f>SUMIFS('2. EGRESOS'!$E:$E,'2. EGRESOS'!$K:$K,$A23,'2. EGRESOS'!$B:$B,Q$3)</f>
        <v/>
      </c>
      <c r="R23" s="8">
        <f>SUMIFS('2. EGRESOS'!$E:$E,'2. EGRESOS'!$K:$K,$A23,'2. EGRESOS'!$B:$B,R$3)</f>
        <v/>
      </c>
      <c r="S23" s="8">
        <f>SUMIFS('2. EGRESOS'!$E:$E,'2. EGRESOS'!$K:$K,$A23,'2. EGRESOS'!$B:$B,S$3)</f>
        <v/>
      </c>
      <c r="T23" s="8">
        <f>SUMIFS('2. EGRESOS'!$E:$E,'2. EGRESOS'!$K:$K,$A23,'2. EGRESOS'!$B:$B,T$3)</f>
        <v/>
      </c>
      <c r="U23" s="8">
        <f>SUMIFS('2. EGRESOS'!$E:$E,'2. EGRESOS'!$K:$K,$A23,'2. EGRESOS'!$B:$B,U$3)</f>
        <v/>
      </c>
      <c r="V23" s="8">
        <f>SUMIFS('2. EGRESOS'!$E:$E,'2. EGRESOS'!$K:$K,$A23,'2. EGRESOS'!$B:$B,V$3)</f>
        <v/>
      </c>
      <c r="W23" s="8">
        <f>SUMIFS('2. EGRESOS'!$E:$E,'2. EGRESOS'!$K:$K,$A23,'2. EGRESOS'!$B:$B,W$3)</f>
        <v/>
      </c>
      <c r="X23" s="8">
        <f>SUMIFS('2. EGRESOS'!$E:$E,'2. EGRESOS'!$K:$K,$A23,'2. EGRESOS'!$B:$B,X$3)</f>
        <v/>
      </c>
      <c r="Y23" s="8">
        <f>SUMIFS('2. EGRESOS'!$E:$E,'2. EGRESOS'!$K:$K,$A23,'2. EGRESOS'!$B:$B,Y$3)</f>
        <v/>
      </c>
      <c r="Z23" s="8">
        <f>SUMIFS('2. EGRESOS'!$E:$E,'2. EGRESOS'!$K:$K,$A23,'2. EGRESOS'!$B:$B,Z$3)</f>
        <v/>
      </c>
    </row>
    <row r="24">
      <c r="A24" s="3" t="inlineStr">
        <is>
          <t>CC3</t>
        </is>
      </c>
      <c r="B24" s="4" t="inlineStr">
        <is>
          <t>Infraestructura</t>
        </is>
      </c>
      <c r="C24" s="5">
        <f>+SUBTOTAL(9,C25:C34)</f>
        <v/>
      </c>
      <c r="D24" s="5">
        <f>+SUBTOTAL(9,D25:D34)</f>
        <v/>
      </c>
      <c r="E24" s="5">
        <f>+SUBTOTAL(9,E25:E34)</f>
        <v/>
      </c>
      <c r="F24" s="5">
        <f>+SUBTOTAL(9,F25:F34)</f>
        <v/>
      </c>
      <c r="G24" s="5">
        <f>+SUBTOTAL(9,G25:G34)</f>
        <v/>
      </c>
      <c r="H24" s="5">
        <f>+SUBTOTAL(9,H25:H34)</f>
        <v/>
      </c>
      <c r="I24" s="5">
        <f>+SUBTOTAL(9,I25:I34)</f>
        <v/>
      </c>
      <c r="J24" s="5">
        <f>+SUBTOTAL(9,J25:J34)</f>
        <v/>
      </c>
      <c r="K24" s="5">
        <f>+SUBTOTAL(9,K25:K34)</f>
        <v/>
      </c>
      <c r="L24" s="5">
        <f>+SUBTOTAL(9,L25:L34)</f>
        <v/>
      </c>
      <c r="M24" s="5">
        <f>+SUBTOTAL(9,M25:M34)</f>
        <v/>
      </c>
      <c r="N24" s="5">
        <f>+SUBTOTAL(9,N25:N34)</f>
        <v/>
      </c>
      <c r="O24" s="5">
        <f>+SUBTOTAL(9,O25:O34)</f>
        <v/>
      </c>
      <c r="P24" s="5">
        <f>+SUBTOTAL(9,P25:P34)</f>
        <v/>
      </c>
      <c r="Q24" s="5">
        <f>+SUBTOTAL(9,Q25:Q34)</f>
        <v/>
      </c>
      <c r="R24" s="5">
        <f>+SUBTOTAL(9,R25:R34)</f>
        <v/>
      </c>
      <c r="S24" s="5">
        <f>+SUBTOTAL(9,S25:S34)</f>
        <v/>
      </c>
      <c r="T24" s="5">
        <f>+SUBTOTAL(9,T25:T34)</f>
        <v/>
      </c>
      <c r="U24" s="5">
        <f>+SUBTOTAL(9,U25:U34)</f>
        <v/>
      </c>
      <c r="V24" s="5">
        <f>+SUBTOTAL(9,V25:V34)</f>
        <v/>
      </c>
      <c r="W24" s="5">
        <f>+SUBTOTAL(9,W25:W34)</f>
        <v/>
      </c>
      <c r="X24" s="5">
        <f>+SUBTOTAL(9,X25:X34)</f>
        <v/>
      </c>
      <c r="Y24" s="5">
        <f>+SUBTOTAL(9,Y25:Y34)</f>
        <v/>
      </c>
      <c r="Z24" s="5">
        <f>+SUBTOTAL(9,Z25:Z34)</f>
        <v/>
      </c>
    </row>
    <row r="25">
      <c r="A25" s="6" t="inlineStr">
        <is>
          <t>1.3.1</t>
        </is>
      </c>
      <c r="B25" s="7" t="inlineStr">
        <is>
          <t xml:space="preserve">  Arriendo Local</t>
        </is>
      </c>
      <c r="C25" s="8">
        <f>SUMIFS('2. EGRESOS'!$E:$E,'2. EGRESOS'!$K:$K,$A25,'2. EGRESOS'!$B:$B,C$3)</f>
        <v/>
      </c>
      <c r="D25" s="8">
        <f>SUMIFS('2. EGRESOS'!$E:$E,'2. EGRESOS'!$K:$K,$A25,'2. EGRESOS'!$B:$B,D$3)</f>
        <v/>
      </c>
      <c r="E25" s="8">
        <f>SUMIFS('2. EGRESOS'!$E:$E,'2. EGRESOS'!$K:$K,$A25,'2. EGRESOS'!$B:$B,E$3)</f>
        <v/>
      </c>
      <c r="F25" s="8">
        <f>SUMIFS('2. EGRESOS'!$E:$E,'2. EGRESOS'!$K:$K,$A25,'2. EGRESOS'!$B:$B,F$3)</f>
        <v/>
      </c>
      <c r="G25" s="8">
        <f>SUMIFS('2. EGRESOS'!$E:$E,'2. EGRESOS'!$K:$K,$A25,'2. EGRESOS'!$B:$B,G$3)</f>
        <v/>
      </c>
      <c r="H25" s="8">
        <f>SUMIFS('2. EGRESOS'!$E:$E,'2. EGRESOS'!$K:$K,$A25,'2. EGRESOS'!$B:$B,H$3)</f>
        <v/>
      </c>
      <c r="I25" s="8">
        <f>SUMIFS('2. EGRESOS'!$E:$E,'2. EGRESOS'!$K:$K,$A25,'2. EGRESOS'!$B:$B,I$3)</f>
        <v/>
      </c>
      <c r="J25" s="8">
        <f>SUMIFS('2. EGRESOS'!$E:$E,'2. EGRESOS'!$K:$K,$A25,'2. EGRESOS'!$B:$B,J$3)</f>
        <v/>
      </c>
      <c r="K25" s="8">
        <f>SUMIFS('2. EGRESOS'!$E:$E,'2. EGRESOS'!$K:$K,$A25,'2. EGRESOS'!$B:$B,K$3)</f>
        <v/>
      </c>
      <c r="L25" s="8">
        <f>SUMIFS('2. EGRESOS'!$E:$E,'2. EGRESOS'!$K:$K,$A25,'2. EGRESOS'!$B:$B,L$3)</f>
        <v/>
      </c>
      <c r="M25" s="8">
        <f>SUMIFS('2. EGRESOS'!$E:$E,'2. EGRESOS'!$K:$K,$A25,'2. EGRESOS'!$B:$B,M$3)</f>
        <v/>
      </c>
      <c r="N25" s="8">
        <f>SUMIFS('2. EGRESOS'!$E:$E,'2. EGRESOS'!$K:$K,$A25,'2. EGRESOS'!$B:$B,N$3)</f>
        <v/>
      </c>
      <c r="O25" s="8">
        <f>SUMIFS('2. EGRESOS'!$E:$E,'2. EGRESOS'!$K:$K,$A25,'2. EGRESOS'!$B:$B,O$3)</f>
        <v/>
      </c>
      <c r="P25" s="8">
        <f>SUMIFS('2. EGRESOS'!$E:$E,'2. EGRESOS'!$K:$K,$A25,'2. EGRESOS'!$B:$B,P$3)</f>
        <v/>
      </c>
      <c r="Q25" s="8">
        <f>SUMIFS('2. EGRESOS'!$E:$E,'2. EGRESOS'!$K:$K,$A25,'2. EGRESOS'!$B:$B,Q$3)</f>
        <v/>
      </c>
      <c r="R25" s="8">
        <f>SUMIFS('2. EGRESOS'!$E:$E,'2. EGRESOS'!$K:$K,$A25,'2. EGRESOS'!$B:$B,R$3)</f>
        <v/>
      </c>
      <c r="S25" s="8">
        <f>SUMIFS('2. EGRESOS'!$E:$E,'2. EGRESOS'!$K:$K,$A25,'2. EGRESOS'!$B:$B,S$3)</f>
        <v/>
      </c>
      <c r="T25" s="8">
        <f>SUMIFS('2. EGRESOS'!$E:$E,'2. EGRESOS'!$K:$K,$A25,'2. EGRESOS'!$B:$B,T$3)</f>
        <v/>
      </c>
      <c r="U25" s="8">
        <f>SUMIFS('2. EGRESOS'!$E:$E,'2. EGRESOS'!$K:$K,$A25,'2. EGRESOS'!$B:$B,U$3)</f>
        <v/>
      </c>
      <c r="V25" s="8">
        <f>SUMIFS('2. EGRESOS'!$E:$E,'2. EGRESOS'!$K:$K,$A25,'2. EGRESOS'!$B:$B,V$3)</f>
        <v/>
      </c>
      <c r="W25" s="8">
        <f>SUMIFS('2. EGRESOS'!$E:$E,'2. EGRESOS'!$K:$K,$A25,'2. EGRESOS'!$B:$B,W$3)</f>
        <v/>
      </c>
      <c r="X25" s="8">
        <f>SUMIFS('2. EGRESOS'!$E:$E,'2. EGRESOS'!$K:$K,$A25,'2. EGRESOS'!$B:$B,X$3)</f>
        <v/>
      </c>
      <c r="Y25" s="8">
        <f>SUMIFS('2. EGRESOS'!$E:$E,'2. EGRESOS'!$K:$K,$A25,'2. EGRESOS'!$B:$B,Y$3)</f>
        <v/>
      </c>
      <c r="Z25" s="8">
        <f>SUMIFS('2. EGRESOS'!$E:$E,'2. EGRESOS'!$K:$K,$A25,'2. EGRESOS'!$B:$B,Z$3)</f>
        <v/>
      </c>
    </row>
    <row r="26">
      <c r="A26" s="9" t="inlineStr">
        <is>
          <t>1.3.2</t>
        </is>
      </c>
      <c r="B26" s="10" t="inlineStr">
        <is>
          <t xml:space="preserve">  Agua</t>
        </is>
      </c>
      <c r="C26" s="8">
        <f>SUMIFS('2. EGRESOS'!$E:$E,'2. EGRESOS'!$K:$K,$A26,'2. EGRESOS'!$B:$B,C$3)</f>
        <v/>
      </c>
      <c r="D26" s="8">
        <f>SUMIFS('2. EGRESOS'!$E:$E,'2. EGRESOS'!$K:$K,$A26,'2. EGRESOS'!$B:$B,D$3)</f>
        <v/>
      </c>
      <c r="E26" s="8">
        <f>SUMIFS('2. EGRESOS'!$E:$E,'2. EGRESOS'!$K:$K,$A26,'2. EGRESOS'!$B:$B,E$3)</f>
        <v/>
      </c>
      <c r="F26" s="8">
        <f>SUMIFS('2. EGRESOS'!$E:$E,'2. EGRESOS'!$K:$K,$A26,'2. EGRESOS'!$B:$B,F$3)</f>
        <v/>
      </c>
      <c r="G26" s="8">
        <f>SUMIFS('2. EGRESOS'!$E:$E,'2. EGRESOS'!$K:$K,$A26,'2. EGRESOS'!$B:$B,G$3)</f>
        <v/>
      </c>
      <c r="H26" s="8">
        <f>SUMIFS('2. EGRESOS'!$E:$E,'2. EGRESOS'!$K:$K,$A26,'2. EGRESOS'!$B:$B,H$3)</f>
        <v/>
      </c>
      <c r="I26" s="8">
        <f>SUMIFS('2. EGRESOS'!$E:$E,'2. EGRESOS'!$K:$K,$A26,'2. EGRESOS'!$B:$B,I$3)</f>
        <v/>
      </c>
      <c r="J26" s="8">
        <f>SUMIFS('2. EGRESOS'!$E:$E,'2. EGRESOS'!$K:$K,$A26,'2. EGRESOS'!$B:$B,J$3)</f>
        <v/>
      </c>
      <c r="K26" s="8">
        <f>SUMIFS('2. EGRESOS'!$E:$E,'2. EGRESOS'!$K:$K,$A26,'2. EGRESOS'!$B:$B,K$3)</f>
        <v/>
      </c>
      <c r="L26" s="8">
        <f>SUMIFS('2. EGRESOS'!$E:$E,'2. EGRESOS'!$K:$K,$A26,'2. EGRESOS'!$B:$B,L$3)</f>
        <v/>
      </c>
      <c r="M26" s="8">
        <f>SUMIFS('2. EGRESOS'!$E:$E,'2. EGRESOS'!$K:$K,$A26,'2. EGRESOS'!$B:$B,M$3)</f>
        <v/>
      </c>
      <c r="N26" s="8">
        <f>SUMIFS('2. EGRESOS'!$E:$E,'2. EGRESOS'!$K:$K,$A26,'2. EGRESOS'!$B:$B,N$3)</f>
        <v/>
      </c>
      <c r="O26" s="8">
        <f>SUMIFS('2. EGRESOS'!$E:$E,'2. EGRESOS'!$K:$K,$A26,'2. EGRESOS'!$B:$B,O$3)</f>
        <v/>
      </c>
      <c r="P26" s="8">
        <f>SUMIFS('2. EGRESOS'!$E:$E,'2. EGRESOS'!$K:$K,$A26,'2. EGRESOS'!$B:$B,P$3)</f>
        <v/>
      </c>
      <c r="Q26" s="8">
        <f>SUMIFS('2. EGRESOS'!$E:$E,'2. EGRESOS'!$K:$K,$A26,'2. EGRESOS'!$B:$B,Q$3)</f>
        <v/>
      </c>
      <c r="R26" s="8">
        <f>SUMIFS('2. EGRESOS'!$E:$E,'2. EGRESOS'!$K:$K,$A26,'2. EGRESOS'!$B:$B,R$3)</f>
        <v/>
      </c>
      <c r="S26" s="8">
        <f>SUMIFS('2. EGRESOS'!$E:$E,'2. EGRESOS'!$K:$K,$A26,'2. EGRESOS'!$B:$B,S$3)</f>
        <v/>
      </c>
      <c r="T26" s="8">
        <f>SUMIFS('2. EGRESOS'!$E:$E,'2. EGRESOS'!$K:$K,$A26,'2. EGRESOS'!$B:$B,T$3)</f>
        <v/>
      </c>
      <c r="U26" s="8">
        <f>SUMIFS('2. EGRESOS'!$E:$E,'2. EGRESOS'!$K:$K,$A26,'2. EGRESOS'!$B:$B,U$3)</f>
        <v/>
      </c>
      <c r="V26" s="8">
        <f>SUMIFS('2. EGRESOS'!$E:$E,'2. EGRESOS'!$K:$K,$A26,'2. EGRESOS'!$B:$B,V$3)</f>
        <v/>
      </c>
      <c r="W26" s="8">
        <f>SUMIFS('2. EGRESOS'!$E:$E,'2. EGRESOS'!$K:$K,$A26,'2. EGRESOS'!$B:$B,W$3)</f>
        <v/>
      </c>
      <c r="X26" s="8">
        <f>SUMIFS('2. EGRESOS'!$E:$E,'2. EGRESOS'!$K:$K,$A26,'2. EGRESOS'!$B:$B,X$3)</f>
        <v/>
      </c>
      <c r="Y26" s="8">
        <f>SUMIFS('2. EGRESOS'!$E:$E,'2. EGRESOS'!$K:$K,$A26,'2. EGRESOS'!$B:$B,Y$3)</f>
        <v/>
      </c>
      <c r="Z26" s="8">
        <f>SUMIFS('2. EGRESOS'!$E:$E,'2. EGRESOS'!$K:$K,$A26,'2. EGRESOS'!$B:$B,Z$3)</f>
        <v/>
      </c>
    </row>
    <row r="27">
      <c r="A27" s="6" t="inlineStr">
        <is>
          <t>1.3.3</t>
        </is>
      </c>
      <c r="B27" s="7" t="inlineStr">
        <is>
          <t xml:space="preserve">  Luz</t>
        </is>
      </c>
      <c r="C27" s="8">
        <f>SUMIFS('2. EGRESOS'!$E:$E,'2. EGRESOS'!$K:$K,$A27,'2. EGRESOS'!$B:$B,C$3)</f>
        <v/>
      </c>
      <c r="D27" s="8">
        <f>SUMIFS('2. EGRESOS'!$E:$E,'2. EGRESOS'!$K:$K,$A27,'2. EGRESOS'!$B:$B,D$3)</f>
        <v/>
      </c>
      <c r="E27" s="8">
        <f>SUMIFS('2. EGRESOS'!$E:$E,'2. EGRESOS'!$K:$K,$A27,'2. EGRESOS'!$B:$B,E$3)</f>
        <v/>
      </c>
      <c r="F27" s="8">
        <f>SUMIFS('2. EGRESOS'!$E:$E,'2. EGRESOS'!$K:$K,$A27,'2. EGRESOS'!$B:$B,F$3)</f>
        <v/>
      </c>
      <c r="G27" s="8">
        <f>SUMIFS('2. EGRESOS'!$E:$E,'2. EGRESOS'!$K:$K,$A27,'2. EGRESOS'!$B:$B,G$3)</f>
        <v/>
      </c>
      <c r="H27" s="8">
        <f>SUMIFS('2. EGRESOS'!$E:$E,'2. EGRESOS'!$K:$K,$A27,'2. EGRESOS'!$B:$B,H$3)</f>
        <v/>
      </c>
      <c r="I27" s="8">
        <f>SUMIFS('2. EGRESOS'!$E:$E,'2. EGRESOS'!$K:$K,$A27,'2. EGRESOS'!$B:$B,I$3)</f>
        <v/>
      </c>
      <c r="J27" s="8">
        <f>SUMIFS('2. EGRESOS'!$E:$E,'2. EGRESOS'!$K:$K,$A27,'2. EGRESOS'!$B:$B,J$3)</f>
        <v/>
      </c>
      <c r="K27" s="8">
        <f>SUMIFS('2. EGRESOS'!$E:$E,'2. EGRESOS'!$K:$K,$A27,'2. EGRESOS'!$B:$B,K$3)</f>
        <v/>
      </c>
      <c r="L27" s="8">
        <f>SUMIFS('2. EGRESOS'!$E:$E,'2. EGRESOS'!$K:$K,$A27,'2. EGRESOS'!$B:$B,L$3)</f>
        <v/>
      </c>
      <c r="M27" s="8">
        <f>SUMIFS('2. EGRESOS'!$E:$E,'2. EGRESOS'!$K:$K,$A27,'2. EGRESOS'!$B:$B,M$3)</f>
        <v/>
      </c>
      <c r="N27" s="8">
        <f>SUMIFS('2. EGRESOS'!$E:$E,'2. EGRESOS'!$K:$K,$A27,'2. EGRESOS'!$B:$B,N$3)</f>
        <v/>
      </c>
      <c r="O27" s="8">
        <f>SUMIFS('2. EGRESOS'!$E:$E,'2. EGRESOS'!$K:$K,$A27,'2. EGRESOS'!$B:$B,O$3)</f>
        <v/>
      </c>
      <c r="P27" s="8">
        <f>SUMIFS('2. EGRESOS'!$E:$E,'2. EGRESOS'!$K:$K,$A27,'2. EGRESOS'!$B:$B,P$3)</f>
        <v/>
      </c>
      <c r="Q27" s="8">
        <f>SUMIFS('2. EGRESOS'!$E:$E,'2. EGRESOS'!$K:$K,$A27,'2. EGRESOS'!$B:$B,Q$3)</f>
        <v/>
      </c>
      <c r="R27" s="8">
        <f>SUMIFS('2. EGRESOS'!$E:$E,'2. EGRESOS'!$K:$K,$A27,'2. EGRESOS'!$B:$B,R$3)</f>
        <v/>
      </c>
      <c r="S27" s="8">
        <f>SUMIFS('2. EGRESOS'!$E:$E,'2. EGRESOS'!$K:$K,$A27,'2. EGRESOS'!$B:$B,S$3)</f>
        <v/>
      </c>
      <c r="T27" s="8">
        <f>SUMIFS('2. EGRESOS'!$E:$E,'2. EGRESOS'!$K:$K,$A27,'2. EGRESOS'!$B:$B,T$3)</f>
        <v/>
      </c>
      <c r="U27" s="8">
        <f>SUMIFS('2. EGRESOS'!$E:$E,'2. EGRESOS'!$K:$K,$A27,'2. EGRESOS'!$B:$B,U$3)</f>
        <v/>
      </c>
      <c r="V27" s="8">
        <f>SUMIFS('2. EGRESOS'!$E:$E,'2. EGRESOS'!$K:$K,$A27,'2. EGRESOS'!$B:$B,V$3)</f>
        <v/>
      </c>
      <c r="W27" s="8">
        <f>SUMIFS('2. EGRESOS'!$E:$E,'2. EGRESOS'!$K:$K,$A27,'2. EGRESOS'!$B:$B,W$3)</f>
        <v/>
      </c>
      <c r="X27" s="8">
        <f>SUMIFS('2. EGRESOS'!$E:$E,'2. EGRESOS'!$K:$K,$A27,'2. EGRESOS'!$B:$B,X$3)</f>
        <v/>
      </c>
      <c r="Y27" s="8">
        <f>SUMIFS('2. EGRESOS'!$E:$E,'2. EGRESOS'!$K:$K,$A27,'2. EGRESOS'!$B:$B,Y$3)</f>
        <v/>
      </c>
      <c r="Z27" s="8">
        <f>SUMIFS('2. EGRESOS'!$E:$E,'2. EGRESOS'!$K:$K,$A27,'2. EGRESOS'!$B:$B,Z$3)</f>
        <v/>
      </c>
    </row>
    <row r="28">
      <c r="A28" s="9" t="inlineStr">
        <is>
          <t>1.3.4</t>
        </is>
      </c>
      <c r="B28" s="10" t="inlineStr">
        <is>
          <t xml:space="preserve">  Gas</t>
        </is>
      </c>
      <c r="C28" s="8">
        <f>SUMIFS('2. EGRESOS'!$E:$E,'2. EGRESOS'!$K:$K,$A28,'2. EGRESOS'!$B:$B,C$3)</f>
        <v/>
      </c>
      <c r="D28" s="8">
        <f>SUMIFS('2. EGRESOS'!$E:$E,'2. EGRESOS'!$K:$K,$A28,'2. EGRESOS'!$B:$B,D$3)</f>
        <v/>
      </c>
      <c r="E28" s="8">
        <f>SUMIFS('2. EGRESOS'!$E:$E,'2. EGRESOS'!$K:$K,$A28,'2. EGRESOS'!$B:$B,E$3)</f>
        <v/>
      </c>
      <c r="F28" s="8">
        <f>SUMIFS('2. EGRESOS'!$E:$E,'2. EGRESOS'!$K:$K,$A28,'2. EGRESOS'!$B:$B,F$3)</f>
        <v/>
      </c>
      <c r="G28" s="8">
        <f>SUMIFS('2. EGRESOS'!$E:$E,'2. EGRESOS'!$K:$K,$A28,'2. EGRESOS'!$B:$B,G$3)</f>
        <v/>
      </c>
      <c r="H28" s="8">
        <f>SUMIFS('2. EGRESOS'!$E:$E,'2. EGRESOS'!$K:$K,$A28,'2. EGRESOS'!$B:$B,H$3)</f>
        <v/>
      </c>
      <c r="I28" s="8">
        <f>SUMIFS('2. EGRESOS'!$E:$E,'2. EGRESOS'!$K:$K,$A28,'2. EGRESOS'!$B:$B,I$3)</f>
        <v/>
      </c>
      <c r="J28" s="8">
        <f>SUMIFS('2. EGRESOS'!$E:$E,'2. EGRESOS'!$K:$K,$A28,'2. EGRESOS'!$B:$B,J$3)</f>
        <v/>
      </c>
      <c r="K28" s="8">
        <f>SUMIFS('2. EGRESOS'!$E:$E,'2. EGRESOS'!$K:$K,$A28,'2. EGRESOS'!$B:$B,K$3)</f>
        <v/>
      </c>
      <c r="L28" s="8">
        <f>SUMIFS('2. EGRESOS'!$E:$E,'2. EGRESOS'!$K:$K,$A28,'2. EGRESOS'!$B:$B,L$3)</f>
        <v/>
      </c>
      <c r="M28" s="8">
        <f>SUMIFS('2. EGRESOS'!$E:$E,'2. EGRESOS'!$K:$K,$A28,'2. EGRESOS'!$B:$B,M$3)</f>
        <v/>
      </c>
      <c r="N28" s="8">
        <f>SUMIFS('2. EGRESOS'!$E:$E,'2. EGRESOS'!$K:$K,$A28,'2. EGRESOS'!$B:$B,N$3)</f>
        <v/>
      </c>
      <c r="O28" s="8">
        <f>SUMIFS('2. EGRESOS'!$E:$E,'2. EGRESOS'!$K:$K,$A28,'2. EGRESOS'!$B:$B,O$3)</f>
        <v/>
      </c>
      <c r="P28" s="8">
        <f>SUMIFS('2. EGRESOS'!$E:$E,'2. EGRESOS'!$K:$K,$A28,'2. EGRESOS'!$B:$B,P$3)</f>
        <v/>
      </c>
      <c r="Q28" s="8">
        <f>SUMIFS('2. EGRESOS'!$E:$E,'2. EGRESOS'!$K:$K,$A28,'2. EGRESOS'!$B:$B,Q$3)</f>
        <v/>
      </c>
      <c r="R28" s="8">
        <f>SUMIFS('2. EGRESOS'!$E:$E,'2. EGRESOS'!$K:$K,$A28,'2. EGRESOS'!$B:$B,R$3)</f>
        <v/>
      </c>
      <c r="S28" s="8">
        <f>SUMIFS('2. EGRESOS'!$E:$E,'2. EGRESOS'!$K:$K,$A28,'2. EGRESOS'!$B:$B,S$3)</f>
        <v/>
      </c>
      <c r="T28" s="8">
        <f>SUMIFS('2. EGRESOS'!$E:$E,'2. EGRESOS'!$K:$K,$A28,'2. EGRESOS'!$B:$B,T$3)</f>
        <v/>
      </c>
      <c r="U28" s="8">
        <f>SUMIFS('2. EGRESOS'!$E:$E,'2. EGRESOS'!$K:$K,$A28,'2. EGRESOS'!$B:$B,U$3)</f>
        <v/>
      </c>
      <c r="V28" s="8">
        <f>SUMIFS('2. EGRESOS'!$E:$E,'2. EGRESOS'!$K:$K,$A28,'2. EGRESOS'!$B:$B,V$3)</f>
        <v/>
      </c>
      <c r="W28" s="8">
        <f>SUMIFS('2. EGRESOS'!$E:$E,'2. EGRESOS'!$K:$K,$A28,'2. EGRESOS'!$B:$B,W$3)</f>
        <v/>
      </c>
      <c r="X28" s="8">
        <f>SUMIFS('2. EGRESOS'!$E:$E,'2. EGRESOS'!$K:$K,$A28,'2. EGRESOS'!$B:$B,X$3)</f>
        <v/>
      </c>
      <c r="Y28" s="8">
        <f>SUMIFS('2. EGRESOS'!$E:$E,'2. EGRESOS'!$K:$K,$A28,'2. EGRESOS'!$B:$B,Y$3)</f>
        <v/>
      </c>
      <c r="Z28" s="8">
        <f>SUMIFS('2. EGRESOS'!$E:$E,'2. EGRESOS'!$K:$K,$A28,'2. EGRESOS'!$B:$B,Z$3)</f>
        <v/>
      </c>
    </row>
    <row r="29">
      <c r="A29" s="6" t="inlineStr">
        <is>
          <t>1.3.5</t>
        </is>
      </c>
      <c r="B29" s="10" t="inlineStr">
        <is>
          <t xml:space="preserve">  Telecomunicaciones</t>
        </is>
      </c>
      <c r="C29" s="8">
        <f>SUMIFS('2. EGRESOS'!$E:$E,'2. EGRESOS'!$K:$K,$A29,'2. EGRESOS'!$B:$B,C$3)</f>
        <v/>
      </c>
      <c r="D29" s="8">
        <f>SUMIFS('2. EGRESOS'!$E:$E,'2. EGRESOS'!$K:$K,$A29,'2. EGRESOS'!$B:$B,D$3)</f>
        <v/>
      </c>
      <c r="E29" s="8">
        <f>SUMIFS('2. EGRESOS'!$E:$E,'2. EGRESOS'!$K:$K,$A29,'2. EGRESOS'!$B:$B,E$3)</f>
        <v/>
      </c>
      <c r="F29" s="8">
        <f>SUMIFS('2. EGRESOS'!$E:$E,'2. EGRESOS'!$K:$K,$A29,'2. EGRESOS'!$B:$B,F$3)</f>
        <v/>
      </c>
      <c r="G29" s="8">
        <f>SUMIFS('2. EGRESOS'!$E:$E,'2. EGRESOS'!$K:$K,$A29,'2. EGRESOS'!$B:$B,G$3)</f>
        <v/>
      </c>
      <c r="H29" s="8">
        <f>SUMIFS('2. EGRESOS'!$E:$E,'2. EGRESOS'!$K:$K,$A29,'2. EGRESOS'!$B:$B,H$3)</f>
        <v/>
      </c>
      <c r="I29" s="8">
        <f>SUMIFS('2. EGRESOS'!$E:$E,'2. EGRESOS'!$K:$K,$A29,'2. EGRESOS'!$B:$B,I$3)</f>
        <v/>
      </c>
      <c r="J29" s="8">
        <f>SUMIFS('2. EGRESOS'!$E:$E,'2. EGRESOS'!$K:$K,$A29,'2. EGRESOS'!$B:$B,J$3)</f>
        <v/>
      </c>
      <c r="K29" s="8">
        <f>SUMIFS('2. EGRESOS'!$E:$E,'2. EGRESOS'!$K:$K,$A29,'2. EGRESOS'!$B:$B,K$3)</f>
        <v/>
      </c>
      <c r="L29" s="8">
        <f>SUMIFS('2. EGRESOS'!$E:$E,'2. EGRESOS'!$K:$K,$A29,'2. EGRESOS'!$B:$B,L$3)</f>
        <v/>
      </c>
      <c r="M29" s="8">
        <f>SUMIFS('2. EGRESOS'!$E:$E,'2. EGRESOS'!$K:$K,$A29,'2. EGRESOS'!$B:$B,M$3)</f>
        <v/>
      </c>
      <c r="N29" s="8">
        <f>SUMIFS('2. EGRESOS'!$E:$E,'2. EGRESOS'!$K:$K,$A29,'2. EGRESOS'!$B:$B,N$3)</f>
        <v/>
      </c>
      <c r="O29" s="8">
        <f>SUMIFS('2. EGRESOS'!$E:$E,'2. EGRESOS'!$K:$K,$A29,'2. EGRESOS'!$B:$B,O$3)</f>
        <v/>
      </c>
      <c r="P29" s="8">
        <f>SUMIFS('2. EGRESOS'!$E:$E,'2. EGRESOS'!$K:$K,$A29,'2. EGRESOS'!$B:$B,P$3)</f>
        <v/>
      </c>
      <c r="Q29" s="8">
        <f>SUMIFS('2. EGRESOS'!$E:$E,'2. EGRESOS'!$K:$K,$A29,'2. EGRESOS'!$B:$B,Q$3)</f>
        <v/>
      </c>
      <c r="R29" s="8">
        <f>SUMIFS('2. EGRESOS'!$E:$E,'2. EGRESOS'!$K:$K,$A29,'2. EGRESOS'!$B:$B,R$3)</f>
        <v/>
      </c>
      <c r="S29" s="8">
        <f>SUMIFS('2. EGRESOS'!$E:$E,'2. EGRESOS'!$K:$K,$A29,'2. EGRESOS'!$B:$B,S$3)</f>
        <v/>
      </c>
      <c r="T29" s="8">
        <f>SUMIFS('2. EGRESOS'!$E:$E,'2. EGRESOS'!$K:$K,$A29,'2. EGRESOS'!$B:$B,T$3)</f>
        <v/>
      </c>
      <c r="U29" s="8">
        <f>SUMIFS('2. EGRESOS'!$E:$E,'2. EGRESOS'!$K:$K,$A29,'2. EGRESOS'!$B:$B,U$3)</f>
        <v/>
      </c>
      <c r="V29" s="8">
        <f>SUMIFS('2. EGRESOS'!$E:$E,'2. EGRESOS'!$K:$K,$A29,'2. EGRESOS'!$B:$B,V$3)</f>
        <v/>
      </c>
      <c r="W29" s="8">
        <f>SUMIFS('2. EGRESOS'!$E:$E,'2. EGRESOS'!$K:$K,$A29,'2. EGRESOS'!$B:$B,W$3)</f>
        <v/>
      </c>
      <c r="X29" s="8">
        <f>SUMIFS('2. EGRESOS'!$E:$E,'2. EGRESOS'!$K:$K,$A29,'2. EGRESOS'!$B:$B,X$3)</f>
        <v/>
      </c>
      <c r="Y29" s="8">
        <f>SUMIFS('2. EGRESOS'!$E:$E,'2. EGRESOS'!$K:$K,$A29,'2. EGRESOS'!$B:$B,Y$3)</f>
        <v/>
      </c>
      <c r="Z29" s="8">
        <f>SUMIFS('2. EGRESOS'!$E:$E,'2. EGRESOS'!$K:$K,$A29,'2. EGRESOS'!$B:$B,Z$3)</f>
        <v/>
      </c>
    </row>
    <row r="30">
      <c r="A30" s="9" t="inlineStr">
        <is>
          <t>1.3.6</t>
        </is>
      </c>
      <c r="B30" s="10" t="inlineStr">
        <is>
          <t xml:space="preserve">  Mantenciones</t>
        </is>
      </c>
      <c r="C30" s="8">
        <f>SUMIFS('2. EGRESOS'!$E:$E,'2. EGRESOS'!$K:$K,$A30,'2. EGRESOS'!$B:$B,C$3)</f>
        <v/>
      </c>
      <c r="D30" s="8">
        <f>SUMIFS('2. EGRESOS'!$E:$E,'2. EGRESOS'!$K:$K,$A30,'2. EGRESOS'!$B:$B,D$3)</f>
        <v/>
      </c>
      <c r="E30" s="8">
        <f>SUMIFS('2. EGRESOS'!$E:$E,'2. EGRESOS'!$K:$K,$A30,'2. EGRESOS'!$B:$B,E$3)</f>
        <v/>
      </c>
      <c r="F30" s="8">
        <f>SUMIFS('2. EGRESOS'!$E:$E,'2. EGRESOS'!$K:$K,$A30,'2. EGRESOS'!$B:$B,F$3)</f>
        <v/>
      </c>
      <c r="G30" s="8">
        <f>SUMIFS('2. EGRESOS'!$E:$E,'2. EGRESOS'!$K:$K,$A30,'2. EGRESOS'!$B:$B,G$3)</f>
        <v/>
      </c>
      <c r="H30" s="8">
        <f>SUMIFS('2. EGRESOS'!$E:$E,'2. EGRESOS'!$K:$K,$A30,'2. EGRESOS'!$B:$B,H$3)</f>
        <v/>
      </c>
      <c r="I30" s="8">
        <f>SUMIFS('2. EGRESOS'!$E:$E,'2. EGRESOS'!$K:$K,$A30,'2. EGRESOS'!$B:$B,I$3)</f>
        <v/>
      </c>
      <c r="J30" s="8">
        <f>SUMIFS('2. EGRESOS'!$E:$E,'2. EGRESOS'!$K:$K,$A30,'2. EGRESOS'!$B:$B,J$3)</f>
        <v/>
      </c>
      <c r="K30" s="8">
        <f>SUMIFS('2. EGRESOS'!$E:$E,'2. EGRESOS'!$K:$K,$A30,'2. EGRESOS'!$B:$B,K$3)</f>
        <v/>
      </c>
      <c r="L30" s="8">
        <f>SUMIFS('2. EGRESOS'!$E:$E,'2. EGRESOS'!$K:$K,$A30,'2. EGRESOS'!$B:$B,L$3)</f>
        <v/>
      </c>
      <c r="M30" s="8">
        <f>SUMIFS('2. EGRESOS'!$E:$E,'2. EGRESOS'!$K:$K,$A30,'2. EGRESOS'!$B:$B,M$3)</f>
        <v/>
      </c>
      <c r="N30" s="8">
        <f>SUMIFS('2. EGRESOS'!$E:$E,'2. EGRESOS'!$K:$K,$A30,'2. EGRESOS'!$B:$B,N$3)</f>
        <v/>
      </c>
      <c r="O30" s="8">
        <f>SUMIFS('2. EGRESOS'!$E:$E,'2. EGRESOS'!$K:$K,$A30,'2. EGRESOS'!$B:$B,O$3)</f>
        <v/>
      </c>
      <c r="P30" s="8">
        <f>SUMIFS('2. EGRESOS'!$E:$E,'2. EGRESOS'!$K:$K,$A30,'2. EGRESOS'!$B:$B,P$3)</f>
        <v/>
      </c>
      <c r="Q30" s="8">
        <f>SUMIFS('2. EGRESOS'!$E:$E,'2. EGRESOS'!$K:$K,$A30,'2. EGRESOS'!$B:$B,Q$3)</f>
        <v/>
      </c>
      <c r="R30" s="8">
        <f>SUMIFS('2. EGRESOS'!$E:$E,'2. EGRESOS'!$K:$K,$A30,'2. EGRESOS'!$B:$B,R$3)</f>
        <v/>
      </c>
      <c r="S30" s="8">
        <f>SUMIFS('2. EGRESOS'!$E:$E,'2. EGRESOS'!$K:$K,$A30,'2. EGRESOS'!$B:$B,S$3)</f>
        <v/>
      </c>
      <c r="T30" s="8">
        <f>SUMIFS('2. EGRESOS'!$E:$E,'2. EGRESOS'!$K:$K,$A30,'2. EGRESOS'!$B:$B,T$3)</f>
        <v/>
      </c>
      <c r="U30" s="8">
        <f>SUMIFS('2. EGRESOS'!$E:$E,'2. EGRESOS'!$K:$K,$A30,'2. EGRESOS'!$B:$B,U$3)</f>
        <v/>
      </c>
      <c r="V30" s="8">
        <f>SUMIFS('2. EGRESOS'!$E:$E,'2. EGRESOS'!$K:$K,$A30,'2. EGRESOS'!$B:$B,V$3)</f>
        <v/>
      </c>
      <c r="W30" s="8">
        <f>SUMIFS('2. EGRESOS'!$E:$E,'2. EGRESOS'!$K:$K,$A30,'2. EGRESOS'!$B:$B,W$3)</f>
        <v/>
      </c>
      <c r="X30" s="8">
        <f>SUMIFS('2. EGRESOS'!$E:$E,'2. EGRESOS'!$K:$K,$A30,'2. EGRESOS'!$B:$B,X$3)</f>
        <v/>
      </c>
      <c r="Y30" s="8">
        <f>SUMIFS('2. EGRESOS'!$E:$E,'2. EGRESOS'!$K:$K,$A30,'2. EGRESOS'!$B:$B,Y$3)</f>
        <v/>
      </c>
      <c r="Z30" s="8">
        <f>SUMIFS('2. EGRESOS'!$E:$E,'2. EGRESOS'!$K:$K,$A30,'2. EGRESOS'!$B:$B,Z$3)</f>
        <v/>
      </c>
    </row>
    <row r="31">
      <c r="A31" s="6" t="inlineStr">
        <is>
          <t>1.3.7</t>
        </is>
      </c>
      <c r="B31" s="7" t="inlineStr">
        <is>
          <t xml:space="preserve">  Fumigaciones</t>
        </is>
      </c>
      <c r="C31" s="8">
        <f>SUMIFS('2. EGRESOS'!$E:$E,'2. EGRESOS'!$K:$K,$A31,'2. EGRESOS'!$B:$B,C$3)</f>
        <v/>
      </c>
      <c r="D31" s="8">
        <f>SUMIFS('2. EGRESOS'!$E:$E,'2. EGRESOS'!$K:$K,$A31,'2. EGRESOS'!$B:$B,D$3)</f>
        <v/>
      </c>
      <c r="E31" s="8">
        <f>SUMIFS('2. EGRESOS'!$E:$E,'2. EGRESOS'!$K:$K,$A31,'2. EGRESOS'!$B:$B,E$3)</f>
        <v/>
      </c>
      <c r="F31" s="8">
        <f>SUMIFS('2. EGRESOS'!$E:$E,'2. EGRESOS'!$K:$K,$A31,'2. EGRESOS'!$B:$B,F$3)</f>
        <v/>
      </c>
      <c r="G31" s="8">
        <f>SUMIFS('2. EGRESOS'!$E:$E,'2. EGRESOS'!$K:$K,$A31,'2. EGRESOS'!$B:$B,G$3)</f>
        <v/>
      </c>
      <c r="H31" s="8">
        <f>SUMIFS('2. EGRESOS'!$E:$E,'2. EGRESOS'!$K:$K,$A31,'2. EGRESOS'!$B:$B,H$3)</f>
        <v/>
      </c>
      <c r="I31" s="8">
        <f>SUMIFS('2. EGRESOS'!$E:$E,'2. EGRESOS'!$K:$K,$A31,'2. EGRESOS'!$B:$B,I$3)</f>
        <v/>
      </c>
      <c r="J31" s="8">
        <f>SUMIFS('2. EGRESOS'!$E:$E,'2. EGRESOS'!$K:$K,$A31,'2. EGRESOS'!$B:$B,J$3)</f>
        <v/>
      </c>
      <c r="K31" s="8">
        <f>SUMIFS('2. EGRESOS'!$E:$E,'2. EGRESOS'!$K:$K,$A31,'2. EGRESOS'!$B:$B,K$3)</f>
        <v/>
      </c>
      <c r="L31" s="8">
        <f>SUMIFS('2. EGRESOS'!$E:$E,'2. EGRESOS'!$K:$K,$A31,'2. EGRESOS'!$B:$B,L$3)</f>
        <v/>
      </c>
      <c r="M31" s="8">
        <f>SUMIFS('2. EGRESOS'!$E:$E,'2. EGRESOS'!$K:$K,$A31,'2. EGRESOS'!$B:$B,M$3)</f>
        <v/>
      </c>
      <c r="N31" s="8">
        <f>SUMIFS('2. EGRESOS'!$E:$E,'2. EGRESOS'!$K:$K,$A31,'2. EGRESOS'!$B:$B,N$3)</f>
        <v/>
      </c>
      <c r="O31" s="8">
        <f>SUMIFS('2. EGRESOS'!$E:$E,'2. EGRESOS'!$K:$K,$A31,'2. EGRESOS'!$B:$B,O$3)</f>
        <v/>
      </c>
      <c r="P31" s="8">
        <f>SUMIFS('2. EGRESOS'!$E:$E,'2. EGRESOS'!$K:$K,$A31,'2. EGRESOS'!$B:$B,P$3)</f>
        <v/>
      </c>
      <c r="Q31" s="8">
        <f>SUMIFS('2. EGRESOS'!$E:$E,'2. EGRESOS'!$K:$K,$A31,'2. EGRESOS'!$B:$B,Q$3)</f>
        <v/>
      </c>
      <c r="R31" s="8">
        <f>SUMIFS('2. EGRESOS'!$E:$E,'2. EGRESOS'!$K:$K,$A31,'2. EGRESOS'!$B:$B,R$3)</f>
        <v/>
      </c>
      <c r="S31" s="8">
        <f>SUMIFS('2. EGRESOS'!$E:$E,'2. EGRESOS'!$K:$K,$A31,'2. EGRESOS'!$B:$B,S$3)</f>
        <v/>
      </c>
      <c r="T31" s="8">
        <f>SUMIFS('2. EGRESOS'!$E:$E,'2. EGRESOS'!$K:$K,$A31,'2. EGRESOS'!$B:$B,T$3)</f>
        <v/>
      </c>
      <c r="U31" s="8">
        <f>SUMIFS('2. EGRESOS'!$E:$E,'2. EGRESOS'!$K:$K,$A31,'2. EGRESOS'!$B:$B,U$3)</f>
        <v/>
      </c>
      <c r="V31" s="8">
        <f>SUMIFS('2. EGRESOS'!$E:$E,'2. EGRESOS'!$K:$K,$A31,'2. EGRESOS'!$B:$B,V$3)</f>
        <v/>
      </c>
      <c r="W31" s="8">
        <f>SUMIFS('2. EGRESOS'!$E:$E,'2. EGRESOS'!$K:$K,$A31,'2. EGRESOS'!$B:$B,W$3)</f>
        <v/>
      </c>
      <c r="X31" s="8">
        <f>SUMIFS('2. EGRESOS'!$E:$E,'2. EGRESOS'!$K:$K,$A31,'2. EGRESOS'!$B:$B,X$3)</f>
        <v/>
      </c>
      <c r="Y31" s="8">
        <f>SUMIFS('2. EGRESOS'!$E:$E,'2. EGRESOS'!$K:$K,$A31,'2. EGRESOS'!$B:$B,Y$3)</f>
        <v/>
      </c>
      <c r="Z31" s="8">
        <f>SUMIFS('2. EGRESOS'!$E:$E,'2. EGRESOS'!$K:$K,$A31,'2. EGRESOS'!$B:$B,Z$3)</f>
        <v/>
      </c>
    </row>
    <row r="32">
      <c r="A32" s="9" t="inlineStr">
        <is>
          <t>1.3.8</t>
        </is>
      </c>
      <c r="B32" s="10" t="inlineStr">
        <is>
          <t xml:space="preserve">  Limpieza y Aseo</t>
        </is>
      </c>
      <c r="C32" s="8">
        <f>SUMIFS('2. EGRESOS'!$E:$E,'2. EGRESOS'!$K:$K,$A32,'2. EGRESOS'!$B:$B,C$3)</f>
        <v/>
      </c>
      <c r="D32" s="8">
        <f>SUMIFS('2. EGRESOS'!$E:$E,'2. EGRESOS'!$K:$K,$A32,'2. EGRESOS'!$B:$B,D$3)</f>
        <v/>
      </c>
      <c r="E32" s="8">
        <f>SUMIFS('2. EGRESOS'!$E:$E,'2. EGRESOS'!$K:$K,$A32,'2. EGRESOS'!$B:$B,E$3)</f>
        <v/>
      </c>
      <c r="F32" s="8">
        <f>SUMIFS('2. EGRESOS'!$E:$E,'2. EGRESOS'!$K:$K,$A32,'2. EGRESOS'!$B:$B,F$3)</f>
        <v/>
      </c>
      <c r="G32" s="8">
        <f>SUMIFS('2. EGRESOS'!$E:$E,'2. EGRESOS'!$K:$K,$A32,'2. EGRESOS'!$B:$B,G$3)</f>
        <v/>
      </c>
      <c r="H32" s="8">
        <f>SUMIFS('2. EGRESOS'!$E:$E,'2. EGRESOS'!$K:$K,$A32,'2. EGRESOS'!$B:$B,H$3)</f>
        <v/>
      </c>
      <c r="I32" s="8">
        <f>SUMIFS('2. EGRESOS'!$E:$E,'2. EGRESOS'!$K:$K,$A32,'2. EGRESOS'!$B:$B,I$3)</f>
        <v/>
      </c>
      <c r="J32" s="8">
        <f>SUMIFS('2. EGRESOS'!$E:$E,'2. EGRESOS'!$K:$K,$A32,'2. EGRESOS'!$B:$B,J$3)</f>
        <v/>
      </c>
      <c r="K32" s="8">
        <f>SUMIFS('2. EGRESOS'!$E:$E,'2. EGRESOS'!$K:$K,$A32,'2. EGRESOS'!$B:$B,K$3)</f>
        <v/>
      </c>
      <c r="L32" s="8">
        <f>SUMIFS('2. EGRESOS'!$E:$E,'2. EGRESOS'!$K:$K,$A32,'2. EGRESOS'!$B:$B,L$3)</f>
        <v/>
      </c>
      <c r="M32" s="8">
        <f>SUMIFS('2. EGRESOS'!$E:$E,'2. EGRESOS'!$K:$K,$A32,'2. EGRESOS'!$B:$B,M$3)</f>
        <v/>
      </c>
      <c r="N32" s="8">
        <f>SUMIFS('2. EGRESOS'!$E:$E,'2. EGRESOS'!$K:$K,$A32,'2. EGRESOS'!$B:$B,N$3)</f>
        <v/>
      </c>
      <c r="O32" s="8">
        <f>SUMIFS('2. EGRESOS'!$E:$E,'2. EGRESOS'!$K:$K,$A32,'2. EGRESOS'!$B:$B,O$3)</f>
        <v/>
      </c>
      <c r="P32" s="8">
        <f>SUMIFS('2. EGRESOS'!$E:$E,'2. EGRESOS'!$K:$K,$A32,'2. EGRESOS'!$B:$B,P$3)</f>
        <v/>
      </c>
      <c r="Q32" s="8">
        <f>SUMIFS('2. EGRESOS'!$E:$E,'2. EGRESOS'!$K:$K,$A32,'2. EGRESOS'!$B:$B,Q$3)</f>
        <v/>
      </c>
      <c r="R32" s="8">
        <f>SUMIFS('2. EGRESOS'!$E:$E,'2. EGRESOS'!$K:$K,$A32,'2. EGRESOS'!$B:$B,R$3)</f>
        <v/>
      </c>
      <c r="S32" s="8">
        <f>SUMIFS('2. EGRESOS'!$E:$E,'2. EGRESOS'!$K:$K,$A32,'2. EGRESOS'!$B:$B,S$3)</f>
        <v/>
      </c>
      <c r="T32" s="8">
        <f>SUMIFS('2. EGRESOS'!$E:$E,'2. EGRESOS'!$K:$K,$A32,'2. EGRESOS'!$B:$B,T$3)</f>
        <v/>
      </c>
      <c r="U32" s="8">
        <f>SUMIFS('2. EGRESOS'!$E:$E,'2. EGRESOS'!$K:$K,$A32,'2. EGRESOS'!$B:$B,U$3)</f>
        <v/>
      </c>
      <c r="V32" s="8">
        <f>SUMIFS('2. EGRESOS'!$E:$E,'2. EGRESOS'!$K:$K,$A32,'2. EGRESOS'!$B:$B,V$3)</f>
        <v/>
      </c>
      <c r="W32" s="8">
        <f>SUMIFS('2. EGRESOS'!$E:$E,'2. EGRESOS'!$K:$K,$A32,'2. EGRESOS'!$B:$B,W$3)</f>
        <v/>
      </c>
      <c r="X32" s="8">
        <f>SUMIFS('2. EGRESOS'!$E:$E,'2. EGRESOS'!$K:$K,$A32,'2. EGRESOS'!$B:$B,X$3)</f>
        <v/>
      </c>
      <c r="Y32" s="8">
        <f>SUMIFS('2. EGRESOS'!$E:$E,'2. EGRESOS'!$K:$K,$A32,'2. EGRESOS'!$B:$B,Y$3)</f>
        <v/>
      </c>
      <c r="Z32" s="8">
        <f>SUMIFS('2. EGRESOS'!$E:$E,'2. EGRESOS'!$K:$K,$A32,'2. EGRESOS'!$B:$B,Z$3)</f>
        <v/>
      </c>
    </row>
    <row r="33">
      <c r="A33" s="6" t="inlineStr">
        <is>
          <t>1.3.9</t>
        </is>
      </c>
      <c r="B33" s="10" t="inlineStr">
        <is>
          <t xml:space="preserve">  Seguridad</t>
        </is>
      </c>
      <c r="C33" s="8">
        <f>SUMIFS('2. EGRESOS'!$E:$E,'2. EGRESOS'!$K:$K,$A33,'2. EGRESOS'!$B:$B,C$3)</f>
        <v/>
      </c>
      <c r="D33" s="8">
        <f>SUMIFS('2. EGRESOS'!$E:$E,'2. EGRESOS'!$K:$K,$A33,'2. EGRESOS'!$B:$B,D$3)</f>
        <v/>
      </c>
      <c r="E33" s="8">
        <f>SUMIFS('2. EGRESOS'!$E:$E,'2. EGRESOS'!$K:$K,$A33,'2. EGRESOS'!$B:$B,E$3)</f>
        <v/>
      </c>
      <c r="F33" s="8">
        <f>SUMIFS('2. EGRESOS'!$E:$E,'2. EGRESOS'!$K:$K,$A33,'2. EGRESOS'!$B:$B,F$3)</f>
        <v/>
      </c>
      <c r="G33" s="8">
        <f>SUMIFS('2. EGRESOS'!$E:$E,'2. EGRESOS'!$K:$K,$A33,'2. EGRESOS'!$B:$B,G$3)</f>
        <v/>
      </c>
      <c r="H33" s="8">
        <f>SUMIFS('2. EGRESOS'!$E:$E,'2. EGRESOS'!$K:$K,$A33,'2. EGRESOS'!$B:$B,H$3)</f>
        <v/>
      </c>
      <c r="I33" s="8">
        <f>SUMIFS('2. EGRESOS'!$E:$E,'2. EGRESOS'!$K:$K,$A33,'2. EGRESOS'!$B:$B,I$3)</f>
        <v/>
      </c>
      <c r="J33" s="8">
        <f>SUMIFS('2. EGRESOS'!$E:$E,'2. EGRESOS'!$K:$K,$A33,'2. EGRESOS'!$B:$B,J$3)</f>
        <v/>
      </c>
      <c r="K33" s="8">
        <f>SUMIFS('2. EGRESOS'!$E:$E,'2. EGRESOS'!$K:$K,$A33,'2. EGRESOS'!$B:$B,K$3)</f>
        <v/>
      </c>
      <c r="L33" s="8">
        <f>SUMIFS('2. EGRESOS'!$E:$E,'2. EGRESOS'!$K:$K,$A33,'2. EGRESOS'!$B:$B,L$3)</f>
        <v/>
      </c>
      <c r="M33" s="8">
        <f>SUMIFS('2. EGRESOS'!$E:$E,'2. EGRESOS'!$K:$K,$A33,'2. EGRESOS'!$B:$B,M$3)</f>
        <v/>
      </c>
      <c r="N33" s="8">
        <f>SUMIFS('2. EGRESOS'!$E:$E,'2. EGRESOS'!$K:$K,$A33,'2. EGRESOS'!$B:$B,N$3)</f>
        <v/>
      </c>
      <c r="O33" s="8">
        <f>SUMIFS('2. EGRESOS'!$E:$E,'2. EGRESOS'!$K:$K,$A33,'2. EGRESOS'!$B:$B,O$3)</f>
        <v/>
      </c>
      <c r="P33" s="8">
        <f>SUMIFS('2. EGRESOS'!$E:$E,'2. EGRESOS'!$K:$K,$A33,'2. EGRESOS'!$B:$B,P$3)</f>
        <v/>
      </c>
      <c r="Q33" s="8">
        <f>SUMIFS('2. EGRESOS'!$E:$E,'2. EGRESOS'!$K:$K,$A33,'2. EGRESOS'!$B:$B,Q$3)</f>
        <v/>
      </c>
      <c r="R33" s="8">
        <f>SUMIFS('2. EGRESOS'!$E:$E,'2. EGRESOS'!$K:$K,$A33,'2. EGRESOS'!$B:$B,R$3)</f>
        <v/>
      </c>
      <c r="S33" s="8">
        <f>SUMIFS('2. EGRESOS'!$E:$E,'2. EGRESOS'!$K:$K,$A33,'2. EGRESOS'!$B:$B,S$3)</f>
        <v/>
      </c>
      <c r="T33" s="8">
        <f>SUMIFS('2. EGRESOS'!$E:$E,'2. EGRESOS'!$K:$K,$A33,'2. EGRESOS'!$B:$B,T$3)</f>
        <v/>
      </c>
      <c r="U33" s="8">
        <f>SUMIFS('2. EGRESOS'!$E:$E,'2. EGRESOS'!$K:$K,$A33,'2. EGRESOS'!$B:$B,U$3)</f>
        <v/>
      </c>
      <c r="V33" s="8">
        <f>SUMIFS('2. EGRESOS'!$E:$E,'2. EGRESOS'!$K:$K,$A33,'2. EGRESOS'!$B:$B,V$3)</f>
        <v/>
      </c>
      <c r="W33" s="8">
        <f>SUMIFS('2. EGRESOS'!$E:$E,'2. EGRESOS'!$K:$K,$A33,'2. EGRESOS'!$B:$B,W$3)</f>
        <v/>
      </c>
      <c r="X33" s="8">
        <f>SUMIFS('2. EGRESOS'!$E:$E,'2. EGRESOS'!$K:$K,$A33,'2. EGRESOS'!$B:$B,X$3)</f>
        <v/>
      </c>
      <c r="Y33" s="8">
        <f>SUMIFS('2. EGRESOS'!$E:$E,'2. EGRESOS'!$K:$K,$A33,'2. EGRESOS'!$B:$B,Y$3)</f>
        <v/>
      </c>
      <c r="Z33" s="8">
        <f>SUMIFS('2. EGRESOS'!$E:$E,'2. EGRESOS'!$K:$K,$A33,'2. EGRESOS'!$B:$B,Z$3)</f>
        <v/>
      </c>
    </row>
    <row r="34">
      <c r="A34" s="9" t="inlineStr">
        <is>
          <t>1.3.10</t>
        </is>
      </c>
      <c r="B34" s="10" t="inlineStr">
        <is>
          <t xml:space="preserve">  Equipamiento Local</t>
        </is>
      </c>
      <c r="C34" s="8">
        <f>SUMIFS('2. EGRESOS'!$E:$E,'2. EGRESOS'!$K:$K,$A34,'2. EGRESOS'!$B:$B,C$3)</f>
        <v/>
      </c>
      <c r="D34" s="8">
        <f>SUMIFS('2. EGRESOS'!$E:$E,'2. EGRESOS'!$K:$K,$A34,'2. EGRESOS'!$B:$B,D$3)</f>
        <v/>
      </c>
      <c r="E34" s="8">
        <f>SUMIFS('2. EGRESOS'!$E:$E,'2. EGRESOS'!$K:$K,$A34,'2. EGRESOS'!$B:$B,E$3)</f>
        <v/>
      </c>
      <c r="F34" s="8">
        <f>SUMIFS('2. EGRESOS'!$E:$E,'2. EGRESOS'!$K:$K,$A34,'2. EGRESOS'!$B:$B,F$3)</f>
        <v/>
      </c>
      <c r="G34" s="8">
        <f>SUMIFS('2. EGRESOS'!$E:$E,'2. EGRESOS'!$K:$K,$A34,'2. EGRESOS'!$B:$B,G$3)</f>
        <v/>
      </c>
      <c r="H34" s="8">
        <f>SUMIFS('2. EGRESOS'!$E:$E,'2. EGRESOS'!$K:$K,$A34,'2. EGRESOS'!$B:$B,H$3)</f>
        <v/>
      </c>
      <c r="I34" s="8">
        <f>SUMIFS('2. EGRESOS'!$E:$E,'2. EGRESOS'!$K:$K,$A34,'2. EGRESOS'!$B:$B,I$3)</f>
        <v/>
      </c>
      <c r="J34" s="8">
        <f>SUMIFS('2. EGRESOS'!$E:$E,'2. EGRESOS'!$K:$K,$A34,'2. EGRESOS'!$B:$B,J$3)</f>
        <v/>
      </c>
      <c r="K34" s="8">
        <f>SUMIFS('2. EGRESOS'!$E:$E,'2. EGRESOS'!$K:$K,$A34,'2. EGRESOS'!$B:$B,K$3)</f>
        <v/>
      </c>
      <c r="L34" s="8">
        <f>SUMIFS('2. EGRESOS'!$E:$E,'2. EGRESOS'!$K:$K,$A34,'2. EGRESOS'!$B:$B,L$3)</f>
        <v/>
      </c>
      <c r="M34" s="8">
        <f>SUMIFS('2. EGRESOS'!$E:$E,'2. EGRESOS'!$K:$K,$A34,'2. EGRESOS'!$B:$B,M$3)</f>
        <v/>
      </c>
      <c r="N34" s="8">
        <f>SUMIFS('2. EGRESOS'!$E:$E,'2. EGRESOS'!$K:$K,$A34,'2. EGRESOS'!$B:$B,N$3)</f>
        <v/>
      </c>
      <c r="O34" s="8">
        <f>SUMIFS('2. EGRESOS'!$E:$E,'2. EGRESOS'!$K:$K,$A34,'2. EGRESOS'!$B:$B,O$3)</f>
        <v/>
      </c>
      <c r="P34" s="8">
        <f>SUMIFS('2. EGRESOS'!$E:$E,'2. EGRESOS'!$K:$K,$A34,'2. EGRESOS'!$B:$B,P$3)</f>
        <v/>
      </c>
      <c r="Q34" s="8">
        <f>SUMIFS('2. EGRESOS'!$E:$E,'2. EGRESOS'!$K:$K,$A34,'2. EGRESOS'!$B:$B,Q$3)</f>
        <v/>
      </c>
      <c r="R34" s="8">
        <f>SUMIFS('2. EGRESOS'!$E:$E,'2. EGRESOS'!$K:$K,$A34,'2. EGRESOS'!$B:$B,R$3)</f>
        <v/>
      </c>
      <c r="S34" s="8">
        <f>SUMIFS('2. EGRESOS'!$E:$E,'2. EGRESOS'!$K:$K,$A34,'2. EGRESOS'!$B:$B,S$3)</f>
        <v/>
      </c>
      <c r="T34" s="8">
        <f>SUMIFS('2. EGRESOS'!$E:$E,'2. EGRESOS'!$K:$K,$A34,'2. EGRESOS'!$B:$B,T$3)</f>
        <v/>
      </c>
      <c r="U34" s="8">
        <f>SUMIFS('2. EGRESOS'!$E:$E,'2. EGRESOS'!$K:$K,$A34,'2. EGRESOS'!$B:$B,U$3)</f>
        <v/>
      </c>
      <c r="V34" s="8">
        <f>SUMIFS('2. EGRESOS'!$E:$E,'2. EGRESOS'!$K:$K,$A34,'2. EGRESOS'!$B:$B,V$3)</f>
        <v/>
      </c>
      <c r="W34" s="8">
        <f>SUMIFS('2. EGRESOS'!$E:$E,'2. EGRESOS'!$K:$K,$A34,'2. EGRESOS'!$B:$B,W$3)</f>
        <v/>
      </c>
      <c r="X34" s="8">
        <f>SUMIFS('2. EGRESOS'!$E:$E,'2. EGRESOS'!$K:$K,$A34,'2. EGRESOS'!$B:$B,X$3)</f>
        <v/>
      </c>
      <c r="Y34" s="8">
        <f>SUMIFS('2. EGRESOS'!$E:$E,'2. EGRESOS'!$K:$K,$A34,'2. EGRESOS'!$B:$B,Y$3)</f>
        <v/>
      </c>
      <c r="Z34" s="8">
        <f>SUMIFS('2. EGRESOS'!$E:$E,'2. EGRESOS'!$K:$K,$A34,'2. EGRESOS'!$B:$B,Z$3)</f>
        <v/>
      </c>
    </row>
    <row r="35">
      <c r="A35" s="3" t="inlineStr">
        <is>
          <t>CC4</t>
        </is>
      </c>
      <c r="B35" s="4" t="inlineStr">
        <is>
          <t>Carrito</t>
        </is>
      </c>
      <c r="C35" s="5">
        <f>+SUBTOTAL(9,C36:C40)</f>
        <v/>
      </c>
      <c r="D35" s="5">
        <f>+SUBTOTAL(9,D36:D40)</f>
        <v/>
      </c>
      <c r="E35" s="5">
        <f>+SUBTOTAL(9,E36:E40)</f>
        <v/>
      </c>
      <c r="F35" s="5">
        <f>+SUBTOTAL(9,F36:F40)</f>
        <v/>
      </c>
      <c r="G35" s="5">
        <f>+SUBTOTAL(9,G36:G40)</f>
        <v/>
      </c>
      <c r="H35" s="5">
        <f>+SUBTOTAL(9,H36:H40)</f>
        <v/>
      </c>
      <c r="I35" s="5">
        <f>+SUBTOTAL(9,I36:I40)</f>
        <v/>
      </c>
      <c r="J35" s="5">
        <f>+SUBTOTAL(9,J36:J40)</f>
        <v/>
      </c>
      <c r="K35" s="5">
        <f>+SUBTOTAL(9,K36:K40)</f>
        <v/>
      </c>
      <c r="L35" s="5">
        <f>+SUBTOTAL(9,L36:L40)</f>
        <v/>
      </c>
      <c r="M35" s="5">
        <f>+SUBTOTAL(9,M36:M40)</f>
        <v/>
      </c>
      <c r="N35" s="5">
        <f>+SUBTOTAL(9,N36:N40)</f>
        <v/>
      </c>
      <c r="O35" s="5">
        <f>+SUBTOTAL(9,O36:O40)</f>
        <v/>
      </c>
      <c r="P35" s="5">
        <f>+SUBTOTAL(9,P36:P40)</f>
        <v/>
      </c>
      <c r="Q35" s="5">
        <f>+SUBTOTAL(9,Q36:Q40)</f>
        <v/>
      </c>
      <c r="R35" s="5">
        <f>+SUBTOTAL(9,R36:R40)</f>
        <v/>
      </c>
      <c r="S35" s="5">
        <f>+SUBTOTAL(9,S36:S40)</f>
        <v/>
      </c>
      <c r="T35" s="5">
        <f>+SUBTOTAL(9,T36:T40)</f>
        <v/>
      </c>
      <c r="U35" s="5">
        <f>+SUBTOTAL(9,U36:U40)</f>
        <v/>
      </c>
      <c r="V35" s="5">
        <f>+SUBTOTAL(9,V36:V40)</f>
        <v/>
      </c>
      <c r="W35" s="5">
        <f>+SUBTOTAL(9,W36:W40)</f>
        <v/>
      </c>
      <c r="X35" s="5">
        <f>+SUBTOTAL(9,X36:X40)</f>
        <v/>
      </c>
      <c r="Y35" s="5">
        <f>+SUBTOTAL(9,Y36:Y40)</f>
        <v/>
      </c>
      <c r="Z35" s="5">
        <f>+SUBTOTAL(9,Z36:Z40)</f>
        <v/>
      </c>
    </row>
    <row r="36">
      <c r="A36" s="9" t="inlineStr">
        <is>
          <t>1.4.1</t>
        </is>
      </c>
      <c r="B36" s="10" t="inlineStr">
        <is>
          <t>Inversión Carro</t>
        </is>
      </c>
      <c r="C36" s="8">
        <f>SUMIFS('2. EGRESOS'!$E:$E,'2. EGRESOS'!$K:$K,$A36,'2. EGRESOS'!$B:$B,C$3)</f>
        <v/>
      </c>
      <c r="D36" s="8">
        <f>SUMIFS('2. EGRESOS'!$E:$E,'2. EGRESOS'!$K:$K,$A36,'2. EGRESOS'!$B:$B,D$3)</f>
        <v/>
      </c>
      <c r="E36" s="8">
        <f>SUMIFS('2. EGRESOS'!$E:$E,'2. EGRESOS'!$K:$K,$A36,'2. EGRESOS'!$B:$B,E$3)</f>
        <v/>
      </c>
      <c r="F36" s="8">
        <f>SUMIFS('2. EGRESOS'!$E:$E,'2. EGRESOS'!$K:$K,$A36,'2. EGRESOS'!$B:$B,F$3)</f>
        <v/>
      </c>
      <c r="G36" s="8">
        <f>SUMIFS('2. EGRESOS'!$E:$E,'2. EGRESOS'!$K:$K,$A36,'2. EGRESOS'!$B:$B,G$3)</f>
        <v/>
      </c>
      <c r="H36" s="8">
        <f>SUMIFS('2. EGRESOS'!$E:$E,'2. EGRESOS'!$K:$K,$A36,'2. EGRESOS'!$B:$B,H$3)</f>
        <v/>
      </c>
      <c r="I36" s="8">
        <f>SUMIFS('2. EGRESOS'!$E:$E,'2. EGRESOS'!$K:$K,$A36,'2. EGRESOS'!$B:$B,I$3)</f>
        <v/>
      </c>
      <c r="J36" s="8">
        <f>SUMIFS('2. EGRESOS'!$E:$E,'2. EGRESOS'!$K:$K,$A36,'2. EGRESOS'!$B:$B,J$3)</f>
        <v/>
      </c>
      <c r="K36" s="8">
        <f>SUMIFS('2. EGRESOS'!$E:$E,'2. EGRESOS'!$K:$K,$A36,'2. EGRESOS'!$B:$B,K$3)</f>
        <v/>
      </c>
      <c r="L36" s="8">
        <f>SUMIFS('2. EGRESOS'!$E:$E,'2. EGRESOS'!$K:$K,$A36,'2. EGRESOS'!$B:$B,L$3)</f>
        <v/>
      </c>
      <c r="M36" s="8">
        <f>SUMIFS('2. EGRESOS'!$E:$E,'2. EGRESOS'!$K:$K,$A36,'2. EGRESOS'!$B:$B,M$3)</f>
        <v/>
      </c>
      <c r="N36" s="8">
        <f>SUMIFS('2. EGRESOS'!$E:$E,'2. EGRESOS'!$K:$K,$A36,'2. EGRESOS'!$B:$B,N$3)</f>
        <v/>
      </c>
      <c r="O36" s="8">
        <f>SUMIFS('2. EGRESOS'!$E:$E,'2. EGRESOS'!$K:$K,$A36,'2. EGRESOS'!$B:$B,O$3)</f>
        <v/>
      </c>
      <c r="P36" s="8">
        <f>SUMIFS('2. EGRESOS'!$E:$E,'2. EGRESOS'!$K:$K,$A36,'2. EGRESOS'!$B:$B,P$3)</f>
        <v/>
      </c>
      <c r="Q36" s="8">
        <f>SUMIFS('2. EGRESOS'!$E:$E,'2. EGRESOS'!$K:$K,$A36,'2. EGRESOS'!$B:$B,Q$3)</f>
        <v/>
      </c>
      <c r="R36" s="8">
        <f>SUMIFS('2. EGRESOS'!$E:$E,'2. EGRESOS'!$K:$K,$A36,'2. EGRESOS'!$B:$B,R$3)</f>
        <v/>
      </c>
      <c r="S36" s="8">
        <f>SUMIFS('2. EGRESOS'!$E:$E,'2. EGRESOS'!$K:$K,$A36,'2. EGRESOS'!$B:$B,S$3)</f>
        <v/>
      </c>
      <c r="T36" s="8">
        <f>SUMIFS('2. EGRESOS'!$E:$E,'2. EGRESOS'!$K:$K,$A36,'2. EGRESOS'!$B:$B,T$3)</f>
        <v/>
      </c>
      <c r="U36" s="8">
        <f>SUMIFS('2. EGRESOS'!$E:$E,'2. EGRESOS'!$K:$K,$A36,'2. EGRESOS'!$B:$B,U$3)</f>
        <v/>
      </c>
      <c r="V36" s="8">
        <f>SUMIFS('2. EGRESOS'!$E:$E,'2. EGRESOS'!$K:$K,$A36,'2. EGRESOS'!$B:$B,V$3)</f>
        <v/>
      </c>
      <c r="W36" s="8">
        <f>SUMIFS('2. EGRESOS'!$E:$E,'2. EGRESOS'!$K:$K,$A36,'2. EGRESOS'!$B:$B,W$3)</f>
        <v/>
      </c>
      <c r="X36" s="8">
        <f>SUMIFS('2. EGRESOS'!$E:$E,'2. EGRESOS'!$K:$K,$A36,'2. EGRESOS'!$B:$B,X$3)</f>
        <v/>
      </c>
      <c r="Y36" s="8">
        <f>SUMIFS('2. EGRESOS'!$E:$E,'2. EGRESOS'!$K:$K,$A36,'2. EGRESOS'!$B:$B,Y$3)</f>
        <v/>
      </c>
      <c r="Z36" s="8">
        <f>SUMIFS('2. EGRESOS'!$E:$E,'2. EGRESOS'!$K:$K,$A36,'2. EGRESOS'!$B:$B,Z$3)</f>
        <v/>
      </c>
    </row>
    <row r="37">
      <c r="A37" s="9" t="inlineStr">
        <is>
          <t>1.4.2</t>
        </is>
      </c>
      <c r="B37" s="10" t="inlineStr">
        <is>
          <t>Mantención Carro</t>
        </is>
      </c>
      <c r="C37" s="8">
        <f>SUMIFS('2. EGRESOS'!$E:$E,'2. EGRESOS'!$K:$K,$A37,'2. EGRESOS'!$B:$B,C$3)</f>
        <v/>
      </c>
      <c r="D37" s="8">
        <f>SUMIFS('2. EGRESOS'!$E:$E,'2. EGRESOS'!$K:$K,$A37,'2. EGRESOS'!$B:$B,D$3)</f>
        <v/>
      </c>
      <c r="E37" s="8">
        <f>SUMIFS('2. EGRESOS'!$E:$E,'2. EGRESOS'!$K:$K,$A37,'2. EGRESOS'!$B:$B,E$3)</f>
        <v/>
      </c>
      <c r="F37" s="8">
        <f>SUMIFS('2. EGRESOS'!$E:$E,'2. EGRESOS'!$K:$K,$A37,'2. EGRESOS'!$B:$B,F$3)</f>
        <v/>
      </c>
      <c r="G37" s="8">
        <f>SUMIFS('2. EGRESOS'!$E:$E,'2. EGRESOS'!$K:$K,$A37,'2. EGRESOS'!$B:$B,G$3)</f>
        <v/>
      </c>
      <c r="H37" s="8">
        <f>SUMIFS('2. EGRESOS'!$E:$E,'2. EGRESOS'!$K:$K,$A37,'2. EGRESOS'!$B:$B,H$3)</f>
        <v/>
      </c>
      <c r="I37" s="8">
        <f>SUMIFS('2. EGRESOS'!$E:$E,'2. EGRESOS'!$K:$K,$A37,'2. EGRESOS'!$B:$B,I$3)</f>
        <v/>
      </c>
      <c r="J37" s="8">
        <f>SUMIFS('2. EGRESOS'!$E:$E,'2. EGRESOS'!$K:$K,$A37,'2. EGRESOS'!$B:$B,J$3)</f>
        <v/>
      </c>
      <c r="K37" s="8">
        <f>SUMIFS('2. EGRESOS'!$E:$E,'2. EGRESOS'!$K:$K,$A37,'2. EGRESOS'!$B:$B,K$3)</f>
        <v/>
      </c>
      <c r="L37" s="8">
        <f>SUMIFS('2. EGRESOS'!$E:$E,'2. EGRESOS'!$K:$K,$A37,'2. EGRESOS'!$B:$B,L$3)</f>
        <v/>
      </c>
      <c r="M37" s="8">
        <f>SUMIFS('2. EGRESOS'!$E:$E,'2. EGRESOS'!$K:$K,$A37,'2. EGRESOS'!$B:$B,M$3)</f>
        <v/>
      </c>
      <c r="N37" s="8">
        <f>SUMIFS('2. EGRESOS'!$E:$E,'2. EGRESOS'!$K:$K,$A37,'2. EGRESOS'!$B:$B,N$3)</f>
        <v/>
      </c>
      <c r="O37" s="8">
        <f>SUMIFS('2. EGRESOS'!$E:$E,'2. EGRESOS'!$K:$K,$A37,'2. EGRESOS'!$B:$B,O$3)</f>
        <v/>
      </c>
      <c r="P37" s="8">
        <f>SUMIFS('2. EGRESOS'!$E:$E,'2. EGRESOS'!$K:$K,$A37,'2. EGRESOS'!$B:$B,P$3)</f>
        <v/>
      </c>
      <c r="Q37" s="8">
        <f>SUMIFS('2. EGRESOS'!$E:$E,'2. EGRESOS'!$K:$K,$A37,'2. EGRESOS'!$B:$B,Q$3)</f>
        <v/>
      </c>
      <c r="R37" s="8">
        <f>SUMIFS('2. EGRESOS'!$E:$E,'2. EGRESOS'!$K:$K,$A37,'2. EGRESOS'!$B:$B,R$3)</f>
        <v/>
      </c>
      <c r="S37" s="8">
        <f>SUMIFS('2. EGRESOS'!$E:$E,'2. EGRESOS'!$K:$K,$A37,'2. EGRESOS'!$B:$B,S$3)</f>
        <v/>
      </c>
      <c r="T37" s="8">
        <f>SUMIFS('2. EGRESOS'!$E:$E,'2. EGRESOS'!$K:$K,$A37,'2. EGRESOS'!$B:$B,T$3)</f>
        <v/>
      </c>
      <c r="U37" s="8">
        <f>SUMIFS('2. EGRESOS'!$E:$E,'2. EGRESOS'!$K:$K,$A37,'2. EGRESOS'!$B:$B,U$3)</f>
        <v/>
      </c>
      <c r="V37" s="8">
        <f>SUMIFS('2. EGRESOS'!$E:$E,'2. EGRESOS'!$K:$K,$A37,'2. EGRESOS'!$B:$B,V$3)</f>
        <v/>
      </c>
      <c r="W37" s="8">
        <f>SUMIFS('2. EGRESOS'!$E:$E,'2. EGRESOS'!$K:$K,$A37,'2. EGRESOS'!$B:$B,W$3)</f>
        <v/>
      </c>
      <c r="X37" s="8">
        <f>SUMIFS('2. EGRESOS'!$E:$E,'2. EGRESOS'!$K:$K,$A37,'2. EGRESOS'!$B:$B,X$3)</f>
        <v/>
      </c>
      <c r="Y37" s="8">
        <f>SUMIFS('2. EGRESOS'!$E:$E,'2. EGRESOS'!$K:$K,$A37,'2. EGRESOS'!$B:$B,Y$3)</f>
        <v/>
      </c>
      <c r="Z37" s="8">
        <f>SUMIFS('2. EGRESOS'!$E:$E,'2. EGRESOS'!$K:$K,$A37,'2. EGRESOS'!$B:$B,Z$3)</f>
        <v/>
      </c>
    </row>
    <row r="38">
      <c r="A38" s="9" t="inlineStr">
        <is>
          <t>1.4.3</t>
        </is>
      </c>
      <c r="B38" s="10" t="inlineStr">
        <is>
          <t>Materiales Aseo Carro</t>
        </is>
      </c>
      <c r="C38" s="8">
        <f>SUMIFS('2. EGRESOS'!$E:$E,'2. EGRESOS'!$K:$K,$A38,'2. EGRESOS'!$B:$B,C$3)</f>
        <v/>
      </c>
      <c r="D38" s="8">
        <f>SUMIFS('2. EGRESOS'!$E:$E,'2. EGRESOS'!$K:$K,$A38,'2. EGRESOS'!$B:$B,D$3)</f>
        <v/>
      </c>
      <c r="E38" s="8">
        <f>SUMIFS('2. EGRESOS'!$E:$E,'2. EGRESOS'!$K:$K,$A38,'2. EGRESOS'!$B:$B,E$3)</f>
        <v/>
      </c>
      <c r="F38" s="8">
        <f>SUMIFS('2. EGRESOS'!$E:$E,'2. EGRESOS'!$K:$K,$A38,'2. EGRESOS'!$B:$B,F$3)</f>
        <v/>
      </c>
      <c r="G38" s="8">
        <f>SUMIFS('2. EGRESOS'!$E:$E,'2. EGRESOS'!$K:$K,$A38,'2. EGRESOS'!$B:$B,G$3)</f>
        <v/>
      </c>
      <c r="H38" s="8">
        <f>SUMIFS('2. EGRESOS'!$E:$E,'2. EGRESOS'!$K:$K,$A38,'2. EGRESOS'!$B:$B,H$3)</f>
        <v/>
      </c>
      <c r="I38" s="8">
        <f>SUMIFS('2. EGRESOS'!$E:$E,'2. EGRESOS'!$K:$K,$A38,'2. EGRESOS'!$B:$B,I$3)</f>
        <v/>
      </c>
      <c r="J38" s="8">
        <f>SUMIFS('2. EGRESOS'!$E:$E,'2. EGRESOS'!$K:$K,$A38,'2. EGRESOS'!$B:$B,J$3)</f>
        <v/>
      </c>
      <c r="K38" s="8">
        <f>SUMIFS('2. EGRESOS'!$E:$E,'2. EGRESOS'!$K:$K,$A38,'2. EGRESOS'!$B:$B,K$3)</f>
        <v/>
      </c>
      <c r="L38" s="8">
        <f>SUMIFS('2. EGRESOS'!$E:$E,'2. EGRESOS'!$K:$K,$A38,'2. EGRESOS'!$B:$B,L$3)</f>
        <v/>
      </c>
      <c r="M38" s="8">
        <f>SUMIFS('2. EGRESOS'!$E:$E,'2. EGRESOS'!$K:$K,$A38,'2. EGRESOS'!$B:$B,M$3)</f>
        <v/>
      </c>
      <c r="N38" s="8">
        <f>SUMIFS('2. EGRESOS'!$E:$E,'2. EGRESOS'!$K:$K,$A38,'2. EGRESOS'!$B:$B,N$3)</f>
        <v/>
      </c>
      <c r="O38" s="8">
        <f>SUMIFS('2. EGRESOS'!$E:$E,'2. EGRESOS'!$K:$K,$A38,'2. EGRESOS'!$B:$B,O$3)</f>
        <v/>
      </c>
      <c r="P38" s="8">
        <f>SUMIFS('2. EGRESOS'!$E:$E,'2. EGRESOS'!$K:$K,$A38,'2. EGRESOS'!$B:$B,P$3)</f>
        <v/>
      </c>
      <c r="Q38" s="8">
        <f>SUMIFS('2. EGRESOS'!$E:$E,'2. EGRESOS'!$K:$K,$A38,'2. EGRESOS'!$B:$B,Q$3)</f>
        <v/>
      </c>
      <c r="R38" s="8">
        <f>SUMIFS('2. EGRESOS'!$E:$E,'2. EGRESOS'!$K:$K,$A38,'2. EGRESOS'!$B:$B,R$3)</f>
        <v/>
      </c>
      <c r="S38" s="8">
        <f>SUMIFS('2. EGRESOS'!$E:$E,'2. EGRESOS'!$K:$K,$A38,'2. EGRESOS'!$B:$B,S$3)</f>
        <v/>
      </c>
      <c r="T38" s="8">
        <f>SUMIFS('2. EGRESOS'!$E:$E,'2. EGRESOS'!$K:$K,$A38,'2. EGRESOS'!$B:$B,T$3)</f>
        <v/>
      </c>
      <c r="U38" s="8">
        <f>SUMIFS('2. EGRESOS'!$E:$E,'2. EGRESOS'!$K:$K,$A38,'2. EGRESOS'!$B:$B,U$3)</f>
        <v/>
      </c>
      <c r="V38" s="8">
        <f>SUMIFS('2. EGRESOS'!$E:$E,'2. EGRESOS'!$K:$K,$A38,'2. EGRESOS'!$B:$B,V$3)</f>
        <v/>
      </c>
      <c r="W38" s="8">
        <f>SUMIFS('2. EGRESOS'!$E:$E,'2. EGRESOS'!$K:$K,$A38,'2. EGRESOS'!$B:$B,W$3)</f>
        <v/>
      </c>
      <c r="X38" s="8">
        <f>SUMIFS('2. EGRESOS'!$E:$E,'2. EGRESOS'!$K:$K,$A38,'2. EGRESOS'!$B:$B,X$3)</f>
        <v/>
      </c>
      <c r="Y38" s="8">
        <f>SUMIFS('2. EGRESOS'!$E:$E,'2. EGRESOS'!$K:$K,$A38,'2. EGRESOS'!$B:$B,Y$3)</f>
        <v/>
      </c>
      <c r="Z38" s="8">
        <f>SUMIFS('2. EGRESOS'!$E:$E,'2. EGRESOS'!$K:$K,$A38,'2. EGRESOS'!$B:$B,Z$3)</f>
        <v/>
      </c>
    </row>
    <row r="39">
      <c r="A39" s="9" t="inlineStr">
        <is>
          <t>1.4.4</t>
        </is>
      </c>
      <c r="B39" s="10" t="inlineStr">
        <is>
          <t>Despacho Carro</t>
        </is>
      </c>
      <c r="C39" s="8">
        <f>SUMIFS('2. EGRESOS'!$E:$E,'2. EGRESOS'!$K:$K,$A39,'2. EGRESOS'!$B:$B,C$3)</f>
        <v/>
      </c>
      <c r="D39" s="8">
        <f>SUMIFS('2. EGRESOS'!$E:$E,'2. EGRESOS'!$K:$K,$A39,'2. EGRESOS'!$B:$B,D$3)</f>
        <v/>
      </c>
      <c r="E39" s="8">
        <f>SUMIFS('2. EGRESOS'!$E:$E,'2. EGRESOS'!$K:$K,$A39,'2. EGRESOS'!$B:$B,E$3)</f>
        <v/>
      </c>
      <c r="F39" s="8">
        <f>SUMIFS('2. EGRESOS'!$E:$E,'2. EGRESOS'!$K:$K,$A39,'2. EGRESOS'!$B:$B,F$3)</f>
        <v/>
      </c>
      <c r="G39" s="8">
        <f>SUMIFS('2. EGRESOS'!$E:$E,'2. EGRESOS'!$K:$K,$A39,'2. EGRESOS'!$B:$B,G$3)</f>
        <v/>
      </c>
      <c r="H39" s="8">
        <f>SUMIFS('2. EGRESOS'!$E:$E,'2. EGRESOS'!$K:$K,$A39,'2. EGRESOS'!$B:$B,H$3)</f>
        <v/>
      </c>
      <c r="I39" s="8">
        <f>SUMIFS('2. EGRESOS'!$E:$E,'2. EGRESOS'!$K:$K,$A39,'2. EGRESOS'!$B:$B,I$3)</f>
        <v/>
      </c>
      <c r="J39" s="8">
        <f>SUMIFS('2. EGRESOS'!$E:$E,'2. EGRESOS'!$K:$K,$A39,'2. EGRESOS'!$B:$B,J$3)</f>
        <v/>
      </c>
      <c r="K39" s="8">
        <f>SUMIFS('2. EGRESOS'!$E:$E,'2. EGRESOS'!$K:$K,$A39,'2. EGRESOS'!$B:$B,K$3)</f>
        <v/>
      </c>
      <c r="L39" s="8">
        <f>SUMIFS('2. EGRESOS'!$E:$E,'2. EGRESOS'!$K:$K,$A39,'2. EGRESOS'!$B:$B,L$3)</f>
        <v/>
      </c>
      <c r="M39" s="8">
        <f>SUMIFS('2. EGRESOS'!$E:$E,'2. EGRESOS'!$K:$K,$A39,'2. EGRESOS'!$B:$B,M$3)</f>
        <v/>
      </c>
      <c r="N39" s="8">
        <f>SUMIFS('2. EGRESOS'!$E:$E,'2. EGRESOS'!$K:$K,$A39,'2. EGRESOS'!$B:$B,N$3)</f>
        <v/>
      </c>
      <c r="O39" s="8">
        <f>SUMIFS('2. EGRESOS'!$E:$E,'2. EGRESOS'!$K:$K,$A39,'2. EGRESOS'!$B:$B,O$3)</f>
        <v/>
      </c>
      <c r="P39" s="8">
        <f>SUMIFS('2. EGRESOS'!$E:$E,'2. EGRESOS'!$K:$K,$A39,'2. EGRESOS'!$B:$B,P$3)</f>
        <v/>
      </c>
      <c r="Q39" s="8">
        <f>SUMIFS('2. EGRESOS'!$E:$E,'2. EGRESOS'!$K:$K,$A39,'2. EGRESOS'!$B:$B,Q$3)</f>
        <v/>
      </c>
      <c r="R39" s="8">
        <f>SUMIFS('2. EGRESOS'!$E:$E,'2. EGRESOS'!$K:$K,$A39,'2. EGRESOS'!$B:$B,R$3)</f>
        <v/>
      </c>
      <c r="S39" s="8">
        <f>SUMIFS('2. EGRESOS'!$E:$E,'2. EGRESOS'!$K:$K,$A39,'2. EGRESOS'!$B:$B,S$3)</f>
        <v/>
      </c>
      <c r="T39" s="8">
        <f>SUMIFS('2. EGRESOS'!$E:$E,'2. EGRESOS'!$K:$K,$A39,'2. EGRESOS'!$B:$B,T$3)</f>
        <v/>
      </c>
      <c r="U39" s="8">
        <f>SUMIFS('2. EGRESOS'!$E:$E,'2. EGRESOS'!$K:$K,$A39,'2. EGRESOS'!$B:$B,U$3)</f>
        <v/>
      </c>
      <c r="V39" s="8">
        <f>SUMIFS('2. EGRESOS'!$E:$E,'2. EGRESOS'!$K:$K,$A39,'2. EGRESOS'!$B:$B,V$3)</f>
        <v/>
      </c>
      <c r="W39" s="8">
        <f>SUMIFS('2. EGRESOS'!$E:$E,'2. EGRESOS'!$K:$K,$A39,'2. EGRESOS'!$B:$B,W$3)</f>
        <v/>
      </c>
      <c r="X39" s="8">
        <f>SUMIFS('2. EGRESOS'!$E:$E,'2. EGRESOS'!$K:$K,$A39,'2. EGRESOS'!$B:$B,X$3)</f>
        <v/>
      </c>
      <c r="Y39" s="8">
        <f>SUMIFS('2. EGRESOS'!$E:$E,'2. EGRESOS'!$K:$K,$A39,'2. EGRESOS'!$B:$B,Y$3)</f>
        <v/>
      </c>
      <c r="Z39" s="8">
        <f>SUMIFS('2. EGRESOS'!$E:$E,'2. EGRESOS'!$K:$K,$A39,'2. EGRESOS'!$B:$B,Z$3)</f>
        <v/>
      </c>
    </row>
    <row r="40">
      <c r="A40" s="9" t="inlineStr">
        <is>
          <t>1.4.5</t>
        </is>
      </c>
      <c r="B40" s="10" t="inlineStr">
        <is>
          <t>Sueldos Carro</t>
        </is>
      </c>
      <c r="C40" s="8">
        <f>SUMIFS('2. EGRESOS'!$E:$E,'2. EGRESOS'!$K:$K,$A40,'2. EGRESOS'!$B:$B,C$3)</f>
        <v/>
      </c>
      <c r="D40" s="8">
        <f>SUMIFS('2. EGRESOS'!$E:$E,'2. EGRESOS'!$K:$K,$A40,'2. EGRESOS'!$B:$B,D$3)</f>
        <v/>
      </c>
      <c r="E40" s="8">
        <f>SUMIFS('2. EGRESOS'!$E:$E,'2. EGRESOS'!$K:$K,$A40,'2. EGRESOS'!$B:$B,E$3)</f>
        <v/>
      </c>
      <c r="F40" s="8">
        <f>SUMIFS('2. EGRESOS'!$E:$E,'2. EGRESOS'!$K:$K,$A40,'2. EGRESOS'!$B:$B,F$3)</f>
        <v/>
      </c>
      <c r="G40" s="8">
        <f>SUMIFS('2. EGRESOS'!$E:$E,'2. EGRESOS'!$K:$K,$A40,'2. EGRESOS'!$B:$B,G$3)</f>
        <v/>
      </c>
      <c r="H40" s="8">
        <f>SUMIFS('2. EGRESOS'!$E:$E,'2. EGRESOS'!$K:$K,$A40,'2. EGRESOS'!$B:$B,H$3)</f>
        <v/>
      </c>
      <c r="I40" s="8">
        <f>SUMIFS('2. EGRESOS'!$E:$E,'2. EGRESOS'!$K:$K,$A40,'2. EGRESOS'!$B:$B,I$3)</f>
        <v/>
      </c>
      <c r="J40" s="8">
        <f>SUMIFS('2. EGRESOS'!$E:$E,'2. EGRESOS'!$K:$K,$A40,'2. EGRESOS'!$B:$B,J$3)</f>
        <v/>
      </c>
      <c r="K40" s="8">
        <f>SUMIFS('2. EGRESOS'!$E:$E,'2. EGRESOS'!$K:$K,$A40,'2. EGRESOS'!$B:$B,K$3)</f>
        <v/>
      </c>
      <c r="L40" s="8">
        <f>SUMIFS('2. EGRESOS'!$E:$E,'2. EGRESOS'!$K:$K,$A40,'2. EGRESOS'!$B:$B,L$3)</f>
        <v/>
      </c>
      <c r="M40" s="8">
        <f>SUMIFS('2. EGRESOS'!$E:$E,'2. EGRESOS'!$K:$K,$A40,'2. EGRESOS'!$B:$B,M$3)</f>
        <v/>
      </c>
      <c r="N40" s="8">
        <f>SUMIFS('2. EGRESOS'!$E:$E,'2. EGRESOS'!$K:$K,$A40,'2. EGRESOS'!$B:$B,N$3)</f>
        <v/>
      </c>
      <c r="O40" s="8">
        <f>SUMIFS('2. EGRESOS'!$E:$E,'2. EGRESOS'!$K:$K,$A40,'2. EGRESOS'!$B:$B,O$3)</f>
        <v/>
      </c>
      <c r="P40" s="8">
        <f>SUMIFS('2. EGRESOS'!$E:$E,'2. EGRESOS'!$K:$K,$A40,'2. EGRESOS'!$B:$B,P$3)</f>
        <v/>
      </c>
      <c r="Q40" s="8">
        <f>SUMIFS('2. EGRESOS'!$E:$E,'2. EGRESOS'!$K:$K,$A40,'2. EGRESOS'!$B:$B,Q$3)</f>
        <v/>
      </c>
      <c r="R40" s="8">
        <f>SUMIFS('2. EGRESOS'!$E:$E,'2. EGRESOS'!$K:$K,$A40,'2. EGRESOS'!$B:$B,R$3)</f>
        <v/>
      </c>
      <c r="S40" s="8">
        <f>SUMIFS('2. EGRESOS'!$E:$E,'2. EGRESOS'!$K:$K,$A40,'2. EGRESOS'!$B:$B,S$3)</f>
        <v/>
      </c>
      <c r="T40" s="8">
        <f>SUMIFS('2. EGRESOS'!$E:$E,'2. EGRESOS'!$K:$K,$A40,'2. EGRESOS'!$B:$B,T$3)</f>
        <v/>
      </c>
      <c r="U40" s="8">
        <f>SUMIFS('2. EGRESOS'!$E:$E,'2. EGRESOS'!$K:$K,$A40,'2. EGRESOS'!$B:$B,U$3)</f>
        <v/>
      </c>
      <c r="V40" s="8">
        <f>SUMIFS('2. EGRESOS'!$E:$E,'2. EGRESOS'!$K:$K,$A40,'2. EGRESOS'!$B:$B,V$3)</f>
        <v/>
      </c>
      <c r="W40" s="8">
        <f>SUMIFS('2. EGRESOS'!$E:$E,'2. EGRESOS'!$K:$K,$A40,'2. EGRESOS'!$B:$B,W$3)</f>
        <v/>
      </c>
      <c r="X40" s="8">
        <f>SUMIFS('2. EGRESOS'!$E:$E,'2. EGRESOS'!$K:$K,$A40,'2. EGRESOS'!$B:$B,X$3)</f>
        <v/>
      </c>
      <c r="Y40" s="8">
        <f>SUMIFS('2. EGRESOS'!$E:$E,'2. EGRESOS'!$K:$K,$A40,'2. EGRESOS'!$B:$B,Y$3)</f>
        <v/>
      </c>
      <c r="Z40" s="8">
        <f>SUMIFS('2. EGRESOS'!$E:$E,'2. EGRESOS'!$K:$K,$A40,'2. EGRESOS'!$B:$B,Z$3)</f>
        <v/>
      </c>
    </row>
    <row r="41">
      <c r="A41" s="3" t="inlineStr">
        <is>
          <t>CC5</t>
        </is>
      </c>
      <c r="B41" s="4" t="inlineStr">
        <is>
          <t>SAAS</t>
        </is>
      </c>
      <c r="C41" s="5">
        <f>+SUBTOTAL(9,C42:C43)</f>
        <v/>
      </c>
      <c r="D41" s="5">
        <f>+SUBTOTAL(9,D42:D43)</f>
        <v/>
      </c>
      <c r="E41" s="5">
        <f>+SUBTOTAL(9,E42:E43)</f>
        <v/>
      </c>
      <c r="F41" s="5">
        <f>+SUBTOTAL(9,F42:F43)</f>
        <v/>
      </c>
      <c r="G41" s="5">
        <f>+SUBTOTAL(9,G42:G43)</f>
        <v/>
      </c>
      <c r="H41" s="5">
        <f>+SUBTOTAL(9,H42:H43)</f>
        <v/>
      </c>
      <c r="I41" s="5">
        <f>+SUBTOTAL(9,I42:I43)</f>
        <v/>
      </c>
      <c r="J41" s="5">
        <f>+SUBTOTAL(9,J42:J43)</f>
        <v/>
      </c>
      <c r="K41" s="5">
        <f>+SUBTOTAL(9,K42:K43)</f>
        <v/>
      </c>
      <c r="L41" s="5">
        <f>+SUBTOTAL(9,L42:L43)</f>
        <v/>
      </c>
      <c r="M41" s="5">
        <f>+SUBTOTAL(9,M42:M43)</f>
        <v/>
      </c>
      <c r="N41" s="5">
        <f>+SUBTOTAL(9,N42:N43)</f>
        <v/>
      </c>
      <c r="O41" s="5">
        <f>+SUBTOTAL(9,O42:O43)</f>
        <v/>
      </c>
      <c r="P41" s="5">
        <f>+SUBTOTAL(9,P42:P43)</f>
        <v/>
      </c>
      <c r="Q41" s="5">
        <f>+SUBTOTAL(9,Q42:Q43)</f>
        <v/>
      </c>
      <c r="R41" s="5">
        <f>+SUBTOTAL(9,R42:R43)</f>
        <v/>
      </c>
      <c r="S41" s="5">
        <f>+SUBTOTAL(9,S42:S43)</f>
        <v/>
      </c>
      <c r="T41" s="5">
        <f>+SUBTOTAL(9,T42:T43)</f>
        <v/>
      </c>
      <c r="U41" s="5">
        <f>+SUBTOTAL(9,U42:U43)</f>
        <v/>
      </c>
      <c r="V41" s="5">
        <f>+SUBTOTAL(9,V42:V43)</f>
        <v/>
      </c>
      <c r="W41" s="5">
        <f>+SUBTOTAL(9,W42:W43)</f>
        <v/>
      </c>
      <c r="X41" s="5">
        <f>+SUBTOTAL(9,X42:X43)</f>
        <v/>
      </c>
      <c r="Y41" s="5">
        <f>+SUBTOTAL(9,Y42:Y43)</f>
        <v/>
      </c>
      <c r="Z41" s="5">
        <f>+SUBTOTAL(9,Z42:Z43)</f>
        <v/>
      </c>
    </row>
    <row r="42">
      <c r="A42" s="9" t="inlineStr">
        <is>
          <t>1.5.1</t>
        </is>
      </c>
      <c r="B42" s="10" t="inlineStr">
        <is>
          <t>Plataformas digitales</t>
        </is>
      </c>
      <c r="C42" s="8">
        <f>SUMIFS('2. EGRESOS'!$E:$E,'2. EGRESOS'!$K:$K,$A42,'2. EGRESOS'!$B:$B,C$3)</f>
        <v/>
      </c>
      <c r="D42" s="8">
        <f>SUMIFS('2. EGRESOS'!$E:$E,'2. EGRESOS'!$K:$K,$A42,'2. EGRESOS'!$B:$B,D$3)</f>
        <v/>
      </c>
      <c r="E42" s="8">
        <f>SUMIFS('2. EGRESOS'!$E:$E,'2. EGRESOS'!$K:$K,$A42,'2. EGRESOS'!$B:$B,E$3)</f>
        <v/>
      </c>
      <c r="F42" s="8">
        <f>SUMIFS('2. EGRESOS'!$E:$E,'2. EGRESOS'!$K:$K,$A42,'2. EGRESOS'!$B:$B,F$3)</f>
        <v/>
      </c>
      <c r="G42" s="8">
        <f>SUMIFS('2. EGRESOS'!$E:$E,'2. EGRESOS'!$K:$K,$A42,'2. EGRESOS'!$B:$B,G$3)</f>
        <v/>
      </c>
      <c r="H42" s="8">
        <f>SUMIFS('2. EGRESOS'!$E:$E,'2. EGRESOS'!$K:$K,$A42,'2. EGRESOS'!$B:$B,H$3)</f>
        <v/>
      </c>
      <c r="I42" s="8">
        <f>SUMIFS('2. EGRESOS'!$E:$E,'2. EGRESOS'!$K:$K,$A42,'2. EGRESOS'!$B:$B,I$3)</f>
        <v/>
      </c>
      <c r="J42" s="8">
        <f>SUMIFS('2. EGRESOS'!$E:$E,'2. EGRESOS'!$K:$K,$A42,'2. EGRESOS'!$B:$B,J$3)</f>
        <v/>
      </c>
      <c r="K42" s="8">
        <f>SUMIFS('2. EGRESOS'!$E:$E,'2. EGRESOS'!$K:$K,$A42,'2. EGRESOS'!$B:$B,K$3)</f>
        <v/>
      </c>
      <c r="L42" s="8">
        <f>SUMIFS('2. EGRESOS'!$E:$E,'2. EGRESOS'!$K:$K,$A42,'2. EGRESOS'!$B:$B,L$3)</f>
        <v/>
      </c>
      <c r="M42" s="8">
        <f>SUMIFS('2. EGRESOS'!$E:$E,'2. EGRESOS'!$K:$K,$A42,'2. EGRESOS'!$B:$B,M$3)</f>
        <v/>
      </c>
      <c r="N42" s="8">
        <f>SUMIFS('2. EGRESOS'!$E:$E,'2. EGRESOS'!$K:$K,$A42,'2. EGRESOS'!$B:$B,N$3)</f>
        <v/>
      </c>
      <c r="O42" s="8">
        <f>SUMIFS('2. EGRESOS'!$E:$E,'2. EGRESOS'!$K:$K,$A42,'2. EGRESOS'!$B:$B,O$3)</f>
        <v/>
      </c>
      <c r="P42" s="8">
        <f>SUMIFS('2. EGRESOS'!$E:$E,'2. EGRESOS'!$K:$K,$A42,'2. EGRESOS'!$B:$B,P$3)</f>
        <v/>
      </c>
      <c r="Q42" s="8">
        <f>SUMIFS('2. EGRESOS'!$E:$E,'2. EGRESOS'!$K:$K,$A42,'2. EGRESOS'!$B:$B,Q$3)</f>
        <v/>
      </c>
      <c r="R42" s="8">
        <f>SUMIFS('2. EGRESOS'!$E:$E,'2. EGRESOS'!$K:$K,$A42,'2. EGRESOS'!$B:$B,R$3)</f>
        <v/>
      </c>
      <c r="S42" s="8">
        <f>SUMIFS('2. EGRESOS'!$E:$E,'2. EGRESOS'!$K:$K,$A42,'2. EGRESOS'!$B:$B,S$3)</f>
        <v/>
      </c>
      <c r="T42" s="8">
        <f>SUMIFS('2. EGRESOS'!$E:$E,'2. EGRESOS'!$K:$K,$A42,'2. EGRESOS'!$B:$B,T$3)</f>
        <v/>
      </c>
      <c r="U42" s="8">
        <f>SUMIFS('2. EGRESOS'!$E:$E,'2. EGRESOS'!$K:$K,$A42,'2. EGRESOS'!$B:$B,U$3)</f>
        <v/>
      </c>
      <c r="V42" s="8">
        <f>SUMIFS('2. EGRESOS'!$E:$E,'2. EGRESOS'!$K:$K,$A42,'2. EGRESOS'!$B:$B,V$3)</f>
        <v/>
      </c>
      <c r="W42" s="8">
        <f>SUMIFS('2. EGRESOS'!$E:$E,'2. EGRESOS'!$K:$K,$A42,'2. EGRESOS'!$B:$B,W$3)</f>
        <v/>
      </c>
      <c r="X42" s="8">
        <f>SUMIFS('2. EGRESOS'!$E:$E,'2. EGRESOS'!$K:$K,$A42,'2. EGRESOS'!$B:$B,X$3)</f>
        <v/>
      </c>
      <c r="Y42" s="8">
        <f>SUMIFS('2. EGRESOS'!$E:$E,'2. EGRESOS'!$K:$K,$A42,'2. EGRESOS'!$B:$B,Y$3)</f>
        <v/>
      </c>
      <c r="Z42" s="8">
        <f>SUMIFS('2. EGRESOS'!$E:$E,'2. EGRESOS'!$K:$K,$A42,'2. EGRESOS'!$B:$B,Z$3)</f>
        <v/>
      </c>
    </row>
    <row r="43">
      <c r="A43" s="9" t="inlineStr">
        <is>
          <t>1.5.2</t>
        </is>
      </c>
      <c r="B43" s="10" t="inlineStr">
        <is>
          <t xml:space="preserve">  Variables SAAS</t>
        </is>
      </c>
      <c r="C43" s="8">
        <f>SUMIFS('2. EGRESOS'!$E:$E,'2. EGRESOS'!$K:$K,$A43,'2. EGRESOS'!$B:$B,C$3)</f>
        <v/>
      </c>
      <c r="D43" s="8">
        <f>SUMIFS('2. EGRESOS'!$E:$E,'2. EGRESOS'!$K:$K,$A43,'2. EGRESOS'!$B:$B,D$3)</f>
        <v/>
      </c>
      <c r="E43" s="8">
        <f>SUMIFS('2. EGRESOS'!$E:$E,'2. EGRESOS'!$K:$K,$A43,'2. EGRESOS'!$B:$B,E$3)</f>
        <v/>
      </c>
      <c r="F43" s="8">
        <f>SUMIFS('2. EGRESOS'!$E:$E,'2. EGRESOS'!$K:$K,$A43,'2. EGRESOS'!$B:$B,F$3)</f>
        <v/>
      </c>
      <c r="G43" s="8">
        <f>SUMIFS('2. EGRESOS'!$E:$E,'2. EGRESOS'!$K:$K,$A43,'2. EGRESOS'!$B:$B,G$3)</f>
        <v/>
      </c>
      <c r="H43" s="8">
        <f>SUMIFS('2. EGRESOS'!$E:$E,'2. EGRESOS'!$K:$K,$A43,'2. EGRESOS'!$B:$B,H$3)</f>
        <v/>
      </c>
      <c r="I43" s="8">
        <f>SUMIFS('2. EGRESOS'!$E:$E,'2. EGRESOS'!$K:$K,$A43,'2. EGRESOS'!$B:$B,I$3)</f>
        <v/>
      </c>
      <c r="J43" s="8">
        <f>SUMIFS('2. EGRESOS'!$E:$E,'2. EGRESOS'!$K:$K,$A43,'2. EGRESOS'!$B:$B,J$3)</f>
        <v/>
      </c>
      <c r="K43" s="8">
        <f>SUMIFS('2. EGRESOS'!$E:$E,'2. EGRESOS'!$K:$K,$A43,'2. EGRESOS'!$B:$B,K$3)</f>
        <v/>
      </c>
      <c r="L43" s="8">
        <f>SUMIFS('2. EGRESOS'!$E:$E,'2. EGRESOS'!$K:$K,$A43,'2. EGRESOS'!$B:$B,L$3)</f>
        <v/>
      </c>
      <c r="M43" s="8">
        <f>SUMIFS('2. EGRESOS'!$E:$E,'2. EGRESOS'!$K:$K,$A43,'2. EGRESOS'!$B:$B,M$3)</f>
        <v/>
      </c>
      <c r="N43" s="8">
        <f>SUMIFS('2. EGRESOS'!$E:$E,'2. EGRESOS'!$K:$K,$A43,'2. EGRESOS'!$B:$B,N$3)</f>
        <v/>
      </c>
      <c r="O43" s="8">
        <f>SUMIFS('2. EGRESOS'!$E:$E,'2. EGRESOS'!$K:$K,$A43,'2. EGRESOS'!$B:$B,O$3)</f>
        <v/>
      </c>
      <c r="P43" s="8">
        <f>SUMIFS('2. EGRESOS'!$E:$E,'2. EGRESOS'!$K:$K,$A43,'2. EGRESOS'!$B:$B,P$3)</f>
        <v/>
      </c>
      <c r="Q43" s="8">
        <f>SUMIFS('2. EGRESOS'!$E:$E,'2. EGRESOS'!$K:$K,$A43,'2. EGRESOS'!$B:$B,Q$3)</f>
        <v/>
      </c>
      <c r="R43" s="8">
        <f>SUMIFS('2. EGRESOS'!$E:$E,'2. EGRESOS'!$K:$K,$A43,'2. EGRESOS'!$B:$B,R$3)</f>
        <v/>
      </c>
      <c r="S43" s="8">
        <f>SUMIFS('2. EGRESOS'!$E:$E,'2. EGRESOS'!$K:$K,$A43,'2. EGRESOS'!$B:$B,S$3)</f>
        <v/>
      </c>
      <c r="T43" s="8">
        <f>SUMIFS('2. EGRESOS'!$E:$E,'2. EGRESOS'!$K:$K,$A43,'2. EGRESOS'!$B:$B,T$3)</f>
        <v/>
      </c>
      <c r="U43" s="8">
        <f>SUMIFS('2. EGRESOS'!$E:$E,'2. EGRESOS'!$K:$K,$A43,'2. EGRESOS'!$B:$B,U$3)</f>
        <v/>
      </c>
      <c r="V43" s="8">
        <f>SUMIFS('2. EGRESOS'!$E:$E,'2. EGRESOS'!$K:$K,$A43,'2. EGRESOS'!$B:$B,V$3)</f>
        <v/>
      </c>
      <c r="W43" s="8">
        <f>SUMIFS('2. EGRESOS'!$E:$E,'2. EGRESOS'!$K:$K,$A43,'2. EGRESOS'!$B:$B,W$3)</f>
        <v/>
      </c>
      <c r="X43" s="8">
        <f>SUMIFS('2. EGRESOS'!$E:$E,'2. EGRESOS'!$K:$K,$A43,'2. EGRESOS'!$B:$B,X$3)</f>
        <v/>
      </c>
      <c r="Y43" s="8">
        <f>SUMIFS('2. EGRESOS'!$E:$E,'2. EGRESOS'!$K:$K,$A43,'2. EGRESOS'!$B:$B,Y$3)</f>
        <v/>
      </c>
      <c r="Z43" s="8">
        <f>SUMIFS('2. EGRESOS'!$E:$E,'2. EGRESOS'!$K:$K,$A43,'2. EGRESOS'!$B:$B,Z$3)</f>
        <v/>
      </c>
    </row>
    <row r="44">
      <c r="A44" s="3" t="inlineStr">
        <is>
          <t>CC6</t>
        </is>
      </c>
      <c r="B44" s="4" t="inlineStr">
        <is>
          <t>Marketing y Publicidad</t>
        </is>
      </c>
      <c r="C44" s="5">
        <f>+SUBTOTAL(9,C45:C47)</f>
        <v/>
      </c>
      <c r="D44" s="5">
        <f>+SUBTOTAL(9,D45:D47)</f>
        <v/>
      </c>
      <c r="E44" s="5">
        <f>+SUBTOTAL(9,E45:E47)</f>
        <v/>
      </c>
      <c r="F44" s="5">
        <f>+SUBTOTAL(9,F45:F47)</f>
        <v/>
      </c>
      <c r="G44" s="5">
        <f>+SUBTOTAL(9,G45:G47)</f>
        <v/>
      </c>
      <c r="H44" s="5">
        <f>+SUBTOTAL(9,H45:H47)</f>
        <v/>
      </c>
      <c r="I44" s="5">
        <f>+SUBTOTAL(9,I45:I47)</f>
        <v/>
      </c>
      <c r="J44" s="5">
        <f>+SUBTOTAL(9,J45:J47)</f>
        <v/>
      </c>
      <c r="K44" s="5">
        <f>+SUBTOTAL(9,K45:K47)</f>
        <v/>
      </c>
      <c r="L44" s="5">
        <f>+SUBTOTAL(9,L45:L47)</f>
        <v/>
      </c>
      <c r="M44" s="5">
        <f>+SUBTOTAL(9,M45:M47)</f>
        <v/>
      </c>
      <c r="N44" s="5">
        <f>+SUBTOTAL(9,N45:N47)</f>
        <v/>
      </c>
      <c r="O44" s="5">
        <f>+SUBTOTAL(9,O45:O47)</f>
        <v/>
      </c>
      <c r="P44" s="5">
        <f>+SUBTOTAL(9,P45:P47)</f>
        <v/>
      </c>
      <c r="Q44" s="5">
        <f>+SUBTOTAL(9,Q45:Q47)</f>
        <v/>
      </c>
      <c r="R44" s="5">
        <f>+SUBTOTAL(9,R45:R47)</f>
        <v/>
      </c>
      <c r="S44" s="5">
        <f>+SUBTOTAL(9,S45:S47)</f>
        <v/>
      </c>
      <c r="T44" s="5">
        <f>+SUBTOTAL(9,T45:T47)</f>
        <v/>
      </c>
      <c r="U44" s="5">
        <f>+SUBTOTAL(9,U45:U47)</f>
        <v/>
      </c>
      <c r="V44" s="5">
        <f>+SUBTOTAL(9,V45:V47)</f>
        <v/>
      </c>
      <c r="W44" s="5">
        <f>+SUBTOTAL(9,W45:W47)</f>
        <v/>
      </c>
      <c r="X44" s="5">
        <f>+SUBTOTAL(9,X45:X47)</f>
        <v/>
      </c>
      <c r="Y44" s="5">
        <f>+SUBTOTAL(9,Y45:Y47)</f>
        <v/>
      </c>
      <c r="Z44" s="5">
        <f>+SUBTOTAL(9,Z45:Z47)</f>
        <v/>
      </c>
    </row>
    <row r="45">
      <c r="A45" s="9" t="inlineStr">
        <is>
          <t>1.6.1</t>
        </is>
      </c>
      <c r="B45" s="10" t="inlineStr">
        <is>
          <t>RRSS</t>
        </is>
      </c>
      <c r="C45" s="8">
        <f>SUMIFS('2. EGRESOS'!$E:$E,'2. EGRESOS'!$K:$K,$A45,'2. EGRESOS'!$B:$B,C$3)</f>
        <v/>
      </c>
      <c r="D45" s="8">
        <f>SUMIFS('2. EGRESOS'!$E:$E,'2. EGRESOS'!$K:$K,$A45,'2. EGRESOS'!$B:$B,D$3)</f>
        <v/>
      </c>
      <c r="E45" s="8">
        <f>SUMIFS('2. EGRESOS'!$E:$E,'2. EGRESOS'!$K:$K,$A45,'2. EGRESOS'!$B:$B,E$3)</f>
        <v/>
      </c>
      <c r="F45" s="8">
        <f>SUMIFS('2. EGRESOS'!$E:$E,'2. EGRESOS'!$K:$K,$A45,'2. EGRESOS'!$B:$B,F$3)</f>
        <v/>
      </c>
      <c r="G45" s="8">
        <f>SUMIFS('2. EGRESOS'!$E:$E,'2. EGRESOS'!$K:$K,$A45,'2. EGRESOS'!$B:$B,G$3)</f>
        <v/>
      </c>
      <c r="H45" s="8">
        <f>SUMIFS('2. EGRESOS'!$E:$E,'2. EGRESOS'!$K:$K,$A45,'2. EGRESOS'!$B:$B,H$3)</f>
        <v/>
      </c>
      <c r="I45" s="8">
        <f>SUMIFS('2. EGRESOS'!$E:$E,'2. EGRESOS'!$K:$K,$A45,'2. EGRESOS'!$B:$B,I$3)</f>
        <v/>
      </c>
      <c r="J45" s="8">
        <f>SUMIFS('2. EGRESOS'!$E:$E,'2. EGRESOS'!$K:$K,$A45,'2. EGRESOS'!$B:$B,J$3)</f>
        <v/>
      </c>
      <c r="K45" s="8">
        <f>SUMIFS('2. EGRESOS'!$E:$E,'2. EGRESOS'!$K:$K,$A45,'2. EGRESOS'!$B:$B,K$3)</f>
        <v/>
      </c>
      <c r="L45" s="8">
        <f>SUMIFS('2. EGRESOS'!$E:$E,'2. EGRESOS'!$K:$K,$A45,'2. EGRESOS'!$B:$B,L$3)</f>
        <v/>
      </c>
      <c r="M45" s="8">
        <f>SUMIFS('2. EGRESOS'!$E:$E,'2. EGRESOS'!$K:$K,$A45,'2. EGRESOS'!$B:$B,M$3)</f>
        <v/>
      </c>
      <c r="N45" s="8">
        <f>SUMIFS('2. EGRESOS'!$E:$E,'2. EGRESOS'!$K:$K,$A45,'2. EGRESOS'!$B:$B,N$3)</f>
        <v/>
      </c>
      <c r="O45" s="8">
        <f>SUMIFS('2. EGRESOS'!$E:$E,'2. EGRESOS'!$K:$K,$A45,'2. EGRESOS'!$B:$B,O$3)</f>
        <v/>
      </c>
      <c r="P45" s="8">
        <f>SUMIFS('2. EGRESOS'!$E:$E,'2. EGRESOS'!$K:$K,$A45,'2. EGRESOS'!$B:$B,P$3)</f>
        <v/>
      </c>
      <c r="Q45" s="8">
        <f>SUMIFS('2. EGRESOS'!$E:$E,'2. EGRESOS'!$K:$K,$A45,'2. EGRESOS'!$B:$B,Q$3)</f>
        <v/>
      </c>
      <c r="R45" s="8">
        <f>SUMIFS('2. EGRESOS'!$E:$E,'2. EGRESOS'!$K:$K,$A45,'2. EGRESOS'!$B:$B,R$3)</f>
        <v/>
      </c>
      <c r="S45" s="8">
        <f>SUMIFS('2. EGRESOS'!$E:$E,'2. EGRESOS'!$K:$K,$A45,'2. EGRESOS'!$B:$B,S$3)</f>
        <v/>
      </c>
      <c r="T45" s="8">
        <f>SUMIFS('2. EGRESOS'!$E:$E,'2. EGRESOS'!$K:$K,$A45,'2. EGRESOS'!$B:$B,T$3)</f>
        <v/>
      </c>
      <c r="U45" s="8">
        <f>SUMIFS('2. EGRESOS'!$E:$E,'2. EGRESOS'!$K:$K,$A45,'2. EGRESOS'!$B:$B,U$3)</f>
        <v/>
      </c>
      <c r="V45" s="8">
        <f>SUMIFS('2. EGRESOS'!$E:$E,'2. EGRESOS'!$K:$K,$A45,'2. EGRESOS'!$B:$B,V$3)</f>
        <v/>
      </c>
      <c r="W45" s="8">
        <f>SUMIFS('2. EGRESOS'!$E:$E,'2. EGRESOS'!$K:$K,$A45,'2. EGRESOS'!$B:$B,W$3)</f>
        <v/>
      </c>
      <c r="X45" s="8">
        <f>SUMIFS('2. EGRESOS'!$E:$E,'2. EGRESOS'!$K:$K,$A45,'2. EGRESOS'!$B:$B,X$3)</f>
        <v/>
      </c>
      <c r="Y45" s="8">
        <f>SUMIFS('2. EGRESOS'!$E:$E,'2. EGRESOS'!$K:$K,$A45,'2. EGRESOS'!$B:$B,Y$3)</f>
        <v/>
      </c>
      <c r="Z45" s="8">
        <f>SUMIFS('2. EGRESOS'!$E:$E,'2. EGRESOS'!$K:$K,$A45,'2. EGRESOS'!$B:$B,Z$3)</f>
        <v/>
      </c>
    </row>
    <row r="46">
      <c r="A46" s="6" t="inlineStr">
        <is>
          <t>1.6.2</t>
        </is>
      </c>
      <c r="B46" s="7" t="inlineStr">
        <is>
          <t>Producción Audiosvisual</t>
        </is>
      </c>
      <c r="C46" s="8">
        <f>SUMIFS('2. EGRESOS'!$E:$E,'2. EGRESOS'!$K:$K,$A46,'2. EGRESOS'!$B:$B,C$3)</f>
        <v/>
      </c>
      <c r="D46" s="8">
        <f>SUMIFS('2. EGRESOS'!$E:$E,'2. EGRESOS'!$K:$K,$A46,'2. EGRESOS'!$B:$B,D$3)</f>
        <v/>
      </c>
      <c r="E46" s="8">
        <f>SUMIFS('2. EGRESOS'!$E:$E,'2. EGRESOS'!$K:$K,$A46,'2. EGRESOS'!$B:$B,E$3)</f>
        <v/>
      </c>
      <c r="F46" s="8">
        <f>SUMIFS('2. EGRESOS'!$E:$E,'2. EGRESOS'!$K:$K,$A46,'2. EGRESOS'!$B:$B,F$3)</f>
        <v/>
      </c>
      <c r="G46" s="8">
        <f>SUMIFS('2. EGRESOS'!$E:$E,'2. EGRESOS'!$K:$K,$A46,'2. EGRESOS'!$B:$B,G$3)</f>
        <v/>
      </c>
      <c r="H46" s="8">
        <f>SUMIFS('2. EGRESOS'!$E:$E,'2. EGRESOS'!$K:$K,$A46,'2. EGRESOS'!$B:$B,H$3)</f>
        <v/>
      </c>
      <c r="I46" s="8">
        <f>SUMIFS('2. EGRESOS'!$E:$E,'2. EGRESOS'!$K:$K,$A46,'2. EGRESOS'!$B:$B,I$3)</f>
        <v/>
      </c>
      <c r="J46" s="8">
        <f>SUMIFS('2. EGRESOS'!$E:$E,'2. EGRESOS'!$K:$K,$A46,'2. EGRESOS'!$B:$B,J$3)</f>
        <v/>
      </c>
      <c r="K46" s="8">
        <f>SUMIFS('2. EGRESOS'!$E:$E,'2. EGRESOS'!$K:$K,$A46,'2. EGRESOS'!$B:$B,K$3)</f>
        <v/>
      </c>
      <c r="L46" s="8">
        <f>SUMIFS('2. EGRESOS'!$E:$E,'2. EGRESOS'!$K:$K,$A46,'2. EGRESOS'!$B:$B,L$3)</f>
        <v/>
      </c>
      <c r="M46" s="8">
        <f>SUMIFS('2. EGRESOS'!$E:$E,'2. EGRESOS'!$K:$K,$A46,'2. EGRESOS'!$B:$B,M$3)</f>
        <v/>
      </c>
      <c r="N46" s="8">
        <f>SUMIFS('2. EGRESOS'!$E:$E,'2. EGRESOS'!$K:$K,$A46,'2. EGRESOS'!$B:$B,N$3)</f>
        <v/>
      </c>
      <c r="O46" s="8">
        <f>SUMIFS('2. EGRESOS'!$E:$E,'2. EGRESOS'!$K:$K,$A46,'2. EGRESOS'!$B:$B,O$3)</f>
        <v/>
      </c>
      <c r="P46" s="8">
        <f>SUMIFS('2. EGRESOS'!$E:$E,'2. EGRESOS'!$K:$K,$A46,'2. EGRESOS'!$B:$B,P$3)</f>
        <v/>
      </c>
      <c r="Q46" s="8">
        <f>SUMIFS('2. EGRESOS'!$E:$E,'2. EGRESOS'!$K:$K,$A46,'2. EGRESOS'!$B:$B,Q$3)</f>
        <v/>
      </c>
      <c r="R46" s="8">
        <f>SUMIFS('2. EGRESOS'!$E:$E,'2. EGRESOS'!$K:$K,$A46,'2. EGRESOS'!$B:$B,R$3)</f>
        <v/>
      </c>
      <c r="S46" s="8">
        <f>SUMIFS('2. EGRESOS'!$E:$E,'2. EGRESOS'!$K:$K,$A46,'2. EGRESOS'!$B:$B,S$3)</f>
        <v/>
      </c>
      <c r="T46" s="8">
        <f>SUMIFS('2. EGRESOS'!$E:$E,'2. EGRESOS'!$K:$K,$A46,'2. EGRESOS'!$B:$B,T$3)</f>
        <v/>
      </c>
      <c r="U46" s="8">
        <f>SUMIFS('2. EGRESOS'!$E:$E,'2. EGRESOS'!$K:$K,$A46,'2. EGRESOS'!$B:$B,U$3)</f>
        <v/>
      </c>
      <c r="V46" s="8">
        <f>SUMIFS('2. EGRESOS'!$E:$E,'2. EGRESOS'!$K:$K,$A46,'2. EGRESOS'!$B:$B,V$3)</f>
        <v/>
      </c>
      <c r="W46" s="8">
        <f>SUMIFS('2. EGRESOS'!$E:$E,'2. EGRESOS'!$K:$K,$A46,'2. EGRESOS'!$B:$B,W$3)</f>
        <v/>
      </c>
      <c r="X46" s="8">
        <f>SUMIFS('2. EGRESOS'!$E:$E,'2. EGRESOS'!$K:$K,$A46,'2. EGRESOS'!$B:$B,X$3)</f>
        <v/>
      </c>
      <c r="Y46" s="8">
        <f>SUMIFS('2. EGRESOS'!$E:$E,'2. EGRESOS'!$K:$K,$A46,'2. EGRESOS'!$B:$B,Y$3)</f>
        <v/>
      </c>
      <c r="Z46" s="8">
        <f>SUMIFS('2. EGRESOS'!$E:$E,'2. EGRESOS'!$K:$K,$A46,'2. EGRESOS'!$B:$B,Z$3)</f>
        <v/>
      </c>
    </row>
    <row r="47">
      <c r="A47" s="9" t="inlineStr">
        <is>
          <t>1.6.3</t>
        </is>
      </c>
      <c r="B47" s="10" t="inlineStr">
        <is>
          <t xml:space="preserve">  Ferias y Eventos</t>
        </is>
      </c>
      <c r="C47" s="8">
        <f>SUMIFS('2. EGRESOS'!$E:$E,'2. EGRESOS'!$K:$K,$A47,'2. EGRESOS'!$B:$B,C$3)</f>
        <v/>
      </c>
      <c r="D47" s="8">
        <f>SUMIFS('2. EGRESOS'!$E:$E,'2. EGRESOS'!$K:$K,$A47,'2. EGRESOS'!$B:$B,D$3)</f>
        <v/>
      </c>
      <c r="E47" s="8">
        <f>SUMIFS('2. EGRESOS'!$E:$E,'2. EGRESOS'!$K:$K,$A47,'2. EGRESOS'!$B:$B,E$3)</f>
        <v/>
      </c>
      <c r="F47" s="8">
        <f>SUMIFS('2. EGRESOS'!$E:$E,'2. EGRESOS'!$K:$K,$A47,'2. EGRESOS'!$B:$B,F$3)</f>
        <v/>
      </c>
      <c r="G47" s="8">
        <f>SUMIFS('2. EGRESOS'!$E:$E,'2. EGRESOS'!$K:$K,$A47,'2. EGRESOS'!$B:$B,G$3)</f>
        <v/>
      </c>
      <c r="H47" s="8">
        <f>SUMIFS('2. EGRESOS'!$E:$E,'2. EGRESOS'!$K:$K,$A47,'2. EGRESOS'!$B:$B,H$3)</f>
        <v/>
      </c>
      <c r="I47" s="8">
        <f>SUMIFS('2. EGRESOS'!$E:$E,'2. EGRESOS'!$K:$K,$A47,'2. EGRESOS'!$B:$B,I$3)</f>
        <v/>
      </c>
      <c r="J47" s="8">
        <f>SUMIFS('2. EGRESOS'!$E:$E,'2. EGRESOS'!$K:$K,$A47,'2. EGRESOS'!$B:$B,J$3)</f>
        <v/>
      </c>
      <c r="K47" s="8">
        <f>SUMIFS('2. EGRESOS'!$E:$E,'2. EGRESOS'!$K:$K,$A47,'2. EGRESOS'!$B:$B,K$3)</f>
        <v/>
      </c>
      <c r="L47" s="8">
        <f>SUMIFS('2. EGRESOS'!$E:$E,'2. EGRESOS'!$K:$K,$A47,'2. EGRESOS'!$B:$B,L$3)</f>
        <v/>
      </c>
      <c r="M47" s="8">
        <f>SUMIFS('2. EGRESOS'!$E:$E,'2. EGRESOS'!$K:$K,$A47,'2. EGRESOS'!$B:$B,M$3)</f>
        <v/>
      </c>
      <c r="N47" s="8">
        <f>SUMIFS('2. EGRESOS'!$E:$E,'2. EGRESOS'!$K:$K,$A47,'2. EGRESOS'!$B:$B,N$3)</f>
        <v/>
      </c>
      <c r="O47" s="8">
        <f>SUMIFS('2. EGRESOS'!$E:$E,'2. EGRESOS'!$K:$K,$A47,'2. EGRESOS'!$B:$B,O$3)</f>
        <v/>
      </c>
      <c r="P47" s="8">
        <f>SUMIFS('2. EGRESOS'!$E:$E,'2. EGRESOS'!$K:$K,$A47,'2. EGRESOS'!$B:$B,P$3)</f>
        <v/>
      </c>
      <c r="Q47" s="8">
        <f>SUMIFS('2. EGRESOS'!$E:$E,'2. EGRESOS'!$K:$K,$A47,'2. EGRESOS'!$B:$B,Q$3)</f>
        <v/>
      </c>
      <c r="R47" s="8">
        <f>SUMIFS('2. EGRESOS'!$E:$E,'2. EGRESOS'!$K:$K,$A47,'2. EGRESOS'!$B:$B,R$3)</f>
        <v/>
      </c>
      <c r="S47" s="8">
        <f>SUMIFS('2. EGRESOS'!$E:$E,'2. EGRESOS'!$K:$K,$A47,'2. EGRESOS'!$B:$B,S$3)</f>
        <v/>
      </c>
      <c r="T47" s="8">
        <f>SUMIFS('2. EGRESOS'!$E:$E,'2. EGRESOS'!$K:$K,$A47,'2. EGRESOS'!$B:$B,T$3)</f>
        <v/>
      </c>
      <c r="U47" s="8">
        <f>SUMIFS('2. EGRESOS'!$E:$E,'2. EGRESOS'!$K:$K,$A47,'2. EGRESOS'!$B:$B,U$3)</f>
        <v/>
      </c>
      <c r="V47" s="8">
        <f>SUMIFS('2. EGRESOS'!$E:$E,'2. EGRESOS'!$K:$K,$A47,'2. EGRESOS'!$B:$B,V$3)</f>
        <v/>
      </c>
      <c r="W47" s="8">
        <f>SUMIFS('2. EGRESOS'!$E:$E,'2. EGRESOS'!$K:$K,$A47,'2. EGRESOS'!$B:$B,W$3)</f>
        <v/>
      </c>
      <c r="X47" s="8">
        <f>SUMIFS('2. EGRESOS'!$E:$E,'2. EGRESOS'!$K:$K,$A47,'2. EGRESOS'!$B:$B,X$3)</f>
        <v/>
      </c>
      <c r="Y47" s="8">
        <f>SUMIFS('2. EGRESOS'!$E:$E,'2. EGRESOS'!$K:$K,$A47,'2. EGRESOS'!$B:$B,Y$3)</f>
        <v/>
      </c>
      <c r="Z47" s="8">
        <f>SUMIFS('2. EGRESOS'!$E:$E,'2. EGRESOS'!$K:$K,$A47,'2. EGRESOS'!$B:$B,Z$3)</f>
        <v/>
      </c>
    </row>
    <row r="48">
      <c r="A48" s="3" t="inlineStr">
        <is>
          <t>CC7</t>
        </is>
      </c>
      <c r="B48" s="4" t="inlineStr">
        <is>
          <t>Envios y Logistica</t>
        </is>
      </c>
      <c r="C48" s="5">
        <f>+SUBTOTAL(9,C49:C51)</f>
        <v/>
      </c>
      <c r="D48" s="5">
        <f>+SUBTOTAL(9,D49:D51)</f>
        <v/>
      </c>
      <c r="E48" s="5">
        <f>+SUBTOTAL(9,E49:E51)</f>
        <v/>
      </c>
      <c r="F48" s="5">
        <f>+SUBTOTAL(9,F49:F51)</f>
        <v/>
      </c>
      <c r="G48" s="5">
        <f>+SUBTOTAL(9,G49:G51)</f>
        <v/>
      </c>
      <c r="H48" s="5">
        <f>+SUBTOTAL(9,H49:H51)</f>
        <v/>
      </c>
      <c r="I48" s="5">
        <f>+SUBTOTAL(9,I49:I51)</f>
        <v/>
      </c>
      <c r="J48" s="5">
        <f>+SUBTOTAL(9,J49:J51)</f>
        <v/>
      </c>
      <c r="K48" s="5">
        <f>+SUBTOTAL(9,K49:K51)</f>
        <v/>
      </c>
      <c r="L48" s="5">
        <f>+SUBTOTAL(9,L49:L51)</f>
        <v/>
      </c>
      <c r="M48" s="5">
        <f>+SUBTOTAL(9,M49:M51)</f>
        <v/>
      </c>
      <c r="N48" s="5">
        <f>+SUBTOTAL(9,N49:N51)</f>
        <v/>
      </c>
      <c r="O48" s="5">
        <f>+SUBTOTAL(9,O49:O51)</f>
        <v/>
      </c>
      <c r="P48" s="5">
        <f>+SUBTOTAL(9,P49:P51)</f>
        <v/>
      </c>
      <c r="Q48" s="5">
        <f>+SUBTOTAL(9,Q49:Q51)</f>
        <v/>
      </c>
      <c r="R48" s="5">
        <f>+SUBTOTAL(9,R49:R51)</f>
        <v/>
      </c>
      <c r="S48" s="5">
        <f>+SUBTOTAL(9,S49:S51)</f>
        <v/>
      </c>
      <c r="T48" s="5">
        <f>+SUBTOTAL(9,T49:T51)</f>
        <v/>
      </c>
      <c r="U48" s="5">
        <f>+SUBTOTAL(9,U49:U51)</f>
        <v/>
      </c>
      <c r="V48" s="5">
        <f>+SUBTOTAL(9,V49:V51)</f>
        <v/>
      </c>
      <c r="W48" s="5">
        <f>+SUBTOTAL(9,W49:W51)</f>
        <v/>
      </c>
      <c r="X48" s="5">
        <f>+SUBTOTAL(9,X49:X51)</f>
        <v/>
      </c>
      <c r="Y48" s="5">
        <f>+SUBTOTAL(9,Y49:Y51)</f>
        <v/>
      </c>
      <c r="Z48" s="5">
        <f>+SUBTOTAL(9,Z49:Z51)</f>
        <v/>
      </c>
    </row>
    <row r="49">
      <c r="A49" s="9" t="inlineStr">
        <is>
          <t>1.7.1</t>
        </is>
      </c>
      <c r="B49" s="10" t="inlineStr">
        <is>
          <t>Despachos B2B (Gaspar)</t>
        </is>
      </c>
      <c r="C49" s="8">
        <f>SUMIFS('2. EGRESOS'!$E:$E,'2. EGRESOS'!$K:$K,$A49,'2. EGRESOS'!$B:$B,C$3)</f>
        <v/>
      </c>
      <c r="D49" s="8">
        <f>SUMIFS('2. EGRESOS'!$E:$E,'2. EGRESOS'!$K:$K,$A49,'2. EGRESOS'!$B:$B,D$3)</f>
        <v/>
      </c>
      <c r="E49" s="8">
        <f>SUMIFS('2. EGRESOS'!$E:$E,'2. EGRESOS'!$K:$K,$A49,'2. EGRESOS'!$B:$B,E$3)</f>
        <v/>
      </c>
      <c r="F49" s="8">
        <f>SUMIFS('2. EGRESOS'!$E:$E,'2. EGRESOS'!$K:$K,$A49,'2. EGRESOS'!$B:$B,F$3)</f>
        <v/>
      </c>
      <c r="G49" s="8">
        <f>SUMIFS('2. EGRESOS'!$E:$E,'2. EGRESOS'!$K:$K,$A49,'2. EGRESOS'!$B:$B,G$3)</f>
        <v/>
      </c>
      <c r="H49" s="8">
        <f>SUMIFS('2. EGRESOS'!$E:$E,'2. EGRESOS'!$K:$K,$A49,'2. EGRESOS'!$B:$B,H$3)</f>
        <v/>
      </c>
      <c r="I49" s="8">
        <f>SUMIFS('2. EGRESOS'!$E:$E,'2. EGRESOS'!$K:$K,$A49,'2. EGRESOS'!$B:$B,I$3)</f>
        <v/>
      </c>
      <c r="J49" s="8">
        <f>SUMIFS('2. EGRESOS'!$E:$E,'2. EGRESOS'!$K:$K,$A49,'2. EGRESOS'!$B:$B,J$3)</f>
        <v/>
      </c>
      <c r="K49" s="8">
        <f>SUMIFS('2. EGRESOS'!$E:$E,'2. EGRESOS'!$K:$K,$A49,'2. EGRESOS'!$B:$B,K$3)</f>
        <v/>
      </c>
      <c r="L49" s="8">
        <f>SUMIFS('2. EGRESOS'!$E:$E,'2. EGRESOS'!$K:$K,$A49,'2. EGRESOS'!$B:$B,L$3)</f>
        <v/>
      </c>
      <c r="M49" s="8">
        <f>SUMIFS('2. EGRESOS'!$E:$E,'2. EGRESOS'!$K:$K,$A49,'2. EGRESOS'!$B:$B,M$3)</f>
        <v/>
      </c>
      <c r="N49" s="8">
        <f>SUMIFS('2. EGRESOS'!$E:$E,'2. EGRESOS'!$K:$K,$A49,'2. EGRESOS'!$B:$B,N$3)</f>
        <v/>
      </c>
      <c r="O49" s="8">
        <f>SUMIFS('2. EGRESOS'!$E:$E,'2. EGRESOS'!$K:$K,$A49,'2. EGRESOS'!$B:$B,O$3)</f>
        <v/>
      </c>
      <c r="P49" s="8">
        <f>SUMIFS('2. EGRESOS'!$E:$E,'2. EGRESOS'!$K:$K,$A49,'2. EGRESOS'!$B:$B,P$3)</f>
        <v/>
      </c>
      <c r="Q49" s="8">
        <f>SUMIFS('2. EGRESOS'!$E:$E,'2. EGRESOS'!$K:$K,$A49,'2. EGRESOS'!$B:$B,Q$3)</f>
        <v/>
      </c>
      <c r="R49" s="8">
        <f>SUMIFS('2. EGRESOS'!$E:$E,'2. EGRESOS'!$K:$K,$A49,'2. EGRESOS'!$B:$B,R$3)</f>
        <v/>
      </c>
      <c r="S49" s="8">
        <f>SUMIFS('2. EGRESOS'!$E:$E,'2. EGRESOS'!$K:$K,$A49,'2. EGRESOS'!$B:$B,S$3)</f>
        <v/>
      </c>
      <c r="T49" s="8">
        <f>SUMIFS('2. EGRESOS'!$E:$E,'2. EGRESOS'!$K:$K,$A49,'2. EGRESOS'!$B:$B,T$3)</f>
        <v/>
      </c>
      <c r="U49" s="8">
        <f>SUMIFS('2. EGRESOS'!$E:$E,'2. EGRESOS'!$K:$K,$A49,'2. EGRESOS'!$B:$B,U$3)</f>
        <v/>
      </c>
      <c r="V49" s="8">
        <f>SUMIFS('2. EGRESOS'!$E:$E,'2. EGRESOS'!$K:$K,$A49,'2. EGRESOS'!$B:$B,V$3)</f>
        <v/>
      </c>
      <c r="W49" s="8">
        <f>SUMIFS('2. EGRESOS'!$E:$E,'2. EGRESOS'!$K:$K,$A49,'2. EGRESOS'!$B:$B,W$3)</f>
        <v/>
      </c>
      <c r="X49" s="8">
        <f>SUMIFS('2. EGRESOS'!$E:$E,'2. EGRESOS'!$K:$K,$A49,'2. EGRESOS'!$B:$B,X$3)</f>
        <v/>
      </c>
      <c r="Y49" s="8">
        <f>SUMIFS('2. EGRESOS'!$E:$E,'2. EGRESOS'!$K:$K,$A49,'2. EGRESOS'!$B:$B,Y$3)</f>
        <v/>
      </c>
      <c r="Z49" s="8">
        <f>SUMIFS('2. EGRESOS'!$E:$E,'2. EGRESOS'!$K:$K,$A49,'2. EGRESOS'!$B:$B,Z$3)</f>
        <v/>
      </c>
    </row>
    <row r="50">
      <c r="A50" s="6" t="inlineStr">
        <is>
          <t>1.7.2</t>
        </is>
      </c>
      <c r="B50" s="10" t="inlineStr">
        <is>
          <t>Despachos (B2C)</t>
        </is>
      </c>
      <c r="C50" s="8">
        <f>SUMIFS('2. EGRESOS'!$E:$E,'2. EGRESOS'!$K:$K,$A50,'2. EGRESOS'!$B:$B,C$3)</f>
        <v/>
      </c>
      <c r="D50" s="8">
        <f>SUMIFS('2. EGRESOS'!$E:$E,'2. EGRESOS'!$K:$K,$A50,'2. EGRESOS'!$B:$B,D$3)</f>
        <v/>
      </c>
      <c r="E50" s="8">
        <f>SUMIFS('2. EGRESOS'!$E:$E,'2. EGRESOS'!$K:$K,$A50,'2. EGRESOS'!$B:$B,E$3)</f>
        <v/>
      </c>
      <c r="F50" s="8">
        <f>SUMIFS('2. EGRESOS'!$E:$E,'2. EGRESOS'!$K:$K,$A50,'2. EGRESOS'!$B:$B,F$3)</f>
        <v/>
      </c>
      <c r="G50" s="8">
        <f>SUMIFS('2. EGRESOS'!$E:$E,'2. EGRESOS'!$K:$K,$A50,'2. EGRESOS'!$B:$B,G$3)</f>
        <v/>
      </c>
      <c r="H50" s="8">
        <f>SUMIFS('2. EGRESOS'!$E:$E,'2. EGRESOS'!$K:$K,$A50,'2. EGRESOS'!$B:$B,H$3)</f>
        <v/>
      </c>
      <c r="I50" s="8">
        <f>SUMIFS('2. EGRESOS'!$E:$E,'2. EGRESOS'!$K:$K,$A50,'2. EGRESOS'!$B:$B,I$3)</f>
        <v/>
      </c>
      <c r="J50" s="8">
        <f>SUMIFS('2. EGRESOS'!$E:$E,'2. EGRESOS'!$K:$K,$A50,'2. EGRESOS'!$B:$B,J$3)</f>
        <v/>
      </c>
      <c r="K50" s="8">
        <f>SUMIFS('2. EGRESOS'!$E:$E,'2. EGRESOS'!$K:$K,$A50,'2. EGRESOS'!$B:$B,K$3)</f>
        <v/>
      </c>
      <c r="L50" s="8">
        <f>SUMIFS('2. EGRESOS'!$E:$E,'2. EGRESOS'!$K:$K,$A50,'2. EGRESOS'!$B:$B,L$3)</f>
        <v/>
      </c>
      <c r="M50" s="8">
        <f>SUMIFS('2. EGRESOS'!$E:$E,'2. EGRESOS'!$K:$K,$A50,'2. EGRESOS'!$B:$B,M$3)</f>
        <v/>
      </c>
      <c r="N50" s="8">
        <f>SUMIFS('2. EGRESOS'!$E:$E,'2. EGRESOS'!$K:$K,$A50,'2. EGRESOS'!$B:$B,N$3)</f>
        <v/>
      </c>
      <c r="O50" s="8">
        <f>SUMIFS('2. EGRESOS'!$E:$E,'2. EGRESOS'!$K:$K,$A50,'2. EGRESOS'!$B:$B,O$3)</f>
        <v/>
      </c>
      <c r="P50" s="8">
        <f>SUMIFS('2. EGRESOS'!$E:$E,'2. EGRESOS'!$K:$K,$A50,'2. EGRESOS'!$B:$B,P$3)</f>
        <v/>
      </c>
      <c r="Q50" s="8">
        <f>SUMIFS('2. EGRESOS'!$E:$E,'2. EGRESOS'!$K:$K,$A50,'2. EGRESOS'!$B:$B,Q$3)</f>
        <v/>
      </c>
      <c r="R50" s="8">
        <f>SUMIFS('2. EGRESOS'!$E:$E,'2. EGRESOS'!$K:$K,$A50,'2. EGRESOS'!$B:$B,R$3)</f>
        <v/>
      </c>
      <c r="S50" s="8">
        <f>SUMIFS('2. EGRESOS'!$E:$E,'2. EGRESOS'!$K:$K,$A50,'2. EGRESOS'!$B:$B,S$3)</f>
        <v/>
      </c>
      <c r="T50" s="8">
        <f>SUMIFS('2. EGRESOS'!$E:$E,'2. EGRESOS'!$K:$K,$A50,'2. EGRESOS'!$B:$B,T$3)</f>
        <v/>
      </c>
      <c r="U50" s="8">
        <f>SUMIFS('2. EGRESOS'!$E:$E,'2. EGRESOS'!$K:$K,$A50,'2. EGRESOS'!$B:$B,U$3)</f>
        <v/>
      </c>
      <c r="V50" s="8">
        <f>SUMIFS('2. EGRESOS'!$E:$E,'2. EGRESOS'!$K:$K,$A50,'2. EGRESOS'!$B:$B,V$3)</f>
        <v/>
      </c>
      <c r="W50" s="8">
        <f>SUMIFS('2. EGRESOS'!$E:$E,'2. EGRESOS'!$K:$K,$A50,'2. EGRESOS'!$B:$B,W$3)</f>
        <v/>
      </c>
      <c r="X50" s="8">
        <f>SUMIFS('2. EGRESOS'!$E:$E,'2. EGRESOS'!$K:$K,$A50,'2. EGRESOS'!$B:$B,X$3)</f>
        <v/>
      </c>
      <c r="Y50" s="8">
        <f>SUMIFS('2. EGRESOS'!$E:$E,'2. EGRESOS'!$K:$K,$A50,'2. EGRESOS'!$B:$B,Y$3)</f>
        <v/>
      </c>
      <c r="Z50" s="8">
        <f>SUMIFS('2. EGRESOS'!$E:$E,'2. EGRESOS'!$K:$K,$A50,'2. EGRESOS'!$B:$B,Z$3)</f>
        <v/>
      </c>
    </row>
    <row r="51">
      <c r="A51" s="9" t="inlineStr">
        <is>
          <t>1.7.3</t>
        </is>
      </c>
      <c r="B51" s="10" t="inlineStr">
        <is>
          <t>Transporte personas (empleados)</t>
        </is>
      </c>
      <c r="C51" s="8">
        <f>SUMIFS('2. EGRESOS'!$E:$E,'2. EGRESOS'!$K:$K,$A51,'2. EGRESOS'!$B:$B,C$3)</f>
        <v/>
      </c>
      <c r="D51" s="8">
        <f>SUMIFS('2. EGRESOS'!$E:$E,'2. EGRESOS'!$K:$K,$A51,'2. EGRESOS'!$B:$B,D$3)</f>
        <v/>
      </c>
      <c r="E51" s="8">
        <f>SUMIFS('2. EGRESOS'!$E:$E,'2. EGRESOS'!$K:$K,$A51,'2. EGRESOS'!$B:$B,E$3)</f>
        <v/>
      </c>
      <c r="F51" s="8">
        <f>SUMIFS('2. EGRESOS'!$E:$E,'2. EGRESOS'!$K:$K,$A51,'2. EGRESOS'!$B:$B,F$3)</f>
        <v/>
      </c>
      <c r="G51" s="8">
        <f>SUMIFS('2. EGRESOS'!$E:$E,'2. EGRESOS'!$K:$K,$A51,'2. EGRESOS'!$B:$B,G$3)</f>
        <v/>
      </c>
      <c r="H51" s="8">
        <f>SUMIFS('2. EGRESOS'!$E:$E,'2. EGRESOS'!$K:$K,$A51,'2. EGRESOS'!$B:$B,H$3)</f>
        <v/>
      </c>
      <c r="I51" s="8">
        <f>SUMIFS('2. EGRESOS'!$E:$E,'2. EGRESOS'!$K:$K,$A51,'2. EGRESOS'!$B:$B,I$3)</f>
        <v/>
      </c>
      <c r="J51" s="8">
        <f>SUMIFS('2. EGRESOS'!$E:$E,'2. EGRESOS'!$K:$K,$A51,'2. EGRESOS'!$B:$B,J$3)</f>
        <v/>
      </c>
      <c r="K51" s="8">
        <f>SUMIFS('2. EGRESOS'!$E:$E,'2. EGRESOS'!$K:$K,$A51,'2. EGRESOS'!$B:$B,K$3)</f>
        <v/>
      </c>
      <c r="L51" s="8">
        <f>SUMIFS('2. EGRESOS'!$E:$E,'2. EGRESOS'!$K:$K,$A51,'2. EGRESOS'!$B:$B,L$3)</f>
        <v/>
      </c>
      <c r="M51" s="8">
        <f>SUMIFS('2. EGRESOS'!$E:$E,'2. EGRESOS'!$K:$K,$A51,'2. EGRESOS'!$B:$B,M$3)</f>
        <v/>
      </c>
      <c r="N51" s="8">
        <f>SUMIFS('2. EGRESOS'!$E:$E,'2. EGRESOS'!$K:$K,$A51,'2. EGRESOS'!$B:$B,N$3)</f>
        <v/>
      </c>
      <c r="O51" s="8">
        <f>SUMIFS('2. EGRESOS'!$E:$E,'2. EGRESOS'!$K:$K,$A51,'2. EGRESOS'!$B:$B,O$3)</f>
        <v/>
      </c>
      <c r="P51" s="8">
        <f>SUMIFS('2. EGRESOS'!$E:$E,'2. EGRESOS'!$K:$K,$A51,'2. EGRESOS'!$B:$B,P$3)</f>
        <v/>
      </c>
      <c r="Q51" s="8">
        <f>SUMIFS('2. EGRESOS'!$E:$E,'2. EGRESOS'!$K:$K,$A51,'2. EGRESOS'!$B:$B,Q$3)</f>
        <v/>
      </c>
      <c r="R51" s="8">
        <f>SUMIFS('2. EGRESOS'!$E:$E,'2. EGRESOS'!$K:$K,$A51,'2. EGRESOS'!$B:$B,R$3)</f>
        <v/>
      </c>
      <c r="S51" s="8">
        <f>SUMIFS('2. EGRESOS'!$E:$E,'2. EGRESOS'!$K:$K,$A51,'2. EGRESOS'!$B:$B,S$3)</f>
        <v/>
      </c>
      <c r="T51" s="8">
        <f>SUMIFS('2. EGRESOS'!$E:$E,'2. EGRESOS'!$K:$K,$A51,'2. EGRESOS'!$B:$B,T$3)</f>
        <v/>
      </c>
      <c r="U51" s="8">
        <f>SUMIFS('2. EGRESOS'!$E:$E,'2. EGRESOS'!$K:$K,$A51,'2. EGRESOS'!$B:$B,U$3)</f>
        <v/>
      </c>
      <c r="V51" s="8">
        <f>SUMIFS('2. EGRESOS'!$E:$E,'2. EGRESOS'!$K:$K,$A51,'2. EGRESOS'!$B:$B,V$3)</f>
        <v/>
      </c>
      <c r="W51" s="8">
        <f>SUMIFS('2. EGRESOS'!$E:$E,'2. EGRESOS'!$K:$K,$A51,'2. EGRESOS'!$B:$B,W$3)</f>
        <v/>
      </c>
      <c r="X51" s="8">
        <f>SUMIFS('2. EGRESOS'!$E:$E,'2. EGRESOS'!$K:$K,$A51,'2. EGRESOS'!$B:$B,X$3)</f>
        <v/>
      </c>
      <c r="Y51" s="8">
        <f>SUMIFS('2. EGRESOS'!$E:$E,'2. EGRESOS'!$K:$K,$A51,'2. EGRESOS'!$B:$B,Y$3)</f>
        <v/>
      </c>
      <c r="Z51" s="8">
        <f>SUMIFS('2. EGRESOS'!$E:$E,'2. EGRESOS'!$K:$K,$A51,'2. EGRESOS'!$B:$B,Z$3)</f>
        <v/>
      </c>
    </row>
    <row r="52">
      <c r="A52" s="3" t="inlineStr">
        <is>
          <t>CC8</t>
        </is>
      </c>
      <c r="B52" s="4" t="inlineStr">
        <is>
          <t>Comisiones de Venta</t>
        </is>
      </c>
      <c r="C52" s="5">
        <f>+SUBTOTAL(9,C53:C55)</f>
        <v/>
      </c>
      <c r="D52" s="5">
        <f>+SUBTOTAL(9,D53:D55)</f>
        <v/>
      </c>
      <c r="E52" s="5">
        <f>+SUBTOTAL(9,E53:E55)</f>
        <v/>
      </c>
      <c r="F52" s="5">
        <f>+SUBTOTAL(9,F53:F55)</f>
        <v/>
      </c>
      <c r="G52" s="5">
        <f>+SUBTOTAL(9,G53:G55)</f>
        <v/>
      </c>
      <c r="H52" s="5">
        <f>+SUBTOTAL(9,H53:H55)</f>
        <v/>
      </c>
      <c r="I52" s="5">
        <f>+SUBTOTAL(9,I53:I55)</f>
        <v/>
      </c>
      <c r="J52" s="5">
        <f>+SUBTOTAL(9,J53:J55)</f>
        <v/>
      </c>
      <c r="K52" s="5">
        <f>+SUBTOTAL(9,K53:K55)</f>
        <v/>
      </c>
      <c r="L52" s="5">
        <f>+SUBTOTAL(9,L53:L55)</f>
        <v/>
      </c>
      <c r="M52" s="5">
        <f>+SUBTOTAL(9,M53:M55)</f>
        <v/>
      </c>
      <c r="N52" s="5">
        <f>+SUBTOTAL(9,N53:N55)</f>
        <v/>
      </c>
      <c r="O52" s="5">
        <f>+SUBTOTAL(9,O53:O55)</f>
        <v/>
      </c>
      <c r="P52" s="5">
        <f>+SUBTOTAL(9,P53:P55)</f>
        <v/>
      </c>
      <c r="Q52" s="5">
        <f>+SUBTOTAL(9,Q53:Q55)</f>
        <v/>
      </c>
      <c r="R52" s="5">
        <f>+SUBTOTAL(9,R53:R55)</f>
        <v/>
      </c>
      <c r="S52" s="5">
        <f>+SUBTOTAL(9,S53:S55)</f>
        <v/>
      </c>
      <c r="T52" s="5">
        <f>+SUBTOTAL(9,T53:T55)</f>
        <v/>
      </c>
      <c r="U52" s="5">
        <f>+SUBTOTAL(9,U53:U55)</f>
        <v/>
      </c>
      <c r="V52" s="5">
        <f>+SUBTOTAL(9,V53:V55)</f>
        <v/>
      </c>
      <c r="W52" s="5">
        <f>+SUBTOTAL(9,W53:W55)</f>
        <v/>
      </c>
      <c r="X52" s="5">
        <f>+SUBTOTAL(9,X53:X55)</f>
        <v/>
      </c>
      <c r="Y52" s="5">
        <f>+SUBTOTAL(9,Y53:Y55)</f>
        <v/>
      </c>
      <c r="Z52" s="5">
        <f>+SUBTOTAL(9,Z53:Z55)</f>
        <v/>
      </c>
    </row>
    <row r="53">
      <c r="A53" s="9" t="inlineStr">
        <is>
          <t>1.8.1</t>
        </is>
      </c>
      <c r="B53" s="10" t="inlineStr">
        <is>
          <t xml:space="preserve">  Comision Getnet + TUU</t>
        </is>
      </c>
      <c r="C53" s="8">
        <f>SUMIFS('2. EGRESOS'!$E:$E,'2. EGRESOS'!$K:$K,$A53,'2. EGRESOS'!$B:$B,C$3)</f>
        <v/>
      </c>
      <c r="D53" s="8">
        <f>SUMIFS('2. EGRESOS'!$E:$E,'2. EGRESOS'!$K:$K,$A53,'2. EGRESOS'!$B:$B,D$3)</f>
        <v/>
      </c>
      <c r="E53" s="8">
        <f>SUMIFS('2. EGRESOS'!$E:$E,'2. EGRESOS'!$K:$K,$A53,'2. EGRESOS'!$B:$B,E$3)</f>
        <v/>
      </c>
      <c r="F53" s="8">
        <f>SUMIFS('2. EGRESOS'!$E:$E,'2. EGRESOS'!$K:$K,$A53,'2. EGRESOS'!$B:$B,F$3)</f>
        <v/>
      </c>
      <c r="G53" s="8">
        <f>SUMIFS('2. EGRESOS'!$E:$E,'2. EGRESOS'!$K:$K,$A53,'2. EGRESOS'!$B:$B,G$3)</f>
        <v/>
      </c>
      <c r="H53" s="8">
        <f>SUMIFS('2. EGRESOS'!$E:$E,'2. EGRESOS'!$K:$K,$A53,'2. EGRESOS'!$B:$B,H$3)</f>
        <v/>
      </c>
      <c r="I53" s="8">
        <f>SUMIFS('2. EGRESOS'!$E:$E,'2. EGRESOS'!$K:$K,$A53,'2. EGRESOS'!$B:$B,I$3)</f>
        <v/>
      </c>
      <c r="J53" s="8">
        <f>SUMIFS('2. EGRESOS'!$E:$E,'2. EGRESOS'!$K:$K,$A53,'2. EGRESOS'!$B:$B,J$3)</f>
        <v/>
      </c>
      <c r="K53" s="8">
        <f>SUMIFS('2. EGRESOS'!$E:$E,'2. EGRESOS'!$K:$K,$A53,'2. EGRESOS'!$B:$B,K$3)</f>
        <v/>
      </c>
      <c r="L53" s="8">
        <f>SUMIFS('2. EGRESOS'!$E:$E,'2. EGRESOS'!$K:$K,$A53,'2. EGRESOS'!$B:$B,L$3)</f>
        <v/>
      </c>
      <c r="M53" s="8">
        <f>SUMIFS('2. EGRESOS'!$E:$E,'2. EGRESOS'!$K:$K,$A53,'2. EGRESOS'!$B:$B,M$3)</f>
        <v/>
      </c>
      <c r="N53" s="8">
        <f>SUMIFS('2. EGRESOS'!$E:$E,'2. EGRESOS'!$K:$K,$A53,'2. EGRESOS'!$B:$B,N$3)</f>
        <v/>
      </c>
      <c r="O53" s="8">
        <f>SUMIFS('2. EGRESOS'!$E:$E,'2. EGRESOS'!$K:$K,$A53,'2. EGRESOS'!$B:$B,O$3)</f>
        <v/>
      </c>
      <c r="P53" s="8">
        <f>SUMIFS('2. EGRESOS'!$E:$E,'2. EGRESOS'!$K:$K,$A53,'2. EGRESOS'!$B:$B,P$3)</f>
        <v/>
      </c>
      <c r="Q53" s="8">
        <f>SUMIFS('2. EGRESOS'!$E:$E,'2. EGRESOS'!$K:$K,$A53,'2. EGRESOS'!$B:$B,Q$3)</f>
        <v/>
      </c>
      <c r="R53" s="8">
        <f>SUMIFS('2. EGRESOS'!$E:$E,'2. EGRESOS'!$K:$K,$A53,'2. EGRESOS'!$B:$B,R$3)</f>
        <v/>
      </c>
      <c r="S53" s="8">
        <f>SUMIFS('2. EGRESOS'!$E:$E,'2. EGRESOS'!$K:$K,$A53,'2. EGRESOS'!$B:$B,S$3)</f>
        <v/>
      </c>
      <c r="T53" s="8">
        <f>SUMIFS('2. EGRESOS'!$E:$E,'2. EGRESOS'!$K:$K,$A53,'2. EGRESOS'!$B:$B,T$3)</f>
        <v/>
      </c>
      <c r="U53" s="8">
        <f>SUMIFS('2. EGRESOS'!$E:$E,'2. EGRESOS'!$K:$K,$A53,'2. EGRESOS'!$B:$B,U$3)</f>
        <v/>
      </c>
      <c r="V53" s="8">
        <f>SUMIFS('2. EGRESOS'!$E:$E,'2. EGRESOS'!$K:$K,$A53,'2. EGRESOS'!$B:$B,V$3)</f>
        <v/>
      </c>
      <c r="W53" s="8">
        <f>SUMIFS('2. EGRESOS'!$E:$E,'2. EGRESOS'!$K:$K,$A53,'2. EGRESOS'!$B:$B,W$3)</f>
        <v/>
      </c>
      <c r="X53" s="8">
        <f>SUMIFS('2. EGRESOS'!$E:$E,'2. EGRESOS'!$K:$K,$A53,'2. EGRESOS'!$B:$B,X$3)</f>
        <v/>
      </c>
      <c r="Y53" s="8">
        <f>SUMIFS('2. EGRESOS'!$E:$E,'2. EGRESOS'!$K:$K,$A53,'2. EGRESOS'!$B:$B,Y$3)</f>
        <v/>
      </c>
      <c r="Z53" s="8">
        <f>SUMIFS('2. EGRESOS'!$E:$E,'2. EGRESOS'!$K:$K,$A53,'2. EGRESOS'!$B:$B,Z$3)</f>
        <v/>
      </c>
    </row>
    <row r="54">
      <c r="A54" s="6" t="inlineStr">
        <is>
          <t>1.8.2</t>
        </is>
      </c>
      <c r="B54" s="10" t="inlineStr">
        <is>
          <t xml:space="preserve">  Comision plataformas delivery</t>
        </is>
      </c>
      <c r="C54" s="8">
        <f>SUMIFS('2. EGRESOS'!$E:$E,'2. EGRESOS'!$K:$K,$A54,'2. EGRESOS'!$B:$B,C$3)</f>
        <v/>
      </c>
      <c r="D54" s="8">
        <f>SUMIFS('2. EGRESOS'!$E:$E,'2. EGRESOS'!$K:$K,$A54,'2. EGRESOS'!$B:$B,D$3)</f>
        <v/>
      </c>
      <c r="E54" s="8">
        <f>SUMIFS('2. EGRESOS'!$E:$E,'2. EGRESOS'!$K:$K,$A54,'2. EGRESOS'!$B:$B,E$3)</f>
        <v/>
      </c>
      <c r="F54" s="8">
        <f>SUMIFS('2. EGRESOS'!$E:$E,'2. EGRESOS'!$K:$K,$A54,'2. EGRESOS'!$B:$B,F$3)</f>
        <v/>
      </c>
      <c r="G54" s="8">
        <f>SUMIFS('2. EGRESOS'!$E:$E,'2. EGRESOS'!$K:$K,$A54,'2. EGRESOS'!$B:$B,G$3)</f>
        <v/>
      </c>
      <c r="H54" s="8">
        <f>SUMIFS('2. EGRESOS'!$E:$E,'2. EGRESOS'!$K:$K,$A54,'2. EGRESOS'!$B:$B,H$3)</f>
        <v/>
      </c>
      <c r="I54" s="8">
        <f>SUMIFS('2. EGRESOS'!$E:$E,'2. EGRESOS'!$K:$K,$A54,'2. EGRESOS'!$B:$B,I$3)</f>
        <v/>
      </c>
      <c r="J54" s="8">
        <f>SUMIFS('2. EGRESOS'!$E:$E,'2. EGRESOS'!$K:$K,$A54,'2. EGRESOS'!$B:$B,J$3)</f>
        <v/>
      </c>
      <c r="K54" s="8">
        <f>SUMIFS('2. EGRESOS'!$E:$E,'2. EGRESOS'!$K:$K,$A54,'2. EGRESOS'!$B:$B,K$3)</f>
        <v/>
      </c>
      <c r="L54" s="8">
        <f>SUMIFS('2. EGRESOS'!$E:$E,'2. EGRESOS'!$K:$K,$A54,'2. EGRESOS'!$B:$B,L$3)</f>
        <v/>
      </c>
      <c r="M54" s="8">
        <f>SUMIFS('2. EGRESOS'!$E:$E,'2. EGRESOS'!$K:$K,$A54,'2. EGRESOS'!$B:$B,M$3)</f>
        <v/>
      </c>
      <c r="N54" s="8">
        <f>SUMIFS('2. EGRESOS'!$E:$E,'2. EGRESOS'!$K:$K,$A54,'2. EGRESOS'!$B:$B,N$3)</f>
        <v/>
      </c>
      <c r="O54" s="8">
        <f>SUMIFS('2. EGRESOS'!$E:$E,'2. EGRESOS'!$K:$K,$A54,'2. EGRESOS'!$B:$B,O$3)</f>
        <v/>
      </c>
      <c r="P54" s="8">
        <f>SUMIFS('2. EGRESOS'!$E:$E,'2. EGRESOS'!$K:$K,$A54,'2. EGRESOS'!$B:$B,P$3)</f>
        <v/>
      </c>
      <c r="Q54" s="8">
        <f>SUMIFS('2. EGRESOS'!$E:$E,'2. EGRESOS'!$K:$K,$A54,'2. EGRESOS'!$B:$B,Q$3)</f>
        <v/>
      </c>
      <c r="R54" s="8">
        <f>SUMIFS('2. EGRESOS'!$E:$E,'2. EGRESOS'!$K:$K,$A54,'2. EGRESOS'!$B:$B,R$3)</f>
        <v/>
      </c>
      <c r="S54" s="8">
        <f>SUMIFS('2. EGRESOS'!$E:$E,'2. EGRESOS'!$K:$K,$A54,'2. EGRESOS'!$B:$B,S$3)</f>
        <v/>
      </c>
      <c r="T54" s="8">
        <f>SUMIFS('2. EGRESOS'!$E:$E,'2. EGRESOS'!$K:$K,$A54,'2. EGRESOS'!$B:$B,T$3)</f>
        <v/>
      </c>
      <c r="U54" s="8">
        <f>SUMIFS('2. EGRESOS'!$E:$E,'2. EGRESOS'!$K:$K,$A54,'2. EGRESOS'!$B:$B,U$3)</f>
        <v/>
      </c>
      <c r="V54" s="8">
        <f>SUMIFS('2. EGRESOS'!$E:$E,'2. EGRESOS'!$K:$K,$A54,'2. EGRESOS'!$B:$B,V$3)</f>
        <v/>
      </c>
      <c r="W54" s="8">
        <f>SUMIFS('2. EGRESOS'!$E:$E,'2. EGRESOS'!$K:$K,$A54,'2. EGRESOS'!$B:$B,W$3)</f>
        <v/>
      </c>
      <c r="X54" s="8">
        <f>SUMIFS('2. EGRESOS'!$E:$E,'2. EGRESOS'!$K:$K,$A54,'2. EGRESOS'!$B:$B,X$3)</f>
        <v/>
      </c>
      <c r="Y54" s="8">
        <f>SUMIFS('2. EGRESOS'!$E:$E,'2. EGRESOS'!$K:$K,$A54,'2. EGRESOS'!$B:$B,Y$3)</f>
        <v/>
      </c>
      <c r="Z54" s="8">
        <f>SUMIFS('2. EGRESOS'!$E:$E,'2. EGRESOS'!$K:$K,$A54,'2. EGRESOS'!$B:$B,Z$3)</f>
        <v/>
      </c>
    </row>
    <row r="55">
      <c r="A55" s="9" t="inlineStr">
        <is>
          <t>1.8.3</t>
        </is>
      </c>
      <c r="B55" s="10" t="inlineStr">
        <is>
          <t xml:space="preserve">  Plataformas Digitales (Comision)</t>
        </is>
      </c>
      <c r="C55" s="8">
        <f>SUMIFS('2. EGRESOS'!$E:$E,'2. EGRESOS'!$K:$K,$A55,'2. EGRESOS'!$B:$B,C$3)</f>
        <v/>
      </c>
      <c r="D55" s="8">
        <f>SUMIFS('2. EGRESOS'!$E:$E,'2. EGRESOS'!$K:$K,$A55,'2. EGRESOS'!$B:$B,D$3)</f>
        <v/>
      </c>
      <c r="E55" s="8">
        <f>SUMIFS('2. EGRESOS'!$E:$E,'2. EGRESOS'!$K:$K,$A55,'2. EGRESOS'!$B:$B,E$3)</f>
        <v/>
      </c>
      <c r="F55" s="8">
        <f>SUMIFS('2. EGRESOS'!$E:$E,'2. EGRESOS'!$K:$K,$A55,'2. EGRESOS'!$B:$B,F$3)</f>
        <v/>
      </c>
      <c r="G55" s="8">
        <f>SUMIFS('2. EGRESOS'!$E:$E,'2. EGRESOS'!$K:$K,$A55,'2. EGRESOS'!$B:$B,G$3)</f>
        <v/>
      </c>
      <c r="H55" s="8">
        <f>SUMIFS('2. EGRESOS'!$E:$E,'2. EGRESOS'!$K:$K,$A55,'2. EGRESOS'!$B:$B,H$3)</f>
        <v/>
      </c>
      <c r="I55" s="8">
        <f>SUMIFS('2. EGRESOS'!$E:$E,'2. EGRESOS'!$K:$K,$A55,'2. EGRESOS'!$B:$B,I$3)</f>
        <v/>
      </c>
      <c r="J55" s="8">
        <f>SUMIFS('2. EGRESOS'!$E:$E,'2. EGRESOS'!$K:$K,$A55,'2. EGRESOS'!$B:$B,J$3)</f>
        <v/>
      </c>
      <c r="K55" s="8">
        <f>SUMIFS('2. EGRESOS'!$E:$E,'2. EGRESOS'!$K:$K,$A55,'2. EGRESOS'!$B:$B,K$3)</f>
        <v/>
      </c>
      <c r="L55" s="8">
        <f>SUMIFS('2. EGRESOS'!$E:$E,'2. EGRESOS'!$K:$K,$A55,'2. EGRESOS'!$B:$B,L$3)</f>
        <v/>
      </c>
      <c r="M55" s="8">
        <f>SUMIFS('2. EGRESOS'!$E:$E,'2. EGRESOS'!$K:$K,$A55,'2. EGRESOS'!$B:$B,M$3)</f>
        <v/>
      </c>
      <c r="N55" s="8">
        <f>SUMIFS('2. EGRESOS'!$E:$E,'2. EGRESOS'!$K:$K,$A55,'2. EGRESOS'!$B:$B,N$3)</f>
        <v/>
      </c>
      <c r="O55" s="8">
        <f>SUMIFS('2. EGRESOS'!$E:$E,'2. EGRESOS'!$K:$K,$A55,'2. EGRESOS'!$B:$B,O$3)</f>
        <v/>
      </c>
      <c r="P55" s="8">
        <f>SUMIFS('2. EGRESOS'!$E:$E,'2. EGRESOS'!$K:$K,$A55,'2. EGRESOS'!$B:$B,P$3)</f>
        <v/>
      </c>
      <c r="Q55" s="8">
        <f>SUMIFS('2. EGRESOS'!$E:$E,'2. EGRESOS'!$K:$K,$A55,'2. EGRESOS'!$B:$B,Q$3)</f>
        <v/>
      </c>
      <c r="R55" s="8">
        <f>SUMIFS('2. EGRESOS'!$E:$E,'2. EGRESOS'!$K:$K,$A55,'2. EGRESOS'!$B:$B,R$3)</f>
        <v/>
      </c>
      <c r="S55" s="8">
        <f>SUMIFS('2. EGRESOS'!$E:$E,'2. EGRESOS'!$K:$K,$A55,'2. EGRESOS'!$B:$B,S$3)</f>
        <v/>
      </c>
      <c r="T55" s="8">
        <f>SUMIFS('2. EGRESOS'!$E:$E,'2. EGRESOS'!$K:$K,$A55,'2. EGRESOS'!$B:$B,T$3)</f>
        <v/>
      </c>
      <c r="U55" s="8">
        <f>SUMIFS('2. EGRESOS'!$E:$E,'2. EGRESOS'!$K:$K,$A55,'2. EGRESOS'!$B:$B,U$3)</f>
        <v/>
      </c>
      <c r="V55" s="8">
        <f>SUMIFS('2. EGRESOS'!$E:$E,'2. EGRESOS'!$K:$K,$A55,'2. EGRESOS'!$B:$B,V$3)</f>
        <v/>
      </c>
      <c r="W55" s="8">
        <f>SUMIFS('2. EGRESOS'!$E:$E,'2. EGRESOS'!$K:$K,$A55,'2. EGRESOS'!$B:$B,W$3)</f>
        <v/>
      </c>
      <c r="X55" s="8">
        <f>SUMIFS('2. EGRESOS'!$E:$E,'2. EGRESOS'!$K:$K,$A55,'2. EGRESOS'!$B:$B,X$3)</f>
        <v/>
      </c>
      <c r="Y55" s="8">
        <f>SUMIFS('2. EGRESOS'!$E:$E,'2. EGRESOS'!$K:$K,$A55,'2. EGRESOS'!$B:$B,Y$3)</f>
        <v/>
      </c>
      <c r="Z55" s="8">
        <f>SUMIFS('2. EGRESOS'!$E:$E,'2. EGRESOS'!$K:$K,$A55,'2. EGRESOS'!$B:$B,Z$3)</f>
        <v/>
      </c>
    </row>
    <row r="56">
      <c r="A56" s="3" t="inlineStr">
        <is>
          <t>CC9</t>
        </is>
      </c>
      <c r="B56" s="4" t="inlineStr">
        <is>
          <t xml:space="preserve">Impuestos </t>
        </is>
      </c>
      <c r="C56" s="5">
        <f>+SUBTOTAL(9,C57:C61)</f>
        <v/>
      </c>
      <c r="D56" s="5">
        <f>+SUBTOTAL(9,D57:D61)</f>
        <v/>
      </c>
      <c r="E56" s="5">
        <f>+SUBTOTAL(9,E57:E61)</f>
        <v/>
      </c>
      <c r="F56" s="5">
        <f>+SUBTOTAL(9,F57:F61)</f>
        <v/>
      </c>
      <c r="G56" s="5">
        <f>+SUBTOTAL(9,G57:G61)</f>
        <v/>
      </c>
      <c r="H56" s="5">
        <f>+SUBTOTAL(9,H57:H61)</f>
        <v/>
      </c>
      <c r="I56" s="5">
        <f>+SUBTOTAL(9,I57:I61)</f>
        <v/>
      </c>
      <c r="J56" s="5">
        <f>+SUBTOTAL(9,J57:J61)</f>
        <v/>
      </c>
      <c r="K56" s="5">
        <f>+SUBTOTAL(9,K57:K61)</f>
        <v/>
      </c>
      <c r="L56" s="5">
        <f>+SUBTOTAL(9,L57:L61)</f>
        <v/>
      </c>
      <c r="M56" s="5">
        <f>+SUBTOTAL(9,M57:M61)</f>
        <v/>
      </c>
      <c r="N56" s="5">
        <f>+SUBTOTAL(9,N57:N61)</f>
        <v/>
      </c>
      <c r="O56" s="5">
        <f>+SUBTOTAL(9,O57:O61)</f>
        <v/>
      </c>
      <c r="P56" s="5">
        <f>+SUBTOTAL(9,P57:P61)</f>
        <v/>
      </c>
      <c r="Q56" s="5">
        <f>+SUBTOTAL(9,Q57:Q61)</f>
        <v/>
      </c>
      <c r="R56" s="5">
        <f>+SUBTOTAL(9,R57:R61)</f>
        <v/>
      </c>
      <c r="S56" s="5">
        <f>+SUBTOTAL(9,S57:S61)</f>
        <v/>
      </c>
      <c r="T56" s="5">
        <f>+SUBTOTAL(9,T57:T61)</f>
        <v/>
      </c>
      <c r="U56" s="5">
        <f>+SUBTOTAL(9,U57:U61)</f>
        <v/>
      </c>
      <c r="V56" s="5">
        <f>+SUBTOTAL(9,V57:V61)</f>
        <v/>
      </c>
      <c r="W56" s="5">
        <f>+SUBTOTAL(9,W57:W61)</f>
        <v/>
      </c>
      <c r="X56" s="5">
        <f>+SUBTOTAL(9,X57:X61)</f>
        <v/>
      </c>
      <c r="Y56" s="5">
        <f>+SUBTOTAL(9,Y57:Y61)</f>
        <v/>
      </c>
      <c r="Z56" s="5">
        <f>+SUBTOTAL(9,Z57:Z61)</f>
        <v/>
      </c>
    </row>
    <row r="57">
      <c r="A57" s="9" t="inlineStr">
        <is>
          <t>1.9.1</t>
        </is>
      </c>
      <c r="B57" s="10" t="inlineStr">
        <is>
          <t xml:space="preserve">  IVA Neto (F29)</t>
        </is>
      </c>
      <c r="C57" s="8">
        <f>SUMIFS('2. EGRESOS'!$E:$E,'2. EGRESOS'!$K:$K,$A57,'2. EGRESOS'!$B:$B,C$3)</f>
        <v/>
      </c>
      <c r="D57" s="8">
        <f>SUMIFS('2. EGRESOS'!$E:$E,'2. EGRESOS'!$K:$K,$A57,'2. EGRESOS'!$B:$B,D$3)</f>
        <v/>
      </c>
      <c r="E57" s="8">
        <f>SUMIFS('2. EGRESOS'!$E:$E,'2. EGRESOS'!$K:$K,$A57,'2. EGRESOS'!$B:$B,E$3)</f>
        <v/>
      </c>
      <c r="F57" s="8">
        <f>SUMIFS('2. EGRESOS'!$E:$E,'2. EGRESOS'!$K:$K,$A57,'2. EGRESOS'!$B:$B,F$3)</f>
        <v/>
      </c>
      <c r="G57" s="8">
        <f>SUMIFS('2. EGRESOS'!$E:$E,'2. EGRESOS'!$K:$K,$A57,'2. EGRESOS'!$B:$B,G$3)</f>
        <v/>
      </c>
      <c r="H57" s="8">
        <f>SUMIFS('2. EGRESOS'!$E:$E,'2. EGRESOS'!$K:$K,$A57,'2. EGRESOS'!$B:$B,H$3)</f>
        <v/>
      </c>
      <c r="I57" s="8">
        <f>SUMIFS('2. EGRESOS'!$E:$E,'2. EGRESOS'!$K:$K,$A57,'2. EGRESOS'!$B:$B,I$3)</f>
        <v/>
      </c>
      <c r="J57" s="8">
        <f>SUMIFS('2. EGRESOS'!$E:$E,'2. EGRESOS'!$K:$K,$A57,'2. EGRESOS'!$B:$B,J$3)</f>
        <v/>
      </c>
      <c r="K57" s="8">
        <f>SUMIFS('2. EGRESOS'!$E:$E,'2. EGRESOS'!$K:$K,$A57,'2. EGRESOS'!$B:$B,K$3)</f>
        <v/>
      </c>
      <c r="L57" s="8">
        <f>SUMIFS('2. EGRESOS'!$E:$E,'2. EGRESOS'!$K:$K,$A57,'2. EGRESOS'!$B:$B,L$3)</f>
        <v/>
      </c>
      <c r="M57" s="8">
        <f>SUMIFS('2. EGRESOS'!$E:$E,'2. EGRESOS'!$K:$K,$A57,'2. EGRESOS'!$B:$B,M$3)</f>
        <v/>
      </c>
      <c r="N57" s="8">
        <f>SUMIFS('2. EGRESOS'!$E:$E,'2. EGRESOS'!$K:$K,$A57,'2. EGRESOS'!$B:$B,N$3)</f>
        <v/>
      </c>
      <c r="O57" s="8">
        <f>SUMIFS('2. EGRESOS'!$E:$E,'2. EGRESOS'!$K:$K,$A57,'2. EGRESOS'!$B:$B,O$3)</f>
        <v/>
      </c>
      <c r="P57" s="8">
        <f>SUMIFS('2. EGRESOS'!$E:$E,'2. EGRESOS'!$K:$K,$A57,'2. EGRESOS'!$B:$B,P$3)</f>
        <v/>
      </c>
      <c r="Q57" s="8">
        <f>SUMIFS('2. EGRESOS'!$E:$E,'2. EGRESOS'!$K:$K,$A57,'2. EGRESOS'!$B:$B,Q$3)</f>
        <v/>
      </c>
      <c r="R57" s="8">
        <f>SUMIFS('2. EGRESOS'!$E:$E,'2. EGRESOS'!$K:$K,$A57,'2. EGRESOS'!$B:$B,R$3)</f>
        <v/>
      </c>
      <c r="S57" s="8">
        <f>SUMIFS('2. EGRESOS'!$E:$E,'2. EGRESOS'!$K:$K,$A57,'2. EGRESOS'!$B:$B,S$3)</f>
        <v/>
      </c>
      <c r="T57" s="8">
        <f>SUMIFS('2. EGRESOS'!$E:$E,'2. EGRESOS'!$K:$K,$A57,'2. EGRESOS'!$B:$B,T$3)</f>
        <v/>
      </c>
      <c r="U57" s="8">
        <f>SUMIFS('2. EGRESOS'!$E:$E,'2. EGRESOS'!$K:$K,$A57,'2. EGRESOS'!$B:$B,U$3)</f>
        <v/>
      </c>
      <c r="V57" s="8">
        <f>SUMIFS('2. EGRESOS'!$E:$E,'2. EGRESOS'!$K:$K,$A57,'2. EGRESOS'!$B:$B,V$3)</f>
        <v/>
      </c>
      <c r="W57" s="8">
        <f>SUMIFS('2. EGRESOS'!$E:$E,'2. EGRESOS'!$K:$K,$A57,'2. EGRESOS'!$B:$B,W$3)</f>
        <v/>
      </c>
      <c r="X57" s="8">
        <f>SUMIFS('2. EGRESOS'!$E:$E,'2. EGRESOS'!$K:$K,$A57,'2. EGRESOS'!$B:$B,X$3)</f>
        <v/>
      </c>
      <c r="Y57" s="8">
        <f>SUMIFS('2. EGRESOS'!$E:$E,'2. EGRESOS'!$K:$K,$A57,'2. EGRESOS'!$B:$B,Y$3)</f>
        <v/>
      </c>
      <c r="Z57" s="8">
        <f>SUMIFS('2. EGRESOS'!$E:$E,'2. EGRESOS'!$K:$K,$A57,'2. EGRESOS'!$B:$B,Z$3)</f>
        <v/>
      </c>
    </row>
    <row r="58">
      <c r="A58" s="9" t="inlineStr">
        <is>
          <t>1.9.2</t>
        </is>
      </c>
      <c r="B58" s="10" t="inlineStr">
        <is>
          <t xml:space="preserve">  Provision Impuesto a la Renta</t>
        </is>
      </c>
      <c r="C58" s="8">
        <f>SUMIFS('2. EGRESOS'!$E:$E,'2. EGRESOS'!$K:$K,$A58,'2. EGRESOS'!$B:$B,C$3)</f>
        <v/>
      </c>
      <c r="D58" s="8">
        <f>SUMIFS('2. EGRESOS'!$E:$E,'2. EGRESOS'!$K:$K,$A58,'2. EGRESOS'!$B:$B,D$3)</f>
        <v/>
      </c>
      <c r="E58" s="8">
        <f>SUMIFS('2. EGRESOS'!$E:$E,'2. EGRESOS'!$K:$K,$A58,'2. EGRESOS'!$B:$B,E$3)</f>
        <v/>
      </c>
      <c r="F58" s="8">
        <f>SUMIFS('2. EGRESOS'!$E:$E,'2. EGRESOS'!$K:$K,$A58,'2. EGRESOS'!$B:$B,F$3)</f>
        <v/>
      </c>
      <c r="G58" s="8">
        <f>SUMIFS('2. EGRESOS'!$E:$E,'2. EGRESOS'!$K:$K,$A58,'2. EGRESOS'!$B:$B,G$3)</f>
        <v/>
      </c>
      <c r="H58" s="8">
        <f>SUMIFS('2. EGRESOS'!$E:$E,'2. EGRESOS'!$K:$K,$A58,'2. EGRESOS'!$B:$B,H$3)</f>
        <v/>
      </c>
      <c r="I58" s="8">
        <f>SUMIFS('2. EGRESOS'!$E:$E,'2. EGRESOS'!$K:$K,$A58,'2. EGRESOS'!$B:$B,I$3)</f>
        <v/>
      </c>
      <c r="J58" s="8">
        <f>SUMIFS('2. EGRESOS'!$E:$E,'2. EGRESOS'!$K:$K,$A58,'2. EGRESOS'!$B:$B,J$3)</f>
        <v/>
      </c>
      <c r="K58" s="8">
        <f>SUMIFS('2. EGRESOS'!$E:$E,'2. EGRESOS'!$K:$K,$A58,'2. EGRESOS'!$B:$B,K$3)</f>
        <v/>
      </c>
      <c r="L58" s="8">
        <f>SUMIFS('2. EGRESOS'!$E:$E,'2. EGRESOS'!$K:$K,$A58,'2. EGRESOS'!$B:$B,L$3)</f>
        <v/>
      </c>
      <c r="M58" s="8">
        <f>SUMIFS('2. EGRESOS'!$E:$E,'2. EGRESOS'!$K:$K,$A58,'2. EGRESOS'!$B:$B,M$3)</f>
        <v/>
      </c>
      <c r="N58" s="8">
        <f>SUMIFS('2. EGRESOS'!$E:$E,'2. EGRESOS'!$K:$K,$A58,'2. EGRESOS'!$B:$B,N$3)</f>
        <v/>
      </c>
      <c r="O58" s="8">
        <f>SUMIFS('2. EGRESOS'!$E:$E,'2. EGRESOS'!$K:$K,$A58,'2. EGRESOS'!$B:$B,O$3)</f>
        <v/>
      </c>
      <c r="P58" s="8">
        <f>SUMIFS('2. EGRESOS'!$E:$E,'2. EGRESOS'!$K:$K,$A58,'2. EGRESOS'!$B:$B,P$3)</f>
        <v/>
      </c>
      <c r="Q58" s="8">
        <f>SUMIFS('2. EGRESOS'!$E:$E,'2. EGRESOS'!$K:$K,$A58,'2. EGRESOS'!$B:$B,Q$3)</f>
        <v/>
      </c>
      <c r="R58" s="8">
        <f>SUMIFS('2. EGRESOS'!$E:$E,'2. EGRESOS'!$K:$K,$A58,'2. EGRESOS'!$B:$B,R$3)</f>
        <v/>
      </c>
      <c r="S58" s="8">
        <f>SUMIFS('2. EGRESOS'!$E:$E,'2. EGRESOS'!$K:$K,$A58,'2. EGRESOS'!$B:$B,S$3)</f>
        <v/>
      </c>
      <c r="T58" s="8">
        <f>SUMIFS('2. EGRESOS'!$E:$E,'2. EGRESOS'!$K:$K,$A58,'2. EGRESOS'!$B:$B,T$3)</f>
        <v/>
      </c>
      <c r="U58" s="8">
        <f>SUMIFS('2. EGRESOS'!$E:$E,'2. EGRESOS'!$K:$K,$A58,'2. EGRESOS'!$B:$B,U$3)</f>
        <v/>
      </c>
      <c r="V58" s="8">
        <f>SUMIFS('2. EGRESOS'!$E:$E,'2. EGRESOS'!$K:$K,$A58,'2. EGRESOS'!$B:$B,V$3)</f>
        <v/>
      </c>
      <c r="W58" s="8">
        <f>SUMIFS('2. EGRESOS'!$E:$E,'2. EGRESOS'!$K:$K,$A58,'2. EGRESOS'!$B:$B,W$3)</f>
        <v/>
      </c>
      <c r="X58" s="8">
        <f>SUMIFS('2. EGRESOS'!$E:$E,'2. EGRESOS'!$K:$K,$A58,'2. EGRESOS'!$B:$B,X$3)</f>
        <v/>
      </c>
      <c r="Y58" s="8">
        <f>SUMIFS('2. EGRESOS'!$E:$E,'2. EGRESOS'!$K:$K,$A58,'2. EGRESOS'!$B:$B,Y$3)</f>
        <v/>
      </c>
      <c r="Z58" s="8">
        <f>SUMIFS('2. EGRESOS'!$E:$E,'2. EGRESOS'!$K:$K,$A58,'2. EGRESOS'!$B:$B,Z$3)</f>
        <v/>
      </c>
    </row>
    <row r="59">
      <c r="A59" s="9" t="inlineStr">
        <is>
          <t>1.9.3</t>
        </is>
      </c>
      <c r="B59" s="10" t="inlineStr">
        <is>
          <t xml:space="preserve">  Impuesto a la Renta</t>
        </is>
      </c>
      <c r="C59" s="8">
        <f>SUMIFS('2. EGRESOS'!$E:$E,'2. EGRESOS'!$K:$K,$A59,'2. EGRESOS'!$B:$B,C$3)</f>
        <v/>
      </c>
      <c r="D59" s="8">
        <f>SUMIFS('2. EGRESOS'!$E:$E,'2. EGRESOS'!$K:$K,$A59,'2. EGRESOS'!$B:$B,D$3)</f>
        <v/>
      </c>
      <c r="E59" s="8">
        <f>SUMIFS('2. EGRESOS'!$E:$E,'2. EGRESOS'!$K:$K,$A59,'2. EGRESOS'!$B:$B,E$3)</f>
        <v/>
      </c>
      <c r="F59" s="8">
        <f>SUMIFS('2. EGRESOS'!$E:$E,'2. EGRESOS'!$K:$K,$A59,'2. EGRESOS'!$B:$B,F$3)</f>
        <v/>
      </c>
      <c r="G59" s="8">
        <f>SUMIFS('2. EGRESOS'!$E:$E,'2. EGRESOS'!$K:$K,$A59,'2. EGRESOS'!$B:$B,G$3)</f>
        <v/>
      </c>
      <c r="H59" s="8">
        <f>SUMIFS('2. EGRESOS'!$E:$E,'2. EGRESOS'!$K:$K,$A59,'2. EGRESOS'!$B:$B,H$3)</f>
        <v/>
      </c>
      <c r="I59" s="8">
        <f>SUMIFS('2. EGRESOS'!$E:$E,'2. EGRESOS'!$K:$K,$A59,'2. EGRESOS'!$B:$B,I$3)</f>
        <v/>
      </c>
      <c r="J59" s="8">
        <f>SUMIFS('2. EGRESOS'!$E:$E,'2. EGRESOS'!$K:$K,$A59,'2. EGRESOS'!$B:$B,J$3)</f>
        <v/>
      </c>
      <c r="K59" s="8">
        <f>SUMIFS('2. EGRESOS'!$E:$E,'2. EGRESOS'!$K:$K,$A59,'2. EGRESOS'!$B:$B,K$3)</f>
        <v/>
      </c>
      <c r="L59" s="8">
        <f>SUMIFS('2. EGRESOS'!$E:$E,'2. EGRESOS'!$K:$K,$A59,'2. EGRESOS'!$B:$B,L$3)</f>
        <v/>
      </c>
      <c r="M59" s="8">
        <f>SUMIFS('2. EGRESOS'!$E:$E,'2. EGRESOS'!$K:$K,$A59,'2. EGRESOS'!$B:$B,M$3)</f>
        <v/>
      </c>
      <c r="N59" s="8">
        <f>SUMIFS('2. EGRESOS'!$E:$E,'2. EGRESOS'!$K:$K,$A59,'2. EGRESOS'!$B:$B,N$3)</f>
        <v/>
      </c>
      <c r="O59" s="8">
        <f>SUMIFS('2. EGRESOS'!$E:$E,'2. EGRESOS'!$K:$K,$A59,'2. EGRESOS'!$B:$B,O$3)</f>
        <v/>
      </c>
      <c r="P59" s="8">
        <f>SUMIFS('2. EGRESOS'!$E:$E,'2. EGRESOS'!$K:$K,$A59,'2. EGRESOS'!$B:$B,P$3)</f>
        <v/>
      </c>
      <c r="Q59" s="8">
        <f>SUMIFS('2. EGRESOS'!$E:$E,'2. EGRESOS'!$K:$K,$A59,'2. EGRESOS'!$B:$B,Q$3)</f>
        <v/>
      </c>
      <c r="R59" s="8">
        <f>SUMIFS('2. EGRESOS'!$E:$E,'2. EGRESOS'!$K:$K,$A59,'2. EGRESOS'!$B:$B,R$3)</f>
        <v/>
      </c>
      <c r="S59" s="8">
        <f>SUMIFS('2. EGRESOS'!$E:$E,'2. EGRESOS'!$K:$K,$A59,'2. EGRESOS'!$B:$B,S$3)</f>
        <v/>
      </c>
      <c r="T59" s="8">
        <f>SUMIFS('2. EGRESOS'!$E:$E,'2. EGRESOS'!$K:$K,$A59,'2. EGRESOS'!$B:$B,T$3)</f>
        <v/>
      </c>
      <c r="U59" s="8">
        <f>SUMIFS('2. EGRESOS'!$E:$E,'2. EGRESOS'!$K:$K,$A59,'2. EGRESOS'!$B:$B,U$3)</f>
        <v/>
      </c>
      <c r="V59" s="8">
        <f>SUMIFS('2. EGRESOS'!$E:$E,'2. EGRESOS'!$K:$K,$A59,'2. EGRESOS'!$B:$B,V$3)</f>
        <v/>
      </c>
      <c r="W59" s="8">
        <f>SUMIFS('2. EGRESOS'!$E:$E,'2. EGRESOS'!$K:$K,$A59,'2. EGRESOS'!$B:$B,W$3)</f>
        <v/>
      </c>
      <c r="X59" s="8">
        <f>SUMIFS('2. EGRESOS'!$E:$E,'2. EGRESOS'!$K:$K,$A59,'2. EGRESOS'!$B:$B,X$3)</f>
        <v/>
      </c>
      <c r="Y59" s="8">
        <f>SUMIFS('2. EGRESOS'!$E:$E,'2. EGRESOS'!$K:$K,$A59,'2. EGRESOS'!$B:$B,Y$3)</f>
        <v/>
      </c>
      <c r="Z59" s="8">
        <f>SUMIFS('2. EGRESOS'!$E:$E,'2. EGRESOS'!$K:$K,$A59,'2. EGRESOS'!$B:$B,Z$3)</f>
        <v/>
      </c>
    </row>
    <row r="60">
      <c r="A60" s="6" t="inlineStr">
        <is>
          <t>1.9.4</t>
        </is>
      </c>
      <c r="B60" s="7" t="inlineStr">
        <is>
          <t xml:space="preserve">  Patente Comercial</t>
        </is>
      </c>
      <c r="C60" s="8">
        <f>SUMIFS('2. EGRESOS'!$E:$E,'2. EGRESOS'!$K:$K,$A60,'2. EGRESOS'!$B:$B,C$3)</f>
        <v/>
      </c>
      <c r="D60" s="8">
        <f>SUMIFS('2. EGRESOS'!$E:$E,'2. EGRESOS'!$K:$K,$A60,'2. EGRESOS'!$B:$B,D$3)</f>
        <v/>
      </c>
      <c r="E60" s="8">
        <f>SUMIFS('2. EGRESOS'!$E:$E,'2. EGRESOS'!$K:$K,$A60,'2. EGRESOS'!$B:$B,E$3)</f>
        <v/>
      </c>
      <c r="F60" s="8">
        <f>SUMIFS('2. EGRESOS'!$E:$E,'2. EGRESOS'!$K:$K,$A60,'2. EGRESOS'!$B:$B,F$3)</f>
        <v/>
      </c>
      <c r="G60" s="8">
        <f>SUMIFS('2. EGRESOS'!$E:$E,'2. EGRESOS'!$K:$K,$A60,'2. EGRESOS'!$B:$B,G$3)</f>
        <v/>
      </c>
      <c r="H60" s="8">
        <f>SUMIFS('2. EGRESOS'!$E:$E,'2. EGRESOS'!$K:$K,$A60,'2. EGRESOS'!$B:$B,H$3)</f>
        <v/>
      </c>
      <c r="I60" s="8">
        <f>SUMIFS('2. EGRESOS'!$E:$E,'2. EGRESOS'!$K:$K,$A60,'2. EGRESOS'!$B:$B,I$3)</f>
        <v/>
      </c>
      <c r="J60" s="8">
        <f>SUMIFS('2. EGRESOS'!$E:$E,'2. EGRESOS'!$K:$K,$A60,'2. EGRESOS'!$B:$B,J$3)</f>
        <v/>
      </c>
      <c r="K60" s="8">
        <f>SUMIFS('2. EGRESOS'!$E:$E,'2. EGRESOS'!$K:$K,$A60,'2. EGRESOS'!$B:$B,K$3)</f>
        <v/>
      </c>
      <c r="L60" s="8">
        <f>SUMIFS('2. EGRESOS'!$E:$E,'2. EGRESOS'!$K:$K,$A60,'2. EGRESOS'!$B:$B,L$3)</f>
        <v/>
      </c>
      <c r="M60" s="8">
        <f>SUMIFS('2. EGRESOS'!$E:$E,'2. EGRESOS'!$K:$K,$A60,'2. EGRESOS'!$B:$B,M$3)</f>
        <v/>
      </c>
      <c r="N60" s="8">
        <f>SUMIFS('2. EGRESOS'!$E:$E,'2. EGRESOS'!$K:$K,$A60,'2. EGRESOS'!$B:$B,N$3)</f>
        <v/>
      </c>
      <c r="O60" s="8">
        <f>SUMIFS('2. EGRESOS'!$E:$E,'2. EGRESOS'!$K:$K,$A60,'2. EGRESOS'!$B:$B,O$3)</f>
        <v/>
      </c>
      <c r="P60" s="8">
        <f>SUMIFS('2. EGRESOS'!$E:$E,'2. EGRESOS'!$K:$K,$A60,'2. EGRESOS'!$B:$B,P$3)</f>
        <v/>
      </c>
      <c r="Q60" s="8">
        <f>SUMIFS('2. EGRESOS'!$E:$E,'2. EGRESOS'!$K:$K,$A60,'2. EGRESOS'!$B:$B,Q$3)</f>
        <v/>
      </c>
      <c r="R60" s="8">
        <f>SUMIFS('2. EGRESOS'!$E:$E,'2. EGRESOS'!$K:$K,$A60,'2. EGRESOS'!$B:$B,R$3)</f>
        <v/>
      </c>
      <c r="S60" s="8">
        <f>SUMIFS('2. EGRESOS'!$E:$E,'2. EGRESOS'!$K:$K,$A60,'2. EGRESOS'!$B:$B,S$3)</f>
        <v/>
      </c>
      <c r="T60" s="8">
        <f>SUMIFS('2. EGRESOS'!$E:$E,'2. EGRESOS'!$K:$K,$A60,'2. EGRESOS'!$B:$B,T$3)</f>
        <v/>
      </c>
      <c r="U60" s="8">
        <f>SUMIFS('2. EGRESOS'!$E:$E,'2. EGRESOS'!$K:$K,$A60,'2. EGRESOS'!$B:$B,U$3)</f>
        <v/>
      </c>
      <c r="V60" s="8">
        <f>SUMIFS('2. EGRESOS'!$E:$E,'2. EGRESOS'!$K:$K,$A60,'2. EGRESOS'!$B:$B,V$3)</f>
        <v/>
      </c>
      <c r="W60" s="8">
        <f>SUMIFS('2. EGRESOS'!$E:$E,'2. EGRESOS'!$K:$K,$A60,'2. EGRESOS'!$B:$B,W$3)</f>
        <v/>
      </c>
      <c r="X60" s="8">
        <f>SUMIFS('2. EGRESOS'!$E:$E,'2. EGRESOS'!$K:$K,$A60,'2. EGRESOS'!$B:$B,X$3)</f>
        <v/>
      </c>
      <c r="Y60" s="8">
        <f>SUMIFS('2. EGRESOS'!$E:$E,'2. EGRESOS'!$K:$K,$A60,'2. EGRESOS'!$B:$B,Y$3)</f>
        <v/>
      </c>
      <c r="Z60" s="8">
        <f>SUMIFS('2. EGRESOS'!$E:$E,'2. EGRESOS'!$K:$K,$A60,'2. EGRESOS'!$B:$B,Z$3)</f>
        <v/>
      </c>
    </row>
    <row r="61">
      <c r="A61" s="9" t="inlineStr">
        <is>
          <t>1.9.5</t>
        </is>
      </c>
      <c r="B61" s="10" t="inlineStr">
        <is>
          <t xml:space="preserve">  Gastos Bancarios</t>
        </is>
      </c>
      <c r="C61" s="8">
        <f>SUMIFS('2. EGRESOS'!$E:$E,'2. EGRESOS'!$K:$K,$A61,'2. EGRESOS'!$B:$B,C$3)</f>
        <v/>
      </c>
      <c r="D61" s="8">
        <f>SUMIFS('2. EGRESOS'!$E:$E,'2. EGRESOS'!$K:$K,$A61,'2. EGRESOS'!$B:$B,D$3)</f>
        <v/>
      </c>
      <c r="E61" s="8">
        <f>SUMIFS('2. EGRESOS'!$E:$E,'2. EGRESOS'!$K:$K,$A61,'2. EGRESOS'!$B:$B,E$3)</f>
        <v/>
      </c>
      <c r="F61" s="8">
        <f>SUMIFS('2. EGRESOS'!$E:$E,'2. EGRESOS'!$K:$K,$A61,'2. EGRESOS'!$B:$B,F$3)</f>
        <v/>
      </c>
      <c r="G61" s="8">
        <f>SUMIFS('2. EGRESOS'!$E:$E,'2. EGRESOS'!$K:$K,$A61,'2. EGRESOS'!$B:$B,G$3)</f>
        <v/>
      </c>
      <c r="H61" s="8">
        <f>SUMIFS('2. EGRESOS'!$E:$E,'2. EGRESOS'!$K:$K,$A61,'2. EGRESOS'!$B:$B,H$3)</f>
        <v/>
      </c>
      <c r="I61" s="8">
        <f>SUMIFS('2. EGRESOS'!$E:$E,'2. EGRESOS'!$K:$K,$A61,'2. EGRESOS'!$B:$B,I$3)</f>
        <v/>
      </c>
      <c r="J61" s="8">
        <f>SUMIFS('2. EGRESOS'!$E:$E,'2. EGRESOS'!$K:$K,$A61,'2. EGRESOS'!$B:$B,J$3)</f>
        <v/>
      </c>
      <c r="K61" s="8">
        <f>SUMIFS('2. EGRESOS'!$E:$E,'2. EGRESOS'!$K:$K,$A61,'2. EGRESOS'!$B:$B,K$3)</f>
        <v/>
      </c>
      <c r="L61" s="8">
        <f>SUMIFS('2. EGRESOS'!$E:$E,'2. EGRESOS'!$K:$K,$A61,'2. EGRESOS'!$B:$B,L$3)</f>
        <v/>
      </c>
      <c r="M61" s="8">
        <f>SUMIFS('2. EGRESOS'!$E:$E,'2. EGRESOS'!$K:$K,$A61,'2. EGRESOS'!$B:$B,M$3)</f>
        <v/>
      </c>
      <c r="N61" s="8">
        <f>SUMIFS('2. EGRESOS'!$E:$E,'2. EGRESOS'!$K:$K,$A61,'2. EGRESOS'!$B:$B,N$3)</f>
        <v/>
      </c>
      <c r="O61" s="8">
        <f>SUMIFS('2. EGRESOS'!$E:$E,'2. EGRESOS'!$K:$K,$A61,'2. EGRESOS'!$B:$B,O$3)</f>
        <v/>
      </c>
      <c r="P61" s="8">
        <f>SUMIFS('2. EGRESOS'!$E:$E,'2. EGRESOS'!$K:$K,$A61,'2. EGRESOS'!$B:$B,P$3)</f>
        <v/>
      </c>
      <c r="Q61" s="8">
        <f>SUMIFS('2. EGRESOS'!$E:$E,'2. EGRESOS'!$K:$K,$A61,'2. EGRESOS'!$B:$B,Q$3)</f>
        <v/>
      </c>
      <c r="R61" s="8">
        <f>SUMIFS('2. EGRESOS'!$E:$E,'2. EGRESOS'!$K:$K,$A61,'2. EGRESOS'!$B:$B,R$3)</f>
        <v/>
      </c>
      <c r="S61" s="8">
        <f>SUMIFS('2. EGRESOS'!$E:$E,'2. EGRESOS'!$K:$K,$A61,'2. EGRESOS'!$B:$B,S$3)</f>
        <v/>
      </c>
      <c r="T61" s="8">
        <f>SUMIFS('2. EGRESOS'!$E:$E,'2. EGRESOS'!$K:$K,$A61,'2. EGRESOS'!$B:$B,T$3)</f>
        <v/>
      </c>
      <c r="U61" s="8">
        <f>SUMIFS('2. EGRESOS'!$E:$E,'2. EGRESOS'!$K:$K,$A61,'2. EGRESOS'!$B:$B,U$3)</f>
        <v/>
      </c>
      <c r="V61" s="8">
        <f>SUMIFS('2. EGRESOS'!$E:$E,'2. EGRESOS'!$K:$K,$A61,'2. EGRESOS'!$B:$B,V$3)</f>
        <v/>
      </c>
      <c r="W61" s="8">
        <f>SUMIFS('2. EGRESOS'!$E:$E,'2. EGRESOS'!$K:$K,$A61,'2. EGRESOS'!$B:$B,W$3)</f>
        <v/>
      </c>
      <c r="X61" s="8">
        <f>SUMIFS('2. EGRESOS'!$E:$E,'2. EGRESOS'!$K:$K,$A61,'2. EGRESOS'!$B:$B,X$3)</f>
        <v/>
      </c>
      <c r="Y61" s="8">
        <f>SUMIFS('2. EGRESOS'!$E:$E,'2. EGRESOS'!$K:$K,$A61,'2. EGRESOS'!$B:$B,Y$3)</f>
        <v/>
      </c>
      <c r="Z61" s="8">
        <f>SUMIFS('2. EGRESOS'!$E:$E,'2. EGRESOS'!$K:$K,$A61,'2. EGRESOS'!$B:$B,Z$3)</f>
        <v/>
      </c>
    </row>
    <row r="62">
      <c r="A62" s="67" t="inlineStr">
        <is>
          <t>TOTAL COSTOS</t>
        </is>
      </c>
      <c r="C62" s="12">
        <f>+SUBTOTAL(9,C14:C61)</f>
        <v/>
      </c>
      <c r="D62" s="12">
        <f>+SUBTOTAL(9,D14:D61)</f>
        <v/>
      </c>
      <c r="E62" s="12">
        <f>+SUBTOTAL(9,E14:E61)</f>
        <v/>
      </c>
      <c r="F62" s="12">
        <f>+SUBTOTAL(9,F14:F61)</f>
        <v/>
      </c>
      <c r="G62" s="12">
        <f>+SUBTOTAL(9,G14:G61)</f>
        <v/>
      </c>
      <c r="H62" s="12">
        <f>+SUBTOTAL(9,H14:H61)</f>
        <v/>
      </c>
      <c r="I62" s="12">
        <f>+SUBTOTAL(9,I14:I61)</f>
        <v/>
      </c>
      <c r="J62" s="12">
        <f>+SUBTOTAL(9,J14:J61)</f>
        <v/>
      </c>
      <c r="K62" s="12">
        <f>+SUBTOTAL(9,K14:K61)</f>
        <v/>
      </c>
      <c r="L62" s="12">
        <f>+SUBTOTAL(9,L14:L61)</f>
        <v/>
      </c>
      <c r="M62" s="12">
        <f>+SUBTOTAL(9,M14:M61)</f>
        <v/>
      </c>
      <c r="N62" s="12">
        <f>+SUBTOTAL(9,N14:N61)</f>
        <v/>
      </c>
      <c r="O62" s="12">
        <f>+SUBTOTAL(9,O14:O61)</f>
        <v/>
      </c>
      <c r="P62" s="12">
        <f>+SUBTOTAL(9,P14:P61)</f>
        <v/>
      </c>
      <c r="Q62" s="12">
        <f>+SUBTOTAL(9,Q14:Q61)</f>
        <v/>
      </c>
      <c r="R62" s="12">
        <f>+SUBTOTAL(9,R14:R61)</f>
        <v/>
      </c>
      <c r="S62" s="12">
        <f>+SUBTOTAL(9,S14:S61)</f>
        <v/>
      </c>
      <c r="T62" s="12">
        <f>+SUBTOTAL(9,T14:T61)</f>
        <v/>
      </c>
      <c r="U62" s="12">
        <f>+SUBTOTAL(9,U14:U61)</f>
        <v/>
      </c>
      <c r="V62" s="12">
        <f>+SUBTOTAL(9,V14:V61)</f>
        <v/>
      </c>
      <c r="W62" s="12">
        <f>+SUBTOTAL(9,W14:W61)</f>
        <v/>
      </c>
      <c r="X62" s="12">
        <f>+SUBTOTAL(9,X14:X61)</f>
        <v/>
      </c>
      <c r="Y62" s="12">
        <f>+SUBTOTAL(9,Y14:Y61)</f>
        <v/>
      </c>
      <c r="Z62" s="12">
        <f>+SUBTOTAL(9,Z14:Z61)</f>
        <v/>
      </c>
    </row>
    <row r="63" ht="15.75" customHeight="1" s="65">
      <c r="C63" s="34" t="n"/>
      <c r="Q63" s="34" t="n"/>
    </row>
    <row r="64" ht="15.75" customHeight="1" s="65">
      <c r="A64" s="69" t="inlineStr">
        <is>
          <t>MARGEN $</t>
        </is>
      </c>
      <c r="C64" s="15">
        <f>C12-C62</f>
        <v/>
      </c>
      <c r="D64" s="15">
        <f>D12-D62</f>
        <v/>
      </c>
      <c r="E64" s="15">
        <f>E12-E62</f>
        <v/>
      </c>
      <c r="F64" s="15">
        <f>F12-F62</f>
        <v/>
      </c>
      <c r="G64" s="15">
        <f>G12-G62</f>
        <v/>
      </c>
      <c r="H64" s="15">
        <f>H12-H62</f>
        <v/>
      </c>
      <c r="I64" s="15">
        <f>I12-I62</f>
        <v/>
      </c>
      <c r="J64" s="15">
        <f>J12-J62</f>
        <v/>
      </c>
      <c r="K64" s="15">
        <f>K12-K62</f>
        <v/>
      </c>
      <c r="L64" s="15">
        <f>L12-L62</f>
        <v/>
      </c>
      <c r="M64" s="15">
        <f>M12-M62</f>
        <v/>
      </c>
      <c r="N64" s="15">
        <f>N12-N62</f>
        <v/>
      </c>
      <c r="O64" s="15">
        <f>O12-O62</f>
        <v/>
      </c>
      <c r="P64" s="15">
        <f>P12-P62</f>
        <v/>
      </c>
      <c r="Q64" s="15">
        <f>Q12-Q62</f>
        <v/>
      </c>
      <c r="R64" s="15">
        <f>R12-R62</f>
        <v/>
      </c>
      <c r="S64" s="15">
        <f>S12-S62</f>
        <v/>
      </c>
      <c r="T64" s="15">
        <f>T12-T62</f>
        <v/>
      </c>
      <c r="U64" s="15">
        <f>U12-U62</f>
        <v/>
      </c>
      <c r="V64" s="15">
        <f>V12-V62</f>
        <v/>
      </c>
      <c r="W64" s="15">
        <f>W12-W62</f>
        <v/>
      </c>
      <c r="X64" s="15">
        <f>X12-X62</f>
        <v/>
      </c>
      <c r="Y64" s="15">
        <f>Y12-Y62</f>
        <v/>
      </c>
      <c r="Z64" s="15">
        <f>Z12-Z62</f>
        <v/>
      </c>
    </row>
    <row r="65">
      <c r="A65" s="66" t="inlineStr">
        <is>
          <t>MARGEN %</t>
        </is>
      </c>
      <c r="C65" s="16">
        <f>IF(C12=0,0,C64/C12)</f>
        <v/>
      </c>
      <c r="D65" s="16">
        <f>IF(D12=0,0,D64/D12)</f>
        <v/>
      </c>
      <c r="E65" s="16">
        <f>IF(E12=0,0,E64/E12)</f>
        <v/>
      </c>
      <c r="F65" s="16">
        <f>IF(F12=0,0,F64/F12)</f>
        <v/>
      </c>
      <c r="G65" s="16">
        <f>IF(G12=0,0,G64/G12)</f>
        <v/>
      </c>
      <c r="H65" s="16">
        <f>IF(H12=0,0,H64/H12)</f>
        <v/>
      </c>
      <c r="I65" s="16">
        <f>IF(I12=0,0,I64/I12)</f>
        <v/>
      </c>
      <c r="J65" s="16">
        <f>IF(J12=0,0,J64/J12)</f>
        <v/>
      </c>
      <c r="K65" s="16">
        <f>IF(K12=0,0,K64/K12)</f>
        <v/>
      </c>
      <c r="L65" s="16">
        <f>IF(L12=0,0,L64/L12)</f>
        <v/>
      </c>
      <c r="M65" s="16">
        <f>IF(M12=0,0,M64/M12)</f>
        <v/>
      </c>
      <c r="N65" s="16">
        <f>IF(N12=0,0,N64/N12)</f>
        <v/>
      </c>
      <c r="O65" s="16">
        <f>IF(O12=0,0,O64/O12)</f>
        <v/>
      </c>
      <c r="P65" s="16">
        <f>IF(P12=0,0,P64/P12)</f>
        <v/>
      </c>
      <c r="Q65" s="16">
        <f>IF(Q12=0,0,Q64/Q12)</f>
        <v/>
      </c>
      <c r="R65" s="16">
        <f>IF(R12=0,0,R64/R12)</f>
        <v/>
      </c>
      <c r="S65" s="16">
        <f>IF(S12=0,0,S64/S12)</f>
        <v/>
      </c>
      <c r="T65" s="16">
        <f>IF(T12=0,0,T64/T12)</f>
        <v/>
      </c>
      <c r="U65" s="16">
        <f>IF(U12=0,0,U64/U12)</f>
        <v/>
      </c>
      <c r="V65" s="16">
        <f>IF(V12=0,0,V64/V12)</f>
        <v/>
      </c>
      <c r="W65" s="16">
        <f>IF(W12=0,0,W64/W12)</f>
        <v/>
      </c>
      <c r="X65" s="16">
        <f>IF(X12=0,0,X64/X12)</f>
        <v/>
      </c>
      <c r="Y65" s="16">
        <f>IF(Y12=0,0,Y64/Y12)</f>
        <v/>
      </c>
      <c r="Z65" s="16">
        <f>IF(Z12=0,0,Z64/Z12)</f>
        <v/>
      </c>
    </row>
  </sheetData>
  <mergeCells count="5">
    <mergeCell ref="A4:B4"/>
    <mergeCell ref="A62:B62"/>
    <mergeCell ref="A64:B64"/>
    <mergeCell ref="A65:B65"/>
    <mergeCell ref="A13:B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8572A"/>
    <outlinePr summaryBelow="1" summaryRight="1"/>
    <pageSetUpPr/>
  </sheetPr>
  <dimension ref="A1:AC78"/>
  <sheetViews>
    <sheetView showGridLines="0" workbookViewId="0">
      <pane xSplit="4" ySplit="2" topLeftCell="Q63" activePane="bottomRight" state="frozen"/>
      <selection pane="topRight" activeCell="A1" sqref="A1"/>
      <selection pane="bottomLeft" activeCell="A1" sqref="A1"/>
      <selection pane="bottomRight" activeCell="Q92" sqref="Q92"/>
    </sheetView>
  </sheetViews>
  <sheetFormatPr baseColWidth="10" defaultColWidth="8.88671875" defaultRowHeight="14.4"/>
  <cols>
    <col width="40" customWidth="1" style="65" min="1" max="1"/>
    <col width="12" customWidth="1" style="65" min="2" max="2"/>
    <col width="8" customWidth="1" style="65" min="3" max="3"/>
    <col width="12" customWidth="1" style="65" min="4" max="4"/>
    <col width="11" customWidth="1" style="65" min="5" max="28"/>
    <col width="14" customWidth="1" style="65" min="29" max="29"/>
  </cols>
  <sheetData>
    <row r="1" ht="28.05" customHeight="1" s="65">
      <c r="A1" s="72" t="inlineStr">
        <is>
          <t>KPIs — FAIT PAR MARIE  |  Valores Netos sin IVA  |  Base: Mes Devengo</t>
        </is>
      </c>
    </row>
    <row r="2" ht="22.05" customHeight="1" s="65">
      <c r="A2" s="36" t="inlineStr">
        <is>
          <t>Indicador</t>
        </is>
      </c>
      <c r="B2" s="36" t="inlineStr">
        <is>
          <t>Ref.</t>
        </is>
      </c>
      <c r="C2" s="36" t="inlineStr">
        <is>
          <t>Unidad</t>
        </is>
      </c>
      <c r="D2" s="36" t="inlineStr">
        <is>
          <t>Benchmark</t>
        </is>
      </c>
      <c r="E2" s="37" t="inlineStr">
        <is>
          <t>2025-01</t>
        </is>
      </c>
      <c r="F2" s="37" t="inlineStr">
        <is>
          <t>2025-02</t>
        </is>
      </c>
      <c r="G2" s="37" t="inlineStr">
        <is>
          <t>2025-03</t>
        </is>
      </c>
      <c r="H2" s="37" t="inlineStr">
        <is>
          <t>2025-04</t>
        </is>
      </c>
      <c r="I2" s="37" t="inlineStr">
        <is>
          <t>2025-05</t>
        </is>
      </c>
      <c r="J2" s="37" t="inlineStr">
        <is>
          <t>2025-06</t>
        </is>
      </c>
      <c r="K2" s="37" t="inlineStr">
        <is>
          <t>2025-07</t>
        </is>
      </c>
      <c r="L2" s="37" t="inlineStr">
        <is>
          <t>2025-08</t>
        </is>
      </c>
      <c r="M2" s="37" t="inlineStr">
        <is>
          <t>2025-09</t>
        </is>
      </c>
      <c r="N2" s="37" t="inlineStr">
        <is>
          <t>2025-10</t>
        </is>
      </c>
      <c r="O2" s="37" t="inlineStr">
        <is>
          <t>2025-11</t>
        </is>
      </c>
      <c r="P2" s="37" t="inlineStr">
        <is>
          <t>2025-12</t>
        </is>
      </c>
      <c r="Q2" s="37" t="inlineStr">
        <is>
          <t>2026-01</t>
        </is>
      </c>
      <c r="R2" s="37" t="inlineStr">
        <is>
          <t>2026-02</t>
        </is>
      </c>
      <c r="S2" s="37" t="inlineStr">
        <is>
          <t>2026-03</t>
        </is>
      </c>
      <c r="T2" s="37" t="inlineStr">
        <is>
          <t>2026-04</t>
        </is>
      </c>
      <c r="U2" s="37" t="inlineStr">
        <is>
          <t>2026-05</t>
        </is>
      </c>
      <c r="V2" s="37" t="inlineStr">
        <is>
          <t>2026-06</t>
        </is>
      </c>
      <c r="W2" s="37" t="inlineStr">
        <is>
          <t>2026-07</t>
        </is>
      </c>
      <c r="X2" s="37" t="inlineStr">
        <is>
          <t>2026-08</t>
        </is>
      </c>
      <c r="Y2" s="37" t="inlineStr">
        <is>
          <t>2026-09</t>
        </is>
      </c>
      <c r="Z2" s="37" t="inlineStr">
        <is>
          <t>2026-10</t>
        </is>
      </c>
      <c r="AA2" s="37" t="inlineStr">
        <is>
          <t>2026-11</t>
        </is>
      </c>
      <c r="AB2" s="37" t="inlineStr">
        <is>
          <t>2026-12</t>
        </is>
      </c>
      <c r="AC2" s="38" t="inlineStr">
        <is>
          <t>Prom. mensual</t>
        </is>
      </c>
    </row>
    <row r="3" ht="18" customHeight="1" s="65"/>
    <row r="4" ht="19.95" customHeight="1" s="65">
      <c r="A4" s="39" t="inlineStr">
        <is>
          <t>INGRESOS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</row>
    <row r="5" ht="18" customHeight="1" s="65">
      <c r="A5" s="41" t="inlineStr">
        <is>
          <t>Venta Neta Total</t>
        </is>
      </c>
      <c r="B5" s="42" t="n"/>
      <c r="C5" s="43" t="inlineStr">
        <is>
          <t>$</t>
        </is>
      </c>
      <c r="D5" s="44" t="n"/>
      <c r="E5" s="45">
        <f>SUMIFS('1. INGRESOS'!$H:$H,'1. INGRESOS'!$B:$B,E$2)</f>
        <v/>
      </c>
      <c r="F5" s="45">
        <f>SUMIFS('1. INGRESOS'!$H:$H,'1. INGRESOS'!$B:$B,F$2)</f>
        <v/>
      </c>
      <c r="G5" s="45">
        <f>SUMIFS('1. INGRESOS'!$H:$H,'1. INGRESOS'!$B:$B,G$2)</f>
        <v/>
      </c>
      <c r="H5" s="45">
        <f>SUMIFS('1. INGRESOS'!$H:$H,'1. INGRESOS'!$B:$B,H$2)</f>
        <v/>
      </c>
      <c r="I5" s="45">
        <f>SUMIFS('1. INGRESOS'!$H:$H,'1. INGRESOS'!$B:$B,I$2)</f>
        <v/>
      </c>
      <c r="J5" s="45">
        <f>SUMIFS('1. INGRESOS'!$H:$H,'1. INGRESOS'!$B:$B,J$2)</f>
        <v/>
      </c>
      <c r="K5" s="45">
        <f>SUMIFS('1. INGRESOS'!$H:$H,'1. INGRESOS'!$B:$B,K$2)</f>
        <v/>
      </c>
      <c r="L5" s="45">
        <f>SUMIFS('1. INGRESOS'!$H:$H,'1. INGRESOS'!$B:$B,L$2)</f>
        <v/>
      </c>
      <c r="M5" s="45">
        <f>SUMIFS('1. INGRESOS'!$H:$H,'1. INGRESOS'!$B:$B,M$2)</f>
        <v/>
      </c>
      <c r="N5" s="45">
        <f>SUMIFS('1. INGRESOS'!$H:$H,'1. INGRESOS'!$B:$B,N$2)</f>
        <v/>
      </c>
      <c r="O5" s="45">
        <f>SUMIFS('1. INGRESOS'!$H:$H,'1. INGRESOS'!$B:$B,O$2)</f>
        <v/>
      </c>
      <c r="P5" s="45">
        <f>SUMIFS('1. INGRESOS'!$H:$H,'1. INGRESOS'!$B:$B,P$2)</f>
        <v/>
      </c>
      <c r="Q5" s="45">
        <f>SUMIFS('1. INGRESOS'!$H:$H,'1. INGRESOS'!$B:$B,Q$2)</f>
        <v/>
      </c>
      <c r="R5" s="45">
        <f>SUMIFS('1. INGRESOS'!$H:$H,'1. INGRESOS'!$B:$B,R$2)</f>
        <v/>
      </c>
      <c r="S5" s="45">
        <f>SUMIFS('1. INGRESOS'!$H:$H,'1. INGRESOS'!$B:$B,S$2)</f>
        <v/>
      </c>
      <c r="T5" s="45">
        <f>SUMIFS('1. INGRESOS'!$H:$H,'1. INGRESOS'!$B:$B,T$2)</f>
        <v/>
      </c>
      <c r="U5" s="45">
        <f>SUMIFS('1. INGRESOS'!$H:$H,'1. INGRESOS'!$B:$B,U$2)</f>
        <v/>
      </c>
      <c r="V5" s="45">
        <f>SUMIFS('1. INGRESOS'!$H:$H,'1. INGRESOS'!$B:$B,V$2)</f>
        <v/>
      </c>
      <c r="W5" s="45">
        <f>SUMIFS('1. INGRESOS'!$H:$H,'1. INGRESOS'!$B:$B,W$2)</f>
        <v/>
      </c>
      <c r="X5" s="45">
        <f>SUMIFS('1. INGRESOS'!$H:$H,'1. INGRESOS'!$B:$B,X$2)</f>
        <v/>
      </c>
      <c r="Y5" s="45">
        <f>SUMIFS('1. INGRESOS'!$H:$H,'1. INGRESOS'!$B:$B,Y$2)</f>
        <v/>
      </c>
      <c r="Z5" s="45">
        <f>SUMIFS('1. INGRESOS'!$H:$H,'1. INGRESOS'!$B:$B,Z$2)</f>
        <v/>
      </c>
      <c r="AA5" s="45">
        <f>SUMIFS('1. INGRESOS'!$H:$H,'1. INGRESOS'!$B:$B,AA$2)</f>
        <v/>
      </c>
      <c r="AB5" s="45">
        <f>SUMIFS('1. INGRESOS'!$H:$H,'1. INGRESOS'!$B:$B,AB$2)</f>
        <v/>
      </c>
      <c r="AC5" s="46">
        <f>IFERROR(AVERAGE(E5:U5),"")</f>
        <v/>
      </c>
    </row>
    <row r="6" ht="18" customHeight="1" s="65">
      <c r="A6" s="47" t="inlineStr">
        <is>
          <t xml:space="preserve">  HoReCa</t>
        </is>
      </c>
      <c r="B6" s="48">
        <f>CANALES!$A$3</f>
        <v/>
      </c>
      <c r="C6" s="49" t="inlineStr">
        <is>
          <t>$</t>
        </is>
      </c>
      <c r="D6" s="50" t="n"/>
      <c r="E6" s="51">
        <f>SUMIFS('1. INGRESOS'!$H:$H,'1. INGRESOS'!$B:$B,E$2,'1. INGRESOS'!$K:$K,$B6)</f>
        <v/>
      </c>
      <c r="F6" s="51">
        <f>SUMIFS('1. INGRESOS'!$H:$H,'1. INGRESOS'!$B:$B,F$2,'1. INGRESOS'!$K:$K,$B6)</f>
        <v/>
      </c>
      <c r="G6" s="51">
        <f>SUMIFS('1. INGRESOS'!$H:$H,'1. INGRESOS'!$B:$B,G$2,'1. INGRESOS'!$K:$K,$B6)</f>
        <v/>
      </c>
      <c r="H6" s="51">
        <f>SUMIFS('1. INGRESOS'!$H:$H,'1. INGRESOS'!$B:$B,H$2,'1. INGRESOS'!$K:$K,$B6)</f>
        <v/>
      </c>
      <c r="I6" s="51">
        <f>SUMIFS('1. INGRESOS'!$H:$H,'1. INGRESOS'!$B:$B,I$2,'1. INGRESOS'!$K:$K,$B6)</f>
        <v/>
      </c>
      <c r="J6" s="51">
        <f>SUMIFS('1. INGRESOS'!$H:$H,'1. INGRESOS'!$B:$B,J$2,'1. INGRESOS'!$K:$K,$B6)</f>
        <v/>
      </c>
      <c r="K6" s="51">
        <f>SUMIFS('1. INGRESOS'!$H:$H,'1. INGRESOS'!$B:$B,K$2,'1. INGRESOS'!$K:$K,$B6)</f>
        <v/>
      </c>
      <c r="L6" s="51">
        <f>SUMIFS('1. INGRESOS'!$H:$H,'1. INGRESOS'!$B:$B,L$2,'1. INGRESOS'!$K:$K,$B6)</f>
        <v/>
      </c>
      <c r="M6" s="51">
        <f>SUMIFS('1. INGRESOS'!$H:$H,'1. INGRESOS'!$B:$B,M$2,'1. INGRESOS'!$K:$K,$B6)</f>
        <v/>
      </c>
      <c r="N6" s="51">
        <f>SUMIFS('1. INGRESOS'!$H:$H,'1. INGRESOS'!$B:$B,N$2,'1. INGRESOS'!$K:$K,$B6)</f>
        <v/>
      </c>
      <c r="O6" s="51">
        <f>SUMIFS('1. INGRESOS'!$H:$H,'1. INGRESOS'!$B:$B,O$2,'1. INGRESOS'!$K:$K,$B6)</f>
        <v/>
      </c>
      <c r="P6" s="51">
        <f>SUMIFS('1. INGRESOS'!$H:$H,'1. INGRESOS'!$B:$B,P$2,'1. INGRESOS'!$K:$K,$B6)</f>
        <v/>
      </c>
      <c r="Q6" s="51">
        <f>SUMIFS('1. INGRESOS'!$H:$H,'1. INGRESOS'!$B:$B,Q$2,'1. INGRESOS'!$K:$K,$B6)</f>
        <v/>
      </c>
      <c r="R6" s="51">
        <f>SUMIFS('1. INGRESOS'!$H:$H,'1. INGRESOS'!$B:$B,R$2,'1. INGRESOS'!$K:$K,$B6)</f>
        <v/>
      </c>
      <c r="S6" s="51">
        <f>SUMIFS('1. INGRESOS'!$H:$H,'1. INGRESOS'!$B:$B,S$2,'1. INGRESOS'!$K:$K,$B6)</f>
        <v/>
      </c>
      <c r="T6" s="51">
        <f>SUMIFS('1. INGRESOS'!$H:$H,'1. INGRESOS'!$B:$B,T$2,'1. INGRESOS'!$K:$K,$B6)</f>
        <v/>
      </c>
      <c r="U6" s="51">
        <f>SUMIFS('1. INGRESOS'!$H:$H,'1. INGRESOS'!$B:$B,U$2,'1. INGRESOS'!$K:$K,$B6)</f>
        <v/>
      </c>
      <c r="V6" s="51">
        <f>SUMIFS('1. INGRESOS'!$H:$H,'1. INGRESOS'!$B:$B,V$2,'1. INGRESOS'!$K:$K,$B6)</f>
        <v/>
      </c>
      <c r="W6" s="51">
        <f>SUMIFS('1. INGRESOS'!$H:$H,'1. INGRESOS'!$B:$B,W$2,'1. INGRESOS'!$K:$K,$B6)</f>
        <v/>
      </c>
      <c r="X6" s="51">
        <f>SUMIFS('1. INGRESOS'!$H:$H,'1. INGRESOS'!$B:$B,X$2,'1. INGRESOS'!$K:$K,$B6)</f>
        <v/>
      </c>
      <c r="Y6" s="51">
        <f>SUMIFS('1. INGRESOS'!$H:$H,'1. INGRESOS'!$B:$B,Y$2,'1. INGRESOS'!$K:$K,$B6)</f>
        <v/>
      </c>
      <c r="Z6" s="51">
        <f>SUMIFS('1. INGRESOS'!$H:$H,'1. INGRESOS'!$B:$B,Z$2,'1. INGRESOS'!$K:$K,$B6)</f>
        <v/>
      </c>
      <c r="AA6" s="51">
        <f>SUMIFS('1. INGRESOS'!$H:$H,'1. INGRESOS'!$B:$B,AA$2,'1. INGRESOS'!$K:$K,$B6)</f>
        <v/>
      </c>
      <c r="AB6" s="51">
        <f>SUMIFS('1. INGRESOS'!$H:$H,'1. INGRESOS'!$B:$B,AB$2,'1. INGRESOS'!$K:$K,$B6)</f>
        <v/>
      </c>
      <c r="AC6" s="46">
        <f>IFERROR(AVERAGE(E6:U6),"")</f>
        <v/>
      </c>
    </row>
    <row r="7" ht="18" customHeight="1" s="65">
      <c r="A7" s="52" t="inlineStr">
        <is>
          <t xml:space="preserve">  B2C Boutique</t>
        </is>
      </c>
      <c r="B7" s="42">
        <f>CANALES!$A$4</f>
        <v/>
      </c>
      <c r="C7" s="43" t="inlineStr">
        <is>
          <t>$</t>
        </is>
      </c>
      <c r="D7" s="44" t="n"/>
      <c r="E7" s="45">
        <f>SUMIFS('1. INGRESOS'!$H:$H,'1. INGRESOS'!$B:$B,E$2,'1. INGRESOS'!$K:$K,$B7)</f>
        <v/>
      </c>
      <c r="F7" s="45">
        <f>SUMIFS('1. INGRESOS'!$H:$H,'1. INGRESOS'!$B:$B,F$2,'1. INGRESOS'!$K:$K,$B7)</f>
        <v/>
      </c>
      <c r="G7" s="45">
        <f>SUMIFS('1. INGRESOS'!$H:$H,'1. INGRESOS'!$B:$B,G$2,'1. INGRESOS'!$K:$K,$B7)</f>
        <v/>
      </c>
      <c r="H7" s="45">
        <f>SUMIFS('1. INGRESOS'!$H:$H,'1. INGRESOS'!$B:$B,H$2,'1. INGRESOS'!$K:$K,$B7)</f>
        <v/>
      </c>
      <c r="I7" s="45">
        <f>SUMIFS('1. INGRESOS'!$H:$H,'1. INGRESOS'!$B:$B,I$2,'1. INGRESOS'!$K:$K,$B7)</f>
        <v/>
      </c>
      <c r="J7" s="45">
        <f>SUMIFS('1. INGRESOS'!$H:$H,'1. INGRESOS'!$B:$B,J$2,'1. INGRESOS'!$K:$K,$B7)</f>
        <v/>
      </c>
      <c r="K7" s="45">
        <f>SUMIFS('1. INGRESOS'!$H:$H,'1. INGRESOS'!$B:$B,K$2,'1. INGRESOS'!$K:$K,$B7)</f>
        <v/>
      </c>
      <c r="L7" s="45">
        <f>SUMIFS('1. INGRESOS'!$H:$H,'1. INGRESOS'!$B:$B,L$2,'1. INGRESOS'!$K:$K,$B7)</f>
        <v/>
      </c>
      <c r="M7" s="45">
        <f>SUMIFS('1. INGRESOS'!$H:$H,'1. INGRESOS'!$B:$B,M$2,'1. INGRESOS'!$K:$K,$B7)</f>
        <v/>
      </c>
      <c r="N7" s="45">
        <f>SUMIFS('1. INGRESOS'!$H:$H,'1. INGRESOS'!$B:$B,N$2,'1. INGRESOS'!$K:$K,$B7)</f>
        <v/>
      </c>
      <c r="O7" s="45">
        <f>SUMIFS('1. INGRESOS'!$H:$H,'1. INGRESOS'!$B:$B,O$2,'1. INGRESOS'!$K:$K,$B7)</f>
        <v/>
      </c>
      <c r="P7" s="45">
        <f>SUMIFS('1. INGRESOS'!$H:$H,'1. INGRESOS'!$B:$B,P$2,'1. INGRESOS'!$K:$K,$B7)</f>
        <v/>
      </c>
      <c r="Q7" s="45">
        <f>SUMIFS('1. INGRESOS'!$H:$H,'1. INGRESOS'!$B:$B,Q$2,'1. INGRESOS'!$K:$K,$B7)</f>
        <v/>
      </c>
      <c r="R7" s="45">
        <f>SUMIFS('1. INGRESOS'!$H:$H,'1. INGRESOS'!$B:$B,R$2,'1. INGRESOS'!$K:$K,$B7)</f>
        <v/>
      </c>
      <c r="S7" s="45">
        <f>SUMIFS('1. INGRESOS'!$H:$H,'1. INGRESOS'!$B:$B,S$2,'1. INGRESOS'!$K:$K,$B7)</f>
        <v/>
      </c>
      <c r="T7" s="45">
        <f>SUMIFS('1. INGRESOS'!$H:$H,'1. INGRESOS'!$B:$B,T$2,'1. INGRESOS'!$K:$K,$B7)</f>
        <v/>
      </c>
      <c r="U7" s="45">
        <f>SUMIFS('1. INGRESOS'!$H:$H,'1. INGRESOS'!$B:$B,U$2,'1. INGRESOS'!$K:$K,$B7)</f>
        <v/>
      </c>
      <c r="V7" s="45">
        <f>SUMIFS('1. INGRESOS'!$H:$H,'1. INGRESOS'!$B:$B,V$2,'1. INGRESOS'!$K:$K,$B7)</f>
        <v/>
      </c>
      <c r="W7" s="45">
        <f>SUMIFS('1. INGRESOS'!$H:$H,'1. INGRESOS'!$B:$B,W$2,'1. INGRESOS'!$K:$K,$B7)</f>
        <v/>
      </c>
      <c r="X7" s="45">
        <f>SUMIFS('1. INGRESOS'!$H:$H,'1. INGRESOS'!$B:$B,X$2,'1. INGRESOS'!$K:$K,$B7)</f>
        <v/>
      </c>
      <c r="Y7" s="45">
        <f>SUMIFS('1. INGRESOS'!$H:$H,'1. INGRESOS'!$B:$B,Y$2,'1. INGRESOS'!$K:$K,$B7)</f>
        <v/>
      </c>
      <c r="Z7" s="45">
        <f>SUMIFS('1. INGRESOS'!$H:$H,'1. INGRESOS'!$B:$B,Z$2,'1. INGRESOS'!$K:$K,$B7)</f>
        <v/>
      </c>
      <c r="AA7" s="45">
        <f>SUMIFS('1. INGRESOS'!$H:$H,'1. INGRESOS'!$B:$B,AA$2,'1. INGRESOS'!$K:$K,$B7)</f>
        <v/>
      </c>
      <c r="AB7" s="45">
        <f>SUMIFS('1. INGRESOS'!$H:$H,'1. INGRESOS'!$B:$B,AB$2,'1. INGRESOS'!$K:$K,$B7)</f>
        <v/>
      </c>
      <c r="AC7" s="46">
        <f>IFERROR(AVERAGE(E7:U7),"")</f>
        <v/>
      </c>
    </row>
    <row r="8" ht="18" customHeight="1" s="65">
      <c r="A8" s="47" t="inlineStr">
        <is>
          <t xml:space="preserve">  Delivery Apps</t>
        </is>
      </c>
      <c r="B8" s="48">
        <f>CANALES!$A$5</f>
        <v/>
      </c>
      <c r="C8" s="49" t="inlineStr">
        <is>
          <t>$</t>
        </is>
      </c>
      <c r="D8" s="50" t="n"/>
      <c r="E8" s="51">
        <f>SUMIFS('1. INGRESOS'!$H:$H,'1. INGRESOS'!$B:$B,E$2,'1. INGRESOS'!$K:$K,$B8)</f>
        <v/>
      </c>
      <c r="F8" s="51">
        <f>SUMIFS('1. INGRESOS'!$H:$H,'1. INGRESOS'!$B:$B,F$2,'1. INGRESOS'!$K:$K,$B8)</f>
        <v/>
      </c>
      <c r="G8" s="51">
        <f>SUMIFS('1. INGRESOS'!$H:$H,'1. INGRESOS'!$B:$B,G$2,'1. INGRESOS'!$K:$K,$B8)</f>
        <v/>
      </c>
      <c r="H8" s="51">
        <f>SUMIFS('1. INGRESOS'!$H:$H,'1. INGRESOS'!$B:$B,H$2,'1. INGRESOS'!$K:$K,$B8)</f>
        <v/>
      </c>
      <c r="I8" s="51">
        <f>SUMIFS('1. INGRESOS'!$H:$H,'1. INGRESOS'!$B:$B,I$2,'1. INGRESOS'!$K:$K,$B8)</f>
        <v/>
      </c>
      <c r="J8" s="51">
        <f>SUMIFS('1. INGRESOS'!$H:$H,'1. INGRESOS'!$B:$B,J$2,'1. INGRESOS'!$K:$K,$B8)</f>
        <v/>
      </c>
      <c r="K8" s="51">
        <f>SUMIFS('1. INGRESOS'!$H:$H,'1. INGRESOS'!$B:$B,K$2,'1. INGRESOS'!$K:$K,$B8)</f>
        <v/>
      </c>
      <c r="L8" s="51">
        <f>SUMIFS('1. INGRESOS'!$H:$H,'1. INGRESOS'!$B:$B,L$2,'1. INGRESOS'!$K:$K,$B8)</f>
        <v/>
      </c>
      <c r="M8" s="51">
        <f>SUMIFS('1. INGRESOS'!$H:$H,'1. INGRESOS'!$B:$B,M$2,'1. INGRESOS'!$K:$K,$B8)</f>
        <v/>
      </c>
      <c r="N8" s="51">
        <f>SUMIFS('1. INGRESOS'!$H:$H,'1. INGRESOS'!$B:$B,N$2,'1. INGRESOS'!$K:$K,$B8)</f>
        <v/>
      </c>
      <c r="O8" s="51">
        <f>SUMIFS('1. INGRESOS'!$H:$H,'1. INGRESOS'!$B:$B,O$2,'1. INGRESOS'!$K:$K,$B8)</f>
        <v/>
      </c>
      <c r="P8" s="51">
        <f>SUMIFS('1. INGRESOS'!$H:$H,'1. INGRESOS'!$B:$B,P$2,'1. INGRESOS'!$K:$K,$B8)</f>
        <v/>
      </c>
      <c r="Q8" s="51">
        <f>SUMIFS('1. INGRESOS'!$H:$H,'1. INGRESOS'!$B:$B,Q$2,'1. INGRESOS'!$K:$K,$B8)</f>
        <v/>
      </c>
      <c r="R8" s="51">
        <f>SUMIFS('1. INGRESOS'!$H:$H,'1. INGRESOS'!$B:$B,R$2,'1. INGRESOS'!$K:$K,$B8)</f>
        <v/>
      </c>
      <c r="S8" s="51">
        <f>SUMIFS('1. INGRESOS'!$H:$H,'1. INGRESOS'!$B:$B,S$2,'1. INGRESOS'!$K:$K,$B8)</f>
        <v/>
      </c>
      <c r="T8" s="51">
        <f>SUMIFS('1. INGRESOS'!$H:$H,'1. INGRESOS'!$B:$B,T$2,'1. INGRESOS'!$K:$K,$B8)</f>
        <v/>
      </c>
      <c r="U8" s="51">
        <f>SUMIFS('1. INGRESOS'!$H:$H,'1. INGRESOS'!$B:$B,U$2,'1. INGRESOS'!$K:$K,$B8)</f>
        <v/>
      </c>
      <c r="V8" s="51">
        <f>SUMIFS('1. INGRESOS'!$H:$H,'1. INGRESOS'!$B:$B,V$2,'1. INGRESOS'!$K:$K,$B8)</f>
        <v/>
      </c>
      <c r="W8" s="51">
        <f>SUMIFS('1. INGRESOS'!$H:$H,'1. INGRESOS'!$B:$B,W$2,'1. INGRESOS'!$K:$K,$B8)</f>
        <v/>
      </c>
      <c r="X8" s="51">
        <f>SUMIFS('1. INGRESOS'!$H:$H,'1. INGRESOS'!$B:$B,X$2,'1. INGRESOS'!$K:$K,$B8)</f>
        <v/>
      </c>
      <c r="Y8" s="51">
        <f>SUMIFS('1. INGRESOS'!$H:$H,'1. INGRESOS'!$B:$B,Y$2,'1. INGRESOS'!$K:$K,$B8)</f>
        <v/>
      </c>
      <c r="Z8" s="51">
        <f>SUMIFS('1. INGRESOS'!$H:$H,'1. INGRESOS'!$B:$B,Z$2,'1. INGRESOS'!$K:$K,$B8)</f>
        <v/>
      </c>
      <c r="AA8" s="51">
        <f>SUMIFS('1. INGRESOS'!$H:$H,'1. INGRESOS'!$B:$B,AA$2,'1. INGRESOS'!$K:$K,$B8)</f>
        <v/>
      </c>
      <c r="AB8" s="51">
        <f>SUMIFS('1. INGRESOS'!$H:$H,'1. INGRESOS'!$B:$B,AB$2,'1. INGRESOS'!$K:$K,$B8)</f>
        <v/>
      </c>
      <c r="AC8" s="46">
        <f>IFERROR(AVERAGE(E8:U8),"")</f>
        <v/>
      </c>
    </row>
    <row r="9" ht="18" customHeight="1" s="65">
      <c r="A9" s="52" t="inlineStr">
        <is>
          <t xml:space="preserve">  Ferias</t>
        </is>
      </c>
      <c r="B9" s="42">
        <f>CANALES!$A$6</f>
        <v/>
      </c>
      <c r="C9" s="43" t="inlineStr">
        <is>
          <t>$</t>
        </is>
      </c>
      <c r="D9" s="44" t="n"/>
      <c r="E9" s="45">
        <f>SUMIFS('1. INGRESOS'!$H:$H,'1. INGRESOS'!$B:$B,E$2,'1. INGRESOS'!$K:$K,$B9)</f>
        <v/>
      </c>
      <c r="F9" s="45">
        <f>SUMIFS('1. INGRESOS'!$H:$H,'1. INGRESOS'!$B:$B,F$2,'1. INGRESOS'!$K:$K,$B9)</f>
        <v/>
      </c>
      <c r="G9" s="45">
        <f>SUMIFS('1. INGRESOS'!$H:$H,'1. INGRESOS'!$B:$B,G$2,'1. INGRESOS'!$K:$K,$B9)</f>
        <v/>
      </c>
      <c r="H9" s="45">
        <f>SUMIFS('1. INGRESOS'!$H:$H,'1. INGRESOS'!$B:$B,H$2,'1. INGRESOS'!$K:$K,$B9)</f>
        <v/>
      </c>
      <c r="I9" s="45">
        <f>SUMIFS('1. INGRESOS'!$H:$H,'1. INGRESOS'!$B:$B,I$2,'1. INGRESOS'!$K:$K,$B9)</f>
        <v/>
      </c>
      <c r="J9" s="45">
        <f>SUMIFS('1. INGRESOS'!$H:$H,'1. INGRESOS'!$B:$B,J$2,'1. INGRESOS'!$K:$K,$B9)</f>
        <v/>
      </c>
      <c r="K9" s="45">
        <f>SUMIFS('1. INGRESOS'!$H:$H,'1. INGRESOS'!$B:$B,K$2,'1. INGRESOS'!$K:$K,$B9)</f>
        <v/>
      </c>
      <c r="L9" s="45">
        <f>SUMIFS('1. INGRESOS'!$H:$H,'1. INGRESOS'!$B:$B,L$2,'1. INGRESOS'!$K:$K,$B9)</f>
        <v/>
      </c>
      <c r="M9" s="45">
        <f>SUMIFS('1. INGRESOS'!$H:$H,'1. INGRESOS'!$B:$B,M$2,'1. INGRESOS'!$K:$K,$B9)</f>
        <v/>
      </c>
      <c r="N9" s="45">
        <f>SUMIFS('1. INGRESOS'!$H:$H,'1. INGRESOS'!$B:$B,N$2,'1. INGRESOS'!$K:$K,$B9)</f>
        <v/>
      </c>
      <c r="O9" s="45">
        <f>SUMIFS('1. INGRESOS'!$H:$H,'1. INGRESOS'!$B:$B,O$2,'1. INGRESOS'!$K:$K,$B9)</f>
        <v/>
      </c>
      <c r="P9" s="45">
        <f>SUMIFS('1. INGRESOS'!$H:$H,'1. INGRESOS'!$B:$B,P$2,'1. INGRESOS'!$K:$K,$B9)</f>
        <v/>
      </c>
      <c r="Q9" s="45">
        <f>SUMIFS('1. INGRESOS'!$H:$H,'1. INGRESOS'!$B:$B,Q$2,'1. INGRESOS'!$K:$K,$B9)</f>
        <v/>
      </c>
      <c r="R9" s="45">
        <f>SUMIFS('1. INGRESOS'!$H:$H,'1. INGRESOS'!$B:$B,R$2,'1. INGRESOS'!$K:$K,$B9)</f>
        <v/>
      </c>
      <c r="S9" s="45">
        <f>SUMIFS('1. INGRESOS'!$H:$H,'1. INGRESOS'!$B:$B,S$2,'1. INGRESOS'!$K:$K,$B9)</f>
        <v/>
      </c>
      <c r="T9" s="45">
        <f>SUMIFS('1. INGRESOS'!$H:$H,'1. INGRESOS'!$B:$B,T$2,'1. INGRESOS'!$K:$K,$B9)</f>
        <v/>
      </c>
      <c r="U9" s="45">
        <f>SUMIFS('1. INGRESOS'!$H:$H,'1. INGRESOS'!$B:$B,U$2,'1. INGRESOS'!$K:$K,$B9)</f>
        <v/>
      </c>
      <c r="V9" s="45">
        <f>SUMIFS('1. INGRESOS'!$H:$H,'1. INGRESOS'!$B:$B,V$2,'1. INGRESOS'!$K:$K,$B9)</f>
        <v/>
      </c>
      <c r="W9" s="45">
        <f>SUMIFS('1. INGRESOS'!$H:$H,'1. INGRESOS'!$B:$B,W$2,'1. INGRESOS'!$K:$K,$B9)</f>
        <v/>
      </c>
      <c r="X9" s="45">
        <f>SUMIFS('1. INGRESOS'!$H:$H,'1. INGRESOS'!$B:$B,X$2,'1. INGRESOS'!$K:$K,$B9)</f>
        <v/>
      </c>
      <c r="Y9" s="45">
        <f>SUMIFS('1. INGRESOS'!$H:$H,'1. INGRESOS'!$B:$B,Y$2,'1. INGRESOS'!$K:$K,$B9)</f>
        <v/>
      </c>
      <c r="Z9" s="45">
        <f>SUMIFS('1. INGRESOS'!$H:$H,'1. INGRESOS'!$B:$B,Z$2,'1. INGRESOS'!$K:$K,$B9)</f>
        <v/>
      </c>
      <c r="AA9" s="45">
        <f>SUMIFS('1. INGRESOS'!$H:$H,'1. INGRESOS'!$B:$B,AA$2,'1. INGRESOS'!$K:$K,$B9)</f>
        <v/>
      </c>
      <c r="AB9" s="45">
        <f>SUMIFS('1. INGRESOS'!$H:$H,'1. INGRESOS'!$B:$B,AB$2,'1. INGRESOS'!$K:$K,$B9)</f>
        <v/>
      </c>
      <c r="AC9" s="46">
        <f>IFERROR(AVERAGE(E9:U9),"")</f>
        <v/>
      </c>
    </row>
    <row r="10" ht="19.95" customHeight="1" s="65">
      <c r="A10" s="39" t="inlineStr">
        <is>
          <t>MIX CANAL %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</row>
    <row r="11" ht="18" customHeight="1" s="65">
      <c r="A11" s="52" t="inlineStr">
        <is>
          <t xml:space="preserve">  % HoReCa</t>
        </is>
      </c>
      <c r="B11" s="42" t="n"/>
      <c r="C11" s="43" t="inlineStr">
        <is>
          <t>%</t>
        </is>
      </c>
      <c r="D11" s="44" t="n"/>
      <c r="E11" s="53">
        <f>IF(E$5=0,"",E$6/E$5)</f>
        <v/>
      </c>
      <c r="F11" s="53">
        <f>IF(F$5=0,"",F$6/F$5)</f>
        <v/>
      </c>
      <c r="G11" s="53">
        <f>IF(G$5=0,"",G$6/G$5)</f>
        <v/>
      </c>
      <c r="H11" s="53">
        <f>IF(H$5=0,"",H$6/H$5)</f>
        <v/>
      </c>
      <c r="I11" s="53">
        <f>IF(I$5=0,"",I$6/I$5)</f>
        <v/>
      </c>
      <c r="J11" s="53">
        <f>IF(J$5=0,"",J$6/J$5)</f>
        <v/>
      </c>
      <c r="K11" s="53">
        <f>IF(K$5=0,"",K$6/K$5)</f>
        <v/>
      </c>
      <c r="L11" s="53">
        <f>IF(L$5=0,"",L$6/L$5)</f>
        <v/>
      </c>
      <c r="M11" s="53">
        <f>IF(M$5=0,"",M$6/M$5)</f>
        <v/>
      </c>
      <c r="N11" s="53">
        <f>IF(N$5=0,"",N$6/N$5)</f>
        <v/>
      </c>
      <c r="O11" s="53">
        <f>IF(O$5=0,"",O$6/O$5)</f>
        <v/>
      </c>
      <c r="P11" s="53">
        <f>IF(P$5=0,"",P$6/P$5)</f>
        <v/>
      </c>
      <c r="Q11" s="53">
        <f>IF(Q$5=0,"",Q$6/Q$5)</f>
        <v/>
      </c>
      <c r="R11" s="53">
        <f>IF(R$5=0,"",R$6/R$5)</f>
        <v/>
      </c>
      <c r="S11" s="53">
        <f>IF(S$5=0,"",S$6/S$5)</f>
        <v/>
      </c>
      <c r="T11" s="53">
        <f>IF(T$5=0,"",T$6/T$5)</f>
        <v/>
      </c>
      <c r="U11" s="53">
        <f>IF(U$5=0,"",U$6/U$5)</f>
        <v/>
      </c>
      <c r="V11" s="53">
        <f>IF(V$5=0,"",V$6/V$5)</f>
        <v/>
      </c>
      <c r="W11" s="53">
        <f>IF(W$5=0,"",W$6/W$5)</f>
        <v/>
      </c>
      <c r="X11" s="53">
        <f>IF(X$5=0,"",X$6/X$5)</f>
        <v/>
      </c>
      <c r="Y11" s="53">
        <f>IF(Y$5=0,"",Y$6/Y$5)</f>
        <v/>
      </c>
      <c r="Z11" s="53">
        <f>IF(Z$5=0,"",Z$6/Z$5)</f>
        <v/>
      </c>
      <c r="AA11" s="53">
        <f>IF(AA$5=0,"",AA$6/AA$5)</f>
        <v/>
      </c>
      <c r="AB11" s="53">
        <f>IF(AB$5=0,"",AB$6/AB$5)</f>
        <v/>
      </c>
      <c r="AC11" s="54">
        <f>IFERROR(AVERAGE(E11:U11),"")</f>
        <v/>
      </c>
    </row>
    <row r="12" ht="18" customHeight="1" s="65">
      <c r="A12" s="47" t="inlineStr">
        <is>
          <t xml:space="preserve">  % B2C</t>
        </is>
      </c>
      <c r="B12" s="48" t="n"/>
      <c r="C12" s="49" t="inlineStr">
        <is>
          <t>%</t>
        </is>
      </c>
      <c r="D12" s="50" t="n"/>
      <c r="E12" s="55">
        <f>IF(E$5=0,"",E$7/E$5)</f>
        <v/>
      </c>
      <c r="F12" s="55">
        <f>IF(F$5=0,"",F$7/F$5)</f>
        <v/>
      </c>
      <c r="G12" s="55">
        <f>IF(G$5=0,"",G$7/G$5)</f>
        <v/>
      </c>
      <c r="H12" s="55">
        <f>IF(H$5=0,"",H$7/H$5)</f>
        <v/>
      </c>
      <c r="I12" s="55">
        <f>IF(I$5=0,"",I$7/I$5)</f>
        <v/>
      </c>
      <c r="J12" s="55">
        <f>IF(J$5=0,"",J$7/J$5)</f>
        <v/>
      </c>
      <c r="K12" s="55">
        <f>IF(K$5=0,"",K$7/K$5)</f>
        <v/>
      </c>
      <c r="L12" s="55">
        <f>IF(L$5=0,"",L$7/L$5)</f>
        <v/>
      </c>
      <c r="M12" s="55">
        <f>IF(M$5=0,"",M$7/M$5)</f>
        <v/>
      </c>
      <c r="N12" s="55">
        <f>IF(N$5=0,"",N$7/N$5)</f>
        <v/>
      </c>
      <c r="O12" s="55">
        <f>IF(O$5=0,"",O$7/O$5)</f>
        <v/>
      </c>
      <c r="P12" s="55">
        <f>IF(P$5=0,"",P$7/P$5)</f>
        <v/>
      </c>
      <c r="Q12" s="55">
        <f>IF(Q$5=0,"",Q$7/Q$5)</f>
        <v/>
      </c>
      <c r="R12" s="55">
        <f>IF(R$5=0,"",R$7/R$5)</f>
        <v/>
      </c>
      <c r="S12" s="55">
        <f>IF(S$5=0,"",S$7/S$5)</f>
        <v/>
      </c>
      <c r="T12" s="55">
        <f>IF(T$5=0,"",T$7/T$5)</f>
        <v/>
      </c>
      <c r="U12" s="55">
        <f>IF(U$5=0,"",U$7/U$5)</f>
        <v/>
      </c>
      <c r="V12" s="55">
        <f>IF(V$5=0,"",V$7/V$5)</f>
        <v/>
      </c>
      <c r="W12" s="55">
        <f>IF(W$5=0,"",W$7/W$5)</f>
        <v/>
      </c>
      <c r="X12" s="55">
        <f>IF(X$5=0,"",X$7/X$5)</f>
        <v/>
      </c>
      <c r="Y12" s="55">
        <f>IF(Y$5=0,"",Y$7/Y$5)</f>
        <v/>
      </c>
      <c r="Z12" s="55">
        <f>IF(Z$5=0,"",Z$7/Z$5)</f>
        <v/>
      </c>
      <c r="AA12" s="55">
        <f>IF(AA$5=0,"",AA$7/AA$5)</f>
        <v/>
      </c>
      <c r="AB12" s="55">
        <f>IF(AB$5=0,"",AB$7/AB$5)</f>
        <v/>
      </c>
      <c r="AC12" s="54">
        <f>IFERROR(AVERAGE(E12:U12),"")</f>
        <v/>
      </c>
    </row>
    <row r="13" ht="18" customHeight="1" s="65">
      <c r="A13" s="52" t="inlineStr">
        <is>
          <t xml:space="preserve">  % Delivery</t>
        </is>
      </c>
      <c r="B13" s="42" t="n"/>
      <c r="C13" s="43" t="inlineStr">
        <is>
          <t>%</t>
        </is>
      </c>
      <c r="D13" s="44" t="n"/>
      <c r="E13" s="53">
        <f>IF(E$5=0,"",E$8/E$5)</f>
        <v/>
      </c>
      <c r="F13" s="53">
        <f>IF(F$5=0,"",F$8/F$5)</f>
        <v/>
      </c>
      <c r="G13" s="53">
        <f>IF(G$5=0,"",G$8/G$5)</f>
        <v/>
      </c>
      <c r="H13" s="53">
        <f>IF(H$5=0,"",H$8/H$5)</f>
        <v/>
      </c>
      <c r="I13" s="53">
        <f>IF(I$5=0,"",I$8/I$5)</f>
        <v/>
      </c>
      <c r="J13" s="53">
        <f>IF(J$5=0,"",J$8/J$5)</f>
        <v/>
      </c>
      <c r="K13" s="53">
        <f>IF(K$5=0,"",K$8/K$5)</f>
        <v/>
      </c>
      <c r="L13" s="53">
        <f>IF(L$5=0,"",L$8/L$5)</f>
        <v/>
      </c>
      <c r="M13" s="53">
        <f>IF(M$5=0,"",M$8/M$5)</f>
        <v/>
      </c>
      <c r="N13" s="53">
        <f>IF(N$5=0,"",N$8/N$5)</f>
        <v/>
      </c>
      <c r="O13" s="53">
        <f>IF(O$5=0,"",O$8/O$5)</f>
        <v/>
      </c>
      <c r="P13" s="53">
        <f>IF(P$5=0,"",P$8/P$5)</f>
        <v/>
      </c>
      <c r="Q13" s="53">
        <f>IF(Q$5=0,"",Q$8/Q$5)</f>
        <v/>
      </c>
      <c r="R13" s="53">
        <f>IF(R$5=0,"",R$8/R$5)</f>
        <v/>
      </c>
      <c r="S13" s="53">
        <f>IF(S$5=0,"",S$8/S$5)</f>
        <v/>
      </c>
      <c r="T13" s="53">
        <f>IF(T$5=0,"",T$8/T$5)</f>
        <v/>
      </c>
      <c r="U13" s="53">
        <f>IF(U$5=0,"",U$8/U$5)</f>
        <v/>
      </c>
      <c r="V13" s="53">
        <f>IF(V$5=0,"",V$8/V$5)</f>
        <v/>
      </c>
      <c r="W13" s="53">
        <f>IF(W$5=0,"",W$8/W$5)</f>
        <v/>
      </c>
      <c r="X13" s="53">
        <f>IF(X$5=0,"",X$8/X$5)</f>
        <v/>
      </c>
      <c r="Y13" s="53">
        <f>IF(Y$5=0,"",Y$8/Y$5)</f>
        <v/>
      </c>
      <c r="Z13" s="53">
        <f>IF(Z$5=0,"",Z$8/Z$5)</f>
        <v/>
      </c>
      <c r="AA13" s="53">
        <f>IF(AA$5=0,"",AA$8/AA$5)</f>
        <v/>
      </c>
      <c r="AB13" s="53">
        <f>IF(AB$5=0,"",AB$8/AB$5)</f>
        <v/>
      </c>
      <c r="AC13" s="54">
        <f>IFERROR(AVERAGE(E13:U13),"")</f>
        <v/>
      </c>
    </row>
    <row r="14" ht="18" customHeight="1" s="65">
      <c r="A14" s="47" t="inlineStr">
        <is>
          <t xml:space="preserve">  % Ferias</t>
        </is>
      </c>
      <c r="B14" s="48" t="n"/>
      <c r="C14" s="49" t="inlineStr">
        <is>
          <t>%</t>
        </is>
      </c>
      <c r="D14" s="50" t="n"/>
      <c r="E14" s="55">
        <f>IF(E$5=0,"",E$9/E$5)</f>
        <v/>
      </c>
      <c r="F14" s="55">
        <f>IF(F$5=0,"",F$9/F$5)</f>
        <v/>
      </c>
      <c r="G14" s="55">
        <f>IF(G$5=0,"",G$9/G$5)</f>
        <v/>
      </c>
      <c r="H14" s="55">
        <f>IF(H$5=0,"",H$9/H$5)</f>
        <v/>
      </c>
      <c r="I14" s="55">
        <f>IF(I$5=0,"",I$9/I$5)</f>
        <v/>
      </c>
      <c r="J14" s="55">
        <f>IF(J$5=0,"",J$9/J$5)</f>
        <v/>
      </c>
      <c r="K14" s="55">
        <f>IF(K$5=0,"",K$9/K$5)</f>
        <v/>
      </c>
      <c r="L14" s="55">
        <f>IF(L$5=0,"",L$9/L$5)</f>
        <v/>
      </c>
      <c r="M14" s="55">
        <f>IF(M$5=0,"",M$9/M$5)</f>
        <v/>
      </c>
      <c r="N14" s="55">
        <f>IF(N$5=0,"",N$9/N$5)</f>
        <v/>
      </c>
      <c r="O14" s="55">
        <f>IF(O$5=0,"",O$9/O$5)</f>
        <v/>
      </c>
      <c r="P14" s="55">
        <f>IF(P$5=0,"",P$9/P$5)</f>
        <v/>
      </c>
      <c r="Q14" s="55">
        <f>IF(Q$5=0,"",Q$9/Q$5)</f>
        <v/>
      </c>
      <c r="R14" s="55">
        <f>IF(R$5=0,"",R$9/R$5)</f>
        <v/>
      </c>
      <c r="S14" s="55">
        <f>IF(S$5=0,"",S$9/S$5)</f>
        <v/>
      </c>
      <c r="T14" s="55">
        <f>IF(T$5=0,"",T$9/T$5)</f>
        <v/>
      </c>
      <c r="U14" s="55">
        <f>IF(U$5=0,"",U$9/U$5)</f>
        <v/>
      </c>
      <c r="V14" s="55">
        <f>IF(V$5=0,"",V$9/V$5)</f>
        <v/>
      </c>
      <c r="W14" s="55">
        <f>IF(W$5=0,"",W$9/W$5)</f>
        <v/>
      </c>
      <c r="X14" s="55">
        <f>IF(X$5=0,"",X$9/X$5)</f>
        <v/>
      </c>
      <c r="Y14" s="55">
        <f>IF(Y$5=0,"",Y$9/Y$5)</f>
        <v/>
      </c>
      <c r="Z14" s="55">
        <f>IF(Z$5=0,"",Z$9/Z$5)</f>
        <v/>
      </c>
      <c r="AA14" s="55">
        <f>IF(AA$5=0,"",AA$9/AA$5)</f>
        <v/>
      </c>
      <c r="AB14" s="55">
        <f>IF(AB$5=0,"",AB$9/AB$5)</f>
        <v/>
      </c>
      <c r="AC14" s="54">
        <f>IFERROR(AVERAGE(E14:U14),"")</f>
        <v/>
      </c>
    </row>
    <row r="15" ht="19.95" customHeight="1" s="65">
      <c r="A15" s="39" t="inlineStr">
        <is>
          <t>VOLUMEN Y TICKETS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</row>
    <row r="16" ht="18" customHeight="1" s="65">
      <c r="A16" s="56" t="inlineStr">
        <is>
          <t>N Transacciones Total</t>
        </is>
      </c>
      <c r="B16" s="48" t="n"/>
      <c r="C16" s="49" t="inlineStr">
        <is>
          <t>#</t>
        </is>
      </c>
      <c r="D16" s="50" t="n"/>
      <c r="E16" s="51">
        <f>COUNTIFS('1. INGRESOS'!$B:$B,E$2)</f>
        <v/>
      </c>
      <c r="F16" s="51">
        <f>COUNTIFS('1. INGRESOS'!$B:$B,F$2)</f>
        <v/>
      </c>
      <c r="G16" s="51">
        <f>COUNTIFS('1. INGRESOS'!$B:$B,G$2)</f>
        <v/>
      </c>
      <c r="H16" s="51">
        <f>COUNTIFS('1. INGRESOS'!$B:$B,H$2)</f>
        <v/>
      </c>
      <c r="I16" s="51">
        <f>COUNTIFS('1. INGRESOS'!$B:$B,I$2)</f>
        <v/>
      </c>
      <c r="J16" s="51">
        <f>COUNTIFS('1. INGRESOS'!$B:$B,J$2)</f>
        <v/>
      </c>
      <c r="K16" s="51">
        <f>COUNTIFS('1. INGRESOS'!$B:$B,K$2)</f>
        <v/>
      </c>
      <c r="L16" s="51">
        <f>COUNTIFS('1. INGRESOS'!$B:$B,L$2)</f>
        <v/>
      </c>
      <c r="M16" s="51">
        <f>COUNTIFS('1. INGRESOS'!$B:$B,M$2)</f>
        <v/>
      </c>
      <c r="N16" s="51">
        <f>COUNTIFS('1. INGRESOS'!$B:$B,N$2)</f>
        <v/>
      </c>
      <c r="O16" s="51">
        <f>COUNTIFS('1. INGRESOS'!$B:$B,O$2)</f>
        <v/>
      </c>
      <c r="P16" s="51">
        <f>COUNTIFS('1. INGRESOS'!$B:$B,P$2)</f>
        <v/>
      </c>
      <c r="Q16" s="51">
        <f>COUNTIFS('1. INGRESOS'!$B:$B,Q$2)</f>
        <v/>
      </c>
      <c r="R16" s="51">
        <f>COUNTIFS('1. INGRESOS'!$B:$B,R$2)</f>
        <v/>
      </c>
      <c r="S16" s="51">
        <f>COUNTIFS('1. INGRESOS'!$B:$B,S$2)</f>
        <v/>
      </c>
      <c r="T16" s="51">
        <f>COUNTIFS('1. INGRESOS'!$B:$B,T$2)</f>
        <v/>
      </c>
      <c r="U16" s="51">
        <f>COUNTIFS('1. INGRESOS'!$B:$B,U$2)</f>
        <v/>
      </c>
      <c r="V16" s="51">
        <f>COUNTIFS('1. INGRESOS'!$B:$B,V$2)</f>
        <v/>
      </c>
      <c r="W16" s="51">
        <f>COUNTIFS('1. INGRESOS'!$B:$B,W$2)</f>
        <v/>
      </c>
      <c r="X16" s="51">
        <f>COUNTIFS('1. INGRESOS'!$B:$B,X$2)</f>
        <v/>
      </c>
      <c r="Y16" s="51">
        <f>COUNTIFS('1. INGRESOS'!$B:$B,Y$2)</f>
        <v/>
      </c>
      <c r="Z16" s="51">
        <f>COUNTIFS('1. INGRESOS'!$B:$B,Z$2)</f>
        <v/>
      </c>
      <c r="AA16" s="51">
        <f>COUNTIFS('1. INGRESOS'!$B:$B,AA$2)</f>
        <v/>
      </c>
      <c r="AB16" s="51">
        <f>COUNTIFS('1. INGRESOS'!$B:$B,AB$2)</f>
        <v/>
      </c>
      <c r="AC16" s="46">
        <f>IFERROR(AVERAGE(E16:U16),"")</f>
        <v/>
      </c>
    </row>
    <row r="17" ht="18" customHeight="1" s="65">
      <c r="A17" s="52" t="inlineStr">
        <is>
          <t xml:space="preserve">  N Trans HoReCa</t>
        </is>
      </c>
      <c r="B17" s="42">
        <f>CANALES!$A$3</f>
        <v/>
      </c>
      <c r="C17" s="43" t="inlineStr">
        <is>
          <t>#</t>
        </is>
      </c>
      <c r="D17" s="44" t="n"/>
      <c r="E17" s="45">
        <f>COUNTIFS('1. INGRESOS'!$B:$B,E$2,'1. INGRESOS'!$K:$K,$B17)</f>
        <v/>
      </c>
      <c r="F17" s="45">
        <f>COUNTIFS('1. INGRESOS'!$B:$B,F$2,'1. INGRESOS'!$K:$K,$B17)</f>
        <v/>
      </c>
      <c r="G17" s="45">
        <f>COUNTIFS('1. INGRESOS'!$B:$B,G$2,'1. INGRESOS'!$K:$K,$B17)</f>
        <v/>
      </c>
      <c r="H17" s="45">
        <f>COUNTIFS('1. INGRESOS'!$B:$B,H$2,'1. INGRESOS'!$K:$K,$B17)</f>
        <v/>
      </c>
      <c r="I17" s="45">
        <f>COUNTIFS('1. INGRESOS'!$B:$B,I$2,'1. INGRESOS'!$K:$K,$B17)</f>
        <v/>
      </c>
      <c r="J17" s="45">
        <f>COUNTIFS('1. INGRESOS'!$B:$B,J$2,'1. INGRESOS'!$K:$K,$B17)</f>
        <v/>
      </c>
      <c r="K17" s="45">
        <f>COUNTIFS('1. INGRESOS'!$B:$B,K$2,'1. INGRESOS'!$K:$K,$B17)</f>
        <v/>
      </c>
      <c r="L17" s="45">
        <f>COUNTIFS('1. INGRESOS'!$B:$B,L$2,'1. INGRESOS'!$K:$K,$B17)</f>
        <v/>
      </c>
      <c r="M17" s="45">
        <f>COUNTIFS('1. INGRESOS'!$B:$B,M$2,'1. INGRESOS'!$K:$K,$B17)</f>
        <v/>
      </c>
      <c r="N17" s="45">
        <f>COUNTIFS('1. INGRESOS'!$B:$B,N$2,'1. INGRESOS'!$K:$K,$B17)</f>
        <v/>
      </c>
      <c r="O17" s="45">
        <f>COUNTIFS('1. INGRESOS'!$B:$B,O$2,'1. INGRESOS'!$K:$K,$B17)</f>
        <v/>
      </c>
      <c r="P17" s="45">
        <f>COUNTIFS('1. INGRESOS'!$B:$B,P$2,'1. INGRESOS'!$K:$K,$B17)</f>
        <v/>
      </c>
      <c r="Q17" s="45">
        <f>COUNTIFS('1. INGRESOS'!$B:$B,Q$2,'1. INGRESOS'!$K:$K,$B17)</f>
        <v/>
      </c>
      <c r="R17" s="45">
        <f>COUNTIFS('1. INGRESOS'!$B:$B,R$2,'1. INGRESOS'!$K:$K,$B17)</f>
        <v/>
      </c>
      <c r="S17" s="45">
        <f>COUNTIFS('1. INGRESOS'!$B:$B,S$2,'1. INGRESOS'!$K:$K,$B17)</f>
        <v/>
      </c>
      <c r="T17" s="45">
        <f>COUNTIFS('1. INGRESOS'!$B:$B,T$2,'1. INGRESOS'!$K:$K,$B17)</f>
        <v/>
      </c>
      <c r="U17" s="45">
        <f>COUNTIFS('1. INGRESOS'!$B:$B,U$2,'1. INGRESOS'!$K:$K,$B17)</f>
        <v/>
      </c>
      <c r="V17" s="45">
        <f>COUNTIFS('1. INGRESOS'!$B:$B,V$2,'1. INGRESOS'!$K:$K,$B17)</f>
        <v/>
      </c>
      <c r="W17" s="45">
        <f>COUNTIFS('1. INGRESOS'!$B:$B,W$2,'1. INGRESOS'!$K:$K,$B17)</f>
        <v/>
      </c>
      <c r="X17" s="45">
        <f>COUNTIFS('1. INGRESOS'!$B:$B,X$2,'1. INGRESOS'!$K:$K,$B17)</f>
        <v/>
      </c>
      <c r="Y17" s="45">
        <f>COUNTIFS('1. INGRESOS'!$B:$B,Y$2,'1. INGRESOS'!$K:$K,$B17)</f>
        <v/>
      </c>
      <c r="Z17" s="45">
        <f>COUNTIFS('1. INGRESOS'!$B:$B,Z$2,'1. INGRESOS'!$K:$K,$B17)</f>
        <v/>
      </c>
      <c r="AA17" s="45">
        <f>COUNTIFS('1. INGRESOS'!$B:$B,AA$2,'1. INGRESOS'!$K:$K,$B17)</f>
        <v/>
      </c>
      <c r="AB17" s="45">
        <f>COUNTIFS('1. INGRESOS'!$B:$B,AB$2,'1. INGRESOS'!$K:$K,$B17)</f>
        <v/>
      </c>
      <c r="AC17" s="46">
        <f>IFERROR(AVERAGE(E17:U17),"")</f>
        <v/>
      </c>
    </row>
    <row r="18" ht="18" customHeight="1" s="65">
      <c r="A18" s="47" t="inlineStr">
        <is>
          <t xml:space="preserve">  N Trans B2C</t>
        </is>
      </c>
      <c r="B18" s="48">
        <f>CANALES!$A$4</f>
        <v/>
      </c>
      <c r="C18" s="49" t="inlineStr">
        <is>
          <t>#</t>
        </is>
      </c>
      <c r="D18" s="50" t="n"/>
      <c r="E18" s="51">
        <f>COUNTIFS('1. INGRESOS'!$B:$B,E$2,'1. INGRESOS'!$K:$K,$B18)</f>
        <v/>
      </c>
      <c r="F18" s="51">
        <f>COUNTIFS('1. INGRESOS'!$B:$B,F$2,'1. INGRESOS'!$K:$K,$B18)</f>
        <v/>
      </c>
      <c r="G18" s="51">
        <f>COUNTIFS('1. INGRESOS'!$B:$B,G$2,'1. INGRESOS'!$K:$K,$B18)</f>
        <v/>
      </c>
      <c r="H18" s="51">
        <f>COUNTIFS('1. INGRESOS'!$B:$B,H$2,'1. INGRESOS'!$K:$K,$B18)</f>
        <v/>
      </c>
      <c r="I18" s="51">
        <f>COUNTIFS('1. INGRESOS'!$B:$B,I$2,'1. INGRESOS'!$K:$K,$B18)</f>
        <v/>
      </c>
      <c r="J18" s="51">
        <f>COUNTIFS('1. INGRESOS'!$B:$B,J$2,'1. INGRESOS'!$K:$K,$B18)</f>
        <v/>
      </c>
      <c r="K18" s="51">
        <f>COUNTIFS('1. INGRESOS'!$B:$B,K$2,'1. INGRESOS'!$K:$K,$B18)</f>
        <v/>
      </c>
      <c r="L18" s="51">
        <f>COUNTIFS('1. INGRESOS'!$B:$B,L$2,'1. INGRESOS'!$K:$K,$B18)</f>
        <v/>
      </c>
      <c r="M18" s="51">
        <f>COUNTIFS('1. INGRESOS'!$B:$B,M$2,'1. INGRESOS'!$K:$K,$B18)</f>
        <v/>
      </c>
      <c r="N18" s="51">
        <f>COUNTIFS('1. INGRESOS'!$B:$B,N$2,'1. INGRESOS'!$K:$K,$B18)</f>
        <v/>
      </c>
      <c r="O18" s="51">
        <f>COUNTIFS('1. INGRESOS'!$B:$B,O$2,'1. INGRESOS'!$K:$K,$B18)</f>
        <v/>
      </c>
      <c r="P18" s="51">
        <f>COUNTIFS('1. INGRESOS'!$B:$B,P$2,'1. INGRESOS'!$K:$K,$B18)</f>
        <v/>
      </c>
      <c r="Q18" s="51">
        <f>COUNTIFS('1. INGRESOS'!$B:$B,Q$2,'1. INGRESOS'!$K:$K,$B18)</f>
        <v/>
      </c>
      <c r="R18" s="51">
        <f>COUNTIFS('1. INGRESOS'!$B:$B,R$2,'1. INGRESOS'!$K:$K,$B18)</f>
        <v/>
      </c>
      <c r="S18" s="51">
        <f>COUNTIFS('1. INGRESOS'!$B:$B,S$2,'1. INGRESOS'!$K:$K,$B18)</f>
        <v/>
      </c>
      <c r="T18" s="51">
        <f>COUNTIFS('1. INGRESOS'!$B:$B,T$2,'1. INGRESOS'!$K:$K,$B18)</f>
        <v/>
      </c>
      <c r="U18" s="51">
        <f>COUNTIFS('1. INGRESOS'!$B:$B,U$2,'1. INGRESOS'!$K:$K,$B18)</f>
        <v/>
      </c>
      <c r="V18" s="51">
        <f>COUNTIFS('1. INGRESOS'!$B:$B,V$2,'1. INGRESOS'!$K:$K,$B18)</f>
        <v/>
      </c>
      <c r="W18" s="51">
        <f>COUNTIFS('1. INGRESOS'!$B:$B,W$2,'1. INGRESOS'!$K:$K,$B18)</f>
        <v/>
      </c>
      <c r="X18" s="51">
        <f>COUNTIFS('1. INGRESOS'!$B:$B,X$2,'1. INGRESOS'!$K:$K,$B18)</f>
        <v/>
      </c>
      <c r="Y18" s="51">
        <f>COUNTIFS('1. INGRESOS'!$B:$B,Y$2,'1. INGRESOS'!$K:$K,$B18)</f>
        <v/>
      </c>
      <c r="Z18" s="51">
        <f>COUNTIFS('1. INGRESOS'!$B:$B,Z$2,'1. INGRESOS'!$K:$K,$B18)</f>
        <v/>
      </c>
      <c r="AA18" s="51">
        <f>COUNTIFS('1. INGRESOS'!$B:$B,AA$2,'1. INGRESOS'!$K:$K,$B18)</f>
        <v/>
      </c>
      <c r="AB18" s="51">
        <f>COUNTIFS('1. INGRESOS'!$B:$B,AB$2,'1. INGRESOS'!$K:$K,$B18)</f>
        <v/>
      </c>
      <c r="AC18" s="46">
        <f>IFERROR(AVERAGE(E18:U18),"")</f>
        <v/>
      </c>
    </row>
    <row r="19" ht="18" customHeight="1" s="65">
      <c r="A19" s="52" t="inlineStr">
        <is>
          <t xml:space="preserve">  N Trans Delivery</t>
        </is>
      </c>
      <c r="B19" s="42">
        <f>CANALES!$A$5</f>
        <v/>
      </c>
      <c r="C19" s="43" t="inlineStr">
        <is>
          <t>#</t>
        </is>
      </c>
      <c r="D19" s="44" t="n"/>
      <c r="E19" s="45">
        <f>COUNTIFS('1. INGRESOS'!$B:$B,E$2,'1. INGRESOS'!$K:$K,$B19)</f>
        <v/>
      </c>
      <c r="F19" s="45">
        <f>COUNTIFS('1. INGRESOS'!$B:$B,F$2,'1. INGRESOS'!$K:$K,$B19)</f>
        <v/>
      </c>
      <c r="G19" s="45">
        <f>COUNTIFS('1. INGRESOS'!$B:$B,G$2,'1. INGRESOS'!$K:$K,$B19)</f>
        <v/>
      </c>
      <c r="H19" s="45">
        <f>COUNTIFS('1. INGRESOS'!$B:$B,H$2,'1. INGRESOS'!$K:$K,$B19)</f>
        <v/>
      </c>
      <c r="I19" s="45">
        <f>COUNTIFS('1. INGRESOS'!$B:$B,I$2,'1. INGRESOS'!$K:$K,$B19)</f>
        <v/>
      </c>
      <c r="J19" s="45">
        <f>COUNTIFS('1. INGRESOS'!$B:$B,J$2,'1. INGRESOS'!$K:$K,$B19)</f>
        <v/>
      </c>
      <c r="K19" s="45">
        <f>COUNTIFS('1. INGRESOS'!$B:$B,K$2,'1. INGRESOS'!$K:$K,$B19)</f>
        <v/>
      </c>
      <c r="L19" s="45">
        <f>COUNTIFS('1. INGRESOS'!$B:$B,L$2,'1. INGRESOS'!$K:$K,$B19)</f>
        <v/>
      </c>
      <c r="M19" s="45">
        <f>COUNTIFS('1. INGRESOS'!$B:$B,M$2,'1. INGRESOS'!$K:$K,$B19)</f>
        <v/>
      </c>
      <c r="N19" s="45">
        <f>COUNTIFS('1. INGRESOS'!$B:$B,N$2,'1. INGRESOS'!$K:$K,$B19)</f>
        <v/>
      </c>
      <c r="O19" s="45">
        <f>COUNTIFS('1. INGRESOS'!$B:$B,O$2,'1. INGRESOS'!$K:$K,$B19)</f>
        <v/>
      </c>
      <c r="P19" s="45">
        <f>COUNTIFS('1. INGRESOS'!$B:$B,P$2,'1. INGRESOS'!$K:$K,$B19)</f>
        <v/>
      </c>
      <c r="Q19" s="45">
        <f>COUNTIFS('1. INGRESOS'!$B:$B,Q$2,'1. INGRESOS'!$K:$K,$B19)</f>
        <v/>
      </c>
      <c r="R19" s="45">
        <f>COUNTIFS('1. INGRESOS'!$B:$B,R$2,'1. INGRESOS'!$K:$K,$B19)</f>
        <v/>
      </c>
      <c r="S19" s="45">
        <f>COUNTIFS('1. INGRESOS'!$B:$B,S$2,'1. INGRESOS'!$K:$K,$B19)</f>
        <v/>
      </c>
      <c r="T19" s="45">
        <f>COUNTIFS('1. INGRESOS'!$B:$B,T$2,'1. INGRESOS'!$K:$K,$B19)</f>
        <v/>
      </c>
      <c r="U19" s="45">
        <f>COUNTIFS('1. INGRESOS'!$B:$B,U$2,'1. INGRESOS'!$K:$K,$B19)</f>
        <v/>
      </c>
      <c r="V19" s="45">
        <f>COUNTIFS('1. INGRESOS'!$B:$B,V$2,'1. INGRESOS'!$K:$K,$B19)</f>
        <v/>
      </c>
      <c r="W19" s="45">
        <f>COUNTIFS('1. INGRESOS'!$B:$B,W$2,'1. INGRESOS'!$K:$K,$B19)</f>
        <v/>
      </c>
      <c r="X19" s="45">
        <f>COUNTIFS('1. INGRESOS'!$B:$B,X$2,'1. INGRESOS'!$K:$K,$B19)</f>
        <v/>
      </c>
      <c r="Y19" s="45">
        <f>COUNTIFS('1. INGRESOS'!$B:$B,Y$2,'1. INGRESOS'!$K:$K,$B19)</f>
        <v/>
      </c>
      <c r="Z19" s="45">
        <f>COUNTIFS('1. INGRESOS'!$B:$B,Z$2,'1. INGRESOS'!$K:$K,$B19)</f>
        <v/>
      </c>
      <c r="AA19" s="45">
        <f>COUNTIFS('1. INGRESOS'!$B:$B,AA$2,'1. INGRESOS'!$K:$K,$B19)</f>
        <v/>
      </c>
      <c r="AB19" s="45">
        <f>COUNTIFS('1. INGRESOS'!$B:$B,AB$2,'1. INGRESOS'!$K:$K,$B19)</f>
        <v/>
      </c>
      <c r="AC19" s="46">
        <f>IFERROR(AVERAGE(E19:U19),"")</f>
        <v/>
      </c>
    </row>
    <row r="20" ht="18" customHeight="1" s="65">
      <c r="A20" s="47" t="inlineStr">
        <is>
          <t xml:space="preserve">  Ticket Prom HoReCa</t>
        </is>
      </c>
      <c r="B20" s="48" t="n"/>
      <c r="C20" s="49" t="inlineStr">
        <is>
          <t>$</t>
        </is>
      </c>
      <c r="D20" s="50" t="n"/>
      <c r="E20" s="51">
        <f>IF(E$17=0,"",E$6/E$17)</f>
        <v/>
      </c>
      <c r="F20" s="51">
        <f>IF(F$17=0,"",F$6/F$17)</f>
        <v/>
      </c>
      <c r="G20" s="51">
        <f>IF(G$17=0,"",G$6/G$17)</f>
        <v/>
      </c>
      <c r="H20" s="51">
        <f>IF(H$17=0,"",H$6/H$17)</f>
        <v/>
      </c>
      <c r="I20" s="51">
        <f>IF(I$17=0,"",I$6/I$17)</f>
        <v/>
      </c>
      <c r="J20" s="51">
        <f>IF(J$17=0,"",J$6/J$17)</f>
        <v/>
      </c>
      <c r="K20" s="51">
        <f>IF(K$17=0,"",K$6/K$17)</f>
        <v/>
      </c>
      <c r="L20" s="51">
        <f>IF(L$17=0,"",L$6/L$17)</f>
        <v/>
      </c>
      <c r="M20" s="51">
        <f>IF(M$17=0,"",M$6/M$17)</f>
        <v/>
      </c>
      <c r="N20" s="51">
        <f>IF(N$17=0,"",N$6/N$17)</f>
        <v/>
      </c>
      <c r="O20" s="51">
        <f>IF(O$17=0,"",O$6/O$17)</f>
        <v/>
      </c>
      <c r="P20" s="51">
        <f>IF(P$17=0,"",P$6/P$17)</f>
        <v/>
      </c>
      <c r="Q20" s="51">
        <f>IF(Q$17=0,"",Q$6/Q$17)</f>
        <v/>
      </c>
      <c r="R20" s="51">
        <f>IF(R$17=0,"",R$6/R$17)</f>
        <v/>
      </c>
      <c r="S20" s="51">
        <f>IF(S$17=0,"",S$6/S$17)</f>
        <v/>
      </c>
      <c r="T20" s="51">
        <f>IF(T$17=0,"",T$6/T$17)</f>
        <v/>
      </c>
      <c r="U20" s="51">
        <f>IF(U$17=0,"",U$6/U$17)</f>
        <v/>
      </c>
      <c r="V20" s="51">
        <f>IF(V$17=0,"",V$6/V$17)</f>
        <v/>
      </c>
      <c r="W20" s="51">
        <f>IF(W$17=0,"",W$6/W$17)</f>
        <v/>
      </c>
      <c r="X20" s="51">
        <f>IF(X$17=0,"",X$6/X$17)</f>
        <v/>
      </c>
      <c r="Y20" s="51">
        <f>IF(Y$17=0,"",Y$6/Y$17)</f>
        <v/>
      </c>
      <c r="Z20" s="51">
        <f>IF(Z$17=0,"",Z$6/Z$17)</f>
        <v/>
      </c>
      <c r="AA20" s="51">
        <f>IF(AA$17=0,"",AA$6/AA$17)</f>
        <v/>
      </c>
      <c r="AB20" s="51">
        <f>IF(AB$17=0,"",AB$6/AB$17)</f>
        <v/>
      </c>
      <c r="AC20" s="46">
        <f>IFERROR(AVERAGE(E20:U20),"")</f>
        <v/>
      </c>
    </row>
    <row r="21" ht="18" customHeight="1" s="65">
      <c r="A21" s="52" t="inlineStr">
        <is>
          <t xml:space="preserve">  Ticket Prom B2C</t>
        </is>
      </c>
      <c r="B21" s="42" t="n"/>
      <c r="C21" s="43" t="inlineStr">
        <is>
          <t>$</t>
        </is>
      </c>
      <c r="D21" s="44" t="n"/>
      <c r="E21" s="45">
        <f>IF(E$18=0,"",E$7/E$18)</f>
        <v/>
      </c>
      <c r="F21" s="45">
        <f>IF(F$18=0,"",F$7/F$18)</f>
        <v/>
      </c>
      <c r="G21" s="45">
        <f>IF(G$18=0,"",G$7/G$18)</f>
        <v/>
      </c>
      <c r="H21" s="45">
        <f>IF(H$18=0,"",H$7/H$18)</f>
        <v/>
      </c>
      <c r="I21" s="45">
        <f>IF(I$18=0,"",I$7/I$18)</f>
        <v/>
      </c>
      <c r="J21" s="45">
        <f>IF(J$18=0,"",J$7/J$18)</f>
        <v/>
      </c>
      <c r="K21" s="45">
        <f>IF(K$18=0,"",K$7/K$18)</f>
        <v/>
      </c>
      <c r="L21" s="45">
        <f>IF(L$18=0,"",L$7/L$18)</f>
        <v/>
      </c>
      <c r="M21" s="45">
        <f>IF(M$18=0,"",M$7/M$18)</f>
        <v/>
      </c>
      <c r="N21" s="45">
        <f>IF(N$18=0,"",N$7/N$18)</f>
        <v/>
      </c>
      <c r="O21" s="45">
        <f>IF(O$18=0,"",O$7/O$18)</f>
        <v/>
      </c>
      <c r="P21" s="45">
        <f>IF(P$18=0,"",P$7/P$18)</f>
        <v/>
      </c>
      <c r="Q21" s="45">
        <f>IF(Q$18=0,"",Q$7/Q$18)</f>
        <v/>
      </c>
      <c r="R21" s="45">
        <f>IF(R$18=0,"",R$7/R$18)</f>
        <v/>
      </c>
      <c r="S21" s="45">
        <f>IF(S$18=0,"",S$7/S$18)</f>
        <v/>
      </c>
      <c r="T21" s="45">
        <f>IF(T$18=0,"",T$7/T$18)</f>
        <v/>
      </c>
      <c r="U21" s="45">
        <f>IF(U$18=0,"",U$7/U$18)</f>
        <v/>
      </c>
      <c r="V21" s="45">
        <f>IF(V$18=0,"",V$7/V$18)</f>
        <v/>
      </c>
      <c r="W21" s="45">
        <f>IF(W$18=0,"",W$7/W$18)</f>
        <v/>
      </c>
      <c r="X21" s="45">
        <f>IF(X$18=0,"",X$7/X$18)</f>
        <v/>
      </c>
      <c r="Y21" s="45">
        <f>IF(Y$18=0,"",Y$7/Y$18)</f>
        <v/>
      </c>
      <c r="Z21" s="45">
        <f>IF(Z$18=0,"",Z$7/Z$18)</f>
        <v/>
      </c>
      <c r="AA21" s="45">
        <f>IF(AA$18=0,"",AA$7/AA$18)</f>
        <v/>
      </c>
      <c r="AB21" s="45">
        <f>IF(AB$18=0,"",AB$7/AB$18)</f>
        <v/>
      </c>
      <c r="AC21" s="46">
        <f>IFERROR(AVERAGE(E21:U21),"")</f>
        <v/>
      </c>
    </row>
    <row r="22" ht="18" customHeight="1" s="65">
      <c r="A22" s="47" t="inlineStr">
        <is>
          <t xml:space="preserve">  Ticket Prom Delivery</t>
        </is>
      </c>
      <c r="B22" s="48" t="n"/>
      <c r="C22" s="49" t="inlineStr">
        <is>
          <t>$</t>
        </is>
      </c>
      <c r="D22" s="50" t="n"/>
      <c r="E22" s="51">
        <f>IF(E$19=0,"",E$8/E$19)</f>
        <v/>
      </c>
      <c r="F22" s="51">
        <f>IF(F$19=0,"",F$8/F$19)</f>
        <v/>
      </c>
      <c r="G22" s="51">
        <f>IF(G$19=0,"",G$8/G$19)</f>
        <v/>
      </c>
      <c r="H22" s="51">
        <f>IF(H$19=0,"",H$8/H$19)</f>
        <v/>
      </c>
      <c r="I22" s="51">
        <f>IF(I$19=0,"",I$8/I$19)</f>
        <v/>
      </c>
      <c r="J22" s="51">
        <f>IF(J$19=0,"",J$8/J$19)</f>
        <v/>
      </c>
      <c r="K22" s="51">
        <f>IF(K$19=0,"",K$8/K$19)</f>
        <v/>
      </c>
      <c r="L22" s="51">
        <f>IF(L$19=0,"",L$8/L$19)</f>
        <v/>
      </c>
      <c r="M22" s="51">
        <f>IF(M$19=0,"",M$8/M$19)</f>
        <v/>
      </c>
      <c r="N22" s="51">
        <f>IF(N$19=0,"",N$8/N$19)</f>
        <v/>
      </c>
      <c r="O22" s="51">
        <f>IF(O$19=0,"",O$8/O$19)</f>
        <v/>
      </c>
      <c r="P22" s="51">
        <f>IF(P$19=0,"",P$8/P$19)</f>
        <v/>
      </c>
      <c r="Q22" s="51">
        <f>IF(Q$19=0,"",Q$8/Q$19)</f>
        <v/>
      </c>
      <c r="R22" s="51">
        <f>IF(R$19=0,"",R$8/R$19)</f>
        <v/>
      </c>
      <c r="S22" s="51">
        <f>IF(S$19=0,"",S$8/S$19)</f>
        <v/>
      </c>
      <c r="T22" s="51">
        <f>IF(T$19=0,"",T$8/T$19)</f>
        <v/>
      </c>
      <c r="U22" s="51">
        <f>IF(U$19=0,"",U$8/U$19)</f>
        <v/>
      </c>
      <c r="V22" s="51">
        <f>IF(V$19=0,"",V$8/V$19)</f>
        <v/>
      </c>
      <c r="W22" s="51">
        <f>IF(W$19=0,"",W$8/W$19)</f>
        <v/>
      </c>
      <c r="X22" s="51">
        <f>IF(X$19=0,"",X$8/X$19)</f>
        <v/>
      </c>
      <c r="Y22" s="51">
        <f>IF(Y$19=0,"",Y$8/Y$19)</f>
        <v/>
      </c>
      <c r="Z22" s="51">
        <f>IF(Z$19=0,"",Z$8/Z$19)</f>
        <v/>
      </c>
      <c r="AA22" s="51">
        <f>IF(AA$19=0,"",AA$8/AA$19)</f>
        <v/>
      </c>
      <c r="AB22" s="51">
        <f>IF(AB$19=0,"",AB$8/AB$19)</f>
        <v/>
      </c>
      <c r="AC22" s="46">
        <f>IFERROR(AVERAGE(E22:U22),"")</f>
        <v/>
      </c>
    </row>
    <row r="23" ht="18" customHeight="1" s="65">
      <c r="A23" s="52" t="inlineStr">
        <is>
          <t xml:space="preserve">  Unidades Vendidas (items)</t>
        </is>
      </c>
      <c r="B23" s="42" t="n"/>
      <c r="C23" s="43" t="inlineStr">
        <is>
          <t>#</t>
        </is>
      </c>
      <c r="D23" s="44" t="n"/>
      <c r="E23" s="45" t="n">
        <v>2920</v>
      </c>
      <c r="F23" s="45" t="n">
        <v>3024</v>
      </c>
      <c r="G23" s="45" t="n">
        <v>5926</v>
      </c>
      <c r="H23" s="45" t="n">
        <v>4855</v>
      </c>
      <c r="I23" s="45" t="n">
        <v>3524</v>
      </c>
      <c r="J23" s="45" t="n">
        <v>1189</v>
      </c>
      <c r="K23" s="45" t="n">
        <v>2003</v>
      </c>
      <c r="L23" s="45" t="n">
        <v>995</v>
      </c>
      <c r="M23" s="45" t="n">
        <v>1294</v>
      </c>
      <c r="N23" s="45" t="n">
        <v>1863</v>
      </c>
      <c r="O23" s="45" t="n">
        <v>4321</v>
      </c>
      <c r="P23" s="45" t="n">
        <v>3353</v>
      </c>
      <c r="Q23" s="45" t="n">
        <v>1429</v>
      </c>
      <c r="R23" s="45" t="n">
        <v>1317</v>
      </c>
      <c r="S23" s="45" t="n">
        <v>1931</v>
      </c>
      <c r="T23" s="45" t="n">
        <v>2041</v>
      </c>
      <c r="U23" s="45" t="n">
        <v>1143</v>
      </c>
      <c r="V23" s="45" t="n"/>
      <c r="W23" s="45" t="n"/>
      <c r="X23" s="45" t="n"/>
      <c r="Y23" s="45" t="n"/>
      <c r="Z23" s="45" t="n"/>
      <c r="AA23" s="45" t="n"/>
      <c r="AB23" s="45" t="n"/>
      <c r="AC23" s="46" t="n">
        <v>2537</v>
      </c>
    </row>
    <row r="24" ht="18" customHeight="1" s="65"/>
    <row r="25" ht="19.95" customHeight="1" s="65">
      <c r="A25" s="39" t="inlineStr">
        <is>
          <t>EGRESOS POR CENTRO DE COSTO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</row>
    <row r="26" ht="18" customHeight="1" s="65">
      <c r="A26" s="56" t="inlineStr">
        <is>
          <t>Total Egresos</t>
        </is>
      </c>
      <c r="B26" s="48" t="n"/>
      <c r="C26" s="49" t="inlineStr">
        <is>
          <t>$</t>
        </is>
      </c>
      <c r="D26" s="50" t="n"/>
      <c r="E26" s="51">
        <f>SUMIFS('2. EGRESOS'!$H:$H,'2. EGRESOS'!$B:$B,E$2)</f>
        <v/>
      </c>
      <c r="F26" s="51">
        <f>SUMIFS('2. EGRESOS'!$H:$H,'2. EGRESOS'!$B:$B,F$2)</f>
        <v/>
      </c>
      <c r="G26" s="51">
        <f>SUMIFS('2. EGRESOS'!$H:$H,'2. EGRESOS'!$B:$B,G$2)</f>
        <v/>
      </c>
      <c r="H26" s="51">
        <f>SUMIFS('2. EGRESOS'!$H:$H,'2. EGRESOS'!$B:$B,H$2)</f>
        <v/>
      </c>
      <c r="I26" s="51">
        <f>SUMIFS('2. EGRESOS'!$H:$H,'2. EGRESOS'!$B:$B,I$2)</f>
        <v/>
      </c>
      <c r="J26" s="51">
        <f>SUMIFS('2. EGRESOS'!$H:$H,'2. EGRESOS'!$B:$B,J$2)</f>
        <v/>
      </c>
      <c r="K26" s="51">
        <f>SUMIFS('2. EGRESOS'!$H:$H,'2. EGRESOS'!$B:$B,K$2)</f>
        <v/>
      </c>
      <c r="L26" s="51">
        <f>SUMIFS('2. EGRESOS'!$H:$H,'2. EGRESOS'!$B:$B,L$2)</f>
        <v/>
      </c>
      <c r="M26" s="51">
        <f>SUMIFS('2. EGRESOS'!$H:$H,'2. EGRESOS'!$B:$B,M$2)</f>
        <v/>
      </c>
      <c r="N26" s="51">
        <f>SUMIFS('2. EGRESOS'!$H:$H,'2. EGRESOS'!$B:$B,N$2)</f>
        <v/>
      </c>
      <c r="O26" s="51">
        <f>SUMIFS('2. EGRESOS'!$H:$H,'2. EGRESOS'!$B:$B,O$2)</f>
        <v/>
      </c>
      <c r="P26" s="51">
        <f>SUMIFS('2. EGRESOS'!$H:$H,'2. EGRESOS'!$B:$B,P$2)</f>
        <v/>
      </c>
      <c r="Q26" s="51">
        <f>SUMIFS('2. EGRESOS'!$H:$H,'2. EGRESOS'!$B:$B,Q$2)</f>
        <v/>
      </c>
      <c r="R26" s="51">
        <f>SUMIFS('2. EGRESOS'!$H:$H,'2. EGRESOS'!$B:$B,R$2)</f>
        <v/>
      </c>
      <c r="S26" s="51">
        <f>SUMIFS('2. EGRESOS'!$H:$H,'2. EGRESOS'!$B:$B,S$2)</f>
        <v/>
      </c>
      <c r="T26" s="51">
        <f>SUMIFS('2. EGRESOS'!$H:$H,'2. EGRESOS'!$B:$B,T$2)</f>
        <v/>
      </c>
      <c r="U26" s="51">
        <f>SUMIFS('2. EGRESOS'!$H:$H,'2. EGRESOS'!$B:$B,U$2)</f>
        <v/>
      </c>
      <c r="V26" s="51">
        <f>SUMIFS('2. EGRESOS'!$H:$H,'2. EGRESOS'!$B:$B,V$2)</f>
        <v/>
      </c>
      <c r="W26" s="51">
        <f>SUMIFS('2. EGRESOS'!$H:$H,'2. EGRESOS'!$B:$B,W$2)</f>
        <v/>
      </c>
      <c r="X26" s="51">
        <f>SUMIFS('2. EGRESOS'!$H:$H,'2. EGRESOS'!$B:$B,X$2)</f>
        <v/>
      </c>
      <c r="Y26" s="51">
        <f>SUMIFS('2. EGRESOS'!$H:$H,'2. EGRESOS'!$B:$B,Y$2)</f>
        <v/>
      </c>
      <c r="Z26" s="51">
        <f>SUMIFS('2. EGRESOS'!$H:$H,'2. EGRESOS'!$B:$B,Z$2)</f>
        <v/>
      </c>
      <c r="AA26" s="51">
        <f>SUMIFS('2. EGRESOS'!$H:$H,'2. EGRESOS'!$B:$B,AA$2)</f>
        <v/>
      </c>
      <c r="AB26" s="51">
        <f>SUMIFS('2. EGRESOS'!$H:$H,'2. EGRESOS'!$B:$B,AB$2)</f>
        <v/>
      </c>
      <c r="AC26" s="46">
        <f>IFERROR(AVERAGE(E26:U26),"")</f>
        <v/>
      </c>
    </row>
    <row r="27" ht="18" customHeight="1" s="65">
      <c r="A27" s="52" t="inlineStr">
        <is>
          <t xml:space="preserve">  CC1 Costos Producto</t>
        </is>
      </c>
      <c r="B27" s="42">
        <f>CCs!$A$2</f>
        <v/>
      </c>
      <c r="C27" s="43" t="inlineStr">
        <is>
          <t>$</t>
        </is>
      </c>
      <c r="D27" s="44" t="n"/>
      <c r="E27" s="45">
        <f>SUMIFS('2. EGRESOS'!$H:$H,'2. EGRESOS'!$B:$B,E$2,'2. EGRESOS'!$O:$O,$B27)</f>
        <v/>
      </c>
      <c r="F27" s="45">
        <f>SUMIFS('2. EGRESOS'!$H:$H,'2. EGRESOS'!$B:$B,F$2,'2. EGRESOS'!$O:$O,$B27)</f>
        <v/>
      </c>
      <c r="G27" s="45">
        <f>SUMIFS('2. EGRESOS'!$H:$H,'2. EGRESOS'!$B:$B,G$2,'2. EGRESOS'!$O:$O,$B27)</f>
        <v/>
      </c>
      <c r="H27" s="45">
        <f>SUMIFS('2. EGRESOS'!$H:$H,'2. EGRESOS'!$B:$B,H$2,'2. EGRESOS'!$O:$O,$B27)</f>
        <v/>
      </c>
      <c r="I27" s="45">
        <f>SUMIFS('2. EGRESOS'!$H:$H,'2. EGRESOS'!$B:$B,I$2,'2. EGRESOS'!$O:$O,$B27)</f>
        <v/>
      </c>
      <c r="J27" s="45">
        <f>SUMIFS('2. EGRESOS'!$H:$H,'2. EGRESOS'!$B:$B,J$2,'2. EGRESOS'!$O:$O,$B27)</f>
        <v/>
      </c>
      <c r="K27" s="45">
        <f>SUMIFS('2. EGRESOS'!$H:$H,'2. EGRESOS'!$B:$B,K$2,'2. EGRESOS'!$O:$O,$B27)</f>
        <v/>
      </c>
      <c r="L27" s="45">
        <f>SUMIFS('2. EGRESOS'!$H:$H,'2. EGRESOS'!$B:$B,L$2,'2. EGRESOS'!$O:$O,$B27)</f>
        <v/>
      </c>
      <c r="M27" s="45">
        <f>SUMIFS('2. EGRESOS'!$H:$H,'2. EGRESOS'!$B:$B,M$2,'2. EGRESOS'!$O:$O,$B27)</f>
        <v/>
      </c>
      <c r="N27" s="45">
        <f>SUMIFS('2. EGRESOS'!$H:$H,'2. EGRESOS'!$B:$B,N$2,'2. EGRESOS'!$O:$O,$B27)</f>
        <v/>
      </c>
      <c r="O27" s="45">
        <f>SUMIFS('2. EGRESOS'!$H:$H,'2. EGRESOS'!$B:$B,O$2,'2. EGRESOS'!$O:$O,$B27)</f>
        <v/>
      </c>
      <c r="P27" s="45">
        <f>SUMIFS('2. EGRESOS'!$H:$H,'2. EGRESOS'!$B:$B,P$2,'2. EGRESOS'!$O:$O,$B27)</f>
        <v/>
      </c>
      <c r="Q27" s="45">
        <f>SUMIFS('2. EGRESOS'!$H:$H,'2. EGRESOS'!$B:$B,Q$2,'2. EGRESOS'!$O:$O,$B27)</f>
        <v/>
      </c>
      <c r="R27" s="45">
        <f>SUMIFS('2. EGRESOS'!$H:$H,'2. EGRESOS'!$B:$B,R$2,'2. EGRESOS'!$O:$O,$B27)</f>
        <v/>
      </c>
      <c r="S27" s="45">
        <f>SUMIFS('2. EGRESOS'!$H:$H,'2. EGRESOS'!$B:$B,S$2,'2. EGRESOS'!$O:$O,$B27)</f>
        <v/>
      </c>
      <c r="T27" s="45">
        <f>SUMIFS('2. EGRESOS'!$H:$H,'2. EGRESOS'!$B:$B,T$2,'2. EGRESOS'!$O:$O,$B27)</f>
        <v/>
      </c>
      <c r="U27" s="45">
        <f>SUMIFS('2. EGRESOS'!$H:$H,'2. EGRESOS'!$B:$B,U$2,'2. EGRESOS'!$O:$O,$B27)</f>
        <v/>
      </c>
      <c r="V27" s="45">
        <f>SUMIFS('2. EGRESOS'!$H:$H,'2. EGRESOS'!$B:$B,V$2,'2. EGRESOS'!$O:$O,$B27)</f>
        <v/>
      </c>
      <c r="W27" s="45">
        <f>SUMIFS('2. EGRESOS'!$H:$H,'2. EGRESOS'!$B:$B,W$2,'2. EGRESOS'!$O:$O,$B27)</f>
        <v/>
      </c>
      <c r="X27" s="45">
        <f>SUMIFS('2. EGRESOS'!$H:$H,'2. EGRESOS'!$B:$B,X$2,'2. EGRESOS'!$O:$O,$B27)</f>
        <v/>
      </c>
      <c r="Y27" s="45">
        <f>SUMIFS('2. EGRESOS'!$H:$H,'2. EGRESOS'!$B:$B,Y$2,'2. EGRESOS'!$O:$O,$B27)</f>
        <v/>
      </c>
      <c r="Z27" s="45">
        <f>SUMIFS('2. EGRESOS'!$H:$H,'2. EGRESOS'!$B:$B,Z$2,'2. EGRESOS'!$O:$O,$B27)</f>
        <v/>
      </c>
      <c r="AA27" s="45">
        <f>SUMIFS('2. EGRESOS'!$H:$H,'2. EGRESOS'!$B:$B,AA$2,'2. EGRESOS'!$O:$O,$B27)</f>
        <v/>
      </c>
      <c r="AB27" s="45">
        <f>SUMIFS('2. EGRESOS'!$H:$H,'2. EGRESOS'!$B:$B,AB$2,'2. EGRESOS'!$O:$O,$B27)</f>
        <v/>
      </c>
      <c r="AC27" s="46">
        <f>IFERROR(AVERAGE(E27:U27),"")</f>
        <v/>
      </c>
    </row>
    <row r="28" ht="18" customHeight="1" s="65">
      <c r="A28" s="47" t="inlineStr">
        <is>
          <t xml:space="preserve">  CC2 Sueldos y RRHH</t>
        </is>
      </c>
      <c r="B28" s="48">
        <f>CCs!$A$3</f>
        <v/>
      </c>
      <c r="C28" s="49" t="inlineStr">
        <is>
          <t>$</t>
        </is>
      </c>
      <c r="D28" s="50" t="n"/>
      <c r="E28" s="51">
        <f>SUMIFS('2. EGRESOS'!$H:$H,'2. EGRESOS'!$B:$B,E$2,'2. EGRESOS'!$O:$O,$B28)</f>
        <v/>
      </c>
      <c r="F28" s="51">
        <f>SUMIFS('2. EGRESOS'!$H:$H,'2. EGRESOS'!$B:$B,F$2,'2. EGRESOS'!$O:$O,$B28)</f>
        <v/>
      </c>
      <c r="G28" s="51">
        <f>SUMIFS('2. EGRESOS'!$H:$H,'2. EGRESOS'!$B:$B,G$2,'2. EGRESOS'!$O:$O,$B28)</f>
        <v/>
      </c>
      <c r="H28" s="51">
        <f>SUMIFS('2. EGRESOS'!$H:$H,'2. EGRESOS'!$B:$B,H$2,'2. EGRESOS'!$O:$O,$B28)</f>
        <v/>
      </c>
      <c r="I28" s="51">
        <f>SUMIFS('2. EGRESOS'!$H:$H,'2. EGRESOS'!$B:$B,I$2,'2. EGRESOS'!$O:$O,$B28)</f>
        <v/>
      </c>
      <c r="J28" s="51">
        <f>SUMIFS('2. EGRESOS'!$H:$H,'2. EGRESOS'!$B:$B,J$2,'2. EGRESOS'!$O:$O,$B28)</f>
        <v/>
      </c>
      <c r="K28" s="51">
        <f>SUMIFS('2. EGRESOS'!$H:$H,'2. EGRESOS'!$B:$B,K$2,'2. EGRESOS'!$O:$O,$B28)</f>
        <v/>
      </c>
      <c r="L28" s="51">
        <f>SUMIFS('2. EGRESOS'!$H:$H,'2. EGRESOS'!$B:$B,L$2,'2. EGRESOS'!$O:$O,$B28)</f>
        <v/>
      </c>
      <c r="M28" s="51">
        <f>SUMIFS('2. EGRESOS'!$H:$H,'2. EGRESOS'!$B:$B,M$2,'2. EGRESOS'!$O:$O,$B28)</f>
        <v/>
      </c>
      <c r="N28" s="51">
        <f>SUMIFS('2. EGRESOS'!$H:$H,'2. EGRESOS'!$B:$B,N$2,'2. EGRESOS'!$O:$O,$B28)</f>
        <v/>
      </c>
      <c r="O28" s="51">
        <f>SUMIFS('2. EGRESOS'!$H:$H,'2. EGRESOS'!$B:$B,O$2,'2. EGRESOS'!$O:$O,$B28)</f>
        <v/>
      </c>
      <c r="P28" s="51">
        <f>SUMIFS('2. EGRESOS'!$H:$H,'2. EGRESOS'!$B:$B,P$2,'2. EGRESOS'!$O:$O,$B28)</f>
        <v/>
      </c>
      <c r="Q28" s="51">
        <f>SUMIFS('2. EGRESOS'!$H:$H,'2. EGRESOS'!$B:$B,Q$2,'2. EGRESOS'!$O:$O,$B28)</f>
        <v/>
      </c>
      <c r="R28" s="51">
        <f>SUMIFS('2. EGRESOS'!$H:$H,'2. EGRESOS'!$B:$B,R$2,'2. EGRESOS'!$O:$O,$B28)</f>
        <v/>
      </c>
      <c r="S28" s="51">
        <f>SUMIFS('2. EGRESOS'!$H:$H,'2. EGRESOS'!$B:$B,S$2,'2. EGRESOS'!$O:$O,$B28)</f>
        <v/>
      </c>
      <c r="T28" s="51">
        <f>SUMIFS('2. EGRESOS'!$H:$H,'2. EGRESOS'!$B:$B,T$2,'2. EGRESOS'!$O:$O,$B28)</f>
        <v/>
      </c>
      <c r="U28" s="51">
        <f>SUMIFS('2. EGRESOS'!$H:$H,'2. EGRESOS'!$B:$B,U$2,'2. EGRESOS'!$O:$O,$B28)</f>
        <v/>
      </c>
      <c r="V28" s="51">
        <f>SUMIFS('2. EGRESOS'!$H:$H,'2. EGRESOS'!$B:$B,V$2,'2. EGRESOS'!$O:$O,$B28)</f>
        <v/>
      </c>
      <c r="W28" s="51">
        <f>SUMIFS('2. EGRESOS'!$H:$H,'2. EGRESOS'!$B:$B,W$2,'2. EGRESOS'!$O:$O,$B28)</f>
        <v/>
      </c>
      <c r="X28" s="51">
        <f>SUMIFS('2. EGRESOS'!$H:$H,'2. EGRESOS'!$B:$B,X$2,'2. EGRESOS'!$O:$O,$B28)</f>
        <v/>
      </c>
      <c r="Y28" s="51">
        <f>SUMIFS('2. EGRESOS'!$H:$H,'2. EGRESOS'!$B:$B,Y$2,'2. EGRESOS'!$O:$O,$B28)</f>
        <v/>
      </c>
      <c r="Z28" s="51">
        <f>SUMIFS('2. EGRESOS'!$H:$H,'2. EGRESOS'!$B:$B,Z$2,'2. EGRESOS'!$O:$O,$B28)</f>
        <v/>
      </c>
      <c r="AA28" s="51">
        <f>SUMIFS('2. EGRESOS'!$H:$H,'2. EGRESOS'!$B:$B,AA$2,'2. EGRESOS'!$O:$O,$B28)</f>
        <v/>
      </c>
      <c r="AB28" s="51">
        <f>SUMIFS('2. EGRESOS'!$H:$H,'2. EGRESOS'!$B:$B,AB$2,'2. EGRESOS'!$O:$O,$B28)</f>
        <v/>
      </c>
      <c r="AC28" s="46">
        <f>IFERROR(AVERAGE(E28:U28),"")</f>
        <v/>
      </c>
    </row>
    <row r="29" ht="18" customHeight="1" s="65">
      <c r="A29" s="52" t="inlineStr">
        <is>
          <t xml:space="preserve">  CC3 Infraestructura</t>
        </is>
      </c>
      <c r="B29" s="42">
        <f>CCs!$A$4</f>
        <v/>
      </c>
      <c r="C29" s="43" t="inlineStr">
        <is>
          <t>$</t>
        </is>
      </c>
      <c r="D29" s="44" t="n"/>
      <c r="E29" s="45">
        <f>SUMIFS('2. EGRESOS'!$H:$H,'2. EGRESOS'!$B:$B,E$2,'2. EGRESOS'!$O:$O,$B29)</f>
        <v/>
      </c>
      <c r="F29" s="45">
        <f>SUMIFS('2. EGRESOS'!$H:$H,'2. EGRESOS'!$B:$B,F$2,'2. EGRESOS'!$O:$O,$B29)</f>
        <v/>
      </c>
      <c r="G29" s="45">
        <f>SUMIFS('2. EGRESOS'!$H:$H,'2. EGRESOS'!$B:$B,G$2,'2. EGRESOS'!$O:$O,$B29)</f>
        <v/>
      </c>
      <c r="H29" s="45">
        <f>SUMIFS('2. EGRESOS'!$H:$H,'2. EGRESOS'!$B:$B,H$2,'2. EGRESOS'!$O:$O,$B29)</f>
        <v/>
      </c>
      <c r="I29" s="45">
        <f>SUMIFS('2. EGRESOS'!$H:$H,'2. EGRESOS'!$B:$B,I$2,'2. EGRESOS'!$O:$O,$B29)</f>
        <v/>
      </c>
      <c r="J29" s="45">
        <f>SUMIFS('2. EGRESOS'!$H:$H,'2. EGRESOS'!$B:$B,J$2,'2. EGRESOS'!$O:$O,$B29)</f>
        <v/>
      </c>
      <c r="K29" s="45">
        <f>SUMIFS('2. EGRESOS'!$H:$H,'2. EGRESOS'!$B:$B,K$2,'2. EGRESOS'!$O:$O,$B29)</f>
        <v/>
      </c>
      <c r="L29" s="45">
        <f>SUMIFS('2. EGRESOS'!$H:$H,'2. EGRESOS'!$B:$B,L$2,'2. EGRESOS'!$O:$O,$B29)</f>
        <v/>
      </c>
      <c r="M29" s="45">
        <f>SUMIFS('2. EGRESOS'!$H:$H,'2. EGRESOS'!$B:$B,M$2,'2. EGRESOS'!$O:$O,$B29)</f>
        <v/>
      </c>
      <c r="N29" s="45">
        <f>SUMIFS('2. EGRESOS'!$H:$H,'2. EGRESOS'!$B:$B,N$2,'2. EGRESOS'!$O:$O,$B29)</f>
        <v/>
      </c>
      <c r="O29" s="45">
        <f>SUMIFS('2. EGRESOS'!$H:$H,'2. EGRESOS'!$B:$B,O$2,'2. EGRESOS'!$O:$O,$B29)</f>
        <v/>
      </c>
      <c r="P29" s="45">
        <f>SUMIFS('2. EGRESOS'!$H:$H,'2. EGRESOS'!$B:$B,P$2,'2. EGRESOS'!$O:$O,$B29)</f>
        <v/>
      </c>
      <c r="Q29" s="45">
        <f>SUMIFS('2. EGRESOS'!$H:$H,'2. EGRESOS'!$B:$B,Q$2,'2. EGRESOS'!$O:$O,$B29)</f>
        <v/>
      </c>
      <c r="R29" s="45">
        <f>SUMIFS('2. EGRESOS'!$H:$H,'2. EGRESOS'!$B:$B,R$2,'2. EGRESOS'!$O:$O,$B29)</f>
        <v/>
      </c>
      <c r="S29" s="45">
        <f>SUMIFS('2. EGRESOS'!$H:$H,'2. EGRESOS'!$B:$B,S$2,'2. EGRESOS'!$O:$O,$B29)</f>
        <v/>
      </c>
      <c r="T29" s="45">
        <f>SUMIFS('2. EGRESOS'!$H:$H,'2. EGRESOS'!$B:$B,T$2,'2. EGRESOS'!$O:$O,$B29)</f>
        <v/>
      </c>
      <c r="U29" s="45">
        <f>SUMIFS('2. EGRESOS'!$H:$H,'2. EGRESOS'!$B:$B,U$2,'2. EGRESOS'!$O:$O,$B29)</f>
        <v/>
      </c>
      <c r="V29" s="45">
        <f>SUMIFS('2. EGRESOS'!$H:$H,'2. EGRESOS'!$B:$B,V$2,'2. EGRESOS'!$O:$O,$B29)</f>
        <v/>
      </c>
      <c r="W29" s="45">
        <f>SUMIFS('2. EGRESOS'!$H:$H,'2. EGRESOS'!$B:$B,W$2,'2. EGRESOS'!$O:$O,$B29)</f>
        <v/>
      </c>
      <c r="X29" s="45">
        <f>SUMIFS('2. EGRESOS'!$H:$H,'2. EGRESOS'!$B:$B,X$2,'2. EGRESOS'!$O:$O,$B29)</f>
        <v/>
      </c>
      <c r="Y29" s="45">
        <f>SUMIFS('2. EGRESOS'!$H:$H,'2. EGRESOS'!$B:$B,Y$2,'2. EGRESOS'!$O:$O,$B29)</f>
        <v/>
      </c>
      <c r="Z29" s="45">
        <f>SUMIFS('2. EGRESOS'!$H:$H,'2. EGRESOS'!$B:$B,Z$2,'2. EGRESOS'!$O:$O,$B29)</f>
        <v/>
      </c>
      <c r="AA29" s="45">
        <f>SUMIFS('2. EGRESOS'!$H:$H,'2. EGRESOS'!$B:$B,AA$2,'2. EGRESOS'!$O:$O,$B29)</f>
        <v/>
      </c>
      <c r="AB29" s="45">
        <f>SUMIFS('2. EGRESOS'!$H:$H,'2. EGRESOS'!$B:$B,AB$2,'2. EGRESOS'!$O:$O,$B29)</f>
        <v/>
      </c>
      <c r="AC29" s="46">
        <f>IFERROR(AVERAGE(E29:U29),"")</f>
        <v/>
      </c>
    </row>
    <row r="30" ht="18" customHeight="1" s="65">
      <c r="A30" s="47" t="inlineStr">
        <is>
          <t xml:space="preserve">  CC4 SaaS</t>
        </is>
      </c>
      <c r="B30" s="48">
        <f>CCs!$A$6</f>
        <v/>
      </c>
      <c r="C30" s="49" t="inlineStr">
        <is>
          <t>$</t>
        </is>
      </c>
      <c r="D30" s="50" t="n"/>
      <c r="E30" s="51">
        <f>SUMIFS('2. EGRESOS'!$H:$H,'2. EGRESOS'!$B:$B,E$2,'2. EGRESOS'!$O:$O,$B30)</f>
        <v/>
      </c>
      <c r="F30" s="51">
        <f>SUMIFS('2. EGRESOS'!$H:$H,'2. EGRESOS'!$B:$B,F$2,'2. EGRESOS'!$O:$O,$B30)</f>
        <v/>
      </c>
      <c r="G30" s="51">
        <f>SUMIFS('2. EGRESOS'!$H:$H,'2. EGRESOS'!$B:$B,G$2,'2. EGRESOS'!$O:$O,$B30)</f>
        <v/>
      </c>
      <c r="H30" s="51">
        <f>SUMIFS('2. EGRESOS'!$H:$H,'2. EGRESOS'!$B:$B,H$2,'2. EGRESOS'!$O:$O,$B30)</f>
        <v/>
      </c>
      <c r="I30" s="51">
        <f>SUMIFS('2. EGRESOS'!$H:$H,'2. EGRESOS'!$B:$B,I$2,'2. EGRESOS'!$O:$O,$B30)</f>
        <v/>
      </c>
      <c r="J30" s="51">
        <f>SUMIFS('2. EGRESOS'!$H:$H,'2. EGRESOS'!$B:$B,J$2,'2. EGRESOS'!$O:$O,$B30)</f>
        <v/>
      </c>
      <c r="K30" s="51">
        <f>SUMIFS('2. EGRESOS'!$H:$H,'2. EGRESOS'!$B:$B,K$2,'2. EGRESOS'!$O:$O,$B30)</f>
        <v/>
      </c>
      <c r="L30" s="51">
        <f>SUMIFS('2. EGRESOS'!$H:$H,'2. EGRESOS'!$B:$B,L$2,'2. EGRESOS'!$O:$O,$B30)</f>
        <v/>
      </c>
      <c r="M30" s="51">
        <f>SUMIFS('2. EGRESOS'!$H:$H,'2. EGRESOS'!$B:$B,M$2,'2. EGRESOS'!$O:$O,$B30)</f>
        <v/>
      </c>
      <c r="N30" s="51">
        <f>SUMIFS('2. EGRESOS'!$H:$H,'2. EGRESOS'!$B:$B,N$2,'2. EGRESOS'!$O:$O,$B30)</f>
        <v/>
      </c>
      <c r="O30" s="51">
        <f>SUMIFS('2. EGRESOS'!$H:$H,'2. EGRESOS'!$B:$B,O$2,'2. EGRESOS'!$O:$O,$B30)</f>
        <v/>
      </c>
      <c r="P30" s="51">
        <f>SUMIFS('2. EGRESOS'!$H:$H,'2. EGRESOS'!$B:$B,P$2,'2. EGRESOS'!$O:$O,$B30)</f>
        <v/>
      </c>
      <c r="Q30" s="51">
        <f>SUMIFS('2. EGRESOS'!$H:$H,'2. EGRESOS'!$B:$B,Q$2,'2. EGRESOS'!$O:$O,$B30)</f>
        <v/>
      </c>
      <c r="R30" s="51">
        <f>SUMIFS('2. EGRESOS'!$H:$H,'2. EGRESOS'!$B:$B,R$2,'2. EGRESOS'!$O:$O,$B30)</f>
        <v/>
      </c>
      <c r="S30" s="51">
        <f>SUMIFS('2. EGRESOS'!$H:$H,'2. EGRESOS'!$B:$B,S$2,'2. EGRESOS'!$O:$O,$B30)</f>
        <v/>
      </c>
      <c r="T30" s="51">
        <f>SUMIFS('2. EGRESOS'!$H:$H,'2. EGRESOS'!$B:$B,T$2,'2. EGRESOS'!$O:$O,$B30)</f>
        <v/>
      </c>
      <c r="U30" s="51">
        <f>SUMIFS('2. EGRESOS'!$H:$H,'2. EGRESOS'!$B:$B,U$2,'2. EGRESOS'!$O:$O,$B30)</f>
        <v/>
      </c>
      <c r="V30" s="51">
        <f>SUMIFS('2. EGRESOS'!$H:$H,'2. EGRESOS'!$B:$B,V$2,'2. EGRESOS'!$O:$O,$B30)</f>
        <v/>
      </c>
      <c r="W30" s="51">
        <f>SUMIFS('2. EGRESOS'!$H:$H,'2. EGRESOS'!$B:$B,W$2,'2. EGRESOS'!$O:$O,$B30)</f>
        <v/>
      </c>
      <c r="X30" s="51">
        <f>SUMIFS('2. EGRESOS'!$H:$H,'2. EGRESOS'!$B:$B,X$2,'2. EGRESOS'!$O:$O,$B30)</f>
        <v/>
      </c>
      <c r="Y30" s="51">
        <f>SUMIFS('2. EGRESOS'!$H:$H,'2. EGRESOS'!$B:$B,Y$2,'2. EGRESOS'!$O:$O,$B30)</f>
        <v/>
      </c>
      <c r="Z30" s="51">
        <f>SUMIFS('2. EGRESOS'!$H:$H,'2. EGRESOS'!$B:$B,Z$2,'2. EGRESOS'!$O:$O,$B30)</f>
        <v/>
      </c>
      <c r="AA30" s="51">
        <f>SUMIFS('2. EGRESOS'!$H:$H,'2. EGRESOS'!$B:$B,AA$2,'2. EGRESOS'!$O:$O,$B30)</f>
        <v/>
      </c>
      <c r="AB30" s="51">
        <f>SUMIFS('2. EGRESOS'!$H:$H,'2. EGRESOS'!$B:$B,AB$2,'2. EGRESOS'!$O:$O,$B30)</f>
        <v/>
      </c>
      <c r="AC30" s="46">
        <f>IFERROR(AVERAGE(E30:U30),"")</f>
        <v/>
      </c>
    </row>
    <row r="31" ht="18" customHeight="1" s="65">
      <c r="A31" s="52" t="inlineStr">
        <is>
          <t xml:space="preserve">  CC5 Marketing</t>
        </is>
      </c>
      <c r="B31" s="42">
        <f>CCs!$A$7</f>
        <v/>
      </c>
      <c r="C31" s="43" t="inlineStr">
        <is>
          <t>$</t>
        </is>
      </c>
      <c r="D31" s="44" t="n"/>
      <c r="E31" s="45">
        <f>SUMIFS('2. EGRESOS'!$H:$H,'2. EGRESOS'!$B:$B,E$2,'2. EGRESOS'!$O:$O,$B31)</f>
        <v/>
      </c>
      <c r="F31" s="45">
        <f>SUMIFS('2. EGRESOS'!$H:$H,'2. EGRESOS'!$B:$B,F$2,'2. EGRESOS'!$O:$O,$B31)</f>
        <v/>
      </c>
      <c r="G31" s="45">
        <f>SUMIFS('2. EGRESOS'!$H:$H,'2. EGRESOS'!$B:$B,G$2,'2. EGRESOS'!$O:$O,$B31)</f>
        <v/>
      </c>
      <c r="H31" s="45">
        <f>SUMIFS('2. EGRESOS'!$H:$H,'2. EGRESOS'!$B:$B,H$2,'2. EGRESOS'!$O:$O,$B31)</f>
        <v/>
      </c>
      <c r="I31" s="45">
        <f>SUMIFS('2. EGRESOS'!$H:$H,'2. EGRESOS'!$B:$B,I$2,'2. EGRESOS'!$O:$O,$B31)</f>
        <v/>
      </c>
      <c r="J31" s="45">
        <f>SUMIFS('2. EGRESOS'!$H:$H,'2. EGRESOS'!$B:$B,J$2,'2. EGRESOS'!$O:$O,$B31)</f>
        <v/>
      </c>
      <c r="K31" s="45">
        <f>SUMIFS('2. EGRESOS'!$H:$H,'2. EGRESOS'!$B:$B,K$2,'2. EGRESOS'!$O:$O,$B31)</f>
        <v/>
      </c>
      <c r="L31" s="45">
        <f>SUMIFS('2. EGRESOS'!$H:$H,'2. EGRESOS'!$B:$B,L$2,'2. EGRESOS'!$O:$O,$B31)</f>
        <v/>
      </c>
      <c r="M31" s="45">
        <f>SUMIFS('2. EGRESOS'!$H:$H,'2. EGRESOS'!$B:$B,M$2,'2. EGRESOS'!$O:$O,$B31)</f>
        <v/>
      </c>
      <c r="N31" s="45">
        <f>SUMIFS('2. EGRESOS'!$H:$H,'2. EGRESOS'!$B:$B,N$2,'2. EGRESOS'!$O:$O,$B31)</f>
        <v/>
      </c>
      <c r="O31" s="45">
        <f>SUMIFS('2. EGRESOS'!$H:$H,'2. EGRESOS'!$B:$B,O$2,'2. EGRESOS'!$O:$O,$B31)</f>
        <v/>
      </c>
      <c r="P31" s="45">
        <f>SUMIFS('2. EGRESOS'!$H:$H,'2. EGRESOS'!$B:$B,P$2,'2. EGRESOS'!$O:$O,$B31)</f>
        <v/>
      </c>
      <c r="Q31" s="45">
        <f>SUMIFS('2. EGRESOS'!$H:$H,'2. EGRESOS'!$B:$B,Q$2,'2. EGRESOS'!$O:$O,$B31)</f>
        <v/>
      </c>
      <c r="R31" s="45">
        <f>SUMIFS('2. EGRESOS'!$H:$H,'2. EGRESOS'!$B:$B,R$2,'2. EGRESOS'!$O:$O,$B31)</f>
        <v/>
      </c>
      <c r="S31" s="45">
        <f>SUMIFS('2. EGRESOS'!$H:$H,'2. EGRESOS'!$B:$B,S$2,'2. EGRESOS'!$O:$O,$B31)</f>
        <v/>
      </c>
      <c r="T31" s="45">
        <f>SUMIFS('2. EGRESOS'!$H:$H,'2. EGRESOS'!$B:$B,T$2,'2. EGRESOS'!$O:$O,$B31)</f>
        <v/>
      </c>
      <c r="U31" s="45">
        <f>SUMIFS('2. EGRESOS'!$H:$H,'2. EGRESOS'!$B:$B,U$2,'2. EGRESOS'!$O:$O,$B31)</f>
        <v/>
      </c>
      <c r="V31" s="45">
        <f>SUMIFS('2. EGRESOS'!$H:$H,'2. EGRESOS'!$B:$B,V$2,'2. EGRESOS'!$O:$O,$B31)</f>
        <v/>
      </c>
      <c r="W31" s="45">
        <f>SUMIFS('2. EGRESOS'!$H:$H,'2. EGRESOS'!$B:$B,W$2,'2. EGRESOS'!$O:$O,$B31)</f>
        <v/>
      </c>
      <c r="X31" s="45">
        <f>SUMIFS('2. EGRESOS'!$H:$H,'2. EGRESOS'!$B:$B,X$2,'2. EGRESOS'!$O:$O,$B31)</f>
        <v/>
      </c>
      <c r="Y31" s="45">
        <f>SUMIFS('2. EGRESOS'!$H:$H,'2. EGRESOS'!$B:$B,Y$2,'2. EGRESOS'!$O:$O,$B31)</f>
        <v/>
      </c>
      <c r="Z31" s="45">
        <f>SUMIFS('2. EGRESOS'!$H:$H,'2. EGRESOS'!$B:$B,Z$2,'2. EGRESOS'!$O:$O,$B31)</f>
        <v/>
      </c>
      <c r="AA31" s="45">
        <f>SUMIFS('2. EGRESOS'!$H:$H,'2. EGRESOS'!$B:$B,AA$2,'2. EGRESOS'!$O:$O,$B31)</f>
        <v/>
      </c>
      <c r="AB31" s="45">
        <f>SUMIFS('2. EGRESOS'!$H:$H,'2. EGRESOS'!$B:$B,AB$2,'2. EGRESOS'!$O:$O,$B31)</f>
        <v/>
      </c>
      <c r="AC31" s="46">
        <f>IFERROR(AVERAGE(E31:U31),"")</f>
        <v/>
      </c>
    </row>
    <row r="32" ht="18" customHeight="1" s="65">
      <c r="A32" s="47" t="inlineStr">
        <is>
          <t xml:space="preserve">  CC6 Logistica</t>
        </is>
      </c>
      <c r="B32" s="48">
        <f>CCs!$A$8</f>
        <v/>
      </c>
      <c r="C32" s="49" t="inlineStr">
        <is>
          <t>$</t>
        </is>
      </c>
      <c r="D32" s="50" t="n"/>
      <c r="E32" s="51">
        <f>SUMIFS('2. EGRESOS'!$H:$H,'2. EGRESOS'!$B:$B,E$2,'2. EGRESOS'!$O:$O,$B32)</f>
        <v/>
      </c>
      <c r="F32" s="51">
        <f>SUMIFS('2. EGRESOS'!$H:$H,'2. EGRESOS'!$B:$B,F$2,'2. EGRESOS'!$O:$O,$B32)</f>
        <v/>
      </c>
      <c r="G32" s="51">
        <f>SUMIFS('2. EGRESOS'!$H:$H,'2. EGRESOS'!$B:$B,G$2,'2. EGRESOS'!$O:$O,$B32)</f>
        <v/>
      </c>
      <c r="H32" s="51">
        <f>SUMIFS('2. EGRESOS'!$H:$H,'2. EGRESOS'!$B:$B,H$2,'2. EGRESOS'!$O:$O,$B32)</f>
        <v/>
      </c>
      <c r="I32" s="51">
        <f>SUMIFS('2. EGRESOS'!$H:$H,'2. EGRESOS'!$B:$B,I$2,'2. EGRESOS'!$O:$O,$B32)</f>
        <v/>
      </c>
      <c r="J32" s="51">
        <f>SUMIFS('2. EGRESOS'!$H:$H,'2. EGRESOS'!$B:$B,J$2,'2. EGRESOS'!$O:$O,$B32)</f>
        <v/>
      </c>
      <c r="K32" s="51">
        <f>SUMIFS('2. EGRESOS'!$H:$H,'2. EGRESOS'!$B:$B,K$2,'2. EGRESOS'!$O:$O,$B32)</f>
        <v/>
      </c>
      <c r="L32" s="51">
        <f>SUMIFS('2. EGRESOS'!$H:$H,'2. EGRESOS'!$B:$B,L$2,'2. EGRESOS'!$O:$O,$B32)</f>
        <v/>
      </c>
      <c r="M32" s="51">
        <f>SUMIFS('2. EGRESOS'!$H:$H,'2. EGRESOS'!$B:$B,M$2,'2. EGRESOS'!$O:$O,$B32)</f>
        <v/>
      </c>
      <c r="N32" s="51">
        <f>SUMIFS('2. EGRESOS'!$H:$H,'2. EGRESOS'!$B:$B,N$2,'2. EGRESOS'!$O:$O,$B32)</f>
        <v/>
      </c>
      <c r="O32" s="51">
        <f>SUMIFS('2. EGRESOS'!$H:$H,'2. EGRESOS'!$B:$B,O$2,'2. EGRESOS'!$O:$O,$B32)</f>
        <v/>
      </c>
      <c r="P32" s="51">
        <f>SUMIFS('2. EGRESOS'!$H:$H,'2. EGRESOS'!$B:$B,P$2,'2. EGRESOS'!$O:$O,$B32)</f>
        <v/>
      </c>
      <c r="Q32" s="51">
        <f>SUMIFS('2. EGRESOS'!$H:$H,'2. EGRESOS'!$B:$B,Q$2,'2. EGRESOS'!$O:$O,$B32)</f>
        <v/>
      </c>
      <c r="R32" s="51">
        <f>SUMIFS('2. EGRESOS'!$H:$H,'2. EGRESOS'!$B:$B,R$2,'2. EGRESOS'!$O:$O,$B32)</f>
        <v/>
      </c>
      <c r="S32" s="51">
        <f>SUMIFS('2. EGRESOS'!$H:$H,'2. EGRESOS'!$B:$B,S$2,'2. EGRESOS'!$O:$O,$B32)</f>
        <v/>
      </c>
      <c r="T32" s="51">
        <f>SUMIFS('2. EGRESOS'!$H:$H,'2. EGRESOS'!$B:$B,T$2,'2. EGRESOS'!$O:$O,$B32)</f>
        <v/>
      </c>
      <c r="U32" s="51">
        <f>SUMIFS('2. EGRESOS'!$H:$H,'2. EGRESOS'!$B:$B,U$2,'2. EGRESOS'!$O:$O,$B32)</f>
        <v/>
      </c>
      <c r="V32" s="51">
        <f>SUMIFS('2. EGRESOS'!$H:$H,'2. EGRESOS'!$B:$B,V$2,'2. EGRESOS'!$O:$O,$B32)</f>
        <v/>
      </c>
      <c r="W32" s="51">
        <f>SUMIFS('2. EGRESOS'!$H:$H,'2. EGRESOS'!$B:$B,W$2,'2. EGRESOS'!$O:$O,$B32)</f>
        <v/>
      </c>
      <c r="X32" s="51">
        <f>SUMIFS('2. EGRESOS'!$H:$H,'2. EGRESOS'!$B:$B,X$2,'2. EGRESOS'!$O:$O,$B32)</f>
        <v/>
      </c>
      <c r="Y32" s="51">
        <f>SUMIFS('2. EGRESOS'!$H:$H,'2. EGRESOS'!$B:$B,Y$2,'2. EGRESOS'!$O:$O,$B32)</f>
        <v/>
      </c>
      <c r="Z32" s="51">
        <f>SUMIFS('2. EGRESOS'!$H:$H,'2. EGRESOS'!$B:$B,Z$2,'2. EGRESOS'!$O:$O,$B32)</f>
        <v/>
      </c>
      <c r="AA32" s="51">
        <f>SUMIFS('2. EGRESOS'!$H:$H,'2. EGRESOS'!$B:$B,AA$2,'2. EGRESOS'!$O:$O,$B32)</f>
        <v/>
      </c>
      <c r="AB32" s="51">
        <f>SUMIFS('2. EGRESOS'!$H:$H,'2. EGRESOS'!$B:$B,AB$2,'2. EGRESOS'!$O:$O,$B32)</f>
        <v/>
      </c>
      <c r="AC32" s="46">
        <f>IFERROR(AVERAGE(E32:U32),"")</f>
        <v/>
      </c>
    </row>
    <row r="33" ht="18" customHeight="1" s="65">
      <c r="A33" s="52" t="inlineStr">
        <is>
          <t xml:space="preserve">  CC7 Comisiones</t>
        </is>
      </c>
      <c r="B33" s="42">
        <f>CCs!$A$9</f>
        <v/>
      </c>
      <c r="C33" s="43" t="inlineStr">
        <is>
          <t>$</t>
        </is>
      </c>
      <c r="D33" s="44" t="n"/>
      <c r="E33" s="45">
        <f>SUMIFS('2. EGRESOS'!$H:$H,'2. EGRESOS'!$B:$B,E$2,'2. EGRESOS'!$O:$O,$B33)</f>
        <v/>
      </c>
      <c r="F33" s="45">
        <f>SUMIFS('2. EGRESOS'!$H:$H,'2. EGRESOS'!$B:$B,F$2,'2. EGRESOS'!$O:$O,$B33)</f>
        <v/>
      </c>
      <c r="G33" s="45">
        <f>SUMIFS('2. EGRESOS'!$H:$H,'2. EGRESOS'!$B:$B,G$2,'2. EGRESOS'!$O:$O,$B33)</f>
        <v/>
      </c>
      <c r="H33" s="45">
        <f>SUMIFS('2. EGRESOS'!$H:$H,'2. EGRESOS'!$B:$B,H$2,'2. EGRESOS'!$O:$O,$B33)</f>
        <v/>
      </c>
      <c r="I33" s="45">
        <f>SUMIFS('2. EGRESOS'!$H:$H,'2. EGRESOS'!$B:$B,I$2,'2. EGRESOS'!$O:$O,$B33)</f>
        <v/>
      </c>
      <c r="J33" s="45">
        <f>SUMIFS('2. EGRESOS'!$H:$H,'2. EGRESOS'!$B:$B,J$2,'2. EGRESOS'!$O:$O,$B33)</f>
        <v/>
      </c>
      <c r="K33" s="45">
        <f>SUMIFS('2. EGRESOS'!$H:$H,'2. EGRESOS'!$B:$B,K$2,'2. EGRESOS'!$O:$O,$B33)</f>
        <v/>
      </c>
      <c r="L33" s="45">
        <f>SUMIFS('2. EGRESOS'!$H:$H,'2. EGRESOS'!$B:$B,L$2,'2. EGRESOS'!$O:$O,$B33)</f>
        <v/>
      </c>
      <c r="M33" s="45">
        <f>SUMIFS('2. EGRESOS'!$H:$H,'2. EGRESOS'!$B:$B,M$2,'2. EGRESOS'!$O:$O,$B33)</f>
        <v/>
      </c>
      <c r="N33" s="45">
        <f>SUMIFS('2. EGRESOS'!$H:$H,'2. EGRESOS'!$B:$B,N$2,'2. EGRESOS'!$O:$O,$B33)</f>
        <v/>
      </c>
      <c r="O33" s="45">
        <f>SUMIFS('2. EGRESOS'!$H:$H,'2. EGRESOS'!$B:$B,O$2,'2. EGRESOS'!$O:$O,$B33)</f>
        <v/>
      </c>
      <c r="P33" s="45">
        <f>SUMIFS('2. EGRESOS'!$H:$H,'2. EGRESOS'!$B:$B,P$2,'2. EGRESOS'!$O:$O,$B33)</f>
        <v/>
      </c>
      <c r="Q33" s="45">
        <f>SUMIFS('2. EGRESOS'!$H:$H,'2. EGRESOS'!$B:$B,Q$2,'2. EGRESOS'!$O:$O,$B33)</f>
        <v/>
      </c>
      <c r="R33" s="45">
        <f>SUMIFS('2. EGRESOS'!$H:$H,'2. EGRESOS'!$B:$B,R$2,'2. EGRESOS'!$O:$O,$B33)</f>
        <v/>
      </c>
      <c r="S33" s="45">
        <f>SUMIFS('2. EGRESOS'!$H:$H,'2. EGRESOS'!$B:$B,S$2,'2. EGRESOS'!$O:$O,$B33)</f>
        <v/>
      </c>
      <c r="T33" s="45">
        <f>SUMIFS('2. EGRESOS'!$H:$H,'2. EGRESOS'!$B:$B,T$2,'2. EGRESOS'!$O:$O,$B33)</f>
        <v/>
      </c>
      <c r="U33" s="45">
        <f>SUMIFS('2. EGRESOS'!$H:$H,'2. EGRESOS'!$B:$B,U$2,'2. EGRESOS'!$O:$O,$B33)</f>
        <v/>
      </c>
      <c r="V33" s="45">
        <f>SUMIFS('2. EGRESOS'!$H:$H,'2. EGRESOS'!$B:$B,V$2,'2. EGRESOS'!$O:$O,$B33)</f>
        <v/>
      </c>
      <c r="W33" s="45">
        <f>SUMIFS('2. EGRESOS'!$H:$H,'2. EGRESOS'!$B:$B,W$2,'2. EGRESOS'!$O:$O,$B33)</f>
        <v/>
      </c>
      <c r="X33" s="45">
        <f>SUMIFS('2. EGRESOS'!$H:$H,'2. EGRESOS'!$B:$B,X$2,'2. EGRESOS'!$O:$O,$B33)</f>
        <v/>
      </c>
      <c r="Y33" s="45">
        <f>SUMIFS('2. EGRESOS'!$H:$H,'2. EGRESOS'!$B:$B,Y$2,'2. EGRESOS'!$O:$O,$B33)</f>
        <v/>
      </c>
      <c r="Z33" s="45">
        <f>SUMIFS('2. EGRESOS'!$H:$H,'2. EGRESOS'!$B:$B,Z$2,'2. EGRESOS'!$O:$O,$B33)</f>
        <v/>
      </c>
      <c r="AA33" s="45">
        <f>SUMIFS('2. EGRESOS'!$H:$H,'2. EGRESOS'!$B:$B,AA$2,'2. EGRESOS'!$O:$O,$B33)</f>
        <v/>
      </c>
      <c r="AB33" s="45">
        <f>SUMIFS('2. EGRESOS'!$H:$H,'2. EGRESOS'!$B:$B,AB$2,'2. EGRESOS'!$O:$O,$B33)</f>
        <v/>
      </c>
      <c r="AC33" s="46">
        <f>IFERROR(AVERAGE(E33:U33),"")</f>
        <v/>
      </c>
    </row>
    <row r="34" ht="18" customHeight="1" s="65">
      <c r="A34" s="47" t="inlineStr">
        <is>
          <t xml:space="preserve">  CC8 Impuestos</t>
        </is>
      </c>
      <c r="B34" s="48">
        <f>CCs!$A$10</f>
        <v/>
      </c>
      <c r="C34" s="49" t="inlineStr">
        <is>
          <t>$</t>
        </is>
      </c>
      <c r="D34" s="50" t="n"/>
      <c r="E34" s="51">
        <f>SUMIFS('2. EGRESOS'!$H:$H,'2. EGRESOS'!$B:$B,E$2,'2. EGRESOS'!$O:$O,$B34)</f>
        <v/>
      </c>
      <c r="F34" s="51">
        <f>SUMIFS('2. EGRESOS'!$H:$H,'2. EGRESOS'!$B:$B,F$2,'2. EGRESOS'!$O:$O,$B34)</f>
        <v/>
      </c>
      <c r="G34" s="51">
        <f>SUMIFS('2. EGRESOS'!$H:$H,'2. EGRESOS'!$B:$B,G$2,'2. EGRESOS'!$O:$O,$B34)</f>
        <v/>
      </c>
      <c r="H34" s="51">
        <f>SUMIFS('2. EGRESOS'!$H:$H,'2. EGRESOS'!$B:$B,H$2,'2. EGRESOS'!$O:$O,$B34)</f>
        <v/>
      </c>
      <c r="I34" s="51">
        <f>SUMIFS('2. EGRESOS'!$H:$H,'2. EGRESOS'!$B:$B,I$2,'2. EGRESOS'!$O:$O,$B34)</f>
        <v/>
      </c>
      <c r="J34" s="51">
        <f>SUMIFS('2. EGRESOS'!$H:$H,'2. EGRESOS'!$B:$B,J$2,'2. EGRESOS'!$O:$O,$B34)</f>
        <v/>
      </c>
      <c r="K34" s="51">
        <f>SUMIFS('2. EGRESOS'!$H:$H,'2. EGRESOS'!$B:$B,K$2,'2. EGRESOS'!$O:$O,$B34)</f>
        <v/>
      </c>
      <c r="L34" s="51">
        <f>SUMIFS('2. EGRESOS'!$H:$H,'2. EGRESOS'!$B:$B,L$2,'2. EGRESOS'!$O:$O,$B34)</f>
        <v/>
      </c>
      <c r="M34" s="51">
        <f>SUMIFS('2. EGRESOS'!$H:$H,'2. EGRESOS'!$B:$B,M$2,'2. EGRESOS'!$O:$O,$B34)</f>
        <v/>
      </c>
      <c r="N34" s="51">
        <f>SUMIFS('2. EGRESOS'!$H:$H,'2. EGRESOS'!$B:$B,N$2,'2. EGRESOS'!$O:$O,$B34)</f>
        <v/>
      </c>
      <c r="O34" s="51">
        <f>SUMIFS('2. EGRESOS'!$H:$H,'2. EGRESOS'!$B:$B,O$2,'2. EGRESOS'!$O:$O,$B34)</f>
        <v/>
      </c>
      <c r="P34" s="51">
        <f>SUMIFS('2. EGRESOS'!$H:$H,'2. EGRESOS'!$B:$B,P$2,'2. EGRESOS'!$O:$O,$B34)</f>
        <v/>
      </c>
      <c r="Q34" s="51">
        <f>SUMIFS('2. EGRESOS'!$H:$H,'2. EGRESOS'!$B:$B,Q$2,'2. EGRESOS'!$O:$O,$B34)</f>
        <v/>
      </c>
      <c r="R34" s="51">
        <f>SUMIFS('2. EGRESOS'!$H:$H,'2. EGRESOS'!$B:$B,R$2,'2. EGRESOS'!$O:$O,$B34)</f>
        <v/>
      </c>
      <c r="S34" s="51">
        <f>SUMIFS('2. EGRESOS'!$H:$H,'2. EGRESOS'!$B:$B,S$2,'2. EGRESOS'!$O:$O,$B34)</f>
        <v/>
      </c>
      <c r="T34" s="51">
        <f>SUMIFS('2. EGRESOS'!$H:$H,'2. EGRESOS'!$B:$B,T$2,'2. EGRESOS'!$O:$O,$B34)</f>
        <v/>
      </c>
      <c r="U34" s="51">
        <f>SUMIFS('2. EGRESOS'!$H:$H,'2. EGRESOS'!$B:$B,U$2,'2. EGRESOS'!$O:$O,$B34)</f>
        <v/>
      </c>
      <c r="V34" s="51">
        <f>SUMIFS('2. EGRESOS'!$H:$H,'2. EGRESOS'!$B:$B,V$2,'2. EGRESOS'!$O:$O,$B34)</f>
        <v/>
      </c>
      <c r="W34" s="51">
        <f>SUMIFS('2. EGRESOS'!$H:$H,'2. EGRESOS'!$B:$B,W$2,'2. EGRESOS'!$O:$O,$B34)</f>
        <v/>
      </c>
      <c r="X34" s="51">
        <f>SUMIFS('2. EGRESOS'!$H:$H,'2. EGRESOS'!$B:$B,X$2,'2. EGRESOS'!$O:$O,$B34)</f>
        <v/>
      </c>
      <c r="Y34" s="51">
        <f>SUMIFS('2. EGRESOS'!$H:$H,'2. EGRESOS'!$B:$B,Y$2,'2. EGRESOS'!$O:$O,$B34)</f>
        <v/>
      </c>
      <c r="Z34" s="51">
        <f>SUMIFS('2. EGRESOS'!$H:$H,'2. EGRESOS'!$B:$B,Z$2,'2. EGRESOS'!$O:$O,$B34)</f>
        <v/>
      </c>
      <c r="AA34" s="51">
        <f>SUMIFS('2. EGRESOS'!$H:$H,'2. EGRESOS'!$B:$B,AA$2,'2. EGRESOS'!$O:$O,$B34)</f>
        <v/>
      </c>
      <c r="AB34" s="51">
        <f>SUMIFS('2. EGRESOS'!$H:$H,'2. EGRESOS'!$B:$B,AB$2,'2. EGRESOS'!$O:$O,$B34)</f>
        <v/>
      </c>
      <c r="AC34" s="46">
        <f>IFERROR(AVERAGE(E34:U34),"")</f>
        <v/>
      </c>
    </row>
    <row r="35" ht="19.95" customHeight="1" s="65">
      <c r="A35" s="39" t="inlineStr">
        <is>
          <t>% DE EGRESOS SOBRE VENTA NETA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</row>
    <row r="36" ht="18" customHeight="1" s="65">
      <c r="A36" s="47" t="inlineStr">
        <is>
          <t xml:space="preserve">  % CC1 / Venta</t>
        </is>
      </c>
      <c r="B36" s="48" t="n"/>
      <c r="C36" s="49" t="inlineStr">
        <is>
          <t>%</t>
        </is>
      </c>
      <c r="D36" s="50" t="inlineStr">
        <is>
          <t>&lt; 40%</t>
        </is>
      </c>
      <c r="E36" s="55">
        <f>IF(E$5=0,"",E27/E$5)</f>
        <v/>
      </c>
      <c r="F36" s="55">
        <f>IF(F$5=0,"",F27/F$5)</f>
        <v/>
      </c>
      <c r="G36" s="55">
        <f>IF(G$5=0,"",G27/G$5)</f>
        <v/>
      </c>
      <c r="H36" s="55">
        <f>IF(H$5=0,"",H27/H$5)</f>
        <v/>
      </c>
      <c r="I36" s="55">
        <f>IF(I$5=0,"",I27/I$5)</f>
        <v/>
      </c>
      <c r="J36" s="55">
        <f>IF(J$5=0,"",J27/J$5)</f>
        <v/>
      </c>
      <c r="K36" s="55">
        <f>IF(K$5=0,"",K27/K$5)</f>
        <v/>
      </c>
      <c r="L36" s="55">
        <f>IF(L$5=0,"",L27/L$5)</f>
        <v/>
      </c>
      <c r="M36" s="55">
        <f>IF(M$5=0,"",M27/M$5)</f>
        <v/>
      </c>
      <c r="N36" s="55">
        <f>IF(N$5=0,"",N27/N$5)</f>
        <v/>
      </c>
      <c r="O36" s="55">
        <f>IF(O$5=0,"",O27/O$5)</f>
        <v/>
      </c>
      <c r="P36" s="55">
        <f>IF(P$5=0,"",P27/P$5)</f>
        <v/>
      </c>
      <c r="Q36" s="55">
        <f>IF(Q$5=0,"",Q27/Q$5)</f>
        <v/>
      </c>
      <c r="R36" s="55">
        <f>IF(R$5=0,"",R27/R$5)</f>
        <v/>
      </c>
      <c r="S36" s="55">
        <f>IF(S$5=0,"",S27/S$5)</f>
        <v/>
      </c>
      <c r="T36" s="55">
        <f>IF(T$5=0,"",T27/T$5)</f>
        <v/>
      </c>
      <c r="U36" s="55">
        <f>IF(U$5=0,"",U27/U$5)</f>
        <v/>
      </c>
      <c r="V36" s="55">
        <f>IF(V$5=0,"",V27/V$5)</f>
        <v/>
      </c>
      <c r="W36" s="55">
        <f>IF(W$5=0,"",W27/W$5)</f>
        <v/>
      </c>
      <c r="X36" s="55">
        <f>IF(X$5=0,"",X27/X$5)</f>
        <v/>
      </c>
      <c r="Y36" s="55">
        <f>IF(Y$5=0,"",Y27/Y$5)</f>
        <v/>
      </c>
      <c r="Z36" s="55">
        <f>IF(Z$5=0,"",Z27/Z$5)</f>
        <v/>
      </c>
      <c r="AA36" s="55">
        <f>IF(AA$5=0,"",AA27/AA$5)</f>
        <v/>
      </c>
      <c r="AB36" s="55">
        <f>IF(AB$5=0,"",AB27/AB$5)</f>
        <v/>
      </c>
      <c r="AC36" s="54">
        <f>IFERROR(AVERAGE(E36:U36),"")</f>
        <v/>
      </c>
    </row>
    <row r="37" ht="18" customHeight="1" s="65">
      <c r="A37" s="52" t="inlineStr">
        <is>
          <t xml:space="preserve">  % CC2 / Venta</t>
        </is>
      </c>
      <c r="B37" s="42" t="n"/>
      <c r="C37" s="43" t="inlineStr">
        <is>
          <t>%</t>
        </is>
      </c>
      <c r="D37" s="44" t="inlineStr">
        <is>
          <t>&lt; 32%</t>
        </is>
      </c>
      <c r="E37" s="53">
        <f>IF(E$5=0,"",E28/E$5)</f>
        <v/>
      </c>
      <c r="F37" s="53">
        <f>IF(F$5=0,"",F28/F$5)</f>
        <v/>
      </c>
      <c r="G37" s="53">
        <f>IF(G$5=0,"",G28/G$5)</f>
        <v/>
      </c>
      <c r="H37" s="53">
        <f>IF(H$5=0,"",H28/H$5)</f>
        <v/>
      </c>
      <c r="I37" s="53">
        <f>IF(I$5=0,"",I28/I$5)</f>
        <v/>
      </c>
      <c r="J37" s="53">
        <f>IF(J$5=0,"",J28/J$5)</f>
        <v/>
      </c>
      <c r="K37" s="53">
        <f>IF(K$5=0,"",K28/K$5)</f>
        <v/>
      </c>
      <c r="L37" s="53">
        <f>IF(L$5=0,"",L28/L$5)</f>
        <v/>
      </c>
      <c r="M37" s="53">
        <f>IF(M$5=0,"",M28/M$5)</f>
        <v/>
      </c>
      <c r="N37" s="53">
        <f>IF(N$5=0,"",N28/N$5)</f>
        <v/>
      </c>
      <c r="O37" s="53">
        <f>IF(O$5=0,"",O28/O$5)</f>
        <v/>
      </c>
      <c r="P37" s="53">
        <f>IF(P$5=0,"",P28/P$5)</f>
        <v/>
      </c>
      <c r="Q37" s="53">
        <f>IF(Q$5=0,"",Q28/Q$5)</f>
        <v/>
      </c>
      <c r="R37" s="53">
        <f>IF(R$5=0,"",R28/R$5)</f>
        <v/>
      </c>
      <c r="S37" s="53">
        <f>IF(S$5=0,"",S28/S$5)</f>
        <v/>
      </c>
      <c r="T37" s="53">
        <f>IF(T$5=0,"",T28/T$5)</f>
        <v/>
      </c>
      <c r="U37" s="53">
        <f>IF(U$5=0,"",U28/U$5)</f>
        <v/>
      </c>
      <c r="V37" s="53">
        <f>IF(V$5=0,"",V28/V$5)</f>
        <v/>
      </c>
      <c r="W37" s="53">
        <f>IF(W$5=0,"",W28/W$5)</f>
        <v/>
      </c>
      <c r="X37" s="53">
        <f>IF(X$5=0,"",X28/X$5)</f>
        <v/>
      </c>
      <c r="Y37" s="53">
        <f>IF(Y$5=0,"",Y28/Y$5)</f>
        <v/>
      </c>
      <c r="Z37" s="53">
        <f>IF(Z$5=0,"",Z28/Z$5)</f>
        <v/>
      </c>
      <c r="AA37" s="53">
        <f>IF(AA$5=0,"",AA28/AA$5)</f>
        <v/>
      </c>
      <c r="AB37" s="53">
        <f>IF(AB$5=0,"",AB28/AB$5)</f>
        <v/>
      </c>
      <c r="AC37" s="54">
        <f>IFERROR(AVERAGE(E37:U37),"")</f>
        <v/>
      </c>
    </row>
    <row r="38" ht="18" customHeight="1" s="65">
      <c r="A38" s="47" t="inlineStr">
        <is>
          <t xml:space="preserve">  % CC3 / Venta</t>
        </is>
      </c>
      <c r="B38" s="48" t="n"/>
      <c r="C38" s="49" t="inlineStr">
        <is>
          <t>%</t>
        </is>
      </c>
      <c r="D38" s="50" t="inlineStr">
        <is>
          <t>&lt; 15%</t>
        </is>
      </c>
      <c r="E38" s="55">
        <f>IF(E$5=0,"",E29/E$5)</f>
        <v/>
      </c>
      <c r="F38" s="55">
        <f>IF(F$5=0,"",F29/F$5)</f>
        <v/>
      </c>
      <c r="G38" s="55">
        <f>IF(G$5=0,"",G29/G$5)</f>
        <v/>
      </c>
      <c r="H38" s="55">
        <f>IF(H$5=0,"",H29/H$5)</f>
        <v/>
      </c>
      <c r="I38" s="55">
        <f>IF(I$5=0,"",I29/I$5)</f>
        <v/>
      </c>
      <c r="J38" s="55">
        <f>IF(J$5=0,"",J29/J$5)</f>
        <v/>
      </c>
      <c r="K38" s="55">
        <f>IF(K$5=0,"",K29/K$5)</f>
        <v/>
      </c>
      <c r="L38" s="55">
        <f>IF(L$5=0,"",L29/L$5)</f>
        <v/>
      </c>
      <c r="M38" s="55">
        <f>IF(M$5=0,"",M29/M$5)</f>
        <v/>
      </c>
      <c r="N38" s="55">
        <f>IF(N$5=0,"",N29/N$5)</f>
        <v/>
      </c>
      <c r="O38" s="55">
        <f>IF(O$5=0,"",O29/O$5)</f>
        <v/>
      </c>
      <c r="P38" s="55">
        <f>IF(P$5=0,"",P29/P$5)</f>
        <v/>
      </c>
      <c r="Q38" s="55">
        <f>IF(Q$5=0,"",Q29/Q$5)</f>
        <v/>
      </c>
      <c r="R38" s="55">
        <f>IF(R$5=0,"",R29/R$5)</f>
        <v/>
      </c>
      <c r="S38" s="55">
        <f>IF(S$5=0,"",S29/S$5)</f>
        <v/>
      </c>
      <c r="T38" s="55">
        <f>IF(T$5=0,"",T29/T$5)</f>
        <v/>
      </c>
      <c r="U38" s="55">
        <f>IF(U$5=0,"",U29/U$5)</f>
        <v/>
      </c>
      <c r="V38" s="55">
        <f>IF(V$5=0,"",V29/V$5)</f>
        <v/>
      </c>
      <c r="W38" s="55">
        <f>IF(W$5=0,"",W29/W$5)</f>
        <v/>
      </c>
      <c r="X38" s="55">
        <f>IF(X$5=0,"",X29/X$5)</f>
        <v/>
      </c>
      <c r="Y38" s="55">
        <f>IF(Y$5=0,"",Y29/Y$5)</f>
        <v/>
      </c>
      <c r="Z38" s="55">
        <f>IF(Z$5=0,"",Z29/Z$5)</f>
        <v/>
      </c>
      <c r="AA38" s="55">
        <f>IF(AA$5=0,"",AA29/AA$5)</f>
        <v/>
      </c>
      <c r="AB38" s="55">
        <f>IF(AB$5=0,"",AB29/AB$5)</f>
        <v/>
      </c>
      <c r="AC38" s="54">
        <f>IFERROR(AVERAGE(E38:U38),"")</f>
        <v/>
      </c>
    </row>
    <row r="39" ht="18" customHeight="1" s="65">
      <c r="A39" s="52" t="inlineStr">
        <is>
          <t xml:space="preserve">  % CC4 / Venta</t>
        </is>
      </c>
      <c r="B39" s="42" t="n"/>
      <c r="C39" s="43" t="inlineStr">
        <is>
          <t>%</t>
        </is>
      </c>
      <c r="D39" s="44" t="n"/>
      <c r="E39" s="53">
        <f>IF(E$5=0,"",E30/E$5)</f>
        <v/>
      </c>
      <c r="F39" s="53">
        <f>IF(F$5=0,"",F30/F$5)</f>
        <v/>
      </c>
      <c r="G39" s="53">
        <f>IF(G$5=0,"",G30/G$5)</f>
        <v/>
      </c>
      <c r="H39" s="53">
        <f>IF(H$5=0,"",H30/H$5)</f>
        <v/>
      </c>
      <c r="I39" s="53">
        <f>IF(I$5=0,"",I30/I$5)</f>
        <v/>
      </c>
      <c r="J39" s="53">
        <f>IF(J$5=0,"",J30/J$5)</f>
        <v/>
      </c>
      <c r="K39" s="53">
        <f>IF(K$5=0,"",K30/K$5)</f>
        <v/>
      </c>
      <c r="L39" s="53">
        <f>IF(L$5=0,"",L30/L$5)</f>
        <v/>
      </c>
      <c r="M39" s="53">
        <f>IF(M$5=0,"",M30/M$5)</f>
        <v/>
      </c>
      <c r="N39" s="53">
        <f>IF(N$5=0,"",N30/N$5)</f>
        <v/>
      </c>
      <c r="O39" s="53">
        <f>IF(O$5=0,"",O30/O$5)</f>
        <v/>
      </c>
      <c r="P39" s="53">
        <f>IF(P$5=0,"",P30/P$5)</f>
        <v/>
      </c>
      <c r="Q39" s="53">
        <f>IF(Q$5=0,"",Q30/Q$5)</f>
        <v/>
      </c>
      <c r="R39" s="53">
        <f>IF(R$5=0,"",R30/R$5)</f>
        <v/>
      </c>
      <c r="S39" s="53">
        <f>IF(S$5=0,"",S30/S$5)</f>
        <v/>
      </c>
      <c r="T39" s="53">
        <f>IF(T$5=0,"",T30/T$5)</f>
        <v/>
      </c>
      <c r="U39" s="53">
        <f>IF(U$5=0,"",U30/U$5)</f>
        <v/>
      </c>
      <c r="V39" s="53">
        <f>IF(V$5=0,"",V30/V$5)</f>
        <v/>
      </c>
      <c r="W39" s="53">
        <f>IF(W$5=0,"",W30/W$5)</f>
        <v/>
      </c>
      <c r="X39" s="53">
        <f>IF(X$5=0,"",X30/X$5)</f>
        <v/>
      </c>
      <c r="Y39" s="53">
        <f>IF(Y$5=0,"",Y30/Y$5)</f>
        <v/>
      </c>
      <c r="Z39" s="53">
        <f>IF(Z$5=0,"",Z30/Z$5)</f>
        <v/>
      </c>
      <c r="AA39" s="53">
        <f>IF(AA$5=0,"",AA30/AA$5)</f>
        <v/>
      </c>
      <c r="AB39" s="53">
        <f>IF(AB$5=0,"",AB30/AB$5)</f>
        <v/>
      </c>
      <c r="AC39" s="54">
        <f>IFERROR(AVERAGE(E39:U39),"")</f>
        <v/>
      </c>
    </row>
    <row r="40" ht="18" customHeight="1" s="65">
      <c r="A40" s="47" t="inlineStr">
        <is>
          <t xml:space="preserve">  % CC5 / Venta</t>
        </is>
      </c>
      <c r="B40" s="48" t="n"/>
      <c r="C40" s="49" t="inlineStr">
        <is>
          <t>%</t>
        </is>
      </c>
      <c r="D40" s="50" t="inlineStr">
        <is>
          <t>&lt; 10%</t>
        </is>
      </c>
      <c r="E40" s="55">
        <f>IF(E$5=0,"",E31/E$5)</f>
        <v/>
      </c>
      <c r="F40" s="55">
        <f>IF(F$5=0,"",F31/F$5)</f>
        <v/>
      </c>
      <c r="G40" s="55">
        <f>IF(G$5=0,"",G31/G$5)</f>
        <v/>
      </c>
      <c r="H40" s="55">
        <f>IF(H$5=0,"",H31/H$5)</f>
        <v/>
      </c>
      <c r="I40" s="55">
        <f>IF(I$5=0,"",I31/I$5)</f>
        <v/>
      </c>
      <c r="J40" s="55">
        <f>IF(J$5=0,"",J31/J$5)</f>
        <v/>
      </c>
      <c r="K40" s="55">
        <f>IF(K$5=0,"",K31/K$5)</f>
        <v/>
      </c>
      <c r="L40" s="55">
        <f>IF(L$5=0,"",L31/L$5)</f>
        <v/>
      </c>
      <c r="M40" s="55">
        <f>IF(M$5=0,"",M31/M$5)</f>
        <v/>
      </c>
      <c r="N40" s="55">
        <f>IF(N$5=0,"",N31/N$5)</f>
        <v/>
      </c>
      <c r="O40" s="55">
        <f>IF(O$5=0,"",O31/O$5)</f>
        <v/>
      </c>
      <c r="P40" s="55">
        <f>IF(P$5=0,"",P31/P$5)</f>
        <v/>
      </c>
      <c r="Q40" s="55">
        <f>IF(Q$5=0,"",Q31/Q$5)</f>
        <v/>
      </c>
      <c r="R40" s="55">
        <f>IF(R$5=0,"",R31/R$5)</f>
        <v/>
      </c>
      <c r="S40" s="55">
        <f>IF(S$5=0,"",S31/S$5)</f>
        <v/>
      </c>
      <c r="T40" s="55">
        <f>IF(T$5=0,"",T31/T$5)</f>
        <v/>
      </c>
      <c r="U40" s="55">
        <f>IF(U$5=0,"",U31/U$5)</f>
        <v/>
      </c>
      <c r="V40" s="55">
        <f>IF(V$5=0,"",V31/V$5)</f>
        <v/>
      </c>
      <c r="W40" s="55">
        <f>IF(W$5=0,"",W31/W$5)</f>
        <v/>
      </c>
      <c r="X40" s="55">
        <f>IF(X$5=0,"",X31/X$5)</f>
        <v/>
      </c>
      <c r="Y40" s="55">
        <f>IF(Y$5=0,"",Y31/Y$5)</f>
        <v/>
      </c>
      <c r="Z40" s="55">
        <f>IF(Z$5=0,"",Z31/Z$5)</f>
        <v/>
      </c>
      <c r="AA40" s="55">
        <f>IF(AA$5=0,"",AA31/AA$5)</f>
        <v/>
      </c>
      <c r="AB40" s="55">
        <f>IF(AB$5=0,"",AB31/AB$5)</f>
        <v/>
      </c>
      <c r="AC40" s="54">
        <f>IFERROR(AVERAGE(E40:U40),"")</f>
        <v/>
      </c>
    </row>
    <row r="41" ht="18" customHeight="1" s="65">
      <c r="A41" s="52" t="inlineStr">
        <is>
          <t xml:space="preserve">  % CC6 / Venta</t>
        </is>
      </c>
      <c r="B41" s="42" t="n"/>
      <c r="C41" s="43" t="inlineStr">
        <is>
          <t>%</t>
        </is>
      </c>
      <c r="D41" s="44" t="n"/>
      <c r="E41" s="53">
        <f>IF(E$5=0,"",E32/E$5)</f>
        <v/>
      </c>
      <c r="F41" s="53">
        <f>IF(F$5=0,"",F32/F$5)</f>
        <v/>
      </c>
      <c r="G41" s="53">
        <f>IF(G$5=0,"",G32/G$5)</f>
        <v/>
      </c>
      <c r="H41" s="53">
        <f>IF(H$5=0,"",H32/H$5)</f>
        <v/>
      </c>
      <c r="I41" s="53">
        <f>IF(I$5=0,"",I32/I$5)</f>
        <v/>
      </c>
      <c r="J41" s="53">
        <f>IF(J$5=0,"",J32/J$5)</f>
        <v/>
      </c>
      <c r="K41" s="53">
        <f>IF(K$5=0,"",K32/K$5)</f>
        <v/>
      </c>
      <c r="L41" s="53">
        <f>IF(L$5=0,"",L32/L$5)</f>
        <v/>
      </c>
      <c r="M41" s="53">
        <f>IF(M$5=0,"",M32/M$5)</f>
        <v/>
      </c>
      <c r="N41" s="53">
        <f>IF(N$5=0,"",N32/N$5)</f>
        <v/>
      </c>
      <c r="O41" s="53">
        <f>IF(O$5=0,"",O32/O$5)</f>
        <v/>
      </c>
      <c r="P41" s="53">
        <f>IF(P$5=0,"",P32/P$5)</f>
        <v/>
      </c>
      <c r="Q41" s="53">
        <f>IF(Q$5=0,"",Q32/Q$5)</f>
        <v/>
      </c>
      <c r="R41" s="53">
        <f>IF(R$5=0,"",R32/R$5)</f>
        <v/>
      </c>
      <c r="S41" s="53">
        <f>IF(S$5=0,"",S32/S$5)</f>
        <v/>
      </c>
      <c r="T41" s="53">
        <f>IF(T$5=0,"",T32/T$5)</f>
        <v/>
      </c>
      <c r="U41" s="53">
        <f>IF(U$5=0,"",U32/U$5)</f>
        <v/>
      </c>
      <c r="V41" s="53">
        <f>IF(V$5=0,"",V32/V$5)</f>
        <v/>
      </c>
      <c r="W41" s="53">
        <f>IF(W$5=0,"",W32/W$5)</f>
        <v/>
      </c>
      <c r="X41" s="53">
        <f>IF(X$5=0,"",X32/X$5)</f>
        <v/>
      </c>
      <c r="Y41" s="53">
        <f>IF(Y$5=0,"",Y32/Y$5)</f>
        <v/>
      </c>
      <c r="Z41" s="53">
        <f>IF(Z$5=0,"",Z32/Z$5)</f>
        <v/>
      </c>
      <c r="AA41" s="53">
        <f>IF(AA$5=0,"",AA32/AA$5)</f>
        <v/>
      </c>
      <c r="AB41" s="53">
        <f>IF(AB$5=0,"",AB32/AB$5)</f>
        <v/>
      </c>
      <c r="AC41" s="54">
        <f>IFERROR(AVERAGE(E41:U41),"")</f>
        <v/>
      </c>
    </row>
    <row r="42" ht="18" customHeight="1" s="65">
      <c r="A42" s="47" t="inlineStr">
        <is>
          <t xml:space="preserve">  % CC7 / Venta</t>
        </is>
      </c>
      <c r="B42" s="48" t="n"/>
      <c r="C42" s="49" t="inlineStr">
        <is>
          <t>%</t>
        </is>
      </c>
      <c r="D42" s="50" t="n"/>
      <c r="E42" s="55">
        <f>IF(E$5=0,"",E33/E$5)</f>
        <v/>
      </c>
      <c r="F42" s="55">
        <f>IF(F$5=0,"",F33/F$5)</f>
        <v/>
      </c>
      <c r="G42" s="55">
        <f>IF(G$5=0,"",G33/G$5)</f>
        <v/>
      </c>
      <c r="H42" s="55">
        <f>IF(H$5=0,"",H33/H$5)</f>
        <v/>
      </c>
      <c r="I42" s="55">
        <f>IF(I$5=0,"",I33/I$5)</f>
        <v/>
      </c>
      <c r="J42" s="55">
        <f>IF(J$5=0,"",J33/J$5)</f>
        <v/>
      </c>
      <c r="K42" s="55">
        <f>IF(K$5=0,"",K33/K$5)</f>
        <v/>
      </c>
      <c r="L42" s="55">
        <f>IF(L$5=0,"",L33/L$5)</f>
        <v/>
      </c>
      <c r="M42" s="55">
        <f>IF(M$5=0,"",M33/M$5)</f>
        <v/>
      </c>
      <c r="N42" s="55">
        <f>IF(N$5=0,"",N33/N$5)</f>
        <v/>
      </c>
      <c r="O42" s="55">
        <f>IF(O$5=0,"",O33/O$5)</f>
        <v/>
      </c>
      <c r="P42" s="55">
        <f>IF(P$5=0,"",P33/P$5)</f>
        <v/>
      </c>
      <c r="Q42" s="55">
        <f>IF(Q$5=0,"",Q33/Q$5)</f>
        <v/>
      </c>
      <c r="R42" s="55">
        <f>IF(R$5=0,"",R33/R$5)</f>
        <v/>
      </c>
      <c r="S42" s="55">
        <f>IF(S$5=0,"",S33/S$5)</f>
        <v/>
      </c>
      <c r="T42" s="55">
        <f>IF(T$5=0,"",T33/T$5)</f>
        <v/>
      </c>
      <c r="U42" s="55">
        <f>IF(U$5=0,"",U33/U$5)</f>
        <v/>
      </c>
      <c r="V42" s="55">
        <f>IF(V$5=0,"",V33/V$5)</f>
        <v/>
      </c>
      <c r="W42" s="55">
        <f>IF(W$5=0,"",W33/W$5)</f>
        <v/>
      </c>
      <c r="X42" s="55">
        <f>IF(X$5=0,"",X33/X$5)</f>
        <v/>
      </c>
      <c r="Y42" s="55">
        <f>IF(Y$5=0,"",Y33/Y$5)</f>
        <v/>
      </c>
      <c r="Z42" s="55">
        <f>IF(Z$5=0,"",Z33/Z$5)</f>
        <v/>
      </c>
      <c r="AA42" s="55">
        <f>IF(AA$5=0,"",AA33/AA$5)</f>
        <v/>
      </c>
      <c r="AB42" s="55">
        <f>IF(AB$5=0,"",AB33/AB$5)</f>
        <v/>
      </c>
      <c r="AC42" s="54">
        <f>IFERROR(AVERAGE(E42:U42),"")</f>
        <v/>
      </c>
    </row>
    <row r="43" ht="18" customHeight="1" s="65">
      <c r="A43" s="52" t="inlineStr">
        <is>
          <t xml:space="preserve">  % CC8 / Venta</t>
        </is>
      </c>
      <c r="B43" s="42" t="n"/>
      <c r="C43" s="43" t="inlineStr">
        <is>
          <t>%</t>
        </is>
      </c>
      <c r="D43" s="44" t="n"/>
      <c r="E43" s="53">
        <f>IF(E$5=0,"",E34/E$5)</f>
        <v/>
      </c>
      <c r="F43" s="53">
        <f>IF(F$5=0,"",F34/F$5)</f>
        <v/>
      </c>
      <c r="G43" s="53">
        <f>IF(G$5=0,"",G34/G$5)</f>
        <v/>
      </c>
      <c r="H43" s="53">
        <f>IF(H$5=0,"",H34/H$5)</f>
        <v/>
      </c>
      <c r="I43" s="53">
        <f>IF(I$5=0,"",I34/I$5)</f>
        <v/>
      </c>
      <c r="J43" s="53">
        <f>IF(J$5=0,"",J34/J$5)</f>
        <v/>
      </c>
      <c r="K43" s="53">
        <f>IF(K$5=0,"",K34/K$5)</f>
        <v/>
      </c>
      <c r="L43" s="53">
        <f>IF(L$5=0,"",L34/L$5)</f>
        <v/>
      </c>
      <c r="M43" s="53">
        <f>IF(M$5=0,"",M34/M$5)</f>
        <v/>
      </c>
      <c r="N43" s="53">
        <f>IF(N$5=0,"",N34/N$5)</f>
        <v/>
      </c>
      <c r="O43" s="53">
        <f>IF(O$5=0,"",O34/O$5)</f>
        <v/>
      </c>
      <c r="P43" s="53">
        <f>IF(P$5=0,"",P34/P$5)</f>
        <v/>
      </c>
      <c r="Q43" s="53">
        <f>IF(Q$5=0,"",Q34/Q$5)</f>
        <v/>
      </c>
      <c r="R43" s="53">
        <f>IF(R$5=0,"",R34/R$5)</f>
        <v/>
      </c>
      <c r="S43" s="53">
        <f>IF(S$5=0,"",S34/S$5)</f>
        <v/>
      </c>
      <c r="T43" s="53">
        <f>IF(T$5=0,"",T34/T$5)</f>
        <v/>
      </c>
      <c r="U43" s="53">
        <f>IF(U$5=0,"",U34/U$5)</f>
        <v/>
      </c>
      <c r="V43" s="53">
        <f>IF(V$5=0,"",V34/V$5)</f>
        <v/>
      </c>
      <c r="W43" s="53">
        <f>IF(W$5=0,"",W34/W$5)</f>
        <v/>
      </c>
      <c r="X43" s="53">
        <f>IF(X$5=0,"",X34/X$5)</f>
        <v/>
      </c>
      <c r="Y43" s="53">
        <f>IF(Y$5=0,"",Y34/Y$5)</f>
        <v/>
      </c>
      <c r="Z43" s="53">
        <f>IF(Z$5=0,"",Z34/Z$5)</f>
        <v/>
      </c>
      <c r="AA43" s="53">
        <f>IF(AA$5=0,"",AA34/AA$5)</f>
        <v/>
      </c>
      <c r="AB43" s="53">
        <f>IF(AB$5=0,"",AB34/AB$5)</f>
        <v/>
      </c>
      <c r="AC43" s="54">
        <f>IFERROR(AVERAGE(E43:U43),"")</f>
        <v/>
      </c>
    </row>
    <row r="44" ht="18" customHeight="1" s="65"/>
    <row r="45" ht="19.95" customHeight="1" s="65">
      <c r="A45" s="39" t="inlineStr">
        <is>
          <t>MARGENES Y RATIOS CLAVE</t>
        </is>
      </c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</row>
    <row r="46" ht="18" customHeight="1" s="65">
      <c r="A46" s="56" t="inlineStr">
        <is>
          <t>Margen Bruto $ (Venta - CC1)</t>
        </is>
      </c>
      <c r="B46" s="48" t="n"/>
      <c r="C46" s="49" t="inlineStr">
        <is>
          <t>$</t>
        </is>
      </c>
      <c r="D46" s="50" t="n"/>
      <c r="E46" s="51">
        <f>IF(E$5=0,"",E$5-E$27)</f>
        <v/>
      </c>
      <c r="F46" s="51">
        <f>IF(F$5=0,"",F$5-F$27)</f>
        <v/>
      </c>
      <c r="G46" s="51">
        <f>IF(G$5=0,"",G$5-G$27)</f>
        <v/>
      </c>
      <c r="H46" s="51">
        <f>IF(H$5=0,"",H$5-H$27)</f>
        <v/>
      </c>
      <c r="I46" s="51">
        <f>IF(I$5=0,"",I$5-I$27)</f>
        <v/>
      </c>
      <c r="J46" s="51">
        <f>IF(J$5=0,"",J$5-J$27)</f>
        <v/>
      </c>
      <c r="K46" s="51">
        <f>IF(K$5=0,"",K$5-K$27)</f>
        <v/>
      </c>
      <c r="L46" s="51">
        <f>IF(L$5=0,"",L$5-L$27)</f>
        <v/>
      </c>
      <c r="M46" s="51">
        <f>IF(M$5=0,"",M$5-M$27)</f>
        <v/>
      </c>
      <c r="N46" s="51">
        <f>IF(N$5=0,"",N$5-N$27)</f>
        <v/>
      </c>
      <c r="O46" s="51">
        <f>IF(O$5=0,"",O$5-O$27)</f>
        <v/>
      </c>
      <c r="P46" s="51">
        <f>IF(P$5=0,"",P$5-P$27)</f>
        <v/>
      </c>
      <c r="Q46" s="51">
        <f>IF(Q$5=0,"",Q$5-Q$27)</f>
        <v/>
      </c>
      <c r="R46" s="51">
        <f>IF(R$5=0,"",R$5-R$27)</f>
        <v/>
      </c>
      <c r="S46" s="51">
        <f>IF(S$5=0,"",S$5-S$27)</f>
        <v/>
      </c>
      <c r="T46" s="51">
        <f>IF(T$5=0,"",T$5-T$27)</f>
        <v/>
      </c>
      <c r="U46" s="51">
        <f>IF(U$5=0,"",U$5-U$27)</f>
        <v/>
      </c>
      <c r="V46" s="51">
        <f>IF(V$5=0,"",V$5-V$27)</f>
        <v/>
      </c>
      <c r="W46" s="51">
        <f>IF(W$5=0,"",W$5-W$27)</f>
        <v/>
      </c>
      <c r="X46" s="51">
        <f>IF(X$5=0,"",X$5-X$27)</f>
        <v/>
      </c>
      <c r="Y46" s="51">
        <f>IF(Y$5=0,"",Y$5-Y$27)</f>
        <v/>
      </c>
      <c r="Z46" s="51">
        <f>IF(Z$5=0,"",Z$5-Z$27)</f>
        <v/>
      </c>
      <c r="AA46" s="51">
        <f>IF(AA$5=0,"",AA$5-AA$27)</f>
        <v/>
      </c>
      <c r="AB46" s="51">
        <f>IF(AB$5=0,"",AB$5-AB$27)</f>
        <v/>
      </c>
      <c r="AC46" s="46">
        <f>IFERROR(AVERAGE(E46:U46),"")</f>
        <v/>
      </c>
    </row>
    <row r="47" ht="18" customHeight="1" s="65">
      <c r="A47" s="41" t="inlineStr">
        <is>
          <t>Margen Bruto %</t>
        </is>
      </c>
      <c r="B47" s="42" t="n"/>
      <c r="C47" s="43" t="inlineStr">
        <is>
          <t>%</t>
        </is>
      </c>
      <c r="D47" s="44" t="inlineStr">
        <is>
          <t>&gt; 55%</t>
        </is>
      </c>
      <c r="E47" s="53">
        <f>IF(E$5=0,"",E$46/E$5)</f>
        <v/>
      </c>
      <c r="F47" s="53">
        <f>IF(F$5=0,"",F$46/F$5)</f>
        <v/>
      </c>
      <c r="G47" s="53">
        <f>IF(G$5=0,"",G$46/G$5)</f>
        <v/>
      </c>
      <c r="H47" s="53">
        <f>IF(H$5=0,"",H$46/H$5)</f>
        <v/>
      </c>
      <c r="I47" s="53">
        <f>IF(I$5=0,"",I$46/I$5)</f>
        <v/>
      </c>
      <c r="J47" s="53">
        <f>IF(J$5=0,"",J$46/J$5)</f>
        <v/>
      </c>
      <c r="K47" s="53">
        <f>IF(K$5=0,"",K$46/K$5)</f>
        <v/>
      </c>
      <c r="L47" s="53">
        <f>IF(L$5=0,"",L$46/L$5)</f>
        <v/>
      </c>
      <c r="M47" s="53">
        <f>IF(M$5=0,"",M$46/M$5)</f>
        <v/>
      </c>
      <c r="N47" s="53">
        <f>IF(N$5=0,"",N$46/N$5)</f>
        <v/>
      </c>
      <c r="O47" s="53">
        <f>IF(O$5=0,"",O$46/O$5)</f>
        <v/>
      </c>
      <c r="P47" s="53">
        <f>IF(P$5=0,"",P$46/P$5)</f>
        <v/>
      </c>
      <c r="Q47" s="53">
        <f>IF(Q$5=0,"",Q$46/Q$5)</f>
        <v/>
      </c>
      <c r="R47" s="53">
        <f>IF(R$5=0,"",R$46/R$5)</f>
        <v/>
      </c>
      <c r="S47" s="53">
        <f>IF(S$5=0,"",S$46/S$5)</f>
        <v/>
      </c>
      <c r="T47" s="53">
        <f>IF(T$5=0,"",T$46/T$5)</f>
        <v/>
      </c>
      <c r="U47" s="53">
        <f>IF(U$5=0,"",U$46/U$5)</f>
        <v/>
      </c>
      <c r="V47" s="53">
        <f>IF(V$5=0,"",V$46/V$5)</f>
        <v/>
      </c>
      <c r="W47" s="53">
        <f>IF(W$5=0,"",W$46/W$5)</f>
        <v/>
      </c>
      <c r="X47" s="53">
        <f>IF(X$5=0,"",X$46/X$5)</f>
        <v/>
      </c>
      <c r="Y47" s="53">
        <f>IF(Y$5=0,"",Y$46/Y$5)</f>
        <v/>
      </c>
      <c r="Z47" s="53">
        <f>IF(Z$5=0,"",Z$46/Z$5)</f>
        <v/>
      </c>
      <c r="AA47" s="53">
        <f>IF(AA$5=0,"",AA$46/AA$5)</f>
        <v/>
      </c>
      <c r="AB47" s="53">
        <f>IF(AB$5=0,"",AB$46/AB$5)</f>
        <v/>
      </c>
      <c r="AC47" s="54">
        <f>IFERROR(AVERAGE(E47:U47),"")</f>
        <v/>
      </c>
    </row>
    <row r="48" ht="18" customHeight="1" s="65">
      <c r="A48" s="47" t="inlineStr">
        <is>
          <t xml:space="preserve">  Food Cost % (ingredientes)</t>
        </is>
      </c>
      <c r="B48" s="48">
        <f>PLAN_CUENTAS!$A$2</f>
        <v/>
      </c>
      <c r="C48" s="49" t="inlineStr">
        <is>
          <t>%</t>
        </is>
      </c>
      <c r="D48" s="50" t="inlineStr">
        <is>
          <t>&lt; 30%</t>
        </is>
      </c>
      <c r="E48" s="55">
        <f>IF(E$5=0,"",SUMIFS('2. EGRESOS'!$H:$H,'2. EGRESOS'!$B:$B,E$2,'2. EGRESOS'!$M:$M,$B48)/E$5)</f>
        <v/>
      </c>
      <c r="F48" s="55">
        <f>IF(F$5=0,"",SUMIFS('2. EGRESOS'!$H:$H,'2. EGRESOS'!$B:$B,F$2,'2. EGRESOS'!$M:$M,$B48)/F$5)</f>
        <v/>
      </c>
      <c r="G48" s="55">
        <f>IF(G$5=0,"",SUMIFS('2. EGRESOS'!$H:$H,'2. EGRESOS'!$B:$B,G$2,'2. EGRESOS'!$M:$M,$B48)/G$5)</f>
        <v/>
      </c>
      <c r="H48" s="55">
        <f>IF(H$5=0,"",SUMIFS('2. EGRESOS'!$H:$H,'2. EGRESOS'!$B:$B,H$2,'2. EGRESOS'!$M:$M,$B48)/H$5)</f>
        <v/>
      </c>
      <c r="I48" s="55">
        <f>IF(I$5=0,"",SUMIFS('2. EGRESOS'!$H:$H,'2. EGRESOS'!$B:$B,I$2,'2. EGRESOS'!$M:$M,$B48)/I$5)</f>
        <v/>
      </c>
      <c r="J48" s="55">
        <f>IF(J$5=0,"",SUMIFS('2. EGRESOS'!$H:$H,'2. EGRESOS'!$B:$B,J$2,'2. EGRESOS'!$M:$M,$B48)/J$5)</f>
        <v/>
      </c>
      <c r="K48" s="55">
        <f>IF(K$5=0,"",SUMIFS('2. EGRESOS'!$H:$H,'2. EGRESOS'!$B:$B,K$2,'2. EGRESOS'!$M:$M,$B48)/K$5)</f>
        <v/>
      </c>
      <c r="L48" s="55">
        <f>IF(L$5=0,"",SUMIFS('2. EGRESOS'!$H:$H,'2. EGRESOS'!$B:$B,L$2,'2. EGRESOS'!$M:$M,$B48)/L$5)</f>
        <v/>
      </c>
      <c r="M48" s="55">
        <f>IF(M$5=0,"",SUMIFS('2. EGRESOS'!$H:$H,'2. EGRESOS'!$B:$B,M$2,'2. EGRESOS'!$M:$M,$B48)/M$5)</f>
        <v/>
      </c>
      <c r="N48" s="55">
        <f>IF(N$5=0,"",SUMIFS('2. EGRESOS'!$H:$H,'2. EGRESOS'!$B:$B,N$2,'2. EGRESOS'!$M:$M,$B48)/N$5)</f>
        <v/>
      </c>
      <c r="O48" s="55">
        <f>IF(O$5=0,"",SUMIFS('2. EGRESOS'!$H:$H,'2. EGRESOS'!$B:$B,O$2,'2. EGRESOS'!$M:$M,$B48)/O$5)</f>
        <v/>
      </c>
      <c r="P48" s="55">
        <f>IF(P$5=0,"",SUMIFS('2. EGRESOS'!$H:$H,'2. EGRESOS'!$B:$B,P$2,'2. EGRESOS'!$M:$M,$B48)/P$5)</f>
        <v/>
      </c>
      <c r="Q48" s="55">
        <f>IF(Q$5=0,"",SUMIFS('2. EGRESOS'!$H:$H,'2. EGRESOS'!$B:$B,Q$2,'2. EGRESOS'!$M:$M,$B48)/Q$5)</f>
        <v/>
      </c>
      <c r="R48" s="55">
        <f>IF(R$5=0,"",SUMIFS('2. EGRESOS'!$H:$H,'2. EGRESOS'!$B:$B,R$2,'2. EGRESOS'!$M:$M,$B48)/R$5)</f>
        <v/>
      </c>
      <c r="S48" s="55">
        <f>IF(S$5=0,"",SUMIFS('2. EGRESOS'!$H:$H,'2. EGRESOS'!$B:$B,S$2,'2. EGRESOS'!$M:$M,$B48)/S$5)</f>
        <v/>
      </c>
      <c r="T48" s="55">
        <f>IF(T$5=0,"",SUMIFS('2. EGRESOS'!$H:$H,'2. EGRESOS'!$B:$B,T$2,'2. EGRESOS'!$M:$M,$B48)/T$5)</f>
        <v/>
      </c>
      <c r="U48" s="55">
        <f>IF(U$5=0,"",SUMIFS('2. EGRESOS'!$H:$H,'2. EGRESOS'!$B:$B,U$2,'2. EGRESOS'!$M:$M,$B48)/U$5)</f>
        <v/>
      </c>
      <c r="V48" s="55">
        <f>IF(V$5=0,"",SUMIFS('2. EGRESOS'!$H:$H,'2. EGRESOS'!$B:$B,V$2,'2. EGRESOS'!$M:$M,$B48)/V$5)</f>
        <v/>
      </c>
      <c r="W48" s="55">
        <f>IF(W$5=0,"",SUMIFS('2. EGRESOS'!$H:$H,'2. EGRESOS'!$B:$B,W$2,'2. EGRESOS'!$M:$M,$B48)/W$5)</f>
        <v/>
      </c>
      <c r="X48" s="55">
        <f>IF(X$5=0,"",SUMIFS('2. EGRESOS'!$H:$H,'2. EGRESOS'!$B:$B,X$2,'2. EGRESOS'!$M:$M,$B48)/X$5)</f>
        <v/>
      </c>
      <c r="Y48" s="55">
        <f>IF(Y$5=0,"",SUMIFS('2. EGRESOS'!$H:$H,'2. EGRESOS'!$B:$B,Y$2,'2. EGRESOS'!$M:$M,$B48)/Y$5)</f>
        <v/>
      </c>
      <c r="Z48" s="55">
        <f>IF(Z$5=0,"",SUMIFS('2. EGRESOS'!$H:$H,'2. EGRESOS'!$B:$B,Z$2,'2. EGRESOS'!$M:$M,$B48)/Z$5)</f>
        <v/>
      </c>
      <c r="AA48" s="55">
        <f>IF(AA$5=0,"",SUMIFS('2. EGRESOS'!$H:$H,'2. EGRESOS'!$B:$B,AA$2,'2. EGRESOS'!$M:$M,$B48)/AA$5)</f>
        <v/>
      </c>
      <c r="AB48" s="55">
        <f>IF(AB$5=0,"",SUMIFS('2. EGRESOS'!$H:$H,'2. EGRESOS'!$B:$B,AB$2,'2. EGRESOS'!$M:$M,$B48)/AB$5)</f>
        <v/>
      </c>
      <c r="AC48" s="54">
        <f>IFERROR(AVERAGE(E48:U48),"")</f>
        <v/>
      </c>
    </row>
    <row r="49" ht="18" customHeight="1" s="65">
      <c r="A49" s="52" t="inlineStr">
        <is>
          <t xml:space="preserve">  Labor Cost % (CC2 sueldos)</t>
        </is>
      </c>
      <c r="B49" s="42" t="n"/>
      <c r="C49" s="43" t="inlineStr">
        <is>
          <t>%</t>
        </is>
      </c>
      <c r="D49" s="44" t="inlineStr">
        <is>
          <t>&lt; 32%</t>
        </is>
      </c>
      <c r="E49" s="53">
        <f>IF(E$5=0,"",E$28/E$5)</f>
        <v/>
      </c>
      <c r="F49" s="53">
        <f>IF(F$5=0,"",F$28/F$5)</f>
        <v/>
      </c>
      <c r="G49" s="53">
        <f>IF(G$5=0,"",G$28/G$5)</f>
        <v/>
      </c>
      <c r="H49" s="53">
        <f>IF(H$5=0,"",H$28/H$5)</f>
        <v/>
      </c>
      <c r="I49" s="53">
        <f>IF(I$5=0,"",I$28/I$5)</f>
        <v/>
      </c>
      <c r="J49" s="53">
        <f>IF(J$5=0,"",J$28/J$5)</f>
        <v/>
      </c>
      <c r="K49" s="53">
        <f>IF(K$5=0,"",K$28/K$5)</f>
        <v/>
      </c>
      <c r="L49" s="53">
        <f>IF(L$5=0,"",L$28/L$5)</f>
        <v/>
      </c>
      <c r="M49" s="53">
        <f>IF(M$5=0,"",M$28/M$5)</f>
        <v/>
      </c>
      <c r="N49" s="53">
        <f>IF(N$5=0,"",N$28/N$5)</f>
        <v/>
      </c>
      <c r="O49" s="53">
        <f>IF(O$5=0,"",O$28/O$5)</f>
        <v/>
      </c>
      <c r="P49" s="53">
        <f>IF(P$5=0,"",P$28/P$5)</f>
        <v/>
      </c>
      <c r="Q49" s="53">
        <f>IF(Q$5=0,"",Q$28/Q$5)</f>
        <v/>
      </c>
      <c r="R49" s="53">
        <f>IF(R$5=0,"",R$28/R$5)</f>
        <v/>
      </c>
      <c r="S49" s="53">
        <f>IF(S$5=0,"",S$28/S$5)</f>
        <v/>
      </c>
      <c r="T49" s="53">
        <f>IF(T$5=0,"",T$28/T$5)</f>
        <v/>
      </c>
      <c r="U49" s="53">
        <f>IF(U$5=0,"",U$28/U$5)</f>
        <v/>
      </c>
      <c r="V49" s="53">
        <f>IF(V$5=0,"",V$28/V$5)</f>
        <v/>
      </c>
      <c r="W49" s="53">
        <f>IF(W$5=0,"",W$28/W$5)</f>
        <v/>
      </c>
      <c r="X49" s="53">
        <f>IF(X$5=0,"",X$28/X$5)</f>
        <v/>
      </c>
      <c r="Y49" s="53">
        <f>IF(Y$5=0,"",Y$28/Y$5)</f>
        <v/>
      </c>
      <c r="Z49" s="53">
        <f>IF(Z$5=0,"",Z$28/Z$5)</f>
        <v/>
      </c>
      <c r="AA49" s="53">
        <f>IF(AA$5=0,"",AA$28/AA$5)</f>
        <v/>
      </c>
      <c r="AB49" s="53">
        <f>IF(AB$5=0,"",AB$28/AB$5)</f>
        <v/>
      </c>
      <c r="AC49" s="54">
        <f>IFERROR(AVERAGE(E49:U49),"")</f>
        <v/>
      </c>
    </row>
    <row r="50" ht="18" customHeight="1" s="65">
      <c r="A50" s="47" t="inlineStr">
        <is>
          <t xml:space="preserve">  Prime Cost % (CC1 + CC2)</t>
        </is>
      </c>
      <c r="B50" s="48" t="n"/>
      <c r="C50" s="49" t="inlineStr">
        <is>
          <t>%</t>
        </is>
      </c>
      <c r="D50" s="50" t="inlineStr">
        <is>
          <t>&lt; 65%</t>
        </is>
      </c>
      <c r="E50" s="55">
        <f>IF(E$5=0,"",(E$27+E$28)/E$5)</f>
        <v/>
      </c>
      <c r="F50" s="55">
        <f>IF(F$5=0,"",(F$27+F$28)/F$5)</f>
        <v/>
      </c>
      <c r="G50" s="55">
        <f>IF(G$5=0,"",(G$27+G$28)/G$5)</f>
        <v/>
      </c>
      <c r="H50" s="55">
        <f>IF(H$5=0,"",(H$27+H$28)/H$5)</f>
        <v/>
      </c>
      <c r="I50" s="55">
        <f>IF(I$5=0,"",(I$27+I$28)/I$5)</f>
        <v/>
      </c>
      <c r="J50" s="55">
        <f>IF(J$5=0,"",(J$27+J$28)/J$5)</f>
        <v/>
      </c>
      <c r="K50" s="55">
        <f>IF(K$5=0,"",(K$27+K$28)/K$5)</f>
        <v/>
      </c>
      <c r="L50" s="55">
        <f>IF(L$5=0,"",(L$27+L$28)/L$5)</f>
        <v/>
      </c>
      <c r="M50" s="55">
        <f>IF(M$5=0,"",(M$27+M$28)/M$5)</f>
        <v/>
      </c>
      <c r="N50" s="55">
        <f>IF(N$5=0,"",(N$27+N$28)/N$5)</f>
        <v/>
      </c>
      <c r="O50" s="55">
        <f>IF(O$5=0,"",(O$27+O$28)/O$5)</f>
        <v/>
      </c>
      <c r="P50" s="55">
        <f>IF(P$5=0,"",(P$27+P$28)/P$5)</f>
        <v/>
      </c>
      <c r="Q50" s="55">
        <f>IF(Q$5=0,"",(Q$27+Q$28)/Q$5)</f>
        <v/>
      </c>
      <c r="R50" s="55">
        <f>IF(R$5=0,"",(R$27+R$28)/R$5)</f>
        <v/>
      </c>
      <c r="S50" s="55">
        <f>IF(S$5=0,"",(S$27+S$28)/S$5)</f>
        <v/>
      </c>
      <c r="T50" s="55">
        <f>IF(T$5=0,"",(T$27+T$28)/T$5)</f>
        <v/>
      </c>
      <c r="U50" s="55">
        <f>IF(U$5=0,"",(U$27+U$28)/U$5)</f>
        <v/>
      </c>
      <c r="V50" s="55">
        <f>IF(V$5=0,"",(V$27+V$28)/V$5)</f>
        <v/>
      </c>
      <c r="W50" s="55">
        <f>IF(W$5=0,"",(W$27+W$28)/W$5)</f>
        <v/>
      </c>
      <c r="X50" s="55">
        <f>IF(X$5=0,"",(X$27+X$28)/X$5)</f>
        <v/>
      </c>
      <c r="Y50" s="55">
        <f>IF(Y$5=0,"",(Y$27+Y$28)/Y$5)</f>
        <v/>
      </c>
      <c r="Z50" s="55">
        <f>IF(Z$5=0,"",(Z$27+Z$28)/Z$5)</f>
        <v/>
      </c>
      <c r="AA50" s="55">
        <f>IF(AA$5=0,"",(AA$27+AA$28)/AA$5)</f>
        <v/>
      </c>
      <c r="AB50" s="55">
        <f>IF(AB$5=0,"",(AB$27+AB$28)/AB$5)</f>
        <v/>
      </c>
      <c r="AC50" s="54">
        <f>IFERROR(AVERAGE(E50:U50),"")</f>
        <v/>
      </c>
    </row>
    <row r="51" ht="18" customHeight="1" s="65">
      <c r="A51" s="52" t="inlineStr">
        <is>
          <t xml:space="preserve">  Rent % (arriendo 1.3.1)</t>
        </is>
      </c>
      <c r="B51" s="42">
        <f>PLAN_CUENTAS!$A$10</f>
        <v/>
      </c>
      <c r="C51" s="43" t="inlineStr">
        <is>
          <t>%</t>
        </is>
      </c>
      <c r="D51" s="44" t="inlineStr">
        <is>
          <t>&lt; 8%</t>
        </is>
      </c>
      <c r="E51" s="53">
        <f>IF(E$5=0,"",SUMIFS('2. EGRESOS'!$H:$H,'2. EGRESOS'!$B:$B,E$2,'2. EGRESOS'!$M:$M,$B51)/E$5)</f>
        <v/>
      </c>
      <c r="F51" s="53">
        <f>IF(F$5=0,"",SUMIFS('2. EGRESOS'!$H:$H,'2. EGRESOS'!$B:$B,F$2,'2. EGRESOS'!$M:$M,$B51)/F$5)</f>
        <v/>
      </c>
      <c r="G51" s="53">
        <f>IF(G$5=0,"",SUMIFS('2. EGRESOS'!$H:$H,'2. EGRESOS'!$B:$B,G$2,'2. EGRESOS'!$M:$M,$B51)/G$5)</f>
        <v/>
      </c>
      <c r="H51" s="53">
        <f>IF(H$5=0,"",SUMIFS('2. EGRESOS'!$H:$H,'2. EGRESOS'!$B:$B,H$2,'2. EGRESOS'!$M:$M,$B51)/H$5)</f>
        <v/>
      </c>
      <c r="I51" s="53">
        <f>IF(I$5=0,"",SUMIFS('2. EGRESOS'!$H:$H,'2. EGRESOS'!$B:$B,I$2,'2. EGRESOS'!$M:$M,$B51)/I$5)</f>
        <v/>
      </c>
      <c r="J51" s="53">
        <f>IF(J$5=0,"",SUMIFS('2. EGRESOS'!$H:$H,'2. EGRESOS'!$B:$B,J$2,'2. EGRESOS'!$M:$M,$B51)/J$5)</f>
        <v/>
      </c>
      <c r="K51" s="53">
        <f>IF(K$5=0,"",SUMIFS('2. EGRESOS'!$H:$H,'2. EGRESOS'!$B:$B,K$2,'2. EGRESOS'!$M:$M,$B51)/K$5)</f>
        <v/>
      </c>
      <c r="L51" s="53">
        <f>IF(L$5=0,"",SUMIFS('2. EGRESOS'!$H:$H,'2. EGRESOS'!$B:$B,L$2,'2. EGRESOS'!$M:$M,$B51)/L$5)</f>
        <v/>
      </c>
      <c r="M51" s="53">
        <f>IF(M$5=0,"",SUMIFS('2. EGRESOS'!$H:$H,'2. EGRESOS'!$B:$B,M$2,'2. EGRESOS'!$M:$M,$B51)/M$5)</f>
        <v/>
      </c>
      <c r="N51" s="53">
        <f>IF(N$5=0,"",SUMIFS('2. EGRESOS'!$H:$H,'2. EGRESOS'!$B:$B,N$2,'2. EGRESOS'!$M:$M,$B51)/N$5)</f>
        <v/>
      </c>
      <c r="O51" s="53">
        <f>IF(O$5=0,"",SUMIFS('2. EGRESOS'!$H:$H,'2. EGRESOS'!$B:$B,O$2,'2. EGRESOS'!$M:$M,$B51)/O$5)</f>
        <v/>
      </c>
      <c r="P51" s="53">
        <f>IF(P$5=0,"",SUMIFS('2. EGRESOS'!$H:$H,'2. EGRESOS'!$B:$B,P$2,'2. EGRESOS'!$M:$M,$B51)/P$5)</f>
        <v/>
      </c>
      <c r="Q51" s="53">
        <f>IF(Q$5=0,"",SUMIFS('2. EGRESOS'!$H:$H,'2. EGRESOS'!$B:$B,Q$2,'2. EGRESOS'!$M:$M,$B51)/Q$5)</f>
        <v/>
      </c>
      <c r="R51" s="53">
        <f>IF(R$5=0,"",SUMIFS('2. EGRESOS'!$H:$H,'2. EGRESOS'!$B:$B,R$2,'2. EGRESOS'!$M:$M,$B51)/R$5)</f>
        <v/>
      </c>
      <c r="S51" s="53">
        <f>IF(S$5=0,"",SUMIFS('2. EGRESOS'!$H:$H,'2. EGRESOS'!$B:$B,S$2,'2. EGRESOS'!$M:$M,$B51)/S$5)</f>
        <v/>
      </c>
      <c r="T51" s="53">
        <f>IF(T$5=0,"",SUMIFS('2. EGRESOS'!$H:$H,'2. EGRESOS'!$B:$B,T$2,'2. EGRESOS'!$M:$M,$B51)/T$5)</f>
        <v/>
      </c>
      <c r="U51" s="53">
        <f>IF(U$5=0,"",SUMIFS('2. EGRESOS'!$H:$H,'2. EGRESOS'!$B:$B,U$2,'2. EGRESOS'!$M:$M,$B51)/U$5)</f>
        <v/>
      </c>
      <c r="V51" s="53">
        <f>IF(V$5=0,"",SUMIFS('2. EGRESOS'!$H:$H,'2. EGRESOS'!$B:$B,V$2,'2. EGRESOS'!$M:$M,$B51)/V$5)</f>
        <v/>
      </c>
      <c r="W51" s="53">
        <f>IF(W$5=0,"",SUMIFS('2. EGRESOS'!$H:$H,'2. EGRESOS'!$B:$B,W$2,'2. EGRESOS'!$M:$M,$B51)/W$5)</f>
        <v/>
      </c>
      <c r="X51" s="53">
        <f>IF(X$5=0,"",SUMIFS('2. EGRESOS'!$H:$H,'2. EGRESOS'!$B:$B,X$2,'2. EGRESOS'!$M:$M,$B51)/X$5)</f>
        <v/>
      </c>
      <c r="Y51" s="53">
        <f>IF(Y$5=0,"",SUMIFS('2. EGRESOS'!$H:$H,'2. EGRESOS'!$B:$B,Y$2,'2. EGRESOS'!$M:$M,$B51)/Y$5)</f>
        <v/>
      </c>
      <c r="Z51" s="53">
        <f>IF(Z$5=0,"",SUMIFS('2. EGRESOS'!$H:$H,'2. EGRESOS'!$B:$B,Z$2,'2. EGRESOS'!$M:$M,$B51)/Z$5)</f>
        <v/>
      </c>
      <c r="AA51" s="53">
        <f>IF(AA$5=0,"",SUMIFS('2. EGRESOS'!$H:$H,'2. EGRESOS'!$B:$B,AA$2,'2. EGRESOS'!$M:$M,$B51)/AA$5)</f>
        <v/>
      </c>
      <c r="AB51" s="53">
        <f>IF(AB$5=0,"",SUMIFS('2. EGRESOS'!$H:$H,'2. EGRESOS'!$B:$B,AB$2,'2. EGRESOS'!$M:$M,$B51)/AB$5)</f>
        <v/>
      </c>
      <c r="AC51" s="54">
        <f>IFERROR(AVERAGE(E51:U51),"")</f>
        <v/>
      </c>
    </row>
    <row r="52" ht="18" customHeight="1" s="65">
      <c r="A52" s="47" t="inlineStr">
        <is>
          <t xml:space="preserve">  Marketing % (CC5)</t>
        </is>
      </c>
      <c r="B52" s="48" t="n"/>
      <c r="C52" s="49" t="inlineStr">
        <is>
          <t>%</t>
        </is>
      </c>
      <c r="D52" s="50" t="inlineStr">
        <is>
          <t>&lt; 10%</t>
        </is>
      </c>
      <c r="E52" s="55">
        <f>IF(E$5=0,"",E$31/E$5)</f>
        <v/>
      </c>
      <c r="F52" s="55">
        <f>IF(F$5=0,"",F$31/F$5)</f>
        <v/>
      </c>
      <c r="G52" s="55">
        <f>IF(G$5=0,"",G$31/G$5)</f>
        <v/>
      </c>
      <c r="H52" s="55">
        <f>IF(H$5=0,"",H$31/H$5)</f>
        <v/>
      </c>
      <c r="I52" s="55">
        <f>IF(I$5=0,"",I$31/I$5)</f>
        <v/>
      </c>
      <c r="J52" s="55">
        <f>IF(J$5=0,"",J$31/J$5)</f>
        <v/>
      </c>
      <c r="K52" s="55">
        <f>IF(K$5=0,"",K$31/K$5)</f>
        <v/>
      </c>
      <c r="L52" s="55">
        <f>IF(L$5=0,"",L$31/L$5)</f>
        <v/>
      </c>
      <c r="M52" s="55">
        <f>IF(M$5=0,"",M$31/M$5)</f>
        <v/>
      </c>
      <c r="N52" s="55">
        <f>IF(N$5=0,"",N$31/N$5)</f>
        <v/>
      </c>
      <c r="O52" s="55">
        <f>IF(O$5=0,"",O$31/O$5)</f>
        <v/>
      </c>
      <c r="P52" s="55">
        <f>IF(P$5=0,"",P$31/P$5)</f>
        <v/>
      </c>
      <c r="Q52" s="55">
        <f>IF(Q$5=0,"",Q$31/Q$5)</f>
        <v/>
      </c>
      <c r="R52" s="55">
        <f>IF(R$5=0,"",R$31/R$5)</f>
        <v/>
      </c>
      <c r="S52" s="55">
        <f>IF(S$5=0,"",S$31/S$5)</f>
        <v/>
      </c>
      <c r="T52" s="55">
        <f>IF(T$5=0,"",T$31/T$5)</f>
        <v/>
      </c>
      <c r="U52" s="55">
        <f>IF(U$5=0,"",U$31/U$5)</f>
        <v/>
      </c>
      <c r="V52" s="55">
        <f>IF(V$5=0,"",V$31/V$5)</f>
        <v/>
      </c>
      <c r="W52" s="55">
        <f>IF(W$5=0,"",W$31/W$5)</f>
        <v/>
      </c>
      <c r="X52" s="55">
        <f>IF(X$5=0,"",X$31/X$5)</f>
        <v/>
      </c>
      <c r="Y52" s="55">
        <f>IF(Y$5=0,"",Y$31/Y$5)</f>
        <v/>
      </c>
      <c r="Z52" s="55">
        <f>IF(Z$5=0,"",Z$31/Z$5)</f>
        <v/>
      </c>
      <c r="AA52" s="55">
        <f>IF(AA$5=0,"",AA$31/AA$5)</f>
        <v/>
      </c>
      <c r="AB52" s="55">
        <f>IF(AB$5=0,"",AB$31/AB$5)</f>
        <v/>
      </c>
      <c r="AC52" s="54">
        <f>IFERROR(AVERAGE(E52:U52),"")</f>
        <v/>
      </c>
    </row>
    <row r="53" ht="18" customHeight="1" s="65">
      <c r="A53" s="52" t="inlineStr">
        <is>
          <t xml:space="preserve">  Comisiones % (CC7)</t>
        </is>
      </c>
      <c r="B53" s="42" t="n"/>
      <c r="C53" s="43" t="inlineStr">
        <is>
          <t>%</t>
        </is>
      </c>
      <c r="D53" s="44" t="n"/>
      <c r="E53" s="53">
        <f>IF(E$5=0,"",E$33/E$5)</f>
        <v/>
      </c>
      <c r="F53" s="53">
        <f>IF(F$5=0,"",F$33/F$5)</f>
        <v/>
      </c>
      <c r="G53" s="53">
        <f>IF(G$5=0,"",G$33/G$5)</f>
        <v/>
      </c>
      <c r="H53" s="53">
        <f>IF(H$5=0,"",H$33/H$5)</f>
        <v/>
      </c>
      <c r="I53" s="53">
        <f>IF(I$5=0,"",I$33/I$5)</f>
        <v/>
      </c>
      <c r="J53" s="53">
        <f>IF(J$5=0,"",J$33/J$5)</f>
        <v/>
      </c>
      <c r="K53" s="53">
        <f>IF(K$5=0,"",K$33/K$5)</f>
        <v/>
      </c>
      <c r="L53" s="53">
        <f>IF(L$5=0,"",L$33/L$5)</f>
        <v/>
      </c>
      <c r="M53" s="53">
        <f>IF(M$5=0,"",M$33/M$5)</f>
        <v/>
      </c>
      <c r="N53" s="53">
        <f>IF(N$5=0,"",N$33/N$5)</f>
        <v/>
      </c>
      <c r="O53" s="53">
        <f>IF(O$5=0,"",O$33/O$5)</f>
        <v/>
      </c>
      <c r="P53" s="53">
        <f>IF(P$5=0,"",P$33/P$5)</f>
        <v/>
      </c>
      <c r="Q53" s="53">
        <f>IF(Q$5=0,"",Q$33/Q$5)</f>
        <v/>
      </c>
      <c r="R53" s="53">
        <f>IF(R$5=0,"",R$33/R$5)</f>
        <v/>
      </c>
      <c r="S53" s="53">
        <f>IF(S$5=0,"",S$33/S$5)</f>
        <v/>
      </c>
      <c r="T53" s="53">
        <f>IF(T$5=0,"",T$33/T$5)</f>
        <v/>
      </c>
      <c r="U53" s="53">
        <f>IF(U$5=0,"",U$33/U$5)</f>
        <v/>
      </c>
      <c r="V53" s="53">
        <f>IF(V$5=0,"",V$33/V$5)</f>
        <v/>
      </c>
      <c r="W53" s="53">
        <f>IF(W$5=0,"",W$33/W$5)</f>
        <v/>
      </c>
      <c r="X53" s="53">
        <f>IF(X$5=0,"",X$33/X$5)</f>
        <v/>
      </c>
      <c r="Y53" s="53">
        <f>IF(Y$5=0,"",Y$33/Y$5)</f>
        <v/>
      </c>
      <c r="Z53" s="53">
        <f>IF(Z$5=0,"",Z$33/Z$5)</f>
        <v/>
      </c>
      <c r="AA53" s="53">
        <f>IF(AA$5=0,"",AA$33/AA$5)</f>
        <v/>
      </c>
      <c r="AB53" s="53">
        <f>IF(AB$5=0,"",AB$33/AB$5)</f>
        <v/>
      </c>
      <c r="AC53" s="54">
        <f>IFERROR(AVERAGE(E53:U53),"")</f>
        <v/>
      </c>
    </row>
    <row r="54" ht="18" customHeight="1" s="65">
      <c r="A54" s="56" t="inlineStr">
        <is>
          <t>EBIT $ (Venta - Total Egresos)</t>
        </is>
      </c>
      <c r="B54" s="48" t="n"/>
      <c r="C54" s="49" t="inlineStr">
        <is>
          <t>$</t>
        </is>
      </c>
      <c r="D54" s="50" t="n"/>
      <c r="E54" s="51">
        <f>IF(E$5=0,"",E$5-E$26)</f>
        <v/>
      </c>
      <c r="F54" s="51">
        <f>IF(F$5=0,"",F$5-F$26)</f>
        <v/>
      </c>
      <c r="G54" s="51">
        <f>IF(G$5=0,"",G$5-G$26)</f>
        <v/>
      </c>
      <c r="H54" s="51">
        <f>IF(H$5=0,"",H$5-H$26)</f>
        <v/>
      </c>
      <c r="I54" s="51">
        <f>IF(I$5=0,"",I$5-I$26)</f>
        <v/>
      </c>
      <c r="J54" s="51">
        <f>IF(J$5=0,"",J$5-J$26)</f>
        <v/>
      </c>
      <c r="K54" s="51">
        <f>IF(K$5=0,"",K$5-K$26)</f>
        <v/>
      </c>
      <c r="L54" s="51">
        <f>IF(L$5=0,"",L$5-L$26)</f>
        <v/>
      </c>
      <c r="M54" s="51">
        <f>IF(M$5=0,"",M$5-M$26)</f>
        <v/>
      </c>
      <c r="N54" s="51">
        <f>IF(N$5=0,"",N$5-N$26)</f>
        <v/>
      </c>
      <c r="O54" s="51">
        <f>IF(O$5=0,"",O$5-O$26)</f>
        <v/>
      </c>
      <c r="P54" s="51">
        <f>IF(P$5=0,"",P$5-P$26)</f>
        <v/>
      </c>
      <c r="Q54" s="51">
        <f>IF(Q$5=0,"",Q$5-Q$26)</f>
        <v/>
      </c>
      <c r="R54" s="51">
        <f>IF(R$5=0,"",R$5-R$26)</f>
        <v/>
      </c>
      <c r="S54" s="51">
        <f>IF(S$5=0,"",S$5-S$26)</f>
        <v/>
      </c>
      <c r="T54" s="51">
        <f>IF(T$5=0,"",T$5-T$26)</f>
        <v/>
      </c>
      <c r="U54" s="51">
        <f>IF(U$5=0,"",U$5-U$26)</f>
        <v/>
      </c>
      <c r="V54" s="51">
        <f>IF(V$5=0,"",V$5-V$26)</f>
        <v/>
      </c>
      <c r="W54" s="51">
        <f>IF(W$5=0,"",W$5-W$26)</f>
        <v/>
      </c>
      <c r="X54" s="51">
        <f>IF(X$5=0,"",X$5-X$26)</f>
        <v/>
      </c>
      <c r="Y54" s="51">
        <f>IF(Y$5=0,"",Y$5-Y$26)</f>
        <v/>
      </c>
      <c r="Z54" s="51">
        <f>IF(Z$5=0,"",Z$5-Z$26)</f>
        <v/>
      </c>
      <c r="AA54" s="51">
        <f>IF(AA$5=0,"",AA$5-AA$26)</f>
        <v/>
      </c>
      <c r="AB54" s="51">
        <f>IF(AB$5=0,"",AB$5-AB$26)</f>
        <v/>
      </c>
      <c r="AC54" s="46">
        <f>IFERROR(AVERAGE(E54:U54),"")</f>
        <v/>
      </c>
    </row>
    <row r="55" ht="18" customHeight="1" s="65">
      <c r="A55" s="41" t="inlineStr">
        <is>
          <t>EBIT %</t>
        </is>
      </c>
      <c r="B55" s="42" t="n"/>
      <c r="C55" s="43" t="inlineStr">
        <is>
          <t>%</t>
        </is>
      </c>
      <c r="D55" s="44" t="inlineStr">
        <is>
          <t>&gt; 10%</t>
        </is>
      </c>
      <c r="E55" s="53">
        <f>IF(E$5=0,"",E$54/E$5)</f>
        <v/>
      </c>
      <c r="F55" s="53">
        <f>IF(F$5=0,"",F$54/F$5)</f>
        <v/>
      </c>
      <c r="G55" s="53">
        <f>IF(G$5=0,"",G$54/G$5)</f>
        <v/>
      </c>
      <c r="H55" s="53">
        <f>IF(H$5=0,"",H$54/H$5)</f>
        <v/>
      </c>
      <c r="I55" s="53">
        <f>IF(I$5=0,"",I$54/I$5)</f>
        <v/>
      </c>
      <c r="J55" s="53">
        <f>IF(J$5=0,"",J$54/J$5)</f>
        <v/>
      </c>
      <c r="K55" s="53">
        <f>IF(K$5=0,"",K$54/K$5)</f>
        <v/>
      </c>
      <c r="L55" s="53">
        <f>IF(L$5=0,"",L$54/L$5)</f>
        <v/>
      </c>
      <c r="M55" s="53">
        <f>IF(M$5=0,"",M$54/M$5)</f>
        <v/>
      </c>
      <c r="N55" s="53">
        <f>IF(N$5=0,"",N$54/N$5)</f>
        <v/>
      </c>
      <c r="O55" s="53">
        <f>IF(O$5=0,"",O$54/O$5)</f>
        <v/>
      </c>
      <c r="P55" s="53">
        <f>IF(P$5=0,"",P$54/P$5)</f>
        <v/>
      </c>
      <c r="Q55" s="53">
        <f>IF(Q$5=0,"",Q$54/Q$5)</f>
        <v/>
      </c>
      <c r="R55" s="53">
        <f>IF(R$5=0,"",R$54/R$5)</f>
        <v/>
      </c>
      <c r="S55" s="53">
        <f>IF(S$5=0,"",S$54/S$5)</f>
        <v/>
      </c>
      <c r="T55" s="53">
        <f>IF(T$5=0,"",T$54/T$5)</f>
        <v/>
      </c>
      <c r="U55" s="53">
        <f>IF(U$5=0,"",U$54/U$5)</f>
        <v/>
      </c>
      <c r="V55" s="53">
        <f>IF(V$5=0,"",V$54/V$5)</f>
        <v/>
      </c>
      <c r="W55" s="53">
        <f>IF(W$5=0,"",W$54/W$5)</f>
        <v/>
      </c>
      <c r="X55" s="53">
        <f>IF(X$5=0,"",X$54/X$5)</f>
        <v/>
      </c>
      <c r="Y55" s="53">
        <f>IF(Y$5=0,"",Y$54/Y$5)</f>
        <v/>
      </c>
      <c r="Z55" s="53">
        <f>IF(Z$5=0,"",Z$54/Z$5)</f>
        <v/>
      </c>
      <c r="AA55" s="53">
        <f>IF(AA$5=0,"",AA$54/AA$5)</f>
        <v/>
      </c>
      <c r="AB55" s="53">
        <f>IF(AB$5=0,"",AB$54/AB$5)</f>
        <v/>
      </c>
      <c r="AC55" s="54">
        <f>IFERROR(AVERAGE(E55:U55),"")</f>
        <v/>
      </c>
    </row>
    <row r="56" ht="18" customHeight="1" s="65"/>
    <row r="57" ht="19.95" customHeight="1" s="65">
      <c r="A57" s="39" t="inlineStr">
        <is>
          <t>P&amp;L POR CANAL  |  costos directos proporcionales; overhead sin asignar</t>
        </is>
      </c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</row>
    <row r="58" ht="19.05" customHeight="1" s="65">
      <c r="A58" s="58" t="inlineStr">
        <is>
          <t>HoReCa (CH1)</t>
        </is>
      </c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</row>
    <row r="59" ht="18" customHeight="1" s="65">
      <c r="A59" s="52" t="inlineStr">
        <is>
          <t xml:space="preserve">  Ingreso Neto HoReCa</t>
        </is>
      </c>
      <c r="B59" s="42" t="n"/>
      <c r="C59" s="43" t="inlineStr">
        <is>
          <t>$</t>
        </is>
      </c>
      <c r="D59" s="44" t="n"/>
      <c r="E59" s="45">
        <f>E$6</f>
        <v/>
      </c>
      <c r="F59" s="45">
        <f>F$6</f>
        <v/>
      </c>
      <c r="G59" s="45">
        <f>G$6</f>
        <v/>
      </c>
      <c r="H59" s="45">
        <f>H$6</f>
        <v/>
      </c>
      <c r="I59" s="45">
        <f>I$6</f>
        <v/>
      </c>
      <c r="J59" s="45">
        <f>J$6</f>
        <v/>
      </c>
      <c r="K59" s="45">
        <f>K$6</f>
        <v/>
      </c>
      <c r="L59" s="45">
        <f>L$6</f>
        <v/>
      </c>
      <c r="M59" s="45">
        <f>M$6</f>
        <v/>
      </c>
      <c r="N59" s="45">
        <f>N$6</f>
        <v/>
      </c>
      <c r="O59" s="45">
        <f>O$6</f>
        <v/>
      </c>
      <c r="P59" s="45">
        <f>P$6</f>
        <v/>
      </c>
      <c r="Q59" s="45">
        <f>Q$6</f>
        <v/>
      </c>
      <c r="R59" s="45">
        <f>R$6</f>
        <v/>
      </c>
      <c r="S59" s="45">
        <f>S$6</f>
        <v/>
      </c>
      <c r="T59" s="45">
        <f>T$6</f>
        <v/>
      </c>
      <c r="U59" s="45">
        <f>U$6</f>
        <v/>
      </c>
      <c r="V59" s="45">
        <f>V$6</f>
        <v/>
      </c>
      <c r="W59" s="45">
        <f>W$6</f>
        <v/>
      </c>
      <c r="X59" s="45">
        <f>X$6</f>
        <v/>
      </c>
      <c r="Y59" s="45">
        <f>Y$6</f>
        <v/>
      </c>
      <c r="Z59" s="45">
        <f>Z$6</f>
        <v/>
      </c>
      <c r="AA59" s="45">
        <f>AA$6</f>
        <v/>
      </c>
      <c r="AB59" s="45">
        <f>AB$6</f>
        <v/>
      </c>
      <c r="AC59" s="46">
        <f>IFERROR(AVERAGE(E59:U59),"")</f>
        <v/>
      </c>
    </row>
    <row r="60" ht="18" customHeight="1" s="65">
      <c r="A60" s="47" t="inlineStr">
        <is>
          <t xml:space="preserve">  - Food Cost proporcional</t>
        </is>
      </c>
      <c r="B60" s="48" t="n"/>
      <c r="C60" s="49" t="inlineStr">
        <is>
          <t>$</t>
        </is>
      </c>
      <c r="D60" s="50" t="n"/>
      <c r="E60" s="51">
        <f>IF(E$5=0,"",-E$27*(E$6/E$5))</f>
        <v/>
      </c>
      <c r="F60" s="51">
        <f>IF(F$5=0,"",-F$27*(F$6/F$5))</f>
        <v/>
      </c>
      <c r="G60" s="51">
        <f>IF(G$5=0,"",-G$27*(G$6/G$5))</f>
        <v/>
      </c>
      <c r="H60" s="51">
        <f>IF(H$5=0,"",-H$27*(H$6/H$5))</f>
        <v/>
      </c>
      <c r="I60" s="51">
        <f>IF(I$5=0,"",-I$27*(I$6/I$5))</f>
        <v/>
      </c>
      <c r="J60" s="51">
        <f>IF(J$5=0,"",-J$27*(J$6/J$5))</f>
        <v/>
      </c>
      <c r="K60" s="51">
        <f>IF(K$5=0,"",-K$27*(K$6/K$5))</f>
        <v/>
      </c>
      <c r="L60" s="51">
        <f>IF(L$5=0,"",-L$27*(L$6/L$5))</f>
        <v/>
      </c>
      <c r="M60" s="51">
        <f>IF(M$5=0,"",-M$27*(M$6/M$5))</f>
        <v/>
      </c>
      <c r="N60" s="51">
        <f>IF(N$5=0,"",-N$27*(N$6/N$5))</f>
        <v/>
      </c>
      <c r="O60" s="51">
        <f>IF(O$5=0,"",-O$27*(O$6/O$5))</f>
        <v/>
      </c>
      <c r="P60" s="51">
        <f>IF(P$5=0,"",-P$27*(P$6/P$5))</f>
        <v/>
      </c>
      <c r="Q60" s="51">
        <f>IF(Q$5=0,"",-Q$27*(Q$6/Q$5))</f>
        <v/>
      </c>
      <c r="R60" s="51">
        <f>IF(R$5=0,"",-R$27*(R$6/R$5))</f>
        <v/>
      </c>
      <c r="S60" s="51">
        <f>IF(S$5=0,"",-S$27*(S$6/S$5))</f>
        <v/>
      </c>
      <c r="T60" s="51">
        <f>IF(T$5=0,"",-T$27*(T$6/T$5))</f>
        <v/>
      </c>
      <c r="U60" s="51">
        <f>IF(U$5=0,"",-U$27*(U$6/U$5))</f>
        <v/>
      </c>
      <c r="V60" s="51">
        <f>IF(V$5=0,"",-V$27*(V$6/V$5))</f>
        <v/>
      </c>
      <c r="W60" s="51">
        <f>IF(W$5=0,"",-W$27*(W$6/W$5))</f>
        <v/>
      </c>
      <c r="X60" s="51">
        <f>IF(X$5=0,"",-X$27*(X$6/X$5))</f>
        <v/>
      </c>
      <c r="Y60" s="51">
        <f>IF(Y$5=0,"",-Y$27*(Y$6/Y$5))</f>
        <v/>
      </c>
      <c r="Z60" s="51">
        <f>IF(Z$5=0,"",-Z$27*(Z$6/Z$5))</f>
        <v/>
      </c>
      <c r="AA60" s="51">
        <f>IF(AA$5=0,"",-AA$27*(AA$6/AA$5))</f>
        <v/>
      </c>
      <c r="AB60" s="51">
        <f>IF(AB$5=0,"",-AB$27*(AB$6/AB$5))</f>
        <v/>
      </c>
      <c r="AC60" s="46">
        <f>IFERROR(AVERAGE(E60:U60),"")</f>
        <v/>
      </c>
    </row>
    <row r="61" ht="18" customHeight="1" s="65">
      <c r="A61" s="52" t="inlineStr">
        <is>
          <t xml:space="preserve">  - Comision Getnet (prop. HoReCa)</t>
        </is>
      </c>
      <c r="B61" s="42">
        <f>PLAN_CUENTAS!$A$34</f>
        <v/>
      </c>
      <c r="C61" s="43" t="inlineStr">
        <is>
          <t>$</t>
        </is>
      </c>
      <c r="D61" s="44" t="n"/>
      <c r="E61" s="45">
        <f>IF((E$6+E$7)=0,"",-SUMIFS('2. EGRESOS'!$H:$H,'2. EGRESOS'!$B:$B,E$2,'2. EGRESOS'!$M:$M,$B61)*(E$6/(E$6+E$7)))</f>
        <v/>
      </c>
      <c r="F61" s="45">
        <f>IF((F$6+F$7)=0,"",-SUMIFS('2. EGRESOS'!$H:$H,'2. EGRESOS'!$B:$B,F$2,'2. EGRESOS'!$M:$M,$B61)*(F$6/(F$6+F$7)))</f>
        <v/>
      </c>
      <c r="G61" s="45">
        <f>IF((G$6+G$7)=0,"",-SUMIFS('2. EGRESOS'!$H:$H,'2. EGRESOS'!$B:$B,G$2,'2. EGRESOS'!$M:$M,$B61)*(G$6/(G$6+G$7)))</f>
        <v/>
      </c>
      <c r="H61" s="45">
        <f>IF((H$6+H$7)=0,"",-SUMIFS('2. EGRESOS'!$H:$H,'2. EGRESOS'!$B:$B,H$2,'2. EGRESOS'!$M:$M,$B61)*(H$6/(H$6+H$7)))</f>
        <v/>
      </c>
      <c r="I61" s="45">
        <f>IF((I$6+I$7)=0,"",-SUMIFS('2. EGRESOS'!$H:$H,'2. EGRESOS'!$B:$B,I$2,'2. EGRESOS'!$M:$M,$B61)*(I$6/(I$6+I$7)))</f>
        <v/>
      </c>
      <c r="J61" s="45">
        <f>IF((J$6+J$7)=0,"",-SUMIFS('2. EGRESOS'!$H:$H,'2. EGRESOS'!$B:$B,J$2,'2. EGRESOS'!$M:$M,$B61)*(J$6/(J$6+J$7)))</f>
        <v/>
      </c>
      <c r="K61" s="45">
        <f>IF((K$6+K$7)=0,"",-SUMIFS('2. EGRESOS'!$H:$H,'2. EGRESOS'!$B:$B,K$2,'2. EGRESOS'!$M:$M,$B61)*(K$6/(K$6+K$7)))</f>
        <v/>
      </c>
      <c r="L61" s="45">
        <f>IF((L$6+L$7)=0,"",-SUMIFS('2. EGRESOS'!$H:$H,'2. EGRESOS'!$B:$B,L$2,'2. EGRESOS'!$M:$M,$B61)*(L$6/(L$6+L$7)))</f>
        <v/>
      </c>
      <c r="M61" s="45">
        <f>IF((M$6+M$7)=0,"",-SUMIFS('2. EGRESOS'!$H:$H,'2. EGRESOS'!$B:$B,M$2,'2. EGRESOS'!$M:$M,$B61)*(M$6/(M$6+M$7)))</f>
        <v/>
      </c>
      <c r="N61" s="45">
        <f>IF((N$6+N$7)=0,"",-SUMIFS('2. EGRESOS'!$H:$H,'2. EGRESOS'!$B:$B,N$2,'2. EGRESOS'!$M:$M,$B61)*(N$6/(N$6+N$7)))</f>
        <v/>
      </c>
      <c r="O61" s="45">
        <f>IF((O$6+O$7)=0,"",-SUMIFS('2. EGRESOS'!$H:$H,'2. EGRESOS'!$B:$B,O$2,'2. EGRESOS'!$M:$M,$B61)*(O$6/(O$6+O$7)))</f>
        <v/>
      </c>
      <c r="P61" s="45">
        <f>IF((P$6+P$7)=0,"",-SUMIFS('2. EGRESOS'!$H:$H,'2. EGRESOS'!$B:$B,P$2,'2. EGRESOS'!$M:$M,$B61)*(P$6/(P$6+P$7)))</f>
        <v/>
      </c>
      <c r="Q61" s="45">
        <f>IF((Q$6+Q$7)=0,"",-SUMIFS('2. EGRESOS'!$H:$H,'2. EGRESOS'!$B:$B,Q$2,'2. EGRESOS'!$M:$M,$B61)*(Q$6/(Q$6+Q$7)))</f>
        <v/>
      </c>
      <c r="R61" s="45">
        <f>IF((R$6+R$7)=0,"",-SUMIFS('2. EGRESOS'!$H:$H,'2. EGRESOS'!$B:$B,R$2,'2. EGRESOS'!$M:$M,$B61)*(R$6/(R$6+R$7)))</f>
        <v/>
      </c>
      <c r="S61" s="45">
        <f>IF((S$6+S$7)=0,"",-SUMIFS('2. EGRESOS'!$H:$H,'2. EGRESOS'!$B:$B,S$2,'2. EGRESOS'!$M:$M,$B61)*(S$6/(S$6+S$7)))</f>
        <v/>
      </c>
      <c r="T61" s="45">
        <f>IF((T$6+T$7)=0,"",-SUMIFS('2. EGRESOS'!$H:$H,'2. EGRESOS'!$B:$B,T$2,'2. EGRESOS'!$M:$M,$B61)*(T$6/(T$6+T$7)))</f>
        <v/>
      </c>
      <c r="U61" s="45">
        <f>IF((U$6+U$7)=0,"",-SUMIFS('2. EGRESOS'!$H:$H,'2. EGRESOS'!$B:$B,U$2,'2. EGRESOS'!$M:$M,$B61)*(U$6/(U$6+U$7)))</f>
        <v/>
      </c>
      <c r="V61" s="45">
        <f>IF((V$6+V$7)=0,"",-SUMIFS('2. EGRESOS'!$H:$H,'2. EGRESOS'!$B:$B,V$2,'2. EGRESOS'!$M:$M,$B61)*(V$6/(V$6+V$7)))</f>
        <v/>
      </c>
      <c r="W61" s="45">
        <f>IF((W$6+W$7)=0,"",-SUMIFS('2. EGRESOS'!$H:$H,'2. EGRESOS'!$B:$B,W$2,'2. EGRESOS'!$M:$M,$B61)*(W$6/(W$6+W$7)))</f>
        <v/>
      </c>
      <c r="X61" s="45">
        <f>IF((X$6+X$7)=0,"",-SUMIFS('2. EGRESOS'!$H:$H,'2. EGRESOS'!$B:$B,X$2,'2. EGRESOS'!$M:$M,$B61)*(X$6/(X$6+X$7)))</f>
        <v/>
      </c>
      <c r="Y61" s="45">
        <f>IF((Y$6+Y$7)=0,"",-SUMIFS('2. EGRESOS'!$H:$H,'2. EGRESOS'!$B:$B,Y$2,'2. EGRESOS'!$M:$M,$B61)*(Y$6/(Y$6+Y$7)))</f>
        <v/>
      </c>
      <c r="Z61" s="45">
        <f>IF((Z$6+Z$7)=0,"",-SUMIFS('2. EGRESOS'!$H:$H,'2. EGRESOS'!$B:$B,Z$2,'2. EGRESOS'!$M:$M,$B61)*(Z$6/(Z$6+Z$7)))</f>
        <v/>
      </c>
      <c r="AA61" s="45">
        <f>IF((AA$6+AA$7)=0,"",-SUMIFS('2. EGRESOS'!$H:$H,'2. EGRESOS'!$B:$B,AA$2,'2. EGRESOS'!$M:$M,$B61)*(AA$6/(AA$6+AA$7)))</f>
        <v/>
      </c>
      <c r="AB61" s="45">
        <f>IF((AB$6+AB$7)=0,"",-SUMIFS('2. EGRESOS'!$H:$H,'2. EGRESOS'!$B:$B,AB$2,'2. EGRESOS'!$M:$M,$B61)*(AB$6/(AB$6+AB$7)))</f>
        <v/>
      </c>
      <c r="AC61" s="46">
        <f>IFERROR(AVERAGE(E61:U61),"")</f>
        <v/>
      </c>
    </row>
    <row r="62" ht="18" customHeight="1" s="65">
      <c r="A62" s="47" t="inlineStr">
        <is>
          <t xml:space="preserve">  - Logistica proporcional (CC6)</t>
        </is>
      </c>
      <c r="B62" s="48" t="n"/>
      <c r="C62" s="49" t="inlineStr">
        <is>
          <t>$</t>
        </is>
      </c>
      <c r="D62" s="50" t="n"/>
      <c r="E62" s="51">
        <f>IF(E$5=0,"",-E$32*(E$6/E$5))</f>
        <v/>
      </c>
      <c r="F62" s="51">
        <f>IF(F$5=0,"",-F$32*(F$6/F$5))</f>
        <v/>
      </c>
      <c r="G62" s="51">
        <f>IF(G$5=0,"",-G$32*(G$6/G$5))</f>
        <v/>
      </c>
      <c r="H62" s="51">
        <f>IF(H$5=0,"",-H$32*(H$6/H$5))</f>
        <v/>
      </c>
      <c r="I62" s="51">
        <f>IF(I$5=0,"",-I$32*(I$6/I$5))</f>
        <v/>
      </c>
      <c r="J62" s="51">
        <f>IF(J$5=0,"",-J$32*(J$6/J$5))</f>
        <v/>
      </c>
      <c r="K62" s="51">
        <f>IF(K$5=0,"",-K$32*(K$6/K$5))</f>
        <v/>
      </c>
      <c r="L62" s="51">
        <f>IF(L$5=0,"",-L$32*(L$6/L$5))</f>
        <v/>
      </c>
      <c r="M62" s="51">
        <f>IF(M$5=0,"",-M$32*(M$6/M$5))</f>
        <v/>
      </c>
      <c r="N62" s="51">
        <f>IF(N$5=0,"",-N$32*(N$6/N$5))</f>
        <v/>
      </c>
      <c r="O62" s="51">
        <f>IF(O$5=0,"",-O$32*(O$6/O$5))</f>
        <v/>
      </c>
      <c r="P62" s="51">
        <f>IF(P$5=0,"",-P$32*(P$6/P$5))</f>
        <v/>
      </c>
      <c r="Q62" s="51">
        <f>IF(Q$5=0,"",-Q$32*(Q$6/Q$5))</f>
        <v/>
      </c>
      <c r="R62" s="51">
        <f>IF(R$5=0,"",-R$32*(R$6/R$5))</f>
        <v/>
      </c>
      <c r="S62" s="51">
        <f>IF(S$5=0,"",-S$32*(S$6/S$5))</f>
        <v/>
      </c>
      <c r="T62" s="51">
        <f>IF(T$5=0,"",-T$32*(T$6/T$5))</f>
        <v/>
      </c>
      <c r="U62" s="51">
        <f>IF(U$5=0,"",-U$32*(U$6/U$5))</f>
        <v/>
      </c>
      <c r="V62" s="51">
        <f>IF(V$5=0,"",-V$32*(V$6/V$5))</f>
        <v/>
      </c>
      <c r="W62" s="51">
        <f>IF(W$5=0,"",-W$32*(W$6/W$5))</f>
        <v/>
      </c>
      <c r="X62" s="51">
        <f>IF(X$5=0,"",-X$32*(X$6/X$5))</f>
        <v/>
      </c>
      <c r="Y62" s="51">
        <f>IF(Y$5=0,"",-Y$32*(Y$6/Y$5))</f>
        <v/>
      </c>
      <c r="Z62" s="51">
        <f>IF(Z$5=0,"",-Z$32*(Z$6/Z$5))</f>
        <v/>
      </c>
      <c r="AA62" s="51">
        <f>IF(AA$5=0,"",-AA$32*(AA$6/AA$5))</f>
        <v/>
      </c>
      <c r="AB62" s="51">
        <f>IF(AB$5=0,"",-AB$32*(AB$6/AB$5))</f>
        <v/>
      </c>
      <c r="AC62" s="46">
        <f>IFERROR(AVERAGE(E62:U62),"")</f>
        <v/>
      </c>
    </row>
    <row r="63" ht="18" customHeight="1" s="65">
      <c r="A63" s="41" t="inlineStr">
        <is>
          <t xml:space="preserve">  = Contribucion HoReCa $</t>
        </is>
      </c>
      <c r="B63" s="42" t="n"/>
      <c r="C63" s="43" t="inlineStr">
        <is>
          <t>$</t>
        </is>
      </c>
      <c r="D63" s="44" t="n"/>
      <c r="E63" s="45">
        <f>IFERROR(E$59+E$60+E$61+E$62,"")</f>
        <v/>
      </c>
      <c r="F63" s="45">
        <f>IFERROR(F$59+F$60+F$61+F$62,"")</f>
        <v/>
      </c>
      <c r="G63" s="45">
        <f>IFERROR(G$59+G$60+G$61+G$62,"")</f>
        <v/>
      </c>
      <c r="H63" s="45">
        <f>IFERROR(H$59+H$60+H$61+H$62,"")</f>
        <v/>
      </c>
      <c r="I63" s="45">
        <f>IFERROR(I$59+I$60+I$61+I$62,"")</f>
        <v/>
      </c>
      <c r="J63" s="45">
        <f>IFERROR(J$59+J$60+J$61+J$62,"")</f>
        <v/>
      </c>
      <c r="K63" s="45">
        <f>IFERROR(K$59+K$60+K$61+K$62,"")</f>
        <v/>
      </c>
      <c r="L63" s="45">
        <f>IFERROR(L$59+L$60+L$61+L$62,"")</f>
        <v/>
      </c>
      <c r="M63" s="45">
        <f>IFERROR(M$59+M$60+M$61+M$62,"")</f>
        <v/>
      </c>
      <c r="N63" s="45">
        <f>IFERROR(N$59+N$60+N$61+N$62,"")</f>
        <v/>
      </c>
      <c r="O63" s="45">
        <f>IFERROR(O$59+O$60+O$61+O$62,"")</f>
        <v/>
      </c>
      <c r="P63" s="45">
        <f>IFERROR(P$59+P$60+P$61+P$62,"")</f>
        <v/>
      </c>
      <c r="Q63" s="45">
        <f>IFERROR(Q$59+Q$60+Q$61+Q$62,"")</f>
        <v/>
      </c>
      <c r="R63" s="45">
        <f>IFERROR(R$59+R$60+R$61+R$62,"")</f>
        <v/>
      </c>
      <c r="S63" s="45">
        <f>IFERROR(S$59+S$60+S$61+S$62,"")</f>
        <v/>
      </c>
      <c r="T63" s="45">
        <f>IFERROR(T$59+T$60+T$61+T$62,"")</f>
        <v/>
      </c>
      <c r="U63" s="45">
        <f>IFERROR(U$59+U$60+U$61+U$62,"")</f>
        <v/>
      </c>
      <c r="V63" s="45">
        <f>IFERROR(V$59+V$60+V$61+V$62,"")</f>
        <v/>
      </c>
      <c r="W63" s="45">
        <f>IFERROR(W$59+W$60+W$61+W$62,"")</f>
        <v/>
      </c>
      <c r="X63" s="45">
        <f>IFERROR(X$59+X$60+X$61+X$62,"")</f>
        <v/>
      </c>
      <c r="Y63" s="45">
        <f>IFERROR(Y$59+Y$60+Y$61+Y$62,"")</f>
        <v/>
      </c>
      <c r="Z63" s="45">
        <f>IFERROR(Z$59+Z$60+Z$61+Z$62,"")</f>
        <v/>
      </c>
      <c r="AA63" s="45">
        <f>IFERROR(AA$59+AA$60+AA$61+AA$62,"")</f>
        <v/>
      </c>
      <c r="AB63" s="45">
        <f>IFERROR(AB$59+AB$60+AB$61+AB$62,"")</f>
        <v/>
      </c>
      <c r="AC63" s="46">
        <f>IFERROR(AVERAGE(E63:U63),"")</f>
        <v/>
      </c>
    </row>
    <row r="64" ht="18" customHeight="1" s="65">
      <c r="A64" s="56" t="inlineStr">
        <is>
          <t xml:space="preserve">    Contribucion HoReCa %</t>
        </is>
      </c>
      <c r="B64" s="48" t="n"/>
      <c r="C64" s="49" t="inlineStr">
        <is>
          <t>%</t>
        </is>
      </c>
      <c r="D64" s="50" t="n"/>
      <c r="E64" s="55">
        <f>IF(E$59=0,"",E$63/E$59)</f>
        <v/>
      </c>
      <c r="F64" s="55">
        <f>IF(F$59=0,"",F$63/F$59)</f>
        <v/>
      </c>
      <c r="G64" s="55">
        <f>IF(G$59=0,"",G$63/G$59)</f>
        <v/>
      </c>
      <c r="H64" s="55">
        <f>IF(H$59=0,"",H$63/H$59)</f>
        <v/>
      </c>
      <c r="I64" s="55">
        <f>IF(I$59=0,"",I$63/I$59)</f>
        <v/>
      </c>
      <c r="J64" s="55">
        <f>IF(J$59=0,"",J$63/J$59)</f>
        <v/>
      </c>
      <c r="K64" s="55">
        <f>IF(K$59=0,"",K$63/K$59)</f>
        <v/>
      </c>
      <c r="L64" s="55">
        <f>IF(L$59=0,"",L$63/L$59)</f>
        <v/>
      </c>
      <c r="M64" s="55">
        <f>IF(M$59=0,"",M$63/M$59)</f>
        <v/>
      </c>
      <c r="N64" s="55">
        <f>IF(N$59=0,"",N$63/N$59)</f>
        <v/>
      </c>
      <c r="O64" s="55">
        <f>IF(O$59=0,"",O$63/O$59)</f>
        <v/>
      </c>
      <c r="P64" s="55">
        <f>IF(P$59=0,"",P$63/P$59)</f>
        <v/>
      </c>
      <c r="Q64" s="55">
        <f>IF(Q$59=0,"",Q$63/Q$59)</f>
        <v/>
      </c>
      <c r="R64" s="55">
        <f>IF(R$59=0,"",R$63/R$59)</f>
        <v/>
      </c>
      <c r="S64" s="55">
        <f>IF(S$59=0,"",S$63/S$59)</f>
        <v/>
      </c>
      <c r="T64" s="55">
        <f>IF(T$59=0,"",T$63/T$59)</f>
        <v/>
      </c>
      <c r="U64" s="55">
        <f>IF(U$59=0,"",U$63/U$59)</f>
        <v/>
      </c>
      <c r="V64" s="55">
        <f>IF(V$59=0,"",V$63/V$59)</f>
        <v/>
      </c>
      <c r="W64" s="55">
        <f>IF(W$59=0,"",W$63/W$59)</f>
        <v/>
      </c>
      <c r="X64" s="55">
        <f>IF(X$59=0,"",X$63/X$59)</f>
        <v/>
      </c>
      <c r="Y64" s="55">
        <f>IF(Y$59=0,"",Y$63/Y$59)</f>
        <v/>
      </c>
      <c r="Z64" s="55">
        <f>IF(Z$59=0,"",Z$63/Z$59)</f>
        <v/>
      </c>
      <c r="AA64" s="55">
        <f>IF(AA$59=0,"",AA$63/AA$59)</f>
        <v/>
      </c>
      <c r="AB64" s="55">
        <f>IF(AB$59=0,"",AB$63/AB$59)</f>
        <v/>
      </c>
      <c r="AC64" s="54">
        <f>IFERROR(AVERAGE(E64:U64),"")</f>
        <v/>
      </c>
    </row>
    <row r="65" ht="18" customHeight="1" s="65"/>
    <row r="66" ht="19.05" customHeight="1" s="65">
      <c r="A66" s="58" t="inlineStr">
        <is>
          <t>B2C Boutique (CH2)</t>
        </is>
      </c>
      <c r="B66" s="57" t="n"/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  <c r="AA66" s="57" t="n"/>
      <c r="AB66" s="57" t="n"/>
      <c r="AC66" s="57" t="n"/>
    </row>
    <row r="67" ht="18" customHeight="1" s="65">
      <c r="A67" s="52" t="inlineStr">
        <is>
          <t xml:space="preserve">  Ingreso Neto B2C</t>
        </is>
      </c>
      <c r="B67" s="42" t="n"/>
      <c r="C67" s="43" t="inlineStr">
        <is>
          <t>$</t>
        </is>
      </c>
      <c r="D67" s="44" t="n"/>
      <c r="E67" s="45">
        <f>E$7</f>
        <v/>
      </c>
      <c r="F67" s="45">
        <f>F$7</f>
        <v/>
      </c>
      <c r="G67" s="45">
        <f>G$7</f>
        <v/>
      </c>
      <c r="H67" s="45">
        <f>H$7</f>
        <v/>
      </c>
      <c r="I67" s="45">
        <f>I$7</f>
        <v/>
      </c>
      <c r="J67" s="45">
        <f>J$7</f>
        <v/>
      </c>
      <c r="K67" s="45">
        <f>K$7</f>
        <v/>
      </c>
      <c r="L67" s="45">
        <f>L$7</f>
        <v/>
      </c>
      <c r="M67" s="45">
        <f>M$7</f>
        <v/>
      </c>
      <c r="N67" s="45">
        <f>N$7</f>
        <v/>
      </c>
      <c r="O67" s="45">
        <f>O$7</f>
        <v/>
      </c>
      <c r="P67" s="45">
        <f>P$7</f>
        <v/>
      </c>
      <c r="Q67" s="45">
        <f>Q$7</f>
        <v/>
      </c>
      <c r="R67" s="45">
        <f>R$7</f>
        <v/>
      </c>
      <c r="S67" s="45">
        <f>S$7</f>
        <v/>
      </c>
      <c r="T67" s="45">
        <f>T$7</f>
        <v/>
      </c>
      <c r="U67" s="45">
        <f>U$7</f>
        <v/>
      </c>
      <c r="V67" s="45">
        <f>V$7</f>
        <v/>
      </c>
      <c r="W67" s="45">
        <f>W$7</f>
        <v/>
      </c>
      <c r="X67" s="45">
        <f>X$7</f>
        <v/>
      </c>
      <c r="Y67" s="45">
        <f>Y$7</f>
        <v/>
      </c>
      <c r="Z67" s="45">
        <f>Z$7</f>
        <v/>
      </c>
      <c r="AA67" s="45">
        <f>AA$7</f>
        <v/>
      </c>
      <c r="AB67" s="45">
        <f>AB$7</f>
        <v/>
      </c>
      <c r="AC67" s="46">
        <f>IFERROR(AVERAGE(E67:U67),"")</f>
        <v/>
      </c>
    </row>
    <row r="68" ht="18" customHeight="1" s="65">
      <c r="A68" s="47" t="inlineStr">
        <is>
          <t xml:space="preserve">  - Food Cost proporcional</t>
        </is>
      </c>
      <c r="B68" s="48" t="n"/>
      <c r="C68" s="49" t="inlineStr">
        <is>
          <t>$</t>
        </is>
      </c>
      <c r="D68" s="50" t="n"/>
      <c r="E68" s="51">
        <f>IF(E$5=0,"",-E$27*(E$7/E$5))</f>
        <v/>
      </c>
      <c r="F68" s="51">
        <f>IF(F$5=0,"",-F$27*(F$7/F$5))</f>
        <v/>
      </c>
      <c r="G68" s="51">
        <f>IF(G$5=0,"",-G$27*(G$7/G$5))</f>
        <v/>
      </c>
      <c r="H68" s="51">
        <f>IF(H$5=0,"",-H$27*(H$7/H$5))</f>
        <v/>
      </c>
      <c r="I68" s="51">
        <f>IF(I$5=0,"",-I$27*(I$7/I$5))</f>
        <v/>
      </c>
      <c r="J68" s="51">
        <f>IF(J$5=0,"",-J$27*(J$7/J$5))</f>
        <v/>
      </c>
      <c r="K68" s="51">
        <f>IF(K$5=0,"",-K$27*(K$7/K$5))</f>
        <v/>
      </c>
      <c r="L68" s="51">
        <f>IF(L$5=0,"",-L$27*(L$7/L$5))</f>
        <v/>
      </c>
      <c r="M68" s="51">
        <f>IF(M$5=0,"",-M$27*(M$7/M$5))</f>
        <v/>
      </c>
      <c r="N68" s="51">
        <f>IF(N$5=0,"",-N$27*(N$7/N$5))</f>
        <v/>
      </c>
      <c r="O68" s="51">
        <f>IF(O$5=0,"",-O$27*(O$7/O$5))</f>
        <v/>
      </c>
      <c r="P68" s="51">
        <f>IF(P$5=0,"",-P$27*(P$7/P$5))</f>
        <v/>
      </c>
      <c r="Q68" s="51">
        <f>IF(Q$5=0,"",-Q$27*(Q$7/Q$5))</f>
        <v/>
      </c>
      <c r="R68" s="51">
        <f>IF(R$5=0,"",-R$27*(R$7/R$5))</f>
        <v/>
      </c>
      <c r="S68" s="51">
        <f>IF(S$5=0,"",-S$27*(S$7/S$5))</f>
        <v/>
      </c>
      <c r="T68" s="51">
        <f>IF(T$5=0,"",-T$27*(T$7/T$5))</f>
        <v/>
      </c>
      <c r="U68" s="51">
        <f>IF(U$5=0,"",-U$27*(U$7/U$5))</f>
        <v/>
      </c>
      <c r="V68" s="51">
        <f>IF(V$5=0,"",-V$27*(V$7/V$5))</f>
        <v/>
      </c>
      <c r="W68" s="51">
        <f>IF(W$5=0,"",-W$27*(W$7/W$5))</f>
        <v/>
      </c>
      <c r="X68" s="51">
        <f>IF(X$5=0,"",-X$27*(X$7/X$5))</f>
        <v/>
      </c>
      <c r="Y68" s="51">
        <f>IF(Y$5=0,"",-Y$27*(Y$7/Y$5))</f>
        <v/>
      </c>
      <c r="Z68" s="51">
        <f>IF(Z$5=0,"",-Z$27*(Z$7/Z$5))</f>
        <v/>
      </c>
      <c r="AA68" s="51">
        <f>IF(AA$5=0,"",-AA$27*(AA$7/AA$5))</f>
        <v/>
      </c>
      <c r="AB68" s="51">
        <f>IF(AB$5=0,"",-AB$27*(AB$7/AB$5))</f>
        <v/>
      </c>
      <c r="AC68" s="46">
        <f>IFERROR(AVERAGE(E68:U68),"")</f>
        <v/>
      </c>
    </row>
    <row r="69" ht="18" customHeight="1" s="65">
      <c r="A69" s="52" t="inlineStr">
        <is>
          <t xml:space="preserve">  - Comision Getnet (prop. B2C)</t>
        </is>
      </c>
      <c r="B69" s="42">
        <f>PLAN_CUENTAS!$A$34</f>
        <v/>
      </c>
      <c r="C69" s="43" t="inlineStr">
        <is>
          <t>$</t>
        </is>
      </c>
      <c r="D69" s="44" t="n"/>
      <c r="E69" s="45">
        <f>IF((E$6+E$7)=0,"",-SUMIFS('2. EGRESOS'!$H:$H,'2. EGRESOS'!$B:$B,E$2,'2. EGRESOS'!$M:$M,$B69)*(E$7/(E$6+E$7)))</f>
        <v/>
      </c>
      <c r="F69" s="45">
        <f>IF((F$6+F$7)=0,"",-SUMIFS('2. EGRESOS'!$H:$H,'2. EGRESOS'!$B:$B,F$2,'2. EGRESOS'!$M:$M,$B69)*(F$7/(F$6+F$7)))</f>
        <v/>
      </c>
      <c r="G69" s="45">
        <f>IF((G$6+G$7)=0,"",-SUMIFS('2. EGRESOS'!$H:$H,'2. EGRESOS'!$B:$B,G$2,'2. EGRESOS'!$M:$M,$B69)*(G$7/(G$6+G$7)))</f>
        <v/>
      </c>
      <c r="H69" s="45">
        <f>IF((H$6+H$7)=0,"",-SUMIFS('2. EGRESOS'!$H:$H,'2. EGRESOS'!$B:$B,H$2,'2. EGRESOS'!$M:$M,$B69)*(H$7/(H$6+H$7)))</f>
        <v/>
      </c>
      <c r="I69" s="45">
        <f>IF((I$6+I$7)=0,"",-SUMIFS('2. EGRESOS'!$H:$H,'2. EGRESOS'!$B:$B,I$2,'2. EGRESOS'!$M:$M,$B69)*(I$7/(I$6+I$7)))</f>
        <v/>
      </c>
      <c r="J69" s="45">
        <f>IF((J$6+J$7)=0,"",-SUMIFS('2. EGRESOS'!$H:$H,'2. EGRESOS'!$B:$B,J$2,'2. EGRESOS'!$M:$M,$B69)*(J$7/(J$6+J$7)))</f>
        <v/>
      </c>
      <c r="K69" s="45">
        <f>IF((K$6+K$7)=0,"",-SUMIFS('2. EGRESOS'!$H:$H,'2. EGRESOS'!$B:$B,K$2,'2. EGRESOS'!$M:$M,$B69)*(K$7/(K$6+K$7)))</f>
        <v/>
      </c>
      <c r="L69" s="45">
        <f>IF((L$6+L$7)=0,"",-SUMIFS('2. EGRESOS'!$H:$H,'2. EGRESOS'!$B:$B,L$2,'2. EGRESOS'!$M:$M,$B69)*(L$7/(L$6+L$7)))</f>
        <v/>
      </c>
      <c r="M69" s="45">
        <f>IF((M$6+M$7)=0,"",-SUMIFS('2. EGRESOS'!$H:$H,'2. EGRESOS'!$B:$B,M$2,'2. EGRESOS'!$M:$M,$B69)*(M$7/(M$6+M$7)))</f>
        <v/>
      </c>
      <c r="N69" s="45">
        <f>IF((N$6+N$7)=0,"",-SUMIFS('2. EGRESOS'!$H:$H,'2. EGRESOS'!$B:$B,N$2,'2. EGRESOS'!$M:$M,$B69)*(N$7/(N$6+N$7)))</f>
        <v/>
      </c>
      <c r="O69" s="45">
        <f>IF((O$6+O$7)=0,"",-SUMIFS('2. EGRESOS'!$H:$H,'2. EGRESOS'!$B:$B,O$2,'2. EGRESOS'!$M:$M,$B69)*(O$7/(O$6+O$7)))</f>
        <v/>
      </c>
      <c r="P69" s="45">
        <f>IF((P$6+P$7)=0,"",-SUMIFS('2. EGRESOS'!$H:$H,'2. EGRESOS'!$B:$B,P$2,'2. EGRESOS'!$M:$M,$B69)*(P$7/(P$6+P$7)))</f>
        <v/>
      </c>
      <c r="Q69" s="45">
        <f>IF((Q$6+Q$7)=0,"",-SUMIFS('2. EGRESOS'!$H:$H,'2. EGRESOS'!$B:$B,Q$2,'2. EGRESOS'!$M:$M,$B69)*(Q$7/(Q$6+Q$7)))</f>
        <v/>
      </c>
      <c r="R69" s="45">
        <f>IF((R$6+R$7)=0,"",-SUMIFS('2. EGRESOS'!$H:$H,'2. EGRESOS'!$B:$B,R$2,'2. EGRESOS'!$M:$M,$B69)*(R$7/(R$6+R$7)))</f>
        <v/>
      </c>
      <c r="S69" s="45">
        <f>IF((S$6+S$7)=0,"",-SUMIFS('2. EGRESOS'!$H:$H,'2. EGRESOS'!$B:$B,S$2,'2. EGRESOS'!$M:$M,$B69)*(S$7/(S$6+S$7)))</f>
        <v/>
      </c>
      <c r="T69" s="45">
        <f>IF((T$6+T$7)=0,"",-SUMIFS('2. EGRESOS'!$H:$H,'2. EGRESOS'!$B:$B,T$2,'2. EGRESOS'!$M:$M,$B69)*(T$7/(T$6+T$7)))</f>
        <v/>
      </c>
      <c r="U69" s="45">
        <f>IF((U$6+U$7)=0,"",-SUMIFS('2. EGRESOS'!$H:$H,'2. EGRESOS'!$B:$B,U$2,'2. EGRESOS'!$M:$M,$B69)*(U$7/(U$6+U$7)))</f>
        <v/>
      </c>
      <c r="V69" s="45">
        <f>IF((V$6+V$7)=0,"",-SUMIFS('2. EGRESOS'!$H:$H,'2. EGRESOS'!$B:$B,V$2,'2. EGRESOS'!$M:$M,$B69)*(V$7/(V$6+V$7)))</f>
        <v/>
      </c>
      <c r="W69" s="45">
        <f>IF((W$6+W$7)=0,"",-SUMIFS('2. EGRESOS'!$H:$H,'2. EGRESOS'!$B:$B,W$2,'2. EGRESOS'!$M:$M,$B69)*(W$7/(W$6+W$7)))</f>
        <v/>
      </c>
      <c r="X69" s="45">
        <f>IF((X$6+X$7)=0,"",-SUMIFS('2. EGRESOS'!$H:$H,'2. EGRESOS'!$B:$B,X$2,'2. EGRESOS'!$M:$M,$B69)*(X$7/(X$6+X$7)))</f>
        <v/>
      </c>
      <c r="Y69" s="45">
        <f>IF((Y$6+Y$7)=0,"",-SUMIFS('2. EGRESOS'!$H:$H,'2. EGRESOS'!$B:$B,Y$2,'2. EGRESOS'!$M:$M,$B69)*(Y$7/(Y$6+Y$7)))</f>
        <v/>
      </c>
      <c r="Z69" s="45">
        <f>IF((Z$6+Z$7)=0,"",-SUMIFS('2. EGRESOS'!$H:$H,'2. EGRESOS'!$B:$B,Z$2,'2. EGRESOS'!$M:$M,$B69)*(Z$7/(Z$6+Z$7)))</f>
        <v/>
      </c>
      <c r="AA69" s="45">
        <f>IF((AA$6+AA$7)=0,"",-SUMIFS('2. EGRESOS'!$H:$H,'2. EGRESOS'!$B:$B,AA$2,'2. EGRESOS'!$M:$M,$B69)*(AA$7/(AA$6+AA$7)))</f>
        <v/>
      </c>
      <c r="AB69" s="45">
        <f>IF((AB$6+AB$7)=0,"",-SUMIFS('2. EGRESOS'!$H:$H,'2. EGRESOS'!$B:$B,AB$2,'2. EGRESOS'!$M:$M,$B69)*(AB$7/(AB$6+AB$7)))</f>
        <v/>
      </c>
      <c r="AC69" s="46">
        <f>IFERROR(AVERAGE(E69:U69),"")</f>
        <v/>
      </c>
    </row>
    <row r="70" ht="18" customHeight="1" s="65">
      <c r="A70" s="56" t="inlineStr">
        <is>
          <t xml:space="preserve">  = Contribucion B2C $</t>
        </is>
      </c>
      <c r="B70" s="48" t="n"/>
      <c r="C70" s="49" t="inlineStr">
        <is>
          <t>$</t>
        </is>
      </c>
      <c r="D70" s="50" t="n"/>
      <c r="E70" s="51">
        <f>IFERROR(E$67+E$68+E$69,"")</f>
        <v/>
      </c>
      <c r="F70" s="51">
        <f>IFERROR(F$67+F$68+F$69,"")</f>
        <v/>
      </c>
      <c r="G70" s="51">
        <f>IFERROR(G$67+G$68+G$69,"")</f>
        <v/>
      </c>
      <c r="H70" s="51">
        <f>IFERROR(H$67+H$68+H$69,"")</f>
        <v/>
      </c>
      <c r="I70" s="51">
        <f>IFERROR(I$67+I$68+I$69,"")</f>
        <v/>
      </c>
      <c r="J70" s="51">
        <f>IFERROR(J$67+J$68+J$69,"")</f>
        <v/>
      </c>
      <c r="K70" s="51">
        <f>IFERROR(K$67+K$68+K$69,"")</f>
        <v/>
      </c>
      <c r="L70" s="51">
        <f>IFERROR(L$67+L$68+L$69,"")</f>
        <v/>
      </c>
      <c r="M70" s="51">
        <f>IFERROR(M$67+M$68+M$69,"")</f>
        <v/>
      </c>
      <c r="N70" s="51">
        <f>IFERROR(N$67+N$68+N$69,"")</f>
        <v/>
      </c>
      <c r="O70" s="51">
        <f>IFERROR(O$67+O$68+O$69,"")</f>
        <v/>
      </c>
      <c r="P70" s="51">
        <f>IFERROR(P$67+P$68+P$69,"")</f>
        <v/>
      </c>
      <c r="Q70" s="51">
        <f>IFERROR(Q$67+Q$68+Q$69,"")</f>
        <v/>
      </c>
      <c r="R70" s="51">
        <f>IFERROR(R$67+R$68+R$69,"")</f>
        <v/>
      </c>
      <c r="S70" s="51">
        <f>IFERROR(S$67+S$68+S$69,"")</f>
        <v/>
      </c>
      <c r="T70" s="51">
        <f>IFERROR(T$67+T$68+T$69,"")</f>
        <v/>
      </c>
      <c r="U70" s="51">
        <f>IFERROR(U$67+U$68+U$69,"")</f>
        <v/>
      </c>
      <c r="V70" s="51">
        <f>IFERROR(V$67+V$68+V$69,"")</f>
        <v/>
      </c>
      <c r="W70" s="51">
        <f>IFERROR(W$67+W$68+W$69,"")</f>
        <v/>
      </c>
      <c r="X70" s="51">
        <f>IFERROR(X$67+X$68+X$69,"")</f>
        <v/>
      </c>
      <c r="Y70" s="51">
        <f>IFERROR(Y$67+Y$68+Y$69,"")</f>
        <v/>
      </c>
      <c r="Z70" s="51">
        <f>IFERROR(Z$67+Z$68+Z$69,"")</f>
        <v/>
      </c>
      <c r="AA70" s="51">
        <f>IFERROR(AA$67+AA$68+AA$69,"")</f>
        <v/>
      </c>
      <c r="AB70" s="51">
        <f>IFERROR(AB$67+AB$68+AB$69,"")</f>
        <v/>
      </c>
      <c r="AC70" s="46">
        <f>IFERROR(AVERAGE(E70:U70),"")</f>
        <v/>
      </c>
    </row>
    <row r="71" ht="18" customHeight="1" s="65">
      <c r="A71" s="41" t="inlineStr">
        <is>
          <t xml:space="preserve">    Contribucion B2C %</t>
        </is>
      </c>
      <c r="B71" s="42" t="n"/>
      <c r="C71" s="43" t="inlineStr">
        <is>
          <t>%</t>
        </is>
      </c>
      <c r="D71" s="44" t="n"/>
      <c r="E71" s="53">
        <f>IF(E$67=0,"",E$70/E$67)</f>
        <v/>
      </c>
      <c r="F71" s="53">
        <f>IF(F$67=0,"",F$70/F$67)</f>
        <v/>
      </c>
      <c r="G71" s="53">
        <f>IF(G$67=0,"",G$70/G$67)</f>
        <v/>
      </c>
      <c r="H71" s="53">
        <f>IF(H$67=0,"",H$70/H$67)</f>
        <v/>
      </c>
      <c r="I71" s="53">
        <f>IF(I$67=0,"",I$70/I$67)</f>
        <v/>
      </c>
      <c r="J71" s="53">
        <f>IF(J$67=0,"",J$70/J$67)</f>
        <v/>
      </c>
      <c r="K71" s="53">
        <f>IF(K$67=0,"",K$70/K$67)</f>
        <v/>
      </c>
      <c r="L71" s="53">
        <f>IF(L$67=0,"",L$70/L$67)</f>
        <v/>
      </c>
      <c r="M71" s="53">
        <f>IF(M$67=0,"",M$70/M$67)</f>
        <v/>
      </c>
      <c r="N71" s="53">
        <f>IF(N$67=0,"",N$70/N$67)</f>
        <v/>
      </c>
      <c r="O71" s="53">
        <f>IF(O$67=0,"",O$70/O$67)</f>
        <v/>
      </c>
      <c r="P71" s="53">
        <f>IF(P$67=0,"",P$70/P$67)</f>
        <v/>
      </c>
      <c r="Q71" s="53">
        <f>IF(Q$67=0,"",Q$70/Q$67)</f>
        <v/>
      </c>
      <c r="R71" s="53">
        <f>IF(R$67=0,"",R$70/R$67)</f>
        <v/>
      </c>
      <c r="S71" s="53">
        <f>IF(S$67=0,"",S$70/S$67)</f>
        <v/>
      </c>
      <c r="T71" s="53">
        <f>IF(T$67=0,"",T$70/T$67)</f>
        <v/>
      </c>
      <c r="U71" s="53">
        <f>IF(U$67=0,"",U$70/U$67)</f>
        <v/>
      </c>
      <c r="V71" s="53">
        <f>IF(V$67=0,"",V$70/V$67)</f>
        <v/>
      </c>
      <c r="W71" s="53">
        <f>IF(W$67=0,"",W$70/W$67)</f>
        <v/>
      </c>
      <c r="X71" s="53">
        <f>IF(X$67=0,"",X$70/X$67)</f>
        <v/>
      </c>
      <c r="Y71" s="53">
        <f>IF(Y$67=0,"",Y$70/Y$67)</f>
        <v/>
      </c>
      <c r="Z71" s="53">
        <f>IF(Z$67=0,"",Z$70/Z$67)</f>
        <v/>
      </c>
      <c r="AA71" s="53">
        <f>IF(AA$67=0,"",AA$70/AA$67)</f>
        <v/>
      </c>
      <c r="AB71" s="53">
        <f>IF(AB$67=0,"",AB$70/AB$67)</f>
        <v/>
      </c>
      <c r="AC71" s="54">
        <f>IFERROR(AVERAGE(E71:U71),"")</f>
        <v/>
      </c>
    </row>
    <row r="72" ht="18" customHeight="1" s="65"/>
    <row r="73" ht="19.05" customHeight="1" s="65">
      <c r="A73" s="58" t="inlineStr">
        <is>
          <t>Delivery Apps — Rappi / Uber Eats / GoodMeal (CH3)</t>
        </is>
      </c>
      <c r="B73" s="57" t="n"/>
      <c r="C73" s="57" t="n"/>
      <c r="D73" s="57" t="n"/>
      <c r="E73" s="57" t="n"/>
      <c r="F73" s="57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  <c r="Z73" s="57" t="n"/>
      <c r="AA73" s="57" t="n"/>
      <c r="AB73" s="57" t="n"/>
      <c r="AC73" s="57" t="n"/>
    </row>
    <row r="74" ht="18" customHeight="1" s="65">
      <c r="A74" s="47" t="inlineStr">
        <is>
          <t xml:space="preserve">  Ingreso Neto Delivery</t>
        </is>
      </c>
      <c r="B74" s="48" t="n"/>
      <c r="C74" s="49" t="inlineStr">
        <is>
          <t>$</t>
        </is>
      </c>
      <c r="D74" s="50" t="n"/>
      <c r="E74" s="51">
        <f>E$8</f>
        <v/>
      </c>
      <c r="F74" s="51">
        <f>F$8</f>
        <v/>
      </c>
      <c r="G74" s="51">
        <f>G$8</f>
        <v/>
      </c>
      <c r="H74" s="51">
        <f>H$8</f>
        <v/>
      </c>
      <c r="I74" s="51">
        <f>I$8</f>
        <v/>
      </c>
      <c r="J74" s="51">
        <f>J$8</f>
        <v/>
      </c>
      <c r="K74" s="51">
        <f>K$8</f>
        <v/>
      </c>
      <c r="L74" s="51">
        <f>L$8</f>
        <v/>
      </c>
      <c r="M74" s="51">
        <f>M$8</f>
        <v/>
      </c>
      <c r="N74" s="51">
        <f>N$8</f>
        <v/>
      </c>
      <c r="O74" s="51">
        <f>O$8</f>
        <v/>
      </c>
      <c r="P74" s="51">
        <f>P$8</f>
        <v/>
      </c>
      <c r="Q74" s="51">
        <f>Q$8</f>
        <v/>
      </c>
      <c r="R74" s="51">
        <f>R$8</f>
        <v/>
      </c>
      <c r="S74" s="51">
        <f>S$8</f>
        <v/>
      </c>
      <c r="T74" s="51">
        <f>T$8</f>
        <v/>
      </c>
      <c r="U74" s="51">
        <f>U$8</f>
        <v/>
      </c>
      <c r="V74" s="51">
        <f>V$8</f>
        <v/>
      </c>
      <c r="W74" s="51">
        <f>W$8</f>
        <v/>
      </c>
      <c r="X74" s="51">
        <f>X$8</f>
        <v/>
      </c>
      <c r="Y74" s="51">
        <f>Y$8</f>
        <v/>
      </c>
      <c r="Z74" s="51">
        <f>Z$8</f>
        <v/>
      </c>
      <c r="AA74" s="51">
        <f>AA$8</f>
        <v/>
      </c>
      <c r="AB74" s="51">
        <f>AB$8</f>
        <v/>
      </c>
      <c r="AC74" s="46">
        <f>IFERROR(AVERAGE(E74:U74),"")</f>
        <v/>
      </c>
    </row>
    <row r="75" ht="18" customHeight="1" s="65">
      <c r="A75" s="52" t="inlineStr">
        <is>
          <t xml:space="preserve">  - Food Cost proporcional</t>
        </is>
      </c>
      <c r="B75" s="42" t="n"/>
      <c r="C75" s="43" t="inlineStr">
        <is>
          <t>$</t>
        </is>
      </c>
      <c r="D75" s="44" t="n"/>
      <c r="E75" s="45">
        <f>IF(E$5=0,"",-E$27*(E$8/E$5))</f>
        <v/>
      </c>
      <c r="F75" s="45">
        <f>IF(F$5=0,"",-F$27*(F$8/F$5))</f>
        <v/>
      </c>
      <c r="G75" s="45">
        <f>IF(G$5=0,"",-G$27*(G$8/G$5))</f>
        <v/>
      </c>
      <c r="H75" s="45">
        <f>IF(H$5=0,"",-H$27*(H$8/H$5))</f>
        <v/>
      </c>
      <c r="I75" s="45">
        <f>IF(I$5=0,"",-I$27*(I$8/I$5))</f>
        <v/>
      </c>
      <c r="J75" s="45">
        <f>IF(J$5=0,"",-J$27*(J$8/J$5))</f>
        <v/>
      </c>
      <c r="K75" s="45">
        <f>IF(K$5=0,"",-K$27*(K$8/K$5))</f>
        <v/>
      </c>
      <c r="L75" s="45">
        <f>IF(L$5=0,"",-L$27*(L$8/L$5))</f>
        <v/>
      </c>
      <c r="M75" s="45">
        <f>IF(M$5=0,"",-M$27*(M$8/M$5))</f>
        <v/>
      </c>
      <c r="N75" s="45">
        <f>IF(N$5=0,"",-N$27*(N$8/N$5))</f>
        <v/>
      </c>
      <c r="O75" s="45">
        <f>IF(O$5=0,"",-O$27*(O$8/O$5))</f>
        <v/>
      </c>
      <c r="P75" s="45">
        <f>IF(P$5=0,"",-P$27*(P$8/P$5))</f>
        <v/>
      </c>
      <c r="Q75" s="45">
        <f>IF(Q$5=0,"",-Q$27*(Q$8/Q$5))</f>
        <v/>
      </c>
      <c r="R75" s="45">
        <f>IF(R$5=0,"",-R$27*(R$8/R$5))</f>
        <v/>
      </c>
      <c r="S75" s="45">
        <f>IF(S$5=0,"",-S$27*(S$8/S$5))</f>
        <v/>
      </c>
      <c r="T75" s="45">
        <f>IF(T$5=0,"",-T$27*(T$8/T$5))</f>
        <v/>
      </c>
      <c r="U75" s="45">
        <f>IF(U$5=0,"",-U$27*(U$8/U$5))</f>
        <v/>
      </c>
      <c r="V75" s="45">
        <f>IF(V$5=0,"",-V$27*(V$8/V$5))</f>
        <v/>
      </c>
      <c r="W75" s="45">
        <f>IF(W$5=0,"",-W$27*(W$8/W$5))</f>
        <v/>
      </c>
      <c r="X75" s="45">
        <f>IF(X$5=0,"",-X$27*(X$8/X$5))</f>
        <v/>
      </c>
      <c r="Y75" s="45">
        <f>IF(Y$5=0,"",-Y$27*(Y$8/Y$5))</f>
        <v/>
      </c>
      <c r="Z75" s="45">
        <f>IF(Z$5=0,"",-Z$27*(Z$8/Z$5))</f>
        <v/>
      </c>
      <c r="AA75" s="45">
        <f>IF(AA$5=0,"",-AA$27*(AA$8/AA$5))</f>
        <v/>
      </c>
      <c r="AB75" s="45">
        <f>IF(AB$5=0,"",-AB$27*(AB$8/AB$5))</f>
        <v/>
      </c>
      <c r="AC75" s="46">
        <f>IFERROR(AVERAGE(E75:U75),"")</f>
        <v/>
      </c>
    </row>
    <row r="76" ht="18" customHeight="1" s="65">
      <c r="A76" s="47" t="inlineStr">
        <is>
          <t xml:space="preserve">  - Comision Plataformas (1.8.2+1.8.3+1.8.4)</t>
        </is>
      </c>
      <c r="B76" s="48">
        <f>PLAN_CUENTAS!$A$35</f>
        <v/>
      </c>
      <c r="C76" s="49" t="inlineStr">
        <is>
          <t>$</t>
        </is>
      </c>
      <c r="D76" s="50" t="n"/>
      <c r="E76" s="51">
        <f>IF(E$74=0,"",-(SUMIFS('2. EGRESOS'!$H:$H,'2. EGRESOS'!$B:$B,E$2,'2. EGRESOS'!$M:$M,$B76)+SUMIFS('2. EGRESOS'!$H:$H,'2. EGRESOS'!$B:$B,E$2,'2. EGRESOS'!$M:$M,PLAN_CUENTAS!$A$36)+SUMIFS('2. EGRESOS'!$H:$H,'2. EGRESOS'!$B:$B,E$2,'2. EGRESOS'!$M:$M,PLAN_CUENTAS!$A$37)))</f>
        <v/>
      </c>
      <c r="F76" s="51">
        <f>IF(F$74=0,"",-(SUMIFS('2. EGRESOS'!$H:$H,'2. EGRESOS'!$B:$B,F$2,'2. EGRESOS'!$M:$M,$B76)+SUMIFS('2. EGRESOS'!$H:$H,'2. EGRESOS'!$B:$B,F$2,'2. EGRESOS'!$M:$M,PLAN_CUENTAS!$A$36)+SUMIFS('2. EGRESOS'!$H:$H,'2. EGRESOS'!$B:$B,F$2,'2. EGRESOS'!$M:$M,PLAN_CUENTAS!$A$37)))</f>
        <v/>
      </c>
      <c r="G76" s="51">
        <f>IF(G$74=0,"",-(SUMIFS('2. EGRESOS'!$H:$H,'2. EGRESOS'!$B:$B,G$2,'2. EGRESOS'!$M:$M,$B76)+SUMIFS('2. EGRESOS'!$H:$H,'2. EGRESOS'!$B:$B,G$2,'2. EGRESOS'!$M:$M,PLAN_CUENTAS!$A$36)+SUMIFS('2. EGRESOS'!$H:$H,'2. EGRESOS'!$B:$B,G$2,'2. EGRESOS'!$M:$M,PLAN_CUENTAS!$A$37)))</f>
        <v/>
      </c>
      <c r="H76" s="51">
        <f>IF(H$74=0,"",-(SUMIFS('2. EGRESOS'!$H:$H,'2. EGRESOS'!$B:$B,H$2,'2. EGRESOS'!$M:$M,$B76)+SUMIFS('2. EGRESOS'!$H:$H,'2. EGRESOS'!$B:$B,H$2,'2. EGRESOS'!$M:$M,PLAN_CUENTAS!$A$36)+SUMIFS('2. EGRESOS'!$H:$H,'2. EGRESOS'!$B:$B,H$2,'2. EGRESOS'!$M:$M,PLAN_CUENTAS!$A$37)))</f>
        <v/>
      </c>
      <c r="I76" s="51">
        <f>IF(I$74=0,"",-(SUMIFS('2. EGRESOS'!$H:$H,'2. EGRESOS'!$B:$B,I$2,'2. EGRESOS'!$M:$M,$B76)+SUMIFS('2. EGRESOS'!$H:$H,'2. EGRESOS'!$B:$B,I$2,'2. EGRESOS'!$M:$M,PLAN_CUENTAS!$A$36)+SUMIFS('2. EGRESOS'!$H:$H,'2. EGRESOS'!$B:$B,I$2,'2. EGRESOS'!$M:$M,PLAN_CUENTAS!$A$37)))</f>
        <v/>
      </c>
      <c r="J76" s="51">
        <f>IF(J$74=0,"",-(SUMIFS('2. EGRESOS'!$H:$H,'2. EGRESOS'!$B:$B,J$2,'2. EGRESOS'!$M:$M,$B76)+SUMIFS('2. EGRESOS'!$H:$H,'2. EGRESOS'!$B:$B,J$2,'2. EGRESOS'!$M:$M,PLAN_CUENTAS!$A$36)+SUMIFS('2. EGRESOS'!$H:$H,'2. EGRESOS'!$B:$B,J$2,'2. EGRESOS'!$M:$M,PLAN_CUENTAS!$A$37)))</f>
        <v/>
      </c>
      <c r="K76" s="51">
        <f>IF(K$74=0,"",-(SUMIFS('2. EGRESOS'!$H:$H,'2. EGRESOS'!$B:$B,K$2,'2. EGRESOS'!$M:$M,$B76)+SUMIFS('2. EGRESOS'!$H:$H,'2. EGRESOS'!$B:$B,K$2,'2. EGRESOS'!$M:$M,PLAN_CUENTAS!$A$36)+SUMIFS('2. EGRESOS'!$H:$H,'2. EGRESOS'!$B:$B,K$2,'2. EGRESOS'!$M:$M,PLAN_CUENTAS!$A$37)))</f>
        <v/>
      </c>
      <c r="L76" s="51">
        <f>IF(L$74=0,"",-(SUMIFS('2. EGRESOS'!$H:$H,'2. EGRESOS'!$B:$B,L$2,'2. EGRESOS'!$M:$M,$B76)+SUMIFS('2. EGRESOS'!$H:$H,'2. EGRESOS'!$B:$B,L$2,'2. EGRESOS'!$M:$M,PLAN_CUENTAS!$A$36)+SUMIFS('2. EGRESOS'!$H:$H,'2. EGRESOS'!$B:$B,L$2,'2. EGRESOS'!$M:$M,PLAN_CUENTAS!$A$37)))</f>
        <v/>
      </c>
      <c r="M76" s="51">
        <f>IF(M$74=0,"",-(SUMIFS('2. EGRESOS'!$H:$H,'2. EGRESOS'!$B:$B,M$2,'2. EGRESOS'!$M:$M,$B76)+SUMIFS('2. EGRESOS'!$H:$H,'2. EGRESOS'!$B:$B,M$2,'2. EGRESOS'!$M:$M,PLAN_CUENTAS!$A$36)+SUMIFS('2. EGRESOS'!$H:$H,'2. EGRESOS'!$B:$B,M$2,'2. EGRESOS'!$M:$M,PLAN_CUENTAS!$A$37)))</f>
        <v/>
      </c>
      <c r="N76" s="51">
        <f>IF(N$74=0,"",-(SUMIFS('2. EGRESOS'!$H:$H,'2. EGRESOS'!$B:$B,N$2,'2. EGRESOS'!$M:$M,$B76)+SUMIFS('2. EGRESOS'!$H:$H,'2. EGRESOS'!$B:$B,N$2,'2. EGRESOS'!$M:$M,PLAN_CUENTAS!$A$36)+SUMIFS('2. EGRESOS'!$H:$H,'2. EGRESOS'!$B:$B,N$2,'2. EGRESOS'!$M:$M,PLAN_CUENTAS!$A$37)))</f>
        <v/>
      </c>
      <c r="O76" s="51">
        <f>IF(O$74=0,"",-(SUMIFS('2. EGRESOS'!$H:$H,'2. EGRESOS'!$B:$B,O$2,'2. EGRESOS'!$M:$M,$B76)+SUMIFS('2. EGRESOS'!$H:$H,'2. EGRESOS'!$B:$B,O$2,'2. EGRESOS'!$M:$M,PLAN_CUENTAS!$A$36)+SUMIFS('2. EGRESOS'!$H:$H,'2. EGRESOS'!$B:$B,O$2,'2. EGRESOS'!$M:$M,PLAN_CUENTAS!$A$37)))</f>
        <v/>
      </c>
      <c r="P76" s="51">
        <f>IF(P$74=0,"",-(SUMIFS('2. EGRESOS'!$H:$H,'2. EGRESOS'!$B:$B,P$2,'2. EGRESOS'!$M:$M,$B76)+SUMIFS('2. EGRESOS'!$H:$H,'2. EGRESOS'!$B:$B,P$2,'2. EGRESOS'!$M:$M,PLAN_CUENTAS!$A$36)+SUMIFS('2. EGRESOS'!$H:$H,'2. EGRESOS'!$B:$B,P$2,'2. EGRESOS'!$M:$M,PLAN_CUENTAS!$A$37)))</f>
        <v/>
      </c>
      <c r="Q76" s="51">
        <f>IF(Q$74=0,"",-(SUMIFS('2. EGRESOS'!$H:$H,'2. EGRESOS'!$B:$B,Q$2,'2. EGRESOS'!$M:$M,$B76)+SUMIFS('2. EGRESOS'!$H:$H,'2. EGRESOS'!$B:$B,Q$2,'2. EGRESOS'!$M:$M,PLAN_CUENTAS!$A$36)+SUMIFS('2. EGRESOS'!$H:$H,'2. EGRESOS'!$B:$B,Q$2,'2. EGRESOS'!$M:$M,PLAN_CUENTAS!$A$37)))</f>
        <v/>
      </c>
      <c r="R76" s="51">
        <f>IF(R$74=0,"",-(SUMIFS('2. EGRESOS'!$H:$H,'2. EGRESOS'!$B:$B,R$2,'2. EGRESOS'!$M:$M,$B76)+SUMIFS('2. EGRESOS'!$H:$H,'2. EGRESOS'!$B:$B,R$2,'2. EGRESOS'!$M:$M,PLAN_CUENTAS!$A$36)+SUMIFS('2. EGRESOS'!$H:$H,'2. EGRESOS'!$B:$B,R$2,'2. EGRESOS'!$M:$M,PLAN_CUENTAS!$A$37)))</f>
        <v/>
      </c>
      <c r="S76" s="51">
        <f>IF(S$74=0,"",-(SUMIFS('2. EGRESOS'!$H:$H,'2. EGRESOS'!$B:$B,S$2,'2. EGRESOS'!$M:$M,$B76)+SUMIFS('2. EGRESOS'!$H:$H,'2. EGRESOS'!$B:$B,S$2,'2. EGRESOS'!$M:$M,PLAN_CUENTAS!$A$36)+SUMIFS('2. EGRESOS'!$H:$H,'2. EGRESOS'!$B:$B,S$2,'2. EGRESOS'!$M:$M,PLAN_CUENTAS!$A$37)))</f>
        <v/>
      </c>
      <c r="T76" s="51">
        <f>IF(T$74=0,"",-(SUMIFS('2. EGRESOS'!$H:$H,'2. EGRESOS'!$B:$B,T$2,'2. EGRESOS'!$M:$M,$B76)+SUMIFS('2. EGRESOS'!$H:$H,'2. EGRESOS'!$B:$B,T$2,'2. EGRESOS'!$M:$M,PLAN_CUENTAS!$A$36)+SUMIFS('2. EGRESOS'!$H:$H,'2. EGRESOS'!$B:$B,T$2,'2. EGRESOS'!$M:$M,PLAN_CUENTAS!$A$37)))</f>
        <v/>
      </c>
      <c r="U76" s="51">
        <f>IF(U$74=0,"",-(SUMIFS('2. EGRESOS'!$H:$H,'2. EGRESOS'!$B:$B,U$2,'2. EGRESOS'!$M:$M,$B76)+SUMIFS('2. EGRESOS'!$H:$H,'2. EGRESOS'!$B:$B,U$2,'2. EGRESOS'!$M:$M,PLAN_CUENTAS!$A$36)+SUMIFS('2. EGRESOS'!$H:$H,'2. EGRESOS'!$B:$B,U$2,'2. EGRESOS'!$M:$M,PLAN_CUENTAS!$A$37)))</f>
        <v/>
      </c>
      <c r="V76" s="51">
        <f>IF(V$74=0,"",-(SUMIFS('2. EGRESOS'!$H:$H,'2. EGRESOS'!$B:$B,V$2,'2. EGRESOS'!$M:$M,$B76)+SUMIFS('2. EGRESOS'!$H:$H,'2. EGRESOS'!$B:$B,V$2,'2. EGRESOS'!$M:$M,PLAN_CUENTAS!$A$36)+SUMIFS('2. EGRESOS'!$H:$H,'2. EGRESOS'!$B:$B,V$2,'2. EGRESOS'!$M:$M,PLAN_CUENTAS!$A$37)))</f>
        <v/>
      </c>
      <c r="W76" s="51">
        <f>IF(W$74=0,"",-(SUMIFS('2. EGRESOS'!$H:$H,'2. EGRESOS'!$B:$B,W$2,'2. EGRESOS'!$M:$M,$B76)+SUMIFS('2. EGRESOS'!$H:$H,'2. EGRESOS'!$B:$B,W$2,'2. EGRESOS'!$M:$M,PLAN_CUENTAS!$A$36)+SUMIFS('2. EGRESOS'!$H:$H,'2. EGRESOS'!$B:$B,W$2,'2. EGRESOS'!$M:$M,PLAN_CUENTAS!$A$37)))</f>
        <v/>
      </c>
      <c r="X76" s="51">
        <f>IF(X$74=0,"",-(SUMIFS('2. EGRESOS'!$H:$H,'2. EGRESOS'!$B:$B,X$2,'2. EGRESOS'!$M:$M,$B76)+SUMIFS('2. EGRESOS'!$H:$H,'2. EGRESOS'!$B:$B,X$2,'2. EGRESOS'!$M:$M,PLAN_CUENTAS!$A$36)+SUMIFS('2. EGRESOS'!$H:$H,'2. EGRESOS'!$B:$B,X$2,'2. EGRESOS'!$M:$M,PLAN_CUENTAS!$A$37)))</f>
        <v/>
      </c>
      <c r="Y76" s="51">
        <f>IF(Y$74=0,"",-(SUMIFS('2. EGRESOS'!$H:$H,'2. EGRESOS'!$B:$B,Y$2,'2. EGRESOS'!$M:$M,$B76)+SUMIFS('2. EGRESOS'!$H:$H,'2. EGRESOS'!$B:$B,Y$2,'2. EGRESOS'!$M:$M,PLAN_CUENTAS!$A$36)+SUMIFS('2. EGRESOS'!$H:$H,'2. EGRESOS'!$B:$B,Y$2,'2. EGRESOS'!$M:$M,PLAN_CUENTAS!$A$37)))</f>
        <v/>
      </c>
      <c r="Z76" s="51">
        <f>IF(Z$74=0,"",-(SUMIFS('2. EGRESOS'!$H:$H,'2. EGRESOS'!$B:$B,Z$2,'2. EGRESOS'!$M:$M,$B76)+SUMIFS('2. EGRESOS'!$H:$H,'2. EGRESOS'!$B:$B,Z$2,'2. EGRESOS'!$M:$M,PLAN_CUENTAS!$A$36)+SUMIFS('2. EGRESOS'!$H:$H,'2. EGRESOS'!$B:$B,Z$2,'2. EGRESOS'!$M:$M,PLAN_CUENTAS!$A$37)))</f>
        <v/>
      </c>
      <c r="AA76" s="51">
        <f>IF(AA$74=0,"",-(SUMIFS('2. EGRESOS'!$H:$H,'2. EGRESOS'!$B:$B,AA$2,'2. EGRESOS'!$M:$M,$B76)+SUMIFS('2. EGRESOS'!$H:$H,'2. EGRESOS'!$B:$B,AA$2,'2. EGRESOS'!$M:$M,PLAN_CUENTAS!$A$36)+SUMIFS('2. EGRESOS'!$H:$H,'2. EGRESOS'!$B:$B,AA$2,'2. EGRESOS'!$M:$M,PLAN_CUENTAS!$A$37)))</f>
        <v/>
      </c>
      <c r="AB76" s="51">
        <f>IF(AB$74=0,"",-(SUMIFS('2. EGRESOS'!$H:$H,'2. EGRESOS'!$B:$B,AB$2,'2. EGRESOS'!$M:$M,$B76)+SUMIFS('2. EGRESOS'!$H:$H,'2. EGRESOS'!$B:$B,AB$2,'2. EGRESOS'!$M:$M,PLAN_CUENTAS!$A$36)+SUMIFS('2. EGRESOS'!$H:$H,'2. EGRESOS'!$B:$B,AB$2,'2. EGRESOS'!$M:$M,PLAN_CUENTAS!$A$37)))</f>
        <v/>
      </c>
      <c r="AC76" s="46">
        <f>IFERROR(AVERAGE(E76:U76),"")</f>
        <v/>
      </c>
    </row>
    <row r="77" ht="18" customHeight="1" s="65">
      <c r="A77" s="41" t="inlineStr">
        <is>
          <t xml:space="preserve">  = Contribucion Delivery $</t>
        </is>
      </c>
      <c r="B77" s="42" t="n"/>
      <c r="C77" s="43" t="inlineStr">
        <is>
          <t>$</t>
        </is>
      </c>
      <c r="D77" s="44" t="n"/>
      <c r="E77" s="45">
        <f>IFERROR(E$74+E$75+E$76,"")</f>
        <v/>
      </c>
      <c r="F77" s="45">
        <f>IFERROR(F$74+F$75+F$76,"")</f>
        <v/>
      </c>
      <c r="G77" s="45">
        <f>IFERROR(G$74+G$75+G$76,"")</f>
        <v/>
      </c>
      <c r="H77" s="45">
        <f>IFERROR(H$74+H$75+H$76,"")</f>
        <v/>
      </c>
      <c r="I77" s="45">
        <f>IFERROR(I$74+I$75+I$76,"")</f>
        <v/>
      </c>
      <c r="J77" s="45">
        <f>IFERROR(J$74+J$75+J$76,"")</f>
        <v/>
      </c>
      <c r="K77" s="45">
        <f>IFERROR(K$74+K$75+K$76,"")</f>
        <v/>
      </c>
      <c r="L77" s="45">
        <f>IFERROR(L$74+L$75+L$76,"")</f>
        <v/>
      </c>
      <c r="M77" s="45">
        <f>IFERROR(M$74+M$75+M$76,"")</f>
        <v/>
      </c>
      <c r="N77" s="45">
        <f>IFERROR(N$74+N$75+N$76,"")</f>
        <v/>
      </c>
      <c r="O77" s="45">
        <f>IFERROR(O$74+O$75+O$76,"")</f>
        <v/>
      </c>
      <c r="P77" s="45">
        <f>IFERROR(P$74+P$75+P$76,"")</f>
        <v/>
      </c>
      <c r="Q77" s="45">
        <f>IFERROR(Q$74+Q$75+Q$76,"")</f>
        <v/>
      </c>
      <c r="R77" s="45">
        <f>IFERROR(R$74+R$75+R$76,"")</f>
        <v/>
      </c>
      <c r="S77" s="45">
        <f>IFERROR(S$74+S$75+S$76,"")</f>
        <v/>
      </c>
      <c r="T77" s="45">
        <f>IFERROR(T$74+T$75+T$76,"")</f>
        <v/>
      </c>
      <c r="U77" s="45">
        <f>IFERROR(U$74+U$75+U$76,"")</f>
        <v/>
      </c>
      <c r="V77" s="45">
        <f>IFERROR(V$74+V$75+V$76,"")</f>
        <v/>
      </c>
      <c r="W77" s="45">
        <f>IFERROR(W$74+W$75+W$76,"")</f>
        <v/>
      </c>
      <c r="X77" s="45">
        <f>IFERROR(X$74+X$75+X$76,"")</f>
        <v/>
      </c>
      <c r="Y77" s="45">
        <f>IFERROR(Y$74+Y$75+Y$76,"")</f>
        <v/>
      </c>
      <c r="Z77" s="45">
        <f>IFERROR(Z$74+Z$75+Z$76,"")</f>
        <v/>
      </c>
      <c r="AA77" s="45">
        <f>IFERROR(AA$74+AA$75+AA$76,"")</f>
        <v/>
      </c>
      <c r="AB77" s="45">
        <f>IFERROR(AB$74+AB$75+AB$76,"")</f>
        <v/>
      </c>
      <c r="AC77" s="46">
        <f>IFERROR(AVERAGE(E77:U77),"")</f>
        <v/>
      </c>
    </row>
    <row r="78" ht="18" customHeight="1" s="65">
      <c r="A78" s="56" t="inlineStr">
        <is>
          <t xml:space="preserve">    Contribucion Delivery %</t>
        </is>
      </c>
      <c r="B78" s="48" t="n"/>
      <c r="C78" s="49" t="inlineStr">
        <is>
          <t>%</t>
        </is>
      </c>
      <c r="D78" s="50" t="n"/>
      <c r="E78" s="55">
        <f>IF(E$74=0,"",E$77/E$74)</f>
        <v/>
      </c>
      <c r="F78" s="55">
        <f>IF(F$74=0,"",F$77/F$74)</f>
        <v/>
      </c>
      <c r="G78" s="55">
        <f>IF(G$74=0,"",G$77/G$74)</f>
        <v/>
      </c>
      <c r="H78" s="55">
        <f>IF(H$74=0,"",H$77/H$74)</f>
        <v/>
      </c>
      <c r="I78" s="55">
        <f>IF(I$74=0,"",I$77/I$74)</f>
        <v/>
      </c>
      <c r="J78" s="55">
        <f>IF(J$74=0,"",J$77/J$74)</f>
        <v/>
      </c>
      <c r="K78" s="55">
        <f>IF(K$74=0,"",K$77/K$74)</f>
        <v/>
      </c>
      <c r="L78" s="55">
        <f>IF(L$74=0,"",L$77/L$74)</f>
        <v/>
      </c>
      <c r="M78" s="55">
        <f>IF(M$74=0,"",M$77/M$74)</f>
        <v/>
      </c>
      <c r="N78" s="55">
        <f>IF(N$74=0,"",N$77/N$74)</f>
        <v/>
      </c>
      <c r="O78" s="55">
        <f>IF(O$74=0,"",O$77/O$74)</f>
        <v/>
      </c>
      <c r="P78" s="55">
        <f>IF(P$74=0,"",P$77/P$74)</f>
        <v/>
      </c>
      <c r="Q78" s="55">
        <f>IF(Q$74=0,"",Q$77/Q$74)</f>
        <v/>
      </c>
      <c r="R78" s="55">
        <f>IF(R$74=0,"",R$77/R$74)</f>
        <v/>
      </c>
      <c r="S78" s="55">
        <f>IF(S$74=0,"",S$77/S$74)</f>
        <v/>
      </c>
      <c r="T78" s="55">
        <f>IF(T$74=0,"",T$77/T$74)</f>
        <v/>
      </c>
      <c r="U78" s="55">
        <f>IF(U$74=0,"",U$77/U$74)</f>
        <v/>
      </c>
      <c r="V78" s="55">
        <f>IF(V$74=0,"",V$77/V$74)</f>
        <v/>
      </c>
      <c r="W78" s="55">
        <f>IF(W$74=0,"",W$77/W$74)</f>
        <v/>
      </c>
      <c r="X78" s="55">
        <f>IF(X$74=0,"",X$77/X$74)</f>
        <v/>
      </c>
      <c r="Y78" s="55">
        <f>IF(Y$74=0,"",Y$77/Y$74)</f>
        <v/>
      </c>
      <c r="Z78" s="55">
        <f>IF(Z$74=0,"",Z$77/Z$74)</f>
        <v/>
      </c>
      <c r="AA78" s="55">
        <f>IF(AA$74=0,"",AA$77/AA$74)</f>
        <v/>
      </c>
      <c r="AB78" s="55">
        <f>IF(AB$74=0,"",AB$77/AB$74)</f>
        <v/>
      </c>
      <c r="AC78" s="54">
        <f>IFERROR(AVERAGE(E78:U78),"")</f>
        <v/>
      </c>
    </row>
    <row r="79" ht="18" customHeight="1" s="65"/>
    <row r="80" ht="18" customHeight="1" s="65"/>
  </sheetData>
  <mergeCells count="1">
    <mergeCell ref="A1:AC1"/>
  </mergeCells>
  <conditionalFormatting sqref="E47:U47">
    <cfRule type="colorScale" priority="1">
      <colorScale>
        <cfvo type="num" val="0.3"/>
        <cfvo type="num" val="0.5"/>
        <cfvo type="num" val="0.65"/>
        <color rgb="FFFFCDD2"/>
        <color rgb="FFFFF9C4"/>
        <color rgb="FFC8E6C9"/>
      </colorScale>
    </cfRule>
  </conditionalFormatting>
  <conditionalFormatting sqref="E48:U48">
    <cfRule type="colorScale" priority="2">
      <colorScale>
        <cfvo type="num" val="0.2"/>
        <cfvo type="num" val="0.28"/>
        <cfvo type="num" val="0.38"/>
        <color rgb="FFC8E6C9"/>
        <color rgb="FFFFF9C4"/>
        <color rgb="FFFFCDD2"/>
      </colorScale>
    </cfRule>
  </conditionalFormatting>
  <conditionalFormatting sqref="E49:U49">
    <cfRule type="colorScale" priority="3">
      <colorScale>
        <cfvo type="num" val="0.2"/>
        <cfvo type="num" val="0.32"/>
        <cfvo type="num" val="0.42"/>
        <color rgb="FFC8E6C9"/>
        <color rgb="FFFFF9C4"/>
        <color rgb="FFFFCDD2"/>
      </colorScale>
    </cfRule>
  </conditionalFormatting>
  <conditionalFormatting sqref="E50:U50">
    <cfRule type="colorScale" priority="4">
      <colorScale>
        <cfvo type="num" val="0.45"/>
        <cfvo type="num" val="0.6"/>
        <cfvo type="num" val="0.75"/>
        <color rgb="FFC8E6C9"/>
        <color rgb="FFFFF9C4"/>
        <color rgb="FFFFCDD2"/>
      </colorScale>
    </cfRule>
  </conditionalFormatting>
  <conditionalFormatting sqref="E55:U55">
    <cfRule type="colorScale" priority="5">
      <colorScale>
        <cfvo type="num" val="-0.1"/>
        <cfvo type="num" val="0.05"/>
        <cfvo type="num" val="0.2"/>
        <color rgb="FFFFCDD2"/>
        <color rgb="FFFFF9C4"/>
        <color rgb="FFC8E6C9"/>
      </colorScale>
    </cfRule>
  </conditionalFormatting>
  <conditionalFormatting sqref="E64:U64">
    <cfRule type="colorScale" priority="6">
      <colorScale>
        <cfvo type="num" val="0.1"/>
        <cfvo type="num" val="0.3"/>
        <cfvo type="num" val="0.55"/>
        <color rgb="FFFFCDD2"/>
        <color rgb="FFFFF9C4"/>
        <color rgb="FFC8E6C9"/>
      </colorScale>
    </cfRule>
  </conditionalFormatting>
  <conditionalFormatting sqref="E71:U71">
    <cfRule type="colorScale" priority="7">
      <colorScale>
        <cfvo type="num" val="0.1"/>
        <cfvo type="num" val="0.3"/>
        <cfvo type="num" val="0.55"/>
        <color rgb="FFFFCDD2"/>
        <color rgb="FFFFF9C4"/>
        <color rgb="FFC8E6C9"/>
      </colorScale>
    </cfRule>
  </conditionalFormatting>
  <conditionalFormatting sqref="E78:U78">
    <cfRule type="colorScale" priority="8">
      <colorScale>
        <cfvo type="num" val="0.1"/>
        <cfvo type="num" val="0.3"/>
        <cfvo type="num" val="0.55"/>
        <color rgb="FFFFCDD2"/>
        <color rgb="FFFFF9C4"/>
        <color rgb="FF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1" topLeftCell="A5" activePane="bottomLeft" state="frozen"/>
      <selection pane="bottomLeft" activeCell="C20" sqref="C20"/>
    </sheetView>
  </sheetViews>
  <sheetFormatPr baseColWidth="10" defaultColWidth="8.88671875" defaultRowHeight="14.4"/>
  <cols>
    <col width="10" customWidth="1" style="65" min="1" max="1"/>
    <col width="28" customWidth="1" style="65" min="2" max="2"/>
    <col width="18" customWidth="1" style="65" min="3" max="3"/>
    <col width="45" customWidth="1" style="65" min="4" max="4"/>
    <col width="12" customWidth="1" style="65" min="6" max="6"/>
  </cols>
  <sheetData>
    <row r="1" ht="22.05" customHeight="1" s="65">
      <c r="A1" s="1" t="inlineStr">
        <is>
          <t>Codigo</t>
        </is>
      </c>
      <c r="B1" s="1" t="inlineStr">
        <is>
          <t>Nombre</t>
        </is>
      </c>
      <c r="C1" s="1" t="inlineStr">
        <is>
          <t>CC</t>
        </is>
      </c>
      <c r="D1" s="1" t="inlineStr">
        <is>
          <t>Notas</t>
        </is>
      </c>
      <c r="F1" s="17" t="inlineStr">
        <is>
          <t>Meses</t>
        </is>
      </c>
    </row>
    <row r="2">
      <c r="A2" t="inlineStr">
        <is>
          <t>1.1.1</t>
        </is>
      </c>
      <c r="B2" t="inlineStr">
        <is>
          <t>Ingredientes</t>
        </is>
      </c>
      <c r="C2" t="inlineStr">
        <is>
          <t>CC1</t>
        </is>
      </c>
    </row>
    <row r="3">
      <c r="A3" t="inlineStr">
        <is>
          <t>1.1.2</t>
        </is>
      </c>
      <c r="B3" t="inlineStr">
        <is>
          <t>Packaging</t>
        </is>
      </c>
      <c r="C3" t="inlineStr">
        <is>
          <t>CC1</t>
        </is>
      </c>
    </row>
    <row r="4">
      <c r="A4" t="inlineStr">
        <is>
          <t>1.1.3</t>
        </is>
      </c>
      <c r="B4" t="inlineStr">
        <is>
          <t>Equipamiento de Cocina</t>
        </is>
      </c>
      <c r="C4" t="inlineStr">
        <is>
          <t>CC1</t>
        </is>
      </c>
    </row>
    <row r="5">
      <c r="A5" t="inlineStr">
        <is>
          <t>1.2.1</t>
        </is>
      </c>
      <c r="B5" t="inlineStr">
        <is>
          <t>Sueldos con Contrato</t>
        </is>
      </c>
      <c r="C5" t="inlineStr">
        <is>
          <t>CC2</t>
        </is>
      </c>
    </row>
    <row r="6">
      <c r="A6" t="inlineStr">
        <is>
          <t>1.2.2</t>
        </is>
      </c>
      <c r="B6" t="inlineStr">
        <is>
          <t>Honorarios</t>
        </is>
      </c>
      <c r="C6" t="inlineStr">
        <is>
          <t>CC2</t>
        </is>
      </c>
    </row>
    <row r="7">
      <c r="A7" t="inlineStr">
        <is>
          <t>1.2.3</t>
        </is>
      </c>
      <c r="B7" t="inlineStr">
        <is>
          <t>Asesoria Contable</t>
        </is>
      </c>
      <c r="C7" t="inlineStr">
        <is>
          <t>CC2</t>
        </is>
      </c>
    </row>
    <row r="8">
      <c r="A8" t="inlineStr">
        <is>
          <t>1.2.4</t>
        </is>
      </c>
      <c r="B8" t="inlineStr">
        <is>
          <t>Uniformes Personal</t>
        </is>
      </c>
      <c r="C8" t="inlineStr">
        <is>
          <t>CC2</t>
        </is>
      </c>
    </row>
    <row r="9">
      <c r="A9" t="inlineStr">
        <is>
          <t>1.2.5</t>
        </is>
      </c>
      <c r="B9" t="inlineStr">
        <is>
          <t>Prestamos Personal</t>
        </is>
      </c>
      <c r="C9" t="inlineStr">
        <is>
          <t>CC2</t>
        </is>
      </c>
    </row>
    <row r="10">
      <c r="A10" t="inlineStr">
        <is>
          <t>1.3.1</t>
        </is>
      </c>
      <c r="B10" t="inlineStr">
        <is>
          <t>Arriendo Local</t>
        </is>
      </c>
      <c r="C10" t="inlineStr">
        <is>
          <t>CC3</t>
        </is>
      </c>
    </row>
    <row r="11">
      <c r="A11" t="inlineStr">
        <is>
          <t>1.3.2</t>
        </is>
      </c>
      <c r="B11" t="inlineStr">
        <is>
          <t>Agua</t>
        </is>
      </c>
      <c r="C11" t="inlineStr">
        <is>
          <t>CC3</t>
        </is>
      </c>
    </row>
    <row r="12">
      <c r="A12" t="inlineStr">
        <is>
          <t>1.3.3</t>
        </is>
      </c>
      <c r="B12" t="inlineStr">
        <is>
          <t>Luz</t>
        </is>
      </c>
      <c r="C12" t="inlineStr">
        <is>
          <t>CC3</t>
        </is>
      </c>
    </row>
    <row r="13">
      <c r="A13" t="inlineStr">
        <is>
          <t>1.3.4</t>
        </is>
      </c>
      <c r="B13" t="inlineStr">
        <is>
          <t>Gas</t>
        </is>
      </c>
      <c r="C13" t="inlineStr">
        <is>
          <t>CC3</t>
        </is>
      </c>
    </row>
    <row r="14">
      <c r="A14" t="inlineStr">
        <is>
          <t>1.3.5</t>
        </is>
      </c>
      <c r="B14" t="inlineStr">
        <is>
          <t>Telecomunicaciones</t>
        </is>
      </c>
      <c r="C14" t="inlineStr">
        <is>
          <t>CC3</t>
        </is>
      </c>
    </row>
    <row r="15">
      <c r="A15" t="inlineStr">
        <is>
          <t>1.3.6</t>
        </is>
      </c>
      <c r="B15" t="inlineStr">
        <is>
          <t>Mantenciones</t>
        </is>
      </c>
      <c r="C15" t="inlineStr">
        <is>
          <t>CC3</t>
        </is>
      </c>
    </row>
    <row r="16">
      <c r="A16" t="inlineStr">
        <is>
          <t>1.3.7</t>
        </is>
      </c>
      <c r="B16" t="inlineStr">
        <is>
          <t>Fumigaciones</t>
        </is>
      </c>
      <c r="C16" t="inlineStr">
        <is>
          <t>CC3</t>
        </is>
      </c>
    </row>
    <row r="17">
      <c r="A17" t="inlineStr">
        <is>
          <t>1.3.8</t>
        </is>
      </c>
      <c r="B17" t="inlineStr">
        <is>
          <t>Limpieza y Aseo</t>
        </is>
      </c>
      <c r="C17" t="inlineStr">
        <is>
          <t>CC3</t>
        </is>
      </c>
    </row>
    <row r="18">
      <c r="A18" t="inlineStr">
        <is>
          <t>1.3.9</t>
        </is>
      </c>
      <c r="B18" t="inlineStr">
        <is>
          <t>Seguridad</t>
        </is>
      </c>
      <c r="C18" t="inlineStr">
        <is>
          <t>CC3</t>
        </is>
      </c>
    </row>
    <row r="19">
      <c r="A19" t="inlineStr">
        <is>
          <t>1.3.10</t>
        </is>
      </c>
      <c r="B19" t="inlineStr">
        <is>
          <t>Equipamiento Local</t>
        </is>
      </c>
      <c r="C19" t="inlineStr">
        <is>
          <t>CC3</t>
        </is>
      </c>
    </row>
    <row r="20">
      <c r="A20" t="inlineStr">
        <is>
          <t>1.4.1</t>
        </is>
      </c>
      <c r="B20" t="inlineStr">
        <is>
          <t>Inversión Carro</t>
        </is>
      </c>
      <c r="C20" t="inlineStr">
        <is>
          <t>CC4</t>
        </is>
      </c>
    </row>
    <row r="21">
      <c r="A21" t="inlineStr">
        <is>
          <t>1.4.2</t>
        </is>
      </c>
      <c r="B21" t="inlineStr">
        <is>
          <t>Mantención Carro</t>
        </is>
      </c>
      <c r="C21" t="inlineStr">
        <is>
          <t>CC4</t>
        </is>
      </c>
    </row>
    <row r="22">
      <c r="A22" t="inlineStr">
        <is>
          <t>1.4.3</t>
        </is>
      </c>
      <c r="B22" t="inlineStr">
        <is>
          <t>Materiales Aseo Carro</t>
        </is>
      </c>
      <c r="C22" t="inlineStr">
        <is>
          <t>CC4</t>
        </is>
      </c>
    </row>
    <row r="23">
      <c r="A23" t="inlineStr">
        <is>
          <t>1.4.4</t>
        </is>
      </c>
      <c r="B23" t="inlineStr">
        <is>
          <t>Despacho Carro</t>
        </is>
      </c>
      <c r="C23" t="inlineStr">
        <is>
          <t>CC4</t>
        </is>
      </c>
    </row>
    <row r="24">
      <c r="A24" t="inlineStr">
        <is>
          <t>1.4.5</t>
        </is>
      </c>
      <c r="B24" t="inlineStr">
        <is>
          <t>Sueldos Carro</t>
        </is>
      </c>
      <c r="C24" t="inlineStr">
        <is>
          <t>CC4</t>
        </is>
      </c>
    </row>
    <row r="25">
      <c r="A25" t="inlineStr">
        <is>
          <t>1.5.1</t>
        </is>
      </c>
      <c r="B25" t="inlineStr">
        <is>
          <t>Plataformas Digitales</t>
        </is>
      </c>
      <c r="C25" t="inlineStr">
        <is>
          <t>CC5</t>
        </is>
      </c>
    </row>
    <row r="26">
      <c r="A26" t="inlineStr">
        <is>
          <t>1.5.2</t>
        </is>
      </c>
      <c r="B26" t="inlineStr">
        <is>
          <t>Variables SAAS</t>
        </is>
      </c>
      <c r="C26" t="inlineStr">
        <is>
          <t>CC5</t>
        </is>
      </c>
    </row>
    <row r="27">
      <c r="A27" t="inlineStr">
        <is>
          <t>1.6.1</t>
        </is>
      </c>
      <c r="B27" t="inlineStr">
        <is>
          <t>RRSS</t>
        </is>
      </c>
      <c r="C27" t="inlineStr">
        <is>
          <t>CC6</t>
        </is>
      </c>
    </row>
    <row r="28">
      <c r="A28" t="inlineStr">
        <is>
          <t>1.6.2</t>
        </is>
      </c>
      <c r="B28" t="inlineStr">
        <is>
          <t>Produccion Audiovisual</t>
        </is>
      </c>
      <c r="C28" t="inlineStr">
        <is>
          <t>CC6</t>
        </is>
      </c>
    </row>
    <row r="29">
      <c r="A29" t="inlineStr">
        <is>
          <t>1.6.3</t>
        </is>
      </c>
      <c r="B29" t="inlineStr">
        <is>
          <t>Ferias y Eventos</t>
        </is>
      </c>
      <c r="C29" t="inlineStr">
        <is>
          <t>CC6</t>
        </is>
      </c>
    </row>
    <row r="30">
      <c r="A30" t="inlineStr">
        <is>
          <t>1.7.1</t>
        </is>
      </c>
      <c r="B30" t="inlineStr">
        <is>
          <t>Despachos B2B (Gaspar)</t>
        </is>
      </c>
      <c r="C30" t="inlineStr">
        <is>
          <t>CC7</t>
        </is>
      </c>
    </row>
    <row r="31">
      <c r="A31" t="inlineStr">
        <is>
          <t>1.7.2</t>
        </is>
      </c>
      <c r="B31" t="inlineStr">
        <is>
          <t>Despachos B2C</t>
        </is>
      </c>
      <c r="C31" t="inlineStr">
        <is>
          <t>CC7</t>
        </is>
      </c>
    </row>
    <row r="32">
      <c r="A32" t="inlineStr">
        <is>
          <t>1.7.3</t>
        </is>
      </c>
      <c r="B32" t="inlineStr">
        <is>
          <t>Transporte Personas (Empleados)</t>
        </is>
      </c>
      <c r="C32" t="inlineStr">
        <is>
          <t>CC7</t>
        </is>
      </c>
    </row>
    <row r="33">
      <c r="A33" t="inlineStr">
        <is>
          <t>1.8.1</t>
        </is>
      </c>
      <c r="B33" t="inlineStr">
        <is>
          <t>Comision Getnet + TUU</t>
        </is>
      </c>
      <c r="C33" t="inlineStr">
        <is>
          <t>CC8</t>
        </is>
      </c>
    </row>
    <row r="34">
      <c r="A34" t="inlineStr">
        <is>
          <t>1.8.2</t>
        </is>
      </c>
      <c r="B34" t="inlineStr">
        <is>
          <t>Comision Plataformas Delivery</t>
        </is>
      </c>
      <c r="C34" t="inlineStr">
        <is>
          <t>CC8</t>
        </is>
      </c>
    </row>
    <row r="35">
      <c r="A35" t="inlineStr">
        <is>
          <t>1.8.3</t>
        </is>
      </c>
      <c r="B35" t="inlineStr">
        <is>
          <t>Plataformas Digitales (Comision)</t>
        </is>
      </c>
      <c r="C35" t="inlineStr">
        <is>
          <t>CC8</t>
        </is>
      </c>
    </row>
    <row r="36">
      <c r="A36" t="inlineStr">
        <is>
          <t>1.9.1</t>
        </is>
      </c>
      <c r="B36" t="inlineStr">
        <is>
          <t>IVA Neto (F29)</t>
        </is>
      </c>
      <c r="C36" t="inlineStr">
        <is>
          <t>CC9</t>
        </is>
      </c>
    </row>
    <row r="37">
      <c r="A37" t="inlineStr">
        <is>
          <t>1.9.2</t>
        </is>
      </c>
      <c r="B37" t="inlineStr">
        <is>
          <t>Provision Impuesto a la Renta</t>
        </is>
      </c>
      <c r="C37" t="inlineStr">
        <is>
          <t>CC9</t>
        </is>
      </c>
    </row>
    <row r="38">
      <c r="A38" t="inlineStr">
        <is>
          <t>1.9.3</t>
        </is>
      </c>
      <c r="B38" t="inlineStr">
        <is>
          <t>Impuesto a la Renta</t>
        </is>
      </c>
      <c r="C38" t="inlineStr">
        <is>
          <t>CC9</t>
        </is>
      </c>
    </row>
    <row r="39">
      <c r="A39" t="inlineStr">
        <is>
          <t>1.9.4</t>
        </is>
      </c>
      <c r="B39" t="inlineStr">
        <is>
          <t>Patente Comercial</t>
        </is>
      </c>
      <c r="C39" t="inlineStr">
        <is>
          <t>CC9</t>
        </is>
      </c>
    </row>
    <row r="40">
      <c r="A40" t="inlineStr">
        <is>
          <t>1.9.5</t>
        </is>
      </c>
      <c r="B40" t="inlineStr">
        <is>
          <t>Gastos Bancarios</t>
        </is>
      </c>
      <c r="C40" t="inlineStr">
        <is>
          <t>CC9</t>
        </is>
      </c>
    </row>
    <row r="41">
      <c r="A41" t="inlineStr">
        <is>
          <t>2.1</t>
        </is>
      </c>
      <c r="B41" t="inlineStr">
        <is>
          <t xml:space="preserve">  Ventas HoReCa</t>
        </is>
      </c>
    </row>
    <row r="42">
      <c r="A42" t="inlineStr">
        <is>
          <t>2.2</t>
        </is>
      </c>
      <c r="B42" t="inlineStr">
        <is>
          <t xml:space="preserve">  Ventas Personas (B2C)</t>
        </is>
      </c>
    </row>
    <row r="43">
      <c r="A43" t="inlineStr">
        <is>
          <t>2.3</t>
        </is>
      </c>
      <c r="B43" t="inlineStr">
        <is>
          <t xml:space="preserve">  Ventas Carrito</t>
        </is>
      </c>
    </row>
    <row r="44">
      <c r="A44" t="inlineStr">
        <is>
          <t>2.4</t>
        </is>
      </c>
      <c r="B44" t="inlineStr">
        <is>
          <t xml:space="preserve">  Ventas Ferias</t>
        </is>
      </c>
    </row>
    <row r="45">
      <c r="A45" t="inlineStr">
        <is>
          <t>2.5</t>
        </is>
      </c>
      <c r="B45" t="inlineStr">
        <is>
          <t xml:space="preserve">  Ventas Delivery Apps</t>
        </is>
      </c>
    </row>
    <row r="46">
      <c r="A46" t="inlineStr">
        <is>
          <t>2.6</t>
        </is>
      </c>
      <c r="B46" t="inlineStr">
        <is>
          <t xml:space="preserve">  Otros Ingresos</t>
        </is>
      </c>
    </row>
    <row r="47">
      <c r="A47" t="inlineStr">
        <is>
          <t>2.7</t>
        </is>
      </c>
      <c r="B47" t="inlineStr">
        <is>
          <t xml:space="preserve">  Descuentos y devoluciones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D5" sqref="D5"/>
    </sheetView>
  </sheetViews>
  <sheetFormatPr baseColWidth="10" defaultColWidth="8.88671875" defaultRowHeight="14.4"/>
  <cols>
    <col width="8" customWidth="1" style="65" min="1" max="1"/>
    <col width="22" customWidth="1" style="65" min="2" max="2"/>
    <col width="28" customWidth="1" style="65" min="3" max="3"/>
    <col width="42" customWidth="1" style="65" min="4" max="4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Responsable</t>
        </is>
      </c>
      <c r="D1" s="1" t="inlineStr">
        <is>
          <t>Descripcion</t>
        </is>
      </c>
    </row>
    <row r="2">
      <c r="A2" s="20" t="inlineStr">
        <is>
          <t>CC1</t>
        </is>
      </c>
      <c r="B2" s="22" t="inlineStr">
        <is>
          <t>Costos de Producto</t>
        </is>
      </c>
      <c r="C2" s="21" t="inlineStr">
        <is>
          <t>Maria de los Angeles / Caro</t>
        </is>
      </c>
      <c r="D2" s="21" t="inlineStr">
        <is>
          <t>Ingredientes, packaging, materiales cocina</t>
        </is>
      </c>
    </row>
    <row r="3">
      <c r="A3" s="18" t="inlineStr">
        <is>
          <t>CC2</t>
        </is>
      </c>
      <c r="B3" s="23" t="inlineStr">
        <is>
          <t>Sueldos y RRHH</t>
        </is>
      </c>
      <c r="C3" s="19" t="inlineStr">
        <is>
          <t>Catherine / Maria Jose</t>
        </is>
      </c>
      <c r="D3" s="19" t="inlineStr">
        <is>
          <t>Toda la nomina, honorarios, asesoria contable</t>
        </is>
      </c>
    </row>
    <row r="4">
      <c r="A4" s="20" t="inlineStr">
        <is>
          <t>CC3</t>
        </is>
      </c>
      <c r="B4" s="22" t="inlineStr">
        <is>
          <t>Infraestructura</t>
        </is>
      </c>
      <c r="C4" s="21" t="inlineStr">
        <is>
          <t>Maria Jose</t>
        </is>
      </c>
      <c r="D4" s="21" t="inlineStr">
        <is>
          <t>Arriendo, consumos, telecomunicaciones, aseo</t>
        </is>
      </c>
    </row>
    <row r="5">
      <c r="A5" s="18" t="inlineStr">
        <is>
          <t>CC4</t>
        </is>
      </c>
      <c r="B5" s="22" t="inlineStr">
        <is>
          <t>Carrito</t>
        </is>
      </c>
      <c r="C5" s="21" t="inlineStr">
        <is>
          <t>Maria Jose</t>
        </is>
      </c>
      <c r="D5" s="21" t="n"/>
    </row>
    <row r="6">
      <c r="A6" s="20" t="inlineStr">
        <is>
          <t>CC5</t>
        </is>
      </c>
      <c r="B6" s="23" t="inlineStr">
        <is>
          <t>SAAS</t>
        </is>
      </c>
      <c r="C6" s="19" t="inlineStr">
        <is>
          <t>Catalina / Maria Jose</t>
        </is>
      </c>
      <c r="D6" s="19" t="inlineStr">
        <is>
          <t>Software y tecnologia operativa</t>
        </is>
      </c>
    </row>
    <row r="7">
      <c r="A7" s="18" t="inlineStr">
        <is>
          <t>CC6</t>
        </is>
      </c>
      <c r="B7" s="22" t="inlineStr">
        <is>
          <t>Marketing y Publicidad</t>
        </is>
      </c>
      <c r="C7" s="21" t="inlineStr">
        <is>
          <t>Catalina</t>
        </is>
      </c>
      <c r="D7" s="21" t="inlineStr">
        <is>
          <t>Pauta, contenido, ferias</t>
        </is>
      </c>
    </row>
    <row r="8">
      <c r="A8" s="20" t="inlineStr">
        <is>
          <t>CC7</t>
        </is>
      </c>
      <c r="B8" s="23" t="inlineStr">
        <is>
          <t>Envios y Logistica</t>
        </is>
      </c>
      <c r="C8" s="19" t="inlineStr">
        <is>
          <t>Gaspar / Operaciones</t>
        </is>
      </c>
      <c r="D8" s="19" t="inlineStr">
        <is>
          <t>Envios externos, propios, plataforma delivery</t>
        </is>
      </c>
    </row>
    <row r="9">
      <c r="A9" s="18" t="inlineStr">
        <is>
          <t>CC8</t>
        </is>
      </c>
      <c r="B9" s="22" t="inlineStr">
        <is>
          <t>Comisiones de Venta</t>
        </is>
      </c>
      <c r="C9" s="21" t="inlineStr">
        <is>
          <t>Maria Jose</t>
        </is>
      </c>
      <c r="D9" s="21" t="inlineStr">
        <is>
          <t>Comisiones plataformas</t>
        </is>
      </c>
    </row>
    <row r="10">
      <c r="A10" s="18" t="inlineStr">
        <is>
          <t>CC9</t>
        </is>
      </c>
      <c r="B10" s="23" t="inlineStr">
        <is>
          <t>Impuestos y Tributos</t>
        </is>
      </c>
      <c r="C10" s="19" t="inlineStr">
        <is>
          <t>Maria Jose / Contador</t>
        </is>
      </c>
      <c r="D10" s="19" t="inlineStr">
        <is>
          <t>F29 IVA+PPM, renta, patentes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D5" sqref="D5"/>
    </sheetView>
  </sheetViews>
  <sheetFormatPr baseColWidth="10" defaultColWidth="8.88671875" defaultRowHeight="14.4"/>
  <cols>
    <col width="8" customWidth="1" style="65" min="1" max="1"/>
    <col width="16" customWidth="1" style="65" min="2" max="2"/>
    <col width="52" customWidth="1" style="65" min="3" max="3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32" t="inlineStr">
        <is>
          <t>Cuenta</t>
        </is>
      </c>
    </row>
    <row r="2">
      <c r="A2" s="20" t="inlineStr">
        <is>
          <t>CH0</t>
        </is>
      </c>
      <c r="B2" s="22" t="inlineStr">
        <is>
          <t>Sin Asignar</t>
        </is>
      </c>
      <c r="C2" s="21" t="inlineStr">
        <is>
          <t>Prorrateo al cierre de mes segun porcentaje ventas por canal</t>
        </is>
      </c>
    </row>
    <row r="3">
      <c r="A3" s="18" t="inlineStr">
        <is>
          <t>CH1</t>
        </is>
      </c>
      <c r="B3" s="23" t="inlineStr">
        <is>
          <t>HoReCa</t>
        </is>
      </c>
      <c r="C3" s="19" t="inlineStr">
        <is>
          <t>Restaurantes, cafeterias, banqueterias, regalos corporativos</t>
        </is>
      </c>
      <c r="D3" t="inlineStr">
        <is>
          <t>3.1</t>
        </is>
      </c>
    </row>
    <row r="4">
      <c r="A4" s="20" t="inlineStr">
        <is>
          <t>CH2</t>
        </is>
      </c>
      <c r="B4" s="22" t="inlineStr">
        <is>
          <t>B2C Personas</t>
        </is>
      </c>
      <c r="C4" s="21" t="inlineStr">
        <is>
          <t>Venta local boutique Vitacura</t>
        </is>
      </c>
      <c r="D4" t="inlineStr">
        <is>
          <t>3.2</t>
        </is>
      </c>
    </row>
    <row r="5">
      <c r="A5" s="18" t="inlineStr">
        <is>
          <t>CH3</t>
        </is>
      </c>
      <c r="B5" s="23" t="inlineStr">
        <is>
          <t>Delivery Apps</t>
        </is>
      </c>
      <c r="C5" s="19" t="inlineStr">
        <is>
          <t>Uber Eats + Rappi</t>
        </is>
      </c>
      <c r="D5" t="inlineStr">
        <is>
          <t>3.6</t>
        </is>
      </c>
    </row>
    <row r="6">
      <c r="A6" s="18" t="inlineStr">
        <is>
          <t>CH5</t>
        </is>
      </c>
      <c r="B6" s="23" t="inlineStr">
        <is>
          <t>Ferias</t>
        </is>
      </c>
      <c r="C6" s="19" t="inlineStr">
        <is>
          <t>Eventos puntuales</t>
        </is>
      </c>
      <c r="D6" t="inlineStr">
        <is>
          <t>3.5</t>
        </is>
      </c>
    </row>
    <row r="7">
      <c r="A7" s="20" t="inlineStr">
        <is>
          <t>CH6</t>
        </is>
      </c>
      <c r="B7" s="22" t="inlineStr">
        <is>
          <t>Carrito</t>
        </is>
      </c>
      <c r="C7" s="21" t="inlineStr">
        <is>
          <t>Parque Arauco y otros carritos</t>
        </is>
      </c>
      <c r="D7" t="inlineStr">
        <is>
          <t>3.3</t>
        </is>
      </c>
    </row>
    <row r="8">
      <c r="A8" s="20" t="inlineStr">
        <is>
          <t>CH7</t>
        </is>
      </c>
      <c r="B8" s="22" t="inlineStr">
        <is>
          <t>Otros</t>
        </is>
      </c>
      <c r="C8" s="21" t="inlineStr">
        <is>
          <t>Ingresos no clasificados en otro canal</t>
        </is>
      </c>
      <c r="D8" t="inlineStr">
        <is>
          <t>3.7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4"/>
  <sheetViews>
    <sheetView showGridLines="0" workbookViewId="0">
      <pane ySplit="1" topLeftCell="A2" activePane="bottomLeft" state="frozen"/>
      <selection pane="bottomLeft" activeCell="E10" sqref="E10"/>
    </sheetView>
  </sheetViews>
  <sheetFormatPr baseColWidth="10" defaultColWidth="8.88671875" defaultRowHeight="14.4"/>
  <cols>
    <col width="69.77734375" bestFit="1" customWidth="1" style="65" min="1" max="1"/>
    <col width="10" customWidth="1" style="65" min="2" max="2"/>
    <col width="8" customWidth="1" style="65" min="3" max="3"/>
    <col width="10" customWidth="1" style="65" min="4" max="4"/>
    <col width="38" customWidth="1" style="65" min="5" max="5"/>
  </cols>
  <sheetData>
    <row r="1">
      <c r="A1" s="1" t="inlineStr">
        <is>
          <t>Proveedor</t>
        </is>
      </c>
      <c r="B1" s="1" t="inlineStr">
        <is>
          <t>Cuenta</t>
        </is>
      </c>
      <c r="C1" s="1" t="inlineStr">
        <is>
          <t>CC</t>
        </is>
      </c>
      <c r="D1" s="1" t="inlineStr">
        <is>
          <t>Canal</t>
        </is>
      </c>
      <c r="E1" s="1" t="inlineStr">
        <is>
          <t>Notas</t>
        </is>
      </c>
      <c r="G1" s="24" t="inlineStr">
        <is>
          <t>Agregar nuevos proveedores aqui. El REGISTRO los detecta automaticamente.</t>
        </is>
      </c>
      <c r="H1" t="inlineStr">
        <is>
          <t>RUT</t>
        </is>
      </c>
    </row>
    <row r="2">
      <c r="A2" s="21" t="inlineStr">
        <is>
          <t>ADKAR SHOP CHILE SPA</t>
        </is>
      </c>
      <c r="B2" s="21" t="n"/>
      <c r="C2" s="21" t="n"/>
      <c r="D2" s="21" t="n"/>
      <c r="E2" s="21" t="n"/>
      <c r="H2" t="inlineStr">
        <is>
          <t>76.876.593-6</t>
        </is>
      </c>
    </row>
    <row r="3">
      <c r="A3" s="21" t="inlineStr">
        <is>
          <t>ADMIN. DE SUPERMERCADOS EXPRESS LIMITADA</t>
        </is>
      </c>
      <c r="B3" s="21" t="n"/>
      <c r="C3" s="21" t="n"/>
      <c r="D3" s="21" t="n"/>
      <c r="E3" s="21" t="n"/>
      <c r="H3" t="inlineStr">
        <is>
          <t>76.134.946-5</t>
        </is>
      </c>
    </row>
    <row r="4">
      <c r="A4" s="21" t="inlineStr">
        <is>
          <t>ADMIN. DE SUPERMERCADOS HIPER LIMITADA</t>
        </is>
      </c>
      <c r="B4" s="21" t="n"/>
      <c r="C4" s="21" t="n"/>
      <c r="D4" s="21" t="n"/>
      <c r="E4" s="21" t="n"/>
      <c r="H4" t="inlineStr">
        <is>
          <t>76.134.941-4</t>
        </is>
      </c>
    </row>
    <row r="5">
      <c r="A5" s="21" t="inlineStr">
        <is>
          <t>ADMINISTRACION Y GESTION DE ESTACIONES D</t>
        </is>
      </c>
      <c r="B5" s="21" t="n"/>
      <c r="C5" s="21" t="n"/>
      <c r="D5" s="21" t="n"/>
      <c r="E5" s="21" t="n"/>
      <c r="H5" t="inlineStr">
        <is>
          <t>88.473.200-K</t>
        </is>
      </c>
    </row>
    <row r="6">
      <c r="A6" s="21" t="inlineStr">
        <is>
          <t>ADMINISTRADORA DE VENTAS AL DETALLE LTDA</t>
        </is>
      </c>
      <c r="B6" s="21" t="n"/>
      <c r="C6" s="21" t="n"/>
      <c r="D6" s="21" t="n"/>
      <c r="E6" s="21" t="n"/>
      <c r="H6" t="inlineStr">
        <is>
          <t>77.215.640-5</t>
        </is>
      </c>
    </row>
    <row r="7">
      <c r="A7" s="21" t="inlineStr">
        <is>
          <t>AGENCIA DE DISEÃ?O PLANK LIMITADA</t>
        </is>
      </c>
      <c r="B7" s="21" t="n"/>
      <c r="C7" s="21" t="n"/>
      <c r="D7" s="21" t="n"/>
      <c r="E7" s="21" t="n"/>
      <c r="H7" t="inlineStr">
        <is>
          <t>76.903.312-2</t>
        </is>
      </c>
    </row>
    <row r="8">
      <c r="A8" s="21" t="inlineStr">
        <is>
          <t>AGUAS CORDILLERA S.A.</t>
        </is>
      </c>
      <c r="B8" s="21" t="n"/>
      <c r="C8" s="21" t="n"/>
      <c r="D8" s="21" t="n"/>
      <c r="E8" s="21" t="n"/>
      <c r="H8" t="inlineStr">
        <is>
          <t>96.809.310-K</t>
        </is>
      </c>
    </row>
    <row r="9">
      <c r="A9" s="21" t="inlineStr">
        <is>
          <t>AISLANTES Y ENVASES SPA</t>
        </is>
      </c>
      <c r="B9" s="21" t="n"/>
      <c r="C9" s="21" t="n"/>
      <c r="D9" s="21" t="n"/>
      <c r="E9" s="21" t="n"/>
      <c r="H9" t="inlineStr">
        <is>
          <t>77.546.260-4</t>
        </is>
      </c>
    </row>
    <row r="10">
      <c r="A10" s="21" t="inlineStr">
        <is>
          <t>ALCA SPA</t>
        </is>
      </c>
      <c r="B10" s="21" t="n"/>
      <c r="C10" s="21" t="n"/>
      <c r="D10" s="21" t="n"/>
      <c r="E10" s="21" t="n"/>
      <c r="H10" t="inlineStr">
        <is>
          <t>77.934.110-0</t>
        </is>
      </c>
    </row>
    <row r="11">
      <c r="A11" s="21" t="inlineStr">
        <is>
          <t>Algodonera Colon Ltda</t>
        </is>
      </c>
      <c r="B11" s="21" t="n"/>
      <c r="C11" s="21" t="n"/>
      <c r="D11" s="21" t="n"/>
      <c r="E11" s="21" t="n"/>
      <c r="H11" t="inlineStr">
        <is>
          <t>91.363.000-9</t>
        </is>
      </c>
    </row>
    <row r="12">
      <c r="A12" s="21" t="inlineStr">
        <is>
          <t>ALL BAGS CHILE SPA</t>
        </is>
      </c>
      <c r="B12" s="21" t="n"/>
      <c r="C12" s="21" t="n"/>
      <c r="D12" s="21" t="n"/>
      <c r="E12" s="21" t="n"/>
      <c r="H12" t="inlineStr">
        <is>
          <t>77.049.061-8</t>
        </is>
      </c>
    </row>
    <row r="13">
      <c r="A13" s="21" t="inlineStr">
        <is>
          <t>ALOPRINT SPA</t>
        </is>
      </c>
      <c r="B13" s="21" t="n"/>
      <c r="C13" s="21" t="n"/>
      <c r="D13" s="21" t="n"/>
      <c r="E13" s="21" t="n"/>
      <c r="H13" t="inlineStr">
        <is>
          <t>76.255.554-9</t>
        </is>
      </c>
    </row>
    <row r="14">
      <c r="A14" s="21" t="inlineStr">
        <is>
          <t>ALUMBRACHILE SPA</t>
        </is>
      </c>
      <c r="B14" s="21" t="n"/>
      <c r="C14" s="21" t="n"/>
      <c r="D14" s="21" t="n"/>
      <c r="E14" s="21" t="n"/>
      <c r="H14" t="inlineStr">
        <is>
          <t>77.703.141-4</t>
        </is>
      </c>
    </row>
    <row r="15">
      <c r="A15" s="21" t="inlineStr">
        <is>
          <t>ALVI S.A.</t>
        </is>
      </c>
      <c r="B15" s="21" t="n"/>
      <c r="C15" s="21" t="n"/>
      <c r="D15" s="21" t="n"/>
      <c r="E15" s="21" t="n"/>
      <c r="H15" t="inlineStr">
        <is>
          <t>96.618.540-6</t>
        </is>
      </c>
    </row>
    <row r="16">
      <c r="A16" s="21" t="inlineStr">
        <is>
          <t>ANA MARIA MOLINA UVAL</t>
        </is>
      </c>
      <c r="B16" s="21" t="n"/>
      <c r="C16" s="21" t="n"/>
      <c r="D16" s="21" t="n"/>
      <c r="E16" s="21" t="n"/>
      <c r="H16" t="inlineStr">
        <is>
          <t>4.360.340-K</t>
        </is>
      </c>
    </row>
    <row r="17">
      <c r="A17" s="21" t="inlineStr">
        <is>
          <t>ANDINA CAFE SPA</t>
        </is>
      </c>
      <c r="B17" s="21" t="n"/>
      <c r="C17" s="21" t="n"/>
      <c r="D17" s="21" t="n"/>
      <c r="E17" s="21" t="n"/>
      <c r="H17" t="inlineStr">
        <is>
          <t>77.810.865-8</t>
        </is>
      </c>
    </row>
    <row r="18">
      <c r="A18" s="21" t="inlineStr">
        <is>
          <t>ANDREA CAROLINA RAMIREZ BANEZCA</t>
        </is>
      </c>
      <c r="B18" s="21" t="n"/>
      <c r="C18" s="21" t="n"/>
      <c r="D18" s="21" t="n"/>
      <c r="E18" s="21" t="n"/>
      <c r="H18" t="inlineStr">
        <is>
          <t>26.691.812-7</t>
        </is>
      </c>
    </row>
    <row r="19">
      <c r="A19" s="21" t="inlineStr">
        <is>
          <t>ANTOJITOS SPA</t>
        </is>
      </c>
      <c r="B19" s="21" t="n"/>
      <c r="C19" s="21" t="n"/>
      <c r="D19" s="21" t="n"/>
      <c r="E19" s="21" t="n"/>
      <c r="H19" t="inlineStr">
        <is>
          <t>77.146.475-0</t>
        </is>
      </c>
    </row>
    <row r="20">
      <c r="A20" s="21" t="inlineStr">
        <is>
          <t>Artel S.A</t>
        </is>
      </c>
      <c r="B20" s="21" t="n"/>
      <c r="C20" s="21" t="n"/>
      <c r="D20" s="21" t="n"/>
      <c r="E20" s="21" t="n"/>
      <c r="H20" t="inlineStr">
        <is>
          <t>92.642.000-3</t>
        </is>
      </c>
    </row>
    <row r="21">
      <c r="A21" s="21" t="inlineStr">
        <is>
          <t>Artel S.A.</t>
        </is>
      </c>
      <c r="B21" s="21" t="n"/>
      <c r="C21" s="21" t="n"/>
      <c r="D21" s="21" t="n"/>
      <c r="E21" s="21" t="n"/>
    </row>
    <row r="22">
      <c r="A22" s="21" t="inlineStr">
        <is>
          <t>AT CONTADORES SERVICIOS PROFESIONALES LIMITADA</t>
        </is>
      </c>
      <c r="B22" s="21" t="n"/>
      <c r="C22" s="21" t="n"/>
      <c r="D22" s="21" t="n"/>
      <c r="E22" s="21" t="n"/>
      <c r="H22" t="inlineStr">
        <is>
          <t>76.934.534-5</t>
        </is>
      </c>
    </row>
    <row r="23">
      <c r="A23" s="21" t="inlineStr">
        <is>
          <t>aufbau.cl</t>
        </is>
      </c>
      <c r="B23" s="21" t="n"/>
      <c r="C23" s="21" t="n"/>
      <c r="D23" s="21" t="n"/>
      <c r="E23" s="21" t="n"/>
      <c r="H23" t="inlineStr">
        <is>
          <t>79.950.280-1</t>
        </is>
      </c>
    </row>
    <row r="24">
      <c r="A24" s="21" t="inlineStr">
        <is>
          <t>Automotora Costabal y Echenique S.A</t>
        </is>
      </c>
      <c r="B24" s="21" t="n"/>
      <c r="C24" s="21" t="n"/>
      <c r="D24" s="21" t="n"/>
      <c r="E24" s="21" t="n"/>
      <c r="H24" t="inlineStr">
        <is>
          <t>91.139.000-0</t>
        </is>
      </c>
    </row>
    <row r="25">
      <c r="A25" s="21" t="inlineStr">
        <is>
          <t>AVICOLA Y COMERCIAL EL TOCO LTDA</t>
        </is>
      </c>
      <c r="B25" s="21" t="n"/>
      <c r="C25" s="21" t="n"/>
      <c r="D25" s="21" t="n"/>
      <c r="E25" s="21" t="n"/>
      <c r="H25" t="inlineStr">
        <is>
          <t>78.383.730-7</t>
        </is>
      </c>
    </row>
    <row r="26">
      <c r="A26" s="21" t="inlineStr">
        <is>
          <t>BANQUETES LOZACC LIMITADA</t>
        </is>
      </c>
      <c r="B26" s="21" t="n"/>
      <c r="C26" s="21" t="n"/>
      <c r="D26" s="21" t="n"/>
      <c r="E26" s="21" t="n"/>
      <c r="H26" t="inlineStr">
        <is>
          <t>76.512.528-6</t>
        </is>
      </c>
    </row>
    <row r="27">
      <c r="A27" s="21" t="inlineStr">
        <is>
          <t>BERTA ESTER GOLA MIRANDA</t>
        </is>
      </c>
      <c r="B27" s="21" t="n"/>
      <c r="C27" s="21" t="n"/>
      <c r="D27" s="21" t="n"/>
      <c r="E27" s="21" t="n"/>
      <c r="H27" t="inlineStr">
        <is>
          <t>5.935.468-K</t>
        </is>
      </c>
    </row>
    <row r="28">
      <c r="A28" s="21" t="inlineStr">
        <is>
          <t>B-LUCKY SPA</t>
        </is>
      </c>
      <c r="B28" s="21" t="n"/>
      <c r="C28" s="21" t="n"/>
      <c r="D28" s="21" t="n"/>
      <c r="E28" s="21" t="n"/>
      <c r="H28" t="inlineStr">
        <is>
          <t>77.460.405-7</t>
        </is>
      </c>
    </row>
    <row r="29">
      <c r="A29" s="21" t="inlineStr">
        <is>
          <t>BOZEN SPA</t>
        </is>
      </c>
      <c r="B29" s="21" t="n"/>
      <c r="C29" s="21" t="n"/>
      <c r="D29" s="21" t="n"/>
      <c r="E29" s="21" t="n"/>
      <c r="H29" t="inlineStr">
        <is>
          <t>78.088.306-5</t>
        </is>
      </c>
    </row>
    <row r="30">
      <c r="A30" s="21" t="inlineStr">
        <is>
          <t>BOZENLIGHT LIMITADA</t>
        </is>
      </c>
      <c r="B30" s="21" t="n"/>
      <c r="C30" s="21" t="n"/>
      <c r="D30" s="21" t="n"/>
      <c r="E30" s="21" t="n"/>
      <c r="H30" t="inlineStr">
        <is>
          <t>76.726.210-8</t>
        </is>
      </c>
    </row>
    <row r="31">
      <c r="A31" s="21" t="inlineStr">
        <is>
          <t>BROCHA LIMITADA</t>
        </is>
      </c>
      <c r="B31" s="21" t="n"/>
      <c r="C31" s="21" t="n"/>
      <c r="D31" s="21" t="n"/>
      <c r="E31" s="21" t="n"/>
      <c r="H31" t="inlineStr">
        <is>
          <t>76.471.303-6</t>
        </is>
      </c>
    </row>
    <row r="32">
      <c r="A32" s="21" t="inlineStr">
        <is>
          <t>BSALE CHILE S A</t>
        </is>
      </c>
      <c r="B32" s="21" t="n"/>
      <c r="C32" s="21" t="n"/>
      <c r="D32" s="21" t="n"/>
      <c r="E32" s="21" t="n"/>
      <c r="H32" t="inlineStr">
        <is>
          <t>76.136.144-9</t>
        </is>
      </c>
    </row>
    <row r="33">
      <c r="A33" s="21" t="inlineStr">
        <is>
          <t>CAFÃ? DEL PARQUE SPA</t>
        </is>
      </c>
      <c r="B33" s="21" t="n"/>
      <c r="C33" s="21" t="n"/>
      <c r="D33" s="21" t="n"/>
      <c r="E33" s="21" t="n"/>
      <c r="H33" t="inlineStr">
        <is>
          <t>77.406.473-7</t>
        </is>
      </c>
    </row>
    <row r="34">
      <c r="A34" s="21" t="inlineStr">
        <is>
          <t>CAFETERIA THE ELEPHANT COFFEE LIMITADA</t>
        </is>
      </c>
      <c r="B34" s="21" t="n"/>
      <c r="C34" s="21" t="n"/>
      <c r="D34" s="21" t="n"/>
      <c r="E34" s="21" t="n"/>
      <c r="H34" t="inlineStr">
        <is>
          <t>76.892.822-3</t>
        </is>
      </c>
    </row>
    <row r="35">
      <c r="A35" s="21" t="inlineStr">
        <is>
          <t>CART PAPER LIMITADA</t>
        </is>
      </c>
      <c r="B35" s="21" t="n"/>
      <c r="C35" s="21" t="n"/>
      <c r="D35" s="21" t="n"/>
      <c r="E35" s="21" t="n"/>
      <c r="H35" t="inlineStr">
        <is>
          <t>76.771.632-K</t>
        </is>
      </c>
    </row>
    <row r="36">
      <c r="A36" s="21" t="inlineStr">
        <is>
          <t>CASTRO PREISLER SPA</t>
        </is>
      </c>
      <c r="B36" s="21" t="n"/>
      <c r="C36" s="21" t="n"/>
      <c r="D36" s="21" t="n"/>
      <c r="E36" s="21" t="n"/>
      <c r="H36" t="inlineStr">
        <is>
          <t>76.993.028-0</t>
        </is>
      </c>
    </row>
    <row r="37">
      <c r="A37" s="21" t="inlineStr">
        <is>
          <t>CC NUTS SpA</t>
        </is>
      </c>
      <c r="B37" s="21" t="n"/>
      <c r="C37" s="21" t="n"/>
      <c r="D37" s="21" t="n"/>
      <c r="E37" s="21" t="n"/>
      <c r="H37" t="inlineStr">
        <is>
          <t>76.639.313-6</t>
        </is>
      </c>
    </row>
    <row r="38">
      <c r="A38" s="21" t="inlineStr">
        <is>
          <t>CENCOSUD RETAIL S.A</t>
        </is>
      </c>
      <c r="B38" s="21" t="n"/>
      <c r="C38" s="21" t="n"/>
      <c r="D38" s="21" t="n"/>
      <c r="E38" s="21" t="n"/>
      <c r="H38" t="inlineStr">
        <is>
          <t>81.201.000-K</t>
        </is>
      </c>
    </row>
    <row r="39">
      <c r="A39" s="21" t="inlineStr">
        <is>
          <t>CENCOSUD RETAIL S.A.</t>
        </is>
      </c>
      <c r="B39" s="21" t="n"/>
      <c r="C39" s="21" t="n"/>
      <c r="D39" s="21" t="n"/>
      <c r="E39" s="21" t="n"/>
    </row>
    <row r="40">
      <c r="A40" s="21" t="inlineStr">
        <is>
          <t>CENTRO DE CONVENCIONES SANTIAGO S.A</t>
        </is>
      </c>
      <c r="B40" s="21" t="n"/>
      <c r="C40" s="21" t="n"/>
      <c r="D40" s="21" t="n"/>
      <c r="E40" s="21" t="n"/>
      <c r="H40" t="inlineStr">
        <is>
          <t>96.946.650-3</t>
        </is>
      </c>
    </row>
    <row r="41">
      <c r="A41" s="21" t="inlineStr">
        <is>
          <t>CHAVARRI Y HUGOT LTDA</t>
        </is>
      </c>
      <c r="B41" s="21" t="n"/>
      <c r="C41" s="21" t="n"/>
      <c r="D41" s="21" t="n"/>
      <c r="E41" s="21" t="n"/>
      <c r="H41" t="inlineStr">
        <is>
          <t>84.736.800-4</t>
        </is>
      </c>
    </row>
    <row r="42">
      <c r="A42" s="21" t="inlineStr">
        <is>
          <t>CHERRY KUL SPA</t>
        </is>
      </c>
      <c r="B42" s="21" t="n"/>
      <c r="C42" s="21" t="n"/>
      <c r="D42" s="21" t="n"/>
      <c r="E42" s="21" t="n"/>
      <c r="H42" t="inlineStr">
        <is>
          <t>77.301.956-8</t>
        </is>
      </c>
    </row>
    <row r="43">
      <c r="A43" s="21" t="inlineStr">
        <is>
          <t>Chilexpress S A</t>
        </is>
      </c>
      <c r="B43" s="21" t="n"/>
      <c r="C43" s="21" t="n"/>
      <c r="D43" s="21" t="n"/>
      <c r="E43" s="21" t="n"/>
      <c r="H43" t="inlineStr">
        <is>
          <t>96.756.430-3</t>
        </is>
      </c>
    </row>
    <row r="44">
      <c r="A44" s="21" t="inlineStr">
        <is>
          <t>CHILEXPRESS S.A.</t>
        </is>
      </c>
      <c r="B44" s="21" t="n"/>
      <c r="C44" s="21" t="n"/>
      <c r="D44" s="21" t="n"/>
      <c r="E44" s="21" t="n"/>
    </row>
    <row r="45">
      <c r="A45" s="21" t="inlineStr">
        <is>
          <t>CIA COMERCIALIZADORA DE ALIMENTOS ONZA S A</t>
        </is>
      </c>
      <c r="B45" s="21" t="n"/>
      <c r="C45" s="21" t="n"/>
      <c r="D45" s="21" t="n"/>
      <c r="E45" s="21" t="n"/>
      <c r="H45" t="inlineStr">
        <is>
          <t>96.760.560-3</t>
        </is>
      </c>
    </row>
    <row r="46">
      <c r="A46" s="21" t="inlineStr">
        <is>
          <t>CLAUDIA DE LAS MERCEDES NAVARRO MENESES</t>
        </is>
      </c>
      <c r="B46" s="21" t="n"/>
      <c r="C46" s="21" t="n"/>
      <c r="D46" s="21" t="n"/>
      <c r="E46" s="21" t="n"/>
      <c r="H46" t="inlineStr">
        <is>
          <t>9.788.501-K</t>
        </is>
      </c>
    </row>
    <row r="47">
      <c r="A47" s="21" t="inlineStr">
        <is>
          <t>CLAVE TRIBUTARIA CONTADORES LIMITADA</t>
        </is>
      </c>
      <c r="B47" s="21" t="n"/>
      <c r="C47" s="21" t="n"/>
      <c r="D47" s="21" t="n"/>
      <c r="E47" s="21" t="n"/>
      <c r="H47" t="inlineStr">
        <is>
          <t>78.065.582-8</t>
        </is>
      </c>
    </row>
    <row r="48">
      <c r="A48" s="21" t="inlineStr">
        <is>
          <t>CLICK SPA</t>
        </is>
      </c>
      <c r="B48" s="21" t="n"/>
      <c r="C48" s="21" t="n"/>
      <c r="D48" s="21" t="n"/>
      <c r="E48" s="21" t="n"/>
      <c r="H48" t="inlineStr">
        <is>
          <t>76.975.635-3</t>
        </is>
      </c>
    </row>
    <row r="49">
      <c r="A49" s="21" t="inlineStr">
        <is>
          <t>CLIMATIZACIÃ?N Y REFRIGERACIÃ?N PETER ALEXANDER LEÃ?N MARTINEZ E.I.R.L.</t>
        </is>
      </c>
      <c r="B49" s="21" t="n"/>
      <c r="C49" s="21" t="n"/>
      <c r="D49" s="21" t="n"/>
      <c r="E49" s="21" t="n"/>
      <c r="H49" t="inlineStr">
        <is>
          <t>76.669.817-4</t>
        </is>
      </c>
    </row>
    <row r="50">
      <c r="A50" s="21" t="inlineStr">
        <is>
          <t>COLORPACK IMPRESORES LIMITADA</t>
        </is>
      </c>
      <c r="B50" s="21" t="n"/>
      <c r="C50" s="21" t="n"/>
      <c r="D50" s="21" t="n"/>
      <c r="E50" s="21" t="n"/>
      <c r="H50" t="inlineStr">
        <is>
          <t>78.996.660-5</t>
        </is>
      </c>
    </row>
    <row r="51">
      <c r="A51" s="21" t="inlineStr">
        <is>
          <t>COMAAC SPA</t>
        </is>
      </c>
      <c r="B51" s="21" t="n"/>
      <c r="C51" s="21" t="n"/>
      <c r="D51" s="21" t="n"/>
      <c r="E51" s="21" t="n"/>
      <c r="H51" t="inlineStr">
        <is>
          <t>76.774.415-3</t>
        </is>
      </c>
    </row>
    <row r="52">
      <c r="A52" s="21" t="inlineStr">
        <is>
          <t>COMERCIAL AGAPI SPA</t>
        </is>
      </c>
      <c r="B52" s="21" t="n"/>
      <c r="C52" s="21" t="n"/>
      <c r="D52" s="21" t="n"/>
      <c r="E52" s="21" t="n"/>
      <c r="H52" t="inlineStr">
        <is>
          <t>77.301.568-6</t>
        </is>
      </c>
    </row>
    <row r="53">
      <c r="A53" s="21" t="inlineStr">
        <is>
          <t>Comercial AgustÃ­n SPA</t>
        </is>
      </c>
      <c r="B53" s="21" t="n"/>
      <c r="C53" s="21" t="n"/>
      <c r="D53" s="21" t="n"/>
      <c r="E53" s="21" t="n"/>
      <c r="H53" t="inlineStr">
        <is>
          <t>76.287.853-4</t>
        </is>
      </c>
    </row>
    <row r="54">
      <c r="A54" s="21" t="inlineStr">
        <is>
          <t>COMERCIAL ANALAB CHILE SA</t>
        </is>
      </c>
      <c r="B54" s="21" t="n"/>
      <c r="C54" s="21" t="n"/>
      <c r="D54" s="21" t="n"/>
      <c r="E54" s="21" t="n"/>
      <c r="H54" t="inlineStr">
        <is>
          <t>87.963.400-8</t>
        </is>
      </c>
    </row>
    <row r="55">
      <c r="A55" s="21" t="inlineStr">
        <is>
          <t>COMERCIAL BUSTOS Y PEREZ LIMITADA</t>
        </is>
      </c>
      <c r="B55" s="21" t="n"/>
      <c r="C55" s="21" t="n"/>
      <c r="D55" s="21" t="n"/>
      <c r="E55" s="21" t="n"/>
      <c r="H55" t="inlineStr">
        <is>
          <t>77.478.600-7</t>
        </is>
      </c>
    </row>
    <row r="56">
      <c r="A56" s="21" t="inlineStr">
        <is>
          <t>COMERCIAL CLOVER I LIMITADA</t>
        </is>
      </c>
      <c r="B56" s="21" t="n"/>
      <c r="C56" s="21" t="n"/>
      <c r="D56" s="21" t="n"/>
      <c r="E56" s="21" t="n"/>
      <c r="H56" t="inlineStr">
        <is>
          <t>76.992.308-K</t>
        </is>
      </c>
    </row>
    <row r="57">
      <c r="A57" s="21" t="inlineStr">
        <is>
          <t>COMERCIAL DEANDES LIMITADA</t>
        </is>
      </c>
      <c r="B57" s="21" t="n"/>
      <c r="C57" s="21" t="n"/>
      <c r="D57" s="21" t="n"/>
      <c r="E57" s="21" t="n"/>
      <c r="H57" t="inlineStr">
        <is>
          <t>79.845.670-9</t>
        </is>
      </c>
    </row>
    <row r="58">
      <c r="A58" s="21" t="inlineStr">
        <is>
          <t>COMERCIAL DEMOO COMPAÃ?IA LIMITADA</t>
        </is>
      </c>
      <c r="B58" s="21" t="n"/>
      <c r="C58" s="21" t="n"/>
      <c r="D58" s="21" t="n"/>
      <c r="E58" s="21" t="n"/>
      <c r="H58" t="inlineStr">
        <is>
          <t>77.230.265-7</t>
        </is>
      </c>
    </row>
    <row r="59">
      <c r="A59" s="21" t="inlineStr">
        <is>
          <t>COMERCIAL FIGARO LIMITADA</t>
        </is>
      </c>
      <c r="B59" s="21" t="n"/>
      <c r="C59" s="21" t="n"/>
      <c r="D59" s="21" t="n"/>
      <c r="E59" s="21" t="n"/>
      <c r="H59" t="inlineStr">
        <is>
          <t>76.080.987-K</t>
        </is>
      </c>
    </row>
    <row r="60">
      <c r="A60" s="21" t="inlineStr">
        <is>
          <t>COMERCIAL GUTIERREZ AGUILAR SPA</t>
        </is>
      </c>
      <c r="B60" s="21" t="n"/>
      <c r="C60" s="21" t="n"/>
      <c r="D60" s="21" t="n"/>
      <c r="E60" s="21" t="n"/>
      <c r="H60" t="inlineStr">
        <is>
          <t>77.230.502-8</t>
        </is>
      </c>
    </row>
    <row r="61">
      <c r="A61" s="21" t="inlineStr">
        <is>
          <t>COMERCIAL H.S.T. LIMITADA</t>
        </is>
      </c>
      <c r="B61" s="21" t="n"/>
      <c r="C61" s="21" t="n"/>
      <c r="D61" s="21" t="n"/>
      <c r="E61" s="21" t="n"/>
      <c r="H61" t="inlineStr">
        <is>
          <t>77.563.320-4</t>
        </is>
      </c>
    </row>
    <row r="62">
      <c r="A62" s="21" t="inlineStr">
        <is>
          <t>COMERCIAL KADO LIMITADA</t>
        </is>
      </c>
      <c r="B62" s="21" t="n"/>
      <c r="C62" s="21" t="n"/>
      <c r="D62" s="21" t="n"/>
      <c r="E62" s="21" t="n"/>
      <c r="H62" t="inlineStr">
        <is>
          <t>76.108.885-8</t>
        </is>
      </c>
    </row>
    <row r="63">
      <c r="A63" s="21" t="inlineStr">
        <is>
          <t>COMERCIAL LAS NALCAS</t>
        </is>
      </c>
      <c r="B63" s="21" t="n"/>
      <c r="C63" s="21" t="n"/>
      <c r="D63" s="21" t="n"/>
      <c r="E63" s="21" t="n"/>
      <c r="H63" t="inlineStr">
        <is>
          <t>77.286.919-3</t>
        </is>
      </c>
    </row>
    <row r="64">
      <c r="A64" s="21" t="inlineStr">
        <is>
          <t>COMERCIAL LASTOVO SPA</t>
        </is>
      </c>
      <c r="B64" s="21" t="n"/>
      <c r="C64" s="21" t="n"/>
      <c r="D64" s="21" t="n"/>
      <c r="E64" s="21" t="n"/>
      <c r="H64" t="inlineStr">
        <is>
          <t>77.258.692-2</t>
        </is>
      </c>
    </row>
    <row r="65">
      <c r="A65" s="21" t="inlineStr">
        <is>
          <t>COMERCIAL M Y R LIMITADA</t>
        </is>
      </c>
      <c r="B65" s="21" t="n"/>
      <c r="C65" s="21" t="n"/>
      <c r="D65" s="21" t="n"/>
      <c r="E65" s="21" t="n"/>
      <c r="H65" t="inlineStr">
        <is>
          <t>76.602.795-4</t>
        </is>
      </c>
    </row>
    <row r="66">
      <c r="A66" s="21" t="inlineStr">
        <is>
          <t>COMERCIAL MAHO LIMITADA</t>
        </is>
      </c>
      <c r="B66" s="21" t="n"/>
      <c r="C66" s="21" t="n"/>
      <c r="D66" s="21" t="n"/>
      <c r="E66" s="21" t="n"/>
      <c r="H66" t="inlineStr">
        <is>
          <t>76.167.134-0</t>
        </is>
      </c>
    </row>
    <row r="67">
      <c r="A67" s="21" t="inlineStr">
        <is>
          <t>COMERCIAL OREGON SPA</t>
        </is>
      </c>
      <c r="B67" s="21" t="n"/>
      <c r="C67" s="21" t="n"/>
      <c r="D67" s="21" t="n"/>
      <c r="E67" s="21" t="n"/>
      <c r="H67" t="inlineStr">
        <is>
          <t>77.295.128-0</t>
        </is>
      </c>
    </row>
    <row r="68">
      <c r="A68" s="21" t="inlineStr">
        <is>
          <t>COMERCIAL REYES LAZCANO SPA</t>
        </is>
      </c>
      <c r="B68" s="21" t="n"/>
      <c r="C68" s="21" t="n"/>
      <c r="D68" s="21" t="n"/>
      <c r="E68" s="21" t="n"/>
      <c r="H68" t="inlineStr">
        <is>
          <t>77.096.582-9</t>
        </is>
      </c>
    </row>
    <row r="69">
      <c r="A69" s="21" t="inlineStr">
        <is>
          <t>COMERCIAL ROMANA SPA</t>
        </is>
      </c>
      <c r="B69" s="21" t="n"/>
      <c r="C69" s="21" t="n"/>
      <c r="D69" s="21" t="n"/>
      <c r="E69" s="21" t="n"/>
      <c r="H69" t="inlineStr">
        <is>
          <t>76.666.568-3</t>
        </is>
      </c>
    </row>
    <row r="70">
      <c r="A70" s="21" t="inlineStr">
        <is>
          <t>COMERCIAL SHENJIE YUAN EMPRESA LTDA</t>
        </is>
      </c>
      <c r="B70" s="21" t="n"/>
      <c r="C70" s="21" t="n"/>
      <c r="D70" s="21" t="n"/>
      <c r="E70" s="21" t="n"/>
      <c r="H70" t="inlineStr">
        <is>
          <t>76.424.175-4</t>
        </is>
      </c>
    </row>
    <row r="71">
      <c r="A71" s="21" t="inlineStr">
        <is>
          <t>COMERCIAL Y SERVICIOS AREMITI LTDA</t>
        </is>
      </c>
      <c r="B71" s="21" t="n"/>
      <c r="C71" s="21" t="n"/>
      <c r="D71" s="21" t="n"/>
      <c r="E71" s="21" t="n"/>
      <c r="H71" t="inlineStr">
        <is>
          <t>76.018.300-8</t>
        </is>
      </c>
    </row>
    <row r="72">
      <c r="A72" s="21" t="inlineStr">
        <is>
          <t>COMERCIAL Y SERVICIOS PRALUNGO LIMITADA</t>
        </is>
      </c>
      <c r="B72" s="21" t="n"/>
      <c r="C72" s="21" t="n"/>
      <c r="D72" s="21" t="n"/>
      <c r="E72" s="21" t="n"/>
      <c r="H72" t="inlineStr">
        <is>
          <t>77.218.967-2</t>
        </is>
      </c>
    </row>
    <row r="73">
      <c r="A73" s="21" t="inlineStr">
        <is>
          <t>COMERCIALIZADORA ALISON FRIEDLI CARTWRIGHT EMPRESA INDIVIDUAL DE RESPO</t>
        </is>
      </c>
      <c r="B73" s="21" t="n"/>
      <c r="C73" s="21" t="n"/>
      <c r="D73" s="21" t="n"/>
      <c r="E73" s="21" t="n"/>
      <c r="H73" t="inlineStr">
        <is>
          <t>77.045.787-4</t>
        </is>
      </c>
    </row>
    <row r="74">
      <c r="A74" s="21" t="inlineStr">
        <is>
          <t>COMERCIALIZADORA ASHLEY SPA</t>
        </is>
      </c>
      <c r="B74" s="21" t="n"/>
      <c r="C74" s="21" t="n"/>
      <c r="D74" s="21" t="n"/>
      <c r="E74" s="21" t="n"/>
      <c r="H74" t="inlineStr">
        <is>
          <t>77.822.083-0</t>
        </is>
      </c>
    </row>
    <row r="75">
      <c r="A75" s="21" t="inlineStr">
        <is>
          <t>COMERCIALIZADORA BIENES MUEBLES ESPACIO COMERCIAL SPA</t>
        </is>
      </c>
      <c r="B75" s="21" t="n"/>
      <c r="C75" s="21" t="n"/>
      <c r="D75" s="21" t="n"/>
      <c r="E75" s="21" t="n"/>
      <c r="H75" t="inlineStr">
        <is>
          <t>76.777.421-4</t>
        </is>
      </c>
    </row>
    <row r="76">
      <c r="A76" s="21" t="inlineStr">
        <is>
          <t>COMERCIALIZADORA IDEPAL SPA</t>
        </is>
      </c>
      <c r="B76" s="21" t="n"/>
      <c r="C76" s="21" t="n"/>
      <c r="D76" s="21" t="n"/>
      <c r="E76" s="21" t="n"/>
      <c r="H76" t="inlineStr">
        <is>
          <t>76.969.983-K</t>
        </is>
      </c>
    </row>
    <row r="77">
      <c r="A77" s="21" t="inlineStr">
        <is>
          <t>COMERCIALIZADORA JS TIENDA SPA</t>
        </is>
      </c>
      <c r="B77" s="21" t="n"/>
      <c r="C77" s="21" t="n"/>
      <c r="D77" s="21" t="n"/>
      <c r="E77" s="21" t="n"/>
      <c r="H77" t="inlineStr">
        <is>
          <t>77.518.759-K</t>
        </is>
      </c>
    </row>
    <row r="78">
      <c r="A78" s="21" t="inlineStr">
        <is>
          <t>COMERCIALIZADORA LLOPIS Y PAREDES LIMITADA</t>
        </is>
      </c>
      <c r="B78" s="21" t="n"/>
      <c r="C78" s="21" t="n"/>
      <c r="D78" s="21" t="n"/>
      <c r="E78" s="21" t="n"/>
      <c r="H78" t="inlineStr">
        <is>
          <t>77.766.305-4</t>
        </is>
      </c>
    </row>
    <row r="79">
      <c r="A79" s="21" t="inlineStr">
        <is>
          <t>COMERCIALIZADORA MOISES LOPEZ E.I.R.L.</t>
        </is>
      </c>
      <c r="B79" s="21" t="n"/>
      <c r="C79" s="21" t="n"/>
      <c r="D79" s="21" t="n"/>
      <c r="E79" s="21" t="n"/>
      <c r="H79" t="inlineStr">
        <is>
          <t>77.196.662-4</t>
        </is>
      </c>
    </row>
    <row r="80">
      <c r="A80" s="21" t="inlineStr">
        <is>
          <t>COMERCIALIZADORA SUR DEL MUNDO LIMITADA</t>
        </is>
      </c>
      <c r="B80" s="21" t="n"/>
      <c r="C80" s="21" t="n"/>
      <c r="D80" s="21" t="n"/>
      <c r="E80" s="21" t="n"/>
      <c r="H80" t="inlineStr">
        <is>
          <t>78.377.540-9</t>
        </is>
      </c>
    </row>
    <row r="81">
      <c r="A81" s="21" t="inlineStr">
        <is>
          <t>COMERCIALIZADORA Y CONSTRUCTORA MACUL S A</t>
        </is>
      </c>
      <c r="B81" s="21" t="n"/>
      <c r="C81" s="21" t="n"/>
      <c r="D81" s="21" t="n"/>
      <c r="E81" s="21" t="n"/>
      <c r="H81" t="inlineStr">
        <is>
          <t>96.794.400-9</t>
        </is>
      </c>
    </row>
    <row r="82">
      <c r="A82" s="21" t="inlineStr">
        <is>
          <t>COMERCIALIZADORA Y DISTRIBUIDORA COSTA Y VÃ?ï¿½SQUEZ LIMITADA</t>
        </is>
      </c>
      <c r="B82" s="21" t="n"/>
      <c r="C82" s="21" t="n"/>
      <c r="D82" s="21" t="n"/>
      <c r="E82" s="21" t="n"/>
      <c r="H82" t="inlineStr">
        <is>
          <t>77.054.133-6</t>
        </is>
      </c>
    </row>
    <row r="83">
      <c r="A83" s="21" t="inlineStr">
        <is>
          <t>COMERCIALIZADORA Y DISTRIBUIDORA DE PRODUCTOS ZULIA SPA</t>
        </is>
      </c>
      <c r="B83" s="21" t="n"/>
      <c r="C83" s="21" t="n"/>
      <c r="D83" s="21" t="n"/>
      <c r="E83" s="21" t="n"/>
      <c r="H83" t="inlineStr">
        <is>
          <t>77.220.945-2</t>
        </is>
      </c>
    </row>
    <row r="84">
      <c r="A84" s="21" t="inlineStr">
        <is>
          <t>COMERCIALIZADORA Y DISTRIBUIDORA DE SOLDADURAS E INSUMOS OXILAND SPA</t>
        </is>
      </c>
      <c r="B84" s="21" t="n"/>
      <c r="C84" s="21" t="n"/>
      <c r="D84" s="21" t="n"/>
      <c r="E84" s="21" t="n"/>
      <c r="H84" t="inlineStr">
        <is>
          <t>77.882.461-2</t>
        </is>
      </c>
    </row>
    <row r="85">
      <c r="A85" s="21" t="inlineStr">
        <is>
          <t>COMERCIALIZADORA Y DISTRIBUIDORA DMASLED SPA</t>
        </is>
      </c>
      <c r="B85" s="21" t="n"/>
      <c r="C85" s="21" t="n"/>
      <c r="D85" s="21" t="n"/>
      <c r="E85" s="21" t="n"/>
      <c r="H85" t="inlineStr">
        <is>
          <t>76.124.863-4</t>
        </is>
      </c>
    </row>
    <row r="86">
      <c r="A86" s="21" t="inlineStr">
        <is>
          <t>CONTRATISTA MANO DE OBRA AGRÃCOLA VÃCTOR MARIPANGUI LUCERO E.I.R.L.</t>
        </is>
      </c>
      <c r="B86" s="21" t="n"/>
      <c r="C86" s="21" t="n"/>
      <c r="D86" s="21" t="n"/>
      <c r="E86" s="21" t="n"/>
      <c r="H86" t="inlineStr">
        <is>
          <t>76.755.481-8</t>
        </is>
      </c>
    </row>
    <row r="87">
      <c r="A87" s="21" t="inlineStr">
        <is>
          <t>COOPERATIVA AGRICOLA Y LECHERA DE LA UNION LTDA</t>
        </is>
      </c>
      <c r="B87" s="21" t="n"/>
      <c r="C87" s="21" t="n"/>
      <c r="D87" s="21" t="n"/>
      <c r="E87" s="21" t="n"/>
    </row>
    <row r="88">
      <c r="A88" s="21" t="inlineStr">
        <is>
          <t>COOPERATIVA AGRICOLA Y LECHERA DE LA UNION LTDA.</t>
        </is>
      </c>
      <c r="B88" s="21" t="n"/>
      <c r="C88" s="21" t="n"/>
      <c r="D88" s="21" t="n"/>
      <c r="E88" s="21" t="n"/>
    </row>
    <row r="89">
      <c r="A89" s="21" t="inlineStr">
        <is>
          <t>COPEC S.A.</t>
        </is>
      </c>
      <c r="B89" s="21" t="n"/>
      <c r="C89" s="21" t="n"/>
      <c r="D89" s="21" t="n"/>
      <c r="E89" s="21" t="n"/>
      <c r="H89" t="inlineStr">
        <is>
          <t>99.520.000-7</t>
        </is>
      </c>
    </row>
    <row r="90">
      <c r="A90" s="21" t="inlineStr">
        <is>
          <t>COSTA HERMANOS Y CIA LTDA</t>
        </is>
      </c>
      <c r="B90" s="21" t="n"/>
      <c r="C90" s="21" t="n"/>
      <c r="D90" s="21" t="n"/>
      <c r="E90" s="21" t="n"/>
      <c r="H90" t="inlineStr">
        <is>
          <t>77.274.340-8</t>
        </is>
      </c>
    </row>
    <row r="91">
      <c r="A91" s="21" t="inlineStr">
        <is>
          <t>CRISTALERÃAS DE CHILE S.A.</t>
        </is>
      </c>
      <c r="B91" s="21" t="n"/>
      <c r="C91" s="21" t="n"/>
      <c r="D91" s="21" t="n"/>
      <c r="E91" s="21" t="n"/>
      <c r="H91" t="inlineStr">
        <is>
          <t>90.331.000-6</t>
        </is>
      </c>
    </row>
    <row r="92">
      <c r="A92" s="21" t="inlineStr">
        <is>
          <t>CRISTALERIAS TORO SPA</t>
        </is>
      </c>
      <c r="B92" s="21" t="n"/>
      <c r="C92" s="21" t="n"/>
      <c r="D92" s="21" t="n"/>
      <c r="E92" s="21" t="n"/>
      <c r="H92" t="inlineStr">
        <is>
          <t>93.372.000-4</t>
        </is>
      </c>
    </row>
    <row r="93">
      <c r="A93" s="21" t="inlineStr">
        <is>
          <t>DAGA SPA</t>
        </is>
      </c>
      <c r="B93" s="21" t="n"/>
      <c r="C93" s="21" t="n"/>
      <c r="D93" s="21" t="n"/>
      <c r="E93" s="21" t="n"/>
      <c r="H93" t="inlineStr">
        <is>
          <t>77.769.831-1</t>
        </is>
      </c>
    </row>
    <row r="94">
      <c r="A94" s="21" t="inlineStr">
        <is>
          <t>DAP DUCASSE DISE?O LTDA.</t>
        </is>
      </c>
      <c r="B94" s="21" t="n"/>
      <c r="C94" s="21" t="n"/>
      <c r="D94" s="21" t="n"/>
      <c r="E94" s="21" t="n"/>
      <c r="H94" t="inlineStr">
        <is>
          <t>76.046.809-6</t>
        </is>
      </c>
    </row>
    <row r="95">
      <c r="A95" s="21" t="inlineStr">
        <is>
          <t>DCIC SPA</t>
        </is>
      </c>
      <c r="B95" s="21" t="n"/>
      <c r="C95" s="21" t="n"/>
      <c r="D95" s="21" t="n"/>
      <c r="E95" s="21" t="n"/>
      <c r="H95" t="inlineStr">
        <is>
          <t>76.205.592-9</t>
        </is>
      </c>
    </row>
    <row r="96">
      <c r="A96" s="21" t="inlineStr">
        <is>
          <t>Delivery Hero E-Commerce Chile SPA</t>
        </is>
      </c>
      <c r="B96" s="21" t="n"/>
      <c r="C96" s="21" t="n"/>
      <c r="D96" s="21" t="n"/>
      <c r="E96" s="21" t="n"/>
      <c r="H96" t="inlineStr">
        <is>
          <t>76.211.425-9</t>
        </is>
      </c>
    </row>
    <row r="97">
      <c r="A97" s="21" t="inlineStr">
        <is>
          <t>DISEÃ?O Y PROTOTIPADO SPA</t>
        </is>
      </c>
      <c r="B97" s="21" t="n"/>
      <c r="C97" s="21" t="n"/>
      <c r="D97" s="21" t="n"/>
      <c r="E97" s="21" t="n"/>
      <c r="H97" t="inlineStr">
        <is>
          <t>77.521.793-6</t>
        </is>
      </c>
    </row>
    <row r="98">
      <c r="A98" s="21" t="inlineStr">
        <is>
          <t>DISEÃ?OS GRÃFICOS S-LINNE SPA</t>
        </is>
      </c>
      <c r="B98" s="21" t="n"/>
      <c r="C98" s="21" t="n"/>
      <c r="D98" s="21" t="n"/>
      <c r="E98" s="21" t="n"/>
      <c r="H98" t="inlineStr">
        <is>
          <t>77.320.742-9</t>
        </is>
      </c>
    </row>
    <row r="99">
      <c r="A99" s="21" t="inlineStr">
        <is>
          <t>DISPARO SPA</t>
        </is>
      </c>
      <c r="B99" s="21" t="n"/>
      <c r="C99" s="21" t="n"/>
      <c r="D99" s="21" t="n"/>
      <c r="E99" s="21" t="n"/>
      <c r="H99" t="inlineStr">
        <is>
          <t>76.501.083-7</t>
        </is>
      </c>
    </row>
    <row r="100">
      <c r="A100" s="21" t="inlineStr">
        <is>
          <t>DISTRIBUIDOR QISHENG SPA</t>
        </is>
      </c>
      <c r="B100" s="21" t="n"/>
      <c r="C100" s="21" t="n"/>
      <c r="D100" s="21" t="n"/>
      <c r="E100" s="21" t="n"/>
      <c r="H100" t="inlineStr">
        <is>
          <t>77.685.577-4</t>
        </is>
      </c>
    </row>
    <row r="101">
      <c r="A101" s="21" t="inlineStr">
        <is>
          <t>DISTRIBUIDORA DEL SUR LTDA</t>
        </is>
      </c>
      <c r="B101" s="21" t="n"/>
      <c r="C101" s="21" t="n"/>
      <c r="D101" s="21" t="n"/>
      <c r="E101" s="21" t="n"/>
      <c r="H101" t="inlineStr">
        <is>
          <t>77.819.980-7</t>
        </is>
      </c>
    </row>
    <row r="102">
      <c r="A102" s="21" t="inlineStr">
        <is>
          <t>DISTRIBUIDORA GENESIS SPA</t>
        </is>
      </c>
      <c r="B102" s="21" t="n"/>
      <c r="C102" s="21" t="n"/>
      <c r="D102" s="21" t="n"/>
      <c r="E102" s="21" t="n"/>
      <c r="H102" t="inlineStr">
        <is>
          <t>96.615.340-7</t>
        </is>
      </c>
    </row>
    <row r="103">
      <c r="A103" s="21" t="inlineStr">
        <is>
          <t>DISTRIBUIDORA LA ANDINA SPA</t>
        </is>
      </c>
      <c r="B103" s="21" t="n"/>
      <c r="C103" s="21" t="n"/>
      <c r="D103" s="21" t="n"/>
      <c r="E103" s="21" t="n"/>
      <c r="H103" t="inlineStr">
        <is>
          <t>77.543.733-2</t>
        </is>
      </c>
    </row>
    <row r="104">
      <c r="A104" s="21" t="inlineStr">
        <is>
          <t>DISTRIBUIDORA PEPITAS DE ORO LTDA</t>
        </is>
      </c>
      <c r="B104" s="21" t="n"/>
      <c r="C104" s="21" t="n"/>
      <c r="D104" s="21" t="n"/>
      <c r="E104" s="21" t="n"/>
      <c r="H104" t="inlineStr">
        <is>
          <t>76.706.900-6</t>
        </is>
      </c>
    </row>
    <row r="105">
      <c r="A105" s="21" t="inlineStr">
        <is>
          <t>DISTRIBUIDORA RAMIREZ Y OTAROLA LIMITADA</t>
        </is>
      </c>
      <c r="B105" s="21" t="n"/>
      <c r="C105" s="21" t="n"/>
      <c r="D105" s="21" t="n"/>
      <c r="E105" s="21" t="n"/>
      <c r="H105" t="inlineStr">
        <is>
          <t>76.309.767-6</t>
        </is>
      </c>
    </row>
    <row r="106">
      <c r="A106" s="21" t="inlineStr">
        <is>
          <t>DISTRIBUIDORA TECNICA ELECTRICA VITEL S.A.</t>
        </is>
      </c>
      <c r="B106" s="21" t="n"/>
      <c r="C106" s="21" t="n"/>
      <c r="D106" s="21" t="n"/>
      <c r="E106" s="21" t="n"/>
      <c r="H106" t="inlineStr">
        <is>
          <t>89.396.900-4</t>
        </is>
      </c>
    </row>
    <row r="107">
      <c r="A107" s="21" t="inlineStr">
        <is>
          <t>Distribuidora Valentina Parra Spa</t>
        </is>
      </c>
      <c r="B107" s="21" t="n"/>
      <c r="C107" s="21" t="n"/>
      <c r="D107" s="21" t="n"/>
      <c r="E107" s="21" t="n"/>
      <c r="H107" t="inlineStr">
        <is>
          <t>77.469.709-8</t>
        </is>
      </c>
    </row>
    <row r="108">
      <c r="A108" s="21" t="inlineStr">
        <is>
          <t>DISTRIBUIDORA Y COMERCIAL DIMAK LIMITADA</t>
        </is>
      </c>
      <c r="B108" s="21" t="n"/>
      <c r="C108" s="21" t="n"/>
      <c r="D108" s="21" t="n"/>
      <c r="E108" s="21" t="n"/>
      <c r="H108" t="inlineStr">
        <is>
          <t>78.809.560-0</t>
        </is>
      </c>
    </row>
    <row r="109">
      <c r="A109" s="21" t="inlineStr">
        <is>
          <t>DONOSO Y COMPANIA LIMITADA</t>
        </is>
      </c>
      <c r="B109" s="21" t="n"/>
      <c r="C109" s="21" t="n"/>
      <c r="D109" s="21" t="n"/>
      <c r="E109" s="21" t="n"/>
      <c r="H109" t="inlineStr">
        <is>
          <t>76.272.477-4</t>
        </is>
      </c>
    </row>
    <row r="110">
      <c r="A110" s="21" t="inlineStr">
        <is>
          <t>DPS CHILE COMERCIAL LIMITADA.</t>
        </is>
      </c>
      <c r="B110" s="21" t="n"/>
      <c r="C110" s="21" t="n"/>
      <c r="D110" s="21" t="n"/>
      <c r="E110" s="21" t="n"/>
      <c r="H110" t="inlineStr">
        <is>
          <t>79.921.330-3</t>
        </is>
      </c>
    </row>
    <row r="111">
      <c r="A111" s="21" t="inlineStr">
        <is>
          <t>EASY RETAIL S.A.</t>
        </is>
      </c>
      <c r="B111" s="21" t="n"/>
      <c r="C111" s="21" t="n"/>
      <c r="D111" s="21" t="n"/>
      <c r="E111" s="21" t="n"/>
      <c r="H111" t="inlineStr">
        <is>
          <t>76.568.660-1</t>
        </is>
      </c>
    </row>
    <row r="112">
      <c r="A112" s="21" t="inlineStr">
        <is>
          <t>ECOMSUR S A</t>
        </is>
      </c>
      <c r="B112" s="21" t="n"/>
      <c r="C112" s="21" t="n"/>
      <c r="D112" s="21" t="n"/>
      <c r="E112" s="21" t="n"/>
      <c r="H112" t="inlineStr">
        <is>
          <t>76.205.521-K</t>
        </is>
      </c>
    </row>
    <row r="113">
      <c r="A113" s="21" t="inlineStr">
        <is>
          <t>EDIPAC SPA.</t>
        </is>
      </c>
      <c r="B113" s="21" t="n"/>
      <c r="C113" s="21" t="n"/>
      <c r="D113" s="21" t="n"/>
      <c r="E113" s="21" t="n"/>
      <c r="H113" t="inlineStr">
        <is>
          <t>88.566.900-K</t>
        </is>
      </c>
    </row>
    <row r="114">
      <c r="A114" s="21" t="inlineStr">
        <is>
          <t>EDS COM Y DIST PEREZ SILVA LIMITADA</t>
        </is>
      </c>
      <c r="B114" s="21" t="n"/>
      <c r="C114" s="21" t="n"/>
      <c r="D114" s="21" t="n"/>
      <c r="E114" s="21" t="n"/>
      <c r="H114" t="inlineStr">
        <is>
          <t>76.741.379-3</t>
        </is>
      </c>
    </row>
    <row r="115">
      <c r="A115" s="21" t="inlineStr">
        <is>
          <t>EKIPOTEL CHILE S A</t>
        </is>
      </c>
      <c r="B115" s="21" t="n"/>
      <c r="C115" s="21" t="n"/>
      <c r="D115" s="21" t="n"/>
      <c r="E115" s="21" t="n"/>
      <c r="H115" t="inlineStr">
        <is>
          <t>79.844.080-2</t>
        </is>
      </c>
    </row>
    <row r="116">
      <c r="A116" s="21" t="inlineStr">
        <is>
          <t>EKONO S.A.</t>
        </is>
      </c>
      <c r="B116" s="21" t="n"/>
      <c r="C116" s="21" t="n"/>
      <c r="D116" s="21" t="n"/>
      <c r="E116" s="21" t="n"/>
      <c r="H116" t="inlineStr">
        <is>
          <t>76.473.580-3</t>
        </is>
      </c>
    </row>
    <row r="117">
      <c r="A117" s="21" t="inlineStr">
        <is>
          <t>EL PISTACHO SPA</t>
        </is>
      </c>
      <c r="B117" s="21" t="n"/>
      <c r="C117" s="21" t="n"/>
      <c r="D117" s="21" t="n"/>
      <c r="E117" s="21" t="n"/>
      <c r="H117" t="inlineStr">
        <is>
          <t>77.361.009-6</t>
        </is>
      </c>
    </row>
    <row r="118">
      <c r="A118" s="21" t="inlineStr">
        <is>
          <t>ELECTRIC VOLT SPA</t>
        </is>
      </c>
      <c r="B118" s="21" t="n"/>
      <c r="C118" s="21" t="n"/>
      <c r="D118" s="21" t="n"/>
      <c r="E118" s="21" t="n"/>
      <c r="H118" t="inlineStr">
        <is>
          <t>77.487.919-6</t>
        </is>
      </c>
    </row>
    <row r="119">
      <c r="A119" s="21" t="inlineStr">
        <is>
          <t>Embotelladora Andina S.A.</t>
        </is>
      </c>
      <c r="B119" s="21" t="n"/>
      <c r="C119" s="21" t="n"/>
      <c r="D119" s="21" t="n"/>
      <c r="E119" s="21" t="n"/>
      <c r="H119" t="inlineStr">
        <is>
          <t>91.144.000-8</t>
        </is>
      </c>
    </row>
    <row r="120">
      <c r="A120" s="21" t="inlineStr">
        <is>
          <t>EMPACKAGING SPA</t>
        </is>
      </c>
      <c r="B120" s="21" t="n"/>
      <c r="C120" s="21" t="n"/>
      <c r="D120" s="21" t="n"/>
      <c r="E120" s="21" t="n"/>
      <c r="H120" t="inlineStr">
        <is>
          <t>77.327.228-K</t>
        </is>
      </c>
    </row>
    <row r="121">
      <c r="A121" s="21" t="inlineStr">
        <is>
          <t>EMPORIO MAPOCHO VILLABARRA SPA</t>
        </is>
      </c>
      <c r="B121" s="21" t="n"/>
      <c r="C121" s="21" t="n"/>
      <c r="D121" s="21" t="n"/>
      <c r="E121" s="21" t="n"/>
      <c r="H121" t="inlineStr">
        <is>
          <t>78.048.873-5</t>
        </is>
      </c>
    </row>
    <row r="122">
      <c r="A122" s="21" t="inlineStr">
        <is>
          <t>EMPRESA NACIONAL DE CERTIFICACION ELECTRONICA SPA</t>
        </is>
      </c>
      <c r="B122" s="21" t="n"/>
      <c r="C122" s="21" t="n"/>
      <c r="D122" s="21" t="n"/>
      <c r="E122" s="21" t="n"/>
      <c r="H122" t="inlineStr">
        <is>
          <t>96.928.180-5</t>
        </is>
      </c>
    </row>
    <row r="123">
      <c r="A123" s="21" t="inlineStr">
        <is>
          <t>ENEL DISTRIBUCIÃ?N CHILE S.A</t>
        </is>
      </c>
      <c r="B123" s="21" t="n"/>
      <c r="C123" s="21" t="n"/>
      <c r="D123" s="21" t="n"/>
      <c r="E123" s="21" t="n"/>
      <c r="H123" t="inlineStr">
        <is>
          <t>96.800.570-7</t>
        </is>
      </c>
    </row>
    <row r="124">
      <c r="A124" s="21" t="inlineStr">
        <is>
          <t>ENERO Y ENERO SPA</t>
        </is>
      </c>
      <c r="B124" s="21" t="n"/>
      <c r="C124" s="21" t="n"/>
      <c r="D124" s="21" t="n"/>
      <c r="E124" s="21" t="n"/>
      <c r="H124" t="inlineStr">
        <is>
          <t>77.352.018-6</t>
        </is>
      </c>
    </row>
    <row r="125">
      <c r="A125" s="21" t="inlineStr">
        <is>
          <t>ENVASES BUENAVENTURA SPA</t>
        </is>
      </c>
      <c r="B125" s="21" t="n"/>
      <c r="C125" s="21" t="n"/>
      <c r="D125" s="21" t="n"/>
      <c r="E125" s="21" t="n"/>
      <c r="H125" t="inlineStr">
        <is>
          <t>77.050.436-8</t>
        </is>
      </c>
    </row>
    <row r="126">
      <c r="A126" s="21" t="inlineStr">
        <is>
          <t>ENVASES ECOLÃ?GICOS HANNA SPA</t>
        </is>
      </c>
      <c r="B126" s="21" t="n"/>
      <c r="C126" s="21" t="n"/>
      <c r="D126" s="21" t="n"/>
      <c r="E126" s="21" t="n"/>
      <c r="H126" t="inlineStr">
        <is>
          <t>77.082.288-2</t>
        </is>
      </c>
    </row>
    <row r="127">
      <c r="A127" s="21" t="inlineStr">
        <is>
          <t>ENVIAME LATAM SPA</t>
        </is>
      </c>
      <c r="B127" s="21" t="n"/>
      <c r="C127" s="21" t="n"/>
      <c r="D127" s="21" t="n"/>
      <c r="E127" s="21" t="n"/>
      <c r="H127" t="inlineStr">
        <is>
          <t>76.669.508-6</t>
        </is>
      </c>
    </row>
    <row r="128">
      <c r="A128" s="21" t="inlineStr">
        <is>
          <t>EQUIPOS CONTRA INCENDIOS IGOR GALAZ RUIZ E I R L</t>
        </is>
      </c>
      <c r="B128" s="21" t="n"/>
      <c r="C128" s="21" t="n"/>
      <c r="D128" s="21" t="n"/>
      <c r="E128" s="21" t="n"/>
      <c r="H128" t="inlineStr">
        <is>
          <t>52.000.435-1</t>
        </is>
      </c>
    </row>
    <row r="129">
      <c r="A129" s="21" t="inlineStr">
        <is>
          <t>ESMAX RED LIMITADA</t>
        </is>
      </c>
      <c r="B129" s="21" t="n"/>
      <c r="C129" s="21" t="n"/>
      <c r="D129" s="21" t="n"/>
      <c r="E129" s="21" t="n"/>
      <c r="H129" t="inlineStr">
        <is>
          <t>79.706.120-4</t>
        </is>
      </c>
    </row>
    <row r="130">
      <c r="A130" s="21" t="inlineStr">
        <is>
          <t>ESTORGA PUBLICIDAD SPA</t>
        </is>
      </c>
      <c r="B130" s="21" t="n"/>
      <c r="C130" s="21" t="n"/>
      <c r="D130" s="21" t="n"/>
      <c r="E130" s="21" t="n"/>
      <c r="H130" t="inlineStr">
        <is>
          <t>77.884.693-4</t>
        </is>
      </c>
    </row>
    <row r="131">
      <c r="A131" s="21" t="inlineStr">
        <is>
          <t>FABRICACIÃ?N E IMPORTACIÃ?N DE IMPLEMENTOS DEPORTIVOS GOAT LIMITADA</t>
        </is>
      </c>
      <c r="B131" s="21" t="n"/>
      <c r="C131" s="21" t="n"/>
      <c r="D131" s="21" t="n"/>
      <c r="E131" s="21" t="n"/>
      <c r="H131" t="inlineStr">
        <is>
          <t>77.376.575-8</t>
        </is>
      </c>
    </row>
    <row r="132">
      <c r="A132" s="21" t="inlineStr">
        <is>
          <t>FALABELLA RETAIL S.A.</t>
        </is>
      </c>
      <c r="B132" s="21" t="n"/>
      <c r="C132" s="21" t="n"/>
      <c r="D132" s="21" t="n"/>
      <c r="E132" s="21" t="n"/>
      <c r="H132" t="inlineStr">
        <is>
          <t>77.261.280-K</t>
        </is>
      </c>
    </row>
    <row r="133">
      <c r="A133" s="21" t="inlineStr">
        <is>
          <t>FALABELLA.COM SPA</t>
        </is>
      </c>
      <c r="B133" s="21" t="n"/>
      <c r="C133" s="21" t="n"/>
      <c r="D133" s="21" t="n"/>
      <c r="E133" s="21" t="n"/>
      <c r="H133" t="inlineStr">
        <is>
          <t>76.212.492-0</t>
        </is>
      </c>
    </row>
    <row r="134">
      <c r="A134" s="21" t="inlineStr">
        <is>
          <t>FARMACIAS AHUMADA SpA</t>
        </is>
      </c>
      <c r="B134" s="21" t="n"/>
      <c r="C134" s="21" t="n"/>
      <c r="D134" s="21" t="n"/>
      <c r="E134" s="21" t="n"/>
      <c r="H134" t="inlineStr">
        <is>
          <t>76.378.831-8</t>
        </is>
      </c>
    </row>
    <row r="135">
      <c r="A135" s="21" t="inlineStr">
        <is>
          <t>FARMACIAS DE SIMILARES CHILE S A</t>
        </is>
      </c>
      <c r="B135" s="21" t="n"/>
      <c r="C135" s="21" t="n"/>
      <c r="D135" s="21" t="n"/>
      <c r="E135" s="21" t="n"/>
      <c r="H135" t="inlineStr">
        <is>
          <t>59.111.330-5</t>
        </is>
      </c>
    </row>
    <row r="136">
      <c r="A136" s="21" t="inlineStr">
        <is>
          <t>FERRETERIA CAVEM SPA</t>
        </is>
      </c>
      <c r="B136" s="21" t="n"/>
      <c r="C136" s="21" t="n"/>
      <c r="D136" s="21" t="n"/>
      <c r="E136" s="21" t="n"/>
      <c r="H136" t="inlineStr">
        <is>
          <t>76.826.580-1</t>
        </is>
      </c>
    </row>
    <row r="137">
      <c r="A137" s="21" t="inlineStr">
        <is>
          <t>FERRETERIA J. GARACHENA SA.</t>
        </is>
      </c>
      <c r="B137" s="21" t="n"/>
      <c r="C137" s="21" t="n"/>
      <c r="D137" s="21" t="n"/>
      <c r="E137" s="21" t="n"/>
      <c r="H137" t="inlineStr">
        <is>
          <t>96.702.710-3</t>
        </is>
      </c>
    </row>
    <row r="138">
      <c r="A138" s="21" t="inlineStr">
        <is>
          <t>FINTOC SPA</t>
        </is>
      </c>
      <c r="B138" s="21" t="n"/>
      <c r="C138" s="21" t="n"/>
      <c r="D138" s="21" t="n"/>
      <c r="E138" s="21" t="n"/>
      <c r="H138" t="inlineStr">
        <is>
          <t>77.143.385-5</t>
        </is>
      </c>
    </row>
    <row r="139">
      <c r="A139" s="21" t="inlineStr">
        <is>
          <t>FLAPP SPA</t>
        </is>
      </c>
      <c r="B139" s="21" t="n"/>
      <c r="C139" s="21" t="n"/>
      <c r="D139" s="21" t="n"/>
      <c r="E139" s="21" t="n"/>
      <c r="H139" t="inlineStr">
        <is>
          <t>77.857.789-5</t>
        </is>
      </c>
    </row>
    <row r="140">
      <c r="A140" s="21" t="inlineStr">
        <is>
          <t>FOTOGRAFICA FORESTIER SPA.</t>
        </is>
      </c>
      <c r="B140" s="21" t="n"/>
      <c r="C140" s="21" t="n"/>
      <c r="D140" s="21" t="n"/>
      <c r="E140" s="21" t="n"/>
      <c r="H140" t="inlineStr">
        <is>
          <t>79.813.360-8</t>
        </is>
      </c>
    </row>
    <row r="141">
      <c r="A141" s="21" t="inlineStr">
        <is>
          <t>FRAILE CASTRUCCIO YUTE SPA</t>
        </is>
      </c>
      <c r="B141" s="21" t="n"/>
      <c r="C141" s="21" t="n"/>
      <c r="D141" s="21" t="n"/>
      <c r="E141" s="21" t="n"/>
      <c r="H141" t="inlineStr">
        <is>
          <t>76.285.343-4</t>
        </is>
      </c>
    </row>
    <row r="142">
      <c r="A142" s="21" t="inlineStr">
        <is>
          <t>FRANCISCO ISRAEL FARIAS GALLARDO</t>
        </is>
      </c>
      <c r="B142" s="21" t="n"/>
      <c r="C142" s="21" t="n"/>
      <c r="D142" s="21" t="n"/>
      <c r="E142" s="21" t="n"/>
      <c r="H142" t="inlineStr">
        <is>
          <t>15.720.690-7</t>
        </is>
      </c>
    </row>
    <row r="143">
      <c r="A143" s="21" t="inlineStr">
        <is>
          <t>FUMIGACIONES MANQUEHUE LTDA</t>
        </is>
      </c>
      <c r="B143" s="21" t="n"/>
      <c r="C143" s="21" t="n"/>
      <c r="D143" s="21" t="n"/>
      <c r="E143" s="21" t="n"/>
      <c r="H143" t="inlineStr">
        <is>
          <t>79.815.860-0</t>
        </is>
      </c>
    </row>
    <row r="144">
      <c r="A144" s="21" t="inlineStr">
        <is>
          <t>G Y G COMERCIAL E INGENIERIA SPA.</t>
        </is>
      </c>
      <c r="B144" s="21" t="n"/>
      <c r="C144" s="21" t="n"/>
      <c r="D144" s="21" t="n"/>
      <c r="E144" s="21" t="n"/>
      <c r="H144" t="inlineStr">
        <is>
          <t>79.757.830-4</t>
        </is>
      </c>
    </row>
    <row r="145">
      <c r="A145" s="21" t="inlineStr">
        <is>
          <t>GAMU SPA</t>
        </is>
      </c>
      <c r="B145" s="21" t="n"/>
      <c r="C145" s="21" t="n"/>
      <c r="D145" s="21" t="n"/>
      <c r="E145" s="21" t="n"/>
      <c r="H145" t="inlineStr">
        <is>
          <t>76.774.356-4</t>
        </is>
      </c>
    </row>
    <row r="146">
      <c r="A146" s="21" t="inlineStr">
        <is>
          <t>GLAM S.A.</t>
        </is>
      </c>
      <c r="B146" s="21" t="n"/>
      <c r="C146" s="21" t="n"/>
      <c r="D146" s="21" t="n"/>
      <c r="E146" s="21" t="n"/>
      <c r="H146" t="inlineStr">
        <is>
          <t>77.740.500-4</t>
        </is>
      </c>
    </row>
    <row r="147">
      <c r="A147" s="21" t="inlineStr">
        <is>
          <t>GLO SPA</t>
        </is>
      </c>
      <c r="B147" s="21" t="n"/>
      <c r="C147" s="21" t="n"/>
      <c r="D147" s="21" t="n"/>
      <c r="E147" s="21" t="n"/>
      <c r="H147" t="inlineStr">
        <is>
          <t>77.677.026-4</t>
        </is>
      </c>
    </row>
    <row r="148">
      <c r="A148" s="21" t="inlineStr">
        <is>
          <t>GOBETS Y ZVEREV LIMITADA</t>
        </is>
      </c>
      <c r="B148" s="21" t="n"/>
      <c r="C148" s="21" t="n"/>
      <c r="D148" s="21" t="n"/>
      <c r="E148" s="21" t="n"/>
      <c r="H148" t="inlineStr">
        <is>
          <t>76.459.377-4</t>
        </is>
      </c>
    </row>
    <row r="149">
      <c r="A149" s="21" t="inlineStr">
        <is>
          <t>GOOD FOOD S.A.</t>
        </is>
      </c>
      <c r="B149" s="21" t="n"/>
      <c r="C149" s="21" t="n"/>
      <c r="D149" s="21" t="n"/>
      <c r="E149" s="21" t="n"/>
      <c r="H149" t="inlineStr">
        <is>
          <t>96.665.460-0</t>
        </is>
      </c>
    </row>
    <row r="150">
      <c r="A150" s="21" t="inlineStr">
        <is>
          <t>GOODMEAL CHILE SPA</t>
        </is>
      </c>
      <c r="B150" s="21" t="n"/>
      <c r="C150" s="21" t="n"/>
      <c r="D150" s="21" t="n"/>
      <c r="E150" s="21" t="n"/>
      <c r="H150" t="inlineStr">
        <is>
          <t>77.194.654-2</t>
        </is>
      </c>
    </row>
    <row r="151">
      <c r="A151" s="21" t="inlineStr">
        <is>
          <t>GR RESTAURANTES LIMITADA</t>
        </is>
      </c>
      <c r="B151" s="21" t="n"/>
      <c r="C151" s="21" t="n"/>
      <c r="D151" s="21" t="n"/>
      <c r="E151" s="21" t="n"/>
      <c r="H151" t="inlineStr">
        <is>
          <t>76.081.959-K</t>
        </is>
      </c>
    </row>
    <row r="152">
      <c r="A152" s="21" t="inlineStr">
        <is>
          <t>GREAT FOODS S.A.</t>
        </is>
      </c>
      <c r="B152" s="21" t="n"/>
      <c r="C152" s="21" t="n"/>
      <c r="D152" s="21" t="n"/>
      <c r="E152" s="21" t="n"/>
      <c r="H152" t="inlineStr">
        <is>
          <t>96.775.020-4</t>
        </is>
      </c>
    </row>
    <row r="153">
      <c r="A153" s="21" t="inlineStr">
        <is>
          <t>GREEN LAB SPA</t>
        </is>
      </c>
      <c r="B153" s="21" t="n"/>
      <c r="C153" s="21" t="n"/>
      <c r="D153" s="21" t="n"/>
      <c r="E153" s="21" t="n"/>
      <c r="H153" t="inlineStr">
        <is>
          <t>76.914.197-9</t>
        </is>
      </c>
    </row>
    <row r="154">
      <c r="A154" s="21" t="inlineStr">
        <is>
          <t>GRUPO ECO LIMPIO SPA</t>
        </is>
      </c>
      <c r="B154" s="21" t="n"/>
      <c r="C154" s="21" t="n"/>
      <c r="D154" s="21" t="n"/>
      <c r="E154" s="21" t="n"/>
      <c r="H154" t="inlineStr">
        <is>
          <t>77.047.463-9</t>
        </is>
      </c>
    </row>
    <row r="155">
      <c r="A155" s="21" t="inlineStr">
        <is>
          <t>HAULMER CHILE SPA</t>
        </is>
      </c>
      <c r="B155" s="21" t="n"/>
      <c r="C155" s="21" t="n"/>
      <c r="D155" s="21" t="n"/>
      <c r="E155" s="21" t="n"/>
    </row>
    <row r="156">
      <c r="A156" s="21" t="inlineStr">
        <is>
          <t>HAULMER SPA</t>
        </is>
      </c>
      <c r="B156" s="21" t="n"/>
      <c r="C156" s="21" t="n"/>
      <c r="D156" s="21" t="n"/>
      <c r="E156" s="21" t="n"/>
      <c r="H156" t="inlineStr">
        <is>
          <t>76.795.561-8</t>
        </is>
      </c>
    </row>
    <row r="157">
      <c r="A157" s="21" t="inlineStr">
        <is>
          <t>HG CONSTRUCTORA SPA</t>
        </is>
      </c>
      <c r="B157" s="21" t="n"/>
      <c r="C157" s="21" t="n"/>
      <c r="D157" s="21" t="n"/>
      <c r="E157" s="21" t="n"/>
      <c r="H157" t="inlineStr">
        <is>
          <t>76.474.307-5</t>
        </is>
      </c>
    </row>
    <row r="158">
      <c r="A158" s="21" t="inlineStr">
        <is>
          <t>HIPERMERCADOS TOTTUS S.A.</t>
        </is>
      </c>
      <c r="B158" s="21" t="n"/>
      <c r="C158" s="21" t="n"/>
      <c r="D158" s="21" t="n"/>
      <c r="E158" s="21" t="n"/>
      <c r="H158" t="inlineStr">
        <is>
          <t>78.627.210-6</t>
        </is>
      </c>
    </row>
    <row r="159">
      <c r="A159" s="21" t="inlineStr">
        <is>
          <t>Homs</t>
        </is>
      </c>
      <c r="B159" s="21" t="n"/>
      <c r="C159" s="21" t="n"/>
      <c r="D159" s="21" t="n"/>
      <c r="E159" s="21" t="n"/>
      <c r="H159" t="inlineStr">
        <is>
          <t>77.931.120-1</t>
        </is>
      </c>
    </row>
    <row r="160">
      <c r="A160" s="21" t="inlineStr">
        <is>
          <t>IGNACIO AZCORBEBEITIA Y CIA LTDA</t>
        </is>
      </c>
      <c r="B160" s="21" t="n"/>
      <c r="C160" s="21" t="n"/>
      <c r="D160" s="21" t="n"/>
      <c r="E160" s="21" t="n"/>
      <c r="H160" t="inlineStr">
        <is>
          <t>84.071.200-1</t>
        </is>
      </c>
    </row>
    <row r="161">
      <c r="A161" s="21" t="inlineStr">
        <is>
          <t>IKEA</t>
        </is>
      </c>
      <c r="B161" s="21" t="n"/>
      <c r="C161" s="21" t="n"/>
      <c r="D161" s="21" t="n"/>
      <c r="E161" s="21" t="n"/>
      <c r="H161" t="inlineStr">
        <is>
          <t>76.993.859-1</t>
        </is>
      </c>
    </row>
    <row r="162">
      <c r="A162" s="21" t="inlineStr">
        <is>
          <t>ILOP S A</t>
        </is>
      </c>
      <c r="B162" s="21" t="n"/>
      <c r="C162" s="21" t="n"/>
      <c r="D162" s="21" t="n"/>
      <c r="E162" s="21" t="n"/>
      <c r="H162" t="inlineStr">
        <is>
          <t>80.478.200-1</t>
        </is>
      </c>
    </row>
    <row r="163">
      <c r="A163" s="21" t="inlineStr">
        <is>
          <t>IMAHE S.A.</t>
        </is>
      </c>
      <c r="B163" s="21" t="n"/>
      <c r="C163" s="21" t="n"/>
      <c r="D163" s="21" t="n"/>
      <c r="E163" s="21" t="n"/>
      <c r="H163" t="inlineStr">
        <is>
          <t>85.110.100-4</t>
        </is>
      </c>
    </row>
    <row r="164">
      <c r="A164" s="21" t="inlineStr">
        <is>
          <t>Imega Ventus SpA</t>
        </is>
      </c>
      <c r="B164" s="21" t="n"/>
      <c r="C164" s="21" t="n"/>
      <c r="D164" s="21" t="n"/>
      <c r="E164" s="21" t="n"/>
      <c r="H164" t="inlineStr">
        <is>
          <t>99.522.260-4</t>
        </is>
      </c>
    </row>
    <row r="165">
      <c r="A165" s="21" t="inlineStr">
        <is>
          <t>IMPALSA SpA</t>
        </is>
      </c>
      <c r="B165" s="21" t="n"/>
      <c r="C165" s="21" t="n"/>
      <c r="D165" s="21" t="n"/>
      <c r="E165" s="21" t="n"/>
      <c r="H165" t="inlineStr">
        <is>
          <t>77.545.005-3</t>
        </is>
      </c>
    </row>
    <row r="166">
      <c r="A166" s="21" t="inlineStr">
        <is>
          <t>IMPORTACIONES Y VENTAS ÃLVARO ANDRÃ?S MORENO PIRARD E.I.R.L.</t>
        </is>
      </c>
      <c r="B166" s="21" t="n"/>
      <c r="C166" s="21" t="n"/>
      <c r="D166" s="21" t="n"/>
      <c r="E166" s="21" t="n"/>
      <c r="H166" t="inlineStr">
        <is>
          <t>76.567.138-8</t>
        </is>
      </c>
    </row>
    <row r="167">
      <c r="A167" s="21" t="inlineStr">
        <is>
          <t>Importadora Dalia Ltda</t>
        </is>
      </c>
      <c r="B167" s="21" t="n"/>
      <c r="C167" s="21" t="n"/>
      <c r="D167" s="21" t="n"/>
      <c r="E167" s="21" t="n"/>
      <c r="H167" t="inlineStr">
        <is>
          <t>77.787.900-6</t>
        </is>
      </c>
    </row>
    <row r="168">
      <c r="A168" s="21" t="inlineStr">
        <is>
          <t>Importadora Dilido SPA</t>
        </is>
      </c>
      <c r="B168" s="21" t="n"/>
      <c r="C168" s="21" t="n"/>
      <c r="D168" s="21" t="n"/>
      <c r="E168" s="21" t="n"/>
      <c r="H168" t="inlineStr">
        <is>
          <t>86.521.400-6</t>
        </is>
      </c>
    </row>
    <row r="169">
      <c r="A169" s="21" t="inlineStr">
        <is>
          <t>IMPORTADORA GDL SPA</t>
        </is>
      </c>
      <c r="B169" s="21" t="n"/>
      <c r="C169" s="21" t="n"/>
      <c r="D169" s="21" t="n"/>
      <c r="E169" s="21" t="n"/>
      <c r="H169" t="inlineStr">
        <is>
          <t>77.252.492-7</t>
        </is>
      </c>
    </row>
    <row r="170">
      <c r="A170" s="21" t="inlineStr">
        <is>
          <t>IMPORTADORA IMPRECIN SPA.</t>
        </is>
      </c>
      <c r="B170" s="21" t="n"/>
      <c r="C170" s="21" t="n"/>
      <c r="D170" s="21" t="n"/>
      <c r="E170" s="21" t="n"/>
      <c r="H170" t="inlineStr">
        <is>
          <t>77.113.520-K</t>
        </is>
      </c>
    </row>
    <row r="171">
      <c r="A171" s="21" t="inlineStr">
        <is>
          <t>IMPORTADORA MF SPA</t>
        </is>
      </c>
      <c r="B171" s="21" t="n"/>
      <c r="C171" s="21" t="n"/>
      <c r="D171" s="21" t="n"/>
      <c r="E171" s="21" t="n"/>
      <c r="H171" t="inlineStr">
        <is>
          <t>77.621.064-1</t>
        </is>
      </c>
    </row>
    <row r="172">
      <c r="A172" s="21" t="inlineStr">
        <is>
          <t>IMPORTADORA Y COMERCIALIZADORA INCORPTEX LIMITADA</t>
        </is>
      </c>
      <c r="B172" s="21" t="n"/>
      <c r="C172" s="21" t="n"/>
      <c r="D172" s="21" t="n"/>
      <c r="E172" s="21" t="n"/>
      <c r="H172" t="inlineStr">
        <is>
          <t>76.209.474-6</t>
        </is>
      </c>
    </row>
    <row r="173">
      <c r="A173" s="21" t="inlineStr">
        <is>
          <t>IMPORTADORA Y COMERCIALIZADORA LECAROS T. SPA</t>
        </is>
      </c>
      <c r="B173" s="21" t="n"/>
      <c r="C173" s="21" t="n"/>
      <c r="D173" s="21" t="n"/>
      <c r="E173" s="21" t="n"/>
      <c r="H173" t="inlineStr">
        <is>
          <t>76.737.642-1</t>
        </is>
      </c>
    </row>
    <row r="174">
      <c r="A174" s="21" t="inlineStr">
        <is>
          <t>IMPORTADORA Y DISTRIBUIDORA GO-SHOP LTDA</t>
        </is>
      </c>
      <c r="B174" s="21" t="n"/>
      <c r="C174" s="21" t="n"/>
      <c r="D174" s="21" t="n"/>
      <c r="E174" s="21" t="n"/>
      <c r="H174" t="inlineStr">
        <is>
          <t>79.761.220-0</t>
        </is>
      </c>
    </row>
    <row r="175">
      <c r="A175" s="21" t="inlineStr">
        <is>
          <t>IMPORTADORA Y EXPORTADORA JIN MAN LIMITADA</t>
        </is>
      </c>
      <c r="B175" s="21" t="n"/>
      <c r="C175" s="21" t="n"/>
      <c r="D175" s="21" t="n"/>
      <c r="E175" s="21" t="n"/>
      <c r="H175" t="inlineStr">
        <is>
          <t>76.736.836-4</t>
        </is>
      </c>
    </row>
    <row r="176">
      <c r="A176" s="21" t="inlineStr">
        <is>
          <t>IMPORTADORA Y EXPORTADORA ZAR LIMITADA</t>
        </is>
      </c>
      <c r="B176" s="21" t="n"/>
      <c r="C176" s="21" t="n"/>
      <c r="D176" s="21" t="n"/>
      <c r="E176" s="21" t="n"/>
      <c r="H176" t="inlineStr">
        <is>
          <t>76.454.153-7</t>
        </is>
      </c>
    </row>
    <row r="177">
      <c r="A177" s="21" t="inlineStr">
        <is>
          <t>INDIGO DE PAPEL LIMITADA</t>
        </is>
      </c>
      <c r="B177" s="21" t="n"/>
      <c r="C177" s="21" t="n"/>
      <c r="D177" s="21" t="n"/>
      <c r="E177" s="21" t="n"/>
      <c r="H177" t="inlineStr">
        <is>
          <t>76.543.261-8</t>
        </is>
      </c>
    </row>
    <row r="178">
      <c r="A178" s="21" t="inlineStr">
        <is>
          <t>INDUSTRIALIZADORA DE SISTEMAS CONTRA INCENDIO FIRE MASTER LTDA</t>
        </is>
      </c>
      <c r="B178" s="21" t="n"/>
      <c r="C178" s="21" t="n"/>
      <c r="D178" s="21" t="n"/>
      <c r="E178" s="21" t="n"/>
      <c r="H178" t="inlineStr">
        <is>
          <t>77.322.070-0</t>
        </is>
      </c>
    </row>
    <row r="179">
      <c r="A179" s="21" t="inlineStr">
        <is>
          <t>INGENIUM ASESORES SPA</t>
        </is>
      </c>
      <c r="B179" s="21" t="n"/>
      <c r="C179" s="21" t="n"/>
      <c r="D179" s="21" t="n"/>
      <c r="E179" s="21" t="n"/>
      <c r="H179" t="inlineStr">
        <is>
          <t>76.768.212-3</t>
        </is>
      </c>
    </row>
    <row r="180">
      <c r="A180" s="21" t="inlineStr">
        <is>
          <t>INMOBILIARIA PASCUALA S.A.</t>
        </is>
      </c>
      <c r="B180" s="21" t="n"/>
      <c r="C180" s="21" t="n"/>
      <c r="D180" s="21" t="n"/>
      <c r="E180" s="21" t="n"/>
      <c r="H180" t="inlineStr">
        <is>
          <t>76.073.577-9</t>
        </is>
      </c>
    </row>
    <row r="181">
      <c r="A181" s="21" t="inlineStr">
        <is>
          <t>INNOVATIVE TECH SPA</t>
        </is>
      </c>
      <c r="B181" s="21" t="n"/>
      <c r="C181" s="21" t="n"/>
      <c r="D181" s="21" t="n"/>
      <c r="E181" s="21" t="n"/>
      <c r="H181" t="inlineStr">
        <is>
          <t>76.953.766-K</t>
        </is>
      </c>
    </row>
    <row r="182">
      <c r="A182" s="21" t="inlineStr">
        <is>
          <t>INSTITUTO FINANCIERO DE CAPACITACION SPA</t>
        </is>
      </c>
      <c r="B182" s="21" t="n"/>
      <c r="C182" s="21" t="n"/>
      <c r="D182" s="21" t="n"/>
      <c r="E182" s="21" t="n"/>
      <c r="H182" t="inlineStr">
        <is>
          <t>76.235.238-9</t>
        </is>
      </c>
    </row>
    <row r="183">
      <c r="A183" s="21" t="inlineStr">
        <is>
          <t>INVERSIONES APOLO SPA</t>
        </is>
      </c>
      <c r="B183" s="21" t="n"/>
      <c r="C183" s="21" t="n"/>
      <c r="D183" s="21" t="n"/>
      <c r="E183" s="21" t="n"/>
      <c r="H183" t="inlineStr">
        <is>
          <t>76.979.091-8</t>
        </is>
      </c>
    </row>
    <row r="184">
      <c r="A184" s="21" t="inlineStr">
        <is>
          <t>INVERSIONES ENEX S.A.</t>
        </is>
      </c>
      <c r="B184" s="21" t="n"/>
      <c r="C184" s="21" t="n"/>
      <c r="D184" s="21" t="n"/>
      <c r="E184" s="21" t="n"/>
      <c r="H184" t="inlineStr">
        <is>
          <t>94.625.000-7</t>
        </is>
      </c>
    </row>
    <row r="185">
      <c r="A185" s="21" t="inlineStr">
        <is>
          <t>INVERSIONES IMPERIO SPA</t>
        </is>
      </c>
      <c r="B185" s="21" t="n"/>
      <c r="C185" s="21" t="n"/>
      <c r="D185" s="21" t="n"/>
      <c r="E185" s="21" t="n"/>
      <c r="H185" t="inlineStr">
        <is>
          <t>76.531.741-K</t>
        </is>
      </c>
    </row>
    <row r="186">
      <c r="A186" s="21" t="inlineStr">
        <is>
          <t>INVERSIONES J A SPA</t>
        </is>
      </c>
      <c r="B186" s="21" t="n"/>
      <c r="C186" s="21" t="n"/>
      <c r="D186" s="21" t="n"/>
      <c r="E186" s="21" t="n"/>
      <c r="H186" t="inlineStr">
        <is>
          <t>77.614.714-1</t>
        </is>
      </c>
    </row>
    <row r="187">
      <c r="A187" s="21" t="inlineStr">
        <is>
          <t>INVERSIONES MAS SPA</t>
        </is>
      </c>
      <c r="B187" s="21" t="n"/>
      <c r="C187" s="21" t="n"/>
      <c r="D187" s="21" t="n"/>
      <c r="E187" s="21" t="n"/>
      <c r="H187" t="inlineStr">
        <is>
          <t>77.707.763-5</t>
        </is>
      </c>
    </row>
    <row r="188">
      <c r="A188" s="21" t="inlineStr">
        <is>
          <t>Inversiones NTVT SpA</t>
        </is>
      </c>
      <c r="B188" s="21" t="n"/>
      <c r="C188" s="21" t="n"/>
      <c r="D188" s="21" t="n"/>
      <c r="E188" s="21" t="n"/>
      <c r="H188" t="inlineStr">
        <is>
          <t>77.351.309-0</t>
        </is>
      </c>
    </row>
    <row r="189">
      <c r="A189" s="21" t="inlineStr">
        <is>
          <t>INVERSIONES PST LTDA</t>
        </is>
      </c>
      <c r="B189" s="21" t="n"/>
      <c r="C189" s="21" t="n"/>
      <c r="D189" s="21" t="n"/>
      <c r="E189" s="21" t="n"/>
      <c r="H189" t="inlineStr">
        <is>
          <t>76.339.600-2</t>
        </is>
      </c>
    </row>
    <row r="190">
      <c r="A190" s="21" t="inlineStr">
        <is>
          <t>JORGE MAURICIO WAGNER BRIZZI</t>
        </is>
      </c>
      <c r="B190" s="21" t="n"/>
      <c r="C190" s="21" t="n"/>
      <c r="D190" s="21" t="n"/>
      <c r="E190" s="21" t="n"/>
      <c r="H190" t="inlineStr">
        <is>
          <t>8.718.224-K</t>
        </is>
      </c>
    </row>
    <row r="191">
      <c r="A191" s="21" t="inlineStr">
        <is>
          <t>JOSE GONZALEZ Y CIA LTDA.</t>
        </is>
      </c>
      <c r="B191" s="21" t="n"/>
      <c r="C191" s="21" t="n"/>
      <c r="D191" s="21" t="n"/>
      <c r="E191" s="21" t="n"/>
      <c r="H191" t="inlineStr">
        <is>
          <t>84.563.200-6</t>
        </is>
      </c>
    </row>
    <row r="192">
      <c r="A192" s="21" t="inlineStr">
        <is>
          <t>JOSE LAURENTINO HERNANDEZ COFRE</t>
        </is>
      </c>
      <c r="B192" s="21" t="n"/>
      <c r="C192" s="21" t="n"/>
      <c r="D192" s="21" t="n"/>
      <c r="E192" s="21" t="n"/>
      <c r="H192" t="inlineStr">
        <is>
          <t>9.659.773-8</t>
        </is>
      </c>
    </row>
    <row r="193">
      <c r="A193" s="21" t="inlineStr">
        <is>
          <t>JOSE RIVERO LLAMAZALES Y CIA. LTDA.</t>
        </is>
      </c>
      <c r="B193" s="21" t="n"/>
      <c r="C193" s="21" t="n"/>
      <c r="D193" s="21" t="n"/>
      <c r="E193" s="21" t="n"/>
      <c r="H193" t="inlineStr">
        <is>
          <t>86.520.500-7</t>
        </is>
      </c>
    </row>
    <row r="194">
      <c r="A194" s="21" t="inlineStr">
        <is>
          <t>JOSE RIVERO LLAMAZALES Y COMPANIA LIMITADA</t>
        </is>
      </c>
      <c r="B194" s="21" t="n"/>
      <c r="C194" s="21" t="n"/>
      <c r="D194" s="21" t="n"/>
      <c r="E194" s="21" t="n"/>
    </row>
    <row r="195">
      <c r="A195" s="21" t="inlineStr">
        <is>
          <t>JOSE VICENTE ARANGUIZ SALINAS</t>
        </is>
      </c>
      <c r="B195" s="21" t="n"/>
      <c r="C195" s="21" t="n"/>
      <c r="D195" s="21" t="n"/>
      <c r="E195" s="21" t="n"/>
      <c r="H195" t="inlineStr">
        <is>
          <t>12.662.619-3</t>
        </is>
      </c>
    </row>
    <row r="196">
      <c r="A196" s="21" t="inlineStr">
        <is>
          <t>JUAN CARLOS QUIROZ NUNEZ</t>
        </is>
      </c>
      <c r="B196" s="21" t="n"/>
      <c r="C196" s="21" t="n"/>
      <c r="D196" s="21" t="n"/>
      <c r="E196" s="21" t="n"/>
      <c r="H196" t="inlineStr">
        <is>
          <t>8.412.339-0</t>
        </is>
      </c>
    </row>
    <row r="197">
      <c r="A197" s="21" t="inlineStr">
        <is>
          <t>JUAN RODAMIRO ANDRADE BARRIA</t>
        </is>
      </c>
      <c r="B197" s="21" t="n"/>
      <c r="C197" s="21" t="n"/>
      <c r="D197" s="21" t="n"/>
      <c r="E197" s="21" t="n"/>
      <c r="H197" t="inlineStr">
        <is>
          <t>7.275.067-5</t>
        </is>
      </c>
    </row>
    <row r="198">
      <c r="A198" s="21" t="inlineStr">
        <is>
          <t>JUGOS RUSTICOS SPA</t>
        </is>
      </c>
      <c r="B198" s="21" t="n"/>
      <c r="C198" s="21" t="n"/>
      <c r="D198" s="21" t="n"/>
      <c r="E198" s="21" t="n"/>
      <c r="H198" t="inlineStr">
        <is>
          <t>76.467.151-1</t>
        </is>
      </c>
    </row>
    <row r="199">
      <c r="A199" s="21" t="inlineStr">
        <is>
          <t>JUPIX CHILE SPA</t>
        </is>
      </c>
      <c r="B199" s="21" t="n"/>
      <c r="C199" s="21" t="n"/>
      <c r="D199" s="21" t="n"/>
      <c r="E199" s="21" t="n"/>
      <c r="H199" t="inlineStr">
        <is>
          <t>76.991.040-9</t>
        </is>
      </c>
    </row>
    <row r="200">
      <c r="A200" s="21" t="inlineStr">
        <is>
          <t>KARAMEL ALIMENTOS SPA</t>
        </is>
      </c>
      <c r="B200" s="21" t="n"/>
      <c r="C200" s="21" t="n"/>
      <c r="D200" s="21" t="n"/>
      <c r="E200" s="21" t="n"/>
      <c r="H200" t="inlineStr">
        <is>
          <t>76.633.110-6</t>
        </is>
      </c>
    </row>
    <row r="201">
      <c r="A201" s="21" t="inlineStr">
        <is>
          <t>Karsharing SpA</t>
        </is>
      </c>
      <c r="B201" s="21" t="n"/>
      <c r="C201" s="21" t="n"/>
      <c r="D201" s="21" t="n"/>
      <c r="E201" s="21" t="n"/>
      <c r="H201" t="inlineStr">
        <is>
          <t>76.530.509-8</t>
        </is>
      </c>
    </row>
    <row r="202">
      <c r="A202" s="21" t="inlineStr">
        <is>
          <t>KITCHEN CENTER SPA</t>
        </is>
      </c>
      <c r="B202" s="21" t="n"/>
      <c r="C202" s="21" t="n"/>
      <c r="D202" s="21" t="n"/>
      <c r="E202" s="21" t="n"/>
      <c r="H202" t="inlineStr">
        <is>
          <t>96.999.930-7</t>
        </is>
      </c>
    </row>
    <row r="203">
      <c r="A203" s="21" t="inlineStr">
        <is>
          <t>LA COSTURERÃA DE FRESIA SPA</t>
        </is>
      </c>
      <c r="B203" s="21" t="n"/>
      <c r="C203" s="21" t="n"/>
      <c r="D203" s="21" t="n"/>
      <c r="E203" s="21" t="n"/>
      <c r="H203" t="inlineStr">
        <is>
          <t>77.421.782-7</t>
        </is>
      </c>
    </row>
    <row r="204">
      <c r="A204" s="21" t="inlineStr">
        <is>
          <t>LA OFERTA COMERCIAL LIMITADA</t>
        </is>
      </c>
      <c r="B204" s="21" t="n"/>
      <c r="C204" s="21" t="n"/>
      <c r="D204" s="21" t="n"/>
      <c r="E204" s="21" t="n"/>
      <c r="H204" t="inlineStr">
        <is>
          <t>96.532.120-9</t>
        </is>
      </c>
    </row>
    <row r="205">
      <c r="A205" s="21" t="inlineStr">
        <is>
          <t>LATAM AIRLINES GROUP S.A.</t>
        </is>
      </c>
      <c r="B205" s="21" t="n"/>
      <c r="C205" s="21" t="n"/>
      <c r="D205" s="21" t="n"/>
      <c r="E205" s="21" t="n"/>
      <c r="H205" t="inlineStr">
        <is>
          <t>89.862.200-2</t>
        </is>
      </c>
    </row>
    <row r="206">
      <c r="A206" s="21" t="inlineStr">
        <is>
          <t>LEON VITACURA S.A.</t>
        </is>
      </c>
      <c r="B206" s="21" t="n"/>
      <c r="C206" s="21" t="n"/>
      <c r="D206" s="21" t="n"/>
      <c r="E206" s="21" t="n"/>
      <c r="H206" t="inlineStr">
        <is>
          <t>76.775.026-9</t>
        </is>
      </c>
    </row>
    <row r="207">
      <c r="A207" s="21" t="inlineStr">
        <is>
          <t>LIBRENTA SPA</t>
        </is>
      </c>
      <c r="B207" s="21" t="n"/>
      <c r="C207" s="21" t="n"/>
      <c r="D207" s="21" t="n"/>
      <c r="E207" s="21" t="n"/>
      <c r="H207" t="inlineStr">
        <is>
          <t>77.266.425-7</t>
        </is>
      </c>
    </row>
    <row r="208">
      <c r="A208" s="21" t="inlineStr">
        <is>
          <t>LOGÃSTICA Y TRANSPORTE E-COURIER SPA</t>
        </is>
      </c>
      <c r="B208" s="21" t="n"/>
      <c r="C208" s="21" t="n"/>
      <c r="D208" s="21" t="n"/>
      <c r="E208" s="21" t="n"/>
      <c r="H208" t="inlineStr">
        <is>
          <t>77.512.163-7</t>
        </is>
      </c>
    </row>
    <row r="209">
      <c r="A209" s="21" t="inlineStr">
        <is>
          <t>LUIS FELIPE IBIETA ASTORQUIZA</t>
        </is>
      </c>
      <c r="B209" s="21" t="n"/>
      <c r="C209" s="21" t="n"/>
      <c r="D209" s="21" t="n"/>
      <c r="E209" s="21" t="n"/>
      <c r="H209" t="inlineStr">
        <is>
          <t>5.279.758-6</t>
        </is>
      </c>
    </row>
    <row r="210">
      <c r="A210" s="21" t="inlineStr">
        <is>
          <t>LULUSHOP SPA</t>
        </is>
      </c>
      <c r="B210" s="21" t="n"/>
      <c r="C210" s="21" t="n"/>
      <c r="D210" s="21" t="n"/>
      <c r="E210" s="21" t="n"/>
      <c r="H210" t="inlineStr">
        <is>
          <t>77.225.271-4</t>
        </is>
      </c>
    </row>
    <row r="211">
      <c r="A211" s="21" t="inlineStr">
        <is>
          <t>LUZ GUILLERMINA ACOSTA CELIS</t>
        </is>
      </c>
      <c r="B211" s="21" t="n"/>
      <c r="C211" s="21" t="n"/>
      <c r="D211" s="21" t="n"/>
      <c r="E211" s="21" t="n"/>
      <c r="H211" t="inlineStr">
        <is>
          <t>6.885.641-8</t>
        </is>
      </c>
    </row>
    <row r="212">
      <c r="A212" s="21" t="inlineStr">
        <is>
          <t>MACPRINT SPA</t>
        </is>
      </c>
      <c r="B212" s="21" t="n"/>
      <c r="C212" s="21" t="n"/>
      <c r="D212" s="21" t="n"/>
      <c r="E212" s="21" t="n"/>
      <c r="H212" t="inlineStr">
        <is>
          <t>76.631.913-0</t>
        </is>
      </c>
    </row>
    <row r="213">
      <c r="A213" s="21" t="inlineStr">
        <is>
          <t>MAIGAS COMERCIAL SA</t>
        </is>
      </c>
      <c r="B213" s="21" t="n"/>
      <c r="C213" s="21" t="n"/>
      <c r="D213" s="21" t="n"/>
      <c r="E213" s="21" t="n"/>
      <c r="H213" t="inlineStr">
        <is>
          <t>99.574.340-K</t>
        </is>
      </c>
    </row>
    <row r="214">
      <c r="A214" s="21" t="inlineStr">
        <is>
          <t>MANUEL DIEZ Y CIA. SPA</t>
        </is>
      </c>
      <c r="B214" s="21" t="n"/>
      <c r="C214" s="21" t="n"/>
      <c r="D214" s="21" t="n"/>
      <c r="E214" s="21" t="n"/>
      <c r="H214" t="inlineStr">
        <is>
          <t>83.468.900-6</t>
        </is>
      </c>
    </row>
    <row r="215">
      <c r="A215" s="21" t="inlineStr">
        <is>
          <t>MARIA PAULINA JASCHAN MENDEZ</t>
        </is>
      </c>
      <c r="B215" s="21" t="n"/>
      <c r="C215" s="21" t="n"/>
      <c r="D215" s="21" t="n"/>
      <c r="E215" s="21" t="n"/>
      <c r="H215" t="inlineStr">
        <is>
          <t>8.428.469-6</t>
        </is>
      </c>
    </row>
    <row r="216">
      <c r="A216" s="21" t="inlineStr">
        <is>
          <t>MARIA PIEDAD BARROS VALENZUELA</t>
        </is>
      </c>
      <c r="B216" s="21" t="n"/>
      <c r="C216" s="21" t="n"/>
      <c r="D216" s="21" t="n"/>
      <c r="E216" s="21" t="n"/>
      <c r="H216" t="inlineStr">
        <is>
          <t>19.135.938-0</t>
        </is>
      </c>
    </row>
    <row r="217">
      <c r="A217" s="21" t="inlineStr">
        <is>
          <t>MARKETING ADVERTISING AND SALES MANAGEMENT SPA</t>
        </is>
      </c>
      <c r="B217" s="21" t="n"/>
      <c r="C217" s="21" t="n"/>
      <c r="D217" s="21" t="n"/>
      <c r="E217" s="21" t="n"/>
      <c r="H217" t="inlineStr">
        <is>
          <t>76.041.249-K</t>
        </is>
      </c>
    </row>
    <row r="218">
      <c r="A218" s="21" t="inlineStr">
        <is>
          <t>MARSOL S.A.</t>
        </is>
      </c>
      <c r="B218" s="21" t="n"/>
      <c r="C218" s="21" t="n"/>
      <c r="D218" s="21" t="n"/>
      <c r="E218" s="21" t="n"/>
      <c r="H218" t="inlineStr">
        <is>
          <t>91.443.000-3</t>
        </is>
      </c>
    </row>
    <row r="219">
      <c r="A219" s="21" t="inlineStr">
        <is>
          <t>MARTA MONICA BAEZ URQUIZA</t>
        </is>
      </c>
      <c r="B219" s="21" t="n"/>
      <c r="C219" s="21" t="n"/>
      <c r="D219" s="21" t="n"/>
      <c r="E219" s="21" t="n"/>
      <c r="H219" t="inlineStr">
        <is>
          <t>4.369.541-K</t>
        </is>
      </c>
    </row>
    <row r="220">
      <c r="A220" s="21" t="inlineStr">
        <is>
          <t>Master Martini Chile SPA</t>
        </is>
      </c>
      <c r="B220" s="21" t="n"/>
      <c r="C220" s="21" t="n"/>
      <c r="D220" s="21" t="n"/>
      <c r="E220" s="21" t="n"/>
      <c r="H220" t="inlineStr">
        <is>
          <t>76.099.732-3</t>
        </is>
      </c>
    </row>
    <row r="221">
      <c r="A221" s="21" t="inlineStr">
        <is>
          <t>MATRIZ IDEAS S A</t>
        </is>
      </c>
      <c r="B221" s="21" t="n"/>
      <c r="C221" s="21" t="n"/>
      <c r="D221" s="21" t="n"/>
      <c r="E221" s="21" t="n"/>
      <c r="H221" t="inlineStr">
        <is>
          <t>76.322.590-9</t>
        </is>
      </c>
    </row>
    <row r="222">
      <c r="A222" s="21" t="inlineStr">
        <is>
          <t>MAXI MOBILITY CHILE II SPA</t>
        </is>
      </c>
      <c r="B222" s="21" t="n"/>
      <c r="C222" s="21" t="n"/>
      <c r="D222" s="21" t="n"/>
      <c r="E222" s="21" t="n"/>
      <c r="H222" t="inlineStr">
        <is>
          <t>76.237.019-0</t>
        </is>
      </c>
    </row>
    <row r="223">
      <c r="A223" s="21" t="inlineStr">
        <is>
          <t>MEJOR COMERCIAL LTDA.</t>
        </is>
      </c>
      <c r="B223" s="21" t="n"/>
      <c r="C223" s="21" t="n"/>
      <c r="D223" s="21" t="n"/>
      <c r="E223" s="21" t="n"/>
      <c r="H223" t="inlineStr">
        <is>
          <t>76.050.255-3</t>
        </is>
      </c>
    </row>
    <row r="224">
      <c r="A224" s="21" t="inlineStr">
        <is>
          <t>Mercado Pago Operadora S.A.</t>
        </is>
      </c>
      <c r="B224" s="21" t="n"/>
      <c r="C224" s="21" t="n"/>
      <c r="D224" s="21" t="n"/>
      <c r="E224" s="21" t="n"/>
      <c r="H224" t="inlineStr">
        <is>
          <t>76.516.950-K</t>
        </is>
      </c>
    </row>
    <row r="225">
      <c r="A225" s="21" t="inlineStr">
        <is>
          <t>MercadoLibre Chile LTDA</t>
        </is>
      </c>
      <c r="B225" s="21" t="n"/>
      <c r="C225" s="21" t="n"/>
      <c r="D225" s="21" t="n"/>
      <c r="E225" s="21" t="n"/>
      <c r="H225" t="inlineStr">
        <is>
          <t>77.398.220-1</t>
        </is>
      </c>
    </row>
    <row r="226">
      <c r="A226" s="21" t="inlineStr">
        <is>
          <t>MOLINOS CUNACO S.A.</t>
        </is>
      </c>
      <c r="B226" s="21" t="n"/>
      <c r="C226" s="21" t="n"/>
      <c r="D226" s="21" t="n"/>
      <c r="E226" s="21" t="n"/>
      <c r="H226" t="inlineStr">
        <is>
          <t>80.393.200-K</t>
        </is>
      </c>
    </row>
    <row r="227">
      <c r="A227" s="21" t="inlineStr">
        <is>
          <t>MUDANGO CHILE SPA</t>
        </is>
      </c>
      <c r="B227" s="21" t="n"/>
      <c r="C227" s="21" t="n"/>
      <c r="D227" s="21" t="n"/>
      <c r="E227" s="21" t="n"/>
      <c r="H227" t="inlineStr">
        <is>
          <t>76.453.577-4</t>
        </is>
      </c>
    </row>
    <row r="228">
      <c r="A228" s="21" t="inlineStr">
        <is>
          <t>MUEBLES GAUDENCIO RIVERA CARRANZA LIMITADA</t>
        </is>
      </c>
      <c r="B228" s="21" t="n"/>
      <c r="C228" s="21" t="n"/>
      <c r="D228" s="21" t="n"/>
      <c r="E228" s="21" t="n"/>
      <c r="H228" t="inlineStr">
        <is>
          <t>77.874.731-6</t>
        </is>
      </c>
    </row>
    <row r="229">
      <c r="A229" s="21" t="inlineStr">
        <is>
          <t>MULTISERVICIO S S SPA</t>
        </is>
      </c>
      <c r="B229" s="21" t="n"/>
      <c r="C229" s="21" t="n"/>
      <c r="D229" s="21" t="n"/>
      <c r="E229" s="21" t="n"/>
    </row>
    <row r="230">
      <c r="A230" s="21" t="inlineStr">
        <is>
          <t>MULTISTORE SPA</t>
        </is>
      </c>
      <c r="B230" s="21" t="n"/>
      <c r="C230" s="21" t="n"/>
      <c r="D230" s="21" t="n"/>
      <c r="E230" s="21" t="n"/>
      <c r="H230" t="inlineStr">
        <is>
          <t>77.896.612-3</t>
        </is>
      </c>
    </row>
    <row r="231">
      <c r="A231" s="21" t="inlineStr">
        <is>
          <t>MUNDO ETIQUETAS SPA</t>
        </is>
      </c>
      <c r="B231" s="21" t="n"/>
      <c r="C231" s="21" t="n"/>
      <c r="D231" s="21" t="n"/>
      <c r="E231" s="21" t="n"/>
      <c r="H231" t="inlineStr">
        <is>
          <t>76.502.041-7</t>
        </is>
      </c>
    </row>
    <row r="232">
      <c r="A232" s="21" t="inlineStr">
        <is>
          <t>Nairobi Spa</t>
        </is>
      </c>
      <c r="B232" s="21" t="n"/>
      <c r="C232" s="21" t="n"/>
      <c r="D232" s="21" t="n"/>
      <c r="E232" s="21" t="n"/>
      <c r="H232" t="inlineStr">
        <is>
          <t>76.865.114-0</t>
        </is>
      </c>
    </row>
    <row r="233">
      <c r="A233" s="21" t="inlineStr">
        <is>
          <t>Nespresso Chile S.A.</t>
        </is>
      </c>
      <c r="B233" s="21" t="n"/>
      <c r="C233" s="21" t="n"/>
      <c r="D233" s="21" t="n"/>
      <c r="E233" s="21" t="n"/>
      <c r="H233" t="inlineStr">
        <is>
          <t>76.113.783-2</t>
        </is>
      </c>
    </row>
    <row r="234">
      <c r="A234" s="21" t="inlineStr">
        <is>
          <t>NSC SPA</t>
        </is>
      </c>
      <c r="B234" s="21" t="n"/>
      <c r="C234" s="21" t="n"/>
      <c r="D234" s="21" t="n"/>
      <c r="E234" s="21" t="n"/>
      <c r="H234" t="inlineStr">
        <is>
          <t>77.244.111-8</t>
        </is>
      </c>
    </row>
    <row r="235">
      <c r="A235" s="21" t="inlineStr">
        <is>
          <t>PAISAJE FLORA Y MIEL SPA</t>
        </is>
      </c>
      <c r="B235" s="21" t="n"/>
      <c r="C235" s="21" t="n"/>
      <c r="D235" s="21" t="n"/>
      <c r="E235" s="21" t="n"/>
      <c r="H235" t="inlineStr">
        <is>
          <t>77.423.233-8</t>
        </is>
      </c>
    </row>
    <row r="236">
      <c r="A236" s="21" t="inlineStr">
        <is>
          <t>PAISAJISMO TERESA MOLLER Y ASOCIADOS LIMITADA</t>
        </is>
      </c>
      <c r="B236" s="21" t="n"/>
      <c r="C236" s="21" t="n"/>
      <c r="D236" s="21" t="n"/>
      <c r="E236" s="21" t="n"/>
      <c r="H236" t="inlineStr">
        <is>
          <t>76.135.980-0</t>
        </is>
      </c>
    </row>
    <row r="237">
      <c r="A237" s="21" t="inlineStr">
        <is>
          <t>PANIFICADORA LO SALDES S.A.</t>
        </is>
      </c>
      <c r="B237" s="21" t="n"/>
      <c r="C237" s="21" t="n"/>
      <c r="D237" s="21" t="n"/>
      <c r="E237" s="21" t="n"/>
      <c r="H237" t="inlineStr">
        <is>
          <t>79.937.650-4</t>
        </is>
      </c>
    </row>
    <row r="238">
      <c r="A238" s="21" t="inlineStr">
        <is>
          <t>PASTELERIAS THE CAKE CLUB</t>
        </is>
      </c>
      <c r="B238" s="21" t="n"/>
      <c r="C238" s="21" t="n"/>
      <c r="D238" s="21" t="n"/>
      <c r="E238" s="21" t="n"/>
      <c r="H238" t="inlineStr">
        <is>
          <t>76.686.391-4</t>
        </is>
      </c>
    </row>
    <row r="239">
      <c r="A239" s="21" t="inlineStr">
        <is>
          <t>PATRICIO REYES INFANTE Y CIA LTDA</t>
        </is>
      </c>
      <c r="B239" s="21" t="n"/>
      <c r="C239" s="21" t="n"/>
      <c r="D239" s="21" t="n"/>
      <c r="E239" s="21" t="n"/>
      <c r="H239" t="inlineStr">
        <is>
          <t>79.602.700-2</t>
        </is>
      </c>
    </row>
    <row r="240">
      <c r="A240" s="21" t="inlineStr">
        <is>
          <t>PERSONAL COMPUTER FACTORY S.A.</t>
        </is>
      </c>
      <c r="B240" s="21" t="n"/>
      <c r="C240" s="21" t="n"/>
      <c r="D240" s="21" t="n"/>
      <c r="E240" s="21" t="n"/>
      <c r="H240" t="inlineStr">
        <is>
          <t>78.885.550-8</t>
        </is>
      </c>
    </row>
    <row r="241">
      <c r="A241" s="21" t="inlineStr">
        <is>
          <t>PILLAN SPA</t>
        </is>
      </c>
      <c r="B241" s="21" t="n"/>
      <c r="C241" s="21" t="n"/>
      <c r="D241" s="21" t="n"/>
      <c r="E241" s="21" t="n"/>
      <c r="H241" t="inlineStr">
        <is>
          <t>77.784.064-9</t>
        </is>
      </c>
    </row>
    <row r="242">
      <c r="A242" s="21" t="inlineStr">
        <is>
          <t>POMPON SPA</t>
        </is>
      </c>
      <c r="B242" s="21" t="n"/>
      <c r="C242" s="21" t="n"/>
      <c r="D242" s="21" t="n"/>
      <c r="E242" s="21" t="n"/>
      <c r="H242" t="inlineStr">
        <is>
          <t>76.472.787-8</t>
        </is>
      </c>
    </row>
    <row r="243">
      <c r="A243" s="21" t="inlineStr">
        <is>
          <t>PRAHA INVERSIONES SPA</t>
        </is>
      </c>
      <c r="B243" s="21" t="n"/>
      <c r="C243" s="21" t="n"/>
      <c r="D243" s="21" t="n"/>
      <c r="E243" s="21" t="n"/>
      <c r="H243" t="inlineStr">
        <is>
          <t>76.663.974-7</t>
        </is>
      </c>
    </row>
    <row r="244">
      <c r="A244" s="21" t="inlineStr">
        <is>
          <t>PreGel Chile SPA</t>
        </is>
      </c>
      <c r="B244" s="21" t="n"/>
      <c r="C244" s="21" t="n"/>
      <c r="D244" s="21" t="n"/>
      <c r="E244" s="21" t="n"/>
      <c r="H244" t="inlineStr">
        <is>
          <t>76.499.503-1</t>
        </is>
      </c>
    </row>
    <row r="245">
      <c r="A245" s="21" t="inlineStr">
        <is>
          <t>PRINT SOLUTIONS SPA</t>
        </is>
      </c>
      <c r="B245" s="21" t="n"/>
      <c r="C245" s="21" t="n"/>
      <c r="D245" s="21" t="n"/>
      <c r="E245" s="21" t="n"/>
      <c r="H245" t="inlineStr">
        <is>
          <t>77.424.226-0</t>
        </is>
      </c>
    </row>
    <row r="246">
      <c r="A246" s="21" t="inlineStr">
        <is>
          <t>Productora y Comercializadora Irarrazaval SPA</t>
        </is>
      </c>
      <c r="B246" s="21" t="n"/>
      <c r="C246" s="21" t="n"/>
      <c r="D246" s="21" t="n"/>
      <c r="E246" s="21" t="n"/>
      <c r="H246" t="inlineStr">
        <is>
          <t>76.740.421-2</t>
        </is>
      </c>
    </row>
    <row r="247">
      <c r="A247" s="21" t="inlineStr">
        <is>
          <t>PROVEEDORES INTEGRALES PRISA S A</t>
        </is>
      </c>
      <c r="B247" s="21" t="n"/>
      <c r="C247" s="21" t="n"/>
      <c r="D247" s="21" t="n"/>
      <c r="E247" s="21" t="n"/>
      <c r="H247" t="inlineStr">
        <is>
          <t>96.556.940-5</t>
        </is>
      </c>
    </row>
    <row r="248">
      <c r="A248" s="21" t="inlineStr">
        <is>
          <t>PROYECTOS MMD SPA</t>
        </is>
      </c>
      <c r="B248" s="21" t="n"/>
      <c r="C248" s="21" t="n"/>
      <c r="D248" s="21" t="n"/>
      <c r="E248" s="21" t="n"/>
      <c r="H248" t="inlineStr">
        <is>
          <t>76.734.756-1</t>
        </is>
      </c>
    </row>
    <row r="249">
      <c r="A249" s="21" t="inlineStr">
        <is>
          <t>QUIMERCO SPA</t>
        </is>
      </c>
      <c r="B249" s="21" t="n"/>
      <c r="C249" s="21" t="n"/>
      <c r="D249" s="21" t="n"/>
      <c r="E249" s="21" t="n"/>
      <c r="H249" t="inlineStr">
        <is>
          <t>77.834.186-7</t>
        </is>
      </c>
    </row>
    <row r="250">
      <c r="A250" s="21" t="inlineStr">
        <is>
          <t>RAIPIDO SPA</t>
        </is>
      </c>
      <c r="B250" s="21" t="n"/>
      <c r="C250" s="21" t="n"/>
      <c r="D250" s="21" t="n"/>
      <c r="E250" s="21" t="n"/>
      <c r="H250" t="inlineStr">
        <is>
          <t>77.453.859-3</t>
        </is>
      </c>
    </row>
    <row r="251">
      <c r="A251" s="21" t="inlineStr">
        <is>
          <t>RAPPI CHILE SPA</t>
        </is>
      </c>
      <c r="B251" s="21" t="n"/>
      <c r="C251" s="21" t="n"/>
      <c r="D251" s="21" t="n"/>
      <c r="E251" s="21" t="n"/>
      <c r="H251" t="inlineStr">
        <is>
          <t>76.837.223-3</t>
        </is>
      </c>
    </row>
    <row r="252">
      <c r="A252" s="21" t="inlineStr">
        <is>
          <t>RAUL ANDRES VELASQUEZ SALINAS</t>
        </is>
      </c>
      <c r="B252" s="21" t="n"/>
      <c r="C252" s="21" t="n"/>
      <c r="D252" s="21" t="n"/>
      <c r="E252" s="21" t="n"/>
      <c r="H252" t="inlineStr">
        <is>
          <t>9.897.488-1</t>
        </is>
      </c>
    </row>
    <row r="253">
      <c r="A253" s="21" t="inlineStr">
        <is>
          <t>RC GrÃ¡fica Ltda</t>
        </is>
      </c>
      <c r="B253" s="21" t="n"/>
      <c r="C253" s="21" t="n"/>
      <c r="D253" s="21" t="n"/>
      <c r="E253" s="21" t="n"/>
    </row>
    <row r="254">
      <c r="A254" s="21" t="inlineStr">
        <is>
          <t>RC Gráfica Ltda</t>
        </is>
      </c>
      <c r="B254" s="21" t="n"/>
      <c r="C254" s="21" t="n"/>
      <c r="D254" s="21" t="n"/>
      <c r="E254" s="21" t="n"/>
    </row>
    <row r="255">
      <c r="A255" s="21" t="inlineStr">
        <is>
          <t>Real Storage SpA</t>
        </is>
      </c>
      <c r="B255" s="21" t="n"/>
      <c r="C255" s="21" t="n"/>
      <c r="D255" s="21" t="n"/>
      <c r="E255" s="21" t="n"/>
      <c r="H255" t="inlineStr">
        <is>
          <t>77.070.326-3</t>
        </is>
      </c>
    </row>
    <row r="256">
      <c r="A256" s="21" t="inlineStr">
        <is>
          <t>RENDIC HERMANOS S.A.</t>
        </is>
      </c>
      <c r="B256" s="21" t="n"/>
      <c r="C256" s="21" t="n"/>
      <c r="D256" s="21" t="n"/>
      <c r="E256" s="21" t="n"/>
      <c r="H256" t="inlineStr">
        <is>
          <t>81.537.600-5</t>
        </is>
      </c>
    </row>
    <row r="257">
      <c r="A257" s="21" t="inlineStr">
        <is>
          <t>REPOSTERIA MARIA IGNACIA GREZ CAMPO-MARTINEZ E I R L</t>
        </is>
      </c>
      <c r="B257" s="21" t="n"/>
      <c r="C257" s="21" t="n"/>
      <c r="D257" s="21" t="n"/>
      <c r="E257" s="21" t="n"/>
      <c r="H257" t="inlineStr">
        <is>
          <t>77.129.873-7</t>
        </is>
      </c>
    </row>
    <row r="258">
      <c r="A258" s="21" t="inlineStr">
        <is>
          <t>REPROGRAF SPA</t>
        </is>
      </c>
      <c r="B258" s="21" t="n"/>
      <c r="C258" s="21" t="n"/>
      <c r="D258" s="21" t="n"/>
      <c r="E258" s="21" t="n"/>
      <c r="H258" t="inlineStr">
        <is>
          <t>76.235.499-3</t>
        </is>
      </c>
    </row>
    <row r="259">
      <c r="A259" s="21" t="inlineStr">
        <is>
          <t>Santander - Chile</t>
        </is>
      </c>
      <c r="B259" s="21" t="n"/>
      <c r="C259" s="21" t="n"/>
      <c r="D259" s="21" t="n"/>
      <c r="E259" s="21" t="n"/>
      <c r="H259" t="inlineStr">
        <is>
          <t>97.036.000-K</t>
        </is>
      </c>
    </row>
    <row r="260">
      <c r="A260" s="21" t="inlineStr">
        <is>
          <t>SERVICENTROS DEL SUR LIMITADA</t>
        </is>
      </c>
      <c r="B260" s="21" t="n"/>
      <c r="C260" s="21" t="n"/>
      <c r="D260" s="21" t="n"/>
      <c r="E260" s="21" t="n"/>
      <c r="H260" t="inlineStr">
        <is>
          <t>77.139.597-K</t>
        </is>
      </c>
    </row>
    <row r="261">
      <c r="A261" s="21" t="inlineStr">
        <is>
          <t>SERVICIOS DE COPIADO JBL LIMITADA</t>
        </is>
      </c>
      <c r="B261" s="21" t="n"/>
      <c r="C261" s="21" t="n"/>
      <c r="D261" s="21" t="n"/>
      <c r="E261" s="21" t="n"/>
      <c r="H261" t="inlineStr">
        <is>
          <t>77.313.490-1</t>
        </is>
      </c>
    </row>
    <row r="262">
      <c r="A262" s="21" t="inlineStr">
        <is>
          <t>SERVICIOS DIGITALES E IMPRESIÃ?N OSEG SPA</t>
        </is>
      </c>
      <c r="B262" s="21" t="n"/>
      <c r="C262" s="21" t="n"/>
      <c r="D262" s="21" t="n"/>
      <c r="E262" s="21" t="n"/>
      <c r="H262" t="inlineStr">
        <is>
          <t>76.839.579-9</t>
        </is>
      </c>
    </row>
    <row r="263">
      <c r="A263" s="21" t="inlineStr">
        <is>
          <t>SERVICIOS ECOMMERCE SPA</t>
        </is>
      </c>
      <c r="B263" s="21" t="n"/>
      <c r="C263" s="21" t="n"/>
      <c r="D263" s="21" t="n"/>
      <c r="E263" s="21" t="n"/>
      <c r="H263" t="inlineStr">
        <is>
          <t>77.690.436-8</t>
        </is>
      </c>
    </row>
    <row r="264">
      <c r="A264" s="21" t="inlineStr">
        <is>
          <t>SERVICIOS FELLAY Y AMENABAR LTDA</t>
        </is>
      </c>
      <c r="B264" s="21" t="n"/>
      <c r="C264" s="21" t="n"/>
      <c r="D264" s="21" t="n"/>
      <c r="E264" s="21" t="n"/>
      <c r="H264" t="inlineStr">
        <is>
          <t>78.911.500-1</t>
        </is>
      </c>
    </row>
    <row r="265">
      <c r="A265" s="21" t="inlineStr">
        <is>
          <t>SERVICIOS GASTRONOMICOS PRESIDENTE ERRAZURIZ SPA</t>
        </is>
      </c>
      <c r="B265" s="21" t="n"/>
      <c r="C265" s="21" t="n"/>
      <c r="D265" s="21" t="n"/>
      <c r="E265" s="21" t="n"/>
      <c r="H265" t="inlineStr">
        <is>
          <t>77.891.009-8</t>
        </is>
      </c>
    </row>
    <row r="266">
      <c r="A266" s="21" t="inlineStr">
        <is>
          <t>SISTEMAS DE SEGURIDAD Y SERVICIOS INTEGRALES SPA</t>
        </is>
      </c>
      <c r="B266" s="21" t="n"/>
      <c r="C266" s="21" t="n"/>
      <c r="D266" s="21" t="n"/>
      <c r="E266" s="21" t="n"/>
      <c r="H266" t="inlineStr">
        <is>
          <t>77.401.261-3</t>
        </is>
      </c>
    </row>
    <row r="267">
      <c r="A267" s="21" t="inlineStr">
        <is>
          <t>SOC COMERCIAL SANTA SOLEDAD LTDA</t>
        </is>
      </c>
      <c r="B267" s="21" t="n"/>
      <c r="C267" s="21" t="n"/>
      <c r="D267" s="21" t="n"/>
      <c r="E267" s="21" t="n"/>
      <c r="H267" t="inlineStr">
        <is>
          <t>76.368.672-8</t>
        </is>
      </c>
    </row>
    <row r="268">
      <c r="A268" s="21" t="inlineStr">
        <is>
          <t>SOC SANTA LUISA DE NAVA DEL REY LTDA</t>
        </is>
      </c>
      <c r="B268" s="21" t="n"/>
      <c r="C268" s="21" t="n"/>
      <c r="D268" s="21" t="n"/>
      <c r="E268" s="21" t="n"/>
      <c r="H268" t="inlineStr">
        <is>
          <t>76.495.552-8</t>
        </is>
      </c>
    </row>
    <row r="269">
      <c r="A269" s="21" t="inlineStr">
        <is>
          <t>SOC. COM. WISNIAK Y CIA. SPA</t>
        </is>
      </c>
      <c r="B269" s="21" t="n"/>
      <c r="C269" s="21" t="n"/>
      <c r="D269" s="21" t="n"/>
      <c r="E269" s="21" t="n"/>
      <c r="H269" t="inlineStr">
        <is>
          <t>85.142.600-0</t>
        </is>
      </c>
    </row>
    <row r="270">
      <c r="A270" s="21" t="inlineStr">
        <is>
          <t>SOC. DE REPOSTERIA RAFAEL DUCE Y CIA. LTDA.</t>
        </is>
      </c>
      <c r="B270" s="21" t="n"/>
      <c r="C270" s="21" t="n"/>
      <c r="D270" s="21" t="n"/>
      <c r="E270" s="21" t="n"/>
      <c r="H270" t="inlineStr">
        <is>
          <t>76.447.940-8</t>
        </is>
      </c>
    </row>
    <row r="271">
      <c r="A271" s="21" t="inlineStr">
        <is>
          <t>Sociedad Comercial Factorynet Chile Limitada</t>
        </is>
      </c>
      <c r="B271" s="21" t="n"/>
      <c r="C271" s="21" t="n"/>
      <c r="D271" s="21" t="n"/>
      <c r="E271" s="21" t="n"/>
      <c r="H271" t="inlineStr">
        <is>
          <t>76.802.978-4</t>
        </is>
      </c>
    </row>
    <row r="272">
      <c r="A272" s="21" t="inlineStr">
        <is>
          <t>SOCIEDAD COMERCIAL KAIAN LIMITADA</t>
        </is>
      </c>
      <c r="B272" s="21" t="n"/>
      <c r="C272" s="21" t="n"/>
      <c r="D272" s="21" t="n"/>
      <c r="E272" s="21" t="n"/>
      <c r="H272" t="inlineStr">
        <is>
          <t>76.175.432-7</t>
        </is>
      </c>
    </row>
    <row r="273">
      <c r="A273" s="21" t="inlineStr">
        <is>
          <t>SOCIEDAD COMERCIAL MACLARO LIMITADA</t>
        </is>
      </c>
      <c r="B273" s="21" t="n"/>
      <c r="C273" s="21" t="n"/>
      <c r="D273" s="21" t="n"/>
      <c r="E273" s="21" t="n"/>
      <c r="H273" t="inlineStr">
        <is>
          <t>77.154.128-3</t>
        </is>
      </c>
    </row>
    <row r="274">
      <c r="A274" s="21" t="inlineStr">
        <is>
          <t>SOCIEDAD DE NUTRICIONISTAS NUTRIHOUSE LIMITADA</t>
        </is>
      </c>
      <c r="B274" s="21" t="n"/>
      <c r="C274" s="21" t="n"/>
      <c r="D274" s="21" t="n"/>
      <c r="E274" s="21" t="n"/>
      <c r="H274" t="inlineStr">
        <is>
          <t>76.095.459-4</t>
        </is>
      </c>
    </row>
    <row r="275">
      <c r="A275" s="21" t="inlineStr">
        <is>
          <t>SOCIEDAD DE SERVICIOS Y SUMINISTROS DE PERSONAL BEMA LIMITADA</t>
        </is>
      </c>
      <c r="B275" s="21" t="n"/>
      <c r="C275" s="21" t="n"/>
      <c r="D275" s="21" t="n"/>
      <c r="E275" s="21" t="n"/>
      <c r="H275" t="inlineStr">
        <is>
          <t>76.304.067-4</t>
        </is>
      </c>
    </row>
    <row r="276">
      <c r="A276" s="21" t="inlineStr">
        <is>
          <t>Sociedad GastronÃ³mica Bari Limitada</t>
        </is>
      </c>
      <c r="B276" s="21" t="n"/>
      <c r="C276" s="21" t="n"/>
      <c r="D276" s="21" t="n"/>
      <c r="E276" s="21" t="n"/>
      <c r="H276" t="inlineStr">
        <is>
          <t>76.110.462-4</t>
        </is>
      </c>
    </row>
    <row r="277">
      <c r="A277" s="21" t="inlineStr">
        <is>
          <t>SOCIEDAD GRAFICA RICARDO ANDRES GOMEZ SALAS E.I.R.L.</t>
        </is>
      </c>
      <c r="B277" s="21" t="n"/>
      <c r="C277" s="21" t="n"/>
      <c r="D277" s="21" t="n"/>
      <c r="E277" s="21" t="n"/>
      <c r="H277" t="inlineStr">
        <is>
          <t>76.686.033-8</t>
        </is>
      </c>
    </row>
    <row r="278">
      <c r="A278" s="21" t="inlineStr">
        <is>
          <t>SOCIEDAD INVERSIONES MALAGA SPA 3103986</t>
        </is>
      </c>
      <c r="B278" s="21" t="n"/>
      <c r="C278" s="21" t="n"/>
      <c r="D278" s="21" t="n"/>
      <c r="E278" s="21" t="n"/>
    </row>
    <row r="279">
      <c r="A279" s="21" t="inlineStr">
        <is>
          <t>SOCIEDAD OPERADORA DE TARJETAS DE PAGO SANTANDER GETNET CHILE S.A.</t>
        </is>
      </c>
      <c r="B279" s="21" t="n"/>
      <c r="C279" s="21" t="n"/>
      <c r="D279" s="21" t="n"/>
      <c r="E279" s="21" t="n"/>
      <c r="H279" t="inlineStr">
        <is>
          <t>77.190.692-3</t>
        </is>
      </c>
    </row>
    <row r="280">
      <c r="A280" s="21" t="inlineStr">
        <is>
          <t>SOCRI SPA</t>
        </is>
      </c>
      <c r="B280" s="21" t="n"/>
      <c r="C280" s="21" t="n"/>
      <c r="D280" s="21" t="n"/>
      <c r="E280" s="21" t="n"/>
      <c r="H280" t="inlineStr">
        <is>
          <t>77.841.567-4</t>
        </is>
      </c>
    </row>
    <row r="281">
      <c r="A281" s="21" t="inlineStr">
        <is>
          <t>SODIMAC S.A.</t>
        </is>
      </c>
      <c r="B281" s="21" t="n"/>
      <c r="C281" s="21" t="n"/>
      <c r="D281" s="21" t="n"/>
      <c r="E281" s="21" t="n"/>
      <c r="H281" t="inlineStr">
        <is>
          <t>96.792.430-K</t>
        </is>
      </c>
    </row>
    <row r="282">
      <c r="A282" s="21" t="inlineStr">
        <is>
          <t>SOLUCIONES TEXTILES SPA</t>
        </is>
      </c>
      <c r="B282" s="21" t="n"/>
      <c r="C282" s="21" t="n"/>
      <c r="D282" s="21" t="n"/>
      <c r="E282" s="21" t="n"/>
      <c r="H282" t="inlineStr">
        <is>
          <t>77.849.333-0</t>
        </is>
      </c>
    </row>
    <row r="283">
      <c r="A283" s="21" t="inlineStr">
        <is>
          <t>STARBUCKS COFFEE CHILE S.A</t>
        </is>
      </c>
      <c r="B283" s="21" t="n"/>
      <c r="C283" s="21" t="n"/>
      <c r="D283" s="21" t="n"/>
      <c r="E283" s="21" t="n"/>
      <c r="H283" t="inlineStr">
        <is>
          <t>96.690.980-3</t>
        </is>
      </c>
    </row>
    <row r="284">
      <c r="A284" s="21" t="inlineStr">
        <is>
          <t>STECK Y COMPANIA SPA</t>
        </is>
      </c>
      <c r="B284" s="21" t="n"/>
      <c r="C284" s="21" t="n"/>
      <c r="D284" s="21" t="n"/>
      <c r="E284" s="21" t="n"/>
      <c r="H284" t="inlineStr">
        <is>
          <t>77.140.120-1</t>
        </is>
      </c>
    </row>
    <row r="285">
      <c r="A285" s="21" t="inlineStr">
        <is>
          <t>STEWARD</t>
        </is>
      </c>
      <c r="B285" s="21" t="n"/>
      <c r="C285" s="21" t="n"/>
      <c r="D285" s="21" t="n"/>
      <c r="E285" s="21" t="n"/>
      <c r="H285" t="inlineStr">
        <is>
          <t>96.644.100-3</t>
        </is>
      </c>
    </row>
    <row r="286">
      <c r="A286" s="21" t="inlineStr">
        <is>
          <t>STICKERS PRINT SPA</t>
        </is>
      </c>
      <c r="B286" s="21" t="n"/>
      <c r="C286" s="21" t="n"/>
      <c r="D286" s="21" t="n"/>
      <c r="E286" s="21" t="n"/>
      <c r="H286" t="inlineStr">
        <is>
          <t>77.190.532-3</t>
        </is>
      </c>
    </row>
    <row r="287">
      <c r="A287" s="21" t="inlineStr">
        <is>
          <t>STICKERSHOP SPA</t>
        </is>
      </c>
      <c r="B287" s="21" t="n"/>
      <c r="C287" s="21" t="n"/>
      <c r="D287" s="21" t="n"/>
      <c r="E287" s="21" t="n"/>
      <c r="H287" t="inlineStr">
        <is>
          <t>76.803.503-2</t>
        </is>
      </c>
    </row>
    <row r="288">
      <c r="A288" s="21" t="inlineStr">
        <is>
          <t>STREET MACHINE PRODUCCIONES S.A.</t>
        </is>
      </c>
      <c r="B288" s="21" t="n"/>
      <c r="C288" s="21" t="n"/>
      <c r="D288" s="21" t="n"/>
      <c r="E288" s="21" t="n"/>
      <c r="H288" t="inlineStr">
        <is>
          <t>77.929.090-5</t>
        </is>
      </c>
    </row>
    <row r="289">
      <c r="A289" s="21" t="inlineStr">
        <is>
          <t>SUGARKINGDOM SPA</t>
        </is>
      </c>
      <c r="B289" s="21" t="n"/>
      <c r="C289" s="21" t="n"/>
      <c r="D289" s="21" t="n"/>
      <c r="E289" s="21" t="n"/>
      <c r="H289" t="inlineStr">
        <is>
          <t>77.371.782-6</t>
        </is>
      </c>
    </row>
    <row r="290">
      <c r="A290" s="21" t="inlineStr">
        <is>
          <t>TECNAO V A SOLUCIONES Y SERVICIOS SPA</t>
        </is>
      </c>
      <c r="B290" s="21" t="n"/>
      <c r="C290" s="21" t="n"/>
      <c r="D290" s="21" t="n"/>
      <c r="E290" s="21" t="n"/>
    </row>
    <row r="291">
      <c r="A291" s="21" t="inlineStr">
        <is>
          <t>TECNOFILM SPA</t>
        </is>
      </c>
      <c r="B291" s="21" t="n"/>
      <c r="C291" s="21" t="n"/>
      <c r="D291" s="21" t="n"/>
      <c r="E291" s="21" t="n"/>
      <c r="H291" t="inlineStr">
        <is>
          <t>77.345.608-9</t>
        </is>
      </c>
    </row>
    <row r="292">
      <c r="A292" s="21" t="inlineStr">
        <is>
          <t>TECNOLOGIA VERDE SPA</t>
        </is>
      </c>
      <c r="B292" s="21" t="n"/>
      <c r="C292" s="21" t="n"/>
      <c r="D292" s="21" t="n"/>
      <c r="E292" s="21" t="n"/>
      <c r="H292" t="inlineStr">
        <is>
          <t>77.298.762-5</t>
        </is>
      </c>
    </row>
    <row r="293">
      <c r="A293" s="21" t="inlineStr">
        <is>
          <t>TelefÃ³nica MÃ³viles Chile S.A.</t>
        </is>
      </c>
      <c r="B293" s="21" t="n"/>
      <c r="C293" s="21" t="n"/>
      <c r="D293" s="21" t="n"/>
      <c r="E293" s="21" t="n"/>
      <c r="H293" t="inlineStr">
        <is>
          <t>76.124.890-1</t>
        </is>
      </c>
    </row>
    <row r="294">
      <c r="A294" s="21" t="inlineStr">
        <is>
          <t>Telefonica Chile S.A</t>
        </is>
      </c>
      <c r="B294" s="21" t="n"/>
      <c r="C294" s="21" t="n"/>
      <c r="D294" s="21" t="n"/>
      <c r="E294" s="21" t="n"/>
      <c r="H294" t="inlineStr">
        <is>
          <t>90.635.000-9</t>
        </is>
      </c>
    </row>
    <row r="295">
      <c r="A295" s="21" t="inlineStr">
        <is>
          <t>TEXTIL INDEPENDENCIA SPA</t>
        </is>
      </c>
      <c r="B295" s="21" t="n"/>
      <c r="C295" s="21" t="n"/>
      <c r="D295" s="21" t="n"/>
      <c r="E295" s="21" t="n"/>
      <c r="H295" t="inlineStr">
        <is>
          <t>77.743.623-6</t>
        </is>
      </c>
    </row>
    <row r="296">
      <c r="A296" s="21" t="inlineStr">
        <is>
          <t>THE SECRET GARDEN</t>
        </is>
      </c>
      <c r="B296" s="21" t="n"/>
      <c r="C296" s="21" t="n"/>
      <c r="D296" s="21" t="n"/>
      <c r="E296" s="21" t="n"/>
      <c r="H296" t="inlineStr">
        <is>
          <t>76.753.929-0</t>
        </is>
      </c>
    </row>
    <row r="297">
      <c r="A297" s="21" t="inlineStr">
        <is>
          <t>TORTAS LIDIA SPA</t>
        </is>
      </c>
      <c r="B297" s="21" t="n"/>
      <c r="C297" s="21" t="n"/>
      <c r="D297" s="21" t="n"/>
      <c r="E297" s="21" t="n"/>
      <c r="H297" t="inlineStr">
        <is>
          <t>76.688.475-K</t>
        </is>
      </c>
    </row>
    <row r="298">
      <c r="A298" s="21" t="inlineStr">
        <is>
          <t>TRANSPORTE MARITIMO CHILOE AYSEN S.A.</t>
        </is>
      </c>
      <c r="B298" s="21" t="n"/>
      <c r="C298" s="21" t="n"/>
      <c r="D298" s="21" t="n"/>
      <c r="E298" s="21" t="n"/>
      <c r="H298" t="inlineStr">
        <is>
          <t>84.554.900-1</t>
        </is>
      </c>
    </row>
    <row r="299">
      <c r="A299" s="21" t="inlineStr">
        <is>
          <t>TRANSPORTES GAVAJM CARGO SPA</t>
        </is>
      </c>
      <c r="B299" s="21" t="n"/>
      <c r="C299" s="21" t="n"/>
      <c r="D299" s="21" t="n"/>
      <c r="E299" s="21" t="n"/>
      <c r="H299" t="inlineStr">
        <is>
          <t>78.166.456-1</t>
        </is>
      </c>
    </row>
    <row r="300">
      <c r="A300" s="21" t="inlineStr">
        <is>
          <t>TRECK S A</t>
        </is>
      </c>
      <c r="B300" s="21" t="n"/>
      <c r="C300" s="21" t="n"/>
      <c r="D300" s="21" t="n"/>
      <c r="E300" s="21" t="n"/>
      <c r="H300" t="inlineStr">
        <is>
          <t>96.542.490-3</t>
        </is>
      </c>
    </row>
    <row r="301">
      <c r="A301" s="21" t="inlineStr">
        <is>
          <t>UBER PORTIER CHILE SPA</t>
        </is>
      </c>
      <c r="B301" s="21" t="n"/>
      <c r="C301" s="21" t="n"/>
      <c r="D301" s="21" t="n"/>
      <c r="E301" s="21" t="n"/>
      <c r="H301" t="inlineStr">
        <is>
          <t>77.209.443-4</t>
        </is>
      </c>
    </row>
    <row r="302">
      <c r="A302" s="21" t="inlineStr">
        <is>
          <t>VALESCKA CECILIA KORTMANN HERMOSILLA</t>
        </is>
      </c>
      <c r="B302" s="21" t="n"/>
      <c r="C302" s="21" t="n"/>
      <c r="D302" s="21" t="n"/>
      <c r="E302" s="21" t="n"/>
      <c r="H302" t="inlineStr">
        <is>
          <t>10.127.738-0</t>
        </is>
      </c>
    </row>
    <row r="303">
      <c r="A303" s="21" t="inlineStr">
        <is>
          <t>VARIEDADES ADONAYS SPA</t>
        </is>
      </c>
      <c r="B303" s="21" t="n"/>
      <c r="C303" s="21" t="n"/>
      <c r="D303" s="21" t="n"/>
      <c r="E303" s="21" t="n"/>
      <c r="H303" t="inlineStr">
        <is>
          <t>77.494.419-2</t>
        </is>
      </c>
    </row>
    <row r="304">
      <c r="A304" s="21" t="inlineStr">
        <is>
          <t>VELVET LATAM GROUP SPA</t>
        </is>
      </c>
      <c r="B304" s="21" t="n"/>
      <c r="C304" s="21" t="n"/>
      <c r="D304" s="21" t="n"/>
      <c r="E304" s="21" t="n"/>
      <c r="H304" t="inlineStr">
        <is>
          <t>77.764.001-1</t>
        </is>
      </c>
    </row>
    <row r="305">
      <c r="A305" s="21" t="inlineStr">
        <is>
          <t>VENTA INSUMOS CLASES REPOSTERIA Y BAZAR SPA</t>
        </is>
      </c>
      <c r="B305" s="21" t="n"/>
      <c r="C305" s="21" t="n"/>
      <c r="D305" s="21" t="n"/>
      <c r="E305" s="21" t="n"/>
      <c r="H305" t="inlineStr">
        <is>
          <t>76.865.714-9</t>
        </is>
      </c>
    </row>
    <row r="306">
      <c r="A306" s="21" t="inlineStr">
        <is>
          <t>VERISURE CHILE SPA</t>
        </is>
      </c>
      <c r="B306" s="21" t="n"/>
      <c r="C306" s="21" t="n"/>
      <c r="D306" s="21" t="n"/>
      <c r="E306" s="21" t="n"/>
      <c r="H306" t="inlineStr">
        <is>
          <t>76.058.647-1</t>
        </is>
      </c>
    </row>
    <row r="307">
      <c r="A307" s="21" t="inlineStr">
        <is>
          <t>VICTOR REINALDO SANDOVAL FIGUEROA</t>
        </is>
      </c>
      <c r="B307" s="21" t="n"/>
      <c r="C307" s="21" t="n"/>
      <c r="D307" s="21" t="n"/>
      <c r="E307" s="21" t="n"/>
      <c r="H307" t="inlineStr">
        <is>
          <t>13.138.634-6</t>
        </is>
      </c>
    </row>
    <row r="308">
      <c r="A308" s="21" t="inlineStr">
        <is>
          <t>VIGAHOME SPA</t>
        </is>
      </c>
      <c r="B308" s="21" t="n"/>
      <c r="C308" s="21" t="n"/>
      <c r="D308" s="21" t="n"/>
      <c r="E308" s="21" t="n"/>
      <c r="H308" t="inlineStr">
        <is>
          <t>76.868.738-2</t>
        </is>
      </c>
    </row>
    <row r="309">
      <c r="A309" s="21" t="inlineStr">
        <is>
          <t>VILLARROEL HMNOS. SPA</t>
        </is>
      </c>
      <c r="B309" s="21" t="n"/>
      <c r="C309" s="21" t="n"/>
      <c r="D309" s="21" t="n"/>
      <c r="E309" s="21" t="n"/>
      <c r="H309" t="inlineStr">
        <is>
          <t>76.541.693-0</t>
        </is>
      </c>
    </row>
    <row r="310">
      <c r="A310" s="21" t="inlineStr">
        <is>
          <t>VINCULO EXPERIENCE SPA</t>
        </is>
      </c>
      <c r="B310" s="21" t="n"/>
      <c r="C310" s="21" t="n"/>
      <c r="D310" s="21" t="n"/>
      <c r="E310" s="21" t="n"/>
      <c r="H310" t="inlineStr">
        <is>
          <t>78.345.264-2</t>
        </is>
      </c>
    </row>
    <row r="311">
      <c r="A311" s="21" t="inlineStr">
        <is>
          <t>VITALY FRESH SPA</t>
        </is>
      </c>
      <c r="B311" s="21" t="n"/>
      <c r="C311" s="21" t="n"/>
      <c r="D311" s="21" t="n"/>
      <c r="E311" s="21" t="n"/>
      <c r="H311" t="inlineStr">
        <is>
          <t>76.833.294-0</t>
        </is>
      </c>
    </row>
    <row r="312">
      <c r="A312" s="21" t="inlineStr">
        <is>
          <t>VST SPA</t>
        </is>
      </c>
      <c r="B312" s="21" t="n"/>
      <c r="C312" s="21" t="n"/>
      <c r="D312" s="21" t="n"/>
      <c r="E312" s="21" t="n"/>
      <c r="H312" t="inlineStr">
        <is>
          <t>76.996.332-4</t>
        </is>
      </c>
    </row>
    <row r="313">
      <c r="A313" s="21" t="inlineStr">
        <is>
          <t>WELFN SPA</t>
        </is>
      </c>
      <c r="B313" s="21" t="n"/>
      <c r="C313" s="21" t="n"/>
      <c r="D313" s="21" t="n"/>
      <c r="E313" s="21" t="n"/>
      <c r="H313" t="inlineStr">
        <is>
          <t>77.161.355-1</t>
        </is>
      </c>
    </row>
    <row r="314">
      <c r="A314" s="21" t="inlineStr">
        <is>
          <t>XIMENA IGNACIA IRARRAZABAL CORREA</t>
        </is>
      </c>
      <c r="B314" s="21" t="n"/>
      <c r="C314" s="21" t="n"/>
      <c r="D314" s="21" t="n"/>
      <c r="E314" s="21" t="n"/>
      <c r="H314" t="inlineStr">
        <is>
          <t>3.559.131-1</t>
        </is>
      </c>
    </row>
    <row r="315">
      <c r="A315" t="inlineStr">
        <is>
          <t>ABASTECEDORA DEL COMERCIO SPA</t>
        </is>
      </c>
      <c r="H315" t="inlineStr">
        <is>
          <t>84.348.700-9</t>
        </is>
      </c>
    </row>
    <row r="316">
      <c r="A316" t="inlineStr">
        <is>
          <t>AGENCIA DE PUBLICIDAD RORAIMA DIGITAL LIMITADA</t>
        </is>
      </c>
      <c r="H316" t="inlineStr">
        <is>
          <t>76.860.819-9</t>
        </is>
      </c>
    </row>
    <row r="317">
      <c r="A317" t="inlineStr">
        <is>
          <t>ALDEA NATIVA SPA</t>
        </is>
      </c>
      <c r="H317" t="inlineStr">
        <is>
          <t>76.934.065-3</t>
        </is>
      </c>
    </row>
    <row r="318">
      <c r="A318" t="inlineStr">
        <is>
          <t>ALICIA TRANSITO CORDOVA YANEZ</t>
        </is>
      </c>
      <c r="H318" t="inlineStr">
        <is>
          <t>11.794.878-1</t>
        </is>
      </c>
    </row>
    <row r="319">
      <c r="A319" t="inlineStr">
        <is>
          <t>Avalco Spa</t>
        </is>
      </c>
      <c r="H319" t="inlineStr">
        <is>
          <t>76.173.949-2</t>
        </is>
      </c>
    </row>
    <row r="320">
      <c r="A320" t="inlineStr">
        <is>
          <t>CASACOM PROPIEDADES SPA</t>
        </is>
      </c>
      <c r="H320" t="inlineStr">
        <is>
          <t>77.092.727-7</t>
        </is>
      </c>
    </row>
    <row r="321">
      <c r="A321" t="inlineStr">
        <is>
          <t>CHERRY CHILE IMPORTADORA S.P.A.</t>
        </is>
      </c>
      <c r="H321" t="inlineStr">
        <is>
          <t>76.415.327-8</t>
        </is>
      </c>
    </row>
    <row r="322">
      <c r="A322" t="inlineStr">
        <is>
          <t>COMERCIAL ANGIE SPA</t>
        </is>
      </c>
      <c r="H322" t="inlineStr">
        <is>
          <t>76.959.133-8</t>
        </is>
      </c>
    </row>
    <row r="323">
      <c r="A323" t="inlineStr">
        <is>
          <t>COMERCIAL GLOBEX SPA</t>
        </is>
      </c>
      <c r="H323" t="inlineStr">
        <is>
          <t>77.550.061-1</t>
        </is>
      </c>
    </row>
    <row r="324">
      <c r="A324" t="inlineStr">
        <is>
          <t>COMERCIAL XINGYI SPA</t>
        </is>
      </c>
      <c r="H324" t="inlineStr">
        <is>
          <t>77.931.847-8</t>
        </is>
      </c>
    </row>
    <row r="325">
      <c r="A325" t="inlineStr">
        <is>
          <t>COMERCIALIZADORA FENICIA SPA</t>
        </is>
      </c>
      <c r="H325" t="inlineStr">
        <is>
          <t>77.561.701-2</t>
        </is>
      </c>
    </row>
    <row r="326">
      <c r="A326" t="inlineStr">
        <is>
          <t>COMERCIALIZADORA LOS ROBLES LTDA.</t>
        </is>
      </c>
      <c r="H326" t="inlineStr">
        <is>
          <t>96.692.040-8</t>
        </is>
      </c>
    </row>
    <row r="327">
      <c r="A327" t="inlineStr">
        <is>
          <t>COMERCIALIZADORA Y DISTRIBUIDORA KOSASPACK SPA</t>
        </is>
      </c>
      <c r="H327" t="inlineStr">
        <is>
          <t>76.860.635-8</t>
        </is>
      </c>
    </row>
    <row r="328">
      <c r="A328" t="inlineStr">
        <is>
          <t>COMERCIALIZADORA Y DISTRIBUIDORA URRUTIA Y COMPANI</t>
        </is>
      </c>
      <c r="H328" t="inlineStr">
        <is>
          <t>76.420.640-1</t>
        </is>
      </c>
    </row>
    <row r="329">
      <c r="A329" t="inlineStr">
        <is>
          <t>COOPERATIVA AGRICOLA Y LECHERA          DE LA UNION LTDA.</t>
        </is>
      </c>
      <c r="H329" t="inlineStr">
        <is>
          <t>81.094.100-6</t>
        </is>
      </c>
    </row>
    <row r="330">
      <c r="A330" t="inlineStr">
        <is>
          <t>Comercializadora Big orange SPA</t>
        </is>
      </c>
      <c r="H330" t="inlineStr">
        <is>
          <t>77.343.978-8</t>
        </is>
      </c>
    </row>
    <row r="331">
      <c r="A331" t="inlineStr">
        <is>
          <t>Comercializadora Hsp Spa</t>
        </is>
      </c>
      <c r="H331" t="inlineStr">
        <is>
          <t>77.338.419-3</t>
        </is>
      </c>
    </row>
    <row r="332">
      <c r="A332" t="inlineStr">
        <is>
          <t>DIDACTICA LIMITADA</t>
        </is>
      </c>
      <c r="H332" t="inlineStr">
        <is>
          <t>77.279.730-3</t>
        </is>
      </c>
    </row>
    <row r="333">
      <c r="A333" t="inlineStr">
        <is>
          <t>DISTRIBUCION Y LOGISTICA V L SPA</t>
        </is>
      </c>
      <c r="H333" t="inlineStr">
        <is>
          <t>76.740.134-5</t>
        </is>
      </c>
    </row>
    <row r="334">
      <c r="A334" t="inlineStr">
        <is>
          <t>DISTRIBUIDORA COSTA LIMITADA</t>
        </is>
      </c>
      <c r="H334" t="inlineStr">
        <is>
          <t>76.783.525-6</t>
        </is>
      </c>
    </row>
    <row r="335">
      <c r="A335" t="inlineStr">
        <is>
          <t>DISTRIBUIDORA E IMPORTADORA DE ARTICULOS REPOSTERIA SPA</t>
        </is>
      </c>
      <c r="H335" t="inlineStr">
        <is>
          <t>76.813.128-7</t>
        </is>
      </c>
    </row>
    <row r="336">
      <c r="A336" t="inlineStr">
        <is>
          <t>DISTRIBUIDORA ROMINA SANTANDER GOMEZ E I R L</t>
        </is>
      </c>
      <c r="H336" t="inlineStr">
        <is>
          <t>77.085.321-4</t>
        </is>
      </c>
    </row>
    <row r="337">
      <c r="A337" t="inlineStr">
        <is>
          <t>DMT CHILE SPA</t>
        </is>
      </c>
      <c r="H337" t="inlineStr">
        <is>
          <t>77.664.214-2</t>
        </is>
      </c>
    </row>
    <row r="338">
      <c r="A338" t="inlineStr">
        <is>
          <t>EFFECTIVECOLD SPA</t>
        </is>
      </c>
      <c r="H338" t="inlineStr">
        <is>
          <t>77.516.752-1</t>
        </is>
      </c>
    </row>
    <row r="339">
      <c r="A339" t="inlineStr">
        <is>
          <t>EQUIPAMIENTOS GASTRONOMICOS ALFA SPA</t>
        </is>
      </c>
      <c r="H339" t="inlineStr">
        <is>
          <t>76.852.868-3</t>
        </is>
      </c>
    </row>
    <row r="340">
      <c r="A340" t="inlineStr">
        <is>
          <t>FELIPE SAMUEL MERY ROZAS</t>
        </is>
      </c>
      <c r="H340" t="inlineStr">
        <is>
          <t>12.902.614-6</t>
        </is>
      </c>
    </row>
    <row r="341">
      <c r="A341" t="inlineStr">
        <is>
          <t>FLOR DE SAL CHILE SPA</t>
        </is>
      </c>
      <c r="H341" t="inlineStr">
        <is>
          <t>76.218.068-5</t>
        </is>
      </c>
    </row>
    <row r="342">
      <c r="A342" t="inlineStr">
        <is>
          <t>FLORES TIMMERMANN Y MUNOZ LIMITADA</t>
        </is>
      </c>
      <c r="H342" t="inlineStr">
        <is>
          <t>76.747.905-0</t>
        </is>
      </c>
    </row>
    <row r="343">
      <c r="A343" t="inlineStr">
        <is>
          <t>FORUS S.A</t>
        </is>
      </c>
      <c r="H343" t="inlineStr">
        <is>
          <t>86.963.200-7</t>
        </is>
      </c>
    </row>
    <row r="344">
      <c r="A344" t="inlineStr">
        <is>
          <t>GRUPO INDUSTRIAL NALLAR LTDA.</t>
        </is>
      </c>
      <c r="H344" t="inlineStr">
        <is>
          <t>77.542.310-2</t>
        </is>
      </c>
    </row>
    <row r="345">
      <c r="A345" t="inlineStr">
        <is>
          <t>HCN  SERVICIOS SPA</t>
        </is>
      </c>
      <c r="H345" t="inlineStr">
        <is>
          <t>77.823.252-9</t>
        </is>
      </c>
    </row>
    <row r="346">
      <c r="A346" t="inlineStr">
        <is>
          <t>HURTADO Y CIA LTDA</t>
        </is>
      </c>
      <c r="H346" t="inlineStr">
        <is>
          <t>78.527.610-8</t>
        </is>
      </c>
    </row>
    <row r="347">
      <c r="A347" t="inlineStr">
        <is>
          <t>IMPORTADORA Y EXPORTADORA CO CO SPA</t>
        </is>
      </c>
      <c r="H347" t="inlineStr">
        <is>
          <t>77.071.603-9</t>
        </is>
      </c>
    </row>
    <row r="348">
      <c r="A348" t="inlineStr">
        <is>
          <t>INDIGO ESTUDIO SPA</t>
        </is>
      </c>
      <c r="H348" t="inlineStr">
        <is>
          <t>77.241.574-5</t>
        </is>
      </c>
    </row>
    <row r="349">
      <c r="A349" t="inlineStr">
        <is>
          <t>INTEGRATED SYSTEMS SPA</t>
        </is>
      </c>
      <c r="H349" t="inlineStr">
        <is>
          <t>76.488.692-5</t>
        </is>
      </c>
    </row>
    <row r="350">
      <c r="A350" t="inlineStr">
        <is>
          <t>INVERSIONES AM SPA</t>
        </is>
      </c>
      <c r="H350" t="inlineStr">
        <is>
          <t>76.845.795-6</t>
        </is>
      </c>
    </row>
    <row r="351">
      <c r="A351" t="inlineStr">
        <is>
          <t>INVERSIONES LOW LIMITADA</t>
        </is>
      </c>
      <c r="H351" t="inlineStr">
        <is>
          <t>76.358.876-9</t>
        </is>
      </c>
    </row>
    <row r="352">
      <c r="A352" t="inlineStr">
        <is>
          <t>Kaudat SpA</t>
        </is>
      </c>
      <c r="H352" t="inlineStr">
        <is>
          <t>76.211.240-K</t>
        </is>
      </c>
    </row>
    <row r="353">
      <c r="A353" t="inlineStr">
        <is>
          <t>LA MESA SPA</t>
        </is>
      </c>
      <c r="H353" t="inlineStr">
        <is>
          <t>76.837.596-8</t>
        </is>
      </c>
    </row>
    <row r="354">
      <c r="A354" t="inlineStr">
        <is>
          <t>MARCO ANTONIO GAJARDO OTEIZA</t>
        </is>
      </c>
      <c r="H354" t="inlineStr">
        <is>
          <t>16.366.571-9</t>
        </is>
      </c>
    </row>
    <row r="355">
      <c r="A355" t="inlineStr">
        <is>
          <t>META PLATFORMS IRELAND LIMITED</t>
        </is>
      </c>
      <c r="H355" t="inlineStr">
        <is>
          <t>59.292.780-2</t>
        </is>
      </c>
    </row>
    <row r="356">
      <c r="A356" t="inlineStr">
        <is>
          <t>MULTISERVICIO S  S SPA</t>
        </is>
      </c>
      <c r="H356" t="inlineStr">
        <is>
          <t>77.341.096-8</t>
        </is>
      </c>
    </row>
    <row r="357">
      <c r="A357" t="inlineStr">
        <is>
          <t>MULTISERVICIOS  MULTIMARCAS YASEB SPA</t>
        </is>
      </c>
      <c r="H357" t="inlineStr">
        <is>
          <t>77.653.902-3</t>
        </is>
      </c>
    </row>
    <row r="358">
      <c r="A358" t="inlineStr">
        <is>
          <t>NOBEL SPA</t>
        </is>
      </c>
      <c r="H358" t="inlineStr">
        <is>
          <t>77.004.371-9</t>
        </is>
      </c>
    </row>
    <row r="359">
      <c r="A359" t="inlineStr">
        <is>
          <t>Nuevo Genesis Spa</t>
        </is>
      </c>
      <c r="H359" t="inlineStr">
        <is>
          <t>77.346.752-8</t>
        </is>
      </c>
    </row>
    <row r="360">
      <c r="A360" t="inlineStr">
        <is>
          <t>OREGON CHEM GROUP SPA</t>
        </is>
      </c>
      <c r="H360" t="inlineStr">
        <is>
          <t>76.744.415-K</t>
        </is>
      </c>
    </row>
    <row r="361">
      <c r="A361" t="inlineStr">
        <is>
          <t>PAPADIN SPA</t>
        </is>
      </c>
      <c r="H361" t="inlineStr">
        <is>
          <t>77.337.744-8</t>
        </is>
      </c>
    </row>
    <row r="362">
      <c r="A362" t="inlineStr">
        <is>
          <t>PAPELARIA S.A.</t>
        </is>
      </c>
      <c r="H362" t="inlineStr">
        <is>
          <t>76.864.690-2</t>
        </is>
      </c>
    </row>
    <row r="363">
      <c r="A363" t="inlineStr">
        <is>
          <t>PAPELES GRAFICOS CHILE LIMITADA</t>
        </is>
      </c>
      <c r="H363" t="inlineStr">
        <is>
          <t>76.642.613-1</t>
        </is>
      </c>
    </row>
    <row r="364">
      <c r="A364" t="inlineStr">
        <is>
          <t>PASBOLIM EIRL</t>
        </is>
      </c>
      <c r="H364" t="inlineStr">
        <is>
          <t>76.486.561-8</t>
        </is>
      </c>
    </row>
    <row r="365">
      <c r="A365" t="inlineStr">
        <is>
          <t>PASTELERIACL STORE SPA</t>
        </is>
      </c>
      <c r="H365" t="inlineStr">
        <is>
          <t>77.394.189-0</t>
        </is>
      </c>
    </row>
    <row r="366">
      <c r="A366" t="inlineStr">
        <is>
          <t>RC  Gráfica Ltda</t>
        </is>
      </c>
      <c r="H366" t="inlineStr">
        <is>
          <t>76.572.274-8</t>
        </is>
      </c>
    </row>
    <row r="367">
      <c r="A367" t="inlineStr">
        <is>
          <t>RENTOKIL INITIAL CHILE SPA</t>
        </is>
      </c>
      <c r="H367" t="inlineStr">
        <is>
          <t>76.360.903-0</t>
        </is>
      </c>
    </row>
    <row r="368">
      <c r="A368" t="inlineStr">
        <is>
          <t>SAN MARTIN Y MUNOZ LIMITADA</t>
        </is>
      </c>
      <c r="H368" t="inlineStr">
        <is>
          <t>76.467.695-5</t>
        </is>
      </c>
    </row>
    <row r="369">
      <c r="A369" t="inlineStr">
        <is>
          <t>SELMAN Y CIA LTDA</t>
        </is>
      </c>
      <c r="H369" t="inlineStr">
        <is>
          <t>81.677.100-5</t>
        </is>
      </c>
    </row>
    <row r="370">
      <c r="A370" t="inlineStr">
        <is>
          <t>SERVICIOS INTEGRALES DAGA SPA</t>
        </is>
      </c>
      <c r="H370" t="inlineStr">
        <is>
          <t>77.305.867-9</t>
        </is>
      </c>
    </row>
    <row r="371">
      <c r="A371" t="inlineStr">
        <is>
          <t>SMART PACKAGING CHILE SPA</t>
        </is>
      </c>
      <c r="H371" t="inlineStr">
        <is>
          <t>76.876.385-2</t>
        </is>
      </c>
    </row>
    <row r="372">
      <c r="A372" t="inlineStr">
        <is>
          <t>SOC. COMERCIAL ESCOCIA LTDA.</t>
        </is>
      </c>
      <c r="H372" t="inlineStr">
        <is>
          <t>77.665.150-8</t>
        </is>
      </c>
    </row>
    <row r="373">
      <c r="A373" t="inlineStr">
        <is>
          <t>SOCIEDAD  INVERSIONES MALAGA SPA 3103986</t>
        </is>
      </c>
      <c r="H373" t="inlineStr">
        <is>
          <t>77.864.757-5</t>
        </is>
      </c>
    </row>
    <row r="374">
      <c r="A374" t="inlineStr">
        <is>
          <t>SOCIEDAD COMERCIAL PATIO ORIENTE SPA</t>
        </is>
      </c>
      <c r="H374" t="inlineStr">
        <is>
          <t>77.340.943-9</t>
        </is>
      </c>
    </row>
    <row r="375">
      <c r="A375" t="inlineStr">
        <is>
          <t>SOCIEDAD COMERCIALIZADORA LUKARDAV LIMITADA</t>
        </is>
      </c>
      <c r="H375" t="inlineStr">
        <is>
          <t>76.301.169-0</t>
        </is>
      </c>
    </row>
    <row r="376">
      <c r="A376" t="inlineStr">
        <is>
          <t>SOCIEDAD DE ALIMENTOS LEEFOOD SPA</t>
        </is>
      </c>
      <c r="H376" t="inlineStr">
        <is>
          <t>76.319.324-1</t>
        </is>
      </c>
    </row>
    <row r="377">
      <c r="A377" t="inlineStr">
        <is>
          <t>SOCIEDAD DE PRESTACION DE SERVICIOS INFORMATICOS DOSPUNTOCERO LIMITADA</t>
        </is>
      </c>
      <c r="H377" t="inlineStr">
        <is>
          <t>76.566.080-7</t>
        </is>
      </c>
    </row>
    <row r="378">
      <c r="A378" t="inlineStr">
        <is>
          <t>Servicio de fumigacion</t>
        </is>
      </c>
      <c r="H378" t="inlineStr">
        <is>
          <t>76.144.495-6</t>
        </is>
      </c>
    </row>
    <row r="379">
      <c r="A379" t="inlineStr">
        <is>
          <t>TECNAO V  A SOLUCIONES Y SERVICIOS SPA</t>
        </is>
      </c>
      <c r="H379" t="inlineStr">
        <is>
          <t>77.423.092-0</t>
        </is>
      </c>
    </row>
    <row r="380">
      <c r="A380" t="inlineStr">
        <is>
          <t>TEK-KROM ACCION GRAFICA COMPANIA LIMITADA</t>
        </is>
      </c>
      <c r="H380" t="inlineStr">
        <is>
          <t>78.286.370-3</t>
        </is>
      </c>
    </row>
    <row r="381">
      <c r="A381" t="inlineStr">
        <is>
          <t>THOMAS ENRIQUE LANDA BLANCO</t>
        </is>
      </c>
      <c r="H381" t="inlineStr">
        <is>
          <t>25.967.948-6</t>
        </is>
      </c>
    </row>
    <row r="382">
      <c r="A382" t="inlineStr">
        <is>
          <t>TIMBRE MIO SPA</t>
        </is>
      </c>
      <c r="H382" t="inlineStr">
        <is>
          <t>76.554.985-K</t>
        </is>
      </c>
    </row>
    <row r="383">
      <c r="A383" t="inlineStr">
        <is>
          <t>TODO LICORES D Y E SPA</t>
        </is>
      </c>
      <c r="H383" t="inlineStr">
        <is>
          <t>76.613.601-K</t>
        </is>
      </c>
    </row>
    <row r="384">
      <c r="A384" t="inlineStr">
        <is>
          <t>ZARA CHILE, S.A.</t>
        </is>
      </c>
      <c r="H384" t="inlineStr">
        <is>
          <t>96.785.860-9</t>
        </is>
      </c>
    </row>
  </sheetData>
  <autoFilter ref="A1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ptort@altascumbres.cl</dc:creator>
  <dcterms:created xmlns:dcterms="http://purl.org/dc/terms/" xmlns:xsi="http://www.w3.org/2001/XMLSchema-instance" xsi:type="dcterms:W3CDTF">2026-05-15T13:26:41Z</dcterms:created>
  <dcterms:modified xmlns:dcterms="http://purl.org/dc/terms/" xmlns:xsi="http://www.w3.org/2001/XMLSchema-instance" xsi:type="dcterms:W3CDTF">2026-05-25T20:58:34Z</dcterms:modified>
  <cp:lastModifiedBy>Maria Jose Grez</cp:lastModifiedBy>
</cp:coreProperties>
</file>